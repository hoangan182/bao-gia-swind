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5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Hạng mục: HỆ THỐNG ĐIỀU HÒA KHÔNG KHÍ VÀ THÔNG GIÓ - KHỐI A3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PHẦN CÔNG CỘNG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Đường ống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1. Ống nước ngưng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Ống nước ngưng uPVC D.27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m</t>
        </is>
      </c>
      <c r="M18" s="10" t="n">
        <v>50</v>
      </c>
      <c r="N18" s="11" t="n"/>
      <c r="O18" s="11" t="n"/>
      <c r="P18" s="9" t="n"/>
    </row>
    <row r="19">
      <c r="A19" s="8" t="n"/>
      <c r="B19" s="9" t="inlineStr">
        <is>
          <t>Ống nước ngưng uPVC D.34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m</t>
        </is>
      </c>
      <c r="M19" s="10" t="n">
        <v>276</v>
      </c>
      <c r="N19" s="11" t="n"/>
      <c r="O19" s="11" t="n"/>
      <c r="P19" s="9" t="n"/>
    </row>
    <row r="20">
      <c r="A20" s="8" t="n"/>
      <c r="B20" s="9" t="inlineStr">
        <is>
          <t>Ống nước ngưng uPVC D.42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m</t>
        </is>
      </c>
      <c r="M20" s="10" t="n">
        <v>99</v>
      </c>
      <c r="N20" s="11" t="n"/>
      <c r="O20" s="11" t="n"/>
      <c r="P20" s="9" t="n"/>
    </row>
    <row r="21">
      <c r="A21" s="8" t="n"/>
      <c r="B21" s="9" t="inlineStr">
        <is>
          <t>Ống nước ngưng uPVC D.49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m</t>
        </is>
      </c>
      <c r="M21" s="10" t="n">
        <v>110</v>
      </c>
      <c r="N21" s="11" t="n"/>
      <c r="O21" s="11" t="n"/>
      <c r="P21" s="9" t="n"/>
    </row>
    <row r="22">
      <c r="A22" s="8" t="n"/>
      <c r="B22" s="9" t="inlineStr">
        <is>
          <t>Ống nước ngưng uPVC D.60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m</t>
        </is>
      </c>
      <c r="M22" s="10" t="n">
        <v>2640</v>
      </c>
      <c r="N22" s="11" t="n"/>
      <c r="O22" s="11" t="n"/>
      <c r="P22" s="9" t="n"/>
    </row>
    <row r="23">
      <c r="A23" s="8" t="n"/>
      <c r="B23" s="9" t="inlineStr">
        <is>
          <t>Ống nước ngưng uPVC D.75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m</t>
        </is>
      </c>
      <c r="M23" s="10" t="n">
        <v>40</v>
      </c>
      <c r="N23" s="11" t="n"/>
      <c r="O23" s="11" t="n"/>
      <c r="P23" s="9" t="n"/>
    </row>
    <row r="24">
      <c r="A24" s="8" t="n"/>
      <c r="B24" s="9" t="inlineStr">
        <is>
          <t>Ống nước ngưng uPVC D.90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m</t>
        </is>
      </c>
      <c r="M24" s="10" t="n">
        <v>40</v>
      </c>
      <c r="N24" s="11" t="n"/>
      <c r="O24" s="11" t="n"/>
      <c r="P24" s="9" t="n"/>
    </row>
    <row r="25">
      <c r="A25" s="8" t="n"/>
      <c r="B25" s="9" t="inlineStr">
        <is>
          <t>Ống nước ngưng uPVC D.114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m</t>
        </is>
      </c>
      <c r="M25" s="10" t="n">
        <v>123</v>
      </c>
      <c r="N25" s="11" t="n"/>
      <c r="O25" s="11" t="n"/>
      <c r="P25" s="9" t="n"/>
    </row>
    <row r="26">
      <c r="A26" s="8" t="n"/>
      <c r="B26" s="9" t="inlineStr">
        <is>
          <t>Phụ kiện ống nước ngưng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Lô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Vật tư phụ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Lô</t>
        </is>
      </c>
      <c r="M27" s="10" t="n">
        <v>1</v>
      </c>
      <c r="N27" s="11" t="n"/>
      <c r="O27" s="11" t="n"/>
      <c r="P27" s="9" t="n"/>
    </row>
    <row r="28">
      <c r="A28" s="6" t="n"/>
      <c r="B28" s="7" t="inlineStr">
        <is>
          <t>Ống Cách nhiệt ống nước ngưng, tỉ trọng 25kg/m3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8" t="n"/>
      <c r="B29" s="9" t="inlineStr">
        <is>
          <t>Cách nhiệt ống D.27 dày 10mm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m</t>
        </is>
      </c>
      <c r="M29" s="10" t="n">
        <v>50</v>
      </c>
      <c r="N29" s="11" t="n"/>
      <c r="O29" s="11" t="n"/>
      <c r="P29" s="9" t="n"/>
    </row>
    <row r="30">
      <c r="A30" s="8" t="n"/>
      <c r="B30" s="9" t="inlineStr">
        <is>
          <t>Cách nhiệt ống D.34 dày 10mm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m</t>
        </is>
      </c>
      <c r="M30" s="10" t="n">
        <v>276</v>
      </c>
      <c r="N30" s="11" t="n"/>
      <c r="O30" s="11" t="n"/>
      <c r="P30" s="9" t="n"/>
    </row>
    <row r="31">
      <c r="A31" s="8" t="n"/>
      <c r="B31" s="9" t="inlineStr">
        <is>
          <t>Cách nhiệt ống D.42 dày 10mm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m</t>
        </is>
      </c>
      <c r="M31" s="10" t="n">
        <v>99</v>
      </c>
      <c r="N31" s="11" t="n"/>
      <c r="O31" s="11" t="n"/>
      <c r="P31" s="9" t="n"/>
    </row>
    <row r="32">
      <c r="A32" s="8" t="n"/>
      <c r="B32" s="9" t="inlineStr">
        <is>
          <t>Cách nhiệt ống D.429 dày 10mm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inlineStr">
        <is>
          <t>m</t>
        </is>
      </c>
      <c r="M32" s="10" t="n">
        <v>110</v>
      </c>
      <c r="N32" s="11" t="n"/>
      <c r="O32" s="11" t="n"/>
      <c r="P32" s="9" t="n"/>
    </row>
    <row r="33">
      <c r="A33" s="8" t="n"/>
      <c r="B33" s="9" t="inlineStr">
        <is>
          <t>Cách nhiệt ống D.60 dày 10mm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2640</v>
      </c>
      <c r="N33" s="11" t="n"/>
      <c r="O33" s="11" t="n"/>
      <c r="P33" s="9" t="n"/>
    </row>
    <row r="34">
      <c r="A34" s="8" t="n"/>
      <c r="B34" s="9" t="inlineStr">
        <is>
          <t>Cách nhiệt ống D.75 dày 10mm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40</v>
      </c>
      <c r="N34" s="11" t="n"/>
      <c r="O34" s="11" t="n"/>
      <c r="P34" s="9" t="n"/>
    </row>
    <row r="35">
      <c r="A35" s="8" t="n"/>
      <c r="B35" s="9" t="inlineStr">
        <is>
          <t>Cách nhiệt ống D.90 dày 10mm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inlineStr">
        <is>
          <t>m</t>
        </is>
      </c>
      <c r="M35" s="10" t="n">
        <v>40</v>
      </c>
      <c r="N35" s="11" t="n"/>
      <c r="O35" s="11" t="n"/>
      <c r="P35" s="9" t="n"/>
    </row>
    <row r="36">
      <c r="A36" s="8" t="n"/>
      <c r="B36" s="9" t="inlineStr">
        <is>
          <t>Cách nhiệt ống D.114 dày 10mm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123</v>
      </c>
      <c r="N36" s="11" t="n"/>
      <c r="O36" s="11" t="n"/>
      <c r="P36" s="9" t="n"/>
    </row>
    <row r="37">
      <c r="A37" s="6" t="n"/>
      <c r="B37" s="7" t="inlineStr">
        <is>
          <t>2. Ống đồng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8" t="n"/>
      <c r="B38" s="9" t="inlineStr">
        <is>
          <t>Ống đồng Ø6.4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25</v>
      </c>
      <c r="N38" s="11" t="n"/>
      <c r="O38" s="11" t="n"/>
      <c r="P38" s="9" t="n"/>
    </row>
    <row r="39">
      <c r="A39" s="8" t="n"/>
      <c r="B39" s="9" t="inlineStr">
        <is>
          <t>Ống đồng  Ø9.5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527</v>
      </c>
      <c r="N39" s="11" t="n"/>
      <c r="O39" s="11" t="n"/>
      <c r="P39" s="9" t="n"/>
    </row>
    <row r="40">
      <c r="A40" s="8" t="n"/>
      <c r="B40" s="9" t="inlineStr">
        <is>
          <t>Ống đồng  Ø12.7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inlineStr">
        <is>
          <t>m</t>
        </is>
      </c>
      <c r="M40" s="10" t="n">
        <v>33</v>
      </c>
      <c r="N40" s="11" t="n"/>
      <c r="O40" s="11" t="n"/>
      <c r="P40" s="9" t="n"/>
    </row>
    <row r="41">
      <c r="A41" s="8" t="n"/>
      <c r="B41" s="9" t="inlineStr">
        <is>
          <t>Ống đồng  Ø15.9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m</t>
        </is>
      </c>
      <c r="M41" s="10" t="n">
        <v>527</v>
      </c>
      <c r="N41" s="11" t="n"/>
      <c r="O41" s="11" t="n"/>
      <c r="P41" s="9" t="n"/>
    </row>
    <row r="42">
      <c r="A42" s="8" t="n"/>
      <c r="B42" s="9" t="inlineStr">
        <is>
          <t>Ống đồng  Ø19.1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inlineStr">
        <is>
          <t>m</t>
        </is>
      </c>
      <c r="M42" s="10" t="n">
        <v>28</v>
      </c>
      <c r="N42" s="11" t="n"/>
      <c r="O42" s="11" t="n"/>
      <c r="P42" s="9" t="n"/>
    </row>
    <row r="43">
      <c r="A43" s="8" t="n"/>
      <c r="B43" s="9" t="inlineStr">
        <is>
          <t>Ống đồng  Ø22.2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m</t>
        </is>
      </c>
      <c r="M43" s="10" t="n">
        <v>8</v>
      </c>
      <c r="N43" s="11" t="n"/>
      <c r="O43" s="11" t="n"/>
      <c r="P43" s="9" t="n"/>
    </row>
    <row r="44">
      <c r="A44" s="8" t="n"/>
      <c r="B44" s="9" t="inlineStr">
        <is>
          <t>Ống đồng  Ø28.6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m</t>
        </is>
      </c>
      <c r="M44" s="10" t="n">
        <v>18</v>
      </c>
      <c r="N44" s="11" t="n"/>
      <c r="O44" s="11" t="n"/>
      <c r="P44" s="9" t="n"/>
    </row>
    <row r="45">
      <c r="A45" s="8" t="n"/>
      <c r="B45" s="9" t="inlineStr">
        <is>
          <t>Ống đồng  Ø34.9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m</t>
        </is>
      </c>
      <c r="M45" s="10" t="n">
        <v>28</v>
      </c>
      <c r="N45" s="11" t="n"/>
      <c r="O45" s="11" t="n"/>
      <c r="P45" s="9" t="n"/>
    </row>
    <row r="46">
      <c r="A46" s="8" t="n"/>
      <c r="B46" s="9" t="inlineStr">
        <is>
          <t>Bộ chia gas dàn lạnh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0" t="n">
        <v>8</v>
      </c>
      <c r="N46" s="11" t="n"/>
      <c r="O46" s="11" t="n"/>
      <c r="P46" s="9" t="n"/>
    </row>
    <row r="47">
      <c r="A47" s="8" t="n"/>
      <c r="B47" s="9" t="inlineStr">
        <is>
          <t>KHRP26A72T8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1" t="n"/>
      <c r="N47" s="11" t="n"/>
      <c r="O47" s="11" t="n"/>
      <c r="P47" s="9" t="n"/>
    </row>
    <row r="48">
      <c r="A48" s="8" t="n"/>
      <c r="B48" s="9" t="inlineStr">
        <is>
          <t>KHRP26A73T8, KHRP26A73TP8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1" t="n"/>
      <c r="N48" s="11" t="n"/>
      <c r="O48" s="11" t="n"/>
      <c r="P48" s="9" t="n"/>
    </row>
    <row r="49">
      <c r="A49" s="8" t="n"/>
      <c r="B49" s="9" t="inlineStr">
        <is>
          <t>Bộ chia gas dàn nóng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0" t="n">
        <v>1</v>
      </c>
      <c r="N49" s="11" t="n"/>
      <c r="O49" s="11" t="n"/>
      <c r="P49" s="9" t="n"/>
    </row>
    <row r="50">
      <c r="A50" s="8" t="n"/>
      <c r="B50" s="9" t="inlineStr">
        <is>
          <t>BHFP22R135-8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Cái</t>
        </is>
      </c>
      <c r="M50" s="11" t="n"/>
      <c r="N50" s="11" t="n"/>
      <c r="O50" s="11" t="n"/>
      <c r="P50" s="9" t="n"/>
    </row>
    <row r="51">
      <c r="A51" s="8" t="n"/>
      <c r="B51" s="9" t="inlineStr">
        <is>
          <t>Vật tư phụ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inlineStr">
        <is>
          <t>Lô</t>
        </is>
      </c>
      <c r="M51" s="10" t="n">
        <v>1</v>
      </c>
      <c r="N51" s="11" t="n"/>
      <c r="O51" s="11" t="n"/>
      <c r="P51" s="9" t="n"/>
    </row>
    <row r="52">
      <c r="A52" s="6" t="n"/>
      <c r="B52" s="7" t="inlineStr">
        <is>
          <t>Ống Cách nhiệt ống gas lạnh, tỉ trọng 25kg/m3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Cách nhiệt ống Ø6.4 dày 19mm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m</t>
        </is>
      </c>
      <c r="M53" s="10" t="n">
        <v>25</v>
      </c>
      <c r="N53" s="11" t="n"/>
      <c r="O53" s="11" t="n"/>
      <c r="P53" s="9" t="n"/>
    </row>
    <row r="54">
      <c r="A54" s="8" t="n"/>
      <c r="B54" s="9" t="inlineStr">
        <is>
          <t>Cách nhiệt ống Ø9.5 dày 19mm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inlineStr">
        <is>
          <t>m</t>
        </is>
      </c>
      <c r="M54" s="10" t="n">
        <v>527</v>
      </c>
      <c r="N54" s="11" t="n"/>
      <c r="O54" s="11" t="n"/>
      <c r="P54" s="9" t="n"/>
    </row>
    <row r="55">
      <c r="A55" s="8" t="n"/>
      <c r="B55" s="9" t="inlineStr">
        <is>
          <t>Cách nhiệt ống Ø12.7 dày 19mm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33</v>
      </c>
      <c r="N55" s="11" t="n"/>
      <c r="O55" s="11" t="n"/>
      <c r="P55" s="9" t="n"/>
    </row>
    <row r="56">
      <c r="A56" s="8" t="n"/>
      <c r="B56" s="9" t="inlineStr">
        <is>
          <t>Cách nhiệt ống Ø15.9 dày 19mm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527</v>
      </c>
      <c r="N56" s="11" t="n"/>
      <c r="O56" s="11" t="n"/>
      <c r="P56" s="9" t="n"/>
    </row>
    <row r="57">
      <c r="A57" s="8" t="n"/>
      <c r="B57" s="9" t="inlineStr">
        <is>
          <t>Cách nhiệt ống Ø19.1 dày 19mm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28</v>
      </c>
      <c r="N57" s="11" t="n"/>
      <c r="O57" s="11" t="n"/>
      <c r="P57" s="9" t="n"/>
    </row>
    <row r="58">
      <c r="A58" s="8" t="n"/>
      <c r="B58" s="9" t="inlineStr">
        <is>
          <t>Cách nhiệt ống Ø22.2 dày 19mm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8</v>
      </c>
      <c r="N58" s="11" t="n"/>
      <c r="O58" s="11" t="n"/>
      <c r="P58" s="9" t="n"/>
    </row>
    <row r="59">
      <c r="A59" s="8" t="n"/>
      <c r="B59" s="9" t="inlineStr">
        <is>
          <t>Cách nhiệt ống Ø28.6 dày 19mm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18</v>
      </c>
      <c r="N59" s="11" t="n"/>
      <c r="O59" s="11" t="n"/>
      <c r="P59" s="9" t="n"/>
    </row>
    <row r="60">
      <c r="A60" s="8" t="n"/>
      <c r="B60" s="9" t="inlineStr">
        <is>
          <t>Cách nhiệt ống Ø34.9 dày 19mm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inlineStr">
        <is>
          <t>m</t>
        </is>
      </c>
      <c r="M60" s="10" t="n">
        <v>28</v>
      </c>
      <c r="N60" s="11" t="n"/>
      <c r="O60" s="11" t="n"/>
      <c r="P60" s="9" t="n"/>
    </row>
    <row r="61">
      <c r="A61" s="6" t="n"/>
      <c r="B61" s="7" t="inlineStr">
        <is>
          <t>3. Ống gió/ Duct work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n"/>
      <c r="B62" s="7" t="inlineStr">
        <is>
          <t>a. Ống tole tráng kẽm dày 0.6mm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8" t="n"/>
      <c r="B63" s="9" t="inlineStr">
        <is>
          <t>Ống tole tráng kẽm dày 0.6mm 200x100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5</v>
      </c>
      <c r="N63" s="11" t="n"/>
      <c r="O63" s="11" t="n"/>
      <c r="P63" s="9" t="n"/>
    </row>
    <row r="64">
      <c r="A64" s="8" t="n"/>
      <c r="B64" s="9" t="inlineStr">
        <is>
          <t>Ống tole tráng kẽm dày 0.6mm 200x150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14</v>
      </c>
      <c r="N64" s="11" t="n"/>
      <c r="O64" s="11" t="n"/>
      <c r="P64" s="9" t="n"/>
    </row>
    <row r="65">
      <c r="A65" s="8" t="n"/>
      <c r="B65" s="9" t="inlineStr">
        <is>
          <t>Ống tole tráng kẽm dày 0.6mm 200x200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m</t>
        </is>
      </c>
      <c r="M65" s="10" t="n">
        <v>32</v>
      </c>
      <c r="N65" s="11" t="n"/>
      <c r="O65" s="11" t="n"/>
      <c r="P65" s="9" t="n"/>
    </row>
    <row r="66">
      <c r="A66" s="8" t="n"/>
      <c r="B66" s="9" t="inlineStr">
        <is>
          <t>Ống tole tráng kẽm dày 0.6mm 250x150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m</t>
        </is>
      </c>
      <c r="M66" s="10" t="n">
        <v>5</v>
      </c>
      <c r="N66" s="11" t="n"/>
      <c r="O66" s="11" t="n"/>
      <c r="P66" s="9" t="n"/>
    </row>
    <row r="67">
      <c r="A67" s="8" t="n"/>
      <c r="B67" s="9" t="inlineStr">
        <is>
          <t>Ống tole tráng kẽm dày 0.6mm 250x200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inlineStr">
        <is>
          <t>m</t>
        </is>
      </c>
      <c r="M67" s="10" t="n">
        <v>21</v>
      </c>
      <c r="N67" s="11" t="n"/>
      <c r="O67" s="11" t="n"/>
      <c r="P67" s="9" t="n"/>
    </row>
    <row r="68">
      <c r="A68" s="8" t="n"/>
      <c r="B68" s="9" t="inlineStr">
        <is>
          <t>Ống tole tráng kẽm dày 0.6mm 300x200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80</v>
      </c>
      <c r="N68" s="11" t="n"/>
      <c r="O68" s="11" t="n"/>
      <c r="P68" s="9" t="n"/>
    </row>
    <row r="69">
      <c r="A69" s="8" t="n"/>
      <c r="B69" s="9" t="inlineStr">
        <is>
          <t>Ống tole tráng kẽm dày 0.6mm 350x200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17</v>
      </c>
      <c r="N69" s="11" t="n"/>
      <c r="O69" s="11" t="n"/>
      <c r="P69" s="9" t="n"/>
    </row>
    <row r="70">
      <c r="A70" s="8" t="n"/>
      <c r="B70" s="9" t="inlineStr">
        <is>
          <t>Ống tole tráng kẽm dày 0.6mm 350x250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m</t>
        </is>
      </c>
      <c r="M70" s="10" t="n">
        <v>54</v>
      </c>
      <c r="N70" s="11" t="n"/>
      <c r="O70" s="11" t="n"/>
      <c r="P70" s="9" t="n"/>
    </row>
    <row r="71">
      <c r="A71" s="8" t="n"/>
      <c r="B71" s="9" t="inlineStr">
        <is>
          <t>Ống tole tráng kẽm dày 0.6mm 400x200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inlineStr">
        <is>
          <t>m</t>
        </is>
      </c>
      <c r="M71" s="10" t="n">
        <v>25</v>
      </c>
      <c r="N71" s="11" t="n"/>
      <c r="O71" s="11" t="n"/>
      <c r="P71" s="9" t="n"/>
    </row>
    <row r="72">
      <c r="A72" s="8" t="n"/>
      <c r="B72" s="9" t="inlineStr">
        <is>
          <t>Ống tole tráng kẽm dày 0.6mm 550x250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inlineStr">
        <is>
          <t>m</t>
        </is>
      </c>
      <c r="M72" s="10" t="n">
        <v>20</v>
      </c>
      <c r="N72" s="11" t="n"/>
      <c r="O72" s="11" t="n"/>
      <c r="P72" s="9" t="n"/>
    </row>
    <row r="73">
      <c r="A73" s="8" t="n"/>
      <c r="B73" s="9" t="inlineStr">
        <is>
          <t>Ống tole tráng kẽm dày 0.6mm 500x300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m</t>
        </is>
      </c>
      <c r="M73" s="10" t="n">
        <v>13</v>
      </c>
      <c r="N73" s="11" t="n"/>
      <c r="O73" s="11" t="n"/>
      <c r="P73" s="9" t="n"/>
    </row>
    <row r="74">
      <c r="A74" s="8" t="n"/>
      <c r="B74" s="9" t="inlineStr">
        <is>
          <t>Ống tole tráng kẽm dày 0.6mm D150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m</t>
        </is>
      </c>
      <c r="M74" s="10" t="n">
        <v>20</v>
      </c>
      <c r="N74" s="11" t="n"/>
      <c r="O74" s="11" t="n"/>
      <c r="P74" s="9" t="n"/>
    </row>
    <row r="75">
      <c r="A75" s="8" t="n"/>
      <c r="B75" s="9" t="inlineStr">
        <is>
          <t>Ống tole tráng kẽm dày 0.6mm D200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m</t>
        </is>
      </c>
      <c r="M75" s="10" t="n">
        <v>38</v>
      </c>
      <c r="N75" s="11" t="n"/>
      <c r="O75" s="11" t="n"/>
      <c r="P75" s="9" t="n"/>
    </row>
    <row r="76">
      <c r="A76" s="8" t="n"/>
      <c r="B76" s="9" t="inlineStr">
        <is>
          <t>Phụ kiện ống gió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lô</t>
        </is>
      </c>
      <c r="M76" s="10" t="n">
        <v>1</v>
      </c>
      <c r="N76" s="11" t="n"/>
      <c r="O76" s="11" t="n"/>
      <c r="P76" s="9" t="n"/>
    </row>
    <row r="77">
      <c r="A77" s="6" t="n"/>
      <c r="B77" s="7" t="inlineStr">
        <is>
          <t>b. Ống tole tráng kẽm dày 0.8mm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8" t="n"/>
      <c r="B78" s="9" t="inlineStr">
        <is>
          <t>Ống tole tráng kẽm dày 0.8mm 600x300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m</t>
        </is>
      </c>
      <c r="M78" s="10" t="n">
        <v>55</v>
      </c>
      <c r="N78" s="11" t="n"/>
      <c r="O78" s="11" t="n"/>
      <c r="P78" s="9" t="n"/>
    </row>
    <row r="79">
      <c r="A79" s="8" t="n"/>
      <c r="B79" s="9" t="inlineStr">
        <is>
          <t>Ống tole tráng kẽm dày 0.8mm 650x350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m</t>
        </is>
      </c>
      <c r="M79" s="10" t="n">
        <v>140</v>
      </c>
      <c r="N79" s="11" t="n"/>
      <c r="O79" s="11" t="n"/>
      <c r="P79" s="9" t="n"/>
    </row>
    <row r="80">
      <c r="A80" s="8" t="n"/>
      <c r="B80" s="9" t="inlineStr">
        <is>
          <t>Ống tole tráng kẽm dày 0.8mm 650x500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m</t>
        </is>
      </c>
      <c r="M80" s="10" t="n">
        <v>15</v>
      </c>
      <c r="N80" s="11" t="n"/>
      <c r="O80" s="11" t="n"/>
      <c r="P80" s="9" t="n"/>
    </row>
    <row r="81">
      <c r="A81" s="8" t="n"/>
      <c r="B81" s="9" t="inlineStr">
        <is>
          <t>Ống tole tráng kẽm dày 0.8mm 900x450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m</t>
        </is>
      </c>
      <c r="M81" s="10" t="n">
        <v>10</v>
      </c>
      <c r="N81" s="11" t="n"/>
      <c r="O81" s="11" t="n"/>
      <c r="P81" s="9" t="n"/>
    </row>
    <row r="82">
      <c r="A82" s="8" t="n"/>
      <c r="B82" s="9" t="inlineStr">
        <is>
          <t>Phụ kiện ống gió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lô</t>
        </is>
      </c>
      <c r="M82" s="10" t="n">
        <v>1</v>
      </c>
      <c r="N82" s="11" t="n"/>
      <c r="O82" s="11" t="n"/>
      <c r="P82" s="9" t="n"/>
    </row>
    <row r="83">
      <c r="A83" s="6" t="n"/>
      <c r="B83" s="7" t="inlineStr">
        <is>
          <t>c. Ống tole tráng kẽm dày 1.0mm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8" t="n"/>
      <c r="B84" s="9" t="inlineStr">
        <is>
          <t>Ống tole tráng kẽm dày 1.0mm 1000x300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m</t>
        </is>
      </c>
      <c r="M84" s="10" t="n">
        <v>10</v>
      </c>
      <c r="N84" s="11" t="n"/>
      <c r="O84" s="11" t="n"/>
      <c r="P84" s="9" t="n"/>
    </row>
    <row r="85">
      <c r="A85" s="8" t="n"/>
      <c r="B85" s="9" t="inlineStr">
        <is>
          <t>Ống tole tráng kẽm dày 1.0mm 1200x500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m</t>
        </is>
      </c>
      <c r="M85" s="10" t="n">
        <v>82</v>
      </c>
      <c r="N85" s="11" t="n"/>
      <c r="O85" s="11" t="n"/>
      <c r="P85" s="9" t="n"/>
    </row>
    <row r="86">
      <c r="A86" s="8" t="n"/>
      <c r="B86" s="9" t="inlineStr">
        <is>
          <t>Ống tole tráng kẽm dày 1.0mm 1200x600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m</t>
        </is>
      </c>
      <c r="M86" s="10" t="n">
        <v>100</v>
      </c>
      <c r="N86" s="11" t="n"/>
      <c r="O86" s="11" t="n"/>
      <c r="P86" s="9" t="n"/>
    </row>
    <row r="87">
      <c r="A87" s="8" t="n"/>
      <c r="B87" s="9" t="inlineStr">
        <is>
          <t>Phụ kiện ống gió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lô</t>
        </is>
      </c>
      <c r="M87" s="10" t="n">
        <v>1</v>
      </c>
      <c r="N87" s="11" t="n"/>
      <c r="O87" s="11" t="n"/>
      <c r="P87" s="9" t="n"/>
    </row>
    <row r="88">
      <c r="A88" s="6" t="n"/>
      <c r="B88" s="7" t="inlineStr">
        <is>
          <t>d. Ống gió mềm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8" t="n"/>
      <c r="B89" s="9" t="inlineStr">
        <is>
          <t>Ống gió mềm D100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m</t>
        </is>
      </c>
      <c r="M89" s="10" t="n">
        <v>50</v>
      </c>
      <c r="N89" s="11" t="n"/>
      <c r="O89" s="11" t="n"/>
      <c r="P89" s="9" t="n"/>
    </row>
    <row r="90">
      <c r="A90" s="8" t="n"/>
      <c r="B90" s="9" t="inlineStr">
        <is>
          <t>Ống gió mềm D150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m</t>
        </is>
      </c>
      <c r="M90" s="10" t="n">
        <v>50</v>
      </c>
      <c r="N90" s="11" t="n"/>
      <c r="O90" s="11" t="n"/>
      <c r="P90" s="9" t="n"/>
    </row>
    <row r="91">
      <c r="A91" s="8" t="n"/>
      <c r="B91" s="9" t="inlineStr">
        <is>
          <t>Ống gió mềm D200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m</t>
        </is>
      </c>
      <c r="M91" s="10" t="n">
        <v>16</v>
      </c>
      <c r="N91" s="11" t="n"/>
      <c r="O91" s="11" t="n"/>
      <c r="P91" s="9" t="n"/>
    </row>
    <row r="92">
      <c r="A92" s="8" t="n"/>
      <c r="B92" s="9" t="inlineStr">
        <is>
          <t>Ống gió mềm D250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m</t>
        </is>
      </c>
      <c r="M92" s="10" t="n">
        <v>10</v>
      </c>
      <c r="N92" s="11" t="n"/>
      <c r="O92" s="11" t="n"/>
      <c r="P92" s="9" t="n"/>
    </row>
    <row r="93">
      <c r="A93" s="8" t="n"/>
      <c r="B93" s="9" t="inlineStr">
        <is>
          <t>Phụ kiện ống gió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Lô</t>
        </is>
      </c>
      <c r="M93" s="10" t="n">
        <v>1</v>
      </c>
      <c r="N93" s="11" t="n"/>
      <c r="O93" s="11" t="n"/>
      <c r="P93" s="9" t="n"/>
    </row>
    <row r="94">
      <c r="A94" s="6" t="n"/>
      <c r="B94" s="7" t="inlineStr">
        <is>
          <t>4. Thiết bị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n"/>
      <c r="B95" s="7" t="inlineStr">
        <is>
          <t>a. Quạt</t>
        </is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8" t="n"/>
      <c r="B96" s="9" t="inlineStr">
        <is>
          <t>Quạt gắn tường WF-A3-B3.01 60 L/s 50 Pa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cái</t>
        </is>
      </c>
      <c r="M96" s="10" t="n">
        <v>1</v>
      </c>
      <c r="N96" s="11" t="n"/>
      <c r="O96" s="11" t="n"/>
      <c r="P96" s="9" t="n"/>
    </row>
    <row r="97">
      <c r="A97" s="8" t="n"/>
      <c r="B97" s="9" t="inlineStr">
        <is>
          <t>Quạt gắn tường WF-A3-B2.01 100 L/s 50 Pa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cái</t>
        </is>
      </c>
      <c r="M97" s="10" t="n">
        <v>1</v>
      </c>
      <c r="N97" s="11" t="n"/>
      <c r="O97" s="11" t="n"/>
      <c r="P97" s="9" t="n"/>
    </row>
    <row r="98">
      <c r="A98" s="8" t="n"/>
      <c r="B98" s="9" t="inlineStr">
        <is>
          <t>Quạt gắn tường WF-A3-B2.02 1330 L/s 50 Pa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inlineStr">
        <is>
          <t>cái</t>
        </is>
      </c>
      <c r="M98" s="10" t="n">
        <v>1</v>
      </c>
      <c r="N98" s="11" t="n"/>
      <c r="O98" s="11" t="n"/>
      <c r="P98" s="9" t="n"/>
    </row>
    <row r="99">
      <c r="A99" s="8" t="n"/>
      <c r="B99" s="9" t="inlineStr">
        <is>
          <t>Quạt hướng trục TEF-A3-B1-01 150 L/s 250 Pa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cái</t>
        </is>
      </c>
      <c r="M99" s="10" t="n">
        <v>1</v>
      </c>
      <c r="N99" s="11" t="n"/>
      <c r="O99" s="11" t="n"/>
      <c r="P99" s="9" t="n"/>
    </row>
    <row r="100">
      <c r="A100" s="8" t="n"/>
      <c r="B100" s="9" t="inlineStr">
        <is>
          <t>Quạt hướng trục EAF-A3-B1.01 6800 L/s 350 Pa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cái</t>
        </is>
      </c>
      <c r="M100" s="10" t="n">
        <v>1</v>
      </c>
      <c r="N100" s="11" t="n"/>
      <c r="O100" s="11" t="n"/>
      <c r="P100" s="9" t="n"/>
    </row>
    <row r="101">
      <c r="A101" s="8" t="n"/>
      <c r="B101" s="9" t="inlineStr">
        <is>
          <t>Quạt hướng trục EAF-A3-B1.02 4500 L/s 350 Pa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cái</t>
        </is>
      </c>
      <c r="M101" s="10" t="n">
        <v>1</v>
      </c>
      <c r="N101" s="11" t="n"/>
      <c r="O101" s="11" t="n"/>
      <c r="P101" s="9" t="n"/>
    </row>
    <row r="102">
      <c r="A102" s="8" t="n"/>
      <c r="B102" s="9" t="inlineStr">
        <is>
          <t>Quạt hướng trục EAF-A3-B1.03 2700 L/s 350 Pa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cái</t>
        </is>
      </c>
      <c r="M102" s="10" t="n">
        <v>1</v>
      </c>
      <c r="N102" s="11" t="n"/>
      <c r="O102" s="11" t="n"/>
      <c r="P102" s="9" t="n"/>
    </row>
    <row r="103">
      <c r="A103" s="8" t="n"/>
      <c r="B103" s="9" t="inlineStr">
        <is>
          <t>Quạt hướng trục EAF-A3-B1.04 1030 L/s 350 Pa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cái</t>
        </is>
      </c>
      <c r="M103" s="10" t="n">
        <v>1</v>
      </c>
      <c r="N103" s="11" t="n"/>
      <c r="O103" s="11" t="n"/>
      <c r="P103" s="9" t="n"/>
    </row>
    <row r="104">
      <c r="A104" s="8" t="n"/>
      <c r="B104" s="9" t="inlineStr">
        <is>
          <t>Quạt hướng trục EAF-A3-B1.05 110 L/s 150 Pa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cái</t>
        </is>
      </c>
      <c r="M104" s="10" t="n">
        <v>1</v>
      </c>
      <c r="N104" s="11" t="n"/>
      <c r="O104" s="11" t="n"/>
      <c r="P104" s="9" t="n"/>
    </row>
    <row r="105">
      <c r="A105" s="8" t="n"/>
      <c r="B105" s="9" t="inlineStr">
        <is>
          <t>Quạt hướng trục EAF-A3-B1.06 420L/s 350Pa</t>
        </is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inlineStr">
        <is>
          <t>cái</t>
        </is>
      </c>
      <c r="M105" s="10" t="n">
        <v>1</v>
      </c>
      <c r="N105" s="11" t="n"/>
      <c r="O105" s="11" t="n"/>
      <c r="P105" s="9" t="n"/>
    </row>
    <row r="106">
      <c r="A106" s="8" t="n"/>
      <c r="B106" s="9" t="inlineStr">
        <is>
          <t>Quạt gắn tường WF-A3-B1-BV 25 L/s 50 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hướng trục TEF-A3-1F.01 350 L/s 150 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hướng trục FAF-A3-1F.LO.01 460 L/s 300 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hướng trục FAF-A3-1F-TM1 280 L/s 300 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hướng trục EAF-A3-1F-TM1 280 L/s 200 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gắn trần VF-A3-1F.TM2 90 L/s 50 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gắn trần VF-A3-1F.TM3 90 L/s 50 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hướng trục FAF-A3-1F-TM4 280 L/s 300 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hướng trục EAF-A3-1F-TM4 280 L/s 200 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gắn trần VF-A3-1F.BQL 25 L/s 50 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gắn trần VF-A3-1F.TB 25 L/s 50 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hướng trục TEF-A3-1F.KID.01 220 L/s 150 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gắn trần VF-A3-1F.SH 60 L/s 50 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hướng trục TEF-A3-2F.01 350 L/s 150 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hướng trục FAF-A3-2F.SH1 368 L/s 300 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Quạt hướng trục EAF-A3-2F.SH1 368 L/s 200 Pa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1</v>
      </c>
      <c r="N121" s="11" t="n"/>
      <c r="O121" s="11" t="n"/>
      <c r="P121" s="9" t="n"/>
    </row>
    <row r="122">
      <c r="A122" s="8" t="n"/>
      <c r="B122" s="9" t="inlineStr">
        <is>
          <t>Quạt gắn trần VF-A3-2F.SH2 60 L/s 50 Pa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1</v>
      </c>
      <c r="N122" s="11" t="n"/>
      <c r="O122" s="11" t="n"/>
      <c r="P122" s="9" t="n"/>
    </row>
    <row r="123">
      <c r="A123" s="8" t="n"/>
      <c r="B123" s="9" t="inlineStr">
        <is>
          <t>Quạt gắn trần VF-A3-2F.SH3 60 L/s 50 Pa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1</v>
      </c>
      <c r="N123" s="11" t="n"/>
      <c r="O123" s="11" t="n"/>
      <c r="P123" s="9" t="n"/>
    </row>
    <row r="124">
      <c r="A124" s="8" t="n"/>
      <c r="B124" s="9" t="inlineStr">
        <is>
          <t>Quạt hướng trục FAF-A3-2F.GYM 905 L/s 300 Pa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1</v>
      </c>
      <c r="N124" s="11" t="n"/>
      <c r="O124" s="11" t="n"/>
      <c r="P124" s="9" t="n"/>
    </row>
    <row r="125">
      <c r="A125" s="8" t="n"/>
      <c r="B125" s="9" t="inlineStr">
        <is>
          <t>Quạt hướng trục EAF-A3-2F.GYM 905 L/s 200 Pa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1</v>
      </c>
      <c r="N125" s="11" t="n"/>
      <c r="O125" s="11" t="n"/>
      <c r="P125" s="9" t="n"/>
    </row>
    <row r="126">
      <c r="A126" s="8" t="n"/>
      <c r="B126" s="9" t="inlineStr">
        <is>
          <t>Quạt hướng trục TEF-A3-2F.KID.01 220 L/s 150 Pa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1</v>
      </c>
      <c r="N126" s="11" t="n"/>
      <c r="O126" s="11" t="n"/>
      <c r="P126" s="9" t="n"/>
    </row>
    <row r="127">
      <c r="A127" s="8" t="n"/>
      <c r="B127" s="9" t="inlineStr">
        <is>
          <t>Quạt gắn tường WF-A3-TR.01 850 L/s 50 Pa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cái</t>
        </is>
      </c>
      <c r="M127" s="10" t="n">
        <v>1</v>
      </c>
      <c r="N127" s="11" t="n"/>
      <c r="O127" s="11" t="n"/>
      <c r="P127" s="9" t="n"/>
    </row>
    <row r="128">
      <c r="A128" s="8" t="n"/>
      <c r="B128" s="9" t="inlineStr">
        <is>
          <t>Quạt hướng trục EAF-A3-LR.01 1650L/s 500Pa</t>
        </is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inlineStr">
        <is>
          <t>cái</t>
        </is>
      </c>
      <c r="M128" s="10" t="n">
        <v>1</v>
      </c>
      <c r="N128" s="11" t="n"/>
      <c r="O128" s="11" t="n"/>
      <c r="P128" s="9" t="n"/>
    </row>
    <row r="129">
      <c r="A129" s="8" t="n"/>
      <c r="B129" s="9" t="inlineStr">
        <is>
          <t>Cảm biến nhệt độ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inlineStr">
        <is>
          <t>cái</t>
        </is>
      </c>
      <c r="M129" s="10" t="n">
        <v>7</v>
      </c>
      <c r="N129" s="11" t="n"/>
      <c r="O129" s="11" t="n"/>
      <c r="P129" s="9" t="n"/>
    </row>
    <row r="130">
      <c r="A130" s="8" t="n"/>
      <c r="B130" s="9" t="inlineStr">
        <is>
          <t>Vật tư phụ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inlineStr">
        <is>
          <t>Lô</t>
        </is>
      </c>
      <c r="M130" s="10" t="n">
        <v>1</v>
      </c>
      <c r="N130" s="11" t="n"/>
      <c r="O130" s="11" t="n"/>
      <c r="P130" s="9" t="n"/>
    </row>
    <row r="131">
      <c r="A131" s="6" t="n"/>
      <c r="B131" s="7" t="inlineStr">
        <is>
          <t>b. Máy Lạnh trung tâm VRV</t>
        </is>
      </c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8" t="n"/>
      <c r="B132" s="9" t="inlineStr">
        <is>
          <t>Dàn nóng trung tâm VRV 100kW</t>
        </is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inlineStr">
        <is>
          <t>bộ</t>
        </is>
      </c>
      <c r="M132" s="10" t="n">
        <v>1</v>
      </c>
      <c r="N132" s="11" t="n"/>
      <c r="O132" s="11" t="n"/>
      <c r="P132" s="9" t="n"/>
    </row>
    <row r="133">
      <c r="A133" s="8" t="n"/>
      <c r="B133" s="9" t="inlineStr">
        <is>
          <t>Dàn lạnh âm trần đa hướng thổi 12.5kW</t>
        </is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inlineStr">
        <is>
          <t>bộ</t>
        </is>
      </c>
      <c r="M133" s="10" t="n">
        <v>9</v>
      </c>
      <c r="N133" s="11" t="n"/>
      <c r="O133" s="11" t="n"/>
      <c r="P133" s="9" t="n"/>
    </row>
    <row r="134">
      <c r="A134" s="8" t="n"/>
      <c r="B134" s="9" t="inlineStr">
        <is>
          <t>Khiển dây gắn tường BRC1E63</t>
        </is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inlineStr">
        <is>
          <t>Cái</t>
        </is>
      </c>
      <c r="M134" s="10" t="n">
        <v>9</v>
      </c>
      <c r="N134" s="11" t="n"/>
      <c r="O134" s="11" t="n"/>
      <c r="P134" s="9" t="n"/>
    </row>
    <row r="135">
      <c r="A135" s="8" t="n"/>
      <c r="B135" s="9" t="inlineStr">
        <is>
          <t>Mặt nạ Cassetet BYCQ12EAF8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inlineStr">
        <is>
          <t>Cái</t>
        </is>
      </c>
      <c r="M135" s="10" t="n">
        <v>9</v>
      </c>
      <c r="N135" s="11" t="n"/>
      <c r="O135" s="11" t="n"/>
      <c r="P135" s="9" t="n"/>
    </row>
    <row r="136">
      <c r="A136" s="8" t="n"/>
      <c r="B136" s="9" t="inlineStr">
        <is>
          <t>Vật tư phụ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inlineStr">
        <is>
          <t>Lô</t>
        </is>
      </c>
      <c r="M136" s="10" t="n">
        <v>1</v>
      </c>
      <c r="N136" s="11" t="n"/>
      <c r="O136" s="11" t="n"/>
      <c r="P136" s="9" t="n"/>
    </row>
    <row r="137">
      <c r="A137" s="8" t="n"/>
      <c r="B137" s="9" t="inlineStr">
        <is>
          <t>Ga nạp R410/R32 (khối lượng tạm tính)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inlineStr">
        <is>
          <t>Kg</t>
        </is>
      </c>
      <c r="M137" s="10" t="n">
        <v>50</v>
      </c>
      <c r="N137" s="11" t="n"/>
      <c r="O137" s="11" t="n"/>
      <c r="P137" s="9" t="n"/>
    </row>
    <row r="138">
      <c r="A138" s="6" t="n"/>
      <c r="B138" s="7" t="inlineStr">
        <is>
          <t>c. Máy Lạnh cục bộ loại gắn tường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8" t="n"/>
      <c r="B139" s="9" t="inlineStr">
        <is>
          <t>5.3kW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inlineStr">
        <is>
          <t>bộ</t>
        </is>
      </c>
      <c r="M139" s="10" t="n">
        <v>4</v>
      </c>
      <c r="N139" s="11" t="n"/>
      <c r="O139" s="11" t="n"/>
      <c r="P139" s="9" t="n"/>
    </row>
    <row r="140">
      <c r="A140" s="8" t="n"/>
      <c r="B140" s="9" t="inlineStr">
        <is>
          <t>7.1kW</t>
        </is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inlineStr">
        <is>
          <t>bộ</t>
        </is>
      </c>
      <c r="M140" s="10" t="n">
        <v>2</v>
      </c>
      <c r="N140" s="11" t="n"/>
      <c r="O140" s="11" t="n"/>
      <c r="P140" s="9" t="n"/>
    </row>
    <row r="141">
      <c r="A141" s="8" t="n"/>
      <c r="B141" s="9" t="inlineStr">
        <is>
          <t>Vật tư phụ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inlineStr">
        <is>
          <t>Lô</t>
        </is>
      </c>
      <c r="M141" s="10" t="n">
        <v>1</v>
      </c>
      <c r="N141" s="11" t="n"/>
      <c r="O141" s="11" t="n"/>
      <c r="P141" s="9" t="n"/>
    </row>
    <row r="142">
      <c r="A142" s="8" t="n"/>
      <c r="B142" s="9" t="inlineStr">
        <is>
          <t>Ga nạp R410/R32 (khối lượng tạm tính)</t>
        </is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inlineStr">
        <is>
          <t>Kg</t>
        </is>
      </c>
      <c r="M142" s="10" t="n">
        <v>2</v>
      </c>
      <c r="N142" s="11" t="n"/>
      <c r="O142" s="11" t="n"/>
      <c r="P142" s="9" t="n"/>
    </row>
    <row r="143">
      <c r="A143" s="6" t="n"/>
      <c r="B143" s="7" t="inlineStr">
        <is>
          <t>c. Máy Lạnh cục bộ loại âm trần 4 hướng thổi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/>
      <c r="B144" s="9" t="inlineStr">
        <is>
          <t>12.5kW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bộ</t>
        </is>
      </c>
      <c r="M144" s="10" t="n">
        <v>7</v>
      </c>
      <c r="N144" s="11" t="n"/>
      <c r="O144" s="11" t="n"/>
      <c r="P144" s="9" t="n"/>
    </row>
    <row r="145">
      <c r="A145" s="8" t="n"/>
      <c r="B145" s="9" t="inlineStr">
        <is>
          <t>Khiển dây gắn tường BRC1E63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inlineStr">
        <is>
          <t>Cái</t>
        </is>
      </c>
      <c r="M145" s="10" t="n">
        <v>7</v>
      </c>
      <c r="N145" s="11" t="n"/>
      <c r="O145" s="11" t="n"/>
      <c r="P145" s="9" t="n"/>
    </row>
    <row r="146">
      <c r="A146" s="8" t="n"/>
      <c r="B146" s="9" t="inlineStr">
        <is>
          <t>Mặt nạ Cassetet BYCQ12EAF8</t>
        </is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inlineStr">
        <is>
          <t>Cái</t>
        </is>
      </c>
      <c r="M146" s="10" t="n">
        <v>7</v>
      </c>
      <c r="N146" s="11" t="n"/>
      <c r="O146" s="11" t="n"/>
      <c r="P146" s="9" t="n"/>
    </row>
    <row r="147">
      <c r="A147" s="8" t="n"/>
      <c r="B147" s="9" t="inlineStr">
        <is>
          <t>Vật tư phụ</t>
        </is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inlineStr">
        <is>
          <t>Lô</t>
        </is>
      </c>
      <c r="M147" s="10" t="n">
        <v>1</v>
      </c>
      <c r="N147" s="11" t="n"/>
      <c r="O147" s="11" t="n"/>
      <c r="P147" s="9" t="n"/>
    </row>
    <row r="148">
      <c r="A148" s="8" t="n"/>
      <c r="B148" s="9" t="inlineStr">
        <is>
          <t>Ga nạp R410/R32 (khối lượng tạm tính)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Kg</t>
        </is>
      </c>
      <c r="M148" s="10" t="n">
        <v>2</v>
      </c>
      <c r="N148" s="11" t="n"/>
      <c r="O148" s="11" t="n"/>
      <c r="P148" s="9" t="n"/>
    </row>
    <row r="149">
      <c r="A149" s="6" t="n"/>
      <c r="B149" s="7" t="inlineStr">
        <is>
          <t>e. Máy Lạnh cục bộ loại tủ đứng</t>
        </is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8" t="n"/>
      <c r="B150" s="9" t="inlineStr">
        <is>
          <t>14kW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bộ</t>
        </is>
      </c>
      <c r="M150" s="10" t="n">
        <v>3</v>
      </c>
      <c r="N150" s="11" t="n"/>
      <c r="O150" s="11" t="n"/>
      <c r="P150" s="9" t="n"/>
    </row>
    <row r="151">
      <c r="A151" s="8" t="n"/>
      <c r="B151" s="9" t="inlineStr">
        <is>
          <t>Vật tư phụ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Lô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Ga nạp R410/R32 (khối lượng tạm tính)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Kg</t>
        </is>
      </c>
      <c r="M152" s="10" t="n">
        <v>2</v>
      </c>
      <c r="N152" s="11" t="n"/>
      <c r="O152" s="11" t="n"/>
      <c r="P152" s="9" t="n"/>
    </row>
    <row r="153">
      <c r="A153" s="6" t="n"/>
      <c r="B153" s="7" t="inlineStr">
        <is>
          <t>g. Miệng gió</t>
        </is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8" t="n"/>
      <c r="B154" s="9" t="inlineStr">
        <is>
          <t>Miệng gió EAG 500x300 C/W OBD kèm hộp gió</t>
        </is>
      </c>
      <c r="C154" s="8" t="inlineStr">
        <is>
          <t>SDG+O</t>
        </is>
      </c>
      <c r="D154" s="8" t="inlineStr">
        <is>
          <t>SWIND</t>
        </is>
      </c>
      <c r="E154" s="8" t="n">
        <v>500</v>
      </c>
      <c r="F154" s="8" t="n">
        <v>300</v>
      </c>
      <c r="G154" s="8" t="n">
        <v>450</v>
      </c>
      <c r="H154" s="8" t="n">
        <v>250</v>
      </c>
      <c r="I154" s="8" t="n"/>
      <c r="J154" s="8" t="n"/>
      <c r="K154" s="8" t="n"/>
      <c r="L154" s="8" t="inlineStr">
        <is>
          <t>cái</t>
        </is>
      </c>
      <c r="M154" s="10" t="n">
        <v>1</v>
      </c>
      <c r="N154" s="10">
        <f>ROUND('00_TONG_HOP_BAO_GIA'!Q2, 0)</f>
        <v/>
      </c>
      <c r="O154" s="10">
        <f>ROUNDUP(N154*M154, -2)</f>
        <v/>
      </c>
      <c r="P154" s="9" t="inlineStr">
        <is>
          <t>Cửa nan bầu dục 1 lớp kèm van OBD</t>
        </is>
      </c>
    </row>
    <row r="155">
      <c r="A155" s="8" t="n"/>
      <c r="B155" s="9" t="inlineStr">
        <is>
          <t>Miệng gió EAG 1000x600 C/W OBD kèm hộp gió</t>
        </is>
      </c>
      <c r="C155" s="8" t="inlineStr">
        <is>
          <t>SDG+O</t>
        </is>
      </c>
      <c r="D155" s="8" t="inlineStr">
        <is>
          <t>SWIND</t>
        </is>
      </c>
      <c r="E155" s="8" t="n">
        <v>1000</v>
      </c>
      <c r="F155" s="8" t="n">
        <v>600</v>
      </c>
      <c r="G155" s="8" t="n">
        <v>950</v>
      </c>
      <c r="H155" s="8" t="n">
        <v>550</v>
      </c>
      <c r="I155" s="8" t="n"/>
      <c r="J155" s="8" t="n"/>
      <c r="K155" s="8" t="n"/>
      <c r="L155" s="8" t="inlineStr">
        <is>
          <t>cái</t>
        </is>
      </c>
      <c r="M155" s="10" t="n">
        <v>4</v>
      </c>
      <c r="N155" s="10">
        <f>ROUND('00_TONG_HOP_BAO_GIA'!Q3, 0)</f>
        <v/>
      </c>
      <c r="O155" s="10">
        <f>ROUNDUP(N155*M155, -2)</f>
        <v/>
      </c>
      <c r="P155" s="9" t="inlineStr">
        <is>
          <t>Cửa nan bầu dục 1 lớp kèm van OBD</t>
        </is>
      </c>
    </row>
    <row r="156">
      <c r="A156" s="8" t="n"/>
      <c r="B156" s="9" t="inlineStr">
        <is>
          <t>Miệng gió EAG 1000x800 C/W OBD kèm hộp gió</t>
        </is>
      </c>
      <c r="C156" s="8" t="inlineStr">
        <is>
          <t>SDG+O</t>
        </is>
      </c>
      <c r="D156" s="8" t="inlineStr">
        <is>
          <t>SWIND</t>
        </is>
      </c>
      <c r="E156" s="8" t="n">
        <v>1000</v>
      </c>
      <c r="F156" s="8" t="n">
        <v>800</v>
      </c>
      <c r="G156" s="8" t="n">
        <v>950</v>
      </c>
      <c r="H156" s="8" t="n">
        <v>750</v>
      </c>
      <c r="I156" s="8" t="n"/>
      <c r="J156" s="8" t="n"/>
      <c r="K156" s="8" t="n"/>
      <c r="L156" s="8" t="inlineStr">
        <is>
          <t>cái</t>
        </is>
      </c>
      <c r="M156" s="10" t="n">
        <v>4</v>
      </c>
      <c r="N156" s="10">
        <f>ROUND('00_TONG_HOP_BAO_GIA'!Q4, 0)</f>
        <v/>
      </c>
      <c r="O156" s="10">
        <f>ROUNDUP(N156*M156, -2)</f>
        <v/>
      </c>
      <c r="P156" s="9" t="inlineStr">
        <is>
          <t>Cửa nan bầu dục 1 lớp kèm van OBD</t>
        </is>
      </c>
    </row>
    <row r="157">
      <c r="A157" s="8" t="n"/>
      <c r="B157" s="9" t="inlineStr">
        <is>
          <t>Miệng gió EAG 300x200 C/W OBD kèm hộp gió</t>
        </is>
      </c>
      <c r="C157" s="8" t="inlineStr">
        <is>
          <t>SDG+O</t>
        </is>
      </c>
      <c r="D157" s="8" t="inlineStr">
        <is>
          <t>SWIND</t>
        </is>
      </c>
      <c r="E157" s="8" t="n">
        <v>300</v>
      </c>
      <c r="F157" s="8" t="n">
        <v>200</v>
      </c>
      <c r="G157" s="8" t="n">
        <v>250</v>
      </c>
      <c r="H157" s="8" t="n">
        <v>150</v>
      </c>
      <c r="I157" s="8" t="n"/>
      <c r="J157" s="8" t="n"/>
      <c r="K157" s="8" t="n"/>
      <c r="L157" s="8" t="inlineStr">
        <is>
          <t>cái</t>
        </is>
      </c>
      <c r="M157" s="10" t="n">
        <v>8</v>
      </c>
      <c r="N157" s="10">
        <f>ROUND('00_TONG_HOP_BAO_GIA'!Q5, 0)</f>
        <v/>
      </c>
      <c r="O157" s="10">
        <f>ROUNDUP(N157*M157, -2)</f>
        <v/>
      </c>
      <c r="P157" s="9" t="inlineStr">
        <is>
          <t>Cửa nan bầu dục 1 lớp kèm van OBD</t>
        </is>
      </c>
    </row>
    <row r="158">
      <c r="A158" s="8" t="n"/>
      <c r="B158" s="9" t="inlineStr">
        <is>
          <t>Miệng gió EAG 200x200 C/W OBD kèm hộp gió</t>
        </is>
      </c>
      <c r="C158" s="8" t="inlineStr">
        <is>
          <t>SDG+O</t>
        </is>
      </c>
      <c r="D158" s="8" t="inlineStr">
        <is>
          <t>SWIND</t>
        </is>
      </c>
      <c r="E158" s="8" t="n">
        <v>200</v>
      </c>
      <c r="F158" s="8" t="n">
        <v>200</v>
      </c>
      <c r="G158" s="8" t="n">
        <v>150</v>
      </c>
      <c r="H158" s="8" t="n">
        <v>150</v>
      </c>
      <c r="I158" s="8" t="n"/>
      <c r="J158" s="8" t="n"/>
      <c r="K158" s="8" t="n"/>
      <c r="L158" s="8" t="inlineStr">
        <is>
          <t>cái</t>
        </is>
      </c>
      <c r="M158" s="10" t="n">
        <v>60</v>
      </c>
      <c r="N158" s="10">
        <f>ROUND('00_TONG_HOP_BAO_GIA'!Q6, 0)</f>
        <v/>
      </c>
      <c r="O158" s="10">
        <f>ROUNDUP(N158*M158, -2)</f>
        <v/>
      </c>
      <c r="P158" s="9" t="inlineStr">
        <is>
          <t>Cửa nan bầu dục 1 lớp kèm van OBD</t>
        </is>
      </c>
    </row>
    <row r="159">
      <c r="A159" s="8" t="n"/>
      <c r="B159" s="9" t="inlineStr">
        <is>
          <t>Miệng gió EAG 300x200+OBD kèm hộp gió</t>
        </is>
      </c>
      <c r="C159" s="8" t="inlineStr">
        <is>
          <t>SDG+O</t>
        </is>
      </c>
      <c r="D159" s="8" t="inlineStr">
        <is>
          <t>SWIND</t>
        </is>
      </c>
      <c r="E159" s="8" t="n">
        <v>300</v>
      </c>
      <c r="F159" s="8" t="n">
        <v>200</v>
      </c>
      <c r="G159" s="8" t="n">
        <v>250</v>
      </c>
      <c r="H159" s="8" t="n">
        <v>150</v>
      </c>
      <c r="I159" s="8" t="n"/>
      <c r="J159" s="8" t="n"/>
      <c r="K159" s="8" t="n"/>
      <c r="L159" s="8" t="inlineStr">
        <is>
          <t>cái</t>
        </is>
      </c>
      <c r="M159" s="10" t="n">
        <v>2</v>
      </c>
      <c r="N159" s="10">
        <f>ROUND('00_TONG_HOP_BAO_GIA'!Q7, 0)</f>
        <v/>
      </c>
      <c r="O159" s="10">
        <f>ROUNDUP(N159*M159, -2)</f>
        <v/>
      </c>
      <c r="P159" s="9" t="inlineStr">
        <is>
          <t>Cửa nan bầu dục 1 lớp kèm van OBD</t>
        </is>
      </c>
    </row>
    <row r="160">
      <c r="A160" s="8" t="n"/>
      <c r="B160" s="9" t="inlineStr">
        <is>
          <t>Miệng gió EAG 400x200+OBD kèm hộp gió</t>
        </is>
      </c>
      <c r="C160" s="8" t="inlineStr">
        <is>
          <t>SDG+O</t>
        </is>
      </c>
      <c r="D160" s="8" t="inlineStr">
        <is>
          <t>SWIND</t>
        </is>
      </c>
      <c r="E160" s="8" t="n">
        <v>400</v>
      </c>
      <c r="F160" s="8" t="n">
        <v>200</v>
      </c>
      <c r="G160" s="8" t="n">
        <v>350</v>
      </c>
      <c r="H160" s="8" t="n">
        <v>150</v>
      </c>
      <c r="I160" s="8" t="n"/>
      <c r="J160" s="8" t="n"/>
      <c r="K160" s="8" t="n"/>
      <c r="L160" s="8" t="inlineStr">
        <is>
          <t>cái</t>
        </is>
      </c>
      <c r="M160" s="10" t="n">
        <v>2</v>
      </c>
      <c r="N160" s="10">
        <f>ROUND('00_TONG_HOP_BAO_GIA'!Q8, 0)</f>
        <v/>
      </c>
      <c r="O160" s="10">
        <f>ROUNDUP(N160*M160, -2)</f>
        <v/>
      </c>
      <c r="P160" s="9" t="inlineStr">
        <is>
          <t>Cửa nan bầu dục 1 lớp kèm van OBD</t>
        </is>
      </c>
    </row>
    <row r="161">
      <c r="A161" s="8" t="n"/>
      <c r="B161" s="9" t="inlineStr">
        <is>
          <t>Miệng gió EAG 300x200 kèm hộp gió</t>
        </is>
      </c>
      <c r="C161" s="8" t="inlineStr">
        <is>
          <t>SDG</t>
        </is>
      </c>
      <c r="D161" s="8" t="inlineStr">
        <is>
          <t>SWIND</t>
        </is>
      </c>
      <c r="E161" s="8" t="n">
        <v>300</v>
      </c>
      <c r="F161" s="8" t="n">
        <v>200</v>
      </c>
      <c r="G161" s="8" t="n">
        <v>250</v>
      </c>
      <c r="H161" s="8" t="n">
        <v>150</v>
      </c>
      <c r="I161" s="8" t="n"/>
      <c r="J161" s="8" t="n"/>
      <c r="K161" s="8" t="n"/>
      <c r="L161" s="8" t="inlineStr">
        <is>
          <t>cái</t>
        </is>
      </c>
      <c r="M161" s="10" t="n">
        <v>1</v>
      </c>
      <c r="N161" s="10">
        <f>ROUND('00_TONG_HOP_BAO_GIA'!Q9, 0)</f>
        <v/>
      </c>
      <c r="O161" s="10">
        <f>ROUNDUP(N161*M161, -2)</f>
        <v/>
      </c>
      <c r="P161" s="9" t="inlineStr">
        <is>
          <t>Cửa nan bầu dục 1 lớp</t>
        </is>
      </c>
    </row>
    <row r="162">
      <c r="A162" s="8" t="n"/>
      <c r="B162" s="9" t="inlineStr">
        <is>
          <t>Miệng gió EAG 750x400 C/W OBD kèm hộp gió</t>
        </is>
      </c>
      <c r="C162" s="8" t="inlineStr">
        <is>
          <t>SDG+O</t>
        </is>
      </c>
      <c r="D162" s="8" t="inlineStr">
        <is>
          <t>SWIND</t>
        </is>
      </c>
      <c r="E162" s="8" t="n">
        <v>750</v>
      </c>
      <c r="F162" s="8" t="n">
        <v>400</v>
      </c>
      <c r="G162" s="8" t="n">
        <v>700</v>
      </c>
      <c r="H162" s="8" t="n">
        <v>350</v>
      </c>
      <c r="I162" s="8" t="n"/>
      <c r="J162" s="8" t="n"/>
      <c r="K162" s="8" t="n"/>
      <c r="L162" s="8" t="inlineStr">
        <is>
          <t>cái</t>
        </is>
      </c>
      <c r="M162" s="10" t="n">
        <v>2</v>
      </c>
      <c r="N162" s="10">
        <f>ROUND('00_TONG_HOP_BAO_GIA'!Q10, 0)</f>
        <v/>
      </c>
      <c r="O162" s="10">
        <f>ROUNDUP(N162*M162, -2)</f>
        <v/>
      </c>
      <c r="P162" s="9" t="inlineStr">
        <is>
          <t>Cửa nan bầu dục 1 lớp kèm van OBD</t>
        </is>
      </c>
    </row>
    <row r="163">
      <c r="A163" s="8" t="n"/>
      <c r="B163" s="9" t="inlineStr">
        <is>
          <t>Miệng gió EAG 800x500 C/W OBD kèm hộp gió</t>
        </is>
      </c>
      <c r="C163" s="8" t="inlineStr">
        <is>
          <t>SDG+O</t>
        </is>
      </c>
      <c r="D163" s="8" t="inlineStr">
        <is>
          <t>SWIND</t>
        </is>
      </c>
      <c r="E163" s="8" t="n">
        <v>800</v>
      </c>
      <c r="F163" s="8" t="n">
        <v>500</v>
      </c>
      <c r="G163" s="8" t="n">
        <v>750</v>
      </c>
      <c r="H163" s="8" t="n">
        <v>450</v>
      </c>
      <c r="I163" s="8" t="n"/>
      <c r="J163" s="8" t="n"/>
      <c r="K163" s="8" t="n"/>
      <c r="L163" s="8" t="inlineStr">
        <is>
          <t>cái</t>
        </is>
      </c>
      <c r="M163" s="10" t="n">
        <v>3</v>
      </c>
      <c r="N163" s="10">
        <f>ROUND('00_TONG_HOP_BAO_GIA'!Q11, 0)</f>
        <v/>
      </c>
      <c r="O163" s="10">
        <f>ROUNDUP(N163*M163, -2)</f>
        <v/>
      </c>
      <c r="P163" s="9" t="inlineStr">
        <is>
          <t>Cửa nan bầu dục 1 lớp kèm van OBD</t>
        </is>
      </c>
    </row>
    <row r="164">
      <c r="A164" s="8" t="n"/>
      <c r="B164" s="9" t="inlineStr">
        <is>
          <t>Miệng gió EAG 400x250 C/W OBD kèm hộp gió</t>
        </is>
      </c>
      <c r="C164" s="8" t="inlineStr">
        <is>
          <t>SDG+O</t>
        </is>
      </c>
      <c r="D164" s="8" t="inlineStr">
        <is>
          <t>SWIND</t>
        </is>
      </c>
      <c r="E164" s="8" t="n">
        <v>400</v>
      </c>
      <c r="F164" s="8" t="n">
        <v>250</v>
      </c>
      <c r="G164" s="8" t="n">
        <v>350</v>
      </c>
      <c r="H164" s="8" t="n">
        <v>200</v>
      </c>
      <c r="I164" s="8" t="n"/>
      <c r="J164" s="8" t="n"/>
      <c r="K164" s="8" t="n"/>
      <c r="L164" s="8" t="inlineStr">
        <is>
          <t>cái</t>
        </is>
      </c>
      <c r="M164" s="10" t="n">
        <v>2</v>
      </c>
      <c r="N164" s="10">
        <f>ROUND('00_TONG_HOP_BAO_GIA'!Q12, 0)</f>
        <v/>
      </c>
      <c r="O164" s="10">
        <f>ROUNDUP(N164*M164, -2)</f>
        <v/>
      </c>
      <c r="P164" s="9" t="inlineStr">
        <is>
          <t>Cửa nan bầu dục 1 lớp kèm van OBD</t>
        </is>
      </c>
    </row>
    <row r="165">
      <c r="A165" s="8" t="n"/>
      <c r="B165" s="9" t="inlineStr">
        <is>
          <t>Miệng gió EAG 600x300 C/W OBD kèm hộp gió</t>
        </is>
      </c>
      <c r="C165" s="8" t="inlineStr">
        <is>
          <t>SDG+O</t>
        </is>
      </c>
      <c r="D165" s="8" t="inlineStr">
        <is>
          <t>SWIND</t>
        </is>
      </c>
      <c r="E165" s="8" t="n">
        <v>600</v>
      </c>
      <c r="F165" s="8" t="n">
        <v>300</v>
      </c>
      <c r="G165" s="8" t="n">
        <v>550</v>
      </c>
      <c r="H165" s="8" t="n">
        <v>250</v>
      </c>
      <c r="I165" s="8" t="n"/>
      <c r="J165" s="8" t="n"/>
      <c r="K165" s="8" t="n"/>
      <c r="L165" s="8" t="inlineStr">
        <is>
          <t>cái</t>
        </is>
      </c>
      <c r="M165" s="10" t="n">
        <v>3</v>
      </c>
      <c r="N165" s="10">
        <f>ROUND('00_TONG_HOP_BAO_GIA'!Q13, 0)</f>
        <v/>
      </c>
      <c r="O165" s="10">
        <f>ROUNDUP(N165*M165, -2)</f>
        <v/>
      </c>
      <c r="P165" s="9" t="inlineStr">
        <is>
          <t>Cửa nan bầu dục 1 lớp kèm van OBD</t>
        </is>
      </c>
    </row>
    <row r="166">
      <c r="A166" s="8" t="n"/>
      <c r="B166" s="9" t="inlineStr">
        <is>
          <t>Miệng gió FAG 300x200 C/W OBD kèm hộp gió</t>
        </is>
      </c>
      <c r="C166" s="8" t="inlineStr">
        <is>
          <t>SDG+O</t>
        </is>
      </c>
      <c r="D166" s="8" t="inlineStr">
        <is>
          <t>SWIND</t>
        </is>
      </c>
      <c r="E166" s="8" t="n">
        <v>300</v>
      </c>
      <c r="F166" s="8" t="n">
        <v>200</v>
      </c>
      <c r="G166" s="8" t="n">
        <v>250</v>
      </c>
      <c r="H166" s="8" t="n">
        <v>150</v>
      </c>
      <c r="I166" s="8" t="n"/>
      <c r="J166" s="8" t="n"/>
      <c r="K166" s="8" t="n"/>
      <c r="L166" s="8" t="inlineStr">
        <is>
          <t>cái</t>
        </is>
      </c>
      <c r="M166" s="10" t="n">
        <v>4</v>
      </c>
      <c r="N166" s="10">
        <f>ROUND('00_TONG_HOP_BAO_GIA'!Q14, 0)</f>
        <v/>
      </c>
      <c r="O166" s="10">
        <f>ROUNDUP(N166*M166, -2)</f>
        <v/>
      </c>
      <c r="P166" s="9" t="inlineStr">
        <is>
          <t>Cửa nan bầu dục 1 lớp kèm van OBD</t>
        </is>
      </c>
    </row>
    <row r="167">
      <c r="A167" s="8" t="n"/>
      <c r="B167" s="9" t="inlineStr">
        <is>
          <t>Miệng gió FAG 200x200 C/W OBD kèm hộp gió</t>
        </is>
      </c>
      <c r="C167" s="8" t="inlineStr">
        <is>
          <t>SDG+O</t>
        </is>
      </c>
      <c r="D167" s="8" t="inlineStr">
        <is>
          <t>SWIND</t>
        </is>
      </c>
      <c r="E167" s="8" t="n">
        <v>200</v>
      </c>
      <c r="F167" s="8" t="n">
        <v>200</v>
      </c>
      <c r="G167" s="8" t="n">
        <v>150</v>
      </c>
      <c r="H167" s="8" t="n">
        <v>150</v>
      </c>
      <c r="I167" s="8" t="n"/>
      <c r="J167" s="8" t="n"/>
      <c r="K167" s="8" t="n"/>
      <c r="L167" s="8" t="inlineStr">
        <is>
          <t>cái</t>
        </is>
      </c>
      <c r="M167" s="10" t="n">
        <v>1</v>
      </c>
      <c r="N167" s="10">
        <f>ROUND('00_TONG_HOP_BAO_GIA'!Q15, 0)</f>
        <v/>
      </c>
      <c r="O167" s="10">
        <f>ROUNDUP(N167*M167, -2)</f>
        <v/>
      </c>
      <c r="P167" s="9" t="inlineStr">
        <is>
          <t>Cửa nan bầu dục 1 lớp kèm van OBD</t>
        </is>
      </c>
    </row>
    <row r="168">
      <c r="A168" s="8" t="n"/>
      <c r="B168" s="9" t="inlineStr">
        <is>
          <t>Miệng gió FAG 400x250 C/W OBD kèm hộp gió</t>
        </is>
      </c>
      <c r="C168" s="8" t="inlineStr">
        <is>
          <t>SDG+O</t>
        </is>
      </c>
      <c r="D168" s="8" t="inlineStr">
        <is>
          <t>SWIND</t>
        </is>
      </c>
      <c r="E168" s="8" t="n">
        <v>400</v>
      </c>
      <c r="F168" s="8" t="n">
        <v>250</v>
      </c>
      <c r="G168" s="8" t="n">
        <v>350</v>
      </c>
      <c r="H168" s="8" t="n">
        <v>200</v>
      </c>
      <c r="I168" s="8" t="n"/>
      <c r="J168" s="8" t="n"/>
      <c r="K168" s="8" t="n"/>
      <c r="L168" s="8" t="inlineStr">
        <is>
          <t>cái</t>
        </is>
      </c>
      <c r="M168" s="10" t="n">
        <v>4</v>
      </c>
      <c r="N168" s="10">
        <f>ROUND('00_TONG_HOP_BAO_GIA'!Q16, 0)</f>
        <v/>
      </c>
      <c r="O168" s="10">
        <f>ROUNDUP(N168*M168, -2)</f>
        <v/>
      </c>
      <c r="P168" s="9" t="inlineStr">
        <is>
          <t>Cửa nan bầu dục 1 lớp kèm van OBD</t>
        </is>
      </c>
    </row>
    <row r="169">
      <c r="A169" s="8" t="n"/>
      <c r="B169" s="9" t="inlineStr">
        <is>
          <t>Miệng gió FAG 600x300 C/W OBD kèm hộp gió</t>
        </is>
      </c>
      <c r="C169" s="8" t="inlineStr">
        <is>
          <t>SDG+O</t>
        </is>
      </c>
      <c r="D169" s="8" t="inlineStr">
        <is>
          <t>SWIND</t>
        </is>
      </c>
      <c r="E169" s="8" t="n">
        <v>600</v>
      </c>
      <c r="F169" s="8" t="n">
        <v>300</v>
      </c>
      <c r="G169" s="8" t="n">
        <v>550</v>
      </c>
      <c r="H169" s="8" t="n">
        <v>250</v>
      </c>
      <c r="I169" s="8" t="n"/>
      <c r="J169" s="8" t="n"/>
      <c r="K169" s="8" t="n"/>
      <c r="L169" s="8" t="inlineStr">
        <is>
          <t>cái</t>
        </is>
      </c>
      <c r="M169" s="10" t="n">
        <v>3</v>
      </c>
      <c r="N169" s="10">
        <f>ROUND('00_TONG_HOP_BAO_GIA'!Q17, 0)</f>
        <v/>
      </c>
      <c r="O169" s="10">
        <f>ROUNDUP(N169*M169, -2)</f>
        <v/>
      </c>
      <c r="P169" s="9" t="inlineStr">
        <is>
          <t>Cửa nan bầu dục 1 lớp kèm van OBD</t>
        </is>
      </c>
    </row>
    <row r="170">
      <c r="A170" s="6" t="n"/>
      <c r="B170" s="7" t="inlineStr">
        <is>
          <t>g. Cửa gió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8" t="n"/>
      <c r="B171" s="9" t="inlineStr">
        <is>
          <t>Cửa gió FAL 200x200 kèm hộp gió</t>
        </is>
      </c>
      <c r="C171" s="8" t="inlineStr">
        <is>
          <t>WL</t>
        </is>
      </c>
      <c r="D171" s="8" t="inlineStr">
        <is>
          <t>SWIND</t>
        </is>
      </c>
      <c r="E171" s="8" t="n">
        <v>200</v>
      </c>
      <c r="F171" s="8" t="n">
        <v>200</v>
      </c>
      <c r="G171" s="8" t="n">
        <v>150</v>
      </c>
      <c r="H171" s="8" t="n">
        <v>150</v>
      </c>
      <c r="I171" s="8" t="n"/>
      <c r="J171" s="8" t="n"/>
      <c r="K171" s="8" t="n"/>
      <c r="L171" s="8" t="inlineStr">
        <is>
          <t>cái</t>
        </is>
      </c>
      <c r="M171" s="10" t="n">
        <v>1</v>
      </c>
      <c r="N171" s="10">
        <f>ROUND('00_TONG_HOP_BAO_GIA'!Q18, 0)</f>
        <v/>
      </c>
      <c r="O171" s="10">
        <f>ROUNDUP(N171*M171, -2)</f>
        <v/>
      </c>
      <c r="P171" s="9" t="inlineStr">
        <is>
          <t>Louver nan Z ngoài trời</t>
        </is>
      </c>
    </row>
    <row r="172">
      <c r="A172" s="8" t="n"/>
      <c r="B172" s="9" t="inlineStr">
        <is>
          <t>Cửa gió FAL 300x200 kèm hộp gió</t>
        </is>
      </c>
      <c r="C172" s="8" t="inlineStr">
        <is>
          <t>WL</t>
        </is>
      </c>
      <c r="D172" s="8" t="inlineStr">
        <is>
          <t>SWIND</t>
        </is>
      </c>
      <c r="E172" s="8" t="n">
        <v>300</v>
      </c>
      <c r="F172" s="8" t="n">
        <v>200</v>
      </c>
      <c r="G172" s="8" t="n">
        <v>250</v>
      </c>
      <c r="H172" s="8" t="n">
        <v>150</v>
      </c>
      <c r="I172" s="8" t="n"/>
      <c r="J172" s="8" t="n"/>
      <c r="K172" s="8" t="n"/>
      <c r="L172" s="8" t="inlineStr">
        <is>
          <t>cái</t>
        </is>
      </c>
      <c r="M172" s="10" t="n">
        <v>2</v>
      </c>
      <c r="N172" s="10">
        <f>ROUND('00_TONG_HOP_BAO_GIA'!Q19, 0)</f>
        <v/>
      </c>
      <c r="O172" s="10">
        <f>ROUNDUP(N172*M172, -2)</f>
        <v/>
      </c>
      <c r="P172" s="9" t="inlineStr">
        <is>
          <t>Louver nan Z ngoài trời</t>
        </is>
      </c>
    </row>
    <row r="173">
      <c r="A173" s="8" t="n"/>
      <c r="B173" s="9" t="inlineStr">
        <is>
          <t>Cửa gió FAL 1600x600 kèm hộp gió</t>
        </is>
      </c>
      <c r="C173" s="8" t="inlineStr">
        <is>
          <t>WL</t>
        </is>
      </c>
      <c r="D173" s="8" t="inlineStr">
        <is>
          <t>SWIND</t>
        </is>
      </c>
      <c r="E173" s="8" t="n">
        <v>1600</v>
      </c>
      <c r="F173" s="8" t="n">
        <v>600</v>
      </c>
      <c r="G173" s="8" t="n">
        <v>1550</v>
      </c>
      <c r="H173" s="8" t="n">
        <v>550</v>
      </c>
      <c r="I173" s="8" t="n"/>
      <c r="J173" s="8" t="n"/>
      <c r="K173" s="8" t="n"/>
      <c r="L173" s="8" t="inlineStr">
        <is>
          <t>cái</t>
        </is>
      </c>
      <c r="M173" s="10" t="n">
        <v>1</v>
      </c>
      <c r="N173" s="10">
        <f>ROUND('00_TONG_HOP_BAO_GIA'!Q20, 0)</f>
        <v/>
      </c>
      <c r="O173" s="10">
        <f>ROUNDUP(N173*M173, -2)</f>
        <v/>
      </c>
      <c r="P173" s="9" t="inlineStr">
        <is>
          <t>Louver nan Z ngoài trời</t>
        </is>
      </c>
    </row>
    <row r="174">
      <c r="A174" s="8" t="n"/>
      <c r="B174" s="9" t="inlineStr">
        <is>
          <t>Cửa gió FAL 1200x700+LCCT</t>
        </is>
      </c>
      <c r="C174" s="8" t="inlineStr">
        <is>
          <t>WL+N</t>
        </is>
      </c>
      <c r="D174" s="8" t="inlineStr">
        <is>
          <t>SWIND</t>
        </is>
      </c>
      <c r="E174" s="8" t="n">
        <v>1200</v>
      </c>
      <c r="F174" s="8" t="n">
        <v>700</v>
      </c>
      <c r="G174" s="8" t="n">
        <v>1150</v>
      </c>
      <c r="H174" s="8" t="n">
        <v>650</v>
      </c>
      <c r="I174" s="8" t="n"/>
      <c r="J174" s="8" t="n"/>
      <c r="K174" s="8" t="n"/>
      <c r="L174" s="8" t="inlineStr">
        <is>
          <t>cái</t>
        </is>
      </c>
      <c r="M174" s="10" t="n">
        <v>1</v>
      </c>
      <c r="N174" s="10">
        <f>ROUND('00_TONG_HOP_BAO_GIA'!Q21, 0)</f>
        <v/>
      </c>
      <c r="O174" s="10">
        <f>ROUNDUP(N174*M174, -2)</f>
        <v/>
      </c>
      <c r="P174" s="9" t="inlineStr">
        <is>
          <t>Louver nan Z ngoài trời kèm lưới chắn côn trùng Inox 304</t>
        </is>
      </c>
    </row>
    <row r="175">
      <c r="A175" s="8" t="n"/>
      <c r="B175" s="9" t="inlineStr">
        <is>
          <t>Cửa gió FAL 2000x1200+LCCT</t>
        </is>
      </c>
      <c r="C175" s="8" t="inlineStr">
        <is>
          <t>WL+N</t>
        </is>
      </c>
      <c r="D175" s="8" t="inlineStr">
        <is>
          <t>SWIND</t>
        </is>
      </c>
      <c r="E175" s="8" t="n">
        <v>2000</v>
      </c>
      <c r="F175" s="8" t="n">
        <v>1200</v>
      </c>
      <c r="G175" s="8" t="n">
        <v>1950</v>
      </c>
      <c r="H175" s="8" t="n">
        <v>1150</v>
      </c>
      <c r="I175" s="8" t="n"/>
      <c r="J175" s="8" t="n"/>
      <c r="K175" s="8" t="n"/>
      <c r="L175" s="8" t="inlineStr">
        <is>
          <t>cái</t>
        </is>
      </c>
      <c r="M175" s="10" t="n">
        <v>1</v>
      </c>
      <c r="N175" s="10">
        <f>ROUND('00_TONG_HOP_BAO_GIA'!Q22, 0)</f>
        <v/>
      </c>
      <c r="O175" s="10">
        <f>ROUNDUP(N175*M175, -2)</f>
        <v/>
      </c>
      <c r="P175" s="9" t="inlineStr">
        <is>
          <t>Louver nan Z ngoài trời kèm lưới chắn côn trùng Inox 304</t>
        </is>
      </c>
    </row>
    <row r="176">
      <c r="A176" s="8" t="n"/>
      <c r="B176" s="9" t="inlineStr">
        <is>
          <t>Cửa gió FAL 500x400+LCCT</t>
        </is>
      </c>
      <c r="C176" s="8" t="inlineStr">
        <is>
          <t>WL+N</t>
        </is>
      </c>
      <c r="D176" s="8" t="inlineStr">
        <is>
          <t>SWIND</t>
        </is>
      </c>
      <c r="E176" s="8" t="n">
        <v>500</v>
      </c>
      <c r="F176" s="8" t="n">
        <v>400</v>
      </c>
      <c r="G176" s="8" t="n">
        <v>450</v>
      </c>
      <c r="H176" s="8" t="n">
        <v>350</v>
      </c>
      <c r="I176" s="8" t="n"/>
      <c r="J176" s="8" t="n"/>
      <c r="K176" s="8" t="n"/>
      <c r="L176" s="8" t="inlineStr">
        <is>
          <t>cái</t>
        </is>
      </c>
      <c r="M176" s="10" t="n">
        <v>1</v>
      </c>
      <c r="N176" s="10">
        <f>ROUND('00_TONG_HOP_BAO_GIA'!Q23, 0)</f>
        <v/>
      </c>
      <c r="O176" s="10">
        <f>ROUNDUP(N176*M176, -2)</f>
        <v/>
      </c>
      <c r="P176" s="9" t="inlineStr">
        <is>
          <t>Louver nan Z ngoài trời kèm lưới chắn côn trùng Inox 304</t>
        </is>
      </c>
    </row>
    <row r="177">
      <c r="A177" s="8" t="n"/>
      <c r="B177" s="9" t="inlineStr">
        <is>
          <t>Cửa gió FAL 2000x1200+LCCT</t>
        </is>
      </c>
      <c r="C177" s="8" t="inlineStr">
        <is>
          <t>WL+N</t>
        </is>
      </c>
      <c r="D177" s="8" t="inlineStr">
        <is>
          <t>SWIND</t>
        </is>
      </c>
      <c r="E177" s="8" t="n">
        <v>2000</v>
      </c>
      <c r="F177" s="8" t="n">
        <v>1200</v>
      </c>
      <c r="G177" s="8" t="n">
        <v>1950</v>
      </c>
      <c r="H177" s="8" t="n">
        <v>1150</v>
      </c>
      <c r="I177" s="8" t="n"/>
      <c r="J177" s="8" t="n"/>
      <c r="K177" s="8" t="n"/>
      <c r="L177" s="8" t="inlineStr">
        <is>
          <t>cái</t>
        </is>
      </c>
      <c r="M177" s="10" t="n">
        <v>1</v>
      </c>
      <c r="N177" s="10">
        <f>ROUND('00_TONG_HOP_BAO_GIA'!Q24, 0)</f>
        <v/>
      </c>
      <c r="O177" s="10">
        <f>ROUNDUP(N177*M177, -2)</f>
        <v/>
      </c>
      <c r="P177" s="9" t="inlineStr">
        <is>
          <t>Louver nan Z ngoài trời kèm lưới chắn côn trùng Inox 304</t>
        </is>
      </c>
    </row>
    <row r="178">
      <c r="A178" s="8" t="n"/>
      <c r="B178" s="9" t="inlineStr">
        <is>
          <t>Cửa gió FAL 3900x4500+LCCT</t>
        </is>
      </c>
      <c r="C178" s="8" t="inlineStr">
        <is>
          <t>WL+N</t>
        </is>
      </c>
      <c r="D178" s="8" t="inlineStr">
        <is>
          <t>SWIND</t>
        </is>
      </c>
      <c r="E178" s="8" t="n">
        <v>3900</v>
      </c>
      <c r="F178" s="8" t="n">
        <v>4500</v>
      </c>
      <c r="G178" s="8" t="n">
        <v>3850</v>
      </c>
      <c r="H178" s="8" t="n">
        <v>4450</v>
      </c>
      <c r="I178" s="8" t="n"/>
      <c r="J178" s="8" t="n"/>
      <c r="K178" s="8" t="n"/>
      <c r="L178" s="8" t="inlineStr">
        <is>
          <t>cái</t>
        </is>
      </c>
      <c r="M178" s="10" t="n">
        <v>1</v>
      </c>
      <c r="N178" s="10">
        <f>ROUND('00_TONG_HOP_BAO_GIA'!Q25, 0)</f>
        <v/>
      </c>
      <c r="O178" s="10">
        <f>ROUNDUP(N178*M178, -2)</f>
        <v/>
      </c>
      <c r="P178" s="9" t="inlineStr">
        <is>
          <t>Louver nan Z ngoài trời kèm lưới chắn côn trùng Inox 304</t>
        </is>
      </c>
    </row>
    <row r="179">
      <c r="A179" s="8" t="n"/>
      <c r="B179" s="9" t="inlineStr">
        <is>
          <t>Cửa gió FAL 500x400+LCCT+G4 kèm hộp gió</t>
        </is>
      </c>
      <c r="C179" s="8" t="inlineStr">
        <is>
          <t>WL+N</t>
        </is>
      </c>
      <c r="D179" s="8" t="inlineStr">
        <is>
          <t>SWIND</t>
        </is>
      </c>
      <c r="E179" s="8" t="n">
        <v>500</v>
      </c>
      <c r="F179" s="8" t="n">
        <v>400</v>
      </c>
      <c r="G179" s="8" t="n">
        <v>450</v>
      </c>
      <c r="H179" s="8" t="n">
        <v>350</v>
      </c>
      <c r="I179" s="8" t="n"/>
      <c r="J179" s="8" t="n"/>
      <c r="K179" s="8" t="n"/>
      <c r="L179" s="8" t="inlineStr">
        <is>
          <t>cái</t>
        </is>
      </c>
      <c r="M179" s="10" t="n">
        <v>2</v>
      </c>
      <c r="N179" s="10">
        <f>ROUND('00_TONG_HOP_BAO_GIA'!Q26, 0)</f>
        <v/>
      </c>
      <c r="O179" s="10">
        <f>ROUNDUP(N179*M179, -2)</f>
        <v/>
      </c>
      <c r="P179" s="9" t="inlineStr">
        <is>
          <t>Louver nan Z ngoài trời kèm lưới chắn côn trùng Inox 304 kèm phin lọc bụi G4</t>
        </is>
      </c>
    </row>
    <row r="180">
      <c r="A180" s="8" t="n"/>
      <c r="B180" s="9" t="inlineStr">
        <is>
          <t>Cửa gió FAL 900x400+LCCT+G4 kèm hộp gió</t>
        </is>
      </c>
      <c r="C180" s="8" t="inlineStr">
        <is>
          <t>WL+N</t>
        </is>
      </c>
      <c r="D180" s="8" t="inlineStr">
        <is>
          <t>SWIND</t>
        </is>
      </c>
      <c r="E180" s="8" t="n">
        <v>900</v>
      </c>
      <c r="F180" s="8" t="n">
        <v>400</v>
      </c>
      <c r="G180" s="8" t="n">
        <v>850</v>
      </c>
      <c r="H180" s="8" t="n">
        <v>350</v>
      </c>
      <c r="I180" s="8" t="n"/>
      <c r="J180" s="8" t="n"/>
      <c r="K180" s="8" t="n"/>
      <c r="L180" s="8" t="inlineStr">
        <is>
          <t>cái</t>
        </is>
      </c>
      <c r="M180" s="10" t="n">
        <v>1</v>
      </c>
      <c r="N180" s="10">
        <f>ROUND('00_TONG_HOP_BAO_GIA'!Q27, 0)</f>
        <v/>
      </c>
      <c r="O180" s="10">
        <f>ROUNDUP(N180*M180, -2)</f>
        <v/>
      </c>
      <c r="P180" s="9" t="inlineStr">
        <is>
          <t>Louver nan Z ngoài trời kèm lưới chắn côn trùng Inox 304 kèm phin lọc bụi G4</t>
        </is>
      </c>
    </row>
    <row r="181">
      <c r="A181" s="8" t="n"/>
      <c r="B181" s="9" t="inlineStr">
        <is>
          <t>Cửa gió FAL 800x400+LCCT+G4 kèm hộp gió</t>
        </is>
      </c>
      <c r="C181" s="8" t="inlineStr">
        <is>
          <t>WL+N</t>
        </is>
      </c>
      <c r="D181" s="8" t="inlineStr">
        <is>
          <t>SWIND</t>
        </is>
      </c>
      <c r="E181" s="8" t="n">
        <v>800</v>
      </c>
      <c r="F181" s="8" t="n">
        <v>400</v>
      </c>
      <c r="G181" s="8" t="n">
        <v>750</v>
      </c>
      <c r="H181" s="8" t="n">
        <v>350</v>
      </c>
      <c r="I181" s="8" t="n"/>
      <c r="J181" s="8" t="n"/>
      <c r="K181" s="8" t="n"/>
      <c r="L181" s="8" t="inlineStr">
        <is>
          <t>cái</t>
        </is>
      </c>
      <c r="M181" s="10" t="n">
        <v>1</v>
      </c>
      <c r="N181" s="10">
        <f>ROUND('00_TONG_HOP_BAO_GIA'!Q28, 0)</f>
        <v/>
      </c>
      <c r="O181" s="10">
        <f>ROUNDUP(N181*M181, -2)</f>
        <v/>
      </c>
      <c r="P181" s="9" t="inlineStr">
        <is>
          <t>Louver nan Z ngoài trời kèm lưới chắn côn trùng Inox 304 kèm phin lọc bụi G4</t>
        </is>
      </c>
    </row>
    <row r="182">
      <c r="A182" s="8" t="n"/>
      <c r="B182" s="9" t="inlineStr">
        <is>
          <t>Cửa gió FAL 1600x500+LCCT+G4 kèm hộp gió</t>
        </is>
      </c>
      <c r="C182" s="8" t="inlineStr">
        <is>
          <t>WL+N</t>
        </is>
      </c>
      <c r="D182" s="8" t="inlineStr">
        <is>
          <t>SWIND</t>
        </is>
      </c>
      <c r="E182" s="8" t="n">
        <v>1600</v>
      </c>
      <c r="F182" s="8" t="n">
        <v>500</v>
      </c>
      <c r="G182" s="8" t="n">
        <v>1550</v>
      </c>
      <c r="H182" s="8" t="n">
        <v>450</v>
      </c>
      <c r="I182" s="8" t="n"/>
      <c r="J182" s="8" t="n"/>
      <c r="K182" s="8" t="n"/>
      <c r="L182" s="8" t="inlineStr">
        <is>
          <t>cái</t>
        </is>
      </c>
      <c r="M182" s="10" t="n">
        <v>1</v>
      </c>
      <c r="N182" s="10">
        <f>ROUND('00_TONG_HOP_BAO_GIA'!Q29, 0)</f>
        <v/>
      </c>
      <c r="O182" s="10">
        <f>ROUNDUP(N182*M182, -2)</f>
        <v/>
      </c>
      <c r="P182" s="9" t="inlineStr">
        <is>
          <t>Louver nan Z ngoài trời kèm lưới chắn côn trùng Inox 304 kèm phin lọc bụi G4</t>
        </is>
      </c>
    </row>
    <row r="183">
      <c r="A183" s="8" t="n"/>
      <c r="B183" s="9" t="inlineStr">
        <is>
          <t>Cửa gió EAL 500x400+LCCT kèm hộp gió</t>
        </is>
      </c>
      <c r="C183" s="8" t="inlineStr">
        <is>
          <t>WL+N</t>
        </is>
      </c>
      <c r="D183" s="8" t="inlineStr">
        <is>
          <t>SWIND</t>
        </is>
      </c>
      <c r="E183" s="8" t="n">
        <v>500</v>
      </c>
      <c r="F183" s="8" t="n">
        <v>400</v>
      </c>
      <c r="G183" s="8" t="n">
        <v>450</v>
      </c>
      <c r="H183" s="8" t="n">
        <v>350</v>
      </c>
      <c r="I183" s="8" t="n"/>
      <c r="J183" s="8" t="n"/>
      <c r="K183" s="8" t="n"/>
      <c r="L183" s="8" t="inlineStr">
        <is>
          <t>cái</t>
        </is>
      </c>
      <c r="M183" s="10" t="n">
        <v>2</v>
      </c>
      <c r="N183" s="10">
        <f>ROUND('00_TONG_HOP_BAO_GIA'!Q30, 0)</f>
        <v/>
      </c>
      <c r="O183" s="10">
        <f>ROUNDUP(N183*M183, -2)</f>
        <v/>
      </c>
      <c r="P183" s="9" t="inlineStr">
        <is>
          <t>Louver nan Z ngoài trời kèm lưới chắn côn trùng Inox 304</t>
        </is>
      </c>
    </row>
    <row r="184">
      <c r="A184" s="8" t="n"/>
      <c r="B184" s="9" t="inlineStr">
        <is>
          <t>Cửa gió EAL 1600x500+LCCT kèm hộp gió</t>
        </is>
      </c>
      <c r="C184" s="8" t="inlineStr">
        <is>
          <t>WL+N</t>
        </is>
      </c>
      <c r="D184" s="8" t="inlineStr">
        <is>
          <t>SWIND</t>
        </is>
      </c>
      <c r="E184" s="8" t="n">
        <v>1600</v>
      </c>
      <c r="F184" s="8" t="n">
        <v>500</v>
      </c>
      <c r="G184" s="8" t="n">
        <v>1550</v>
      </c>
      <c r="H184" s="8" t="n">
        <v>450</v>
      </c>
      <c r="I184" s="8" t="n"/>
      <c r="J184" s="8" t="n"/>
      <c r="K184" s="8" t="n"/>
      <c r="L184" s="8" t="inlineStr">
        <is>
          <t>cái</t>
        </is>
      </c>
      <c r="M184" s="10" t="n">
        <v>1</v>
      </c>
      <c r="N184" s="10">
        <f>ROUND('00_TONG_HOP_BAO_GIA'!Q31, 0)</f>
        <v/>
      </c>
      <c r="O184" s="10">
        <f>ROUNDUP(N184*M184, -2)</f>
        <v/>
      </c>
      <c r="P184" s="9" t="inlineStr">
        <is>
          <t>Louver nan Z ngoài trời kèm lưới chắn côn trùng Inox 304</t>
        </is>
      </c>
    </row>
    <row r="185">
      <c r="A185" s="8" t="n"/>
      <c r="B185" s="9" t="inlineStr">
        <is>
          <t>Cửa gió EAL 800x400+LCCT kèm hộp gió</t>
        </is>
      </c>
      <c r="C185" s="8" t="inlineStr">
        <is>
          <t>WL+N</t>
        </is>
      </c>
      <c r="D185" s="8" t="inlineStr">
        <is>
          <t>SWIND</t>
        </is>
      </c>
      <c r="E185" s="8" t="n">
        <v>800</v>
      </c>
      <c r="F185" s="8" t="n">
        <v>400</v>
      </c>
      <c r="G185" s="8" t="n">
        <v>750</v>
      </c>
      <c r="H185" s="8" t="n">
        <v>350</v>
      </c>
      <c r="I185" s="8" t="n"/>
      <c r="J185" s="8" t="n"/>
      <c r="K185" s="8" t="n"/>
      <c r="L185" s="8" t="inlineStr">
        <is>
          <t>cái</t>
        </is>
      </c>
      <c r="M185" s="10" t="n">
        <v>1</v>
      </c>
      <c r="N185" s="10">
        <f>ROUND('00_TONG_HOP_BAO_GIA'!Q32, 0)</f>
        <v/>
      </c>
      <c r="O185" s="10">
        <f>ROUNDUP(N185*M185, -2)</f>
        <v/>
      </c>
      <c r="P185" s="9" t="inlineStr">
        <is>
          <t>Louver nan Z ngoài trời kèm lưới chắn côn trùng Inox 304</t>
        </is>
      </c>
    </row>
    <row r="186">
      <c r="A186" s="8" t="n"/>
      <c r="B186" s="9" t="inlineStr">
        <is>
          <t>Cửa gió EAL 1800x450+LCCT kèm hộp gió</t>
        </is>
      </c>
      <c r="C186" s="8" t="inlineStr">
        <is>
          <t>WL+N</t>
        </is>
      </c>
      <c r="D186" s="8" t="inlineStr">
        <is>
          <t>SWIND</t>
        </is>
      </c>
      <c r="E186" s="8" t="n">
        <v>1800</v>
      </c>
      <c r="F186" s="8" t="n">
        <v>450</v>
      </c>
      <c r="G186" s="8" t="n">
        <v>1750</v>
      </c>
      <c r="H186" s="8" t="n">
        <v>400</v>
      </c>
      <c r="I186" s="8" t="n"/>
      <c r="J186" s="8" t="n"/>
      <c r="K186" s="8" t="n"/>
      <c r="L186" s="8" t="inlineStr">
        <is>
          <t>cái</t>
        </is>
      </c>
      <c r="M186" s="10" t="n">
        <v>1</v>
      </c>
      <c r="N186" s="10">
        <f>ROUND('00_TONG_HOP_BAO_GIA'!Q33, 0)</f>
        <v/>
      </c>
      <c r="O186" s="10">
        <f>ROUNDUP(N186*M186, -2)</f>
        <v/>
      </c>
      <c r="P186" s="9" t="inlineStr">
        <is>
          <t>Louver nan Z ngoài trời kèm lưới chắn côn trùng Inox 304</t>
        </is>
      </c>
    </row>
    <row r="187">
      <c r="A187" s="6" t="n"/>
      <c r="B187" s="7" t="inlineStr">
        <is>
          <t>h. Van gió</t>
        </is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8" t="n"/>
      <c r="B188" s="9" t="inlineStr">
        <is>
          <t>Van gió MFD 200x200</t>
        </is>
      </c>
      <c r="C188" s="8" t="inlineStr">
        <is>
          <t>SWIND-1.03-MFD-EI90</t>
        </is>
      </c>
      <c r="D188" s="8" t="inlineStr">
        <is>
          <t>SWIND</t>
        </is>
      </c>
      <c r="E188" s="8" t="n">
        <v>200</v>
      </c>
      <c r="F188" s="8" t="n">
        <v>200</v>
      </c>
      <c r="G188" s="8" t="n"/>
      <c r="H188" s="8" t="n"/>
      <c r="I188" s="8" t="n"/>
      <c r="J188" s="8" t="n">
        <v>200</v>
      </c>
      <c r="K188" s="12" t="n">
        <v>1.15</v>
      </c>
      <c r="L188" s="8" t="inlineStr">
        <is>
          <t>cái</t>
        </is>
      </c>
      <c r="M188" s="10" t="n">
        <v>35</v>
      </c>
      <c r="N188" s="10">
        <f>ROUND('00_TONG_HOP_BAO_GIA'!Q34, 0)</f>
        <v/>
      </c>
      <c r="O188" s="10">
        <f>ROUNDUP(N188*M188, -2)</f>
        <v/>
      </c>
      <c r="P188" s="9" t="inlineStr">
        <is>
          <t>- Van ngăn cháy động cơ - Tiêu chuẩn EI 90
- 2 đầu bích TDC - Gắn kèm động cơ ON-OFF 5Nm, Hãng KLB
- Sản xuất theo BCTN số 4651/VLXD-TBMT</t>
        </is>
      </c>
    </row>
    <row r="189">
      <c r="A189" s="8" t="n"/>
      <c r="B189" s="9" t="inlineStr">
        <is>
          <t>Van gió MFD 300x200</t>
        </is>
      </c>
      <c r="C189" s="8" t="inlineStr">
        <is>
          <t>SWIND-1.03-MFD-EI90</t>
        </is>
      </c>
      <c r="D189" s="8" t="inlineStr">
        <is>
          <t>SWIND</t>
        </is>
      </c>
      <c r="E189" s="8" t="n">
        <v>300</v>
      </c>
      <c r="F189" s="8" t="n">
        <v>200</v>
      </c>
      <c r="G189" s="8" t="n"/>
      <c r="H189" s="8" t="n"/>
      <c r="I189" s="8" t="n"/>
      <c r="J189" s="8" t="n">
        <v>200</v>
      </c>
      <c r="K189" s="12" t="n">
        <v>1.15</v>
      </c>
      <c r="L189" s="8" t="inlineStr">
        <is>
          <t>cái</t>
        </is>
      </c>
      <c r="M189" s="10" t="n">
        <v>3</v>
      </c>
      <c r="N189" s="10">
        <f>ROUND('00_TONG_HOP_BAO_GIA'!Q35, 0)</f>
        <v/>
      </c>
      <c r="O189" s="10">
        <f>ROUNDUP(N189*M189, -2)</f>
        <v/>
      </c>
      <c r="P189" s="9" t="inlineStr">
        <is>
          <t>- Van ngăn cháy động cơ - Tiêu chuẩn EI 90
- 2 đầu bích TDC - Gắn kèm động cơ ON-OFF 5Nm, Hãng KLB
- Sản xuất theo BCTN số 4651/VLXD-TBMT</t>
        </is>
      </c>
    </row>
    <row r="190">
      <c r="A190" s="8" t="n"/>
      <c r="B190" s="9" t="inlineStr">
        <is>
          <t>Van gió FD 1200x500</t>
        </is>
      </c>
      <c r="C190" s="8" t="inlineStr">
        <is>
          <t>SWIND-2.01- E-FD-EI120</t>
        </is>
      </c>
      <c r="D190" s="8" t="inlineStr">
        <is>
          <t>SWIND</t>
        </is>
      </c>
      <c r="E190" s="8" t="n">
        <v>1200</v>
      </c>
      <c r="F190" s="8" t="n">
        <v>500</v>
      </c>
      <c r="G190" s="8" t="n"/>
      <c r="H190" s="8" t="n"/>
      <c r="I190" s="8" t="n"/>
      <c r="J190" s="8" t="n">
        <v>200</v>
      </c>
      <c r="K190" s="12" t="n">
        <v>1.15</v>
      </c>
      <c r="L190" s="8" t="inlineStr">
        <is>
          <t>cái</t>
        </is>
      </c>
      <c r="M190" s="10" t="n">
        <v>1</v>
      </c>
      <c r="N190" s="10">
        <f>ROUND('00_TONG_HOP_BAO_GIA'!Q36, 0)</f>
        <v/>
      </c>
      <c r="O190" s="10">
        <f>ROUNDUP(N190*M190, -2)</f>
        <v/>
      </c>
      <c r="P190" s="9" t="inlineStr">
        <is>
          <t>- Van chặn lửa cầu chì - Tiêu chuẩn EI 120
- 2 đầu bích TDC - gắn cầu chì 70-74 độ C
- Sản xuất theo BCTN số: 4761/VLXD-TBMT</t>
        </is>
      </c>
    </row>
    <row r="191">
      <c r="A191" s="8" t="n"/>
      <c r="B191" s="9" t="inlineStr">
        <is>
          <t>Van gió FD 1200x600</t>
        </is>
      </c>
      <c r="C191" s="8" t="inlineStr">
        <is>
          <t>SWIND-2.01- E-FD-EI120</t>
        </is>
      </c>
      <c r="D191" s="8" t="inlineStr">
        <is>
          <t>SWIND</t>
        </is>
      </c>
      <c r="E191" s="8" t="n">
        <v>1200</v>
      </c>
      <c r="F191" s="8" t="n">
        <v>600</v>
      </c>
      <c r="G191" s="8" t="n"/>
      <c r="H191" s="8" t="n"/>
      <c r="I191" s="8" t="n"/>
      <c r="J191" s="8" t="n">
        <v>200</v>
      </c>
      <c r="K191" s="12" t="n">
        <v>1.15</v>
      </c>
      <c r="L191" s="8" t="inlineStr">
        <is>
          <t>cái</t>
        </is>
      </c>
      <c r="M191" s="10" t="n">
        <v>1</v>
      </c>
      <c r="N191" s="10">
        <f>ROUND('00_TONG_HOP_BAO_GIA'!Q37, 0)</f>
        <v/>
      </c>
      <c r="O191" s="10">
        <f>ROUNDUP(N191*M191, -2)</f>
        <v/>
      </c>
      <c r="P191" s="9" t="inlineStr">
        <is>
          <t>- Van chặn lửa cầu chì - Tiêu chuẩn EI 120
- 2 đầu bích TDC - gắn cầu chì 70-74 độ C
- Sản xuất theo BCTN số: 4761/VLXD-TBMT</t>
        </is>
      </c>
    </row>
    <row r="192">
      <c r="A192" s="8" t="n"/>
      <c r="B192" s="9" t="inlineStr">
        <is>
          <t>Van gió FD 600x300</t>
        </is>
      </c>
      <c r="C192" s="8" t="inlineStr">
        <is>
          <t>SWIND-2.01- E-FD-EI120</t>
        </is>
      </c>
      <c r="D192" s="8" t="inlineStr">
        <is>
          <t>SWIND</t>
        </is>
      </c>
      <c r="E192" s="8" t="n">
        <v>600</v>
      </c>
      <c r="F192" s="8" t="n">
        <v>300</v>
      </c>
      <c r="G192" s="8" t="n"/>
      <c r="H192" s="8" t="n"/>
      <c r="I192" s="8" t="n"/>
      <c r="J192" s="8" t="n">
        <v>200</v>
      </c>
      <c r="K192" s="12" t="n">
        <v>1.15</v>
      </c>
      <c r="L192" s="8" t="inlineStr">
        <is>
          <t>cái</t>
        </is>
      </c>
      <c r="M192" s="10" t="n">
        <v>2</v>
      </c>
      <c r="N192" s="10">
        <f>ROUND('00_TONG_HOP_BAO_GIA'!Q38, 0)</f>
        <v/>
      </c>
      <c r="O192" s="10">
        <f>ROUNDUP(N192*M192, -2)</f>
        <v/>
      </c>
      <c r="P192" s="9" t="inlineStr">
        <is>
          <t>- Van chặn lửa cầu chì - Tiêu chuẩn EI 120
- 2 đầu bích TDC - gắn cầu chì 70-74 độ C
- Sản xuất theo BCTN số: 4761/VLXD-TBMT</t>
        </is>
      </c>
    </row>
    <row r="193">
      <c r="A193" s="8" t="n"/>
      <c r="B193" s="9" t="inlineStr">
        <is>
          <t>Van gió FD 350x250</t>
        </is>
      </c>
      <c r="C193" s="8" t="inlineStr">
        <is>
          <t>SWIND-2.01- E-FD-EI120</t>
        </is>
      </c>
      <c r="D193" s="8" t="inlineStr">
        <is>
          <t>SWIND</t>
        </is>
      </c>
      <c r="E193" s="8" t="n">
        <v>350</v>
      </c>
      <c r="F193" s="8" t="n">
        <v>250</v>
      </c>
      <c r="G193" s="8" t="n"/>
      <c r="H193" s="8" t="n"/>
      <c r="I193" s="8" t="n"/>
      <c r="J193" s="8" t="n">
        <v>200</v>
      </c>
      <c r="K193" s="12" t="n">
        <v>1.15</v>
      </c>
      <c r="L193" s="8" t="inlineStr">
        <is>
          <t>cái</t>
        </is>
      </c>
      <c r="M193" s="10" t="n">
        <v>2</v>
      </c>
      <c r="N193" s="10">
        <f>ROUND('00_TONG_HOP_BAO_GIA'!Q39, 0)</f>
        <v/>
      </c>
      <c r="O193" s="10">
        <f>ROUNDUP(N193*M193, -2)</f>
        <v/>
      </c>
      <c r="P193" s="9" t="inlineStr">
        <is>
          <t>- Van chặn lửa cầu chì - Tiêu chuẩn EI 120
- 2 đầu bích TDC - gắn cầu chì 70-74 độ C
- Sản xuất theo BCTN số: 4761/VLXD-TBMT</t>
        </is>
      </c>
    </row>
    <row r="194">
      <c r="A194" s="8" t="n"/>
      <c r="B194" s="9" t="inlineStr">
        <is>
          <t>Van gió MFD 1200x500</t>
        </is>
      </c>
      <c r="C194" s="8" t="inlineStr">
        <is>
          <t>SWIND-1.03-MFD-EI90</t>
        </is>
      </c>
      <c r="D194" s="8" t="inlineStr">
        <is>
          <t>SWIND</t>
        </is>
      </c>
      <c r="E194" s="8" t="n">
        <v>1200</v>
      </c>
      <c r="F194" s="8" t="n">
        <v>500</v>
      </c>
      <c r="G194" s="8" t="n"/>
      <c r="H194" s="8" t="n"/>
      <c r="I194" s="8" t="n"/>
      <c r="J194" s="8" t="n">
        <v>200</v>
      </c>
      <c r="K194" s="12" t="n">
        <v>1.15</v>
      </c>
      <c r="L194" s="8" t="inlineStr">
        <is>
          <t>cái</t>
        </is>
      </c>
      <c r="M194" s="10" t="n">
        <v>1</v>
      </c>
      <c r="N194" s="10">
        <f>ROUND('00_TONG_HOP_BAO_GIA'!Q40, 0)</f>
        <v/>
      </c>
      <c r="O194" s="10">
        <f>ROUNDUP(N194*M194, -2)</f>
        <v/>
      </c>
      <c r="P194" s="9" t="inlineStr">
        <is>
          <t>- Van ngăn cháy động cơ - Tiêu chuẩn EI 90
- 2 đầu bích TDC - Gắn kèm động cơ ON-OFF 5Nm, Hãng KLB
- Sản xuất theo BCTN số 4651/VLXD-TBMT</t>
        </is>
      </c>
    </row>
    <row r="195">
      <c r="A195" s="8" t="n"/>
      <c r="B195" s="9" t="inlineStr">
        <is>
          <t>Van gió MFD 1800x750</t>
        </is>
      </c>
      <c r="C195" s="8" t="inlineStr">
        <is>
          <t>SWIND-1.03-MFD-EI90</t>
        </is>
      </c>
      <c r="D195" s="8" t="inlineStr">
        <is>
          <t>SWIND</t>
        </is>
      </c>
      <c r="E195" s="8" t="n">
        <v>1800</v>
      </c>
      <c r="F195" s="8" t="n">
        <v>750</v>
      </c>
      <c r="G195" s="8" t="n">
        <v>900</v>
      </c>
      <c r="H195" s="8" t="n">
        <v>750</v>
      </c>
      <c r="I195" s="8" t="n">
        <v>2</v>
      </c>
      <c r="J195" s="8" t="n">
        <v>200</v>
      </c>
      <c r="K195" s="12" t="n">
        <v>1.15</v>
      </c>
      <c r="L195" s="8" t="inlineStr">
        <is>
          <t>cái</t>
        </is>
      </c>
      <c r="M195" s="10" t="n">
        <v>1</v>
      </c>
      <c r="N195" s="10">
        <f>ROUND('00_TONG_HOP_BAO_GIA'!Q41, 0)</f>
        <v/>
      </c>
      <c r="O195" s="10">
        <f>ROUNDUP(N195*M195, -2)</f>
        <v/>
      </c>
      <c r="P195" s="9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196">
      <c r="A196" s="8" t="n"/>
      <c r="B196" s="9" t="inlineStr">
        <is>
          <t>Van gió MFD 2000x1200</t>
        </is>
      </c>
      <c r="C196" s="8" t="inlineStr">
        <is>
          <t>SWIND-1.03-MFD-EI90</t>
        </is>
      </c>
      <c r="D196" s="8" t="inlineStr">
        <is>
          <t>SWIND</t>
        </is>
      </c>
      <c r="E196" s="8" t="n">
        <v>2000</v>
      </c>
      <c r="F196" s="8" t="n">
        <v>1200</v>
      </c>
      <c r="G196" s="8" t="n">
        <v>1000</v>
      </c>
      <c r="H196" s="8" t="n">
        <v>600</v>
      </c>
      <c r="I196" s="8" t="n">
        <v>4</v>
      </c>
      <c r="J196" s="8" t="n">
        <v>200</v>
      </c>
      <c r="K196" s="12" t="n">
        <v>1.15</v>
      </c>
      <c r="L196" s="8" t="inlineStr">
        <is>
          <t>cái</t>
        </is>
      </c>
      <c r="M196" s="10" t="n">
        <v>2</v>
      </c>
      <c r="N196" s="10">
        <f>ROUND('00_TONG_HOP_BAO_GIA'!Q42, 0)</f>
        <v/>
      </c>
      <c r="O196" s="10">
        <f>ROUNDUP(N196*M196, -2)</f>
        <v/>
      </c>
      <c r="P196" s="9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197">
      <c r="A197" s="8" t="n"/>
      <c r="B197" s="9" t="inlineStr">
        <is>
          <t>Van gió MFD 200x200</t>
        </is>
      </c>
      <c r="C197" s="8" t="inlineStr">
        <is>
          <t>SWIND-1.03-MFD-EI90</t>
        </is>
      </c>
      <c r="D197" s="8" t="inlineStr">
        <is>
          <t>SWIND</t>
        </is>
      </c>
      <c r="E197" s="8" t="n">
        <v>200</v>
      </c>
      <c r="F197" s="8" t="n">
        <v>200</v>
      </c>
      <c r="G197" s="8" t="n"/>
      <c r="H197" s="8" t="n"/>
      <c r="I197" s="8" t="n"/>
      <c r="J197" s="8" t="n">
        <v>200</v>
      </c>
      <c r="K197" s="12" t="n">
        <v>1.15</v>
      </c>
      <c r="L197" s="8" t="inlineStr">
        <is>
          <t>cái</t>
        </is>
      </c>
      <c r="M197" s="10" t="n">
        <v>1</v>
      </c>
      <c r="N197" s="10">
        <f>ROUND('00_TONG_HOP_BAO_GIA'!Q43, 0)</f>
        <v/>
      </c>
      <c r="O197" s="10">
        <f>ROUNDUP(N197*M197, -2)</f>
        <v/>
      </c>
      <c r="P197" s="9" t="inlineStr">
        <is>
          <t>- Van ngăn cháy động cơ - Tiêu chuẩn EI 90
- 2 đầu bích TDC - Gắn kèm động cơ ON-OFF 5Nm, Hãng KLB
- Sản xuất theo BCTN số 4651/VLXD-TBMT</t>
        </is>
      </c>
    </row>
    <row r="198">
      <c r="A198" s="8" t="n"/>
      <c r="B198" s="9" t="inlineStr">
        <is>
          <t>Van gió MFD 300x200</t>
        </is>
      </c>
      <c r="C198" s="8" t="inlineStr">
        <is>
          <t>SWIND-1.03-MFD-EI90</t>
        </is>
      </c>
      <c r="D198" s="8" t="inlineStr">
        <is>
          <t>SWIND</t>
        </is>
      </c>
      <c r="E198" s="8" t="n">
        <v>300</v>
      </c>
      <c r="F198" s="8" t="n">
        <v>200</v>
      </c>
      <c r="G198" s="8" t="n"/>
      <c r="H198" s="8" t="n"/>
      <c r="I198" s="8" t="n"/>
      <c r="J198" s="8" t="n">
        <v>200</v>
      </c>
      <c r="K198" s="12" t="n">
        <v>1.15</v>
      </c>
      <c r="L198" s="8" t="inlineStr">
        <is>
          <t>cái</t>
        </is>
      </c>
      <c r="M198" s="10" t="n">
        <v>1</v>
      </c>
      <c r="N198" s="10">
        <f>ROUND('00_TONG_HOP_BAO_GIA'!Q44, 0)</f>
        <v/>
      </c>
      <c r="O198" s="10">
        <f>ROUNDUP(N198*M198, -2)</f>
        <v/>
      </c>
      <c r="P198" s="9" t="inlineStr">
        <is>
          <t>- Van ngăn cháy động cơ - Tiêu chuẩn EI 90
- 2 đầu bích TDC - Gắn kèm động cơ ON-OFF 5Nm, Hãng KLB
- Sản xuất theo BCTN số 4651/VLXD-TBMT</t>
        </is>
      </c>
    </row>
    <row r="199">
      <c r="A199" s="8" t="n"/>
      <c r="B199" s="9" t="inlineStr">
        <is>
          <t>Van gió MFD 3900x4500</t>
        </is>
      </c>
      <c r="C199" s="8" t="inlineStr">
        <is>
          <t>SWIND-1.03-MFD-EI90</t>
        </is>
      </c>
      <c r="D199" s="8" t="inlineStr">
        <is>
          <t>SWIND</t>
        </is>
      </c>
      <c r="E199" s="8" t="n">
        <v>3900</v>
      </c>
      <c r="F199" s="8" t="n">
        <v>4500</v>
      </c>
      <c r="G199" s="8" t="n">
        <v>975</v>
      </c>
      <c r="H199" s="8" t="n">
        <v>750</v>
      </c>
      <c r="I199" s="8" t="n">
        <v>24</v>
      </c>
      <c r="J199" s="8" t="n">
        <v>200</v>
      </c>
      <c r="K199" s="12" t="n">
        <v>1.15</v>
      </c>
      <c r="L199" s="8" t="inlineStr">
        <is>
          <t>cái</t>
        </is>
      </c>
      <c r="M199" s="10" t="n">
        <v>1</v>
      </c>
      <c r="N199" s="10">
        <f>ROUND('00_TONG_HOP_BAO_GIA'!Q45, 0)</f>
        <v/>
      </c>
      <c r="O199" s="10">
        <f>ROUNDUP(N199*M199, -2)</f>
        <v/>
      </c>
      <c r="P199" s="9" t="inlineStr">
        <is>
          <t>- Van ngăn cháy động cơ - Tiêu chuẩn EI 90
- 2 đầu bích TDC - Gắn kèm động cơ ON-OFF 5Nm, Hãng KLB
- Sản xuất theo BCTN số 4651/VLXD-TBMT
- Chia 24 modul khi sản xuất</t>
        </is>
      </c>
    </row>
    <row r="200">
      <c r="A200" s="8" t="n"/>
      <c r="B200" s="9" t="inlineStr">
        <is>
          <t>Van gió MFD 500x400</t>
        </is>
      </c>
      <c r="C200" s="8" t="inlineStr">
        <is>
          <t>SWIND-1.03-MFD-EI90</t>
        </is>
      </c>
      <c r="D200" s="8" t="inlineStr">
        <is>
          <t>SWIND</t>
        </is>
      </c>
      <c r="E200" s="8" t="n">
        <v>500</v>
      </c>
      <c r="F200" s="8" t="n">
        <v>400</v>
      </c>
      <c r="G200" s="8" t="n"/>
      <c r="H200" s="8" t="n"/>
      <c r="I200" s="8" t="n"/>
      <c r="J200" s="8" t="n">
        <v>200</v>
      </c>
      <c r="K200" s="12" t="n">
        <v>1.15</v>
      </c>
      <c r="L200" s="8" t="inlineStr">
        <is>
          <t>cái</t>
        </is>
      </c>
      <c r="M200" s="10" t="n">
        <v>1</v>
      </c>
      <c r="N200" s="10">
        <f>ROUND('00_TONG_HOP_BAO_GIA'!Q46, 0)</f>
        <v/>
      </c>
      <c r="O200" s="10">
        <f>ROUNDUP(N200*M200, -2)</f>
        <v/>
      </c>
      <c r="P200" s="9" t="inlineStr">
        <is>
          <t>- Van ngăn cháy động cơ - Tiêu chuẩn EI 90
- 2 đầu bích TDC - Gắn kèm động cơ ON-OFF 5Nm, Hãng KLB
- Sản xuất theo BCTN số 4651/VLXD-TBMT</t>
        </is>
      </c>
    </row>
    <row r="201">
      <c r="A201" s="8" t="n"/>
      <c r="B201" s="9" t="inlineStr">
        <is>
          <t>Van gió MFD 900x450</t>
        </is>
      </c>
      <c r="C201" s="8" t="inlineStr">
        <is>
          <t>SWIND-1.03-MFD-EI90</t>
        </is>
      </c>
      <c r="D201" s="8" t="inlineStr">
        <is>
          <t>SWIND</t>
        </is>
      </c>
      <c r="E201" s="8" t="n">
        <v>900</v>
      </c>
      <c r="F201" s="8" t="n">
        <v>450</v>
      </c>
      <c r="G201" s="8" t="n"/>
      <c r="H201" s="8" t="n"/>
      <c r="I201" s="8" t="n"/>
      <c r="J201" s="8" t="n">
        <v>200</v>
      </c>
      <c r="K201" s="12" t="n">
        <v>1.15</v>
      </c>
      <c r="L201" s="8" t="inlineStr">
        <is>
          <t>cái</t>
        </is>
      </c>
      <c r="M201" s="10" t="n">
        <v>1</v>
      </c>
      <c r="N201" s="10">
        <f>ROUND('00_TONG_HOP_BAO_GIA'!Q47, 0)</f>
        <v/>
      </c>
      <c r="O201" s="10">
        <f>ROUNDUP(N201*M201, -2)</f>
        <v/>
      </c>
      <c r="P201" s="9" t="inlineStr">
        <is>
          <t>- Van ngăn cháy động cơ - Tiêu chuẩn EI 90
- 2 đầu bích TDC - Gắn kèm động cơ ON-OFF 5Nm, Hãng KLB
- Sản xuất theo BCTN số 4651/VLXD-TBMT</t>
        </is>
      </c>
    </row>
    <row r="202">
      <c r="A202" s="8" t="n"/>
      <c r="B202" s="9" t="inlineStr">
        <is>
          <t>Van gió NRD 350x250</t>
        </is>
      </c>
      <c r="C202" s="8" t="inlineStr">
        <is>
          <t>NRD</t>
        </is>
      </c>
      <c r="D202" s="8" t="inlineStr">
        <is>
          <t>SWIND</t>
        </is>
      </c>
      <c r="E202" s="8" t="n">
        <v>350</v>
      </c>
      <c r="F202" s="8" t="n">
        <v>250</v>
      </c>
      <c r="G202" s="8" t="n"/>
      <c r="H202" s="8" t="n"/>
      <c r="I202" s="8" t="n"/>
      <c r="J202" s="8" t="n">
        <v>200</v>
      </c>
      <c r="K202" s="12" t="n">
        <v>0.75</v>
      </c>
      <c r="L202" s="8" t="inlineStr">
        <is>
          <t>cái</t>
        </is>
      </c>
      <c r="M202" s="10" t="n">
        <v>1</v>
      </c>
      <c r="N202" s="10">
        <f>ROUND('00_TONG_HOP_BAO_GIA'!Q48, 0)</f>
        <v/>
      </c>
      <c r="O202" s="10">
        <f>ROUNDUP(N202*M202, -2)</f>
        <v/>
      </c>
      <c r="P202" s="9" t="inlineStr">
        <is>
          <t>Van 1 chiều tôn mạ kẽm</t>
        </is>
      </c>
    </row>
    <row r="203">
      <c r="A203" s="8" t="n"/>
      <c r="B203" s="9" t="inlineStr">
        <is>
          <t>Van gió NRD 1200x500</t>
        </is>
      </c>
      <c r="C203" s="8" t="inlineStr">
        <is>
          <t>NRD</t>
        </is>
      </c>
      <c r="D203" s="8" t="inlineStr">
        <is>
          <t>SWIND</t>
        </is>
      </c>
      <c r="E203" s="8" t="n">
        <v>1200</v>
      </c>
      <c r="F203" s="8" t="n">
        <v>500</v>
      </c>
      <c r="G203" s="8" t="n"/>
      <c r="H203" s="8" t="n"/>
      <c r="I203" s="8" t="n"/>
      <c r="J203" s="8" t="n">
        <v>200</v>
      </c>
      <c r="K203" s="12" t="n">
        <v>1.15</v>
      </c>
      <c r="L203" s="8" t="inlineStr">
        <is>
          <t>cái</t>
        </is>
      </c>
      <c r="M203" s="10" t="n">
        <v>1</v>
      </c>
      <c r="N203" s="10">
        <f>ROUND('00_TONG_HOP_BAO_GIA'!Q49, 0)</f>
        <v/>
      </c>
      <c r="O203" s="10">
        <f>ROUNDUP(N203*M203, -2)</f>
        <v/>
      </c>
      <c r="P203" s="9" t="inlineStr">
        <is>
          <t>Van 1 chiều tôn mạ kẽm</t>
        </is>
      </c>
    </row>
    <row r="204">
      <c r="A204" s="8" t="n"/>
      <c r="B204" s="9" t="inlineStr">
        <is>
          <t>Van gió NRD 1200x600</t>
        </is>
      </c>
      <c r="C204" s="8" t="inlineStr">
        <is>
          <t>NRD</t>
        </is>
      </c>
      <c r="D204" s="8" t="inlineStr">
        <is>
          <t>SWIND</t>
        </is>
      </c>
      <c r="E204" s="8" t="n">
        <v>1200</v>
      </c>
      <c r="F204" s="8" t="n">
        <v>600</v>
      </c>
      <c r="G204" s="8" t="n"/>
      <c r="H204" s="8" t="n"/>
      <c r="I204" s="8" t="n"/>
      <c r="J204" s="8" t="n">
        <v>200</v>
      </c>
      <c r="K204" s="12" t="n">
        <v>1.15</v>
      </c>
      <c r="L204" s="8" t="inlineStr">
        <is>
          <t>cái</t>
        </is>
      </c>
      <c r="M204" s="10" t="n">
        <v>1</v>
      </c>
      <c r="N204" s="10">
        <f>ROUND('00_TONG_HOP_BAO_GIA'!Q50, 0)</f>
        <v/>
      </c>
      <c r="O204" s="10">
        <f>ROUNDUP(N204*M204, -2)</f>
        <v/>
      </c>
      <c r="P204" s="9" t="inlineStr">
        <is>
          <t>Van 1 chiều tôn mạ kẽm</t>
        </is>
      </c>
    </row>
    <row r="205">
      <c r="A205" s="8" t="n"/>
      <c r="B205" s="9" t="inlineStr">
        <is>
          <t>Van gió NRD 600x300</t>
        </is>
      </c>
      <c r="C205" s="8" t="inlineStr">
        <is>
          <t>NRD</t>
        </is>
      </c>
      <c r="D205" s="8" t="inlineStr">
        <is>
          <t>SWIND</t>
        </is>
      </c>
      <c r="E205" s="8" t="n">
        <v>600</v>
      </c>
      <c r="F205" s="8" t="n">
        <v>300</v>
      </c>
      <c r="G205" s="8" t="n"/>
      <c r="H205" s="8" t="n"/>
      <c r="I205" s="8" t="n"/>
      <c r="J205" s="8" t="n">
        <v>200</v>
      </c>
      <c r="K205" s="12" t="n">
        <v>0.75</v>
      </c>
      <c r="L205" s="8" t="inlineStr">
        <is>
          <t>cái</t>
        </is>
      </c>
      <c r="M205" s="10" t="n">
        <v>1</v>
      </c>
      <c r="N205" s="10">
        <f>ROUND('00_TONG_HOP_BAO_GIA'!Q51, 0)</f>
        <v/>
      </c>
      <c r="O205" s="10">
        <f>ROUNDUP(N205*M205, -2)</f>
        <v/>
      </c>
      <c r="P205" s="9" t="inlineStr">
        <is>
          <t>Van 1 chiều tôn mạ kẽm</t>
        </is>
      </c>
    </row>
    <row r="206">
      <c r="A206" s="8" t="n"/>
      <c r="B206" s="9" t="inlineStr">
        <is>
          <t>Van gió NRD 900x450</t>
        </is>
      </c>
      <c r="C206" s="8" t="inlineStr">
        <is>
          <t>NRD</t>
        </is>
      </c>
      <c r="D206" s="8" t="inlineStr">
        <is>
          <t>SWIND</t>
        </is>
      </c>
      <c r="E206" s="8" t="n">
        <v>900</v>
      </c>
      <c r="F206" s="8" t="n">
        <v>450</v>
      </c>
      <c r="G206" s="8" t="n"/>
      <c r="H206" s="8" t="n"/>
      <c r="I206" s="8" t="n"/>
      <c r="J206" s="8" t="n">
        <v>200</v>
      </c>
      <c r="K206" s="12" t="n">
        <v>0.95</v>
      </c>
      <c r="L206" s="8" t="inlineStr">
        <is>
          <t>cái</t>
        </is>
      </c>
      <c r="M206" s="10" t="n">
        <v>1</v>
      </c>
      <c r="N206" s="10">
        <f>ROUND('00_TONG_HOP_BAO_GIA'!Q52, 0)</f>
        <v/>
      </c>
      <c r="O206" s="10">
        <f>ROUNDUP(N206*M206, -2)</f>
        <v/>
      </c>
      <c r="P206" s="9" t="inlineStr">
        <is>
          <t>Van 1 chiều tôn mạ kẽm</t>
        </is>
      </c>
    </row>
    <row r="207">
      <c r="A207" s="6" t="n"/>
      <c r="B207" s="7" t="inlineStr">
        <is>
          <t>B. PHẦN CĂN HỘ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6" t="n"/>
      <c r="B208" s="7" t="inlineStr">
        <is>
          <t>I. Đường ống</t>
        </is>
      </c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</row>
    <row r="209">
      <c r="A209" s="6" t="n"/>
      <c r="B209" s="7" t="inlineStr">
        <is>
          <t>1. Ống nước ngưng</t>
        </is>
      </c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</row>
    <row r="210">
      <c r="A210" s="8" t="n"/>
      <c r="B210" s="9" t="inlineStr">
        <is>
          <t>Ống nước ngưng uPVC D.27</t>
        </is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inlineStr">
        <is>
          <t>m</t>
        </is>
      </c>
      <c r="M210" s="10" t="n">
        <v>3936</v>
      </c>
      <c r="N210" s="11" t="n"/>
      <c r="O210" s="11" t="n"/>
      <c r="P210" s="9" t="n"/>
    </row>
    <row r="211">
      <c r="A211" s="8" t="n"/>
      <c r="B211" s="9" t="inlineStr">
        <is>
          <t>Ống nước ngưng uPVC D.34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inlineStr">
        <is>
          <t>m</t>
        </is>
      </c>
      <c r="M211" s="10" t="n">
        <v>4592</v>
      </c>
      <c r="N211" s="11" t="n"/>
      <c r="O211" s="11" t="n"/>
      <c r="P211" s="9" t="n"/>
    </row>
    <row r="212">
      <c r="A212" s="8" t="n"/>
      <c r="B212" s="9" t="inlineStr">
        <is>
          <t>Phụ kiện ống nước ngưng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Lô</t>
        </is>
      </c>
      <c r="M212" s="10" t="n">
        <v>1</v>
      </c>
      <c r="N212" s="11" t="n"/>
      <c r="O212" s="11" t="n"/>
      <c r="P212" s="9" t="n"/>
    </row>
    <row r="213">
      <c r="A213" s="8" t="n"/>
      <c r="B213" s="9" t="inlineStr">
        <is>
          <t>Vật tư phụ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inlineStr">
        <is>
          <t>Lô</t>
        </is>
      </c>
      <c r="M213" s="10" t="n">
        <v>1</v>
      </c>
      <c r="N213" s="11" t="n"/>
      <c r="O213" s="11" t="n"/>
      <c r="P213" s="9" t="n"/>
    </row>
    <row r="214">
      <c r="A214" s="6" t="n"/>
      <c r="B214" s="7" t="inlineStr">
        <is>
          <t>Ống Cách nhiệt ống nước ngưng, tỉ trọng 25kg/m3</t>
        </is>
      </c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</row>
    <row r="215">
      <c r="A215" s="8" t="n"/>
      <c r="B215" s="9" t="inlineStr">
        <is>
          <t>Cách nhiệt ống D.27 dày 10mm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inlineStr">
        <is>
          <t>m</t>
        </is>
      </c>
      <c r="M215" s="10" t="n">
        <v>3936</v>
      </c>
      <c r="N215" s="11" t="n"/>
      <c r="O215" s="11" t="n"/>
      <c r="P215" s="9" t="n"/>
    </row>
    <row r="216">
      <c r="A216" s="8" t="n"/>
      <c r="B216" s="9" t="inlineStr">
        <is>
          <t>Cách nhiệt ống D.34 dày 10mm</t>
        </is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inlineStr">
        <is>
          <t>m</t>
        </is>
      </c>
      <c r="M216" s="10" t="n">
        <v>4592</v>
      </c>
      <c r="N216" s="11" t="n"/>
      <c r="O216" s="11" t="n"/>
      <c r="P216" s="9" t="n"/>
    </row>
    <row r="217">
      <c r="A217" s="6" t="n"/>
      <c r="B217" s="7" t="inlineStr">
        <is>
          <t>2. Ống đồng</t>
        </is>
      </c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</row>
    <row r="218">
      <c r="A218" s="8" t="n"/>
      <c r="B218" s="9" t="inlineStr">
        <is>
          <t>Ống đồng Ø6.4</t>
        </is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inlineStr">
        <is>
          <t>m</t>
        </is>
      </c>
      <c r="M218" s="10" t="n">
        <v>26240</v>
      </c>
      <c r="N218" s="11" t="n"/>
      <c r="O218" s="11" t="n"/>
      <c r="P218" s="9" t="n"/>
    </row>
    <row r="219">
      <c r="A219" s="8" t="n"/>
      <c r="B219" s="9" t="inlineStr">
        <is>
          <t>Ống đồng  Ø9.5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inlineStr">
        <is>
          <t>m</t>
        </is>
      </c>
      <c r="M219" s="10" t="n">
        <v>19680</v>
      </c>
      <c r="N219" s="11" t="n"/>
      <c r="O219" s="11" t="n"/>
      <c r="P219" s="9" t="n"/>
    </row>
    <row r="220">
      <c r="A220" s="8" t="n"/>
      <c r="B220" s="9" t="inlineStr">
        <is>
          <t>Ống đồng  Ø12.7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inlineStr">
        <is>
          <t>m</t>
        </is>
      </c>
      <c r="M220" s="10" t="n">
        <v>9840</v>
      </c>
      <c r="N220" s="11" t="n"/>
      <c r="O220" s="11" t="n"/>
      <c r="P220" s="9" t="n"/>
    </row>
    <row r="221">
      <c r="A221" s="8" t="n"/>
      <c r="B221" s="9" t="inlineStr">
        <is>
          <t>Vật tư phụ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Lô</t>
        </is>
      </c>
      <c r="M221" s="10" t="n">
        <v>1</v>
      </c>
      <c r="N221" s="11" t="n"/>
      <c r="O221" s="11" t="n"/>
      <c r="P221" s="9" t="n"/>
    </row>
    <row r="222">
      <c r="A222" s="6" t="n"/>
      <c r="B222" s="7" t="inlineStr">
        <is>
          <t>Ống Cách nhiệt ống gas lạnh, tỉ trọng 25kg/m3</t>
        </is>
      </c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</row>
    <row r="223">
      <c r="A223" s="8" t="n"/>
      <c r="B223" s="9" t="inlineStr">
        <is>
          <t>Cách nhiệt ống Ø6.4 dày 19mm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inlineStr">
        <is>
          <t>m</t>
        </is>
      </c>
      <c r="M223" s="10" t="n">
        <v>26240</v>
      </c>
      <c r="N223" s="11" t="n"/>
      <c r="O223" s="11" t="n"/>
      <c r="P223" s="9" t="n"/>
    </row>
    <row r="224">
      <c r="A224" s="8" t="n"/>
      <c r="B224" s="9" t="inlineStr">
        <is>
          <t>Cách nhiệt ống Ø9.5 dày 19mm</t>
        </is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inlineStr">
        <is>
          <t>m</t>
        </is>
      </c>
      <c r="M224" s="10" t="n">
        <v>19680</v>
      </c>
      <c r="N224" s="11" t="n"/>
      <c r="O224" s="11" t="n"/>
      <c r="P224" s="9" t="n"/>
    </row>
    <row r="225">
      <c r="A225" s="8" t="n"/>
      <c r="B225" s="9" t="inlineStr">
        <is>
          <t>Cách nhiệt ống Ø12.7 dày 19mm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inlineStr">
        <is>
          <t>m</t>
        </is>
      </c>
      <c r="M225" s="10" t="n">
        <v>9840</v>
      </c>
      <c r="N225" s="11" t="n"/>
      <c r="O225" s="11" t="n"/>
      <c r="P225" s="9" t="n"/>
    </row>
    <row r="226">
      <c r="A226" s="6" t="n"/>
      <c r="B226" s="7" t="inlineStr">
        <is>
          <t>3. Ống gió/ Duct work</t>
        </is>
      </c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</row>
    <row r="227">
      <c r="A227" s="6" t="n"/>
      <c r="B227" s="7" t="inlineStr">
        <is>
          <t>a. Ống uPCV</t>
        </is>
      </c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</row>
    <row r="228">
      <c r="A228" s="8" t="n"/>
      <c r="B228" s="9" t="inlineStr">
        <is>
          <t>Ống uPCV D110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m</t>
        </is>
      </c>
      <c r="M228" s="10" t="n">
        <v>16400</v>
      </c>
      <c r="N228" s="11" t="n"/>
      <c r="O228" s="11" t="n"/>
      <c r="P228" s="9" t="n"/>
    </row>
    <row r="229">
      <c r="A229" s="8" t="n"/>
      <c r="B229" s="9" t="inlineStr">
        <is>
          <t>Ống uPCV D160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m</t>
        </is>
      </c>
      <c r="M229" s="10" t="n">
        <v>2624</v>
      </c>
      <c r="N229" s="11" t="n"/>
      <c r="O229" s="11" t="n"/>
      <c r="P229" s="9" t="n"/>
    </row>
    <row r="230">
      <c r="A230" s="6" t="n"/>
      <c r="B230" s="7" t="inlineStr">
        <is>
          <t>b. Ống tole tráng kẽm dày 0.6mm</t>
        </is>
      </c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</row>
    <row r="231">
      <c r="A231" s="8" t="n"/>
      <c r="B231" s="9" t="inlineStr">
        <is>
          <t>Ống tole tráng kẽm dày 0.6mm D150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m</t>
        </is>
      </c>
      <c r="M231" s="10" t="n">
        <v>2624</v>
      </c>
      <c r="N231" s="11" t="n"/>
      <c r="O231" s="11" t="n"/>
      <c r="P231" s="9" t="n"/>
    </row>
    <row r="232">
      <c r="A232" s="8" t="n"/>
      <c r="B232" s="9" t="inlineStr">
        <is>
          <t>Phụ kiện ống gió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lô</t>
        </is>
      </c>
      <c r="M232" s="10" t="n">
        <v>1</v>
      </c>
      <c r="N232" s="11" t="n"/>
      <c r="O232" s="11" t="n"/>
      <c r="P232" s="9" t="n"/>
    </row>
    <row r="233">
      <c r="A233" s="6" t="n"/>
      <c r="B233" s="7" t="inlineStr">
        <is>
          <t>e. Ống gió mềm</t>
        </is>
      </c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</row>
    <row r="234">
      <c r="A234" s="8" t="n"/>
      <c r="B234" s="9" t="inlineStr">
        <is>
          <t>Ống gió mềm D150 kèm cách nhiệt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m</t>
        </is>
      </c>
      <c r="M234" s="10" t="n">
        <v>7872</v>
      </c>
      <c r="N234" s="11" t="n"/>
      <c r="O234" s="11" t="n"/>
      <c r="P234" s="9" t="n"/>
    </row>
    <row r="235">
      <c r="A235" s="8" t="n"/>
      <c r="B235" s="9" t="inlineStr">
        <is>
          <t>Ống gió mềm D100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m</t>
        </is>
      </c>
      <c r="M235" s="10" t="n">
        <v>3936</v>
      </c>
      <c r="N235" s="11" t="n"/>
      <c r="O235" s="11" t="n"/>
      <c r="P235" s="9" t="n"/>
    </row>
    <row r="236">
      <c r="A236" s="8" t="n"/>
      <c r="B236" s="9" t="inlineStr">
        <is>
          <t>Phụ kiện ống gió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Lô</t>
        </is>
      </c>
      <c r="M236" s="10" t="n">
        <v>1</v>
      </c>
      <c r="N236" s="11" t="n"/>
      <c r="O236" s="11" t="n"/>
      <c r="P236" s="9" t="n"/>
    </row>
    <row r="237">
      <c r="A237" s="6" t="n"/>
      <c r="B237" s="7" t="inlineStr">
        <is>
          <t>4. Thiết bị</t>
        </is>
      </c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</row>
    <row r="238">
      <c r="A238" s="6" t="n"/>
      <c r="B238" s="7" t="inlineStr">
        <is>
          <t>a. Quạt</t>
        </is>
      </c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</row>
    <row r="239">
      <c r="A239" s="8" t="n"/>
      <c r="B239" s="9" t="inlineStr">
        <is>
          <t>Quạt gắn trần TEF-2PN : 25L/s -70Pa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inlineStr">
        <is>
          <t>cái</t>
        </is>
      </c>
      <c r="M239" s="10" t="n">
        <v>1312</v>
      </c>
      <c r="N239" s="11" t="n"/>
      <c r="O239" s="11" t="n"/>
      <c r="P239" s="9" t="n"/>
    </row>
    <row r="240">
      <c r="A240" s="8" t="n"/>
      <c r="B240" s="9" t="inlineStr">
        <is>
          <t>Vật tư phụ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inlineStr">
        <is>
          <t>Lô</t>
        </is>
      </c>
      <c r="M240" s="10" t="n">
        <v>1</v>
      </c>
      <c r="N240" s="11" t="n"/>
      <c r="O240" s="11" t="n"/>
      <c r="P240" s="9" t="n"/>
    </row>
    <row r="241">
      <c r="A241" s="6" t="n"/>
      <c r="B241" s="7" t="inlineStr">
        <is>
          <t>f. Máy Lạnh multi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8" t="n"/>
      <c r="B242" s="9" t="inlineStr">
        <is>
          <t>Dàn nóng 10kW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bộ</t>
        </is>
      </c>
      <c r="M242" s="10" t="n">
        <v>656</v>
      </c>
      <c r="N242" s="11" t="n"/>
      <c r="O242" s="11" t="n"/>
      <c r="P242" s="9" t="n"/>
    </row>
    <row r="243">
      <c r="A243" s="8" t="n"/>
      <c r="B243" s="9" t="inlineStr">
        <is>
          <t>Dàn lạnh cassette 1 hướng thổi 2.6kW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bộ</t>
        </is>
      </c>
      <c r="M243" s="10" t="n">
        <v>1312</v>
      </c>
      <c r="N243" s="11" t="n"/>
      <c r="O243" s="11" t="n"/>
      <c r="P243" s="9" t="n"/>
    </row>
    <row r="244">
      <c r="A244" s="8" t="n"/>
      <c r="B244" s="9" t="inlineStr">
        <is>
          <t>Dàn lạnh âm trần nối ống gió, kèm hộp box : 5.2kW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bộ</t>
        </is>
      </c>
      <c r="M244" s="10" t="n">
        <v>656</v>
      </c>
      <c r="N244" s="11" t="n"/>
      <c r="O244" s="11" t="n"/>
      <c r="P244" s="9" t="n"/>
    </row>
    <row r="245">
      <c r="A245" s="8" t="n"/>
      <c r="B245" s="9" t="inlineStr">
        <is>
          <t>Vật tư phụ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Lô</t>
        </is>
      </c>
      <c r="M245" s="10" t="n">
        <v>1</v>
      </c>
      <c r="N245" s="11" t="n"/>
      <c r="O245" s="11" t="n"/>
      <c r="P245" s="9" t="n"/>
    </row>
    <row r="246">
      <c r="A246" s="6" t="n"/>
      <c r="B246" s="7" t="inlineStr">
        <is>
          <t>g. Miệng gió</t>
        </is>
      </c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8" t="n"/>
      <c r="B247" s="9" t="inlineStr">
        <is>
          <t>Miệng gió SAG 1000x90+OBD kèm hộp gió cách nhiệt</t>
        </is>
      </c>
      <c r="C247" s="8" t="inlineStr">
        <is>
          <t>SDG+O</t>
        </is>
      </c>
      <c r="D247" s="8" t="inlineStr">
        <is>
          <t>SWIND</t>
        </is>
      </c>
      <c r="E247" s="8" t="n">
        <v>1000</v>
      </c>
      <c r="F247" s="8" t="n">
        <v>90</v>
      </c>
      <c r="G247" s="8" t="n">
        <v>950</v>
      </c>
      <c r="H247" s="8" t="n">
        <v>50</v>
      </c>
      <c r="I247" s="8" t="n"/>
      <c r="J247" s="8" t="n"/>
      <c r="K247" s="8" t="n"/>
      <c r="L247" s="8" t="inlineStr">
        <is>
          <t>cái</t>
        </is>
      </c>
      <c r="M247" s="10" t="n">
        <v>1312</v>
      </c>
      <c r="N247" s="10">
        <f>ROUND('00_TONG_HOP_BAO_GIA'!Q53, 0)</f>
        <v/>
      </c>
      <c r="O247" s="10">
        <f>ROUNDUP(N247*M247, -2)</f>
        <v/>
      </c>
      <c r="P247" s="9" t="inlineStr">
        <is>
          <t>Cửa nan bầu dục 1 lớp kèm van OBD</t>
        </is>
      </c>
    </row>
    <row r="248">
      <c r="A248" s="8" t="n"/>
      <c r="B248" s="9" t="inlineStr">
        <is>
          <t>Miệng gió RAG 1000x90+OBD kèm hộp gió cách nhiệt</t>
        </is>
      </c>
      <c r="C248" s="8" t="inlineStr">
        <is>
          <t>SDG+O+F</t>
        </is>
      </c>
      <c r="D248" s="8" t="inlineStr">
        <is>
          <t>SWIND</t>
        </is>
      </c>
      <c r="E248" s="8" t="n">
        <v>1000</v>
      </c>
      <c r="F248" s="8" t="n">
        <v>90</v>
      </c>
      <c r="G248" s="8" t="n">
        <v>950</v>
      </c>
      <c r="H248" s="8" t="n">
        <v>50</v>
      </c>
      <c r="I248" s="8" t="n"/>
      <c r="J248" s="8" t="n"/>
      <c r="K248" s="8" t="n"/>
      <c r="L248" s="8" t="inlineStr">
        <is>
          <t>cái</t>
        </is>
      </c>
      <c r="M248" s="10" t="n">
        <v>1312</v>
      </c>
      <c r="N248" s="10">
        <f>ROUND('00_TONG_HOP_BAO_GIA'!Q54, 0)</f>
        <v/>
      </c>
      <c r="O248" s="10">
        <f>ROUNDUP(N248*M248, -2)</f>
        <v/>
      </c>
      <c r="P248" s="9" t="inlineStr">
        <is>
          <t>Cửa hồi nan thẳng bầu dục kèm lưới lọc bụi G4 và van OBD</t>
        </is>
      </c>
    </row>
    <row r="249">
      <c r="A249" s="6" t="n"/>
      <c r="B249" s="7" t="inlineStr">
        <is>
          <t>Chụp thông gió</t>
        </is>
      </c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8" t="n"/>
      <c r="B250" s="9" t="inlineStr">
        <is>
          <t>Chụp thông gió D110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cái</t>
        </is>
      </c>
      <c r="M250" s="10" t="n">
        <v>1312</v>
      </c>
      <c r="N250" s="11" t="n"/>
      <c r="O250" s="11" t="n"/>
      <c r="P250" s="9" t="n"/>
    </row>
    <row r="251">
      <c r="A251" s="8" t="n"/>
      <c r="B251" s="9" t="inlineStr">
        <is>
          <t>Chụp thông gió D160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cái</t>
        </is>
      </c>
      <c r="M251" s="10" t="n">
        <v>656</v>
      </c>
      <c r="N251" s="11" t="n"/>
      <c r="O251" s="11" t="n"/>
      <c r="P251" s="9" t="n"/>
    </row>
    <row r="253">
      <c r="B253" s="13" t="inlineStr">
        <is>
          <t>TỔNG CỘNG (CHƯA BAO GỒM VAT):</t>
        </is>
      </c>
      <c r="O253" s="14">
        <f>SUBTOTAL(9,O14:O251)</f>
        <v/>
      </c>
    </row>
    <row r="254">
      <c r="B254" s="13" t="inlineStr">
        <is>
          <t>THUẾ GTGT (VAT 8%):</t>
        </is>
      </c>
      <c r="O254" s="14">
        <f>ROUND(O253*0.08, 0)</f>
        <v/>
      </c>
    </row>
    <row r="255">
      <c r="B255" s="13" t="inlineStr">
        <is>
          <t>TỔNG CỘNG THANH TOÁN (ĐÃ GỒM VAT 8%):</t>
        </is>
      </c>
      <c r="O255" s="14">
        <f>O253+O254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5" t="inlineStr">
        <is>
          <t>STT</t>
        </is>
      </c>
      <c r="B1" s="15" t="inlineStr">
        <is>
          <t>ITEM_ID</t>
        </is>
      </c>
      <c r="C1" s="15" t="inlineStr">
        <is>
          <t>PHÂN NHÓM</t>
        </is>
      </c>
      <c r="D1" s="15" t="inlineStr">
        <is>
          <t>TÊN SẢN PHẨM</t>
        </is>
      </c>
      <c r="E1" s="15" t="inlineStr">
        <is>
          <t>QUY CÁCH (WxH)</t>
        </is>
      </c>
      <c r="F1" s="15" t="inlineStr">
        <is>
          <t>ĐVT</t>
        </is>
      </c>
      <c r="G1" s="15" t="inlineStr">
        <is>
          <t>SỐ LƯỢNG</t>
        </is>
      </c>
      <c r="H1" s="15" t="inlineStr">
        <is>
          <t>CP VẬT TƯ ỐNG</t>
        </is>
      </c>
      <c r="I1" s="15" t="inlineStr">
        <is>
          <t>CP VẬT TƯ CỬA</t>
        </is>
      </c>
      <c r="J1" s="15" t="inlineStr">
        <is>
          <t>CP VẬT TƯ VAN</t>
        </is>
      </c>
      <c r="K1" s="15" t="inlineStr">
        <is>
          <t>TỔNG CP VẬT TƯ</t>
        </is>
      </c>
      <c r="L1" s="15" t="inlineStr">
        <is>
          <t>NHÂN CÔNG (25%)</t>
        </is>
      </c>
      <c r="M1" s="15" t="inlineStr">
        <is>
          <t>CP XƯỞNG (10%)</t>
        </is>
      </c>
      <c r="N1" s="15" t="inlineStr">
        <is>
          <t>TỔNG GIÁ VỐN</t>
        </is>
      </c>
      <c r="O1" s="15" t="inlineStr">
        <is>
          <t>GIÁ VỐN / ĐVT</t>
        </is>
      </c>
      <c r="P1" s="15" t="inlineStr">
        <is>
          <t>MARGIN (%)</t>
        </is>
      </c>
      <c r="Q1" s="15" t="inlineStr">
        <is>
          <t>ĐƠN GIÁ BÁN</t>
        </is>
      </c>
      <c r="R1" s="15" t="inlineStr">
        <is>
          <t>THÀNH TIỀN (VNĐ)</t>
        </is>
      </c>
      <c r="S1" s="15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g. Miệng gió Miệng gió EAG 500x300 C/W OBD kèm hộp gió</t>
        </is>
      </c>
      <c r="E2" t="inlineStr">
        <is>
          <t>500x300</t>
        </is>
      </c>
      <c r="F2" t="inlineStr">
        <is>
          <t>cái</t>
        </is>
      </c>
      <c r="G2" s="16" t="n">
        <v>1</v>
      </c>
      <c r="H2" s="16">
        <f>SUMIF('01_BOC_TACH_ONG'!$B$2:$B$5000, B2, '01_BOC_TACH_ONG'!$K$2:$K$5000)</f>
        <v/>
      </c>
      <c r="I2" s="16">
        <f>SUMIF('02_BOC_TACH_CUA'!$B$2:$B$5000, B2, '02_BOC_TACH_CUA'!$K$2:$K$5000)</f>
        <v/>
      </c>
      <c r="J2" s="16">
        <f>SUMIF('03_BOC_TACH_VAN'!$B$2:$B$5000, B2, '03_BOC_TACH_VAN'!$K$2:$K$5000)</f>
        <v/>
      </c>
      <c r="K2" s="16">
        <f>SUM(H2:J2)</f>
        <v/>
      </c>
      <c r="L2" s="16">
        <f>(K2-SUMIFS('03_BOC_TACH_VAN'!$K$2:$K$5000, '03_BOC_TACH_VAN'!$B$2:$B$5000, B2, '03_BOC_TACH_VAN'!$D$2:$D$5000, "ĐỘNG_CƠ_VÀ_CẢM_BIẾN"))*0.25</f>
        <v/>
      </c>
      <c r="M2" s="16">
        <f>(K2-SUMIFS('03_BOC_TACH_VAN'!$K$2:$K$5000, '03_BOC_TACH_VAN'!$B$2:$B$5000, B2, '03_BOC_TACH_VAN'!$D$2:$D$5000, "ĐỘNG_CƠ_VÀ_CẢM_BIẾN"))*0.10</f>
        <v/>
      </c>
      <c r="N2" s="16">
        <f>K2+L2+M2</f>
        <v/>
      </c>
      <c r="O2" s="16">
        <f>IF(G2&gt;0, N2/G2, 0)</f>
        <v/>
      </c>
      <c r="P2" s="17" t="n">
        <v>0.18</v>
      </c>
      <c r="Q2" s="16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6">
        <f>G2*Q2</f>
        <v/>
      </c>
      <c r="S2" t="inlineStr">
        <is>
          <t>Cửa nan bầu dục 1 lớp kèm van OBD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g. Miệng gió Miệng gió EAG 1000x600 C/W OBD kèm hộp gió</t>
        </is>
      </c>
      <c r="E3" t="inlineStr">
        <is>
          <t>1000x600</t>
        </is>
      </c>
      <c r="F3" t="inlineStr">
        <is>
          <t>cái</t>
        </is>
      </c>
      <c r="G3" s="16" t="n">
        <v>4</v>
      </c>
      <c r="H3" s="16">
        <f>SUMIF('01_BOC_TACH_ONG'!$B$2:$B$5000, B3, '01_BOC_TACH_ONG'!$K$2:$K$5000)</f>
        <v/>
      </c>
      <c r="I3" s="16">
        <f>SUMIF('02_BOC_TACH_CUA'!$B$2:$B$5000, B3, '02_BOC_TACH_CUA'!$K$2:$K$5000)</f>
        <v/>
      </c>
      <c r="J3" s="16">
        <f>SUMIF('03_BOC_TACH_VAN'!$B$2:$B$5000, B3, '03_BOC_TACH_VAN'!$K$2:$K$5000)</f>
        <v/>
      </c>
      <c r="K3" s="16">
        <f>SUM(H3:J3)</f>
        <v/>
      </c>
      <c r="L3" s="16">
        <f>(K3-SUMIFS('03_BOC_TACH_VAN'!$K$2:$K$5000, '03_BOC_TACH_VAN'!$B$2:$B$5000, B3, '03_BOC_TACH_VAN'!$D$2:$D$5000, "ĐỘNG_CƠ_VÀ_CẢM_BIẾN"))*0.25</f>
        <v/>
      </c>
      <c r="M3" s="16">
        <f>(K3-SUMIFS('03_BOC_TACH_VAN'!$K$2:$K$5000, '03_BOC_TACH_VAN'!$B$2:$B$5000, B3, '03_BOC_TACH_VAN'!$D$2:$D$5000, "ĐỘNG_CƠ_VÀ_CẢM_BIẾN"))*0.10</f>
        <v/>
      </c>
      <c r="N3" s="16">
        <f>K3+L3+M3</f>
        <v/>
      </c>
      <c r="O3" s="16">
        <f>IF(G3&gt;0, N3/G3, 0)</f>
        <v/>
      </c>
      <c r="P3" s="17" t="n">
        <v>0.18</v>
      </c>
      <c r="Q3" s="16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6">
        <f>G3*Q3</f>
        <v/>
      </c>
      <c r="S3" t="inlineStr">
        <is>
          <t>Cửa nan bầu dục 1 lớp kèm van OBD</t>
        </is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g. Miệng gió Miệng gió EAG 1000x800 C/W OBD kèm hộp gió</t>
        </is>
      </c>
      <c r="E4" t="inlineStr">
        <is>
          <t>1000x800</t>
        </is>
      </c>
      <c r="F4" t="inlineStr">
        <is>
          <t>cái</t>
        </is>
      </c>
      <c r="G4" s="16" t="n">
        <v>4</v>
      </c>
      <c r="H4" s="16">
        <f>SUMIF('01_BOC_TACH_ONG'!$B$2:$B$5000, B4, '01_BOC_TACH_ONG'!$K$2:$K$5000)</f>
        <v/>
      </c>
      <c r="I4" s="16">
        <f>SUMIF('02_BOC_TACH_CUA'!$B$2:$B$5000, B4, '02_BOC_TACH_CUA'!$K$2:$K$5000)</f>
        <v/>
      </c>
      <c r="J4" s="16">
        <f>SUMIF('03_BOC_TACH_VAN'!$B$2:$B$5000, B4, '03_BOC_TACH_VAN'!$K$2:$K$5000)</f>
        <v/>
      </c>
      <c r="K4" s="16">
        <f>SUM(H4:J4)</f>
        <v/>
      </c>
      <c r="L4" s="16">
        <f>(K4-SUMIFS('03_BOC_TACH_VAN'!$K$2:$K$5000, '03_BOC_TACH_VAN'!$B$2:$B$5000, B4, '03_BOC_TACH_VAN'!$D$2:$D$5000, "ĐỘNG_CƠ_VÀ_CẢM_BIẾN"))*0.25</f>
        <v/>
      </c>
      <c r="M4" s="16">
        <f>(K4-SUMIFS('03_BOC_TACH_VAN'!$K$2:$K$5000, '03_BOC_TACH_VAN'!$B$2:$B$5000, B4, '03_BOC_TACH_VAN'!$D$2:$D$5000, "ĐỘNG_CƠ_VÀ_CẢM_BIẾN"))*0.10</f>
        <v/>
      </c>
      <c r="N4" s="16">
        <f>K4+L4+M4</f>
        <v/>
      </c>
      <c r="O4" s="16">
        <f>IF(G4&gt;0, N4/G4, 0)</f>
        <v/>
      </c>
      <c r="P4" s="17" t="n">
        <v>0.18</v>
      </c>
      <c r="Q4" s="16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6">
        <f>G4*Q4</f>
        <v/>
      </c>
      <c r="S4" t="inlineStr">
        <is>
          <t>Cửa nan bầu dục 1 lớp kèm van OBD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g. Miệng gió Miệng gió EAG 300x200 C/W OBD kèm hộp gió</t>
        </is>
      </c>
      <c r="E5" t="inlineStr">
        <is>
          <t>300x200</t>
        </is>
      </c>
      <c r="F5" t="inlineStr">
        <is>
          <t>cái</t>
        </is>
      </c>
      <c r="G5" s="16" t="n">
        <v>8</v>
      </c>
      <c r="H5" s="16">
        <f>SUMIF('01_BOC_TACH_ONG'!$B$2:$B$5000, B5, '01_BOC_TACH_ONG'!$K$2:$K$5000)</f>
        <v/>
      </c>
      <c r="I5" s="16">
        <f>SUMIF('02_BOC_TACH_CUA'!$B$2:$B$5000, B5, '02_BOC_TACH_CUA'!$K$2:$K$5000)</f>
        <v/>
      </c>
      <c r="J5" s="16">
        <f>SUMIF('03_BOC_TACH_VAN'!$B$2:$B$5000, B5, '03_BOC_TACH_VAN'!$K$2:$K$5000)</f>
        <v/>
      </c>
      <c r="K5" s="16">
        <f>SUM(H5:J5)</f>
        <v/>
      </c>
      <c r="L5" s="16">
        <f>(K5-SUMIFS('03_BOC_TACH_VAN'!$K$2:$K$5000, '03_BOC_TACH_VAN'!$B$2:$B$5000, B5, '03_BOC_TACH_VAN'!$D$2:$D$5000, "ĐỘNG_CƠ_VÀ_CẢM_BIẾN"))*0.25</f>
        <v/>
      </c>
      <c r="M5" s="16">
        <f>(K5-SUMIFS('03_BOC_TACH_VAN'!$K$2:$K$5000, '03_BOC_TACH_VAN'!$B$2:$B$5000, B5, '03_BOC_TACH_VAN'!$D$2:$D$5000, "ĐỘNG_CƠ_VÀ_CẢM_BIẾN"))*0.10</f>
        <v/>
      </c>
      <c r="N5" s="16">
        <f>K5+L5+M5</f>
        <v/>
      </c>
      <c r="O5" s="16">
        <f>IF(G5&gt;0, N5/G5, 0)</f>
        <v/>
      </c>
      <c r="P5" s="17" t="n">
        <v>0.18</v>
      </c>
      <c r="Q5" s="16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6">
        <f>G5*Q5</f>
        <v/>
      </c>
      <c r="S5" t="inlineStr">
        <is>
          <t>Cửa nan bầu dục 1 lớp kèm van OBD</t>
        </is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g. Miệng gió Miệng gió EAG 200x200 C/W OBD kèm hộp gió</t>
        </is>
      </c>
      <c r="E6" t="inlineStr">
        <is>
          <t>200x200</t>
        </is>
      </c>
      <c r="F6" t="inlineStr">
        <is>
          <t>cái</t>
        </is>
      </c>
      <c r="G6" s="16" t="n">
        <v>60</v>
      </c>
      <c r="H6" s="16">
        <f>SUMIF('01_BOC_TACH_ONG'!$B$2:$B$5000, B6, '01_BOC_TACH_ONG'!$K$2:$K$5000)</f>
        <v/>
      </c>
      <c r="I6" s="16">
        <f>SUMIF('02_BOC_TACH_CUA'!$B$2:$B$5000, B6, '02_BOC_TACH_CUA'!$K$2:$K$5000)</f>
        <v/>
      </c>
      <c r="J6" s="16">
        <f>SUMIF('03_BOC_TACH_VAN'!$B$2:$B$5000, B6, '03_BOC_TACH_VAN'!$K$2:$K$5000)</f>
        <v/>
      </c>
      <c r="K6" s="16">
        <f>SUM(H6:J6)</f>
        <v/>
      </c>
      <c r="L6" s="16">
        <f>(K6-SUMIFS('03_BOC_TACH_VAN'!$K$2:$K$5000, '03_BOC_TACH_VAN'!$B$2:$B$5000, B6, '03_BOC_TACH_VAN'!$D$2:$D$5000, "ĐỘNG_CƠ_VÀ_CẢM_BIẾN"))*0.25</f>
        <v/>
      </c>
      <c r="M6" s="16">
        <f>(K6-SUMIFS('03_BOC_TACH_VAN'!$K$2:$K$5000, '03_BOC_TACH_VAN'!$B$2:$B$5000, B6, '03_BOC_TACH_VAN'!$D$2:$D$5000, "ĐỘNG_CƠ_VÀ_CẢM_BIẾN"))*0.10</f>
        <v/>
      </c>
      <c r="N6" s="16">
        <f>K6+L6+M6</f>
        <v/>
      </c>
      <c r="O6" s="16">
        <f>IF(G6&gt;0, N6/G6, 0)</f>
        <v/>
      </c>
      <c r="P6" s="17" t="n">
        <v>0.18</v>
      </c>
      <c r="Q6" s="16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6">
        <f>G6*Q6</f>
        <v/>
      </c>
      <c r="S6" t="inlineStr">
        <is>
          <t>Cửa nan bầu dục 1 lớp kèm van OBD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g. Miệng gió Miệng gió EAG 300x200+OBD kèm hộp gió</t>
        </is>
      </c>
      <c r="E7" t="inlineStr">
        <is>
          <t>300x200</t>
        </is>
      </c>
      <c r="F7" t="inlineStr">
        <is>
          <t>cái</t>
        </is>
      </c>
      <c r="G7" s="16" t="n">
        <v>2</v>
      </c>
      <c r="H7" s="16">
        <f>SUMIF('01_BOC_TACH_ONG'!$B$2:$B$5000, B7, '01_BOC_TACH_ONG'!$K$2:$K$5000)</f>
        <v/>
      </c>
      <c r="I7" s="16">
        <f>SUMIF('02_BOC_TACH_CUA'!$B$2:$B$5000, B7, '02_BOC_TACH_CUA'!$K$2:$K$5000)</f>
        <v/>
      </c>
      <c r="J7" s="16">
        <f>SUMIF('03_BOC_TACH_VAN'!$B$2:$B$5000, B7, '03_BOC_TACH_VAN'!$K$2:$K$5000)</f>
        <v/>
      </c>
      <c r="K7" s="16">
        <f>SUM(H7:J7)</f>
        <v/>
      </c>
      <c r="L7" s="16">
        <f>(K7-SUMIFS('03_BOC_TACH_VAN'!$K$2:$K$5000, '03_BOC_TACH_VAN'!$B$2:$B$5000, B7, '03_BOC_TACH_VAN'!$D$2:$D$5000, "ĐỘNG_CƠ_VÀ_CẢM_BIẾN"))*0.25</f>
        <v/>
      </c>
      <c r="M7" s="16">
        <f>(K7-SUMIFS('03_BOC_TACH_VAN'!$K$2:$K$5000, '03_BOC_TACH_VAN'!$B$2:$B$5000, B7, '03_BOC_TACH_VAN'!$D$2:$D$5000, "ĐỘNG_CƠ_VÀ_CẢM_BIẾN"))*0.10</f>
        <v/>
      </c>
      <c r="N7" s="16">
        <f>K7+L7+M7</f>
        <v/>
      </c>
      <c r="O7" s="16">
        <f>IF(G7&gt;0, N7/G7, 0)</f>
        <v/>
      </c>
      <c r="P7" s="17" t="n">
        <v>0.18</v>
      </c>
      <c r="Q7" s="16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6">
        <f>G7*Q7</f>
        <v/>
      </c>
      <c r="S7" t="inlineStr">
        <is>
          <t>Cửa nan bầu dục 1 lớp kèm van OBD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g. Miệng gió Miệng gió EAG 400x200+OBD kèm hộp gió</t>
        </is>
      </c>
      <c r="E8" t="inlineStr">
        <is>
          <t>400x200</t>
        </is>
      </c>
      <c r="F8" t="inlineStr">
        <is>
          <t>cái</t>
        </is>
      </c>
      <c r="G8" s="16" t="n">
        <v>2</v>
      </c>
      <c r="H8" s="16">
        <f>SUMIF('01_BOC_TACH_ONG'!$B$2:$B$5000, B8, '01_BOC_TACH_ONG'!$K$2:$K$5000)</f>
        <v/>
      </c>
      <c r="I8" s="16">
        <f>SUMIF('02_BOC_TACH_CUA'!$B$2:$B$5000, B8, '02_BOC_TACH_CUA'!$K$2:$K$5000)</f>
        <v/>
      </c>
      <c r="J8" s="16">
        <f>SUMIF('03_BOC_TACH_VAN'!$B$2:$B$5000, B8, '03_BOC_TACH_VAN'!$K$2:$K$5000)</f>
        <v/>
      </c>
      <c r="K8" s="16">
        <f>SUM(H8:J8)</f>
        <v/>
      </c>
      <c r="L8" s="16">
        <f>(K8-SUMIFS('03_BOC_TACH_VAN'!$K$2:$K$5000, '03_BOC_TACH_VAN'!$B$2:$B$5000, B8, '03_BOC_TACH_VAN'!$D$2:$D$5000, "ĐỘNG_CƠ_VÀ_CẢM_BIẾN"))*0.25</f>
        <v/>
      </c>
      <c r="M8" s="16">
        <f>(K8-SUMIFS('03_BOC_TACH_VAN'!$K$2:$K$5000, '03_BOC_TACH_VAN'!$B$2:$B$5000, B8, '03_BOC_TACH_VAN'!$D$2:$D$5000, "ĐỘNG_CƠ_VÀ_CẢM_BIẾN"))*0.10</f>
        <v/>
      </c>
      <c r="N8" s="16">
        <f>K8+L8+M8</f>
        <v/>
      </c>
      <c r="O8" s="16">
        <f>IF(G8&gt;0, N8/G8, 0)</f>
        <v/>
      </c>
      <c r="P8" s="17" t="n">
        <v>0.18</v>
      </c>
      <c r="Q8" s="16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6">
        <f>G8*Q8</f>
        <v/>
      </c>
      <c r="S8" t="inlineStr">
        <is>
          <t>Cửa nan bầu dục 1 lớp kèm van OBD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g. Miệng gió Miệng gió EAG 300x200 kèm hộp gió</t>
        </is>
      </c>
      <c r="E9" t="inlineStr">
        <is>
          <t>300x200</t>
        </is>
      </c>
      <c r="F9" t="inlineStr">
        <is>
          <t>cái</t>
        </is>
      </c>
      <c r="G9" s="16" t="n">
        <v>1</v>
      </c>
      <c r="H9" s="16">
        <f>SUMIF('01_BOC_TACH_ONG'!$B$2:$B$5000, B9, '01_BOC_TACH_ONG'!$K$2:$K$5000)</f>
        <v/>
      </c>
      <c r="I9" s="16">
        <f>SUMIF('02_BOC_TACH_CUA'!$B$2:$B$5000, B9, '02_BOC_TACH_CUA'!$K$2:$K$5000)</f>
        <v/>
      </c>
      <c r="J9" s="16">
        <f>SUMIF('03_BOC_TACH_VAN'!$B$2:$B$5000, B9, '03_BOC_TACH_VAN'!$K$2:$K$5000)</f>
        <v/>
      </c>
      <c r="K9" s="16">
        <f>SUM(H9:J9)</f>
        <v/>
      </c>
      <c r="L9" s="16">
        <f>(K9-SUMIFS('03_BOC_TACH_VAN'!$K$2:$K$5000, '03_BOC_TACH_VAN'!$B$2:$B$5000, B9, '03_BOC_TACH_VAN'!$D$2:$D$5000, "ĐỘNG_CƠ_VÀ_CẢM_BIẾN"))*0.25</f>
        <v/>
      </c>
      <c r="M9" s="16">
        <f>(K9-SUMIFS('03_BOC_TACH_VAN'!$K$2:$K$5000, '03_BOC_TACH_VAN'!$B$2:$B$5000, B9, '03_BOC_TACH_VAN'!$D$2:$D$5000, "ĐỘNG_CƠ_VÀ_CẢM_BIẾN"))*0.10</f>
        <v/>
      </c>
      <c r="N9" s="16">
        <f>K9+L9+M9</f>
        <v/>
      </c>
      <c r="O9" s="16">
        <f>IF(G9&gt;0, N9/G9, 0)</f>
        <v/>
      </c>
      <c r="P9" s="17" t="n">
        <v>0.18</v>
      </c>
      <c r="Q9" s="16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6">
        <f>G9*Q9</f>
        <v/>
      </c>
      <c r="S9" t="inlineStr">
        <is>
          <t>Cửa nan bầu dục 1 lớp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g. Miệng gió Miệng gió EAG 750x400 C/W OBD kèm hộp gió</t>
        </is>
      </c>
      <c r="E10" t="inlineStr">
        <is>
          <t>750x400</t>
        </is>
      </c>
      <c r="F10" t="inlineStr">
        <is>
          <t>cái</t>
        </is>
      </c>
      <c r="G10" s="16" t="n">
        <v>2</v>
      </c>
      <c r="H10" s="16">
        <f>SUMIF('01_BOC_TACH_ONG'!$B$2:$B$5000, B10, '01_BOC_TACH_ONG'!$K$2:$K$5000)</f>
        <v/>
      </c>
      <c r="I10" s="16">
        <f>SUMIF('02_BOC_TACH_CUA'!$B$2:$B$5000, B10, '02_BOC_TACH_CUA'!$K$2:$K$5000)</f>
        <v/>
      </c>
      <c r="J10" s="16">
        <f>SUMIF('03_BOC_TACH_VAN'!$B$2:$B$5000, B10, '03_BOC_TACH_VAN'!$K$2:$K$5000)</f>
        <v/>
      </c>
      <c r="K10" s="16">
        <f>SUM(H10:J10)</f>
        <v/>
      </c>
      <c r="L10" s="16">
        <f>(K10-SUMIFS('03_BOC_TACH_VAN'!$K$2:$K$5000, '03_BOC_TACH_VAN'!$B$2:$B$5000, B10, '03_BOC_TACH_VAN'!$D$2:$D$5000, "ĐỘNG_CƠ_VÀ_CẢM_BIẾN"))*0.25</f>
        <v/>
      </c>
      <c r="M10" s="16">
        <f>(K10-SUMIFS('03_BOC_TACH_VAN'!$K$2:$K$5000, '03_BOC_TACH_VAN'!$B$2:$B$5000, B10, '03_BOC_TACH_VAN'!$D$2:$D$5000, "ĐỘNG_CƠ_VÀ_CẢM_BIẾN"))*0.10</f>
        <v/>
      </c>
      <c r="N10" s="16">
        <f>K10+L10+M10</f>
        <v/>
      </c>
      <c r="O10" s="16">
        <f>IF(G10&gt;0, N10/G10, 0)</f>
        <v/>
      </c>
      <c r="P10" s="17" t="n">
        <v>0.18</v>
      </c>
      <c r="Q10" s="16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6">
        <f>G10*Q10</f>
        <v/>
      </c>
      <c r="S10" t="inlineStr">
        <is>
          <t>Cửa nan bầu dục 1 lớp kèm van OBD</t>
        </is>
      </c>
    </row>
    <row r="11">
      <c r="A11" t="n">
        <v>10</v>
      </c>
      <c r="B11" t="inlineStr">
        <is>
          <t>SW-DIFF-010</t>
        </is>
      </c>
      <c r="C11" t="inlineStr">
        <is>
          <t>CỬA GIÓ</t>
        </is>
      </c>
      <c r="D11" t="inlineStr">
        <is>
          <t>g. Miệng gió Miệng gió EAG 800x500 C/W OBD kèm hộp gió</t>
        </is>
      </c>
      <c r="E11" t="inlineStr">
        <is>
          <t>800x500</t>
        </is>
      </c>
      <c r="F11" t="inlineStr">
        <is>
          <t>cái</t>
        </is>
      </c>
      <c r="G11" s="16" t="n">
        <v>3</v>
      </c>
      <c r="H11" s="16">
        <f>SUMIF('01_BOC_TACH_ONG'!$B$2:$B$5000, B11, '01_BOC_TACH_ONG'!$K$2:$K$5000)</f>
        <v/>
      </c>
      <c r="I11" s="16">
        <f>SUMIF('02_BOC_TACH_CUA'!$B$2:$B$5000, B11, '02_BOC_TACH_CUA'!$K$2:$K$5000)</f>
        <v/>
      </c>
      <c r="J11" s="16">
        <f>SUMIF('03_BOC_TACH_VAN'!$B$2:$B$5000, B11, '03_BOC_TACH_VAN'!$K$2:$K$5000)</f>
        <v/>
      </c>
      <c r="K11" s="16">
        <f>SUM(H11:J11)</f>
        <v/>
      </c>
      <c r="L11" s="16">
        <f>(K11-SUMIFS('03_BOC_TACH_VAN'!$K$2:$K$5000, '03_BOC_TACH_VAN'!$B$2:$B$5000, B11, '03_BOC_TACH_VAN'!$D$2:$D$5000, "ĐỘNG_CƠ_VÀ_CẢM_BIẾN"))*0.25</f>
        <v/>
      </c>
      <c r="M11" s="16">
        <f>(K11-SUMIFS('03_BOC_TACH_VAN'!$K$2:$K$5000, '03_BOC_TACH_VAN'!$B$2:$B$5000, B11, '03_BOC_TACH_VAN'!$D$2:$D$5000, "ĐỘNG_CƠ_VÀ_CẢM_BIẾN"))*0.10</f>
        <v/>
      </c>
      <c r="N11" s="16">
        <f>K11+L11+M11</f>
        <v/>
      </c>
      <c r="O11" s="16">
        <f>IF(G11&gt;0, N11/G11, 0)</f>
        <v/>
      </c>
      <c r="P11" s="17" t="n">
        <v>0.18</v>
      </c>
      <c r="Q11" s="16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6">
        <f>G11*Q11</f>
        <v/>
      </c>
      <c r="S11" t="inlineStr">
        <is>
          <t>Cửa nan bầu dục 1 lớp kèm van OBD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g. Miệng gió Miệng gió EAG 400x250 C/W OBD kèm hộp gió</t>
        </is>
      </c>
      <c r="E12" t="inlineStr">
        <is>
          <t>400x250</t>
        </is>
      </c>
      <c r="F12" t="inlineStr">
        <is>
          <t>cái</t>
        </is>
      </c>
      <c r="G12" s="16" t="n">
        <v>2</v>
      </c>
      <c r="H12" s="16">
        <f>SUMIF('01_BOC_TACH_ONG'!$B$2:$B$5000, B12, '01_BOC_TACH_ONG'!$K$2:$K$5000)</f>
        <v/>
      </c>
      <c r="I12" s="16">
        <f>SUMIF('02_BOC_TACH_CUA'!$B$2:$B$5000, B12, '02_BOC_TACH_CUA'!$K$2:$K$5000)</f>
        <v/>
      </c>
      <c r="J12" s="16">
        <f>SUMIF('03_BOC_TACH_VAN'!$B$2:$B$5000, B12, '03_BOC_TACH_VAN'!$K$2:$K$5000)</f>
        <v/>
      </c>
      <c r="K12" s="16">
        <f>SUM(H12:J12)</f>
        <v/>
      </c>
      <c r="L12" s="16">
        <f>(K12-SUMIFS('03_BOC_TACH_VAN'!$K$2:$K$5000, '03_BOC_TACH_VAN'!$B$2:$B$5000, B12, '03_BOC_TACH_VAN'!$D$2:$D$5000, "ĐỘNG_CƠ_VÀ_CẢM_BIẾN"))*0.25</f>
        <v/>
      </c>
      <c r="M12" s="16">
        <f>(K12-SUMIFS('03_BOC_TACH_VAN'!$K$2:$K$5000, '03_BOC_TACH_VAN'!$B$2:$B$5000, B12, '03_BOC_TACH_VAN'!$D$2:$D$5000, "ĐỘNG_CƠ_VÀ_CẢM_BIẾN"))*0.10</f>
        <v/>
      </c>
      <c r="N12" s="16">
        <f>K12+L12+M12</f>
        <v/>
      </c>
      <c r="O12" s="16">
        <f>IF(G12&gt;0, N12/G12, 0)</f>
        <v/>
      </c>
      <c r="P12" s="17" t="n">
        <v>0.18</v>
      </c>
      <c r="Q12" s="16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6">
        <f>G12*Q12</f>
        <v/>
      </c>
      <c r="S12" t="inlineStr">
        <is>
          <t>Cửa nan bầu dục 1 lớp kèm van OBD</t>
        </is>
      </c>
    </row>
    <row r="13">
      <c r="A13" t="n">
        <v>12</v>
      </c>
      <c r="B13" t="inlineStr">
        <is>
          <t>SW-DIFF-012</t>
        </is>
      </c>
      <c r="C13" t="inlineStr">
        <is>
          <t>CỬA GIÓ</t>
        </is>
      </c>
      <c r="D13" t="inlineStr">
        <is>
          <t>g. Miệng gió Miệng gió EAG 600x300 C/W OBD kèm hộp gió</t>
        </is>
      </c>
      <c r="E13" t="inlineStr">
        <is>
          <t>600x300</t>
        </is>
      </c>
      <c r="F13" t="inlineStr">
        <is>
          <t>cái</t>
        </is>
      </c>
      <c r="G13" s="16" t="n">
        <v>3</v>
      </c>
      <c r="H13" s="16">
        <f>SUMIF('01_BOC_TACH_ONG'!$B$2:$B$5000, B13, '01_BOC_TACH_ONG'!$K$2:$K$5000)</f>
        <v/>
      </c>
      <c r="I13" s="16">
        <f>SUMIF('02_BOC_TACH_CUA'!$B$2:$B$5000, B13, '02_BOC_TACH_CUA'!$K$2:$K$5000)</f>
        <v/>
      </c>
      <c r="J13" s="16">
        <f>SUMIF('03_BOC_TACH_VAN'!$B$2:$B$5000, B13, '03_BOC_TACH_VAN'!$K$2:$K$5000)</f>
        <v/>
      </c>
      <c r="K13" s="16">
        <f>SUM(H13:J13)</f>
        <v/>
      </c>
      <c r="L13" s="16">
        <f>(K13-SUMIFS('03_BOC_TACH_VAN'!$K$2:$K$5000, '03_BOC_TACH_VAN'!$B$2:$B$5000, B13, '03_BOC_TACH_VAN'!$D$2:$D$5000, "ĐỘNG_CƠ_VÀ_CẢM_BIẾN"))*0.25</f>
        <v/>
      </c>
      <c r="M13" s="16">
        <f>(K13-SUMIFS('03_BOC_TACH_VAN'!$K$2:$K$5000, '03_BOC_TACH_VAN'!$B$2:$B$5000, B13, '03_BOC_TACH_VAN'!$D$2:$D$5000, "ĐỘNG_CƠ_VÀ_CẢM_BIẾN"))*0.10</f>
        <v/>
      </c>
      <c r="N13" s="16">
        <f>K13+L13+M13</f>
        <v/>
      </c>
      <c r="O13" s="16">
        <f>IF(G13&gt;0, N13/G13, 0)</f>
        <v/>
      </c>
      <c r="P13" s="17" t="n">
        <v>0.18</v>
      </c>
      <c r="Q13" s="16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6">
        <f>G13*Q13</f>
        <v/>
      </c>
      <c r="S13" t="inlineStr">
        <is>
          <t>Cửa nan bầu dục 1 lớp kèm van OBD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g. Miệng gió Miệng gió FAG 300x200 C/W OBD kèm hộp gió</t>
        </is>
      </c>
      <c r="E14" t="inlineStr">
        <is>
          <t>300x200</t>
        </is>
      </c>
      <c r="F14" t="inlineStr">
        <is>
          <t>cái</t>
        </is>
      </c>
      <c r="G14" s="16" t="n">
        <v>4</v>
      </c>
      <c r="H14" s="16">
        <f>SUMIF('01_BOC_TACH_ONG'!$B$2:$B$5000, B14, '01_BOC_TACH_ONG'!$K$2:$K$5000)</f>
        <v/>
      </c>
      <c r="I14" s="16">
        <f>SUMIF('02_BOC_TACH_CUA'!$B$2:$B$5000, B14, '02_BOC_TACH_CUA'!$K$2:$K$5000)</f>
        <v/>
      </c>
      <c r="J14" s="16">
        <f>SUMIF('03_BOC_TACH_VAN'!$B$2:$B$5000, B14, '03_BOC_TACH_VAN'!$K$2:$K$5000)</f>
        <v/>
      </c>
      <c r="K14" s="16">
        <f>SUM(H14:J14)</f>
        <v/>
      </c>
      <c r="L14" s="16">
        <f>(K14-SUMIFS('03_BOC_TACH_VAN'!$K$2:$K$5000, '03_BOC_TACH_VAN'!$B$2:$B$5000, B14, '03_BOC_TACH_VAN'!$D$2:$D$5000, "ĐỘNG_CƠ_VÀ_CẢM_BIẾN"))*0.25</f>
        <v/>
      </c>
      <c r="M14" s="16">
        <f>(K14-SUMIFS('03_BOC_TACH_VAN'!$K$2:$K$5000, '03_BOC_TACH_VAN'!$B$2:$B$5000, B14, '03_BOC_TACH_VAN'!$D$2:$D$5000, "ĐỘNG_CƠ_VÀ_CẢM_BIẾN"))*0.10</f>
        <v/>
      </c>
      <c r="N14" s="16">
        <f>K14+L14+M14</f>
        <v/>
      </c>
      <c r="O14" s="16">
        <f>IF(G14&gt;0, N14/G14, 0)</f>
        <v/>
      </c>
      <c r="P14" s="17" t="n">
        <v>0.18</v>
      </c>
      <c r="Q14" s="16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6">
        <f>G14*Q14</f>
        <v/>
      </c>
      <c r="S14" t="inlineStr">
        <is>
          <t>Cửa nan bầu dục 1 lớp kèm van OBD</t>
        </is>
      </c>
    </row>
    <row r="15">
      <c r="A15" t="n">
        <v>14</v>
      </c>
      <c r="B15" t="inlineStr">
        <is>
          <t>SW-DIFF-014</t>
        </is>
      </c>
      <c r="C15" t="inlineStr">
        <is>
          <t>CỬA GIÓ</t>
        </is>
      </c>
      <c r="D15" t="inlineStr">
        <is>
          <t>g. Miệng gió Miệng gió FAG 200x200 C/W OBD kèm hộp gió</t>
        </is>
      </c>
      <c r="E15" t="inlineStr">
        <is>
          <t>200x200</t>
        </is>
      </c>
      <c r="F15" t="inlineStr">
        <is>
          <t>cái</t>
        </is>
      </c>
      <c r="G15" s="16" t="n">
        <v>1</v>
      </c>
      <c r="H15" s="16">
        <f>SUMIF('01_BOC_TACH_ONG'!$B$2:$B$5000, B15, '01_BOC_TACH_ONG'!$K$2:$K$5000)</f>
        <v/>
      </c>
      <c r="I15" s="16">
        <f>SUMIF('02_BOC_TACH_CUA'!$B$2:$B$5000, B15, '02_BOC_TACH_CUA'!$K$2:$K$5000)</f>
        <v/>
      </c>
      <c r="J15" s="16">
        <f>SUMIF('03_BOC_TACH_VAN'!$B$2:$B$5000, B15, '03_BOC_TACH_VAN'!$K$2:$K$5000)</f>
        <v/>
      </c>
      <c r="K15" s="16">
        <f>SUM(H15:J15)</f>
        <v/>
      </c>
      <c r="L15" s="16">
        <f>(K15-SUMIFS('03_BOC_TACH_VAN'!$K$2:$K$5000, '03_BOC_TACH_VAN'!$B$2:$B$5000, B15, '03_BOC_TACH_VAN'!$D$2:$D$5000, "ĐỘNG_CƠ_VÀ_CẢM_BIẾN"))*0.25</f>
        <v/>
      </c>
      <c r="M15" s="16">
        <f>(K15-SUMIFS('03_BOC_TACH_VAN'!$K$2:$K$5000, '03_BOC_TACH_VAN'!$B$2:$B$5000, B15, '03_BOC_TACH_VAN'!$D$2:$D$5000, "ĐỘNG_CƠ_VÀ_CẢM_BIẾN"))*0.10</f>
        <v/>
      </c>
      <c r="N15" s="16">
        <f>K15+L15+M15</f>
        <v/>
      </c>
      <c r="O15" s="16">
        <f>IF(G15&gt;0, N15/G15, 0)</f>
        <v/>
      </c>
      <c r="P15" s="17" t="n">
        <v>0.18</v>
      </c>
      <c r="Q15" s="16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6">
        <f>G15*Q15</f>
        <v/>
      </c>
      <c r="S15" t="inlineStr">
        <is>
          <t>Cửa nan bầu dục 1 lớp kèm van OBD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g. Miệng gió Miệng gió FAG 400x250 C/W OBD kèm hộp gió</t>
        </is>
      </c>
      <c r="E16" t="inlineStr">
        <is>
          <t>400x250</t>
        </is>
      </c>
      <c r="F16" t="inlineStr">
        <is>
          <t>cái</t>
        </is>
      </c>
      <c r="G16" s="16" t="n">
        <v>4</v>
      </c>
      <c r="H16" s="16">
        <f>SUMIF('01_BOC_TACH_ONG'!$B$2:$B$5000, B16, '01_BOC_TACH_ONG'!$K$2:$K$5000)</f>
        <v/>
      </c>
      <c r="I16" s="16">
        <f>SUMIF('02_BOC_TACH_CUA'!$B$2:$B$5000, B16, '02_BOC_TACH_CUA'!$K$2:$K$5000)</f>
        <v/>
      </c>
      <c r="J16" s="16">
        <f>SUMIF('03_BOC_TACH_VAN'!$B$2:$B$5000, B16, '03_BOC_TACH_VAN'!$K$2:$K$5000)</f>
        <v/>
      </c>
      <c r="K16" s="16">
        <f>SUM(H16:J16)</f>
        <v/>
      </c>
      <c r="L16" s="16">
        <f>(K16-SUMIFS('03_BOC_TACH_VAN'!$K$2:$K$5000, '03_BOC_TACH_VAN'!$B$2:$B$5000, B16, '03_BOC_TACH_VAN'!$D$2:$D$5000, "ĐỘNG_CƠ_VÀ_CẢM_BIẾN"))*0.25</f>
        <v/>
      </c>
      <c r="M16" s="16">
        <f>(K16-SUMIFS('03_BOC_TACH_VAN'!$K$2:$K$5000, '03_BOC_TACH_VAN'!$B$2:$B$5000, B16, '03_BOC_TACH_VAN'!$D$2:$D$5000, "ĐỘNG_CƠ_VÀ_CẢM_BIẾN"))*0.10</f>
        <v/>
      </c>
      <c r="N16" s="16">
        <f>K16+L16+M16</f>
        <v/>
      </c>
      <c r="O16" s="16">
        <f>IF(G16&gt;0, N16/G16, 0)</f>
        <v/>
      </c>
      <c r="P16" s="17" t="n">
        <v>0.18</v>
      </c>
      <c r="Q16" s="16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6">
        <f>G16*Q16</f>
        <v/>
      </c>
      <c r="S16" t="inlineStr">
        <is>
          <t>Cửa nan bầu dục 1 lớp kèm van OBD</t>
        </is>
      </c>
    </row>
    <row r="17">
      <c r="A17" t="n">
        <v>16</v>
      </c>
      <c r="B17" t="inlineStr">
        <is>
          <t>SW-DIFF-016</t>
        </is>
      </c>
      <c r="C17" t="inlineStr">
        <is>
          <t>CỬA GIÓ</t>
        </is>
      </c>
      <c r="D17" t="inlineStr">
        <is>
          <t>g. Miệng gió Miệng gió FAG 600x300 C/W OBD kèm hộp gió</t>
        </is>
      </c>
      <c r="E17" t="inlineStr">
        <is>
          <t>600x300</t>
        </is>
      </c>
      <c r="F17" t="inlineStr">
        <is>
          <t>cái</t>
        </is>
      </c>
      <c r="G17" s="16" t="n">
        <v>3</v>
      </c>
      <c r="H17" s="16">
        <f>SUMIF('01_BOC_TACH_ONG'!$B$2:$B$5000, B17, '01_BOC_TACH_ONG'!$K$2:$K$5000)</f>
        <v/>
      </c>
      <c r="I17" s="16">
        <f>SUMIF('02_BOC_TACH_CUA'!$B$2:$B$5000, B17, '02_BOC_TACH_CUA'!$K$2:$K$5000)</f>
        <v/>
      </c>
      <c r="J17" s="16">
        <f>SUMIF('03_BOC_TACH_VAN'!$B$2:$B$5000, B17, '03_BOC_TACH_VAN'!$K$2:$K$5000)</f>
        <v/>
      </c>
      <c r="K17" s="16">
        <f>SUM(H17:J17)</f>
        <v/>
      </c>
      <c r="L17" s="16">
        <f>(K17-SUMIFS('03_BOC_TACH_VAN'!$K$2:$K$5000, '03_BOC_TACH_VAN'!$B$2:$B$5000, B17, '03_BOC_TACH_VAN'!$D$2:$D$5000, "ĐỘNG_CƠ_VÀ_CẢM_BIẾN"))*0.25</f>
        <v/>
      </c>
      <c r="M17" s="16">
        <f>(K17-SUMIFS('03_BOC_TACH_VAN'!$K$2:$K$5000, '03_BOC_TACH_VAN'!$B$2:$B$5000, B17, '03_BOC_TACH_VAN'!$D$2:$D$5000, "ĐỘNG_CƠ_VÀ_CẢM_BIẾN"))*0.10</f>
        <v/>
      </c>
      <c r="N17" s="16">
        <f>K17+L17+M17</f>
        <v/>
      </c>
      <c r="O17" s="16">
        <f>IF(G17&gt;0, N17/G17, 0)</f>
        <v/>
      </c>
      <c r="P17" s="17" t="n">
        <v>0.18</v>
      </c>
      <c r="Q17" s="16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6">
        <f>G17*Q17</f>
        <v/>
      </c>
      <c r="S17" t="inlineStr">
        <is>
          <t>Cửa nan bầu dục 1 lớp kèm van OBD</t>
        </is>
      </c>
    </row>
    <row r="18">
      <c r="A18" t="n">
        <v>17</v>
      </c>
      <c r="B18" t="inlineStr">
        <is>
          <t>SW-DIFF-017</t>
        </is>
      </c>
      <c r="C18" t="inlineStr">
        <is>
          <t>CỬA GIÓ</t>
        </is>
      </c>
      <c r="D18" t="inlineStr">
        <is>
          <t>g. Cửa gió Cửa gió FAL 200x200 kèm hộp gió</t>
        </is>
      </c>
      <c r="E18" t="inlineStr">
        <is>
          <t>200x200</t>
        </is>
      </c>
      <c r="F18" t="inlineStr">
        <is>
          <t>cái</t>
        </is>
      </c>
      <c r="G18" s="16" t="n">
        <v>1</v>
      </c>
      <c r="H18" s="16">
        <f>SUMIF('01_BOC_TACH_ONG'!$B$2:$B$5000, B18, '01_BOC_TACH_ONG'!$K$2:$K$5000)</f>
        <v/>
      </c>
      <c r="I18" s="16">
        <f>SUMIF('02_BOC_TACH_CUA'!$B$2:$B$5000, B18, '02_BOC_TACH_CUA'!$K$2:$K$5000)</f>
        <v/>
      </c>
      <c r="J18" s="16">
        <f>SUMIF('03_BOC_TACH_VAN'!$B$2:$B$5000, B18, '03_BOC_TACH_VAN'!$K$2:$K$5000)</f>
        <v/>
      </c>
      <c r="K18" s="16">
        <f>SUM(H18:J18)</f>
        <v/>
      </c>
      <c r="L18" s="16">
        <f>(K18-SUMIFS('03_BOC_TACH_VAN'!$K$2:$K$5000, '03_BOC_TACH_VAN'!$B$2:$B$5000, B18, '03_BOC_TACH_VAN'!$D$2:$D$5000, "ĐỘNG_CƠ_VÀ_CẢM_BIẾN"))*0.25</f>
        <v/>
      </c>
      <c r="M18" s="16">
        <f>(K18-SUMIFS('03_BOC_TACH_VAN'!$K$2:$K$5000, '03_BOC_TACH_VAN'!$B$2:$B$5000, B18, '03_BOC_TACH_VAN'!$D$2:$D$5000, "ĐỘNG_CƠ_VÀ_CẢM_BIẾN"))*0.10</f>
        <v/>
      </c>
      <c r="N18" s="16">
        <f>K18+L18+M18</f>
        <v/>
      </c>
      <c r="O18" s="16">
        <f>IF(G18&gt;0, N18/G18, 0)</f>
        <v/>
      </c>
      <c r="P18" s="17" t="n">
        <v>0.18</v>
      </c>
      <c r="Q18" s="16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6">
        <f>G18*Q18</f>
        <v/>
      </c>
      <c r="S18" t="inlineStr">
        <is>
          <t>Louver nan Z ngoài trời</t>
        </is>
      </c>
    </row>
    <row r="19">
      <c r="A19" t="n">
        <v>18</v>
      </c>
      <c r="B19" t="inlineStr">
        <is>
          <t>SW-DIFF-018</t>
        </is>
      </c>
      <c r="C19" t="inlineStr">
        <is>
          <t>CỬA GIÓ</t>
        </is>
      </c>
      <c r="D19" t="inlineStr">
        <is>
          <t>g. Cửa gió Cửa gió FAL 300x200 kèm hộp gió</t>
        </is>
      </c>
      <c r="E19" t="inlineStr">
        <is>
          <t>300x200</t>
        </is>
      </c>
      <c r="F19" t="inlineStr">
        <is>
          <t>cái</t>
        </is>
      </c>
      <c r="G19" s="16" t="n">
        <v>2</v>
      </c>
      <c r="H19" s="16">
        <f>SUMIF('01_BOC_TACH_ONG'!$B$2:$B$5000, B19, '01_BOC_TACH_ONG'!$K$2:$K$5000)</f>
        <v/>
      </c>
      <c r="I19" s="16">
        <f>SUMIF('02_BOC_TACH_CUA'!$B$2:$B$5000, B19, '02_BOC_TACH_CUA'!$K$2:$K$5000)</f>
        <v/>
      </c>
      <c r="J19" s="16">
        <f>SUMIF('03_BOC_TACH_VAN'!$B$2:$B$5000, B19, '03_BOC_TACH_VAN'!$K$2:$K$5000)</f>
        <v/>
      </c>
      <c r="K19" s="16">
        <f>SUM(H19:J19)</f>
        <v/>
      </c>
      <c r="L19" s="16">
        <f>(K19-SUMIFS('03_BOC_TACH_VAN'!$K$2:$K$5000, '03_BOC_TACH_VAN'!$B$2:$B$5000, B19, '03_BOC_TACH_VAN'!$D$2:$D$5000, "ĐỘNG_CƠ_VÀ_CẢM_BIẾN"))*0.25</f>
        <v/>
      </c>
      <c r="M19" s="16">
        <f>(K19-SUMIFS('03_BOC_TACH_VAN'!$K$2:$K$5000, '03_BOC_TACH_VAN'!$B$2:$B$5000, B19, '03_BOC_TACH_VAN'!$D$2:$D$5000, "ĐỘNG_CƠ_VÀ_CẢM_BIẾN"))*0.10</f>
        <v/>
      </c>
      <c r="N19" s="16">
        <f>K19+L19+M19</f>
        <v/>
      </c>
      <c r="O19" s="16">
        <f>IF(G19&gt;0, N19/G19, 0)</f>
        <v/>
      </c>
      <c r="P19" s="17" t="n">
        <v>0.18</v>
      </c>
      <c r="Q19" s="16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6">
        <f>G19*Q19</f>
        <v/>
      </c>
      <c r="S19" t="inlineStr">
        <is>
          <t>Louver nan Z ngoài trời</t>
        </is>
      </c>
    </row>
    <row r="20">
      <c r="A20" t="n">
        <v>19</v>
      </c>
      <c r="B20" t="inlineStr">
        <is>
          <t>SW-DIFF-019</t>
        </is>
      </c>
      <c r="C20" t="inlineStr">
        <is>
          <t>CỬA GIÓ</t>
        </is>
      </c>
      <c r="D20" t="inlineStr">
        <is>
          <t>g. Cửa gió Cửa gió FAL 1600x600 kèm hộp gió</t>
        </is>
      </c>
      <c r="E20" t="inlineStr">
        <is>
          <t>1600x600</t>
        </is>
      </c>
      <c r="F20" t="inlineStr">
        <is>
          <t>cái</t>
        </is>
      </c>
      <c r="G20" s="16" t="n">
        <v>1</v>
      </c>
      <c r="H20" s="16">
        <f>SUMIF('01_BOC_TACH_ONG'!$B$2:$B$5000, B20, '01_BOC_TACH_ONG'!$K$2:$K$5000)</f>
        <v/>
      </c>
      <c r="I20" s="16">
        <f>SUMIF('02_BOC_TACH_CUA'!$B$2:$B$5000, B20, '02_BOC_TACH_CUA'!$K$2:$K$5000)</f>
        <v/>
      </c>
      <c r="J20" s="16">
        <f>SUMIF('03_BOC_TACH_VAN'!$B$2:$B$5000, B20, '03_BOC_TACH_VAN'!$K$2:$K$5000)</f>
        <v/>
      </c>
      <c r="K20" s="16">
        <f>SUM(H20:J20)</f>
        <v/>
      </c>
      <c r="L20" s="16">
        <f>(K20-SUMIFS('03_BOC_TACH_VAN'!$K$2:$K$5000, '03_BOC_TACH_VAN'!$B$2:$B$5000, B20, '03_BOC_TACH_VAN'!$D$2:$D$5000, "ĐỘNG_CƠ_VÀ_CẢM_BIẾN"))*0.25</f>
        <v/>
      </c>
      <c r="M20" s="16">
        <f>(K20-SUMIFS('03_BOC_TACH_VAN'!$K$2:$K$5000, '03_BOC_TACH_VAN'!$B$2:$B$5000, B20, '03_BOC_TACH_VAN'!$D$2:$D$5000, "ĐỘNG_CƠ_VÀ_CẢM_BIẾN"))*0.10</f>
        <v/>
      </c>
      <c r="N20" s="16">
        <f>K20+L20+M20</f>
        <v/>
      </c>
      <c r="O20" s="16">
        <f>IF(G20&gt;0, N20/G20, 0)</f>
        <v/>
      </c>
      <c r="P20" s="17" t="n">
        <v>0.18</v>
      </c>
      <c r="Q20" s="16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6">
        <f>G20*Q20</f>
        <v/>
      </c>
      <c r="S20" t="inlineStr">
        <is>
          <t>Louver nan Z ngoài trời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g. Cửa gió Cửa gió FAL 1200x700+LCCT</t>
        </is>
      </c>
      <c r="E21" t="inlineStr">
        <is>
          <t>1200x700</t>
        </is>
      </c>
      <c r="F21" t="inlineStr">
        <is>
          <t>cái</t>
        </is>
      </c>
      <c r="G21" s="16" t="n">
        <v>1</v>
      </c>
      <c r="H21" s="16">
        <f>SUMIF('01_BOC_TACH_ONG'!$B$2:$B$5000, B21, '01_BOC_TACH_ONG'!$K$2:$K$5000)</f>
        <v/>
      </c>
      <c r="I21" s="16">
        <f>SUMIF('02_BOC_TACH_CUA'!$B$2:$B$5000, B21, '02_BOC_TACH_CUA'!$K$2:$K$5000)</f>
        <v/>
      </c>
      <c r="J21" s="16">
        <f>SUMIF('03_BOC_TACH_VAN'!$B$2:$B$5000, B21, '03_BOC_TACH_VAN'!$K$2:$K$5000)</f>
        <v/>
      </c>
      <c r="K21" s="16">
        <f>SUM(H21:J21)</f>
        <v/>
      </c>
      <c r="L21" s="16">
        <f>(K21-SUMIFS('03_BOC_TACH_VAN'!$K$2:$K$5000, '03_BOC_TACH_VAN'!$B$2:$B$5000, B21, '03_BOC_TACH_VAN'!$D$2:$D$5000, "ĐỘNG_CƠ_VÀ_CẢM_BIẾN"))*0.25</f>
        <v/>
      </c>
      <c r="M21" s="16">
        <f>(K21-SUMIFS('03_BOC_TACH_VAN'!$K$2:$K$5000, '03_BOC_TACH_VAN'!$B$2:$B$5000, B21, '03_BOC_TACH_VAN'!$D$2:$D$5000, "ĐỘNG_CƠ_VÀ_CẢM_BIẾN"))*0.10</f>
        <v/>
      </c>
      <c r="N21" s="16">
        <f>K21+L21+M21</f>
        <v/>
      </c>
      <c r="O21" s="16">
        <f>IF(G21&gt;0, N21/G21, 0)</f>
        <v/>
      </c>
      <c r="P21" s="17" t="n">
        <v>0.18</v>
      </c>
      <c r="Q21" s="16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6">
        <f>G21*Q21</f>
        <v/>
      </c>
      <c r="S21" t="inlineStr">
        <is>
          <t>Louver nan Z ngoài trời kèm lưới chắn côn trùng Inox 304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g. Cửa gió Cửa gió FAL 2000x1200+LCCT</t>
        </is>
      </c>
      <c r="E22" t="inlineStr">
        <is>
          <t>2000x1200</t>
        </is>
      </c>
      <c r="F22" t="inlineStr">
        <is>
          <t>cái</t>
        </is>
      </c>
      <c r="G22" s="16" t="n">
        <v>1</v>
      </c>
      <c r="H22" s="16">
        <f>SUMIF('01_BOC_TACH_ONG'!$B$2:$B$5000, B22, '01_BOC_TACH_ONG'!$K$2:$K$5000)</f>
        <v/>
      </c>
      <c r="I22" s="16">
        <f>SUMIF('02_BOC_TACH_CUA'!$B$2:$B$5000, B22, '02_BOC_TACH_CUA'!$K$2:$K$5000)</f>
        <v/>
      </c>
      <c r="J22" s="16">
        <f>SUMIF('03_BOC_TACH_VAN'!$B$2:$B$5000, B22, '03_BOC_TACH_VAN'!$K$2:$K$5000)</f>
        <v/>
      </c>
      <c r="K22" s="16">
        <f>SUM(H22:J22)</f>
        <v/>
      </c>
      <c r="L22" s="16">
        <f>(K22-SUMIFS('03_BOC_TACH_VAN'!$K$2:$K$5000, '03_BOC_TACH_VAN'!$B$2:$B$5000, B22, '03_BOC_TACH_VAN'!$D$2:$D$5000, "ĐỘNG_CƠ_VÀ_CẢM_BIẾN"))*0.25</f>
        <v/>
      </c>
      <c r="M22" s="16">
        <f>(K22-SUMIFS('03_BOC_TACH_VAN'!$K$2:$K$5000, '03_BOC_TACH_VAN'!$B$2:$B$5000, B22, '03_BOC_TACH_VAN'!$D$2:$D$5000, "ĐỘNG_CƠ_VÀ_CẢM_BIẾN"))*0.10</f>
        <v/>
      </c>
      <c r="N22" s="16">
        <f>K22+L22+M22</f>
        <v/>
      </c>
      <c r="O22" s="16">
        <f>IF(G22&gt;0, N22/G22, 0)</f>
        <v/>
      </c>
      <c r="P22" s="17" t="n">
        <v>0.18</v>
      </c>
      <c r="Q22" s="16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6">
        <f>G22*Q22</f>
        <v/>
      </c>
      <c r="S22" t="inlineStr">
        <is>
          <t>Louver nan Z ngoài trời kèm lưới chắn côn trùng Inox 304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g. Cửa gió Cửa gió FAL 500x400+LCCT</t>
        </is>
      </c>
      <c r="E23" t="inlineStr">
        <is>
          <t>500x400</t>
        </is>
      </c>
      <c r="F23" t="inlineStr">
        <is>
          <t>cái</t>
        </is>
      </c>
      <c r="G23" s="16" t="n">
        <v>1</v>
      </c>
      <c r="H23" s="16">
        <f>SUMIF('01_BOC_TACH_ONG'!$B$2:$B$5000, B23, '01_BOC_TACH_ONG'!$K$2:$K$5000)</f>
        <v/>
      </c>
      <c r="I23" s="16">
        <f>SUMIF('02_BOC_TACH_CUA'!$B$2:$B$5000, B23, '02_BOC_TACH_CUA'!$K$2:$K$5000)</f>
        <v/>
      </c>
      <c r="J23" s="16">
        <f>SUMIF('03_BOC_TACH_VAN'!$B$2:$B$5000, B23, '03_BOC_TACH_VAN'!$K$2:$K$5000)</f>
        <v/>
      </c>
      <c r="K23" s="16">
        <f>SUM(H23:J23)</f>
        <v/>
      </c>
      <c r="L23" s="16">
        <f>(K23-SUMIFS('03_BOC_TACH_VAN'!$K$2:$K$5000, '03_BOC_TACH_VAN'!$B$2:$B$5000, B23, '03_BOC_TACH_VAN'!$D$2:$D$5000, "ĐỘNG_CƠ_VÀ_CẢM_BIẾN"))*0.25</f>
        <v/>
      </c>
      <c r="M23" s="16">
        <f>(K23-SUMIFS('03_BOC_TACH_VAN'!$K$2:$K$5000, '03_BOC_TACH_VAN'!$B$2:$B$5000, B23, '03_BOC_TACH_VAN'!$D$2:$D$5000, "ĐỘNG_CƠ_VÀ_CẢM_BIẾN"))*0.10</f>
        <v/>
      </c>
      <c r="N23" s="16">
        <f>K23+L23+M23</f>
        <v/>
      </c>
      <c r="O23" s="16">
        <f>IF(G23&gt;0, N23/G23, 0)</f>
        <v/>
      </c>
      <c r="P23" s="17" t="n">
        <v>0.18</v>
      </c>
      <c r="Q23" s="16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6">
        <f>G23*Q23</f>
        <v/>
      </c>
      <c r="S23" t="inlineStr">
        <is>
          <t>Louver nan Z ngoài trời kèm lưới chắn côn trùng Inox 304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g. Cửa gió Cửa gió FAL 2000x1200+LCCT</t>
        </is>
      </c>
      <c r="E24" t="inlineStr">
        <is>
          <t>2000x1200</t>
        </is>
      </c>
      <c r="F24" t="inlineStr">
        <is>
          <t>cái</t>
        </is>
      </c>
      <c r="G24" s="16" t="n">
        <v>1</v>
      </c>
      <c r="H24" s="16">
        <f>SUMIF('01_BOC_TACH_ONG'!$B$2:$B$5000, B24, '01_BOC_TACH_ONG'!$K$2:$K$5000)</f>
        <v/>
      </c>
      <c r="I24" s="16">
        <f>SUMIF('02_BOC_TACH_CUA'!$B$2:$B$5000, B24, '02_BOC_TACH_CUA'!$K$2:$K$5000)</f>
        <v/>
      </c>
      <c r="J24" s="16">
        <f>SUMIF('03_BOC_TACH_VAN'!$B$2:$B$5000, B24, '03_BOC_TACH_VAN'!$K$2:$K$5000)</f>
        <v/>
      </c>
      <c r="K24" s="16">
        <f>SUM(H24:J24)</f>
        <v/>
      </c>
      <c r="L24" s="16">
        <f>(K24-SUMIFS('03_BOC_TACH_VAN'!$K$2:$K$5000, '03_BOC_TACH_VAN'!$B$2:$B$5000, B24, '03_BOC_TACH_VAN'!$D$2:$D$5000, "ĐỘNG_CƠ_VÀ_CẢM_BIẾN"))*0.25</f>
        <v/>
      </c>
      <c r="M24" s="16">
        <f>(K24-SUMIFS('03_BOC_TACH_VAN'!$K$2:$K$5000, '03_BOC_TACH_VAN'!$B$2:$B$5000, B24, '03_BOC_TACH_VAN'!$D$2:$D$5000, "ĐỘNG_CƠ_VÀ_CẢM_BIẾN"))*0.10</f>
        <v/>
      </c>
      <c r="N24" s="16">
        <f>K24+L24+M24</f>
        <v/>
      </c>
      <c r="O24" s="16">
        <f>IF(G24&gt;0, N24/G24, 0)</f>
        <v/>
      </c>
      <c r="P24" s="17" t="n">
        <v>0.18</v>
      </c>
      <c r="Q24" s="16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6">
        <f>G24*Q24</f>
        <v/>
      </c>
      <c r="S24" t="inlineStr">
        <is>
          <t>Louver nan Z ngoài trời kèm lưới chắn côn trùng Inox 304</t>
        </is>
      </c>
    </row>
    <row r="25">
      <c r="A25" t="n">
        <v>24</v>
      </c>
      <c r="B25" t="inlineStr">
        <is>
          <t>SW-DIFF-024</t>
        </is>
      </c>
      <c r="C25" t="inlineStr">
        <is>
          <t>CỬA GIÓ</t>
        </is>
      </c>
      <c r="D25" t="inlineStr">
        <is>
          <t>g. Cửa gió Cửa gió FAL 3900x4500+LCCT</t>
        </is>
      </c>
      <c r="E25" t="inlineStr">
        <is>
          <t>3900x4500</t>
        </is>
      </c>
      <c r="F25" t="inlineStr">
        <is>
          <t>cái</t>
        </is>
      </c>
      <c r="G25" s="16" t="n">
        <v>1</v>
      </c>
      <c r="H25" s="16">
        <f>SUMIF('01_BOC_TACH_ONG'!$B$2:$B$5000, B25, '01_BOC_TACH_ONG'!$K$2:$K$5000)</f>
        <v/>
      </c>
      <c r="I25" s="16">
        <f>SUMIF('02_BOC_TACH_CUA'!$B$2:$B$5000, B25, '02_BOC_TACH_CUA'!$K$2:$K$5000)</f>
        <v/>
      </c>
      <c r="J25" s="16">
        <f>SUMIF('03_BOC_TACH_VAN'!$B$2:$B$5000, B25, '03_BOC_TACH_VAN'!$K$2:$K$5000)</f>
        <v/>
      </c>
      <c r="K25" s="16">
        <f>SUM(H25:J25)</f>
        <v/>
      </c>
      <c r="L25" s="16">
        <f>(K25-SUMIFS('03_BOC_TACH_VAN'!$K$2:$K$5000, '03_BOC_TACH_VAN'!$B$2:$B$5000, B25, '03_BOC_TACH_VAN'!$D$2:$D$5000, "ĐỘNG_CƠ_VÀ_CẢM_BIẾN"))*0.25</f>
        <v/>
      </c>
      <c r="M25" s="16">
        <f>(K25-SUMIFS('03_BOC_TACH_VAN'!$K$2:$K$5000, '03_BOC_TACH_VAN'!$B$2:$B$5000, B25, '03_BOC_TACH_VAN'!$D$2:$D$5000, "ĐỘNG_CƠ_VÀ_CẢM_BIẾN"))*0.10</f>
        <v/>
      </c>
      <c r="N25" s="16">
        <f>K25+L25+M25</f>
        <v/>
      </c>
      <c r="O25" s="16">
        <f>IF(G25&gt;0, N25/G25, 0)</f>
        <v/>
      </c>
      <c r="P25" s="17" t="n">
        <v>0.18</v>
      </c>
      <c r="Q25" s="16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6">
        <f>G25*Q25</f>
        <v/>
      </c>
      <c r="S25" t="inlineStr">
        <is>
          <t>Louver nan Z ngoài trời kèm lưới chắn côn trùng Inox 304</t>
        </is>
      </c>
    </row>
    <row r="26">
      <c r="A26" t="n">
        <v>25</v>
      </c>
      <c r="B26" t="inlineStr">
        <is>
          <t>SW-DIFF-025</t>
        </is>
      </c>
      <c r="C26" t="inlineStr">
        <is>
          <t>CỬA GIÓ</t>
        </is>
      </c>
      <c r="D26" t="inlineStr">
        <is>
          <t>g. Cửa gió Cửa gió FAL 500x400+LCCT+G4 kèm hộp gió</t>
        </is>
      </c>
      <c r="E26" t="inlineStr">
        <is>
          <t>500x400</t>
        </is>
      </c>
      <c r="F26" t="inlineStr">
        <is>
          <t>cái</t>
        </is>
      </c>
      <c r="G26" s="16" t="n">
        <v>2</v>
      </c>
      <c r="H26" s="16">
        <f>SUMIF('01_BOC_TACH_ONG'!$B$2:$B$5000, B26, '01_BOC_TACH_ONG'!$K$2:$K$5000)</f>
        <v/>
      </c>
      <c r="I26" s="16">
        <f>SUMIF('02_BOC_TACH_CUA'!$B$2:$B$5000, B26, '02_BOC_TACH_CUA'!$K$2:$K$5000)</f>
        <v/>
      </c>
      <c r="J26" s="16">
        <f>SUMIF('03_BOC_TACH_VAN'!$B$2:$B$5000, B26, '03_BOC_TACH_VAN'!$K$2:$K$5000)</f>
        <v/>
      </c>
      <c r="K26" s="16">
        <f>SUM(H26:J26)</f>
        <v/>
      </c>
      <c r="L26" s="16">
        <f>(K26-SUMIFS('03_BOC_TACH_VAN'!$K$2:$K$5000, '03_BOC_TACH_VAN'!$B$2:$B$5000, B26, '03_BOC_TACH_VAN'!$D$2:$D$5000, "ĐỘNG_CƠ_VÀ_CẢM_BIẾN"))*0.25</f>
        <v/>
      </c>
      <c r="M26" s="16">
        <f>(K26-SUMIFS('03_BOC_TACH_VAN'!$K$2:$K$5000, '03_BOC_TACH_VAN'!$B$2:$B$5000, B26, '03_BOC_TACH_VAN'!$D$2:$D$5000, "ĐỘNG_CƠ_VÀ_CẢM_BIẾN"))*0.10</f>
        <v/>
      </c>
      <c r="N26" s="16">
        <f>K26+L26+M26</f>
        <v/>
      </c>
      <c r="O26" s="16">
        <f>IF(G26&gt;0, N26/G26, 0)</f>
        <v/>
      </c>
      <c r="P26" s="17" t="n">
        <v>0.18</v>
      </c>
      <c r="Q26" s="16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6">
        <f>G26*Q26</f>
        <v/>
      </c>
      <c r="S26" t="inlineStr">
        <is>
          <t>Louver nan Z ngoài trời kèm lưới chắn côn trùng Inox 304 kèm phin lọc bụi G4</t>
        </is>
      </c>
    </row>
    <row r="27">
      <c r="A27" t="n">
        <v>26</v>
      </c>
      <c r="B27" t="inlineStr">
        <is>
          <t>SW-DIFF-026</t>
        </is>
      </c>
      <c r="C27" t="inlineStr">
        <is>
          <t>CỬA GIÓ</t>
        </is>
      </c>
      <c r="D27" t="inlineStr">
        <is>
          <t>g. Cửa gió Cửa gió FAL 900x400+LCCT+G4 kèm hộp gió</t>
        </is>
      </c>
      <c r="E27" t="inlineStr">
        <is>
          <t>900x400</t>
        </is>
      </c>
      <c r="F27" t="inlineStr">
        <is>
          <t>cái</t>
        </is>
      </c>
      <c r="G27" s="16" t="n">
        <v>1</v>
      </c>
      <c r="H27" s="16">
        <f>SUMIF('01_BOC_TACH_ONG'!$B$2:$B$5000, B27, '01_BOC_TACH_ONG'!$K$2:$K$5000)</f>
        <v/>
      </c>
      <c r="I27" s="16">
        <f>SUMIF('02_BOC_TACH_CUA'!$B$2:$B$5000, B27, '02_BOC_TACH_CUA'!$K$2:$K$5000)</f>
        <v/>
      </c>
      <c r="J27" s="16">
        <f>SUMIF('03_BOC_TACH_VAN'!$B$2:$B$5000, B27, '03_BOC_TACH_VAN'!$K$2:$K$5000)</f>
        <v/>
      </c>
      <c r="K27" s="16">
        <f>SUM(H27:J27)</f>
        <v/>
      </c>
      <c r="L27" s="16">
        <f>(K27-SUMIFS('03_BOC_TACH_VAN'!$K$2:$K$5000, '03_BOC_TACH_VAN'!$B$2:$B$5000, B27, '03_BOC_TACH_VAN'!$D$2:$D$5000, "ĐỘNG_CƠ_VÀ_CẢM_BIẾN"))*0.25</f>
        <v/>
      </c>
      <c r="M27" s="16">
        <f>(K27-SUMIFS('03_BOC_TACH_VAN'!$K$2:$K$5000, '03_BOC_TACH_VAN'!$B$2:$B$5000, B27, '03_BOC_TACH_VAN'!$D$2:$D$5000, "ĐỘNG_CƠ_VÀ_CẢM_BIẾN"))*0.10</f>
        <v/>
      </c>
      <c r="N27" s="16">
        <f>K27+L27+M27</f>
        <v/>
      </c>
      <c r="O27" s="16">
        <f>IF(G27&gt;0, N27/G27, 0)</f>
        <v/>
      </c>
      <c r="P27" s="17" t="n">
        <v>0.18</v>
      </c>
      <c r="Q27" s="16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6">
        <f>G27*Q27</f>
        <v/>
      </c>
      <c r="S27" t="inlineStr">
        <is>
          <t>Louver nan Z ngoài trời kèm lưới chắn côn trùng Inox 304 kèm phin lọc bụi G4</t>
        </is>
      </c>
    </row>
    <row r="28">
      <c r="A28" t="n">
        <v>27</v>
      </c>
      <c r="B28" t="inlineStr">
        <is>
          <t>SW-DIFF-027</t>
        </is>
      </c>
      <c r="C28" t="inlineStr">
        <is>
          <t>CỬA GIÓ</t>
        </is>
      </c>
      <c r="D28" t="inlineStr">
        <is>
          <t>g. Cửa gió Cửa gió FAL 800x400+LCCT+G4 kèm hộp gió</t>
        </is>
      </c>
      <c r="E28" t="inlineStr">
        <is>
          <t>800x400</t>
        </is>
      </c>
      <c r="F28" t="inlineStr">
        <is>
          <t>cái</t>
        </is>
      </c>
      <c r="G28" s="16" t="n">
        <v>1</v>
      </c>
      <c r="H28" s="16">
        <f>SUMIF('01_BOC_TACH_ONG'!$B$2:$B$5000, B28, '01_BOC_TACH_ONG'!$K$2:$K$5000)</f>
        <v/>
      </c>
      <c r="I28" s="16">
        <f>SUMIF('02_BOC_TACH_CUA'!$B$2:$B$5000, B28, '02_BOC_TACH_CUA'!$K$2:$K$5000)</f>
        <v/>
      </c>
      <c r="J28" s="16">
        <f>SUMIF('03_BOC_TACH_VAN'!$B$2:$B$5000, B28, '03_BOC_TACH_VAN'!$K$2:$K$5000)</f>
        <v/>
      </c>
      <c r="K28" s="16">
        <f>SUM(H28:J28)</f>
        <v/>
      </c>
      <c r="L28" s="16">
        <f>(K28-SUMIFS('03_BOC_TACH_VAN'!$K$2:$K$5000, '03_BOC_TACH_VAN'!$B$2:$B$5000, B28, '03_BOC_TACH_VAN'!$D$2:$D$5000, "ĐỘNG_CƠ_VÀ_CẢM_BIẾN"))*0.25</f>
        <v/>
      </c>
      <c r="M28" s="16">
        <f>(K28-SUMIFS('03_BOC_TACH_VAN'!$K$2:$K$5000, '03_BOC_TACH_VAN'!$B$2:$B$5000, B28, '03_BOC_TACH_VAN'!$D$2:$D$5000, "ĐỘNG_CƠ_VÀ_CẢM_BIẾN"))*0.10</f>
        <v/>
      </c>
      <c r="N28" s="16">
        <f>K28+L28+M28</f>
        <v/>
      </c>
      <c r="O28" s="16">
        <f>IF(G28&gt;0, N28/G28, 0)</f>
        <v/>
      </c>
      <c r="P28" s="17" t="n">
        <v>0.18</v>
      </c>
      <c r="Q28" s="16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6">
        <f>G28*Q28</f>
        <v/>
      </c>
      <c r="S28" t="inlineStr">
        <is>
          <t>Louver nan Z ngoài trời kèm lưới chắn côn trùng Inox 304 kèm phin lọc bụi G4</t>
        </is>
      </c>
    </row>
    <row r="29">
      <c r="A29" t="n">
        <v>28</v>
      </c>
      <c r="B29" t="inlineStr">
        <is>
          <t>SW-DIFF-028</t>
        </is>
      </c>
      <c r="C29" t="inlineStr">
        <is>
          <t>CỬA GIÓ</t>
        </is>
      </c>
      <c r="D29" t="inlineStr">
        <is>
          <t>g. Cửa gió Cửa gió FAL 1600x500+LCCT+G4 kèm hộp gió</t>
        </is>
      </c>
      <c r="E29" t="inlineStr">
        <is>
          <t>1600x500</t>
        </is>
      </c>
      <c r="F29" t="inlineStr">
        <is>
          <t>cái</t>
        </is>
      </c>
      <c r="G29" s="16" t="n">
        <v>1</v>
      </c>
      <c r="H29" s="16">
        <f>SUMIF('01_BOC_TACH_ONG'!$B$2:$B$5000, B29, '01_BOC_TACH_ONG'!$K$2:$K$5000)</f>
        <v/>
      </c>
      <c r="I29" s="16">
        <f>SUMIF('02_BOC_TACH_CUA'!$B$2:$B$5000, B29, '02_BOC_TACH_CUA'!$K$2:$K$5000)</f>
        <v/>
      </c>
      <c r="J29" s="16">
        <f>SUMIF('03_BOC_TACH_VAN'!$B$2:$B$5000, B29, '03_BOC_TACH_VAN'!$K$2:$K$5000)</f>
        <v/>
      </c>
      <c r="K29" s="16">
        <f>SUM(H29:J29)</f>
        <v/>
      </c>
      <c r="L29" s="16">
        <f>(K29-SUMIFS('03_BOC_TACH_VAN'!$K$2:$K$5000, '03_BOC_TACH_VAN'!$B$2:$B$5000, B29, '03_BOC_TACH_VAN'!$D$2:$D$5000, "ĐỘNG_CƠ_VÀ_CẢM_BIẾN"))*0.25</f>
        <v/>
      </c>
      <c r="M29" s="16">
        <f>(K29-SUMIFS('03_BOC_TACH_VAN'!$K$2:$K$5000, '03_BOC_TACH_VAN'!$B$2:$B$5000, B29, '03_BOC_TACH_VAN'!$D$2:$D$5000, "ĐỘNG_CƠ_VÀ_CẢM_BIẾN"))*0.10</f>
        <v/>
      </c>
      <c r="N29" s="16">
        <f>K29+L29+M29</f>
        <v/>
      </c>
      <c r="O29" s="16">
        <f>IF(G29&gt;0, N29/G29, 0)</f>
        <v/>
      </c>
      <c r="P29" s="17" t="n">
        <v>0.18</v>
      </c>
      <c r="Q29" s="16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6">
        <f>G29*Q29</f>
        <v/>
      </c>
      <c r="S29" t="inlineStr">
        <is>
          <t>Louver nan Z ngoài trời kèm lưới chắn côn trùng Inox 304 kèm phin lọc bụi G4</t>
        </is>
      </c>
    </row>
    <row r="30">
      <c r="A30" t="n">
        <v>29</v>
      </c>
      <c r="B30" t="inlineStr">
        <is>
          <t>SW-DIFF-029</t>
        </is>
      </c>
      <c r="C30" t="inlineStr">
        <is>
          <t>CỬA GIÓ</t>
        </is>
      </c>
      <c r="D30" t="inlineStr">
        <is>
          <t>g. Cửa gió Cửa gió EAL 500x400+LCCT kèm hộp gió</t>
        </is>
      </c>
      <c r="E30" t="inlineStr">
        <is>
          <t>500x400</t>
        </is>
      </c>
      <c r="F30" t="inlineStr">
        <is>
          <t>cái</t>
        </is>
      </c>
      <c r="G30" s="16" t="n">
        <v>2</v>
      </c>
      <c r="H30" s="16">
        <f>SUMIF('01_BOC_TACH_ONG'!$B$2:$B$5000, B30, '01_BOC_TACH_ONG'!$K$2:$K$5000)</f>
        <v/>
      </c>
      <c r="I30" s="16">
        <f>SUMIF('02_BOC_TACH_CUA'!$B$2:$B$5000, B30, '02_BOC_TACH_CUA'!$K$2:$K$5000)</f>
        <v/>
      </c>
      <c r="J30" s="16">
        <f>SUMIF('03_BOC_TACH_VAN'!$B$2:$B$5000, B30, '03_BOC_TACH_VAN'!$K$2:$K$5000)</f>
        <v/>
      </c>
      <c r="K30" s="16">
        <f>SUM(H30:J30)</f>
        <v/>
      </c>
      <c r="L30" s="16">
        <f>(K30-SUMIFS('03_BOC_TACH_VAN'!$K$2:$K$5000, '03_BOC_TACH_VAN'!$B$2:$B$5000, B30, '03_BOC_TACH_VAN'!$D$2:$D$5000, "ĐỘNG_CƠ_VÀ_CẢM_BIẾN"))*0.25</f>
        <v/>
      </c>
      <c r="M30" s="16">
        <f>(K30-SUMIFS('03_BOC_TACH_VAN'!$K$2:$K$5000, '03_BOC_TACH_VAN'!$B$2:$B$5000, B30, '03_BOC_TACH_VAN'!$D$2:$D$5000, "ĐỘNG_CƠ_VÀ_CẢM_BIẾN"))*0.10</f>
        <v/>
      </c>
      <c r="N30" s="16">
        <f>K30+L30+M30</f>
        <v/>
      </c>
      <c r="O30" s="16">
        <f>IF(G30&gt;0, N30/G30, 0)</f>
        <v/>
      </c>
      <c r="P30" s="17" t="n">
        <v>0.18</v>
      </c>
      <c r="Q30" s="16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6">
        <f>G30*Q30</f>
        <v/>
      </c>
      <c r="S30" t="inlineStr">
        <is>
          <t>Louver nan Z ngoài trời kèm lưới chắn côn trùng Inox 304</t>
        </is>
      </c>
    </row>
    <row r="31">
      <c r="A31" t="n">
        <v>30</v>
      </c>
      <c r="B31" t="inlineStr">
        <is>
          <t>SW-DIFF-030</t>
        </is>
      </c>
      <c r="C31" t="inlineStr">
        <is>
          <t>CỬA GIÓ</t>
        </is>
      </c>
      <c r="D31" t="inlineStr">
        <is>
          <t>g. Cửa gió Cửa gió EAL 1600x500+LCCT kèm hộp gió</t>
        </is>
      </c>
      <c r="E31" t="inlineStr">
        <is>
          <t>1600x500</t>
        </is>
      </c>
      <c r="F31" t="inlineStr">
        <is>
          <t>cái</t>
        </is>
      </c>
      <c r="G31" s="16" t="n">
        <v>1</v>
      </c>
      <c r="H31" s="16">
        <f>SUMIF('01_BOC_TACH_ONG'!$B$2:$B$5000, B31, '01_BOC_TACH_ONG'!$K$2:$K$5000)</f>
        <v/>
      </c>
      <c r="I31" s="16">
        <f>SUMIF('02_BOC_TACH_CUA'!$B$2:$B$5000, B31, '02_BOC_TACH_CUA'!$K$2:$K$5000)</f>
        <v/>
      </c>
      <c r="J31" s="16">
        <f>SUMIF('03_BOC_TACH_VAN'!$B$2:$B$5000, B31, '03_BOC_TACH_VAN'!$K$2:$K$5000)</f>
        <v/>
      </c>
      <c r="K31" s="16">
        <f>SUM(H31:J31)</f>
        <v/>
      </c>
      <c r="L31" s="16">
        <f>(K31-SUMIFS('03_BOC_TACH_VAN'!$K$2:$K$5000, '03_BOC_TACH_VAN'!$B$2:$B$5000, B31, '03_BOC_TACH_VAN'!$D$2:$D$5000, "ĐỘNG_CƠ_VÀ_CẢM_BIẾN"))*0.25</f>
        <v/>
      </c>
      <c r="M31" s="16">
        <f>(K31-SUMIFS('03_BOC_TACH_VAN'!$K$2:$K$5000, '03_BOC_TACH_VAN'!$B$2:$B$5000, B31, '03_BOC_TACH_VAN'!$D$2:$D$5000, "ĐỘNG_CƠ_VÀ_CẢM_BIẾN"))*0.10</f>
        <v/>
      </c>
      <c r="N31" s="16">
        <f>K31+L31+M31</f>
        <v/>
      </c>
      <c r="O31" s="16">
        <f>IF(G31&gt;0, N31/G31, 0)</f>
        <v/>
      </c>
      <c r="P31" s="17" t="n">
        <v>0.18</v>
      </c>
      <c r="Q31" s="16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6">
        <f>G31*Q31</f>
        <v/>
      </c>
      <c r="S31" t="inlineStr">
        <is>
          <t>Louver nan Z ngoài trời kèm lưới chắn côn trùng Inox 304</t>
        </is>
      </c>
    </row>
    <row r="32">
      <c r="A32" t="n">
        <v>31</v>
      </c>
      <c r="B32" t="inlineStr">
        <is>
          <t>SW-DIFF-031</t>
        </is>
      </c>
      <c r="C32" t="inlineStr">
        <is>
          <t>CỬA GIÓ</t>
        </is>
      </c>
      <c r="D32" t="inlineStr">
        <is>
          <t>g. Cửa gió Cửa gió EAL 800x400+LCCT kèm hộp gió</t>
        </is>
      </c>
      <c r="E32" t="inlineStr">
        <is>
          <t>800x400</t>
        </is>
      </c>
      <c r="F32" t="inlineStr">
        <is>
          <t>cái</t>
        </is>
      </c>
      <c r="G32" s="16" t="n">
        <v>1</v>
      </c>
      <c r="H32" s="16">
        <f>SUMIF('01_BOC_TACH_ONG'!$B$2:$B$5000, B32, '01_BOC_TACH_ONG'!$K$2:$K$5000)</f>
        <v/>
      </c>
      <c r="I32" s="16">
        <f>SUMIF('02_BOC_TACH_CUA'!$B$2:$B$5000, B32, '02_BOC_TACH_CUA'!$K$2:$K$5000)</f>
        <v/>
      </c>
      <c r="J32" s="16">
        <f>SUMIF('03_BOC_TACH_VAN'!$B$2:$B$5000, B32, '03_BOC_TACH_VAN'!$K$2:$K$5000)</f>
        <v/>
      </c>
      <c r="K32" s="16">
        <f>SUM(H32:J32)</f>
        <v/>
      </c>
      <c r="L32" s="16">
        <f>(K32-SUMIFS('03_BOC_TACH_VAN'!$K$2:$K$5000, '03_BOC_TACH_VAN'!$B$2:$B$5000, B32, '03_BOC_TACH_VAN'!$D$2:$D$5000, "ĐỘNG_CƠ_VÀ_CẢM_BIẾN"))*0.25</f>
        <v/>
      </c>
      <c r="M32" s="16">
        <f>(K32-SUMIFS('03_BOC_TACH_VAN'!$K$2:$K$5000, '03_BOC_TACH_VAN'!$B$2:$B$5000, B32, '03_BOC_TACH_VAN'!$D$2:$D$5000, "ĐỘNG_CƠ_VÀ_CẢM_BIẾN"))*0.10</f>
        <v/>
      </c>
      <c r="N32" s="16">
        <f>K32+L32+M32</f>
        <v/>
      </c>
      <c r="O32" s="16">
        <f>IF(G32&gt;0, N32/G32, 0)</f>
        <v/>
      </c>
      <c r="P32" s="17" t="n">
        <v>0.18</v>
      </c>
      <c r="Q32" s="16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6">
        <f>G32*Q32</f>
        <v/>
      </c>
      <c r="S32" t="inlineStr">
        <is>
          <t>Louver nan Z ngoài trời kèm lưới chắn côn trùng Inox 304</t>
        </is>
      </c>
    </row>
    <row r="33">
      <c r="A33" t="n">
        <v>32</v>
      </c>
      <c r="B33" t="inlineStr">
        <is>
          <t>SW-DIFF-032</t>
        </is>
      </c>
      <c r="C33" t="inlineStr">
        <is>
          <t>CỬA GIÓ</t>
        </is>
      </c>
      <c r="D33" t="inlineStr">
        <is>
          <t>g. Cửa gió Cửa gió EAL 1800x450+LCCT kèm hộp gió</t>
        </is>
      </c>
      <c r="E33" t="inlineStr">
        <is>
          <t>1800x450</t>
        </is>
      </c>
      <c r="F33" t="inlineStr">
        <is>
          <t>cái</t>
        </is>
      </c>
      <c r="G33" s="16" t="n">
        <v>1</v>
      </c>
      <c r="H33" s="16">
        <f>SUMIF('01_BOC_TACH_ONG'!$B$2:$B$5000, B33, '01_BOC_TACH_ONG'!$K$2:$K$5000)</f>
        <v/>
      </c>
      <c r="I33" s="16">
        <f>SUMIF('02_BOC_TACH_CUA'!$B$2:$B$5000, B33, '02_BOC_TACH_CUA'!$K$2:$K$5000)</f>
        <v/>
      </c>
      <c r="J33" s="16">
        <f>SUMIF('03_BOC_TACH_VAN'!$B$2:$B$5000, B33, '03_BOC_TACH_VAN'!$K$2:$K$5000)</f>
        <v/>
      </c>
      <c r="K33" s="16">
        <f>SUM(H33:J33)</f>
        <v/>
      </c>
      <c r="L33" s="16">
        <f>(K33-SUMIFS('03_BOC_TACH_VAN'!$K$2:$K$5000, '03_BOC_TACH_VAN'!$B$2:$B$5000, B33, '03_BOC_TACH_VAN'!$D$2:$D$5000, "ĐỘNG_CƠ_VÀ_CẢM_BIẾN"))*0.25</f>
        <v/>
      </c>
      <c r="M33" s="16">
        <f>(K33-SUMIFS('03_BOC_TACH_VAN'!$K$2:$K$5000, '03_BOC_TACH_VAN'!$B$2:$B$5000, B33, '03_BOC_TACH_VAN'!$D$2:$D$5000, "ĐỘNG_CƠ_VÀ_CẢM_BIẾN"))*0.10</f>
        <v/>
      </c>
      <c r="N33" s="16">
        <f>K33+L33+M33</f>
        <v/>
      </c>
      <c r="O33" s="16">
        <f>IF(G33&gt;0, N33/G33, 0)</f>
        <v/>
      </c>
      <c r="P33" s="17" t="n">
        <v>0.18</v>
      </c>
      <c r="Q33" s="16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6">
        <f>G33*Q33</f>
        <v/>
      </c>
      <c r="S33" t="inlineStr">
        <is>
          <t>Louver nan Z ngoài trời kèm lưới chắn côn trùng Inox 304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h. Van gió Van gió MFD 200x200</t>
        </is>
      </c>
      <c r="E34" t="inlineStr">
        <is>
          <t>200x200</t>
        </is>
      </c>
      <c r="F34" t="inlineStr">
        <is>
          <t>cái</t>
        </is>
      </c>
      <c r="G34" s="16" t="n">
        <v>35</v>
      </c>
      <c r="H34" s="16">
        <f>SUMIF('01_BOC_TACH_ONG'!$B$2:$B$5000, B34, '01_BOC_TACH_ONG'!$K$2:$K$5000)</f>
        <v/>
      </c>
      <c r="I34" s="16">
        <f>SUMIF('02_BOC_TACH_CUA'!$B$2:$B$5000, B34, '02_BOC_TACH_CUA'!$K$2:$K$5000)</f>
        <v/>
      </c>
      <c r="J34" s="16">
        <f>SUMIF('03_BOC_TACH_VAN'!$B$2:$B$5000, B34, '03_BOC_TACH_VAN'!$K$2:$K$5000)</f>
        <v/>
      </c>
      <c r="K34" s="16">
        <f>SUM(H34:J34)</f>
        <v/>
      </c>
      <c r="L34" s="16">
        <f>(K34-SUMIFS('03_BOC_TACH_VAN'!$K$2:$K$5000, '03_BOC_TACH_VAN'!$B$2:$B$5000, B34, '03_BOC_TACH_VAN'!$D$2:$D$5000, "ĐỘNG_CƠ_VÀ_CẢM_BIẾN"))*0.25</f>
        <v/>
      </c>
      <c r="M34" s="16">
        <f>(K34-SUMIFS('03_BOC_TACH_VAN'!$K$2:$K$5000, '03_BOC_TACH_VAN'!$B$2:$B$5000, B34, '03_BOC_TACH_VAN'!$D$2:$D$5000, "ĐỘNG_CƠ_VÀ_CẢM_BIẾN"))*0.10</f>
        <v/>
      </c>
      <c r="N34" s="16">
        <f>K34+L34+M34</f>
        <v/>
      </c>
      <c r="O34" s="16">
        <f>IF(G34&gt;0, N34/G34, 0)</f>
        <v/>
      </c>
      <c r="P34" s="17" t="n">
        <v>0.18</v>
      </c>
      <c r="Q34" s="16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6">
        <f>G34*Q34</f>
        <v/>
      </c>
      <c r="S34" t="inlineStr">
        <is>
          <t>- Van ngăn cháy động cơ - Tiêu chuẩn EI 90
- 2 đầu bích TDC - Gắn kèm động cơ ON-OFF 5Nm, Hãng KLB
- Sản xuất theo BCTN số 4651/VLXD-TBMT</t>
        </is>
      </c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h. Van gió Van gió MFD 300x200</t>
        </is>
      </c>
      <c r="E35" t="inlineStr">
        <is>
          <t>300x200</t>
        </is>
      </c>
      <c r="F35" t="inlineStr">
        <is>
          <t>cái</t>
        </is>
      </c>
      <c r="G35" s="16" t="n">
        <v>3</v>
      </c>
      <c r="H35" s="16">
        <f>SUMIF('01_BOC_TACH_ONG'!$B$2:$B$5000, B35, '01_BOC_TACH_ONG'!$K$2:$K$5000)</f>
        <v/>
      </c>
      <c r="I35" s="16">
        <f>SUMIF('02_BOC_TACH_CUA'!$B$2:$B$5000, B35, '02_BOC_TACH_CUA'!$K$2:$K$5000)</f>
        <v/>
      </c>
      <c r="J35" s="16">
        <f>SUMIF('03_BOC_TACH_VAN'!$B$2:$B$5000, B35, '03_BOC_TACH_VAN'!$K$2:$K$5000)</f>
        <v/>
      </c>
      <c r="K35" s="16">
        <f>SUM(H35:J35)</f>
        <v/>
      </c>
      <c r="L35" s="16">
        <f>(K35-SUMIFS('03_BOC_TACH_VAN'!$K$2:$K$5000, '03_BOC_TACH_VAN'!$B$2:$B$5000, B35, '03_BOC_TACH_VAN'!$D$2:$D$5000, "ĐỘNG_CƠ_VÀ_CẢM_BIẾN"))*0.25</f>
        <v/>
      </c>
      <c r="M35" s="16">
        <f>(K35-SUMIFS('03_BOC_TACH_VAN'!$K$2:$K$5000, '03_BOC_TACH_VAN'!$B$2:$B$5000, B35, '03_BOC_TACH_VAN'!$D$2:$D$5000, "ĐỘNG_CƠ_VÀ_CẢM_BIẾN"))*0.10</f>
        <v/>
      </c>
      <c r="N35" s="16">
        <f>K35+L35+M35</f>
        <v/>
      </c>
      <c r="O35" s="16">
        <f>IF(G35&gt;0, N35/G35, 0)</f>
        <v/>
      </c>
      <c r="P35" s="17" t="n">
        <v>0.18</v>
      </c>
      <c r="Q35" s="16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6">
        <f>G35*Q35</f>
        <v/>
      </c>
      <c r="S35" t="inlineStr">
        <is>
          <t>- Van ngăn cháy động cơ - Tiêu chuẩn EI 90
- 2 đầu bích TDC - Gắn kèm động cơ ON-OFF 5Nm, Hãng KLB
- Sản xuất theo BCTN số 4651/VLXD-TBMT</t>
        </is>
      </c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h. Van gió Van gió FD 1200x500</t>
        </is>
      </c>
      <c r="E36" t="inlineStr">
        <is>
          <t>1200x500</t>
        </is>
      </c>
      <c r="F36" t="inlineStr">
        <is>
          <t>cái</t>
        </is>
      </c>
      <c r="G36" s="16" t="n">
        <v>1</v>
      </c>
      <c r="H36" s="16">
        <f>SUMIF('01_BOC_TACH_ONG'!$B$2:$B$5000, B36, '01_BOC_TACH_ONG'!$K$2:$K$5000)</f>
        <v/>
      </c>
      <c r="I36" s="16">
        <f>SUMIF('02_BOC_TACH_CUA'!$B$2:$B$5000, B36, '02_BOC_TACH_CUA'!$K$2:$K$5000)</f>
        <v/>
      </c>
      <c r="J36" s="16">
        <f>SUMIF('03_BOC_TACH_VAN'!$B$2:$B$5000, B36, '03_BOC_TACH_VAN'!$K$2:$K$5000)</f>
        <v/>
      </c>
      <c r="K36" s="16">
        <f>SUM(H36:J36)</f>
        <v/>
      </c>
      <c r="L36" s="16">
        <f>(K36-SUMIFS('03_BOC_TACH_VAN'!$K$2:$K$5000, '03_BOC_TACH_VAN'!$B$2:$B$5000, B36, '03_BOC_TACH_VAN'!$D$2:$D$5000, "ĐỘNG_CƠ_VÀ_CẢM_BIẾN"))*0.25</f>
        <v/>
      </c>
      <c r="M36" s="16">
        <f>(K36-SUMIFS('03_BOC_TACH_VAN'!$K$2:$K$5000, '03_BOC_TACH_VAN'!$B$2:$B$5000, B36, '03_BOC_TACH_VAN'!$D$2:$D$5000, "ĐỘNG_CƠ_VÀ_CẢM_BIẾN"))*0.10</f>
        <v/>
      </c>
      <c r="N36" s="16">
        <f>K36+L36+M36</f>
        <v/>
      </c>
      <c r="O36" s="16">
        <f>IF(G36&gt;0, N36/G36, 0)</f>
        <v/>
      </c>
      <c r="P36" s="17" t="n">
        <v>0.18</v>
      </c>
      <c r="Q36" s="16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6">
        <f>G36*Q36</f>
        <v/>
      </c>
      <c r="S36" t="inlineStr">
        <is>
          <t>- Van chặn lửa cầu chì - Tiêu chuẩn EI 120
- 2 đầu bích TDC - gắn cầu chì 70-74 độ C
- Sản xuất theo BCTN số: 4761/VLXD-TBMT</t>
        </is>
      </c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h. Van gió Van gió FD 1200x600</t>
        </is>
      </c>
      <c r="E37" t="inlineStr">
        <is>
          <t>1200x600</t>
        </is>
      </c>
      <c r="F37" t="inlineStr">
        <is>
          <t>cái</t>
        </is>
      </c>
      <c r="G37" s="16" t="n">
        <v>1</v>
      </c>
      <c r="H37" s="16">
        <f>SUMIF('01_BOC_TACH_ONG'!$B$2:$B$5000, B37, '01_BOC_TACH_ONG'!$K$2:$K$5000)</f>
        <v/>
      </c>
      <c r="I37" s="16">
        <f>SUMIF('02_BOC_TACH_CUA'!$B$2:$B$5000, B37, '02_BOC_TACH_CUA'!$K$2:$K$5000)</f>
        <v/>
      </c>
      <c r="J37" s="16">
        <f>SUMIF('03_BOC_TACH_VAN'!$B$2:$B$5000, B37, '03_BOC_TACH_VAN'!$K$2:$K$5000)</f>
        <v/>
      </c>
      <c r="K37" s="16">
        <f>SUM(H37:J37)</f>
        <v/>
      </c>
      <c r="L37" s="16">
        <f>(K37-SUMIFS('03_BOC_TACH_VAN'!$K$2:$K$5000, '03_BOC_TACH_VAN'!$B$2:$B$5000, B37, '03_BOC_TACH_VAN'!$D$2:$D$5000, "ĐỘNG_CƠ_VÀ_CẢM_BIẾN"))*0.25</f>
        <v/>
      </c>
      <c r="M37" s="16">
        <f>(K37-SUMIFS('03_BOC_TACH_VAN'!$K$2:$K$5000, '03_BOC_TACH_VAN'!$B$2:$B$5000, B37, '03_BOC_TACH_VAN'!$D$2:$D$5000, "ĐỘNG_CƠ_VÀ_CẢM_BIẾN"))*0.10</f>
        <v/>
      </c>
      <c r="N37" s="16">
        <f>K37+L37+M37</f>
        <v/>
      </c>
      <c r="O37" s="16">
        <f>IF(G37&gt;0, N37/G37, 0)</f>
        <v/>
      </c>
      <c r="P37" s="17" t="n">
        <v>0.18</v>
      </c>
      <c r="Q37" s="16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6">
        <f>G37*Q37</f>
        <v/>
      </c>
      <c r="S37" t="inlineStr">
        <is>
          <t>- Van chặn lửa cầu chì - Tiêu chuẩn EI 120
- 2 đầu bích TDC - gắn cầu chì 70-74 độ C
- Sản xuất theo BCTN số: 4761/VLXD-TBMT</t>
        </is>
      </c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h. Van gió Van gió FD 600x300</t>
        </is>
      </c>
      <c r="E38" t="inlineStr">
        <is>
          <t>600x300</t>
        </is>
      </c>
      <c r="F38" t="inlineStr">
        <is>
          <t>cái</t>
        </is>
      </c>
      <c r="G38" s="16" t="n">
        <v>2</v>
      </c>
      <c r="H38" s="16">
        <f>SUMIF('01_BOC_TACH_ONG'!$B$2:$B$5000, B38, '01_BOC_TACH_ONG'!$K$2:$K$5000)</f>
        <v/>
      </c>
      <c r="I38" s="16">
        <f>SUMIF('02_BOC_TACH_CUA'!$B$2:$B$5000, B38, '02_BOC_TACH_CUA'!$K$2:$K$5000)</f>
        <v/>
      </c>
      <c r="J38" s="16">
        <f>SUMIF('03_BOC_TACH_VAN'!$B$2:$B$5000, B38, '03_BOC_TACH_VAN'!$K$2:$K$5000)</f>
        <v/>
      </c>
      <c r="K38" s="16">
        <f>SUM(H38:J38)</f>
        <v/>
      </c>
      <c r="L38" s="16">
        <f>(K38-SUMIFS('03_BOC_TACH_VAN'!$K$2:$K$5000, '03_BOC_TACH_VAN'!$B$2:$B$5000, B38, '03_BOC_TACH_VAN'!$D$2:$D$5000, "ĐỘNG_CƠ_VÀ_CẢM_BIẾN"))*0.25</f>
        <v/>
      </c>
      <c r="M38" s="16">
        <f>(K38-SUMIFS('03_BOC_TACH_VAN'!$K$2:$K$5000, '03_BOC_TACH_VAN'!$B$2:$B$5000, B38, '03_BOC_TACH_VAN'!$D$2:$D$5000, "ĐỘNG_CƠ_VÀ_CẢM_BIẾN"))*0.10</f>
        <v/>
      </c>
      <c r="N38" s="16">
        <f>K38+L38+M38</f>
        <v/>
      </c>
      <c r="O38" s="16">
        <f>IF(G38&gt;0, N38/G38, 0)</f>
        <v/>
      </c>
      <c r="P38" s="17" t="n">
        <v>0.18</v>
      </c>
      <c r="Q38" s="16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6">
        <f>G38*Q38</f>
        <v/>
      </c>
      <c r="S38" t="inlineStr">
        <is>
          <t>- Van chặn lửa cầu chì - Tiêu chuẩn EI 120
- 2 đầu bích TDC - gắn cầu chì 70-74 độ C
- Sản xuất theo BCTN số: 4761/VLXD-TBMT</t>
        </is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h. Van gió Van gió FD 350x250</t>
        </is>
      </c>
      <c r="E39" t="inlineStr">
        <is>
          <t>350x250</t>
        </is>
      </c>
      <c r="F39" t="inlineStr">
        <is>
          <t>cái</t>
        </is>
      </c>
      <c r="G39" s="16" t="n">
        <v>2</v>
      </c>
      <c r="H39" s="16">
        <f>SUMIF('01_BOC_TACH_ONG'!$B$2:$B$5000, B39, '01_BOC_TACH_ONG'!$K$2:$K$5000)</f>
        <v/>
      </c>
      <c r="I39" s="16">
        <f>SUMIF('02_BOC_TACH_CUA'!$B$2:$B$5000, B39, '02_BOC_TACH_CUA'!$K$2:$K$5000)</f>
        <v/>
      </c>
      <c r="J39" s="16">
        <f>SUMIF('03_BOC_TACH_VAN'!$B$2:$B$5000, B39, '03_BOC_TACH_VAN'!$K$2:$K$5000)</f>
        <v/>
      </c>
      <c r="K39" s="16">
        <f>SUM(H39:J39)</f>
        <v/>
      </c>
      <c r="L39" s="16">
        <f>(K39-SUMIFS('03_BOC_TACH_VAN'!$K$2:$K$5000, '03_BOC_TACH_VAN'!$B$2:$B$5000, B39, '03_BOC_TACH_VAN'!$D$2:$D$5000, "ĐỘNG_CƠ_VÀ_CẢM_BIẾN"))*0.25</f>
        <v/>
      </c>
      <c r="M39" s="16">
        <f>(K39-SUMIFS('03_BOC_TACH_VAN'!$K$2:$K$5000, '03_BOC_TACH_VAN'!$B$2:$B$5000, B39, '03_BOC_TACH_VAN'!$D$2:$D$5000, "ĐỘNG_CƠ_VÀ_CẢM_BIẾN"))*0.10</f>
        <v/>
      </c>
      <c r="N39" s="16">
        <f>K39+L39+M39</f>
        <v/>
      </c>
      <c r="O39" s="16">
        <f>IF(G39&gt;0, N39/G39, 0)</f>
        <v/>
      </c>
      <c r="P39" s="17" t="n">
        <v>0.18</v>
      </c>
      <c r="Q39" s="16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6">
        <f>G39*Q39</f>
        <v/>
      </c>
      <c r="S39" t="inlineStr">
        <is>
          <t>- Van chặn lửa cầu chì - Tiêu chuẩn EI 120
- 2 đầu bích TDC - gắn cầu chì 70-74 độ C
- Sản xuất theo BCTN số: 4761/VLXD-TBMT</t>
        </is>
      </c>
    </row>
    <row r="40">
      <c r="A40" t="n">
        <v>39</v>
      </c>
      <c r="B40" t="inlineStr">
        <is>
          <t>SW-DAMPER-039</t>
        </is>
      </c>
      <c r="C40" t="inlineStr">
        <is>
          <t>VAN GIÓ</t>
        </is>
      </c>
      <c r="D40" t="inlineStr">
        <is>
          <t>h. Van gió Van gió MFD 1200x500</t>
        </is>
      </c>
      <c r="E40" t="inlineStr">
        <is>
          <t>1200x500</t>
        </is>
      </c>
      <c r="F40" t="inlineStr">
        <is>
          <t>cái</t>
        </is>
      </c>
      <c r="G40" s="16" t="n">
        <v>1</v>
      </c>
      <c r="H40" s="16">
        <f>SUMIF('01_BOC_TACH_ONG'!$B$2:$B$5000, B40, '01_BOC_TACH_ONG'!$K$2:$K$5000)</f>
        <v/>
      </c>
      <c r="I40" s="16">
        <f>SUMIF('02_BOC_TACH_CUA'!$B$2:$B$5000, B40, '02_BOC_TACH_CUA'!$K$2:$K$5000)</f>
        <v/>
      </c>
      <c r="J40" s="16">
        <f>SUMIF('03_BOC_TACH_VAN'!$B$2:$B$5000, B40, '03_BOC_TACH_VAN'!$K$2:$K$5000)</f>
        <v/>
      </c>
      <c r="K40" s="16">
        <f>SUM(H40:J40)</f>
        <v/>
      </c>
      <c r="L40" s="16">
        <f>(K40-SUMIFS('03_BOC_TACH_VAN'!$K$2:$K$5000, '03_BOC_TACH_VAN'!$B$2:$B$5000, B40, '03_BOC_TACH_VAN'!$D$2:$D$5000, "ĐỘNG_CƠ_VÀ_CẢM_BIẾN"))*0.25</f>
        <v/>
      </c>
      <c r="M40" s="16">
        <f>(K40-SUMIFS('03_BOC_TACH_VAN'!$K$2:$K$5000, '03_BOC_TACH_VAN'!$B$2:$B$5000, B40, '03_BOC_TACH_VAN'!$D$2:$D$5000, "ĐỘNG_CƠ_VÀ_CẢM_BIẾN"))*0.10</f>
        <v/>
      </c>
      <c r="N40" s="16">
        <f>K40+L40+M40</f>
        <v/>
      </c>
      <c r="O40" s="16">
        <f>IF(G40&gt;0, N40/G40, 0)</f>
        <v/>
      </c>
      <c r="P40" s="17" t="n">
        <v>0.18</v>
      </c>
      <c r="Q40" s="16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6">
        <f>G40*Q40</f>
        <v/>
      </c>
      <c r="S40" t="inlineStr">
        <is>
          <t>- Van ngăn cháy động cơ - Tiêu chuẩn EI 90
- 2 đầu bích TDC - Gắn kèm động cơ ON-OFF 5Nm, Hãng KLB
- Sản xuất theo BCTN số 4651/VLXD-TBMT</t>
        </is>
      </c>
    </row>
    <row r="41">
      <c r="A41" t="n">
        <v>40</v>
      </c>
      <c r="B41" t="inlineStr">
        <is>
          <t>SW-DAMPER-040</t>
        </is>
      </c>
      <c r="C41" t="inlineStr">
        <is>
          <t>VAN GIÓ</t>
        </is>
      </c>
      <c r="D41" t="inlineStr">
        <is>
          <t>h. Van gió Van gió MFD 1800x750</t>
        </is>
      </c>
      <c r="E41" t="inlineStr">
        <is>
          <t>1800x750</t>
        </is>
      </c>
      <c r="F41" t="inlineStr">
        <is>
          <t>cái</t>
        </is>
      </c>
      <c r="G41" s="16" t="n">
        <v>1</v>
      </c>
      <c r="H41" s="16">
        <f>SUMIF('01_BOC_TACH_ONG'!$B$2:$B$5000, B41, '01_BOC_TACH_ONG'!$K$2:$K$5000)</f>
        <v/>
      </c>
      <c r="I41" s="16">
        <f>SUMIF('02_BOC_TACH_CUA'!$B$2:$B$5000, B41, '02_BOC_TACH_CUA'!$K$2:$K$5000)</f>
        <v/>
      </c>
      <c r="J41" s="16">
        <f>SUMIF('03_BOC_TACH_VAN'!$B$2:$B$5000, B41, '03_BOC_TACH_VAN'!$K$2:$K$5000)</f>
        <v/>
      </c>
      <c r="K41" s="16">
        <f>SUM(H41:J41)</f>
        <v/>
      </c>
      <c r="L41" s="16">
        <f>(K41-SUMIFS('03_BOC_TACH_VAN'!$K$2:$K$5000, '03_BOC_TACH_VAN'!$B$2:$B$5000, B41, '03_BOC_TACH_VAN'!$D$2:$D$5000, "ĐỘNG_CƠ_VÀ_CẢM_BIẾN"))*0.25</f>
        <v/>
      </c>
      <c r="M41" s="16">
        <f>(K41-SUMIFS('03_BOC_TACH_VAN'!$K$2:$K$5000, '03_BOC_TACH_VAN'!$B$2:$B$5000, B41, '03_BOC_TACH_VAN'!$D$2:$D$5000, "ĐỘNG_CƠ_VÀ_CẢM_BIẾN"))*0.10</f>
        <v/>
      </c>
      <c r="N41" s="16">
        <f>K41+L41+M41</f>
        <v/>
      </c>
      <c r="O41" s="16">
        <f>IF(G41&gt;0, N41/G41, 0)</f>
        <v/>
      </c>
      <c r="P41" s="17" t="n">
        <v>0.18</v>
      </c>
      <c r="Q41" s="16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6">
        <f>G41*Q41</f>
        <v/>
      </c>
      <c r="S41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42">
      <c r="A42" t="n">
        <v>41</v>
      </c>
      <c r="B42" t="inlineStr">
        <is>
          <t>SW-DAMPER-041</t>
        </is>
      </c>
      <c r="C42" t="inlineStr">
        <is>
          <t>VAN GIÓ</t>
        </is>
      </c>
      <c r="D42" t="inlineStr">
        <is>
          <t>h. Van gió Van gió MFD 2000x1200</t>
        </is>
      </c>
      <c r="E42" t="inlineStr">
        <is>
          <t>2000x1200</t>
        </is>
      </c>
      <c r="F42" t="inlineStr">
        <is>
          <t>cái</t>
        </is>
      </c>
      <c r="G42" s="16" t="n">
        <v>2</v>
      </c>
      <c r="H42" s="16">
        <f>SUMIF('01_BOC_TACH_ONG'!$B$2:$B$5000, B42, '01_BOC_TACH_ONG'!$K$2:$K$5000)</f>
        <v/>
      </c>
      <c r="I42" s="16">
        <f>SUMIF('02_BOC_TACH_CUA'!$B$2:$B$5000, B42, '02_BOC_TACH_CUA'!$K$2:$K$5000)</f>
        <v/>
      </c>
      <c r="J42" s="16">
        <f>SUMIF('03_BOC_TACH_VAN'!$B$2:$B$5000, B42, '03_BOC_TACH_VAN'!$K$2:$K$5000)</f>
        <v/>
      </c>
      <c r="K42" s="16">
        <f>SUM(H42:J42)</f>
        <v/>
      </c>
      <c r="L42" s="16">
        <f>(K42-SUMIFS('03_BOC_TACH_VAN'!$K$2:$K$5000, '03_BOC_TACH_VAN'!$B$2:$B$5000, B42, '03_BOC_TACH_VAN'!$D$2:$D$5000, "ĐỘNG_CƠ_VÀ_CẢM_BIẾN"))*0.25</f>
        <v/>
      </c>
      <c r="M42" s="16">
        <f>(K42-SUMIFS('03_BOC_TACH_VAN'!$K$2:$K$5000, '03_BOC_TACH_VAN'!$B$2:$B$5000, B42, '03_BOC_TACH_VAN'!$D$2:$D$5000, "ĐỘNG_CƠ_VÀ_CẢM_BIẾN"))*0.10</f>
        <v/>
      </c>
      <c r="N42" s="16">
        <f>K42+L42+M42</f>
        <v/>
      </c>
      <c r="O42" s="16">
        <f>IF(G42&gt;0, N42/G42, 0)</f>
        <v/>
      </c>
      <c r="P42" s="17" t="n">
        <v>0.18</v>
      </c>
      <c r="Q42" s="16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6">
        <f>G42*Q42</f>
        <v/>
      </c>
      <c r="S42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43">
      <c r="A43" t="n">
        <v>42</v>
      </c>
      <c r="B43" t="inlineStr">
        <is>
          <t>SW-DAMPER-042</t>
        </is>
      </c>
      <c r="C43" t="inlineStr">
        <is>
          <t>VAN GIÓ</t>
        </is>
      </c>
      <c r="D43" t="inlineStr">
        <is>
          <t>h. Van gió Van gió MFD 200x200</t>
        </is>
      </c>
      <c r="E43" t="inlineStr">
        <is>
          <t>200x200</t>
        </is>
      </c>
      <c r="F43" t="inlineStr">
        <is>
          <t>cái</t>
        </is>
      </c>
      <c r="G43" s="16" t="n">
        <v>1</v>
      </c>
      <c r="H43" s="16">
        <f>SUMIF('01_BOC_TACH_ONG'!$B$2:$B$5000, B43, '01_BOC_TACH_ONG'!$K$2:$K$5000)</f>
        <v/>
      </c>
      <c r="I43" s="16">
        <f>SUMIF('02_BOC_TACH_CUA'!$B$2:$B$5000, B43, '02_BOC_TACH_CUA'!$K$2:$K$5000)</f>
        <v/>
      </c>
      <c r="J43" s="16">
        <f>SUMIF('03_BOC_TACH_VAN'!$B$2:$B$5000, B43, '03_BOC_TACH_VAN'!$K$2:$K$5000)</f>
        <v/>
      </c>
      <c r="K43" s="16">
        <f>SUM(H43:J43)</f>
        <v/>
      </c>
      <c r="L43" s="16">
        <f>(K43-SUMIFS('03_BOC_TACH_VAN'!$K$2:$K$5000, '03_BOC_TACH_VAN'!$B$2:$B$5000, B43, '03_BOC_TACH_VAN'!$D$2:$D$5000, "ĐỘNG_CƠ_VÀ_CẢM_BIẾN"))*0.25</f>
        <v/>
      </c>
      <c r="M43" s="16">
        <f>(K43-SUMIFS('03_BOC_TACH_VAN'!$K$2:$K$5000, '03_BOC_TACH_VAN'!$B$2:$B$5000, B43, '03_BOC_TACH_VAN'!$D$2:$D$5000, "ĐỘNG_CƠ_VÀ_CẢM_BIẾN"))*0.10</f>
        <v/>
      </c>
      <c r="N43" s="16">
        <f>K43+L43+M43</f>
        <v/>
      </c>
      <c r="O43" s="16">
        <f>IF(G43&gt;0, N43/G43, 0)</f>
        <v/>
      </c>
      <c r="P43" s="17" t="n">
        <v>0.18</v>
      </c>
      <c r="Q43" s="16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6">
        <f>G43*Q43</f>
        <v/>
      </c>
      <c r="S43" t="inlineStr">
        <is>
          <t>- Van ngăn cháy động cơ - Tiêu chuẩn EI 90
- 2 đầu bích TDC - Gắn kèm động cơ ON-OFF 5Nm, Hãng KLB
- Sản xuất theo BCTN số 4651/VLXD-TBMT</t>
        </is>
      </c>
    </row>
    <row r="44">
      <c r="A44" t="n">
        <v>43</v>
      </c>
      <c r="B44" t="inlineStr">
        <is>
          <t>SW-DAMPER-043</t>
        </is>
      </c>
      <c r="C44" t="inlineStr">
        <is>
          <t>VAN GIÓ</t>
        </is>
      </c>
      <c r="D44" t="inlineStr">
        <is>
          <t>h. Van gió Van gió MFD 300x200</t>
        </is>
      </c>
      <c r="E44" t="inlineStr">
        <is>
          <t>300x200</t>
        </is>
      </c>
      <c r="F44" t="inlineStr">
        <is>
          <t>cái</t>
        </is>
      </c>
      <c r="G44" s="16" t="n">
        <v>1</v>
      </c>
      <c r="H44" s="16">
        <f>SUMIF('01_BOC_TACH_ONG'!$B$2:$B$5000, B44, '01_BOC_TACH_ONG'!$K$2:$K$5000)</f>
        <v/>
      </c>
      <c r="I44" s="16">
        <f>SUMIF('02_BOC_TACH_CUA'!$B$2:$B$5000, B44, '02_BOC_TACH_CUA'!$K$2:$K$5000)</f>
        <v/>
      </c>
      <c r="J44" s="16">
        <f>SUMIF('03_BOC_TACH_VAN'!$B$2:$B$5000, B44, '03_BOC_TACH_VAN'!$K$2:$K$5000)</f>
        <v/>
      </c>
      <c r="K44" s="16">
        <f>SUM(H44:J44)</f>
        <v/>
      </c>
      <c r="L44" s="16">
        <f>(K44-SUMIFS('03_BOC_TACH_VAN'!$K$2:$K$5000, '03_BOC_TACH_VAN'!$B$2:$B$5000, B44, '03_BOC_TACH_VAN'!$D$2:$D$5000, "ĐỘNG_CƠ_VÀ_CẢM_BIẾN"))*0.25</f>
        <v/>
      </c>
      <c r="M44" s="16">
        <f>(K44-SUMIFS('03_BOC_TACH_VAN'!$K$2:$K$5000, '03_BOC_TACH_VAN'!$B$2:$B$5000, B44, '03_BOC_TACH_VAN'!$D$2:$D$5000, "ĐỘNG_CƠ_VÀ_CẢM_BIẾN"))*0.10</f>
        <v/>
      </c>
      <c r="N44" s="16">
        <f>K44+L44+M44</f>
        <v/>
      </c>
      <c r="O44" s="16">
        <f>IF(G44&gt;0, N44/G44, 0)</f>
        <v/>
      </c>
      <c r="P44" s="17" t="n">
        <v>0.18</v>
      </c>
      <c r="Q44" s="16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6">
        <f>G44*Q44</f>
        <v/>
      </c>
      <c r="S44" t="inlineStr">
        <is>
          <t>- Van ngăn cháy động cơ - Tiêu chuẩn EI 90
- 2 đầu bích TDC - Gắn kèm động cơ ON-OFF 5Nm, Hãng KLB
- Sản xuất theo BCTN số 4651/VLXD-TBMT</t>
        </is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h. Van gió Van gió MFD 3900x4500</t>
        </is>
      </c>
      <c r="E45" t="inlineStr">
        <is>
          <t>3900x4500</t>
        </is>
      </c>
      <c r="F45" t="inlineStr">
        <is>
          <t>cái</t>
        </is>
      </c>
      <c r="G45" s="16" t="n">
        <v>1</v>
      </c>
      <c r="H45" s="16">
        <f>SUMIF('01_BOC_TACH_ONG'!$B$2:$B$5000, B45, '01_BOC_TACH_ONG'!$K$2:$K$5000)</f>
        <v/>
      </c>
      <c r="I45" s="16">
        <f>SUMIF('02_BOC_TACH_CUA'!$B$2:$B$5000, B45, '02_BOC_TACH_CUA'!$K$2:$K$5000)</f>
        <v/>
      </c>
      <c r="J45" s="16">
        <f>SUMIF('03_BOC_TACH_VAN'!$B$2:$B$5000, B45, '03_BOC_TACH_VAN'!$K$2:$K$5000)</f>
        <v/>
      </c>
      <c r="K45" s="16">
        <f>SUM(H45:J45)</f>
        <v/>
      </c>
      <c r="L45" s="16">
        <f>(K45-SUMIFS('03_BOC_TACH_VAN'!$K$2:$K$5000, '03_BOC_TACH_VAN'!$B$2:$B$5000, B45, '03_BOC_TACH_VAN'!$D$2:$D$5000, "ĐỘNG_CƠ_VÀ_CẢM_BIẾN"))*0.25</f>
        <v/>
      </c>
      <c r="M45" s="16">
        <f>(K45-SUMIFS('03_BOC_TACH_VAN'!$K$2:$K$5000, '03_BOC_TACH_VAN'!$B$2:$B$5000, B45, '03_BOC_TACH_VAN'!$D$2:$D$5000, "ĐỘNG_CƠ_VÀ_CẢM_BIẾN"))*0.10</f>
        <v/>
      </c>
      <c r="N45" s="16">
        <f>K45+L45+M45</f>
        <v/>
      </c>
      <c r="O45" s="16">
        <f>IF(G45&gt;0, N45/G45, 0)</f>
        <v/>
      </c>
      <c r="P45" s="17" t="n">
        <v>0.18</v>
      </c>
      <c r="Q45" s="16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6">
        <f>G45*Q45</f>
        <v/>
      </c>
      <c r="S45" t="inlineStr">
        <is>
          <t>- Van ngăn cháy động cơ - Tiêu chuẩn EI 90
- 2 đầu bích TDC - Gắn kèm động cơ ON-OFF 5Nm, Hãng KLB
- Sản xuất theo BCTN số 4651/VLXD-TBMT
- Chia 24 modul khi sản xuất</t>
        </is>
      </c>
    </row>
    <row r="46">
      <c r="A46" t="n">
        <v>45</v>
      </c>
      <c r="B46" t="inlineStr">
        <is>
          <t>SW-DAMPER-045</t>
        </is>
      </c>
      <c r="C46" t="inlineStr">
        <is>
          <t>VAN GIÓ</t>
        </is>
      </c>
      <c r="D46" t="inlineStr">
        <is>
          <t>h. Van gió Van gió MFD 500x400</t>
        </is>
      </c>
      <c r="E46" t="inlineStr">
        <is>
          <t>500x400</t>
        </is>
      </c>
      <c r="F46" t="inlineStr">
        <is>
          <t>cái</t>
        </is>
      </c>
      <c r="G46" s="16" t="n">
        <v>1</v>
      </c>
      <c r="H46" s="16">
        <f>SUMIF('01_BOC_TACH_ONG'!$B$2:$B$5000, B46, '01_BOC_TACH_ONG'!$K$2:$K$5000)</f>
        <v/>
      </c>
      <c r="I46" s="16">
        <f>SUMIF('02_BOC_TACH_CUA'!$B$2:$B$5000, B46, '02_BOC_TACH_CUA'!$K$2:$K$5000)</f>
        <v/>
      </c>
      <c r="J46" s="16">
        <f>SUMIF('03_BOC_TACH_VAN'!$B$2:$B$5000, B46, '03_BOC_TACH_VAN'!$K$2:$K$5000)</f>
        <v/>
      </c>
      <c r="K46" s="16">
        <f>SUM(H46:J46)</f>
        <v/>
      </c>
      <c r="L46" s="16">
        <f>(K46-SUMIFS('03_BOC_TACH_VAN'!$K$2:$K$5000, '03_BOC_TACH_VAN'!$B$2:$B$5000, B46, '03_BOC_TACH_VAN'!$D$2:$D$5000, "ĐỘNG_CƠ_VÀ_CẢM_BIẾN"))*0.25</f>
        <v/>
      </c>
      <c r="M46" s="16">
        <f>(K46-SUMIFS('03_BOC_TACH_VAN'!$K$2:$K$5000, '03_BOC_TACH_VAN'!$B$2:$B$5000, B46, '03_BOC_TACH_VAN'!$D$2:$D$5000, "ĐỘNG_CƠ_VÀ_CẢM_BIẾN"))*0.10</f>
        <v/>
      </c>
      <c r="N46" s="16">
        <f>K46+L46+M46</f>
        <v/>
      </c>
      <c r="O46" s="16">
        <f>IF(G46&gt;0, N46/G46, 0)</f>
        <v/>
      </c>
      <c r="P46" s="17" t="n">
        <v>0.18</v>
      </c>
      <c r="Q46" s="16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6">
        <f>G46*Q46</f>
        <v/>
      </c>
      <c r="S46" t="inlineStr">
        <is>
          <t>- Van ngăn cháy động cơ - Tiêu chuẩn EI 90
- 2 đầu bích TDC - Gắn kèm động cơ ON-OFF 5Nm, Hãng KLB
- Sản xuất theo BCTN số 4651/VLXD-TBMT</t>
        </is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h. Van gió Van gió MFD 900x450</t>
        </is>
      </c>
      <c r="E47" t="inlineStr">
        <is>
          <t>900x450</t>
        </is>
      </c>
      <c r="F47" t="inlineStr">
        <is>
          <t>cái</t>
        </is>
      </c>
      <c r="G47" s="16" t="n">
        <v>1</v>
      </c>
      <c r="H47" s="16">
        <f>SUMIF('01_BOC_TACH_ONG'!$B$2:$B$5000, B47, '01_BOC_TACH_ONG'!$K$2:$K$5000)</f>
        <v/>
      </c>
      <c r="I47" s="16">
        <f>SUMIF('02_BOC_TACH_CUA'!$B$2:$B$5000, B47, '02_BOC_TACH_CUA'!$K$2:$K$5000)</f>
        <v/>
      </c>
      <c r="J47" s="16">
        <f>SUMIF('03_BOC_TACH_VAN'!$B$2:$B$5000, B47, '03_BOC_TACH_VAN'!$K$2:$K$5000)</f>
        <v/>
      </c>
      <c r="K47" s="16">
        <f>SUM(H47:J47)</f>
        <v/>
      </c>
      <c r="L47" s="16">
        <f>(K47-SUMIFS('03_BOC_TACH_VAN'!$K$2:$K$5000, '03_BOC_TACH_VAN'!$B$2:$B$5000, B47, '03_BOC_TACH_VAN'!$D$2:$D$5000, "ĐỘNG_CƠ_VÀ_CẢM_BIẾN"))*0.25</f>
        <v/>
      </c>
      <c r="M47" s="16">
        <f>(K47-SUMIFS('03_BOC_TACH_VAN'!$K$2:$K$5000, '03_BOC_TACH_VAN'!$B$2:$B$5000, B47, '03_BOC_TACH_VAN'!$D$2:$D$5000, "ĐỘNG_CƠ_VÀ_CẢM_BIẾN"))*0.10</f>
        <v/>
      </c>
      <c r="N47" s="16">
        <f>K47+L47+M47</f>
        <v/>
      </c>
      <c r="O47" s="16">
        <f>IF(G47&gt;0, N47/G47, 0)</f>
        <v/>
      </c>
      <c r="P47" s="17" t="n">
        <v>0.18</v>
      </c>
      <c r="Q47" s="16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6">
        <f>G47*Q47</f>
        <v/>
      </c>
      <c r="S47" t="inlineStr">
        <is>
          <t>- Van ngăn cháy động cơ - Tiêu chuẩn EI 90
- 2 đầu bích TDC - Gắn kèm động cơ ON-OFF 5Nm, Hãng KLB
- Sản xuất theo BCTN số 4651/VLXD-TBMT</t>
        </is>
      </c>
    </row>
    <row r="48">
      <c r="A48" t="n">
        <v>47</v>
      </c>
      <c r="B48" t="inlineStr">
        <is>
          <t>SW-DAMPER-047</t>
        </is>
      </c>
      <c r="C48" t="inlineStr">
        <is>
          <t>VAN GIÓ</t>
        </is>
      </c>
      <c r="D48" t="inlineStr">
        <is>
          <t>h. Van gió Van gió NRD 350x250</t>
        </is>
      </c>
      <c r="E48" t="inlineStr">
        <is>
          <t>350x250</t>
        </is>
      </c>
      <c r="F48" t="inlineStr">
        <is>
          <t>cái</t>
        </is>
      </c>
      <c r="G48" s="16" t="n">
        <v>1</v>
      </c>
      <c r="H48" s="16">
        <f>SUMIF('01_BOC_TACH_ONG'!$B$2:$B$5000, B48, '01_BOC_TACH_ONG'!$K$2:$K$5000)</f>
        <v/>
      </c>
      <c r="I48" s="16">
        <f>SUMIF('02_BOC_TACH_CUA'!$B$2:$B$5000, B48, '02_BOC_TACH_CUA'!$K$2:$K$5000)</f>
        <v/>
      </c>
      <c r="J48" s="16">
        <f>SUMIF('03_BOC_TACH_VAN'!$B$2:$B$5000, B48, '03_BOC_TACH_VAN'!$K$2:$K$5000)</f>
        <v/>
      </c>
      <c r="K48" s="16">
        <f>SUM(H48:J48)</f>
        <v/>
      </c>
      <c r="L48" s="16">
        <f>(K48-SUMIFS('03_BOC_TACH_VAN'!$K$2:$K$5000, '03_BOC_TACH_VAN'!$B$2:$B$5000, B48, '03_BOC_TACH_VAN'!$D$2:$D$5000, "ĐỘNG_CƠ_VÀ_CẢM_BIẾN"))*0.25</f>
        <v/>
      </c>
      <c r="M48" s="16">
        <f>(K48-SUMIFS('03_BOC_TACH_VAN'!$K$2:$K$5000, '03_BOC_TACH_VAN'!$B$2:$B$5000, B48, '03_BOC_TACH_VAN'!$D$2:$D$5000, "ĐỘNG_CƠ_VÀ_CẢM_BIẾN"))*0.10</f>
        <v/>
      </c>
      <c r="N48" s="16">
        <f>K48+L48+M48</f>
        <v/>
      </c>
      <c r="O48" s="16">
        <f>IF(G48&gt;0, N48/G48, 0)</f>
        <v/>
      </c>
      <c r="P48" s="17" t="n">
        <v>0.18</v>
      </c>
      <c r="Q48" s="16">
        <f>IF(G48&gt;0, ((N48-SUMIFS('03_BOC_TACH_VAN'!$K$2:$K$5000, '03_BOC_TACH_VAN'!$B$2:$B$5000, B48, '03_BOC_TACH_VAN'!$D$2:$D$5000, "ĐỘNG_CƠ_VÀ_CẢM_BIẾN"))*(1+P48)+SUMIFS('03_BOC_TACH_VAN'!$K$2:$K$5000, '03_BOC_TACH_VAN'!$B$2:$B$5000, B48, '03_BOC_TACH_VAN'!$D$2:$D$5000, "ĐỘNG_CƠ_VÀ_CẢM_BIẾN"))/G48, 0)</f>
        <v/>
      </c>
      <c r="R48" s="16">
        <f>G48*Q48</f>
        <v/>
      </c>
      <c r="S48" t="inlineStr">
        <is>
          <t>Van 1 chiều tôn mạ kẽm</t>
        </is>
      </c>
    </row>
    <row r="49">
      <c r="A49" t="n">
        <v>48</v>
      </c>
      <c r="B49" t="inlineStr">
        <is>
          <t>SW-DAMPER-048</t>
        </is>
      </c>
      <c r="C49" t="inlineStr">
        <is>
          <t>VAN GIÓ</t>
        </is>
      </c>
      <c r="D49" t="inlineStr">
        <is>
          <t>h. Van gió Van gió NRD 1200x500</t>
        </is>
      </c>
      <c r="E49" t="inlineStr">
        <is>
          <t>1200x500</t>
        </is>
      </c>
      <c r="F49" t="inlineStr">
        <is>
          <t>cái</t>
        </is>
      </c>
      <c r="G49" s="16" t="n">
        <v>1</v>
      </c>
      <c r="H49" s="16">
        <f>SUMIF('01_BOC_TACH_ONG'!$B$2:$B$5000, B49, '01_BOC_TACH_ONG'!$K$2:$K$5000)</f>
        <v/>
      </c>
      <c r="I49" s="16">
        <f>SUMIF('02_BOC_TACH_CUA'!$B$2:$B$5000, B49, '02_BOC_TACH_CUA'!$K$2:$K$5000)</f>
        <v/>
      </c>
      <c r="J49" s="16">
        <f>SUMIF('03_BOC_TACH_VAN'!$B$2:$B$5000, B49, '03_BOC_TACH_VAN'!$K$2:$K$5000)</f>
        <v/>
      </c>
      <c r="K49" s="16">
        <f>SUM(H49:J49)</f>
        <v/>
      </c>
      <c r="L49" s="16">
        <f>(K49-SUMIFS('03_BOC_TACH_VAN'!$K$2:$K$5000, '03_BOC_TACH_VAN'!$B$2:$B$5000, B49, '03_BOC_TACH_VAN'!$D$2:$D$5000, "ĐỘNG_CƠ_VÀ_CẢM_BIẾN"))*0.25</f>
        <v/>
      </c>
      <c r="M49" s="16">
        <f>(K49-SUMIFS('03_BOC_TACH_VAN'!$K$2:$K$5000, '03_BOC_TACH_VAN'!$B$2:$B$5000, B49, '03_BOC_TACH_VAN'!$D$2:$D$5000, "ĐỘNG_CƠ_VÀ_CẢM_BIẾN"))*0.10</f>
        <v/>
      </c>
      <c r="N49" s="16">
        <f>K49+L49+M49</f>
        <v/>
      </c>
      <c r="O49" s="16">
        <f>IF(G49&gt;0, N49/G49, 0)</f>
        <v/>
      </c>
      <c r="P49" s="17" t="n">
        <v>0.18</v>
      </c>
      <c r="Q49" s="16">
        <f>IF(G49&gt;0, ((N49-SUMIFS('03_BOC_TACH_VAN'!$K$2:$K$5000, '03_BOC_TACH_VAN'!$B$2:$B$5000, B49, '03_BOC_TACH_VAN'!$D$2:$D$5000, "ĐỘNG_CƠ_VÀ_CẢM_BIẾN"))*(1+P49)+SUMIFS('03_BOC_TACH_VAN'!$K$2:$K$5000, '03_BOC_TACH_VAN'!$B$2:$B$5000, B49, '03_BOC_TACH_VAN'!$D$2:$D$5000, "ĐỘNG_CƠ_VÀ_CẢM_BIẾN"))/G49, 0)</f>
        <v/>
      </c>
      <c r="R49" s="16">
        <f>G49*Q49</f>
        <v/>
      </c>
      <c r="S49" t="inlineStr">
        <is>
          <t>Van 1 chiều tôn mạ kẽm</t>
        </is>
      </c>
    </row>
    <row r="50">
      <c r="A50" t="n">
        <v>49</v>
      </c>
      <c r="B50" t="inlineStr">
        <is>
          <t>SW-DAMPER-049</t>
        </is>
      </c>
      <c r="C50" t="inlineStr">
        <is>
          <t>VAN GIÓ</t>
        </is>
      </c>
      <c r="D50" t="inlineStr">
        <is>
          <t>h. Van gió Van gió NRD 1200x600</t>
        </is>
      </c>
      <c r="E50" t="inlineStr">
        <is>
          <t>1200x600</t>
        </is>
      </c>
      <c r="F50" t="inlineStr">
        <is>
          <t>cái</t>
        </is>
      </c>
      <c r="G50" s="16" t="n">
        <v>1</v>
      </c>
      <c r="H50" s="16">
        <f>SUMIF('01_BOC_TACH_ONG'!$B$2:$B$5000, B50, '01_BOC_TACH_ONG'!$K$2:$K$5000)</f>
        <v/>
      </c>
      <c r="I50" s="16">
        <f>SUMIF('02_BOC_TACH_CUA'!$B$2:$B$5000, B50, '02_BOC_TACH_CUA'!$K$2:$K$5000)</f>
        <v/>
      </c>
      <c r="J50" s="16">
        <f>SUMIF('03_BOC_TACH_VAN'!$B$2:$B$5000, B50, '03_BOC_TACH_VAN'!$K$2:$K$5000)</f>
        <v/>
      </c>
      <c r="K50" s="16">
        <f>SUM(H50:J50)</f>
        <v/>
      </c>
      <c r="L50" s="16">
        <f>(K50-SUMIFS('03_BOC_TACH_VAN'!$K$2:$K$5000, '03_BOC_TACH_VAN'!$B$2:$B$5000, B50, '03_BOC_TACH_VAN'!$D$2:$D$5000, "ĐỘNG_CƠ_VÀ_CẢM_BIẾN"))*0.25</f>
        <v/>
      </c>
      <c r="M50" s="16">
        <f>(K50-SUMIFS('03_BOC_TACH_VAN'!$K$2:$K$5000, '03_BOC_TACH_VAN'!$B$2:$B$5000, B50, '03_BOC_TACH_VAN'!$D$2:$D$5000, "ĐỘNG_CƠ_VÀ_CẢM_BIẾN"))*0.10</f>
        <v/>
      </c>
      <c r="N50" s="16">
        <f>K50+L50+M50</f>
        <v/>
      </c>
      <c r="O50" s="16">
        <f>IF(G50&gt;0, N50/G50, 0)</f>
        <v/>
      </c>
      <c r="P50" s="17" t="n">
        <v>0.18</v>
      </c>
      <c r="Q50" s="16">
        <f>IF(G50&gt;0, ((N50-SUMIFS('03_BOC_TACH_VAN'!$K$2:$K$5000, '03_BOC_TACH_VAN'!$B$2:$B$5000, B50, '03_BOC_TACH_VAN'!$D$2:$D$5000, "ĐỘNG_CƠ_VÀ_CẢM_BIẾN"))*(1+P50)+SUMIFS('03_BOC_TACH_VAN'!$K$2:$K$5000, '03_BOC_TACH_VAN'!$B$2:$B$5000, B50, '03_BOC_TACH_VAN'!$D$2:$D$5000, "ĐỘNG_CƠ_VÀ_CẢM_BIẾN"))/G50, 0)</f>
        <v/>
      </c>
      <c r="R50" s="16">
        <f>G50*Q50</f>
        <v/>
      </c>
      <c r="S50" t="inlineStr">
        <is>
          <t>Van 1 chiều tôn mạ kẽm</t>
        </is>
      </c>
    </row>
    <row r="51">
      <c r="A51" t="n">
        <v>50</v>
      </c>
      <c r="B51" t="inlineStr">
        <is>
          <t>SW-DAMPER-050</t>
        </is>
      </c>
      <c r="C51" t="inlineStr">
        <is>
          <t>VAN GIÓ</t>
        </is>
      </c>
      <c r="D51" t="inlineStr">
        <is>
          <t>h. Van gió Van gió NRD 600x300</t>
        </is>
      </c>
      <c r="E51" t="inlineStr">
        <is>
          <t>600x300</t>
        </is>
      </c>
      <c r="F51" t="inlineStr">
        <is>
          <t>cái</t>
        </is>
      </c>
      <c r="G51" s="16" t="n">
        <v>1</v>
      </c>
      <c r="H51" s="16">
        <f>SUMIF('01_BOC_TACH_ONG'!$B$2:$B$5000, B51, '01_BOC_TACH_ONG'!$K$2:$K$5000)</f>
        <v/>
      </c>
      <c r="I51" s="16">
        <f>SUMIF('02_BOC_TACH_CUA'!$B$2:$B$5000, B51, '02_BOC_TACH_CUA'!$K$2:$K$5000)</f>
        <v/>
      </c>
      <c r="J51" s="16">
        <f>SUMIF('03_BOC_TACH_VAN'!$B$2:$B$5000, B51, '03_BOC_TACH_VAN'!$K$2:$K$5000)</f>
        <v/>
      </c>
      <c r="K51" s="16">
        <f>SUM(H51:J51)</f>
        <v/>
      </c>
      <c r="L51" s="16">
        <f>(K51-SUMIFS('03_BOC_TACH_VAN'!$K$2:$K$5000, '03_BOC_TACH_VAN'!$B$2:$B$5000, B51, '03_BOC_TACH_VAN'!$D$2:$D$5000, "ĐỘNG_CƠ_VÀ_CẢM_BIẾN"))*0.25</f>
        <v/>
      </c>
      <c r="M51" s="16">
        <f>(K51-SUMIFS('03_BOC_TACH_VAN'!$K$2:$K$5000, '03_BOC_TACH_VAN'!$B$2:$B$5000, B51, '03_BOC_TACH_VAN'!$D$2:$D$5000, "ĐỘNG_CƠ_VÀ_CẢM_BIẾN"))*0.10</f>
        <v/>
      </c>
      <c r="N51" s="16">
        <f>K51+L51+M51</f>
        <v/>
      </c>
      <c r="O51" s="16">
        <f>IF(G51&gt;0, N51/G51, 0)</f>
        <v/>
      </c>
      <c r="P51" s="17" t="n">
        <v>0.18</v>
      </c>
      <c r="Q51" s="16">
        <f>IF(G51&gt;0, ((N51-SUMIFS('03_BOC_TACH_VAN'!$K$2:$K$5000, '03_BOC_TACH_VAN'!$B$2:$B$5000, B51, '03_BOC_TACH_VAN'!$D$2:$D$5000, "ĐỘNG_CƠ_VÀ_CẢM_BIẾN"))*(1+P51)+SUMIFS('03_BOC_TACH_VAN'!$K$2:$K$5000, '03_BOC_TACH_VAN'!$B$2:$B$5000, B51, '03_BOC_TACH_VAN'!$D$2:$D$5000, "ĐỘNG_CƠ_VÀ_CẢM_BIẾN"))/G51, 0)</f>
        <v/>
      </c>
      <c r="R51" s="16">
        <f>G51*Q51</f>
        <v/>
      </c>
      <c r="S51" t="inlineStr">
        <is>
          <t>Van 1 chiều tôn mạ kẽm</t>
        </is>
      </c>
    </row>
    <row r="52">
      <c r="A52" t="n">
        <v>51</v>
      </c>
      <c r="B52" t="inlineStr">
        <is>
          <t>SW-DAMPER-051</t>
        </is>
      </c>
      <c r="C52" t="inlineStr">
        <is>
          <t>VAN GIÓ</t>
        </is>
      </c>
      <c r="D52" t="inlineStr">
        <is>
          <t>h. Van gió Van gió NRD 900x450</t>
        </is>
      </c>
      <c r="E52" t="inlineStr">
        <is>
          <t>900x450</t>
        </is>
      </c>
      <c r="F52" t="inlineStr">
        <is>
          <t>cái</t>
        </is>
      </c>
      <c r="G52" s="16" t="n">
        <v>1</v>
      </c>
      <c r="H52" s="16">
        <f>SUMIF('01_BOC_TACH_ONG'!$B$2:$B$5000, B52, '01_BOC_TACH_ONG'!$K$2:$K$5000)</f>
        <v/>
      </c>
      <c r="I52" s="16">
        <f>SUMIF('02_BOC_TACH_CUA'!$B$2:$B$5000, B52, '02_BOC_TACH_CUA'!$K$2:$K$5000)</f>
        <v/>
      </c>
      <c r="J52" s="16">
        <f>SUMIF('03_BOC_TACH_VAN'!$B$2:$B$5000, B52, '03_BOC_TACH_VAN'!$K$2:$K$5000)</f>
        <v/>
      </c>
      <c r="K52" s="16">
        <f>SUM(H52:J52)</f>
        <v/>
      </c>
      <c r="L52" s="16">
        <f>(K52-SUMIFS('03_BOC_TACH_VAN'!$K$2:$K$5000, '03_BOC_TACH_VAN'!$B$2:$B$5000, B52, '03_BOC_TACH_VAN'!$D$2:$D$5000, "ĐỘNG_CƠ_VÀ_CẢM_BIẾN"))*0.25</f>
        <v/>
      </c>
      <c r="M52" s="16">
        <f>(K52-SUMIFS('03_BOC_TACH_VAN'!$K$2:$K$5000, '03_BOC_TACH_VAN'!$B$2:$B$5000, B52, '03_BOC_TACH_VAN'!$D$2:$D$5000, "ĐỘNG_CƠ_VÀ_CẢM_BIẾN"))*0.10</f>
        <v/>
      </c>
      <c r="N52" s="16">
        <f>K52+L52+M52</f>
        <v/>
      </c>
      <c r="O52" s="16">
        <f>IF(G52&gt;0, N52/G52, 0)</f>
        <v/>
      </c>
      <c r="P52" s="17" t="n">
        <v>0.18</v>
      </c>
      <c r="Q52" s="16">
        <f>IF(G52&gt;0, ((N52-SUMIFS('03_BOC_TACH_VAN'!$K$2:$K$5000, '03_BOC_TACH_VAN'!$B$2:$B$5000, B52, '03_BOC_TACH_VAN'!$D$2:$D$5000, "ĐỘNG_CƠ_VÀ_CẢM_BIẾN"))*(1+P52)+SUMIFS('03_BOC_TACH_VAN'!$K$2:$K$5000, '03_BOC_TACH_VAN'!$B$2:$B$5000, B52, '03_BOC_TACH_VAN'!$D$2:$D$5000, "ĐỘNG_CƠ_VÀ_CẢM_BIẾN"))/G52, 0)</f>
        <v/>
      </c>
      <c r="R52" s="16">
        <f>G52*Q52</f>
        <v/>
      </c>
      <c r="S52" t="inlineStr">
        <is>
          <t>Van 1 chiều tôn mạ kẽm</t>
        </is>
      </c>
    </row>
    <row r="53">
      <c r="A53" t="n">
        <v>52</v>
      </c>
      <c r="B53" t="inlineStr">
        <is>
          <t>SW-DIFF-052</t>
        </is>
      </c>
      <c r="C53" t="inlineStr">
        <is>
          <t>CỬA GIÓ</t>
        </is>
      </c>
      <c r="D53" t="inlineStr">
        <is>
          <t>g. Miệng gió Miệng gió SAG 1000x90+OBD kèm hộp gió cách nhiệt</t>
        </is>
      </c>
      <c r="E53" t="inlineStr">
        <is>
          <t>1000x90</t>
        </is>
      </c>
      <c r="F53" t="inlineStr">
        <is>
          <t>cái</t>
        </is>
      </c>
      <c r="G53" s="16" t="n">
        <v>1312</v>
      </c>
      <c r="H53" s="16">
        <f>SUMIF('01_BOC_TACH_ONG'!$B$2:$B$5000, B53, '01_BOC_TACH_ONG'!$K$2:$K$5000)</f>
        <v/>
      </c>
      <c r="I53" s="16">
        <f>SUMIF('02_BOC_TACH_CUA'!$B$2:$B$5000, B53, '02_BOC_TACH_CUA'!$K$2:$K$5000)</f>
        <v/>
      </c>
      <c r="J53" s="16">
        <f>SUMIF('03_BOC_TACH_VAN'!$B$2:$B$5000, B53, '03_BOC_TACH_VAN'!$K$2:$K$5000)</f>
        <v/>
      </c>
      <c r="K53" s="16">
        <f>SUM(H53:J53)</f>
        <v/>
      </c>
      <c r="L53" s="16">
        <f>(K53-SUMIFS('03_BOC_TACH_VAN'!$K$2:$K$5000, '03_BOC_TACH_VAN'!$B$2:$B$5000, B53, '03_BOC_TACH_VAN'!$D$2:$D$5000, "ĐỘNG_CƠ_VÀ_CẢM_BIẾN"))*0.25</f>
        <v/>
      </c>
      <c r="M53" s="16">
        <f>(K53-SUMIFS('03_BOC_TACH_VAN'!$K$2:$K$5000, '03_BOC_TACH_VAN'!$B$2:$B$5000, B53, '03_BOC_TACH_VAN'!$D$2:$D$5000, "ĐỘNG_CƠ_VÀ_CẢM_BIẾN"))*0.10</f>
        <v/>
      </c>
      <c r="N53" s="16">
        <f>K53+L53+M53</f>
        <v/>
      </c>
      <c r="O53" s="16">
        <f>IF(G53&gt;0, N53/G53, 0)</f>
        <v/>
      </c>
      <c r="P53" s="17" t="n">
        <v>0.18</v>
      </c>
      <c r="Q53" s="16">
        <f>IF(G53&gt;0, ((N53-SUMIFS('03_BOC_TACH_VAN'!$K$2:$K$5000, '03_BOC_TACH_VAN'!$B$2:$B$5000, B53, '03_BOC_TACH_VAN'!$D$2:$D$5000, "ĐỘNG_CƠ_VÀ_CẢM_BIẾN"))*(1+P53)+SUMIFS('03_BOC_TACH_VAN'!$K$2:$K$5000, '03_BOC_TACH_VAN'!$B$2:$B$5000, B53, '03_BOC_TACH_VAN'!$D$2:$D$5000, "ĐỘNG_CƠ_VÀ_CẢM_BIẾN"))/G53, 0)</f>
        <v/>
      </c>
      <c r="R53" s="16">
        <f>G53*Q53</f>
        <v/>
      </c>
      <c r="S53" t="inlineStr">
        <is>
          <t>Cửa nan bầu dục 1 lớp kèm van OBD</t>
        </is>
      </c>
    </row>
    <row r="54">
      <c r="A54" t="n">
        <v>53</v>
      </c>
      <c r="B54" t="inlineStr">
        <is>
          <t>SW-DIFF-053</t>
        </is>
      </c>
      <c r="C54" t="inlineStr">
        <is>
          <t>CỬA GIÓ</t>
        </is>
      </c>
      <c r="D54" t="inlineStr">
        <is>
          <t>g. Miệng gió Miệng gió RAG 1000x90+OBD kèm hộp gió cách nhiệt</t>
        </is>
      </c>
      <c r="E54" t="inlineStr">
        <is>
          <t>1000x90</t>
        </is>
      </c>
      <c r="F54" t="inlineStr">
        <is>
          <t>cái</t>
        </is>
      </c>
      <c r="G54" s="16" t="n">
        <v>1312</v>
      </c>
      <c r="H54" s="16">
        <f>SUMIF('01_BOC_TACH_ONG'!$B$2:$B$5000, B54, '01_BOC_TACH_ONG'!$K$2:$K$5000)</f>
        <v/>
      </c>
      <c r="I54" s="16">
        <f>SUMIF('02_BOC_TACH_CUA'!$B$2:$B$5000, B54, '02_BOC_TACH_CUA'!$K$2:$K$5000)</f>
        <v/>
      </c>
      <c r="J54" s="16">
        <f>SUMIF('03_BOC_TACH_VAN'!$B$2:$B$5000, B54, '03_BOC_TACH_VAN'!$K$2:$K$5000)</f>
        <v/>
      </c>
      <c r="K54" s="16">
        <f>SUM(H54:J54)</f>
        <v/>
      </c>
      <c r="L54" s="16">
        <f>(K54-SUMIFS('03_BOC_TACH_VAN'!$K$2:$K$5000, '03_BOC_TACH_VAN'!$B$2:$B$5000, B54, '03_BOC_TACH_VAN'!$D$2:$D$5000, "ĐỘNG_CƠ_VÀ_CẢM_BIẾN"))*0.25</f>
        <v/>
      </c>
      <c r="M54" s="16">
        <f>(K54-SUMIFS('03_BOC_TACH_VAN'!$K$2:$K$5000, '03_BOC_TACH_VAN'!$B$2:$B$5000, B54, '03_BOC_TACH_VAN'!$D$2:$D$5000, "ĐỘNG_CƠ_VÀ_CẢM_BIẾN"))*0.10</f>
        <v/>
      </c>
      <c r="N54" s="16">
        <f>K54+L54+M54</f>
        <v/>
      </c>
      <c r="O54" s="16">
        <f>IF(G54&gt;0, N54/G54, 0)</f>
        <v/>
      </c>
      <c r="P54" s="17" t="n">
        <v>0.18</v>
      </c>
      <c r="Q54" s="16">
        <f>IF(G54&gt;0, ((N54-SUMIFS('03_BOC_TACH_VAN'!$K$2:$K$5000, '03_BOC_TACH_VAN'!$B$2:$B$5000, B54, '03_BOC_TACH_VAN'!$D$2:$D$5000, "ĐỘNG_CƠ_VÀ_CẢM_BIẾN"))*(1+P54)+SUMIFS('03_BOC_TACH_VAN'!$K$2:$K$5000, '03_BOC_TACH_VAN'!$B$2:$B$5000, B54, '03_BOC_TACH_VAN'!$D$2:$D$5000, "ĐỘNG_CƠ_VÀ_CẢM_BIẾN"))/G54, 0)</f>
        <v/>
      </c>
      <c r="R54" s="16">
        <f>G54*Q54</f>
        <v/>
      </c>
      <c r="S54" t="inlineStr">
        <is>
          <t>Cửa hồi nan thẳng bầu dục kèm lưới lọc bụi G4 và van OBD</t>
        </is>
      </c>
    </row>
    <row r="55">
      <c r="A55" s="18" t="inlineStr">
        <is>
          <t>TỔNG CỘNG</t>
        </is>
      </c>
      <c r="H55" s="19">
        <f>SUM(H2:H54)</f>
        <v/>
      </c>
      <c r="I55" s="19">
        <f>SUM(I2:I54)</f>
        <v/>
      </c>
      <c r="J55" s="19">
        <f>SUM(J2:J54)</f>
        <v/>
      </c>
      <c r="K55" s="19">
        <f>SUM(K2:K54)</f>
        <v/>
      </c>
      <c r="L55" s="19">
        <f>SUM(L2:L54)</f>
        <v/>
      </c>
      <c r="M55" s="19">
        <f>SUM(M2:M54)</f>
        <v/>
      </c>
      <c r="N55" s="19">
        <f>SUM(N2:N54)</f>
        <v/>
      </c>
      <c r="R55" s="19">
        <f>SUM(R2:R54)</f>
        <v/>
      </c>
    </row>
  </sheetData>
  <mergeCells count="1"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0" t="n">
        <v>0.2937394743912793</v>
      </c>
      <c r="H2" s="16">
        <f>'00_TONG_HOP_BAO_GIA'!G2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Khung bao 500x300mm (cổ 450x250mm)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(12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0" t="n">
        <v>0.2926183313592516</v>
      </c>
      <c r="H3" s="16">
        <f>'00_TONG_HOP_BAO_GIA'!G2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0" t="n">
        <v>0.0533664083245225</v>
      </c>
      <c r="H4" s="16">
        <f>'00_TONG_HOP_BAO_GIA'!G2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0" t="n">
        <v>0.125819155626286</v>
      </c>
      <c r="H5" s="16">
        <f>'00_TONG_HOP_BAO_GIA'!G2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0" t="n">
        <v>0.1927454699429813</v>
      </c>
      <c r="H6" s="16">
        <f>'00_TONG_HOP_BAO_GIA'!G2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Khung OBD 450x250mm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0" t="n">
        <v>0.2450708111277735</v>
      </c>
      <c r="H7" s="16">
        <f>'00_TONG_HOP_BAO_GIA'!G2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0" t="n">
        <v>1.056300579444246</v>
      </c>
      <c r="H8" s="16">
        <f>'00_TONG_HOP_BAO_GIA'!G2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(1 lớp BD)</t>
        </is>
      </c>
      <c r="D9" t="inlineStr">
        <is>
          <t>NHÔM_ĐỊNH_HÌNH</t>
        </is>
      </c>
      <c r="E9" t="inlineStr">
        <is>
          <t>MAT-ALU-KHUNG-BD</t>
        </is>
      </c>
      <c r="F9" t="inlineStr">
        <is>
          <t>kg</t>
        </is>
      </c>
      <c r="G9" s="20" t="n">
        <v>0.5869942958224981</v>
      </c>
      <c r="H9" s="16">
        <f>'00_TONG_HOP_BAO_GIA'!G3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Khung bao 1000x600mm (cổ 950x550mm)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nhôm bầu dục (27 nan)</t>
        </is>
      </c>
      <c r="D10" t="inlineStr">
        <is>
          <t>NHÔM_ĐỊNH_HÌNH</t>
        </is>
      </c>
      <c r="E10" t="inlineStr">
        <is>
          <t>MAT-ALU-NAN-BD</t>
        </is>
      </c>
      <c r="F10" t="inlineStr">
        <is>
          <t>kg</t>
        </is>
      </c>
      <c r="G10" s="20" t="n">
        <v>1.388790416499889</v>
      </c>
      <c r="H10" s="16">
        <f>'00_TONG_HOP_BAO_GIA'!G3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Nan bầu dục @ 0.058kg/m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0" t="n">
        <v>0.1199753608446366</v>
      </c>
      <c r="H11" s="16">
        <f>'00_TONG_HOP_BAO_GIA'!G3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4 ke góc chìm và vít ghép khung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0" t="n">
        <v>0.4315349057517672</v>
      </c>
      <c r="H12" s="16">
        <f>'00_TONG_HOP_BAO_GIA'!G3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Sơn tĩnh điện hoàn thiện</t>
        </is>
      </c>
    </row>
    <row r="13">
      <c r="A13" t="inlineStr">
        <is>
          <t>SW-DIFF-002-OBD-FRAME</t>
        </is>
      </c>
      <c r="B13" t="inlineStr">
        <is>
          <t>SW-DIFF-002</t>
        </is>
      </c>
      <c r="C13" t="inlineStr">
        <is>
          <t>Khung nhôm van OBD gắn cửa (SOBD)</t>
        </is>
      </c>
      <c r="D13" t="inlineStr">
        <is>
          <t>NHÔM_ĐỊNH_HÌNH</t>
        </is>
      </c>
      <c r="E13" t="inlineStr">
        <is>
          <t>MAT-ALU-KHUNG-OBD</t>
        </is>
      </c>
      <c r="F13" t="inlineStr">
        <is>
          <t>kg</t>
        </is>
      </c>
      <c r="G13" s="20" t="n">
        <v>0.4113374180627027</v>
      </c>
      <c r="H13" s="16">
        <f>'00_TONG_HOP_BAO_GIA'!G3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Khung OBD 950x550mm</t>
        </is>
      </c>
    </row>
    <row r="14">
      <c r="A14" t="inlineStr">
        <is>
          <t>SW-DIFF-002-OBD-BLADE</t>
        </is>
      </c>
      <c r="B14" t="inlineStr">
        <is>
          <t>SW-DIFF-002</t>
        </is>
      </c>
      <c r="C14" t="inlineStr">
        <is>
          <t>Nan nhôm &amp; thanh truyền van OBD (SOBD)</t>
        </is>
      </c>
      <c r="D14" t="inlineStr">
        <is>
          <t>NHÔM_ĐỊNH_HÌNH</t>
        </is>
      </c>
      <c r="E14" t="inlineStr">
        <is>
          <t>MAT-ALU-NAN-OBD</t>
        </is>
      </c>
      <c r="F14" t="inlineStr">
        <is>
          <t>kg</t>
        </is>
      </c>
      <c r="G14" s="20" t="n">
        <v>1.133564350937564</v>
      </c>
      <c r="H14" s="16">
        <f>'00_TONG_HOP_BAO_GIA'!G3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Nan OBD đối xứng &amp; thanh liên kết</t>
        </is>
      </c>
    </row>
    <row r="15">
      <c r="A15" t="inlineStr">
        <is>
          <t>SW-DIFF-002-OBD-ACC</t>
        </is>
      </c>
      <c r="B15" t="inlineStr">
        <is>
          <t>SW-DIFF-002</t>
        </is>
      </c>
      <c r="C15" t="inlineStr">
        <is>
          <t>Bánh răng nhựa &amp; phụ kiện van OBD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0" t="n">
        <v>1.953680983623453</v>
      </c>
      <c r="H15" s="16">
        <f>'00_TONG_HOP_BAO_GIA'!G3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Cơ cấu bánh răng đóng mở OBD</t>
        </is>
      </c>
    </row>
    <row r="16">
      <c r="A16" t="inlineStr">
        <is>
          <t>SW-DIFF-003-FRAME</t>
        </is>
      </c>
      <c r="B16" t="inlineStr">
        <is>
          <t>SW-DIFF-003</t>
        </is>
      </c>
      <c r="C16" t="inlineStr">
        <is>
          <t>Khung nhôm định hình (1 lớp BD)</t>
        </is>
      </c>
      <c r="D16" t="inlineStr">
        <is>
          <t>NHÔM_ĐỊNH_HÌNH</t>
        </is>
      </c>
      <c r="E16" t="inlineStr">
        <is>
          <t>MAT-ALU-KHUNG-BD</t>
        </is>
      </c>
      <c r="F16" t="inlineStr">
        <is>
          <t>kg</t>
        </is>
      </c>
      <c r="G16" s="20" t="n">
        <v>0.6710280178589741</v>
      </c>
      <c r="H16" s="16">
        <f>'00_TONG_HOP_BAO_GIA'!G4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Khung bao 1000x800mm (cổ 950x750mm)</t>
        </is>
      </c>
    </row>
    <row r="17">
      <c r="A17" t="inlineStr">
        <is>
          <t>SW-DIFF-003-BLADE</t>
        </is>
      </c>
      <c r="B17" t="inlineStr">
        <is>
          <t>SW-DIFF-003</t>
        </is>
      </c>
      <c r="C17" t="inlineStr">
        <is>
          <t>Nan nhôm bầu dục (37 nan)</t>
        </is>
      </c>
      <c r="D17" t="inlineStr">
        <is>
          <t>NHÔM_ĐỊNH_HÌNH</t>
        </is>
      </c>
      <c r="E17" t="inlineStr">
        <is>
          <t>MAT-ALU-NAN-BD</t>
        </is>
      </c>
      <c r="F17" t="inlineStr">
        <is>
          <t>kg</t>
        </is>
      </c>
      <c r="G17" s="20" t="n">
        <v>1.904266174845616</v>
      </c>
      <c r="H17" s="16">
        <f>'00_TONG_HOP_BAO_GIA'!G4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Nan bầu dục @ 0.058kg/m</t>
        </is>
      </c>
    </row>
    <row r="18">
      <c r="A18" t="inlineStr">
        <is>
          <t>SW-DIFF-003-ACCESSORY</t>
        </is>
      </c>
      <c r="B18" t="inlineStr">
        <is>
          <t>SW-DIFF-003</t>
        </is>
      </c>
      <c r="C18" t="inlineStr">
        <is>
          <t>Phụ kiện lắp ghép / Ke góc cửa gió</t>
        </is>
      </c>
      <c r="D18" t="inlineStr">
        <is>
          <t>PHỤ_KIỆN_CỬA</t>
        </is>
      </c>
      <c r="E18" t="inlineStr">
        <is>
          <t>MAT-DOOR-ACCESSORY</t>
        </is>
      </c>
      <c r="F18" t="inlineStr">
        <is>
          <t>Bộ</t>
        </is>
      </c>
      <c r="G18" s="20" t="n">
        <v>0.1645064789884779</v>
      </c>
      <c r="H18" s="16">
        <f>'00_TONG_HOP_BAO_GIA'!G4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4 ke góc chìm và vít ghép khung</t>
        </is>
      </c>
    </row>
    <row r="19">
      <c r="A19" t="inlineStr">
        <is>
          <t>SW-DIFF-003-PAINT</t>
        </is>
      </c>
      <c r="B19" t="inlineStr">
        <is>
          <t>SW-DIFF-003</t>
        </is>
      </c>
      <c r="C19" t="inlineStr">
        <is>
          <t>Sơn tĩnh điện tiêu chuẩn Polyester</t>
        </is>
      </c>
      <c r="D19" t="inlineStr">
        <is>
          <t>SƠN_TĨNH_ĐIỆN</t>
        </is>
      </c>
      <c r="E19" t="inlineStr">
        <is>
          <t>MAT-PAINT-POWDER</t>
        </is>
      </c>
      <c r="F19" t="inlineStr">
        <is>
          <t>m2</t>
        </is>
      </c>
      <c r="G19" s="20" t="n">
        <v>0.5621361616513114</v>
      </c>
      <c r="H19" s="16">
        <f>'00_TONG_HOP_BAO_GIA'!G4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Sơn tĩnh điện hoàn thiện</t>
        </is>
      </c>
    </row>
    <row r="20">
      <c r="A20" t="inlineStr">
        <is>
          <t>SW-DIFF-003-OBD-FRAME</t>
        </is>
      </c>
      <c r="B20" t="inlineStr">
        <is>
          <t>SW-DIFF-003</t>
        </is>
      </c>
      <c r="C20" t="inlineStr">
        <is>
          <t>Khung nhôm van OBD gắn cửa (SOBD)</t>
        </is>
      </c>
      <c r="D20" t="inlineStr">
        <is>
          <t>NHÔM_ĐỊNH_HÌNH</t>
        </is>
      </c>
      <c r="E20" t="inlineStr">
        <is>
          <t>MAT-ALU-KHUNG-OBD</t>
        </is>
      </c>
      <c r="F20" t="inlineStr">
        <is>
          <t>kg</t>
        </is>
      </c>
      <c r="G20" s="20" t="n">
        <v>0.466228280419009</v>
      </c>
      <c r="H20" s="16">
        <f>'00_TONG_HOP_BAO_GIA'!G4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Khung OBD 950x750mm</t>
        </is>
      </c>
    </row>
    <row r="21">
      <c r="A21" t="inlineStr">
        <is>
          <t>SW-DIFF-003-OBD-BLADE</t>
        </is>
      </c>
      <c r="B21" t="inlineStr">
        <is>
          <t>SW-DIFF-003</t>
        </is>
      </c>
      <c r="C21" t="inlineStr">
        <is>
          <t>Nan nhôm &amp; thanh truyền van OBD (SOBD)</t>
        </is>
      </c>
      <c r="D21" t="inlineStr">
        <is>
          <t>NHÔM_ĐỊNH_HÌNH</t>
        </is>
      </c>
      <c r="E21" t="inlineStr">
        <is>
          <t>MAT-ALU-NAN-OBD</t>
        </is>
      </c>
      <c r="F21" t="inlineStr">
        <is>
          <t>kg</t>
        </is>
      </c>
      <c r="G21" s="20" t="n">
        <v>1.545921676277662</v>
      </c>
      <c r="H21" s="16">
        <f>'00_TONG_HOP_BAO_GIA'!G4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Nan OBD đối xứng &amp; thanh liên kết</t>
        </is>
      </c>
    </row>
    <row r="22">
      <c r="A22" t="inlineStr">
        <is>
          <t>SW-DIFF-003-OBD-ACC</t>
        </is>
      </c>
      <c r="B22" t="inlineStr">
        <is>
          <t>SW-DIFF-003</t>
        </is>
      </c>
      <c r="C22" t="inlineStr">
        <is>
          <t>Bánh răng nhựa &amp; phụ kiện van OBD</t>
        </is>
      </c>
      <c r="D22" t="inlineStr">
        <is>
          <t>PHỤ_KIỆN_CỬA</t>
        </is>
      </c>
      <c r="E22" t="inlineStr">
        <is>
          <t>MAT-DOOR-ACCESSORY</t>
        </is>
      </c>
      <c r="F22" t="inlineStr">
        <is>
          <t>Bộ</t>
        </is>
      </c>
      <c r="G22" s="20" t="n">
        <v>1.953873229739822</v>
      </c>
      <c r="H22" s="16">
        <f>'00_TONG_HOP_BAO_GIA'!G4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Cơ cấu bánh răng đóng mở OBD</t>
        </is>
      </c>
    </row>
    <row r="23">
      <c r="A23" t="inlineStr">
        <is>
          <t>SW-DIFF-004-FRAME</t>
        </is>
      </c>
      <c r="B23" t="inlineStr">
        <is>
          <t>SW-DIFF-004</t>
        </is>
      </c>
      <c r="C23" t="inlineStr">
        <is>
          <t>Khung nhôm định hình (1 lớp BD)</t>
        </is>
      </c>
      <c r="D23" t="inlineStr">
        <is>
          <t>NHÔM_ĐỊNH_HÌNH</t>
        </is>
      </c>
      <c r="E23" t="inlineStr">
        <is>
          <t>MAT-ALU-KHUNG-BD</t>
        </is>
      </c>
      <c r="F23" t="inlineStr">
        <is>
          <t>kg</t>
        </is>
      </c>
      <c r="G23" s="20" t="n">
        <v>0.1849847596746003</v>
      </c>
      <c r="H23" s="16">
        <f>'00_TONG_HOP_BAO_GIA'!G5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Khung bao 300x200mm (cổ 250x150mm)</t>
        </is>
      </c>
    </row>
    <row r="24">
      <c r="A24" t="inlineStr">
        <is>
          <t>SW-DIFF-004-BLADE</t>
        </is>
      </c>
      <c r="B24" t="inlineStr">
        <is>
          <t>SW-DIFF-004</t>
        </is>
      </c>
      <c r="C24" t="inlineStr">
        <is>
          <t>Nan nhôm bầu dục (7 nan)</t>
        </is>
      </c>
      <c r="D24" t="inlineStr">
        <is>
          <t>NHÔM_ĐỊNH_HÌNH</t>
        </is>
      </c>
      <c r="E24" t="inlineStr">
        <is>
          <t>MAT-ALU-NAN-BD</t>
        </is>
      </c>
      <c r="F24" t="inlineStr">
        <is>
          <t>kg</t>
        </is>
      </c>
      <c r="G24" s="20" t="n">
        <v>0.09502000560208465</v>
      </c>
      <c r="H24" s="16">
        <f>'00_TONG_HOP_BAO_GIA'!G5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Nan bầu dục @ 0.058kg/m</t>
        </is>
      </c>
    </row>
    <row r="25">
      <c r="A25" t="inlineStr">
        <is>
          <t>SW-DIFF-004-ACCESSORY</t>
        </is>
      </c>
      <c r="B25" t="inlineStr">
        <is>
          <t>SW-DIFF-004</t>
        </is>
      </c>
      <c r="C25" t="inlineStr">
        <is>
          <t>Phụ kiện lắp ghép / Ke góc cửa gió</t>
        </is>
      </c>
      <c r="D25" t="inlineStr">
        <is>
          <t>PHỤ_KIỆN_CỬA</t>
        </is>
      </c>
      <c r="E25" t="inlineStr">
        <is>
          <t>MAT-DOOR-ACCESSORY</t>
        </is>
      </c>
      <c r="F25" t="inlineStr">
        <is>
          <t>Bộ</t>
        </is>
      </c>
      <c r="G25" s="20" t="n">
        <v>0.03119277425282226</v>
      </c>
      <c r="H25" s="16">
        <f>'00_TONG_HOP_BAO_GIA'!G5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4 ke góc chìm và vít ghép khung</t>
        </is>
      </c>
    </row>
    <row r="26">
      <c r="A26" t="inlineStr">
        <is>
          <t>SW-DIFF-004-PAINT</t>
        </is>
      </c>
      <c r="B26" t="inlineStr">
        <is>
          <t>SW-DIFF-004</t>
        </is>
      </c>
      <c r="C26" t="inlineStr">
        <is>
          <t>Sơn tĩnh điện tiêu chuẩn Polyester</t>
        </is>
      </c>
      <c r="D26" t="inlineStr">
        <is>
          <t>SƠN_TĨNH_ĐIỆN</t>
        </is>
      </c>
      <c r="E26" t="inlineStr">
        <is>
          <t>MAT-PAINT-POWDER</t>
        </is>
      </c>
      <c r="F26" t="inlineStr">
        <is>
          <t>m2</t>
        </is>
      </c>
      <c r="G26" s="20" t="n">
        <v>0.05903035934231575</v>
      </c>
      <c r="H26" s="16">
        <f>'00_TONG_HOP_BAO_GIA'!G5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Sơn tĩnh điện hoàn thiện</t>
        </is>
      </c>
    </row>
    <row r="27">
      <c r="A27" t="inlineStr">
        <is>
          <t>SW-DIFF-004-OBD-FRAME</t>
        </is>
      </c>
      <c r="B27" t="inlineStr">
        <is>
          <t>SW-DIFF-004</t>
        </is>
      </c>
      <c r="C27" t="inlineStr">
        <is>
          <t>Khung nhôm van OBD gắn cửa (SOBD)</t>
        </is>
      </c>
      <c r="D27" t="inlineStr">
        <is>
          <t>NHÔM_ĐỊNH_HÌNH</t>
        </is>
      </c>
      <c r="E27" t="inlineStr">
        <is>
          <t>MAT-ALU-KHUNG-OBD</t>
        </is>
      </c>
      <c r="F27" t="inlineStr">
        <is>
          <t>kg</t>
        </is>
      </c>
      <c r="G27" s="20" t="n">
        <v>0.1096987237700162</v>
      </c>
      <c r="H27" s="16">
        <f>'00_TONG_HOP_BAO_GIA'!G5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Khung OBD 250x150mm</t>
        </is>
      </c>
    </row>
    <row r="28">
      <c r="A28" t="inlineStr">
        <is>
          <t>SW-DIFF-004-OBD-BLADE</t>
        </is>
      </c>
      <c r="B28" t="inlineStr">
        <is>
          <t>SW-DIFF-004</t>
        </is>
      </c>
      <c r="C28" t="inlineStr">
        <is>
          <t>Nan nhôm &amp; thanh truyền van OBD (SOBD)</t>
        </is>
      </c>
      <c r="D28" t="inlineStr">
        <is>
          <t>NHÔM_ĐỊNH_HÌNH</t>
        </is>
      </c>
      <c r="E28" t="inlineStr">
        <is>
          <t>MAT-ALU-NAN-OBD</t>
        </is>
      </c>
      <c r="F28" t="inlineStr">
        <is>
          <t>kg</t>
        </is>
      </c>
      <c r="G28" s="20" t="n">
        <v>0.08136277969492896</v>
      </c>
      <c r="H28" s="16">
        <f>'00_TONG_HOP_BAO_GIA'!G5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Nan OBD đối xứng &amp; thanh liên kết</t>
        </is>
      </c>
    </row>
    <row r="29">
      <c r="A29" t="inlineStr">
        <is>
          <t>SW-DIFF-004-OBD-ACC</t>
        </is>
      </c>
      <c r="B29" t="inlineStr">
        <is>
          <t>SW-DIFF-004</t>
        </is>
      </c>
      <c r="C29" t="inlineStr">
        <is>
          <t>Bánh răng nhựa &amp; phụ kiện van OBD</t>
        </is>
      </c>
      <c r="D29" t="inlineStr">
        <is>
          <t>PHỤ_KIỆN_CỬA</t>
        </is>
      </c>
      <c r="E29" t="inlineStr">
        <is>
          <t>MAT-DOOR-ACCESSORY</t>
        </is>
      </c>
      <c r="F29" t="inlineStr">
        <is>
          <t>Bộ</t>
        </is>
      </c>
      <c r="G29" s="20" t="n">
        <v>0.6913576196855213</v>
      </c>
      <c r="H29" s="16">
        <f>'00_TONG_HOP_BAO_GIA'!G5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Cơ cấu bánh răng đóng mở OBD</t>
        </is>
      </c>
    </row>
    <row r="30">
      <c r="A30" t="inlineStr">
        <is>
          <t>SW-DIFF-005-FRAME</t>
        </is>
      </c>
      <c r="B30" t="inlineStr">
        <is>
          <t>SW-DIFF-005</t>
        </is>
      </c>
      <c r="C30" t="inlineStr">
        <is>
          <t>Khung nhôm định hình (1 lớp BD)</t>
        </is>
      </c>
      <c r="D30" t="inlineStr">
        <is>
          <t>NHÔM_ĐỊNH_HÌNH</t>
        </is>
      </c>
      <c r="E30" t="inlineStr">
        <is>
          <t>MAT-ALU-KHUNG-BD</t>
        </is>
      </c>
      <c r="F30" t="inlineStr">
        <is>
          <t>kg</t>
        </is>
      </c>
      <c r="G30" s="20" t="n">
        <v>0.1522746013870727</v>
      </c>
      <c r="H30" s="16">
        <f>'00_TONG_HOP_BAO_GIA'!G6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Khung bao 200x200mm (cổ 150x150mm)</t>
        </is>
      </c>
    </row>
    <row r="31">
      <c r="A31" t="inlineStr">
        <is>
          <t>SW-DIFF-005-BLADE</t>
        </is>
      </c>
      <c r="B31" t="inlineStr">
        <is>
          <t>SW-DIFF-005</t>
        </is>
      </c>
      <c r="C31" t="inlineStr">
        <is>
          <t>Nan nhôm bầu dục (7 nan)</t>
        </is>
      </c>
      <c r="D31" t="inlineStr">
        <is>
          <t>NHÔM_ĐỊNH_HÌNH</t>
        </is>
      </c>
      <c r="E31" t="inlineStr">
        <is>
          <t>MAT-ALU-NAN-BD</t>
        </is>
      </c>
      <c r="F31" t="inlineStr">
        <is>
          <t>kg</t>
        </is>
      </c>
      <c r="G31" s="20" t="n">
        <v>0.0573856635177768</v>
      </c>
      <c r="H31" s="16">
        <f>'00_TONG_HOP_BAO_GIA'!G6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Nan bầu dục @ 0.058kg/m</t>
        </is>
      </c>
    </row>
    <row r="32">
      <c r="A32" t="inlineStr">
        <is>
          <t>SW-DIFF-005-ACCESSORY</t>
        </is>
      </c>
      <c r="B32" t="inlineStr">
        <is>
          <t>SW-DIFF-005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20" t="n">
        <v>0.0313972136028296</v>
      </c>
      <c r="H32" s="16">
        <f>'00_TONG_HOP_BAO_GIA'!G6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4 ke góc chìm và vít ghép khung</t>
        </is>
      </c>
    </row>
    <row r="33">
      <c r="A33" t="inlineStr">
        <is>
          <t>SW-DIFF-005-PAINT</t>
        </is>
      </c>
      <c r="B33" t="inlineStr">
        <is>
          <t>SW-DIFF-005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20" t="n">
        <v>0.04324900213256998</v>
      </c>
      <c r="H33" s="16">
        <f>'00_TONG_HOP_BAO_GIA'!G6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Sơn tĩnh điện hoàn thiện</t>
        </is>
      </c>
    </row>
    <row r="34">
      <c r="A34" t="inlineStr">
        <is>
          <t>SW-DIFF-005-OBD-FRAME</t>
        </is>
      </c>
      <c r="B34" t="inlineStr">
        <is>
          <t>SW-DIFF-005</t>
        </is>
      </c>
      <c r="C34" t="inlineStr">
        <is>
          <t>Khung nhôm van OBD gắn cửa (SOBD)</t>
        </is>
      </c>
      <c r="D34" t="inlineStr">
        <is>
          <t>NHÔM_ĐỊNH_HÌNH</t>
        </is>
      </c>
      <c r="E34" t="inlineStr">
        <is>
          <t>MAT-ALU-KHUNG-OBD</t>
        </is>
      </c>
      <c r="F34" t="inlineStr">
        <is>
          <t>kg</t>
        </is>
      </c>
      <c r="G34" s="20" t="n">
        <v>0.08230553030583942</v>
      </c>
      <c r="H34" s="16">
        <f>'00_TONG_HOP_BAO_GIA'!G6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Khung OBD 150x150mm</t>
        </is>
      </c>
    </row>
    <row r="35">
      <c r="A35" t="inlineStr">
        <is>
          <t>SW-DIFF-005-OBD-BLADE</t>
        </is>
      </c>
      <c r="B35" t="inlineStr">
        <is>
          <t>SW-DIFF-005</t>
        </is>
      </c>
      <c r="C35" t="inlineStr">
        <is>
          <t>Nan nhôm &amp; thanh truyền van OBD (SOBD)</t>
        </is>
      </c>
      <c r="D35" t="inlineStr">
        <is>
          <t>NHÔM_ĐỊNH_HÌNH</t>
        </is>
      </c>
      <c r="E35" t="inlineStr">
        <is>
          <t>MAT-ALU-NAN-OBD</t>
        </is>
      </c>
      <c r="F35" t="inlineStr">
        <is>
          <t>kg</t>
        </is>
      </c>
      <c r="G35" s="20" t="n">
        <v>0.04883635105172434</v>
      </c>
      <c r="H35" s="16">
        <f>'00_TONG_HOP_BAO_GIA'!G6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Nan OBD đối xứng &amp; thanh liên kết</t>
        </is>
      </c>
    </row>
    <row r="36">
      <c r="A36" t="inlineStr">
        <is>
          <t>SW-DIFF-005-OBD-ACC</t>
        </is>
      </c>
      <c r="B36" t="inlineStr">
        <is>
          <t>SW-DIFF-005</t>
        </is>
      </c>
      <c r="C36" t="inlineStr">
        <is>
          <t>Bánh răng nhựa &amp; phụ kiện van OBD</t>
        </is>
      </c>
      <c r="D36" t="inlineStr">
        <is>
          <t>PHỤ_KIỆN_CỬA</t>
        </is>
      </c>
      <c r="E36" t="inlineStr">
        <is>
          <t>MAT-DOOR-ACCESSORY</t>
        </is>
      </c>
      <c r="F36" t="inlineStr">
        <is>
          <t>Bộ</t>
        </is>
      </c>
      <c r="G36" s="20" t="n">
        <v>0.5111990265182811</v>
      </c>
      <c r="H36" s="16">
        <f>'00_TONG_HOP_BAO_GIA'!G6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Cơ cấu bánh răng đóng mở OBD</t>
        </is>
      </c>
    </row>
    <row r="37">
      <c r="A37" t="inlineStr">
        <is>
          <t>SW-DIFF-006-FRAME</t>
        </is>
      </c>
      <c r="B37" t="inlineStr">
        <is>
          <t>SW-DIFF-006</t>
        </is>
      </c>
      <c r="C37" t="inlineStr">
        <is>
          <t>Khung nhôm định hình (1 lớp BD)</t>
        </is>
      </c>
      <c r="D37" t="inlineStr">
        <is>
          <t>NHÔM_ĐỊNH_HÌNH</t>
        </is>
      </c>
      <c r="E37" t="inlineStr">
        <is>
          <t>MAT-ALU-KHUNG-BD</t>
        </is>
      </c>
      <c r="F37" t="inlineStr">
        <is>
          <t>kg</t>
        </is>
      </c>
      <c r="G37" s="20" t="n">
        <v>0.1849847596746003</v>
      </c>
      <c r="H37" s="16">
        <f>'00_TONG_HOP_BAO_GIA'!G7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Khung bao 300x200mm (cổ 250x150mm)</t>
        </is>
      </c>
    </row>
    <row r="38">
      <c r="A38" t="inlineStr">
        <is>
          <t>SW-DIFF-006-BLADE</t>
        </is>
      </c>
      <c r="B38" t="inlineStr">
        <is>
          <t>SW-DIFF-006</t>
        </is>
      </c>
      <c r="C38" t="inlineStr">
        <is>
          <t>Nan nhôm bầu dục (7 nan)</t>
        </is>
      </c>
      <c r="D38" t="inlineStr">
        <is>
          <t>NHÔM_ĐỊNH_HÌNH</t>
        </is>
      </c>
      <c r="E38" t="inlineStr">
        <is>
          <t>MAT-ALU-NAN-BD</t>
        </is>
      </c>
      <c r="F38" t="inlineStr">
        <is>
          <t>kg</t>
        </is>
      </c>
      <c r="G38" s="20" t="n">
        <v>0.09502000560208465</v>
      </c>
      <c r="H38" s="16">
        <f>'00_TONG_HOP_BAO_GIA'!G7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Nan bầu dục @ 0.058kg/m</t>
        </is>
      </c>
    </row>
    <row r="39">
      <c r="A39" t="inlineStr">
        <is>
          <t>SW-DIFF-006-ACCESSORY</t>
        </is>
      </c>
      <c r="B39" t="inlineStr">
        <is>
          <t>SW-DIFF-006</t>
        </is>
      </c>
      <c r="C39" t="inlineStr">
        <is>
          <t>Phụ kiện lắp ghép / Ke góc cửa gió</t>
        </is>
      </c>
      <c r="D39" t="inlineStr">
        <is>
          <t>PHỤ_KIỆN_CỬA</t>
        </is>
      </c>
      <c r="E39" t="inlineStr">
        <is>
          <t>MAT-DOOR-ACCESSORY</t>
        </is>
      </c>
      <c r="F39" t="inlineStr">
        <is>
          <t>Bộ</t>
        </is>
      </c>
      <c r="G39" s="20" t="n">
        <v>0.03119277425282226</v>
      </c>
      <c r="H39" s="16">
        <f>'00_TONG_HOP_BAO_GIA'!G7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4 ke góc chìm và vít ghép khung</t>
        </is>
      </c>
    </row>
    <row r="40">
      <c r="A40" t="inlineStr">
        <is>
          <t>SW-DIFF-006-PAINT</t>
        </is>
      </c>
      <c r="B40" t="inlineStr">
        <is>
          <t>SW-DIFF-006</t>
        </is>
      </c>
      <c r="C40" t="inlineStr">
        <is>
          <t>Sơn tĩnh điện tiêu chuẩn Polyester</t>
        </is>
      </c>
      <c r="D40" t="inlineStr">
        <is>
          <t>SƠN_TĨNH_ĐIỆN</t>
        </is>
      </c>
      <c r="E40" t="inlineStr">
        <is>
          <t>MAT-PAINT-POWDER</t>
        </is>
      </c>
      <c r="F40" t="inlineStr">
        <is>
          <t>m2</t>
        </is>
      </c>
      <c r="G40" s="20" t="n">
        <v>0.05903035934231575</v>
      </c>
      <c r="H40" s="16">
        <f>'00_TONG_HOP_BAO_GIA'!G7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Sơn tĩnh điện hoàn thiện</t>
        </is>
      </c>
    </row>
    <row r="41">
      <c r="A41" t="inlineStr">
        <is>
          <t>SW-DIFF-006-OBD-FRAME</t>
        </is>
      </c>
      <c r="B41" t="inlineStr">
        <is>
          <t>SW-DIFF-006</t>
        </is>
      </c>
      <c r="C41" t="inlineStr">
        <is>
          <t>Khung nhôm van OBD gắn cửa (SOBD)</t>
        </is>
      </c>
      <c r="D41" t="inlineStr">
        <is>
          <t>NHÔM_ĐỊNH_HÌNH</t>
        </is>
      </c>
      <c r="E41" t="inlineStr">
        <is>
          <t>MAT-ALU-KHUNG-OBD</t>
        </is>
      </c>
      <c r="F41" t="inlineStr">
        <is>
          <t>kg</t>
        </is>
      </c>
      <c r="G41" s="20" t="n">
        <v>0.1096987237700162</v>
      </c>
      <c r="H41" s="16">
        <f>'00_TONG_HOP_BAO_GIA'!G7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Khung OBD 250x150mm</t>
        </is>
      </c>
    </row>
    <row r="42">
      <c r="A42" t="inlineStr">
        <is>
          <t>SW-DIFF-006-OBD-BLADE</t>
        </is>
      </c>
      <c r="B42" t="inlineStr">
        <is>
          <t>SW-DIFF-006</t>
        </is>
      </c>
      <c r="C42" t="inlineStr">
        <is>
          <t>Nan nhôm &amp; thanh truyền van OBD (SOBD)</t>
        </is>
      </c>
      <c r="D42" t="inlineStr">
        <is>
          <t>NHÔM_ĐỊNH_HÌNH</t>
        </is>
      </c>
      <c r="E42" t="inlineStr">
        <is>
          <t>MAT-ALU-NAN-OBD</t>
        </is>
      </c>
      <c r="F42" t="inlineStr">
        <is>
          <t>kg</t>
        </is>
      </c>
      <c r="G42" s="20" t="n">
        <v>0.08136277969492896</v>
      </c>
      <c r="H42" s="16">
        <f>'00_TONG_HOP_BAO_GIA'!G7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Nan OBD đối xứng &amp; thanh liên kết</t>
        </is>
      </c>
    </row>
    <row r="43">
      <c r="A43" t="inlineStr">
        <is>
          <t>SW-DIFF-006-OBD-ACC</t>
        </is>
      </c>
      <c r="B43" t="inlineStr">
        <is>
          <t>SW-DIFF-006</t>
        </is>
      </c>
      <c r="C43" t="inlineStr">
        <is>
          <t>Bánh răng nhựa &amp; phụ kiện van OBD</t>
        </is>
      </c>
      <c r="D43" t="inlineStr">
        <is>
          <t>PHỤ_KIỆN_CỬA</t>
        </is>
      </c>
      <c r="E43" t="inlineStr">
        <is>
          <t>MAT-DOOR-ACCESSORY</t>
        </is>
      </c>
      <c r="F43" t="inlineStr">
        <is>
          <t>Bộ</t>
        </is>
      </c>
      <c r="G43" s="20" t="n">
        <v>0.6913576196855213</v>
      </c>
      <c r="H43" s="16">
        <f>'00_TONG_HOP_BAO_GIA'!G7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Cơ cấu bánh răng đóng mở OBD</t>
        </is>
      </c>
    </row>
    <row r="44">
      <c r="A44" t="inlineStr">
        <is>
          <t>SW-DIFF-007-FRAME</t>
        </is>
      </c>
      <c r="B44" t="inlineStr">
        <is>
          <t>SW-DIFF-007</t>
        </is>
      </c>
      <c r="C44" t="inlineStr">
        <is>
          <t>Khung nhôm định hình (1 lớp BD)</t>
        </is>
      </c>
      <c r="D44" t="inlineStr">
        <is>
          <t>NHÔM_ĐỊNH_HÌNH</t>
        </is>
      </c>
      <c r="E44" t="inlineStr">
        <is>
          <t>MAT-ALU-KHUNG-BD</t>
        </is>
      </c>
      <c r="F44" t="inlineStr">
        <is>
          <t>kg</t>
        </is>
      </c>
      <c r="G44" s="20" t="n">
        <v>0.2178353904640812</v>
      </c>
      <c r="H44" s="16">
        <f>'00_TONG_HOP_BAO_GIA'!G8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Khung bao 400x200mm (cổ 350x150mm)</t>
        </is>
      </c>
    </row>
    <row r="45">
      <c r="A45" t="inlineStr">
        <is>
          <t>SW-DIFF-007-BLADE</t>
        </is>
      </c>
      <c r="B45" t="inlineStr">
        <is>
          <t>SW-DIFF-007</t>
        </is>
      </c>
      <c r="C45" t="inlineStr">
        <is>
          <t>Nan nhôm bầu dục (7 nan)</t>
        </is>
      </c>
      <c r="D45" t="inlineStr">
        <is>
          <t>NHÔM_ĐỊNH_HÌNH</t>
        </is>
      </c>
      <c r="E45" t="inlineStr">
        <is>
          <t>MAT-ALU-NAN-BD</t>
        </is>
      </c>
      <c r="F45" t="inlineStr">
        <is>
          <t>kg</t>
        </is>
      </c>
      <c r="G45" s="20" t="n">
        <v>0.1325103124355562</v>
      </c>
      <c r="H45" s="16">
        <f>'00_TONG_HOP_BAO_GIA'!G8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Nan bầu dục @ 0.058kg/m</t>
        </is>
      </c>
    </row>
    <row r="46">
      <c r="A46" t="inlineStr">
        <is>
          <t>SW-DIFF-007-ACCESSORY</t>
        </is>
      </c>
      <c r="B46" t="inlineStr">
        <is>
          <t>SW-DIFF-007</t>
        </is>
      </c>
      <c r="C46" t="inlineStr">
        <is>
          <t>Phụ kiện lắp ghép / Ke góc cửa gió</t>
        </is>
      </c>
      <c r="D46" t="inlineStr">
        <is>
          <t>PHỤ_KIỆN_CỬA</t>
        </is>
      </c>
      <c r="E46" t="inlineStr">
        <is>
          <t>MAT-DOOR-ACCESSORY</t>
        </is>
      </c>
      <c r="F46" t="inlineStr">
        <is>
          <t>Bộ</t>
        </is>
      </c>
      <c r="G46" s="20" t="n">
        <v>0.0310713836055787</v>
      </c>
      <c r="H46" s="16">
        <f>'00_TONG_HOP_BAO_GIA'!G8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4 ke góc chìm và vít ghép khung</t>
        </is>
      </c>
    </row>
    <row r="47">
      <c r="A47" t="inlineStr">
        <is>
          <t>SW-DIFF-007-PAINT</t>
        </is>
      </c>
      <c r="B47" t="inlineStr">
        <is>
          <t>SW-DIFF-007</t>
        </is>
      </c>
      <c r="C47" t="inlineStr">
        <is>
          <t>Sơn tĩnh điện tiêu chuẩn Polyester</t>
        </is>
      </c>
      <c r="D47" t="inlineStr">
        <is>
          <t>SƠN_TĨNH_ĐIỆN</t>
        </is>
      </c>
      <c r="E47" t="inlineStr">
        <is>
          <t>MAT-PAINT-POWDER</t>
        </is>
      </c>
      <c r="F47" t="inlineStr">
        <is>
          <t>m2</t>
        </is>
      </c>
      <c r="G47" s="20" t="n">
        <v>0.07480109222963183</v>
      </c>
      <c r="H47" s="16">
        <f>'00_TONG_HOP_BAO_GIA'!G8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Sơn tĩnh điện hoàn thiện</t>
        </is>
      </c>
    </row>
    <row r="48">
      <c r="A48" t="inlineStr">
        <is>
          <t>SW-DIFF-007-OBD-FRAME</t>
        </is>
      </c>
      <c r="B48" t="inlineStr">
        <is>
          <t>SW-DIFF-007</t>
        </is>
      </c>
      <c r="C48" t="inlineStr">
        <is>
          <t>Khung nhôm van OBD gắn cửa (SOBD)</t>
        </is>
      </c>
      <c r="D48" t="inlineStr">
        <is>
          <t>NHÔM_ĐỊNH_HÌNH</t>
        </is>
      </c>
      <c r="E48" t="inlineStr">
        <is>
          <t>MAT-ALU-KHUNG-OBD</t>
        </is>
      </c>
      <c r="F48" t="inlineStr">
        <is>
          <t>kg</t>
        </is>
      </c>
      <c r="G48" s="20" t="n">
        <v>0.1370950543299558</v>
      </c>
      <c r="H48" s="16">
        <f>'00_TONG_HOP_BAO_GIA'!G8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Khung OBD 350x150mm</t>
        </is>
      </c>
    </row>
    <row r="49">
      <c r="A49" t="inlineStr">
        <is>
          <t>SW-DIFF-007-OBD-BLADE</t>
        </is>
      </c>
      <c r="B49" t="inlineStr">
        <is>
          <t>SW-DIFF-007</t>
        </is>
      </c>
      <c r="C49" t="inlineStr">
        <is>
          <t>Nan nhôm &amp; thanh truyền van OBD (SOBD)</t>
        </is>
      </c>
      <c r="D49" t="inlineStr">
        <is>
          <t>NHÔM_ĐỊNH_HÌNH</t>
        </is>
      </c>
      <c r="E49" t="inlineStr">
        <is>
          <t>MAT-ALU-NAN-OBD</t>
        </is>
      </c>
      <c r="F49" t="inlineStr">
        <is>
          <t>kg</t>
        </is>
      </c>
      <c r="G49" s="20" t="n">
        <v>0.1138843410177639</v>
      </c>
      <c r="H49" s="16">
        <f>'00_TONG_HOP_BAO_GIA'!G8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Nan OBD đối xứng &amp; thanh liên kết</t>
        </is>
      </c>
    </row>
    <row r="50">
      <c r="A50" t="inlineStr">
        <is>
          <t>SW-DIFF-007-OBD-ACC</t>
        </is>
      </c>
      <c r="B50" t="inlineStr">
        <is>
          <t>SW-DIFF-007</t>
        </is>
      </c>
      <c r="C50" t="inlineStr">
        <is>
          <t>Bánh răng nhựa &amp; phụ kiện van OBD</t>
        </is>
      </c>
      <c r="D50" t="inlineStr">
        <is>
          <t>PHỤ_KIỆN_CỬA</t>
        </is>
      </c>
      <c r="E50" t="inlineStr">
        <is>
          <t>MAT-DOOR-ACCESSORY</t>
        </is>
      </c>
      <c r="F50" t="inlineStr">
        <is>
          <t>Bộ</t>
        </is>
      </c>
      <c r="G50" s="20" t="n">
        <v>0.8715315541776097</v>
      </c>
      <c r="H50" s="16">
        <f>'00_TONG_HOP_BAO_GIA'!G8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Cơ cấu bánh răng đóng mở OBD</t>
        </is>
      </c>
    </row>
    <row r="51">
      <c r="A51" t="inlineStr">
        <is>
          <t>SW-DIFF-008-FRAME</t>
        </is>
      </c>
      <c r="B51" t="inlineStr">
        <is>
          <t>SW-DIFF-008</t>
        </is>
      </c>
      <c r="C51" t="inlineStr">
        <is>
          <t>Khung nhôm định hình (1 lớp BD)</t>
        </is>
      </c>
      <c r="D51" t="inlineStr">
        <is>
          <t>NHÔM_ĐỊNH_HÌNH</t>
        </is>
      </c>
      <c r="E51" t="inlineStr">
        <is>
          <t>MAT-ALU-KHUNG-BD</t>
        </is>
      </c>
      <c r="F51" t="inlineStr">
        <is>
          <t>kg</t>
        </is>
      </c>
      <c r="G51" s="20" t="n">
        <v>0.1849847596746003</v>
      </c>
      <c r="H51" s="16">
        <f>'00_TONG_HOP_BAO_GIA'!G9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Khung bao 300x200mm (cổ 250x150mm)</t>
        </is>
      </c>
    </row>
    <row r="52">
      <c r="A52" t="inlineStr">
        <is>
          <t>SW-DIFF-008-BLADE</t>
        </is>
      </c>
      <c r="B52" t="inlineStr">
        <is>
          <t>SW-DIFF-008</t>
        </is>
      </c>
      <c r="C52" t="inlineStr">
        <is>
          <t>Nan nhôm bầu dục (7 nan)</t>
        </is>
      </c>
      <c r="D52" t="inlineStr">
        <is>
          <t>NHÔM_ĐỊNH_HÌNH</t>
        </is>
      </c>
      <c r="E52" t="inlineStr">
        <is>
          <t>MAT-ALU-NAN-BD</t>
        </is>
      </c>
      <c r="F52" t="inlineStr">
        <is>
          <t>kg</t>
        </is>
      </c>
      <c r="G52" s="20" t="n">
        <v>0.09502000560208465</v>
      </c>
      <c r="H52" s="16">
        <f>'00_TONG_HOP_BAO_GIA'!G9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Nan bầu dục @ 0.058kg/m</t>
        </is>
      </c>
    </row>
    <row r="53">
      <c r="A53" t="inlineStr">
        <is>
          <t>SW-DIFF-008-ACCESSORY</t>
        </is>
      </c>
      <c r="B53" t="inlineStr">
        <is>
          <t>SW-DIFF-008</t>
        </is>
      </c>
      <c r="C53" t="inlineStr">
        <is>
          <t>Phụ kiện lắp ghép / Ke góc cửa gió</t>
        </is>
      </c>
      <c r="D53" t="inlineStr">
        <is>
          <t>PHỤ_KIỆN_CỬA</t>
        </is>
      </c>
      <c r="E53" t="inlineStr">
        <is>
          <t>MAT-DOOR-ACCESSORY</t>
        </is>
      </c>
      <c r="F53" t="inlineStr">
        <is>
          <t>Bộ</t>
        </is>
      </c>
      <c r="G53" s="20" t="n">
        <v>0.03119277425282226</v>
      </c>
      <c r="H53" s="16">
        <f>'00_TONG_HOP_BAO_GIA'!G9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4 ke góc chìm và vít ghép khung</t>
        </is>
      </c>
    </row>
    <row r="54">
      <c r="A54" t="inlineStr">
        <is>
          <t>SW-DIFF-008-PAINT</t>
        </is>
      </c>
      <c r="B54" t="inlineStr">
        <is>
          <t>SW-DIFF-008</t>
        </is>
      </c>
      <c r="C54" t="inlineStr">
        <is>
          <t>Sơn tĩnh điện tiêu chuẩn Polyester</t>
        </is>
      </c>
      <c r="D54" t="inlineStr">
        <is>
          <t>SƠN_TĨNH_ĐIỆN</t>
        </is>
      </c>
      <c r="E54" t="inlineStr">
        <is>
          <t>MAT-PAINT-POWDER</t>
        </is>
      </c>
      <c r="F54" t="inlineStr">
        <is>
          <t>m2</t>
        </is>
      </c>
      <c r="G54" s="20" t="n">
        <v>0.05903035934231575</v>
      </c>
      <c r="H54" s="16">
        <f>'00_TONG_HOP_BAO_GIA'!G9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Sơn tĩnh điện hoàn thiện</t>
        </is>
      </c>
    </row>
    <row r="55">
      <c r="A55" t="inlineStr">
        <is>
          <t>SW-DIFF-009-FRAME</t>
        </is>
      </c>
      <c r="B55" t="inlineStr">
        <is>
          <t>SW-DIFF-009</t>
        </is>
      </c>
      <c r="C55" t="inlineStr">
        <is>
          <t>Khung nhôm định hình (1 lớp BD)</t>
        </is>
      </c>
      <c r="D55" t="inlineStr">
        <is>
          <t>NHÔM_ĐỊNH_HÌNH</t>
        </is>
      </c>
      <c r="E55" t="inlineStr">
        <is>
          <t>MAT-ALU-KHUNG-BD</t>
        </is>
      </c>
      <c r="F55" t="inlineStr">
        <is>
          <t>kg</t>
        </is>
      </c>
      <c r="G55" s="20" t="n">
        <v>0.4195344034835327</v>
      </c>
      <c r="H55" s="16">
        <f>'00_TONG_HOP_BAO_GIA'!G10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Khung bao 750x400mm (cổ 700x350mm)</t>
        </is>
      </c>
    </row>
    <row r="56">
      <c r="A56" t="inlineStr">
        <is>
          <t>SW-DIFF-009-BLADE</t>
        </is>
      </c>
      <c r="B56" t="inlineStr">
        <is>
          <t>SW-DIFF-009</t>
        </is>
      </c>
      <c r="C56" t="inlineStr">
        <is>
          <t>Nan nhôm bầu dục (17 nan)</t>
        </is>
      </c>
      <c r="D56" t="inlineStr">
        <is>
          <t>NHÔM_ĐỊNH_HÌNH</t>
        </is>
      </c>
      <c r="E56" t="inlineStr">
        <is>
          <t>MAT-ALU-NAN-BD</t>
        </is>
      </c>
      <c r="F56" t="inlineStr">
        <is>
          <t>kg</t>
        </is>
      </c>
      <c r="G56" s="20" t="n">
        <v>0.6446185335804414</v>
      </c>
      <c r="H56" s="16">
        <f>'00_TONG_HOP_BAO_GIA'!G10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Nan bầu dục @ 0.058kg/m</t>
        </is>
      </c>
    </row>
    <row r="57">
      <c r="A57" t="inlineStr">
        <is>
          <t>SW-DIFF-009-ACCESSORY</t>
        </is>
      </c>
      <c r="B57" t="inlineStr">
        <is>
          <t>SW-DIFF-009</t>
        </is>
      </c>
      <c r="C57" t="inlineStr">
        <is>
          <t>Phụ kiện lắp ghép / Ke góc cửa gió</t>
        </is>
      </c>
      <c r="D57" t="inlineStr">
        <is>
          <t>PHỤ_KIỆN_CỬA</t>
        </is>
      </c>
      <c r="E57" t="inlineStr">
        <is>
          <t>MAT-DOOR-ACCESSORY</t>
        </is>
      </c>
      <c r="F57" t="inlineStr">
        <is>
          <t>Bộ</t>
        </is>
      </c>
      <c r="G57" s="20" t="n">
        <v>0.07557596600598279</v>
      </c>
      <c r="H57" s="16">
        <f>'00_TONG_HOP_BAO_GIA'!G10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4 ke góc chìm và vít ghép khung</t>
        </is>
      </c>
    </row>
    <row r="58">
      <c r="A58" t="inlineStr">
        <is>
          <t>SW-DIFF-009-PAINT</t>
        </is>
      </c>
      <c r="B58" t="inlineStr">
        <is>
          <t>SW-DIFF-009</t>
        </is>
      </c>
      <c r="C58" t="inlineStr">
        <is>
          <t>Sơn tĩnh điện tiêu chuẩn Polyester</t>
        </is>
      </c>
      <c r="D58" t="inlineStr">
        <is>
          <t>SƠN_TĨNH_ĐIỆN</t>
        </is>
      </c>
      <c r="E58" t="inlineStr">
        <is>
          <t>MAT-PAINT-POWDER</t>
        </is>
      </c>
      <c r="F58" t="inlineStr">
        <is>
          <t>m2</t>
        </is>
      </c>
      <c r="G58" s="20" t="n">
        <v>0.2310061776160725</v>
      </c>
      <c r="H58" s="16">
        <f>'00_TONG_HOP_BAO_GIA'!G10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Sơn tĩnh điện hoàn thiện</t>
        </is>
      </c>
    </row>
    <row r="59">
      <c r="A59" t="inlineStr">
        <is>
          <t>SW-DIFF-009-OBD-FRAME</t>
        </is>
      </c>
      <c r="B59" t="inlineStr">
        <is>
          <t>SW-DIFF-009</t>
        </is>
      </c>
      <c r="C59" t="inlineStr">
        <is>
          <t>Khung nhôm van OBD gắn cửa (SOBD)</t>
        </is>
      </c>
      <c r="D59" t="inlineStr">
        <is>
          <t>NHÔM_ĐỊNH_HÌNH</t>
        </is>
      </c>
      <c r="E59" t="inlineStr">
        <is>
          <t>MAT-ALU-KHUNG-OBD</t>
        </is>
      </c>
      <c r="F59" t="inlineStr">
        <is>
          <t>kg</t>
        </is>
      </c>
      <c r="G59" s="20" t="n">
        <v>0.2885832070398568</v>
      </c>
      <c r="H59" s="16">
        <f>'00_TONG_HOP_BAO_GIA'!G10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Khung OBD 700x350mm</t>
        </is>
      </c>
    </row>
    <row r="60">
      <c r="A60" t="inlineStr">
        <is>
          <t>SW-DIFF-009-OBD-BLADE</t>
        </is>
      </c>
      <c r="B60" t="inlineStr">
        <is>
          <t>SW-DIFF-009</t>
        </is>
      </c>
      <c r="C60" t="inlineStr">
        <is>
          <t>Nan nhôm &amp; thanh truyền van OBD (SOBD)</t>
        </is>
      </c>
      <c r="D60" t="inlineStr">
        <is>
          <t>NHÔM_ĐỊNH_HÌNH</t>
        </is>
      </c>
      <c r="E60" t="inlineStr">
        <is>
          <t>MAT-ALU-NAN-OBD</t>
        </is>
      </c>
      <c r="F60" t="inlineStr">
        <is>
          <t>kg</t>
        </is>
      </c>
      <c r="G60" s="20" t="n">
        <v>0.5327221648942506</v>
      </c>
      <c r="H60" s="16">
        <f>'00_TONG_HOP_BAO_GIA'!G10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Nan OBD đối xứng &amp; thanh liên kết</t>
        </is>
      </c>
    </row>
    <row r="61">
      <c r="A61" t="inlineStr">
        <is>
          <t>SW-DIFF-009-OBD-ACC</t>
        </is>
      </c>
      <c r="B61" t="inlineStr">
        <is>
          <t>SW-DIFF-009</t>
        </is>
      </c>
      <c r="C61" t="inlineStr">
        <is>
          <t>Bánh răng nhựa &amp; phụ kiện van OBD</t>
        </is>
      </c>
      <c r="D61" t="inlineStr">
        <is>
          <t>PHỤ_KIỆN_CỬA</t>
        </is>
      </c>
      <c r="E61" t="inlineStr">
        <is>
          <t>MAT-DOOR-ACCESSORY</t>
        </is>
      </c>
      <c r="F61" t="inlineStr">
        <is>
          <t>Bộ</t>
        </is>
      </c>
      <c r="G61" s="20" t="n">
        <v>1.506208501933149</v>
      </c>
      <c r="H61" s="16">
        <f>'00_TONG_HOP_BAO_GIA'!G10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Cơ cấu bánh răng đóng mở OBD</t>
        </is>
      </c>
    </row>
    <row r="62">
      <c r="A62" t="inlineStr">
        <is>
          <t>SW-DIFF-010-FRAME</t>
        </is>
      </c>
      <c r="B62" t="inlineStr">
        <is>
          <t>SW-DIFF-010</t>
        </is>
      </c>
      <c r="C62" t="inlineStr">
        <is>
          <t>Khung nhôm định hình (1 lớp BD)</t>
        </is>
      </c>
      <c r="D62" t="inlineStr">
        <is>
          <t>NHÔM_ĐỊNH_HÌNH</t>
        </is>
      </c>
      <c r="E62" t="inlineStr">
        <is>
          <t>MAT-ALU-KHUNG-BD</t>
        </is>
      </c>
      <c r="F62" t="inlineStr">
        <is>
          <t>kg</t>
        </is>
      </c>
      <c r="G62" s="20" t="n">
        <v>0.4776725200435986</v>
      </c>
      <c r="H62" s="16">
        <f>'00_TONG_HOP_BAO_GIA'!G11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Khung bao 800x500mm (cổ 750x450mm)</t>
        </is>
      </c>
    </row>
    <row r="63">
      <c r="A63" t="inlineStr">
        <is>
          <t>SW-DIFF-010-BLADE</t>
        </is>
      </c>
      <c r="B63" t="inlineStr">
        <is>
          <t>SW-DIFF-010</t>
        </is>
      </c>
      <c r="C63" t="inlineStr">
        <is>
          <t>Nan nhôm bầu dục (22 nan)</t>
        </is>
      </c>
      <c r="D63" t="inlineStr">
        <is>
          <t>NHÔM_ĐỊNH_HÌNH</t>
        </is>
      </c>
      <c r="E63" t="inlineStr">
        <is>
          <t>MAT-ALU-NAN-BD</t>
        </is>
      </c>
      <c r="F63" t="inlineStr">
        <is>
          <t>kg</t>
        </is>
      </c>
      <c r="G63" s="20" t="n">
        <v>0.8928371126596171</v>
      </c>
      <c r="H63" s="16">
        <f>'00_TONG_HOP_BAO_GIA'!G11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Nan bầu dục @ 0.058kg/m</t>
        </is>
      </c>
    </row>
    <row r="64">
      <c r="A64" t="inlineStr">
        <is>
          <t>SW-DIFF-010-ACCESSORY</t>
        </is>
      </c>
      <c r="B64" t="inlineStr">
        <is>
          <t>SW-DIFF-010</t>
        </is>
      </c>
      <c r="C64" t="inlineStr">
        <is>
          <t>Phụ kiện lắp ghép / Ke góc cửa gió</t>
        </is>
      </c>
      <c r="D64" t="inlineStr">
        <is>
          <t>PHỤ_KIỆN_CỬA</t>
        </is>
      </c>
      <c r="E64" t="inlineStr">
        <is>
          <t>MAT-DOOR-ACCESSORY</t>
        </is>
      </c>
      <c r="F64" t="inlineStr">
        <is>
          <t>Bộ</t>
        </is>
      </c>
      <c r="G64" s="20" t="n">
        <v>0.0976989576151673</v>
      </c>
      <c r="H64" s="16">
        <f>'00_TONG_HOP_BAO_GIA'!G11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4 ke góc chìm và vít ghép khung</t>
        </is>
      </c>
    </row>
    <row r="65">
      <c r="A65" t="inlineStr">
        <is>
          <t>SW-DIFF-010-PAINT</t>
        </is>
      </c>
      <c r="B65" t="inlineStr">
        <is>
          <t>SW-DIFF-010</t>
        </is>
      </c>
      <c r="C65" t="inlineStr">
        <is>
          <t>Sơn tĩnh điện tiêu chuẩn Polyester</t>
        </is>
      </c>
      <c r="D65" t="inlineStr">
        <is>
          <t>SƠN_TĨNH_ĐIỆN</t>
        </is>
      </c>
      <c r="E65" t="inlineStr">
        <is>
          <t>MAT-PAINT-POWDER</t>
        </is>
      </c>
      <c r="F65" t="inlineStr">
        <is>
          <t>m2</t>
        </is>
      </c>
      <c r="G65" s="20" t="n">
        <v>0.2977989617146811</v>
      </c>
      <c r="H65" s="16">
        <f>'00_TONG_HOP_BAO_GIA'!G11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Sơn tĩnh điện hoàn thiện</t>
        </is>
      </c>
    </row>
    <row r="66">
      <c r="A66" t="inlineStr">
        <is>
          <t>SW-DIFF-010-OBD-FRAME</t>
        </is>
      </c>
      <c r="B66" t="inlineStr">
        <is>
          <t>SW-DIFF-010</t>
        </is>
      </c>
      <c r="C66" t="inlineStr">
        <is>
          <t>Khung nhôm van OBD gắn cửa (SOBD)</t>
        </is>
      </c>
      <c r="D66" t="inlineStr">
        <is>
          <t>NHÔM_ĐỊNH_HÌNH</t>
        </is>
      </c>
      <c r="E66" t="inlineStr">
        <is>
          <t>MAT-ALU-KHUNG-OBD</t>
        </is>
      </c>
      <c r="F66" t="inlineStr">
        <is>
          <t>kg</t>
        </is>
      </c>
      <c r="G66" s="20" t="n">
        <v>0.3291746006677848</v>
      </c>
      <c r="H66" s="16">
        <f>'00_TONG_HOP_BAO_GIA'!G11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Khung OBD 750x450mm</t>
        </is>
      </c>
    </row>
    <row r="67">
      <c r="A67" t="inlineStr">
        <is>
          <t>SW-DIFF-010-OBD-BLADE</t>
        </is>
      </c>
      <c r="B67" t="inlineStr">
        <is>
          <t>SW-DIFF-010</t>
        </is>
      </c>
      <c r="C67" t="inlineStr">
        <is>
          <t>Nan nhôm &amp; thanh truyền van OBD (SOBD)</t>
        </is>
      </c>
      <c r="D67" t="inlineStr">
        <is>
          <t>NHÔM_ĐỊNH_HÌNH</t>
        </is>
      </c>
      <c r="E67" t="inlineStr">
        <is>
          <t>MAT-ALU-NAN-OBD</t>
        </is>
      </c>
      <c r="F67" t="inlineStr">
        <is>
          <t>kg</t>
        </is>
      </c>
      <c r="G67" s="20" t="n">
        <v>0.7324395287801777</v>
      </c>
      <c r="H67" s="16">
        <f>'00_TONG_HOP_BAO_GIA'!G11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Nan OBD đối xứng &amp; thanh liên kết</t>
        </is>
      </c>
    </row>
    <row r="68">
      <c r="A68" t="inlineStr">
        <is>
          <t>SW-DIFF-010-OBD-ACC</t>
        </is>
      </c>
      <c r="B68" t="inlineStr">
        <is>
          <t>SW-DIFF-010</t>
        </is>
      </c>
      <c r="C68" t="inlineStr">
        <is>
          <t>Bánh răng nhựa &amp; phụ kiện van OBD</t>
        </is>
      </c>
      <c r="D68" t="inlineStr">
        <is>
          <t>PHỤ_KIỆN_CỬA</t>
        </is>
      </c>
      <c r="E68" t="inlineStr">
        <is>
          <t>MAT-DOOR-ACCESSORY</t>
        </is>
      </c>
      <c r="F68" t="inlineStr">
        <is>
          <t>Bộ</t>
        </is>
      </c>
      <c r="G68" s="20" t="n">
        <v>1.5935080982628</v>
      </c>
      <c r="H68" s="16">
        <f>'00_TONG_HOP_BAO_GIA'!G11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Cơ cấu bánh răng đóng mở OBD</t>
        </is>
      </c>
    </row>
    <row r="69">
      <c r="A69" t="inlineStr">
        <is>
          <t>SW-DIFF-011-FRAME</t>
        </is>
      </c>
      <c r="B69" t="inlineStr">
        <is>
          <t>SW-DIFF-011</t>
        </is>
      </c>
      <c r="C69" t="inlineStr">
        <is>
          <t>Khung nhôm định hình (1 lớp BD)</t>
        </is>
      </c>
      <c r="D69" t="inlineStr">
        <is>
          <t>NHÔM_ĐỊNH_HÌNH</t>
        </is>
      </c>
      <c r="E69" t="inlineStr">
        <is>
          <t>MAT-ALU-KHUNG-BD</t>
        </is>
      </c>
      <c r="F69" t="inlineStr">
        <is>
          <t>kg</t>
        </is>
      </c>
      <c r="G69" s="20" t="n">
        <v>0.2400865034225944</v>
      </c>
      <c r="H69" s="16">
        <f>'00_TONG_HOP_BAO_GIA'!G12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Khung bao 400x250mm (cổ 350x200mm)</t>
        </is>
      </c>
    </row>
    <row r="70">
      <c r="A70" t="inlineStr">
        <is>
          <t>SW-DIFF-011-BLADE</t>
        </is>
      </c>
      <c r="B70" t="inlineStr">
        <is>
          <t>SW-DIFF-011</t>
        </is>
      </c>
      <c r="C70" t="inlineStr">
        <is>
          <t>Nan nhôm bầu dục (9 nan)</t>
        </is>
      </c>
      <c r="D70" t="inlineStr">
        <is>
          <t>NHÔM_ĐỊNH_HÌNH</t>
        </is>
      </c>
      <c r="E70" t="inlineStr">
        <is>
          <t>MAT-ALU-NAN-BD</t>
        </is>
      </c>
      <c r="F70" t="inlineStr">
        <is>
          <t>kg</t>
        </is>
      </c>
      <c r="G70" s="20" t="n">
        <v>0.1713429850597968</v>
      </c>
      <c r="H70" s="16">
        <f>'00_TONG_HOP_BAO_GIA'!G12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Nan bầu dục @ 0.058kg/m</t>
        </is>
      </c>
    </row>
    <row r="71">
      <c r="A71" t="inlineStr">
        <is>
          <t>SW-DIFF-011-ACCESSORY</t>
        </is>
      </c>
      <c r="B71" t="inlineStr">
        <is>
          <t>SW-DIFF-011</t>
        </is>
      </c>
      <c r="C71" t="inlineStr">
        <is>
          <t>Phụ kiện lắp ghép / Ke góc cửa gió</t>
        </is>
      </c>
      <c r="D71" t="inlineStr">
        <is>
          <t>PHỤ_KIỆN_CỬA</t>
        </is>
      </c>
      <c r="E71" t="inlineStr">
        <is>
          <t>MAT-DOOR-ACCESSORY</t>
        </is>
      </c>
      <c r="F71" t="inlineStr">
        <is>
          <t>Bộ</t>
        </is>
      </c>
      <c r="G71" s="20" t="n">
        <v>0.04017697580712477</v>
      </c>
      <c r="H71" s="16">
        <f>'00_TONG_HOP_BAO_GIA'!G12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4 ke góc chìm và vít ghép khung</t>
        </is>
      </c>
    </row>
    <row r="72">
      <c r="A72" t="inlineStr">
        <is>
          <t>SW-DIFF-011-PAINT</t>
        </is>
      </c>
      <c r="B72" t="inlineStr">
        <is>
          <t>SW-DIFF-011</t>
        </is>
      </c>
      <c r="C72" t="inlineStr">
        <is>
          <t>Sơn tĩnh điện tiêu chuẩn Polyester</t>
        </is>
      </c>
      <c r="D72" t="inlineStr">
        <is>
          <t>SƠN_TĨNH_ĐIỆN</t>
        </is>
      </c>
      <c r="E72" t="inlineStr">
        <is>
          <t>MAT-PAINT-POWDER</t>
        </is>
      </c>
      <c r="F72" t="inlineStr">
        <is>
          <t>m2</t>
        </is>
      </c>
      <c r="G72" s="20" t="n">
        <v>0.08753854022917067</v>
      </c>
      <c r="H72" s="16">
        <f>'00_TONG_HOP_BAO_GIA'!G12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Sơn tĩnh điện hoàn thiện</t>
        </is>
      </c>
    </row>
    <row r="73">
      <c r="A73" t="inlineStr">
        <is>
          <t>SW-DIFF-011-OBD-FRAME</t>
        </is>
      </c>
      <c r="B73" t="inlineStr">
        <is>
          <t>SW-DIFF-011</t>
        </is>
      </c>
      <c r="C73" t="inlineStr">
        <is>
          <t>Khung nhôm van OBD gắn cửa (SOBD)</t>
        </is>
      </c>
      <c r="D73" t="inlineStr">
        <is>
          <t>NHÔM_ĐỊNH_HÌNH</t>
        </is>
      </c>
      <c r="E73" t="inlineStr">
        <is>
          <t>MAT-ALU-KHUNG-OBD</t>
        </is>
      </c>
      <c r="F73" t="inlineStr">
        <is>
          <t>kg</t>
        </is>
      </c>
      <c r="G73" s="20" t="n">
        <v>0.1508978092437044</v>
      </c>
      <c r="H73" s="16">
        <f>'00_TONG_HOP_BAO_GIA'!G12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Khung OBD 350x200mm</t>
        </is>
      </c>
    </row>
    <row r="74">
      <c r="A74" t="inlineStr">
        <is>
          <t>SW-DIFF-011-OBD-BLADE</t>
        </is>
      </c>
      <c r="B74" t="inlineStr">
        <is>
          <t>SW-DIFF-011</t>
        </is>
      </c>
      <c r="C74" t="inlineStr">
        <is>
          <t>Nan nhôm &amp; thanh truyền van OBD (SOBD)</t>
        </is>
      </c>
      <c r="D74" t="inlineStr">
        <is>
          <t>NHÔM_ĐỊNH_HÌNH</t>
        </is>
      </c>
      <c r="E74" t="inlineStr">
        <is>
          <t>MAT-ALU-NAN-OBD</t>
        </is>
      </c>
      <c r="F74" t="inlineStr">
        <is>
          <t>kg</t>
        </is>
      </c>
      <c r="G74" s="20" t="n">
        <v>0.1519396813443514</v>
      </c>
      <c r="H74" s="16">
        <f>'00_TONG_HOP_BAO_GIA'!G12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Nan OBD đối xứng &amp; thanh liên kết</t>
        </is>
      </c>
    </row>
    <row r="75">
      <c r="A75" t="inlineStr">
        <is>
          <t>SW-DIFF-011-OBD-ACC</t>
        </is>
      </c>
      <c r="B75" t="inlineStr">
        <is>
          <t>SW-DIFF-011</t>
        </is>
      </c>
      <c r="C75" t="inlineStr">
        <is>
          <t>Bánh răng nhựa &amp; phụ kiện van OBD</t>
        </is>
      </c>
      <c r="D75" t="inlineStr">
        <is>
          <t>PHỤ_KIỆN_CỬA</t>
        </is>
      </c>
      <c r="E75" t="inlineStr">
        <is>
          <t>MAT-DOOR-ACCESSORY</t>
        </is>
      </c>
      <c r="F75" t="inlineStr">
        <is>
          <t>Bộ</t>
        </is>
      </c>
      <c r="G75" s="20" t="n">
        <v>0.8720704627160166</v>
      </c>
      <c r="H75" s="16">
        <f>'00_TONG_HOP_BAO_GIA'!G12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Cơ cấu bánh răng đóng mở OBD</t>
        </is>
      </c>
    </row>
    <row r="76">
      <c r="A76" t="inlineStr">
        <is>
          <t>SW-DIFF-012-FRAME</t>
        </is>
      </c>
      <c r="B76" t="inlineStr">
        <is>
          <t>SW-DIFF-012</t>
        </is>
      </c>
      <c r="C76" t="inlineStr">
        <is>
          <t>Khung nhôm định hình (1 lớp BD)</t>
        </is>
      </c>
      <c r="D76" t="inlineStr">
        <is>
          <t>NHÔM_ĐỊNH_HÌNH</t>
        </is>
      </c>
      <c r="E76" t="inlineStr">
        <is>
          <t>MAT-ALU-KHUNG-BD</t>
        </is>
      </c>
      <c r="F76" t="inlineStr">
        <is>
          <t>kg</t>
        </is>
      </c>
      <c r="G76" s="20" t="n">
        <v>0.3264460104909221</v>
      </c>
      <c r="H76" s="16">
        <f>'00_TONG_HOP_BAO_GIA'!G13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Khung bao 600x300mm (cổ 550x250mm)</t>
        </is>
      </c>
    </row>
    <row r="77">
      <c r="A77" t="inlineStr">
        <is>
          <t>SW-DIFF-012-BLADE</t>
        </is>
      </c>
      <c r="B77" t="inlineStr">
        <is>
          <t>SW-DIFF-012</t>
        </is>
      </c>
      <c r="C77" t="inlineStr">
        <is>
          <t>Nan nhôm bầu dục (12 nan)</t>
        </is>
      </c>
      <c r="D77" t="inlineStr">
        <is>
          <t>NHÔM_ĐỊNH_HÌNH</t>
        </is>
      </c>
      <c r="E77" t="inlineStr">
        <is>
          <t>MAT-ALU-NAN-BD</t>
        </is>
      </c>
      <c r="F77" t="inlineStr">
        <is>
          <t>kg</t>
        </is>
      </c>
      <c r="G77" s="20" t="n">
        <v>0.356631086803439</v>
      </c>
      <c r="H77" s="16">
        <f>'00_TONG_HOP_BAO_GIA'!G13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Nan bầu dục @ 0.058kg/m</t>
        </is>
      </c>
    </row>
    <row r="78">
      <c r="A78" t="inlineStr">
        <is>
          <t>SW-DIFF-012-ACCESSORY</t>
        </is>
      </c>
      <c r="B78" t="inlineStr">
        <is>
          <t>SW-DIFF-012</t>
        </is>
      </c>
      <c r="C78" t="inlineStr">
        <is>
          <t>Phụ kiện lắp ghép / Ke góc cửa gió</t>
        </is>
      </c>
      <c r="D78" t="inlineStr">
        <is>
          <t>PHỤ_KIỆN_CỬA</t>
        </is>
      </c>
      <c r="E78" t="inlineStr">
        <is>
          <t>MAT-DOOR-ACCESSORY</t>
        </is>
      </c>
      <c r="F78" t="inlineStr">
        <is>
          <t>Bộ</t>
        </is>
      </c>
      <c r="G78" s="20" t="n">
        <v>0.05321517157317773</v>
      </c>
      <c r="H78" s="16">
        <f>'00_TONG_HOP_BAO_GIA'!G13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4 ke góc chìm và vít ghép khung</t>
        </is>
      </c>
    </row>
    <row r="79">
      <c r="A79" t="inlineStr">
        <is>
          <t>SW-DIFF-012-PAINT</t>
        </is>
      </c>
      <c r="B79" t="inlineStr">
        <is>
          <t>SW-DIFF-012</t>
        </is>
      </c>
      <c r="C79" t="inlineStr">
        <is>
          <t>Sơn tĩnh điện tiêu chuẩn Polyester</t>
        </is>
      </c>
      <c r="D79" t="inlineStr">
        <is>
          <t>SƠN_TĨNH_ĐIỆN</t>
        </is>
      </c>
      <c r="E79" t="inlineStr">
        <is>
          <t>MAT-PAINT-POWDER</t>
        </is>
      </c>
      <c r="F79" t="inlineStr">
        <is>
          <t>m2</t>
        </is>
      </c>
      <c r="G79" s="20" t="n">
        <v>0.1474999343840079</v>
      </c>
      <c r="H79" s="16">
        <f>'00_TONG_HOP_BAO_GIA'!G13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Sơn tĩnh điện hoàn thiện</t>
        </is>
      </c>
    </row>
    <row r="80">
      <c r="A80" t="inlineStr">
        <is>
          <t>SW-DIFF-012-OBD-FRAME</t>
        </is>
      </c>
      <c r="B80" t="inlineStr">
        <is>
          <t>SW-DIFF-012</t>
        </is>
      </c>
      <c r="C80" t="inlineStr">
        <is>
          <t>Khung nhôm van OBD gắn cửa (SOBD)</t>
        </is>
      </c>
      <c r="D80" t="inlineStr">
        <is>
          <t>NHÔM_ĐỊNH_HÌNH</t>
        </is>
      </c>
      <c r="E80" t="inlineStr">
        <is>
          <t>MAT-ALU-KHUNG-OBD</t>
        </is>
      </c>
      <c r="F80" t="inlineStr">
        <is>
          <t>kg</t>
        </is>
      </c>
      <c r="G80" s="20" t="n">
        <v>0.2191780870022872</v>
      </c>
      <c r="H80" s="16">
        <f>'00_TONG_HOP_BAO_GIA'!G13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Khung OBD 550x250mm</t>
        </is>
      </c>
    </row>
    <row r="81">
      <c r="A81" t="inlineStr">
        <is>
          <t>SW-DIFF-012-OBD-BLADE</t>
        </is>
      </c>
      <c r="B81" t="inlineStr">
        <is>
          <t>SW-DIFF-012</t>
        </is>
      </c>
      <c r="C81" t="inlineStr">
        <is>
          <t>Nan nhôm &amp; thanh truyền van OBD (SOBD)</t>
        </is>
      </c>
      <c r="D81" t="inlineStr">
        <is>
          <t>NHÔM_ĐỊNH_HÌNH</t>
        </is>
      </c>
      <c r="E81" t="inlineStr">
        <is>
          <t>MAT-ALU-NAN-OBD</t>
        </is>
      </c>
      <c r="F81" t="inlineStr">
        <is>
          <t>kg</t>
        </is>
      </c>
      <c r="G81" s="20" t="n">
        <v>0.2980319122113775</v>
      </c>
      <c r="H81" s="16">
        <f>'00_TONG_HOP_BAO_GIA'!G13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Nan OBD đối xứng &amp; thanh liên kết</t>
        </is>
      </c>
    </row>
    <row r="82">
      <c r="A82" t="inlineStr">
        <is>
          <t>SW-DIFF-012-OBD-ACC</t>
        </is>
      </c>
      <c r="B82" t="inlineStr">
        <is>
          <t>SW-DIFF-012</t>
        </is>
      </c>
      <c r="C82" t="inlineStr">
        <is>
          <t>Bánh răng nhựa &amp; phụ kiện van OBD</t>
        </is>
      </c>
      <c r="D82" t="inlineStr">
        <is>
          <t>PHỤ_KIỆN_CỬA</t>
        </is>
      </c>
      <c r="E82" t="inlineStr">
        <is>
          <t>MAT-DOOR-ACCESSORY</t>
        </is>
      </c>
      <c r="F82" t="inlineStr">
        <is>
          <t>Bộ</t>
        </is>
      </c>
      <c r="G82" s="20" t="n">
        <v>1.231187891885335</v>
      </c>
      <c r="H82" s="16">
        <f>'00_TONG_HOP_BAO_GIA'!G13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Cơ cấu bánh răng đóng mở OBD</t>
        </is>
      </c>
    </row>
    <row r="83">
      <c r="A83" t="inlineStr">
        <is>
          <t>SW-DIFF-013-FRAME</t>
        </is>
      </c>
      <c r="B83" t="inlineStr">
        <is>
          <t>SW-DIFF-013</t>
        </is>
      </c>
      <c r="C83" t="inlineStr">
        <is>
          <t>Khung nhôm định hình (1 lớp BD)</t>
        </is>
      </c>
      <c r="D83" t="inlineStr">
        <is>
          <t>NHÔM_ĐỊNH_HÌNH</t>
        </is>
      </c>
      <c r="E83" t="inlineStr">
        <is>
          <t>MAT-ALU-KHUNG-BD</t>
        </is>
      </c>
      <c r="F83" t="inlineStr">
        <is>
          <t>kg</t>
        </is>
      </c>
      <c r="G83" s="20" t="n">
        <v>0.1849847596746003</v>
      </c>
      <c r="H83" s="16">
        <f>'00_TONG_HOP_BAO_GIA'!G14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Khung bao 300x200mm (cổ 250x150mm)</t>
        </is>
      </c>
    </row>
    <row r="84">
      <c r="A84" t="inlineStr">
        <is>
          <t>SW-DIFF-013-BLADE</t>
        </is>
      </c>
      <c r="B84" t="inlineStr">
        <is>
          <t>SW-DIFF-013</t>
        </is>
      </c>
      <c r="C84" t="inlineStr">
        <is>
          <t>Nan nhôm bầu dục (7 nan)</t>
        </is>
      </c>
      <c r="D84" t="inlineStr">
        <is>
          <t>NHÔM_ĐỊNH_HÌNH</t>
        </is>
      </c>
      <c r="E84" t="inlineStr">
        <is>
          <t>MAT-ALU-NAN-BD</t>
        </is>
      </c>
      <c r="F84" t="inlineStr">
        <is>
          <t>kg</t>
        </is>
      </c>
      <c r="G84" s="20" t="n">
        <v>0.09502000560208465</v>
      </c>
      <c r="H84" s="16">
        <f>'00_TONG_HOP_BAO_GIA'!G14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Nan bầu dục @ 0.058kg/m</t>
        </is>
      </c>
    </row>
    <row r="85">
      <c r="A85" t="inlineStr">
        <is>
          <t>SW-DIFF-013-ACCESSORY</t>
        </is>
      </c>
      <c r="B85" t="inlineStr">
        <is>
          <t>SW-DIFF-013</t>
        </is>
      </c>
      <c r="C85" t="inlineStr">
        <is>
          <t>Phụ kiện lắp ghép / Ke góc cửa gió</t>
        </is>
      </c>
      <c r="D85" t="inlineStr">
        <is>
          <t>PHỤ_KIỆN_CỬA</t>
        </is>
      </c>
      <c r="E85" t="inlineStr">
        <is>
          <t>MAT-DOOR-ACCESSORY</t>
        </is>
      </c>
      <c r="F85" t="inlineStr">
        <is>
          <t>Bộ</t>
        </is>
      </c>
      <c r="G85" s="20" t="n">
        <v>0.03119277425282226</v>
      </c>
      <c r="H85" s="16">
        <f>'00_TONG_HOP_BAO_GIA'!G14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4 ke góc chìm và vít ghép khung</t>
        </is>
      </c>
    </row>
    <row r="86">
      <c r="A86" t="inlineStr">
        <is>
          <t>SW-DIFF-013-PAINT</t>
        </is>
      </c>
      <c r="B86" t="inlineStr">
        <is>
          <t>SW-DIFF-013</t>
        </is>
      </c>
      <c r="C86" t="inlineStr">
        <is>
          <t>Sơn tĩnh điện tiêu chuẩn Polyester</t>
        </is>
      </c>
      <c r="D86" t="inlineStr">
        <is>
          <t>SƠN_TĨNH_ĐIỆN</t>
        </is>
      </c>
      <c r="E86" t="inlineStr">
        <is>
          <t>MAT-PAINT-POWDER</t>
        </is>
      </c>
      <c r="F86" t="inlineStr">
        <is>
          <t>m2</t>
        </is>
      </c>
      <c r="G86" s="20" t="n">
        <v>0.05903035934231575</v>
      </c>
      <c r="H86" s="16">
        <f>'00_TONG_HOP_BAO_GIA'!G14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Sơn tĩnh điện hoàn thiện</t>
        </is>
      </c>
    </row>
    <row r="87">
      <c r="A87" t="inlineStr">
        <is>
          <t>SW-DIFF-013-OBD-FRAME</t>
        </is>
      </c>
      <c r="B87" t="inlineStr">
        <is>
          <t>SW-DIFF-013</t>
        </is>
      </c>
      <c r="C87" t="inlineStr">
        <is>
          <t>Khung nhôm van OBD gắn cửa (SOBD)</t>
        </is>
      </c>
      <c r="D87" t="inlineStr">
        <is>
          <t>NHÔM_ĐỊNH_HÌNH</t>
        </is>
      </c>
      <c r="E87" t="inlineStr">
        <is>
          <t>MAT-ALU-KHUNG-OBD</t>
        </is>
      </c>
      <c r="F87" t="inlineStr">
        <is>
          <t>kg</t>
        </is>
      </c>
      <c r="G87" s="20" t="n">
        <v>0.1096987237700162</v>
      </c>
      <c r="H87" s="16">
        <f>'00_TONG_HOP_BAO_GIA'!G14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Khung OBD 250x150mm</t>
        </is>
      </c>
    </row>
    <row r="88">
      <c r="A88" t="inlineStr">
        <is>
          <t>SW-DIFF-013-OBD-BLADE</t>
        </is>
      </c>
      <c r="B88" t="inlineStr">
        <is>
          <t>SW-DIFF-013</t>
        </is>
      </c>
      <c r="C88" t="inlineStr">
        <is>
          <t>Nan nhôm &amp; thanh truyền van OBD (SOBD)</t>
        </is>
      </c>
      <c r="D88" t="inlineStr">
        <is>
          <t>NHÔM_ĐỊNH_HÌNH</t>
        </is>
      </c>
      <c r="E88" t="inlineStr">
        <is>
          <t>MAT-ALU-NAN-OBD</t>
        </is>
      </c>
      <c r="F88" t="inlineStr">
        <is>
          <t>kg</t>
        </is>
      </c>
      <c r="G88" s="20" t="n">
        <v>0.08136277969492896</v>
      </c>
      <c r="H88" s="16">
        <f>'00_TONG_HOP_BAO_GIA'!G14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Nan OBD đối xứng &amp; thanh liên kết</t>
        </is>
      </c>
    </row>
    <row r="89">
      <c r="A89" t="inlineStr">
        <is>
          <t>SW-DIFF-013-OBD-ACC</t>
        </is>
      </c>
      <c r="B89" t="inlineStr">
        <is>
          <t>SW-DIFF-013</t>
        </is>
      </c>
      <c r="C89" t="inlineStr">
        <is>
          <t>Bánh răng nhựa &amp; phụ kiện van OBD</t>
        </is>
      </c>
      <c r="D89" t="inlineStr">
        <is>
          <t>PHỤ_KIỆN_CỬA</t>
        </is>
      </c>
      <c r="E89" t="inlineStr">
        <is>
          <t>MAT-DOOR-ACCESSORY</t>
        </is>
      </c>
      <c r="F89" t="inlineStr">
        <is>
          <t>Bộ</t>
        </is>
      </c>
      <c r="G89" s="20" t="n">
        <v>0.6913576196855213</v>
      </c>
      <c r="H89" s="16">
        <f>'00_TONG_HOP_BAO_GIA'!G14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Cơ cấu bánh răng đóng mở OBD</t>
        </is>
      </c>
    </row>
    <row r="90">
      <c r="A90" t="inlineStr">
        <is>
          <t>SW-DIFF-014-FRAME</t>
        </is>
      </c>
      <c r="B90" t="inlineStr">
        <is>
          <t>SW-DIFF-014</t>
        </is>
      </c>
      <c r="C90" t="inlineStr">
        <is>
          <t>Khung nhôm định hình (1 lớp BD)</t>
        </is>
      </c>
      <c r="D90" t="inlineStr">
        <is>
          <t>NHÔM_ĐỊNH_HÌNH</t>
        </is>
      </c>
      <c r="E90" t="inlineStr">
        <is>
          <t>MAT-ALU-KHUNG-BD</t>
        </is>
      </c>
      <c r="F90" t="inlineStr">
        <is>
          <t>kg</t>
        </is>
      </c>
      <c r="G90" s="20" t="n">
        <v>0.1522746013870727</v>
      </c>
      <c r="H90" s="16">
        <f>'00_TONG_HOP_BAO_GIA'!G15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Khung bao 200x200mm (cổ 150x150mm)</t>
        </is>
      </c>
    </row>
    <row r="91">
      <c r="A91" t="inlineStr">
        <is>
          <t>SW-DIFF-014-BLADE</t>
        </is>
      </c>
      <c r="B91" t="inlineStr">
        <is>
          <t>SW-DIFF-014</t>
        </is>
      </c>
      <c r="C91" t="inlineStr">
        <is>
          <t>Nan nhôm bầu dục (7 nan)</t>
        </is>
      </c>
      <c r="D91" t="inlineStr">
        <is>
          <t>NHÔM_ĐỊNH_HÌNH</t>
        </is>
      </c>
      <c r="E91" t="inlineStr">
        <is>
          <t>MAT-ALU-NAN-BD</t>
        </is>
      </c>
      <c r="F91" t="inlineStr">
        <is>
          <t>kg</t>
        </is>
      </c>
      <c r="G91" s="20" t="n">
        <v>0.0573856635177768</v>
      </c>
      <c r="H91" s="16">
        <f>'00_TONG_HOP_BAO_GIA'!G15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Nan bầu dục @ 0.058kg/m</t>
        </is>
      </c>
    </row>
    <row r="92">
      <c r="A92" t="inlineStr">
        <is>
          <t>SW-DIFF-014-ACCESSORY</t>
        </is>
      </c>
      <c r="B92" t="inlineStr">
        <is>
          <t>SW-DIFF-014</t>
        </is>
      </c>
      <c r="C92" t="inlineStr">
        <is>
          <t>Phụ kiện lắp ghép / Ke góc cửa gió</t>
        </is>
      </c>
      <c r="D92" t="inlineStr">
        <is>
          <t>PHỤ_KIỆN_CỬA</t>
        </is>
      </c>
      <c r="E92" t="inlineStr">
        <is>
          <t>MAT-DOOR-ACCESSORY</t>
        </is>
      </c>
      <c r="F92" t="inlineStr">
        <is>
          <t>Bộ</t>
        </is>
      </c>
      <c r="G92" s="20" t="n">
        <v>0.0313972136028296</v>
      </c>
      <c r="H92" s="16">
        <f>'00_TONG_HOP_BAO_GIA'!G15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4 ke góc chìm và vít ghép khung</t>
        </is>
      </c>
    </row>
    <row r="93">
      <c r="A93" t="inlineStr">
        <is>
          <t>SW-DIFF-014-PAINT</t>
        </is>
      </c>
      <c r="B93" t="inlineStr">
        <is>
          <t>SW-DIFF-014</t>
        </is>
      </c>
      <c r="C93" t="inlineStr">
        <is>
          <t>Sơn tĩnh điện tiêu chuẩn Polyester</t>
        </is>
      </c>
      <c r="D93" t="inlineStr">
        <is>
          <t>SƠN_TĨNH_ĐIỆN</t>
        </is>
      </c>
      <c r="E93" t="inlineStr">
        <is>
          <t>MAT-PAINT-POWDER</t>
        </is>
      </c>
      <c r="F93" t="inlineStr">
        <is>
          <t>m2</t>
        </is>
      </c>
      <c r="G93" s="20" t="n">
        <v>0.04324900213256998</v>
      </c>
      <c r="H93" s="16">
        <f>'00_TONG_HOP_BAO_GIA'!G15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Sơn tĩnh điện hoàn thiện</t>
        </is>
      </c>
    </row>
    <row r="94">
      <c r="A94" t="inlineStr">
        <is>
          <t>SW-DIFF-014-OBD-FRAME</t>
        </is>
      </c>
      <c r="B94" t="inlineStr">
        <is>
          <t>SW-DIFF-014</t>
        </is>
      </c>
      <c r="C94" t="inlineStr">
        <is>
          <t>Khung nhôm van OBD gắn cửa (SOBD)</t>
        </is>
      </c>
      <c r="D94" t="inlineStr">
        <is>
          <t>NHÔM_ĐỊNH_HÌNH</t>
        </is>
      </c>
      <c r="E94" t="inlineStr">
        <is>
          <t>MAT-ALU-KHUNG-OBD</t>
        </is>
      </c>
      <c r="F94" t="inlineStr">
        <is>
          <t>kg</t>
        </is>
      </c>
      <c r="G94" s="20" t="n">
        <v>0.08230553030583942</v>
      </c>
      <c r="H94" s="16">
        <f>'00_TONG_HOP_BAO_GIA'!G15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Khung OBD 150x150mm</t>
        </is>
      </c>
    </row>
    <row r="95">
      <c r="A95" t="inlineStr">
        <is>
          <t>SW-DIFF-014-OBD-BLADE</t>
        </is>
      </c>
      <c r="B95" t="inlineStr">
        <is>
          <t>SW-DIFF-014</t>
        </is>
      </c>
      <c r="C95" t="inlineStr">
        <is>
          <t>Nan nhôm &amp; thanh truyền van OBD (SOBD)</t>
        </is>
      </c>
      <c r="D95" t="inlineStr">
        <is>
          <t>NHÔM_ĐỊNH_HÌNH</t>
        </is>
      </c>
      <c r="E95" t="inlineStr">
        <is>
          <t>MAT-ALU-NAN-OBD</t>
        </is>
      </c>
      <c r="F95" t="inlineStr">
        <is>
          <t>kg</t>
        </is>
      </c>
      <c r="G95" s="20" t="n">
        <v>0.04883635105172434</v>
      </c>
      <c r="H95" s="16">
        <f>'00_TONG_HOP_BAO_GIA'!G15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Nan OBD đối xứng &amp; thanh liên kết</t>
        </is>
      </c>
    </row>
    <row r="96">
      <c r="A96" t="inlineStr">
        <is>
          <t>SW-DIFF-014-OBD-ACC</t>
        </is>
      </c>
      <c r="B96" t="inlineStr">
        <is>
          <t>SW-DIFF-014</t>
        </is>
      </c>
      <c r="C96" t="inlineStr">
        <is>
          <t>Bánh răng nhựa &amp; phụ kiện van OBD</t>
        </is>
      </c>
      <c r="D96" t="inlineStr">
        <is>
          <t>PHỤ_KIỆN_CỬA</t>
        </is>
      </c>
      <c r="E96" t="inlineStr">
        <is>
          <t>MAT-DOOR-ACCESSORY</t>
        </is>
      </c>
      <c r="F96" t="inlineStr">
        <is>
          <t>Bộ</t>
        </is>
      </c>
      <c r="G96" s="20" t="n">
        <v>0.5111990265182811</v>
      </c>
      <c r="H96" s="16">
        <f>'00_TONG_HOP_BAO_GIA'!G15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Cơ cấu bánh răng đóng mở OBD</t>
        </is>
      </c>
    </row>
    <row r="97">
      <c r="A97" t="inlineStr">
        <is>
          <t>SW-DIFF-015-FRAME</t>
        </is>
      </c>
      <c r="B97" t="inlineStr">
        <is>
          <t>SW-DIFF-015</t>
        </is>
      </c>
      <c r="C97" t="inlineStr">
        <is>
          <t>Khung nhôm định hình (1 lớp BD)</t>
        </is>
      </c>
      <c r="D97" t="inlineStr">
        <is>
          <t>NHÔM_ĐỊNH_HÌNH</t>
        </is>
      </c>
      <c r="E97" t="inlineStr">
        <is>
          <t>MAT-ALU-KHUNG-BD</t>
        </is>
      </c>
      <c r="F97" t="inlineStr">
        <is>
          <t>kg</t>
        </is>
      </c>
      <c r="G97" s="20" t="n">
        <v>0.2400865034225944</v>
      </c>
      <c r="H97" s="16">
        <f>'00_TONG_HOP_BAO_GIA'!G16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Khung bao 400x250mm (cổ 350x200mm)</t>
        </is>
      </c>
    </row>
    <row r="98">
      <c r="A98" t="inlineStr">
        <is>
          <t>SW-DIFF-015-BLADE</t>
        </is>
      </c>
      <c r="B98" t="inlineStr">
        <is>
          <t>SW-DIFF-015</t>
        </is>
      </c>
      <c r="C98" t="inlineStr">
        <is>
          <t>Nan nhôm bầu dục (9 nan)</t>
        </is>
      </c>
      <c r="D98" t="inlineStr">
        <is>
          <t>NHÔM_ĐỊNH_HÌNH</t>
        </is>
      </c>
      <c r="E98" t="inlineStr">
        <is>
          <t>MAT-ALU-NAN-BD</t>
        </is>
      </c>
      <c r="F98" t="inlineStr">
        <is>
          <t>kg</t>
        </is>
      </c>
      <c r="G98" s="20" t="n">
        <v>0.1713429850597968</v>
      </c>
      <c r="H98" s="16">
        <f>'00_TONG_HOP_BAO_GIA'!G16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Nan bầu dục @ 0.058kg/m</t>
        </is>
      </c>
    </row>
    <row r="99">
      <c r="A99" t="inlineStr">
        <is>
          <t>SW-DIFF-015-ACCESSORY</t>
        </is>
      </c>
      <c r="B99" t="inlineStr">
        <is>
          <t>SW-DIFF-015</t>
        </is>
      </c>
      <c r="C99" t="inlineStr">
        <is>
          <t>Phụ kiện lắp ghép / Ke góc cửa gió</t>
        </is>
      </c>
      <c r="D99" t="inlineStr">
        <is>
          <t>PHỤ_KIỆN_CỬA</t>
        </is>
      </c>
      <c r="E99" t="inlineStr">
        <is>
          <t>MAT-DOOR-ACCESSORY</t>
        </is>
      </c>
      <c r="F99" t="inlineStr">
        <is>
          <t>Bộ</t>
        </is>
      </c>
      <c r="G99" s="20" t="n">
        <v>0.04017697580712477</v>
      </c>
      <c r="H99" s="16">
        <f>'00_TONG_HOP_BAO_GIA'!G16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4 ke góc chìm và vít ghép khung</t>
        </is>
      </c>
    </row>
    <row r="100">
      <c r="A100" t="inlineStr">
        <is>
          <t>SW-DIFF-015-PAINT</t>
        </is>
      </c>
      <c r="B100" t="inlineStr">
        <is>
          <t>SW-DIFF-015</t>
        </is>
      </c>
      <c r="C100" t="inlineStr">
        <is>
          <t>Sơn tĩnh điện tiêu chuẩn Polyester</t>
        </is>
      </c>
      <c r="D100" t="inlineStr">
        <is>
          <t>SƠN_TĨNH_ĐIỆN</t>
        </is>
      </c>
      <c r="E100" t="inlineStr">
        <is>
          <t>MAT-PAINT-POWDER</t>
        </is>
      </c>
      <c r="F100" t="inlineStr">
        <is>
          <t>m2</t>
        </is>
      </c>
      <c r="G100" s="20" t="n">
        <v>0.08753854022917067</v>
      </c>
      <c r="H100" s="16">
        <f>'00_TONG_HOP_BAO_GIA'!G16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Sơn tĩnh điện hoàn thiện</t>
        </is>
      </c>
    </row>
    <row r="101">
      <c r="A101" t="inlineStr">
        <is>
          <t>SW-DIFF-015-OBD-FRAME</t>
        </is>
      </c>
      <c r="B101" t="inlineStr">
        <is>
          <t>SW-DIFF-015</t>
        </is>
      </c>
      <c r="C101" t="inlineStr">
        <is>
          <t>Khung nhôm van OBD gắn cửa (SOBD)</t>
        </is>
      </c>
      <c r="D101" t="inlineStr">
        <is>
          <t>NHÔM_ĐỊNH_HÌNH</t>
        </is>
      </c>
      <c r="E101" t="inlineStr">
        <is>
          <t>MAT-ALU-KHUNG-OBD</t>
        </is>
      </c>
      <c r="F101" t="inlineStr">
        <is>
          <t>kg</t>
        </is>
      </c>
      <c r="G101" s="20" t="n">
        <v>0.1508978092437044</v>
      </c>
      <c r="H101" s="16">
        <f>'00_TONG_HOP_BAO_GIA'!G16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Khung OBD 350x200mm</t>
        </is>
      </c>
    </row>
    <row r="102">
      <c r="A102" t="inlineStr">
        <is>
          <t>SW-DIFF-015-OBD-BLADE</t>
        </is>
      </c>
      <c r="B102" t="inlineStr">
        <is>
          <t>SW-DIFF-015</t>
        </is>
      </c>
      <c r="C102" t="inlineStr">
        <is>
          <t>Nan nhôm &amp; thanh truyền van OBD (SOBD)</t>
        </is>
      </c>
      <c r="D102" t="inlineStr">
        <is>
          <t>NHÔM_ĐỊNH_HÌNH</t>
        </is>
      </c>
      <c r="E102" t="inlineStr">
        <is>
          <t>MAT-ALU-NAN-OBD</t>
        </is>
      </c>
      <c r="F102" t="inlineStr">
        <is>
          <t>kg</t>
        </is>
      </c>
      <c r="G102" s="20" t="n">
        <v>0.1519396813443514</v>
      </c>
      <c r="H102" s="16">
        <f>'00_TONG_HOP_BAO_GIA'!G16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Nan OBD đối xứng &amp; thanh liên kết</t>
        </is>
      </c>
    </row>
    <row r="103">
      <c r="A103" t="inlineStr">
        <is>
          <t>SW-DIFF-015-OBD-ACC</t>
        </is>
      </c>
      <c r="B103" t="inlineStr">
        <is>
          <t>SW-DIFF-015</t>
        </is>
      </c>
      <c r="C103" t="inlineStr">
        <is>
          <t>Bánh răng nhựa &amp; phụ kiện van OBD</t>
        </is>
      </c>
      <c r="D103" t="inlineStr">
        <is>
          <t>PHỤ_KIỆN_CỬA</t>
        </is>
      </c>
      <c r="E103" t="inlineStr">
        <is>
          <t>MAT-DOOR-ACCESSORY</t>
        </is>
      </c>
      <c r="F103" t="inlineStr">
        <is>
          <t>Bộ</t>
        </is>
      </c>
      <c r="G103" s="20" t="n">
        <v>0.8720704627160166</v>
      </c>
      <c r="H103" s="16">
        <f>'00_TONG_HOP_BAO_GIA'!G16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Cơ cấu bánh răng đóng mở OBD</t>
        </is>
      </c>
    </row>
    <row r="104">
      <c r="A104" t="inlineStr">
        <is>
          <t>SW-DIFF-016-FRAME</t>
        </is>
      </c>
      <c r="B104" t="inlineStr">
        <is>
          <t>SW-DIFF-016</t>
        </is>
      </c>
      <c r="C104" t="inlineStr">
        <is>
          <t>Khung nhôm định hình (1 lớp BD)</t>
        </is>
      </c>
      <c r="D104" t="inlineStr">
        <is>
          <t>NHÔM_ĐỊNH_HÌNH</t>
        </is>
      </c>
      <c r="E104" t="inlineStr">
        <is>
          <t>MAT-ALU-KHUNG-BD</t>
        </is>
      </c>
      <c r="F104" t="inlineStr">
        <is>
          <t>kg</t>
        </is>
      </c>
      <c r="G104" s="20" t="n">
        <v>0.3264460104909221</v>
      </c>
      <c r="H104" s="16">
        <f>'00_TONG_HOP_BAO_GIA'!G17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Khung bao 600x300mm (cổ 550x250mm)</t>
        </is>
      </c>
    </row>
    <row r="105">
      <c r="A105" t="inlineStr">
        <is>
          <t>SW-DIFF-016-BLADE</t>
        </is>
      </c>
      <c r="B105" t="inlineStr">
        <is>
          <t>SW-DIFF-016</t>
        </is>
      </c>
      <c r="C105" t="inlineStr">
        <is>
          <t>Nan nhôm bầu dục (12 nan)</t>
        </is>
      </c>
      <c r="D105" t="inlineStr">
        <is>
          <t>NHÔM_ĐỊNH_HÌNH</t>
        </is>
      </c>
      <c r="E105" t="inlineStr">
        <is>
          <t>MAT-ALU-NAN-BD</t>
        </is>
      </c>
      <c r="F105" t="inlineStr">
        <is>
          <t>kg</t>
        </is>
      </c>
      <c r="G105" s="20" t="n">
        <v>0.356631086803439</v>
      </c>
      <c r="H105" s="16">
        <f>'00_TONG_HOP_BAO_GIA'!G17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Nan bầu dục @ 0.058kg/m</t>
        </is>
      </c>
    </row>
    <row r="106">
      <c r="A106" t="inlineStr">
        <is>
          <t>SW-DIFF-016-ACCESSORY</t>
        </is>
      </c>
      <c r="B106" t="inlineStr">
        <is>
          <t>SW-DIFF-016</t>
        </is>
      </c>
      <c r="C106" t="inlineStr">
        <is>
          <t>Phụ kiện lắp ghép / Ke góc cửa gió</t>
        </is>
      </c>
      <c r="D106" t="inlineStr">
        <is>
          <t>PHỤ_KIỆN_CỬA</t>
        </is>
      </c>
      <c r="E106" t="inlineStr">
        <is>
          <t>MAT-DOOR-ACCESSORY</t>
        </is>
      </c>
      <c r="F106" t="inlineStr">
        <is>
          <t>Bộ</t>
        </is>
      </c>
      <c r="G106" s="20" t="n">
        <v>0.05321517157317773</v>
      </c>
      <c r="H106" s="16">
        <f>'00_TONG_HOP_BAO_GIA'!G17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4 ke góc chìm và vít ghép khung</t>
        </is>
      </c>
    </row>
    <row r="107">
      <c r="A107" t="inlineStr">
        <is>
          <t>SW-DIFF-016-PAINT</t>
        </is>
      </c>
      <c r="B107" t="inlineStr">
        <is>
          <t>SW-DIFF-016</t>
        </is>
      </c>
      <c r="C107" t="inlineStr">
        <is>
          <t>Sơn tĩnh điện tiêu chuẩn Polyester</t>
        </is>
      </c>
      <c r="D107" t="inlineStr">
        <is>
          <t>SƠN_TĨNH_ĐIỆN</t>
        </is>
      </c>
      <c r="E107" t="inlineStr">
        <is>
          <t>MAT-PAINT-POWDER</t>
        </is>
      </c>
      <c r="F107" t="inlineStr">
        <is>
          <t>m2</t>
        </is>
      </c>
      <c r="G107" s="20" t="n">
        <v>0.1474999343840079</v>
      </c>
      <c r="H107" s="16">
        <f>'00_TONG_HOP_BAO_GIA'!G17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Sơn tĩnh điện hoàn thiện</t>
        </is>
      </c>
    </row>
    <row r="108">
      <c r="A108" t="inlineStr">
        <is>
          <t>SW-DIFF-016-OBD-FRAME</t>
        </is>
      </c>
      <c r="B108" t="inlineStr">
        <is>
          <t>SW-DIFF-016</t>
        </is>
      </c>
      <c r="C108" t="inlineStr">
        <is>
          <t>Khung nhôm van OBD gắn cửa (SOBD)</t>
        </is>
      </c>
      <c r="D108" t="inlineStr">
        <is>
          <t>NHÔM_ĐỊNH_HÌNH</t>
        </is>
      </c>
      <c r="E108" t="inlineStr">
        <is>
          <t>MAT-ALU-KHUNG-OBD</t>
        </is>
      </c>
      <c r="F108" t="inlineStr">
        <is>
          <t>kg</t>
        </is>
      </c>
      <c r="G108" s="20" t="n">
        <v>0.2191780870022872</v>
      </c>
      <c r="H108" s="16">
        <f>'00_TONG_HOP_BAO_GIA'!G17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Khung OBD 550x250mm</t>
        </is>
      </c>
    </row>
    <row r="109">
      <c r="A109" t="inlineStr">
        <is>
          <t>SW-DIFF-016-OBD-BLADE</t>
        </is>
      </c>
      <c r="B109" t="inlineStr">
        <is>
          <t>SW-DIFF-016</t>
        </is>
      </c>
      <c r="C109" t="inlineStr">
        <is>
          <t>Nan nhôm &amp; thanh truyền van OBD (SOBD)</t>
        </is>
      </c>
      <c r="D109" t="inlineStr">
        <is>
          <t>NHÔM_ĐỊNH_HÌNH</t>
        </is>
      </c>
      <c r="E109" t="inlineStr">
        <is>
          <t>MAT-ALU-NAN-OBD</t>
        </is>
      </c>
      <c r="F109" t="inlineStr">
        <is>
          <t>kg</t>
        </is>
      </c>
      <c r="G109" s="20" t="n">
        <v>0.2980319122113775</v>
      </c>
      <c r="H109" s="16">
        <f>'00_TONG_HOP_BAO_GIA'!G17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Nan OBD đối xứng &amp; thanh liên kết</t>
        </is>
      </c>
    </row>
    <row r="110">
      <c r="A110" t="inlineStr">
        <is>
          <t>SW-DIFF-016-OBD-ACC</t>
        </is>
      </c>
      <c r="B110" t="inlineStr">
        <is>
          <t>SW-DIFF-016</t>
        </is>
      </c>
      <c r="C110" t="inlineStr">
        <is>
          <t>Bánh răng nhựa &amp; phụ kiện van OBD</t>
        </is>
      </c>
      <c r="D110" t="inlineStr">
        <is>
          <t>PHỤ_KIỆN_CỬA</t>
        </is>
      </c>
      <c r="E110" t="inlineStr">
        <is>
          <t>MAT-DOOR-ACCESSORY</t>
        </is>
      </c>
      <c r="F110" t="inlineStr">
        <is>
          <t>Bộ</t>
        </is>
      </c>
      <c r="G110" s="20" t="n">
        <v>1.231187891885335</v>
      </c>
      <c r="H110" s="16">
        <f>'00_TONG_HOP_BAO_GIA'!G17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Cơ cấu bánh răng đóng mở OBD</t>
        </is>
      </c>
    </row>
    <row r="111">
      <c r="A111" t="inlineStr">
        <is>
          <t>SW-DIFF-017-FRAME</t>
        </is>
      </c>
      <c r="B111" t="inlineStr">
        <is>
          <t>SW-DIFF-017</t>
        </is>
      </c>
      <c r="C111" t="inlineStr">
        <is>
          <t>Khung nhôm định hình Louver (SWL)</t>
        </is>
      </c>
      <c r="D111" t="inlineStr">
        <is>
          <t>NHÔM_ĐỊNH_HÌNH</t>
        </is>
      </c>
      <c r="E111" t="inlineStr">
        <is>
          <t>MAT-ALU-KHUNG-Z-2-LOP</t>
        </is>
      </c>
      <c r="F111" t="inlineStr">
        <is>
          <t>kg</t>
        </is>
      </c>
      <c r="G111" s="20" t="n">
        <v>0.1866875852418899</v>
      </c>
      <c r="H111" s="16">
        <f>'00_TONG_HOP_BAO_GIA'!G18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Khung Louver phủ bì 200x200mm</t>
        </is>
      </c>
    </row>
    <row r="112">
      <c r="A112" t="inlineStr">
        <is>
          <t>SW-DIFF-017-BLADE</t>
        </is>
      </c>
      <c r="B112" t="inlineStr">
        <is>
          <t>SW-DIFF-017</t>
        </is>
      </c>
      <c r="C112" t="inlineStr">
        <is>
          <t>Nan Z Louver &amp; thanh tăng cứng (3 nan)</t>
        </is>
      </c>
      <c r="D112" t="inlineStr">
        <is>
          <t>NHÔM_ĐỊNH_HÌNH</t>
        </is>
      </c>
      <c r="E112" t="inlineStr">
        <is>
          <t>MAT-ALU-NAN-Z-DAY</t>
        </is>
      </c>
      <c r="F112" t="inlineStr">
        <is>
          <t>kg</t>
        </is>
      </c>
      <c r="G112" s="20" t="n">
        <v>0.1298794577062796</v>
      </c>
      <c r="H112" s="16">
        <f>'00_TONG_HOP_BAO_GIA'!G18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3 nan Z dày @ 0.217kg/m + thanh giằng</t>
        </is>
      </c>
    </row>
    <row r="113">
      <c r="A113" t="inlineStr">
        <is>
          <t>SW-DIFF-017-ACCESSORY</t>
        </is>
      </c>
      <c r="B113" t="inlineStr">
        <is>
          <t>SW-DIFF-017</t>
        </is>
      </c>
      <c r="C113" t="inlineStr">
        <is>
          <t>Phụ kiện lắp ghép / Ke góc cửa gió</t>
        </is>
      </c>
      <c r="D113" t="inlineStr">
        <is>
          <t>PHỤ_KIỆN_CỬA</t>
        </is>
      </c>
      <c r="E113" t="inlineStr">
        <is>
          <t>MAT-DOOR-ACCESSORY</t>
        </is>
      </c>
      <c r="F113" t="inlineStr">
        <is>
          <t>Bộ</t>
        </is>
      </c>
      <c r="G113" s="20" t="n">
        <v>0.02669101639221253</v>
      </c>
      <c r="H113" s="16">
        <f>'00_TONG_HOP_BAO_GIA'!G18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Ke góc và vít ghép khung Louver</t>
        </is>
      </c>
    </row>
    <row r="114">
      <c r="A114" t="inlineStr">
        <is>
          <t>SW-DIFF-017-PAINT</t>
        </is>
      </c>
      <c r="B114" t="inlineStr">
        <is>
          <t>SW-DIFF-017</t>
        </is>
      </c>
      <c r="C114" t="inlineStr">
        <is>
          <t>Sơn tĩnh điện tiêu chuẩn Polyester</t>
        </is>
      </c>
      <c r="D114" t="inlineStr">
        <is>
          <t>SƠN_TĨNH_ĐIỆN</t>
        </is>
      </c>
      <c r="E114" t="inlineStr">
        <is>
          <t>MAT-PAINT-POWDER</t>
        </is>
      </c>
      <c r="F114" t="inlineStr">
        <is>
          <t>m2</t>
        </is>
      </c>
      <c r="G114" s="20" t="n">
        <v>0.05709574753578076</v>
      </c>
      <c r="H114" s="16">
        <f>'00_TONG_HOP_BAO_GIA'!G18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Sơn tĩnh điện khung và nan Louver</t>
        </is>
      </c>
    </row>
    <row r="115">
      <c r="A115" t="inlineStr">
        <is>
          <t>SW-DIFF-018-FRAME</t>
        </is>
      </c>
      <c r="B115" t="inlineStr">
        <is>
          <t>SW-DIFF-018</t>
        </is>
      </c>
      <c r="C115" t="inlineStr">
        <is>
          <t>Khung nhôm định hình Louver (SWL)</t>
        </is>
      </c>
      <c r="D115" t="inlineStr">
        <is>
          <t>NHÔM_ĐỊNH_HÌNH</t>
        </is>
      </c>
      <c r="E115" t="inlineStr">
        <is>
          <t>MAT-ALU-KHUNG-Z-2-LOP</t>
        </is>
      </c>
      <c r="F115" t="inlineStr">
        <is>
          <t>kg</t>
        </is>
      </c>
      <c r="G115" s="20" t="n">
        <v>0.2344121080261447</v>
      </c>
      <c r="H115" s="16">
        <f>'00_TONG_HOP_BAO_GIA'!G19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Khung Louver phủ bì 300x200mm</t>
        </is>
      </c>
    </row>
    <row r="116">
      <c r="A116" t="inlineStr">
        <is>
          <t>SW-DIFF-018-BLADE</t>
        </is>
      </c>
      <c r="B116" t="inlineStr">
        <is>
          <t>SW-DIFF-018</t>
        </is>
      </c>
      <c r="C116" t="inlineStr">
        <is>
          <t>Nan Z Louver &amp; thanh tăng cứng (3 nan)</t>
        </is>
      </c>
      <c r="D116" t="inlineStr">
        <is>
          <t>NHÔM_ĐỊNH_HÌNH</t>
        </is>
      </c>
      <c r="E116" t="inlineStr">
        <is>
          <t>MAT-ALU-NAN-Z-DAY</t>
        </is>
      </c>
      <c r="F116" t="inlineStr">
        <is>
          <t>kg</t>
        </is>
      </c>
      <c r="G116" s="20" t="n">
        <v>0.1976909866102429</v>
      </c>
      <c r="H116" s="16">
        <f>'00_TONG_HOP_BAO_GIA'!G19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3 nan Z dày @ 0.217kg/m + thanh giằng</t>
        </is>
      </c>
    </row>
    <row r="117">
      <c r="A117" t="inlineStr">
        <is>
          <t>SW-DIFF-018-ACCESSORY</t>
        </is>
      </c>
      <c r="B117" t="inlineStr">
        <is>
          <t>SW-DIFF-018</t>
        </is>
      </c>
      <c r="C117" t="inlineStr">
        <is>
          <t>Phụ kiện lắp ghép / Ke góc cửa gió</t>
        </is>
      </c>
      <c r="D117" t="inlineStr">
        <is>
          <t>PHỤ_KIỆN_CỬA</t>
        </is>
      </c>
      <c r="E117" t="inlineStr">
        <is>
          <t>MAT-DOOR-ACCESSORY</t>
        </is>
      </c>
      <c r="F117" t="inlineStr">
        <is>
          <t>Bộ</t>
        </is>
      </c>
      <c r="G117" s="20" t="n">
        <v>0.02681141291640646</v>
      </c>
      <c r="H117" s="16">
        <f>'00_TONG_HOP_BAO_GIA'!G19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Ke góc và vít ghép khung Louver</t>
        </is>
      </c>
    </row>
    <row r="118">
      <c r="A118" t="inlineStr">
        <is>
          <t>SW-DIFF-018-PAINT</t>
        </is>
      </c>
      <c r="B118" t="inlineStr">
        <is>
          <t>SW-DIFF-018</t>
        </is>
      </c>
      <c r="C118" t="inlineStr">
        <is>
          <t>Sơn tĩnh điện tiêu chuẩn Polyester</t>
        </is>
      </c>
      <c r="D118" t="inlineStr">
        <is>
          <t>SƠN_TĨNH_ĐIỆN</t>
        </is>
      </c>
      <c r="E118" t="inlineStr">
        <is>
          <t>MAT-PAINT-POWDER</t>
        </is>
      </c>
      <c r="F118" t="inlineStr">
        <is>
          <t>m2</t>
        </is>
      </c>
      <c r="G118" s="20" t="n">
        <v>0.08058985008693029</v>
      </c>
      <c r="H118" s="16">
        <f>'00_TONG_HOP_BAO_GIA'!G19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Sơn tĩnh điện khung và nan Louver</t>
        </is>
      </c>
    </row>
    <row r="119">
      <c r="A119" t="inlineStr">
        <is>
          <t>SW-DIFF-019-FRAME</t>
        </is>
      </c>
      <c r="B119" t="inlineStr">
        <is>
          <t>SW-DIFF-019</t>
        </is>
      </c>
      <c r="C119" t="inlineStr">
        <is>
          <t>Khung nhôm định hình Louver (SWL)</t>
        </is>
      </c>
      <c r="D119" t="inlineStr">
        <is>
          <t>NHÔM_ĐỊNH_HÌNH</t>
        </is>
      </c>
      <c r="E119" t="inlineStr">
        <is>
          <t>MAT-ALU-KHUNG-Z-2-LOP</t>
        </is>
      </c>
      <c r="F119" t="inlineStr">
        <is>
          <t>kg</t>
        </is>
      </c>
      <c r="G119" s="20" t="n">
        <v>1.026629983586026</v>
      </c>
      <c r="H119" s="16">
        <f>'00_TONG_HOP_BAO_GIA'!G20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Khung Louver phủ bì 1600x600mm</t>
        </is>
      </c>
    </row>
    <row r="120">
      <c r="A120" t="inlineStr">
        <is>
          <t>SW-DIFF-019-BLADE</t>
        </is>
      </c>
      <c r="B120" t="inlineStr">
        <is>
          <t>SW-DIFF-019</t>
        </is>
      </c>
      <c r="C120" t="inlineStr">
        <is>
          <t>Nan Z Louver &amp; thanh tăng cứng (12 nan)</t>
        </is>
      </c>
      <c r="D120" t="inlineStr">
        <is>
          <t>NHÔM_ĐỊNH_HÌNH</t>
        </is>
      </c>
      <c r="E120" t="inlineStr">
        <is>
          <t>MAT-ALU-NAN-Z-DAY</t>
        </is>
      </c>
      <c r="F120" t="inlineStr">
        <is>
          <t>kg</t>
        </is>
      </c>
      <c r="G120" s="20" t="n">
        <v>4.230439148221889</v>
      </c>
      <c r="H120" s="16">
        <f>'00_TONG_HOP_BAO_GIA'!G20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12 nan Z dày @ 0.217kg/m + thanh giằng</t>
        </is>
      </c>
    </row>
    <row r="121">
      <c r="A121" t="inlineStr">
        <is>
          <t>SW-DIFF-019-ACCESSORY</t>
        </is>
      </c>
      <c r="B121" t="inlineStr">
        <is>
          <t>SW-DIFF-019</t>
        </is>
      </c>
      <c r="C121" t="inlineStr">
        <is>
          <t>Phụ kiện lắp ghép / Ke góc cửa gió</t>
        </is>
      </c>
      <c r="D121" t="inlineStr">
        <is>
          <t>PHỤ_KIỆN_CỬA</t>
        </is>
      </c>
      <c r="E121" t="inlineStr">
        <is>
          <t>MAT-DOOR-ACCESSORY</t>
        </is>
      </c>
      <c r="F121" t="inlineStr">
        <is>
          <t>Bộ</t>
        </is>
      </c>
      <c r="G121" s="20" t="n">
        <v>0.1067482882412236</v>
      </c>
      <c r="H121" s="16">
        <f>'00_TONG_HOP_BAO_GIA'!G20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Ke góc và vít ghép khung Louver</t>
        </is>
      </c>
    </row>
    <row r="122">
      <c r="A122" t="inlineStr">
        <is>
          <t>SW-DIFF-019-PAINT</t>
        </is>
      </c>
      <c r="B122" t="inlineStr">
        <is>
          <t>SW-DIFF-019</t>
        </is>
      </c>
      <c r="C122" t="inlineStr">
        <is>
          <t>Sơn tĩnh điện tiêu chuẩn Polyester</t>
        </is>
      </c>
      <c r="D122" t="inlineStr">
        <is>
          <t>SƠN_TĨNH_ĐIỆN</t>
        </is>
      </c>
      <c r="E122" t="inlineStr">
        <is>
          <t>MAT-PAINT-POWDER</t>
        </is>
      </c>
      <c r="F122" t="inlineStr">
        <is>
          <t>m2</t>
        </is>
      </c>
      <c r="G122" s="20" t="n">
        <v>1.048427266409333</v>
      </c>
      <c r="H122" s="16">
        <f>'00_TONG_HOP_BAO_GIA'!G20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Sơn tĩnh điện khung và nan Louver</t>
        </is>
      </c>
    </row>
    <row r="123">
      <c r="A123" t="inlineStr">
        <is>
          <t>SW-DIFF-020-FRAME</t>
        </is>
      </c>
      <c r="B123" t="inlineStr">
        <is>
          <t>SW-DIFF-020</t>
        </is>
      </c>
      <c r="C123" t="inlineStr">
        <is>
          <t>Khung nhôm định hình Louver (SWL)</t>
        </is>
      </c>
      <c r="D123" t="inlineStr">
        <is>
          <t>NHÔM_ĐỊNH_HÌNH</t>
        </is>
      </c>
      <c r="E123" t="inlineStr">
        <is>
          <t>MAT-ALU-KHUNG-Z-2-LOP</t>
        </is>
      </c>
      <c r="F123" t="inlineStr">
        <is>
          <t>kg</t>
        </is>
      </c>
      <c r="G123" s="20" t="n">
        <v>0.8865861202745252</v>
      </c>
      <c r="H123" s="16">
        <f>'00_TONG_HOP_BAO_GIA'!G21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Khung Louver phủ bì 1200x700mm</t>
        </is>
      </c>
    </row>
    <row r="124">
      <c r="A124" t="inlineStr">
        <is>
          <t>SW-DIFF-020-BLADE</t>
        </is>
      </c>
      <c r="B124" t="inlineStr">
        <is>
          <t>SW-DIFF-020</t>
        </is>
      </c>
      <c r="C124" t="inlineStr">
        <is>
          <t>Nan Z Louver &amp; thanh tăng cứng (14 nan)</t>
        </is>
      </c>
      <c r="D124" t="inlineStr">
        <is>
          <t>NHÔM_ĐỊNH_HÌNH</t>
        </is>
      </c>
      <c r="E124" t="inlineStr">
        <is>
          <t>MAT-ALU-NAN-Z-DAY</t>
        </is>
      </c>
      <c r="F124" t="inlineStr">
        <is>
          <t>kg</t>
        </is>
      </c>
      <c r="G124" s="20" t="n">
        <v>3.686249538705066</v>
      </c>
      <c r="H124" s="16">
        <f>'00_TONG_HOP_BAO_GIA'!G21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14 nan Z dày @ 0.217kg/m + thanh giằng</t>
        </is>
      </c>
    </row>
    <row r="125">
      <c r="A125" t="inlineStr">
        <is>
          <t>SW-DIFF-020-ACCESSORY</t>
        </is>
      </c>
      <c r="B125" t="inlineStr">
        <is>
          <t>SW-DIFF-020</t>
        </is>
      </c>
      <c r="C125" t="inlineStr">
        <is>
          <t>Phụ kiện lắp ghép / Ke góc cửa gió</t>
        </is>
      </c>
      <c r="D125" t="inlineStr">
        <is>
          <t>PHỤ_KIỆN_CỬA</t>
        </is>
      </c>
      <c r="E125" t="inlineStr">
        <is>
          <t>MAT-DOOR-ACCESSORY</t>
        </is>
      </c>
      <c r="F125" t="inlineStr">
        <is>
          <t>Bộ</t>
        </is>
      </c>
      <c r="G125" s="20" t="n">
        <v>0.1245328057987361</v>
      </c>
      <c r="H125" s="16">
        <f>'00_TONG_HOP_BAO_GIA'!G21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Ke góc và vít ghép khung Louver</t>
        </is>
      </c>
    </row>
    <row r="126">
      <c r="A126" t="inlineStr">
        <is>
          <t>SW-DIFF-020-PAINT</t>
        </is>
      </c>
      <c r="B126" t="inlineStr">
        <is>
          <t>SW-DIFF-020</t>
        </is>
      </c>
      <c r="C126" t="inlineStr">
        <is>
          <t>Sơn tĩnh điện tiêu chuẩn Polyester</t>
        </is>
      </c>
      <c r="D126" t="inlineStr">
        <is>
          <t>SƠN_TĨNH_ĐIỆN</t>
        </is>
      </c>
      <c r="E126" t="inlineStr">
        <is>
          <t>MAT-PAINT-POWDER</t>
        </is>
      </c>
      <c r="F126" t="inlineStr">
        <is>
          <t>m2</t>
        </is>
      </c>
      <c r="G126" s="20" t="n">
        <v>0.9054100088417955</v>
      </c>
      <c r="H126" s="16">
        <f>'00_TONG_HOP_BAO_GIA'!G21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Sơn tĩnh điện khung và nan Louver</t>
        </is>
      </c>
    </row>
    <row r="127">
      <c r="A127" t="inlineStr">
        <is>
          <t>SW-DIFF-020-MESH</t>
        </is>
      </c>
      <c r="B127" t="inlineStr">
        <is>
          <t>SW-DIFF-020</t>
        </is>
      </c>
      <c r="C127" t="inlineStr">
        <is>
          <t>Lưới chắn côn trùng Inox 304 (LCCT)</t>
        </is>
      </c>
      <c r="D127" t="inlineStr">
        <is>
          <t>PHỤ_KIỆN_CỬA</t>
        </is>
      </c>
      <c r="E127" t="inlineStr">
        <is>
          <t>MAT-MESH-INOX-304</t>
        </is>
      </c>
      <c r="F127" t="inlineStr">
        <is>
          <t>m2</t>
        </is>
      </c>
      <c r="G127" s="20" t="n">
        <v>0.468717304875497</v>
      </c>
      <c r="H127" s="16">
        <f>'00_TONG_HOP_BAO_GIA'!G21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Lưới chắn côn trùng cổ 1150x650mm</t>
        </is>
      </c>
    </row>
    <row r="128">
      <c r="A128" t="inlineStr">
        <is>
          <t>SW-DIFF-021-FRAME</t>
        </is>
      </c>
      <c r="B128" t="inlineStr">
        <is>
          <t>SW-DIFF-021</t>
        </is>
      </c>
      <c r="C128" t="inlineStr">
        <is>
          <t>Khung nhôm định hình Louver (SWL)</t>
        </is>
      </c>
      <c r="D128" t="inlineStr">
        <is>
          <t>NHÔM_ĐỊNH_HÌNH</t>
        </is>
      </c>
      <c r="E128" t="inlineStr">
        <is>
          <t>MAT-ALU-KHUNG-Z-2-LOP</t>
        </is>
      </c>
      <c r="F128" t="inlineStr">
        <is>
          <t>kg</t>
        </is>
      </c>
      <c r="G128" s="20" t="n">
        <v>1.49274484575118</v>
      </c>
      <c r="H128" s="16">
        <f>'00_TONG_HOP_BAO_GIA'!G22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Khung Louver phủ bì 2000x1200mm</t>
        </is>
      </c>
    </row>
    <row r="129">
      <c r="A129" t="inlineStr">
        <is>
          <t>SW-DIFF-021-BLADE</t>
        </is>
      </c>
      <c r="B129" t="inlineStr">
        <is>
          <t>SW-DIFF-021</t>
        </is>
      </c>
      <c r="C129" t="inlineStr">
        <is>
          <t>Nan Z Louver &amp; thanh tăng cứng (26 nan)</t>
        </is>
      </c>
      <c r="D129" t="inlineStr">
        <is>
          <t>NHÔM_ĐỊNH_HÌNH</t>
        </is>
      </c>
      <c r="E129" t="inlineStr">
        <is>
          <t>MAT-ALU-NAN-Z-DAY</t>
        </is>
      </c>
      <c r="F129" t="inlineStr">
        <is>
          <t>kg</t>
        </is>
      </c>
      <c r="G129" s="20" t="n">
        <v>11.46343375942681</v>
      </c>
      <c r="H129" s="16">
        <f>'00_TONG_HOP_BAO_GIA'!G22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26 nan Z dày @ 0.217kg/m + thanh giằng</t>
        </is>
      </c>
    </row>
    <row r="130">
      <c r="A130" t="inlineStr">
        <is>
          <t>SW-DIFF-021-ACCESSORY</t>
        </is>
      </c>
      <c r="B130" t="inlineStr">
        <is>
          <t>SW-DIFF-021</t>
        </is>
      </c>
      <c r="C130" t="inlineStr">
        <is>
          <t>Phụ kiện lắp ghép / Ke góc cửa gió</t>
        </is>
      </c>
      <c r="D130" t="inlineStr">
        <is>
          <t>PHỤ_KIỆN_CỬA</t>
        </is>
      </c>
      <c r="E130" t="inlineStr">
        <is>
          <t>MAT-DOOR-ACCESSORY</t>
        </is>
      </c>
      <c r="F130" t="inlineStr">
        <is>
          <t>Bộ</t>
        </is>
      </c>
      <c r="G130" s="20" t="n">
        <v>0.231205073726179</v>
      </c>
      <c r="H130" s="16">
        <f>'00_TONG_HOP_BAO_GIA'!G22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Ke góc và vít ghép khung Louver</t>
        </is>
      </c>
    </row>
    <row r="131">
      <c r="A131" t="inlineStr">
        <is>
          <t>SW-DIFF-021-PAINT</t>
        </is>
      </c>
      <c r="B131" t="inlineStr">
        <is>
          <t>SW-DIFF-021</t>
        </is>
      </c>
      <c r="C131" t="inlineStr">
        <is>
          <t>Sơn tĩnh điện tiêu chuẩn Polyester</t>
        </is>
      </c>
      <c r="D131" t="inlineStr">
        <is>
          <t>SƠN_TĨNH_ĐIỆN</t>
        </is>
      </c>
      <c r="E131" t="inlineStr">
        <is>
          <t>MAT-PAINT-POWDER</t>
        </is>
      </c>
      <c r="F131" t="inlineStr">
        <is>
          <t>m2</t>
        </is>
      </c>
      <c r="G131" s="20" t="n">
        <v>2.594158589572679</v>
      </c>
      <c r="H131" s="16">
        <f>'00_TONG_HOP_BAO_GIA'!G22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Sơn tĩnh điện khung và nan Louver</t>
        </is>
      </c>
    </row>
    <row r="132">
      <c r="A132" t="inlineStr">
        <is>
          <t>SW-DIFF-021-MESH</t>
        </is>
      </c>
      <c r="B132" t="inlineStr">
        <is>
          <t>SW-DIFF-021</t>
        </is>
      </c>
      <c r="C132" t="inlineStr">
        <is>
          <t>Lưới chắn côn trùng Inox 304 (LCCT)</t>
        </is>
      </c>
      <c r="D132" t="inlineStr">
        <is>
          <t>PHỤ_KIỆN_CỬA</t>
        </is>
      </c>
      <c r="E132" t="inlineStr">
        <is>
          <t>MAT-MESH-INOX-304</t>
        </is>
      </c>
      <c r="F132" t="inlineStr">
        <is>
          <t>m2</t>
        </is>
      </c>
      <c r="G132" s="20" t="n">
        <v>1.406151914626491</v>
      </c>
      <c r="H132" s="16">
        <f>'00_TONG_HOP_BAO_GIA'!G22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Lưới chắn côn trùng cổ 1950x1150mm</t>
        </is>
      </c>
    </row>
    <row r="133">
      <c r="A133" t="inlineStr">
        <is>
          <t>SW-DIFF-022-FRAME</t>
        </is>
      </c>
      <c r="B133" t="inlineStr">
        <is>
          <t>SW-DIFF-022</t>
        </is>
      </c>
      <c r="C133" t="inlineStr">
        <is>
          <t>Khung nhôm định hình Louver (SWL)</t>
        </is>
      </c>
      <c r="D133" t="inlineStr">
        <is>
          <t>NHÔM_ĐỊNH_HÌNH</t>
        </is>
      </c>
      <c r="E133" t="inlineStr">
        <is>
          <t>MAT-ALU-KHUNG-Z-2-LOP</t>
        </is>
      </c>
      <c r="F133" t="inlineStr">
        <is>
          <t>kg</t>
        </is>
      </c>
      <c r="G133" s="20" t="n">
        <v>0.4193547879170252</v>
      </c>
      <c r="H133" s="16">
        <f>'00_TONG_HOP_BAO_GIA'!G23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Khung Louver phủ bì 500x400mm</t>
        </is>
      </c>
    </row>
    <row r="134">
      <c r="A134" t="inlineStr">
        <is>
          <t>SW-DIFF-022-BLADE</t>
        </is>
      </c>
      <c r="B134" t="inlineStr">
        <is>
          <t>SW-DIFF-022</t>
        </is>
      </c>
      <c r="C134" t="inlineStr">
        <is>
          <t>Nan Z Louver &amp; thanh tăng cứng (8 nan)</t>
        </is>
      </c>
      <c r="D134" t="inlineStr">
        <is>
          <t>NHÔM_ĐỊNH_HÌNH</t>
        </is>
      </c>
      <c r="E134" t="inlineStr">
        <is>
          <t>MAT-ALU-NAN-Z-DAY</t>
        </is>
      </c>
      <c r="F134" t="inlineStr">
        <is>
          <t>kg</t>
        </is>
      </c>
      <c r="G134" s="20" t="n">
        <v>0.8561980868132626</v>
      </c>
      <c r="H134" s="16">
        <f>'00_TONG_HOP_BAO_GIA'!G23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8 nan Z dày @ 0.217kg/m + thanh giằng</t>
        </is>
      </c>
    </row>
    <row r="135">
      <c r="A135" t="inlineStr">
        <is>
          <t>SW-DIFF-022-ACCESSORY</t>
        </is>
      </c>
      <c r="B135" t="inlineStr">
        <is>
          <t>SW-DIFF-022</t>
        </is>
      </c>
      <c r="C135" t="inlineStr">
        <is>
          <t>Phụ kiện lắp ghép / Ke góc cửa gió</t>
        </is>
      </c>
      <c r="D135" t="inlineStr">
        <is>
          <t>PHỤ_KIỆN_CỬA</t>
        </is>
      </c>
      <c r="E135" t="inlineStr">
        <is>
          <t>MAT-DOOR-ACCESSORY</t>
        </is>
      </c>
      <c r="F135" t="inlineStr">
        <is>
          <t>Bộ</t>
        </is>
      </c>
      <c r="G135" s="20" t="n">
        <v>0.07105873859244567</v>
      </c>
      <c r="H135" s="16">
        <f>'00_TONG_HOP_BAO_GIA'!G23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Ke góc và vít ghép khung Louver</t>
        </is>
      </c>
    </row>
    <row r="136">
      <c r="A136" t="inlineStr">
        <is>
          <t>SW-DIFF-022-PAINT</t>
        </is>
      </c>
      <c r="B136" t="inlineStr">
        <is>
          <t>SW-DIFF-022</t>
        </is>
      </c>
      <c r="C136" t="inlineStr">
        <is>
          <t>Sơn tĩnh điện tiêu chuẩn Polyester</t>
        </is>
      </c>
      <c r="D136" t="inlineStr">
        <is>
          <t>SƠN_TĨNH_ĐIỆN</t>
        </is>
      </c>
      <c r="E136" t="inlineStr">
        <is>
          <t>MAT-PAINT-POWDER</t>
        </is>
      </c>
      <c r="F136" t="inlineStr">
        <is>
          <t>m2</t>
        </is>
      </c>
      <c r="G136" s="20" t="n">
        <v>0.24503561022155</v>
      </c>
      <c r="H136" s="16">
        <f>'00_TONG_HOP_BAO_GIA'!G23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Sơn tĩnh điện khung và nan Louver</t>
        </is>
      </c>
    </row>
    <row r="137">
      <c r="A137" t="inlineStr">
        <is>
          <t>SW-DIFF-022-MESH</t>
        </is>
      </c>
      <c r="B137" t="inlineStr">
        <is>
          <t>SW-DIFF-022</t>
        </is>
      </c>
      <c r="C137" t="inlineStr">
        <is>
          <t>Lưới chắn côn trùng Inox 304 (LCCT)</t>
        </is>
      </c>
      <c r="D137" t="inlineStr">
        <is>
          <t>PHỤ_KIỆN_CỬA</t>
        </is>
      </c>
      <c r="E137" t="inlineStr">
        <is>
          <t>MAT-MESH-INOX-304</t>
        </is>
      </c>
      <c r="F137" t="inlineStr">
        <is>
          <t>m2</t>
        </is>
      </c>
      <c r="G137" s="20" t="n">
        <v>0.1004394224733208</v>
      </c>
      <c r="H137" s="16">
        <f>'00_TONG_HOP_BAO_GIA'!G23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Lưới chắn côn trùng cổ 450x350mm</t>
        </is>
      </c>
    </row>
    <row r="138">
      <c r="A138" t="inlineStr">
        <is>
          <t>SW-DIFF-023-FRAME</t>
        </is>
      </c>
      <c r="B138" t="inlineStr">
        <is>
          <t>SW-DIFF-023</t>
        </is>
      </c>
      <c r="C138" t="inlineStr">
        <is>
          <t>Khung nhôm định hình Louver (SWL)</t>
        </is>
      </c>
      <c r="D138" t="inlineStr">
        <is>
          <t>NHÔM_ĐỊNH_HÌNH</t>
        </is>
      </c>
      <c r="E138" t="inlineStr">
        <is>
          <t>MAT-ALU-KHUNG-Z-2-LOP</t>
        </is>
      </c>
      <c r="F138" t="inlineStr">
        <is>
          <t>kg</t>
        </is>
      </c>
      <c r="G138" s="20" t="n">
        <v>1.49274484575118</v>
      </c>
      <c r="H138" s="16">
        <f>'00_TONG_HOP_BAO_GIA'!G24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Khung Louver phủ bì 2000x1200mm</t>
        </is>
      </c>
    </row>
    <row r="139">
      <c r="A139" t="inlineStr">
        <is>
          <t>SW-DIFF-023-BLADE</t>
        </is>
      </c>
      <c r="B139" t="inlineStr">
        <is>
          <t>SW-DIFF-023</t>
        </is>
      </c>
      <c r="C139" t="inlineStr">
        <is>
          <t>Nan Z Louver &amp; thanh tăng cứng (26 nan)</t>
        </is>
      </c>
      <c r="D139" t="inlineStr">
        <is>
          <t>NHÔM_ĐỊNH_HÌNH</t>
        </is>
      </c>
      <c r="E139" t="inlineStr">
        <is>
          <t>MAT-ALU-NAN-Z-DAY</t>
        </is>
      </c>
      <c r="F139" t="inlineStr">
        <is>
          <t>kg</t>
        </is>
      </c>
      <c r="G139" s="20" t="n">
        <v>11.46343375942681</v>
      </c>
      <c r="H139" s="16">
        <f>'00_TONG_HOP_BAO_GIA'!G24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26 nan Z dày @ 0.217kg/m + thanh giằng</t>
        </is>
      </c>
    </row>
    <row r="140">
      <c r="A140" t="inlineStr">
        <is>
          <t>SW-DIFF-023-ACCESSORY</t>
        </is>
      </c>
      <c r="B140" t="inlineStr">
        <is>
          <t>SW-DIFF-023</t>
        </is>
      </c>
      <c r="C140" t="inlineStr">
        <is>
          <t>Phụ kiện lắp ghép / Ke góc cửa gió</t>
        </is>
      </c>
      <c r="D140" t="inlineStr">
        <is>
          <t>PHỤ_KIỆN_CỬA</t>
        </is>
      </c>
      <c r="E140" t="inlineStr">
        <is>
          <t>MAT-DOOR-ACCESSORY</t>
        </is>
      </c>
      <c r="F140" t="inlineStr">
        <is>
          <t>Bộ</t>
        </is>
      </c>
      <c r="G140" s="20" t="n">
        <v>0.231205073726179</v>
      </c>
      <c r="H140" s="16">
        <f>'00_TONG_HOP_BAO_GIA'!G24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Ke góc và vít ghép khung Louver</t>
        </is>
      </c>
    </row>
    <row r="141">
      <c r="A141" t="inlineStr">
        <is>
          <t>SW-DIFF-023-PAINT</t>
        </is>
      </c>
      <c r="B141" t="inlineStr">
        <is>
          <t>SW-DIFF-023</t>
        </is>
      </c>
      <c r="C141" t="inlineStr">
        <is>
          <t>Sơn tĩnh điện tiêu chuẩn Polyester</t>
        </is>
      </c>
      <c r="D141" t="inlineStr">
        <is>
          <t>SƠN_TĨNH_ĐIỆN</t>
        </is>
      </c>
      <c r="E141" t="inlineStr">
        <is>
          <t>MAT-PAINT-POWDER</t>
        </is>
      </c>
      <c r="F141" t="inlineStr">
        <is>
          <t>m2</t>
        </is>
      </c>
      <c r="G141" s="20" t="n">
        <v>2.594158589572679</v>
      </c>
      <c r="H141" s="16">
        <f>'00_TONG_HOP_BAO_GIA'!G24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Sơn tĩnh điện khung và nan Louver</t>
        </is>
      </c>
    </row>
    <row r="142">
      <c r="A142" t="inlineStr">
        <is>
          <t>SW-DIFF-023-MESH</t>
        </is>
      </c>
      <c r="B142" t="inlineStr">
        <is>
          <t>SW-DIFF-023</t>
        </is>
      </c>
      <c r="C142" t="inlineStr">
        <is>
          <t>Lưới chắn côn trùng Inox 304 (LCCT)</t>
        </is>
      </c>
      <c r="D142" t="inlineStr">
        <is>
          <t>PHỤ_KIỆN_CỬA</t>
        </is>
      </c>
      <c r="E142" t="inlineStr">
        <is>
          <t>MAT-MESH-INOX-304</t>
        </is>
      </c>
      <c r="F142" t="inlineStr">
        <is>
          <t>m2</t>
        </is>
      </c>
      <c r="G142" s="20" t="n">
        <v>1.406151914626491</v>
      </c>
      <c r="H142" s="16">
        <f>'00_TONG_HOP_BAO_GIA'!G24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Lưới chắn côn trùng cổ 1950x1150mm</t>
        </is>
      </c>
    </row>
    <row r="143">
      <c r="A143" t="inlineStr">
        <is>
          <t>SW-DIFF-024-FRAME</t>
        </is>
      </c>
      <c r="B143" t="inlineStr">
        <is>
          <t>SW-DIFF-024</t>
        </is>
      </c>
      <c r="C143" t="inlineStr">
        <is>
          <t>Khung nhôm định hình Louver (SWL)</t>
        </is>
      </c>
      <c r="D143" t="inlineStr">
        <is>
          <t>NHÔM_ĐỊNH_HÌNH</t>
        </is>
      </c>
      <c r="E143" t="inlineStr">
        <is>
          <t>MAT-ALU-KHUNG-Z-2-LOP</t>
        </is>
      </c>
      <c r="F143" t="inlineStr">
        <is>
          <t>kg</t>
        </is>
      </c>
      <c r="G143" s="20" t="n">
        <v>3.918670560250308</v>
      </c>
      <c r="H143" s="16">
        <f>'00_TONG_HOP_BAO_GIA'!G25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Khung Louver phủ bì 3900x4500mm</t>
        </is>
      </c>
    </row>
    <row r="144">
      <c r="A144" t="inlineStr">
        <is>
          <t>SW-DIFF-024-BLADE</t>
        </is>
      </c>
      <c r="B144" t="inlineStr">
        <is>
          <t>SW-DIFF-024</t>
        </is>
      </c>
      <c r="C144" t="inlineStr">
        <is>
          <t>Nan Z Louver &amp; thanh tăng cứng (99 nan)</t>
        </is>
      </c>
      <c r="D144" t="inlineStr">
        <is>
          <t>NHÔM_ĐỊNH_HÌNH</t>
        </is>
      </c>
      <c r="E144" t="inlineStr">
        <is>
          <t>MAT-ALU-NAN-Z-DAY</t>
        </is>
      </c>
      <c r="F144" t="inlineStr">
        <is>
          <t>kg</t>
        </is>
      </c>
      <c r="G144" s="20" t="n">
        <v>85.58139755711413</v>
      </c>
      <c r="H144" s="16">
        <f>'00_TONG_HOP_BAO_GIA'!G25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99 nan Z dày @ 0.217kg/m + thanh giằng</t>
        </is>
      </c>
    </row>
    <row r="145">
      <c r="A145" t="inlineStr">
        <is>
          <t>SW-DIFF-024-ACCESSORY</t>
        </is>
      </c>
      <c r="B145" t="inlineStr">
        <is>
          <t>SW-DIFF-024</t>
        </is>
      </c>
      <c r="C145" t="inlineStr">
        <is>
          <t>Phụ kiện lắp ghép / Ke góc cửa gió</t>
        </is>
      </c>
      <c r="D145" t="inlineStr">
        <is>
          <t>PHỤ_KIỆN_CỬA</t>
        </is>
      </c>
      <c r="E145" t="inlineStr">
        <is>
          <t>MAT-DOOR-ACCESSORY</t>
        </is>
      </c>
      <c r="F145" t="inlineStr">
        <is>
          <t>Bộ</t>
        </is>
      </c>
      <c r="G145" s="20" t="n">
        <v>0.8804061611135052</v>
      </c>
      <c r="H145" s="16">
        <f>'00_TONG_HOP_BAO_GIA'!G25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Ke góc và vít ghép khung Louver</t>
        </is>
      </c>
    </row>
    <row r="146">
      <c r="A146" t="inlineStr">
        <is>
          <t>SW-DIFF-024-PAINT</t>
        </is>
      </c>
      <c r="B146" t="inlineStr">
        <is>
          <t>SW-DIFF-024</t>
        </is>
      </c>
      <c r="C146" t="inlineStr">
        <is>
          <t>Sơn tĩnh điện tiêu chuẩn Polyester</t>
        </is>
      </c>
      <c r="D146" t="inlineStr">
        <is>
          <t>SƠN_TĨNH_ĐIỆN</t>
        </is>
      </c>
      <c r="E146" t="inlineStr">
        <is>
          <t>MAT-PAINT-POWDER</t>
        </is>
      </c>
      <c r="F146" t="inlineStr">
        <is>
          <t>m2</t>
        </is>
      </c>
      <c r="G146" s="20" t="n">
        <v>18.05974490394675</v>
      </c>
      <c r="H146" s="16">
        <f>'00_TONG_HOP_BAO_GIA'!G25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Sơn tĩnh điện khung và nan Louver</t>
        </is>
      </c>
    </row>
    <row r="147">
      <c r="A147" t="inlineStr">
        <is>
          <t>SW-DIFF-024-MESH</t>
        </is>
      </c>
      <c r="B147" t="inlineStr">
        <is>
          <t>SW-DIFF-024</t>
        </is>
      </c>
      <c r="C147" t="inlineStr">
        <is>
          <t>Lưới chắn côn trùng Inox 304 (LCCT)</t>
        </is>
      </c>
      <c r="D147" t="inlineStr">
        <is>
          <t>PHỤ_KIỆN_CỬA</t>
        </is>
      </c>
      <c r="E147" t="inlineStr">
        <is>
          <t>MAT-MESH-INOX-304</t>
        </is>
      </c>
      <c r="F147" t="inlineStr">
        <is>
          <t>m2</t>
        </is>
      </c>
      <c r="G147" s="20" t="n">
        <v>10.7553881565181</v>
      </c>
      <c r="H147" s="16">
        <f>'00_TONG_HOP_BAO_GIA'!G25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Lưới chắn côn trùng cổ 3850x4450mm</t>
        </is>
      </c>
    </row>
    <row r="148">
      <c r="A148" t="inlineStr">
        <is>
          <t>SW-DIFF-025-FRAME</t>
        </is>
      </c>
      <c r="B148" t="inlineStr">
        <is>
          <t>SW-DIFF-025</t>
        </is>
      </c>
      <c r="C148" t="inlineStr">
        <is>
          <t>Khung nhôm định hình Louver (SWL)</t>
        </is>
      </c>
      <c r="D148" t="inlineStr">
        <is>
          <t>NHÔM_ĐỊNH_HÌNH</t>
        </is>
      </c>
      <c r="E148" t="inlineStr">
        <is>
          <t>MAT-ALU-KHUNG-Z-2-LOP</t>
        </is>
      </c>
      <c r="F148" t="inlineStr">
        <is>
          <t>kg</t>
        </is>
      </c>
      <c r="G148" s="20" t="n">
        <v>0.4193547879170252</v>
      </c>
      <c r="H148" s="16">
        <f>'00_TONG_HOP_BAO_GIA'!G26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Khung Louver phủ bì 500x400mm</t>
        </is>
      </c>
    </row>
    <row r="149">
      <c r="A149" t="inlineStr">
        <is>
          <t>SW-DIFF-025-BLADE</t>
        </is>
      </c>
      <c r="B149" t="inlineStr">
        <is>
          <t>SW-DIFF-025</t>
        </is>
      </c>
      <c r="C149" t="inlineStr">
        <is>
          <t>Nan Z Louver &amp; thanh tăng cứng (8 nan)</t>
        </is>
      </c>
      <c r="D149" t="inlineStr">
        <is>
          <t>NHÔM_ĐỊNH_HÌNH</t>
        </is>
      </c>
      <c r="E149" t="inlineStr">
        <is>
          <t>MAT-ALU-NAN-Z-DAY</t>
        </is>
      </c>
      <c r="F149" t="inlineStr">
        <is>
          <t>kg</t>
        </is>
      </c>
      <c r="G149" s="20" t="n">
        <v>0.8561980868132626</v>
      </c>
      <c r="H149" s="16">
        <f>'00_TONG_HOP_BAO_GIA'!G26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8 nan Z dày @ 0.217kg/m + thanh giằng</t>
        </is>
      </c>
    </row>
    <row r="150">
      <c r="A150" t="inlineStr">
        <is>
          <t>SW-DIFF-025-ACCESSORY</t>
        </is>
      </c>
      <c r="B150" t="inlineStr">
        <is>
          <t>SW-DIFF-025</t>
        </is>
      </c>
      <c r="C150" t="inlineStr">
        <is>
          <t>Phụ kiện lắp ghép / Ke góc cửa gió</t>
        </is>
      </c>
      <c r="D150" t="inlineStr">
        <is>
          <t>PHỤ_KIỆN_CỬA</t>
        </is>
      </c>
      <c r="E150" t="inlineStr">
        <is>
          <t>MAT-DOOR-ACCESSORY</t>
        </is>
      </c>
      <c r="F150" t="inlineStr">
        <is>
          <t>Bộ</t>
        </is>
      </c>
      <c r="G150" s="20" t="n">
        <v>0.07105873859244567</v>
      </c>
      <c r="H150" s="16">
        <f>'00_TONG_HOP_BAO_GIA'!G26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Ke góc và vít ghép khung Louver</t>
        </is>
      </c>
    </row>
    <row r="151">
      <c r="A151" t="inlineStr">
        <is>
          <t>SW-DIFF-025-PAINT</t>
        </is>
      </c>
      <c r="B151" t="inlineStr">
        <is>
          <t>SW-DIFF-025</t>
        </is>
      </c>
      <c r="C151" t="inlineStr">
        <is>
          <t>Sơn tĩnh điện tiêu chuẩn Polyester</t>
        </is>
      </c>
      <c r="D151" t="inlineStr">
        <is>
          <t>SƠN_TĨNH_ĐIỆN</t>
        </is>
      </c>
      <c r="E151" t="inlineStr">
        <is>
          <t>MAT-PAINT-POWDER</t>
        </is>
      </c>
      <c r="F151" t="inlineStr">
        <is>
          <t>m2</t>
        </is>
      </c>
      <c r="G151" s="20" t="n">
        <v>0.24503561022155</v>
      </c>
      <c r="H151" s="16">
        <f>'00_TONG_HOP_BAO_GIA'!G26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Sơn tĩnh điện khung và nan Louver</t>
        </is>
      </c>
    </row>
    <row r="152">
      <c r="A152" t="inlineStr">
        <is>
          <t>SW-DIFF-025-MESH</t>
        </is>
      </c>
      <c r="B152" t="inlineStr">
        <is>
          <t>SW-DIFF-025</t>
        </is>
      </c>
      <c r="C152" t="inlineStr">
        <is>
          <t>Lưới chắn côn trùng Inox 304 (LCCT)</t>
        </is>
      </c>
      <c r="D152" t="inlineStr">
        <is>
          <t>PHỤ_KIỆN_CỬA</t>
        </is>
      </c>
      <c r="E152" t="inlineStr">
        <is>
          <t>MAT-MESH-INOX-304</t>
        </is>
      </c>
      <c r="F152" t="inlineStr">
        <is>
          <t>m2</t>
        </is>
      </c>
      <c r="G152" s="20" t="n">
        <v>0.1004394224733208</v>
      </c>
      <c r="H152" s="16">
        <f>'00_TONG_HOP_BAO_GIA'!G26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Lưới chắn côn trùng cổ 450x350mm</t>
        </is>
      </c>
    </row>
    <row r="153">
      <c r="A153" t="inlineStr">
        <is>
          <t>SW-DIFF-025-FILTER</t>
        </is>
      </c>
      <c r="B153" t="inlineStr">
        <is>
          <t>SW-DIFF-025</t>
        </is>
      </c>
      <c r="C153" t="inlineStr">
        <is>
          <t>Lưới lọc bụi sơ cấp G4 kèm khung nhôm</t>
        </is>
      </c>
      <c r="D153" t="inlineStr">
        <is>
          <t>PHỤ_KIỆN_CỬA</t>
        </is>
      </c>
      <c r="E153" t="inlineStr">
        <is>
          <t>MAT-FILTER-G4</t>
        </is>
      </c>
      <c r="F153" t="inlineStr">
        <is>
          <t>m2</t>
        </is>
      </c>
      <c r="G153" s="20" t="n">
        <v>0.1643714689265537</v>
      </c>
      <c r="H153" s="16">
        <f>'00_TONG_HOP_BAO_GIA'!G26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Phin lọc bụi cổ 450x350mm</t>
        </is>
      </c>
    </row>
    <row r="154">
      <c r="A154" t="inlineStr">
        <is>
          <t>SW-DIFF-026-FRAME</t>
        </is>
      </c>
      <c r="B154" t="inlineStr">
        <is>
          <t>SW-DIFF-026</t>
        </is>
      </c>
      <c r="C154" t="inlineStr">
        <is>
          <t>Khung nhôm định hình Louver (SWL)</t>
        </is>
      </c>
      <c r="D154" t="inlineStr">
        <is>
          <t>NHÔM_ĐỊNH_HÌNH</t>
        </is>
      </c>
      <c r="E154" t="inlineStr">
        <is>
          <t>MAT-ALU-KHUNG-Z-2-LOP</t>
        </is>
      </c>
      <c r="F154" t="inlineStr">
        <is>
          <t>kg</t>
        </is>
      </c>
      <c r="G154" s="20" t="n">
        <v>0.6065633996001142</v>
      </c>
      <c r="H154" s="16">
        <f>'00_TONG_HOP_BAO_GIA'!G27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Khung Louver phủ bì 900x400mm</t>
        </is>
      </c>
    </row>
    <row r="155">
      <c r="A155" t="inlineStr">
        <is>
          <t>SW-DIFF-026-BLADE</t>
        </is>
      </c>
      <c r="B155" t="inlineStr">
        <is>
          <t>SW-DIFF-026</t>
        </is>
      </c>
      <c r="C155" t="inlineStr">
        <is>
          <t>Nan Z Louver &amp; thanh tăng cứng (8 nan)</t>
        </is>
      </c>
      <c r="D155" t="inlineStr">
        <is>
          <t>NHÔM_ĐỊNH_HÌNH</t>
        </is>
      </c>
      <c r="E155" t="inlineStr">
        <is>
          <t>MAT-ALU-NAN-Z-DAY</t>
        </is>
      </c>
      <c r="F155" t="inlineStr">
        <is>
          <t>kg</t>
        </is>
      </c>
      <c r="G155" s="20" t="n">
        <v>1.571021814918195</v>
      </c>
      <c r="H155" s="16">
        <f>'00_TONG_HOP_BAO_GIA'!G27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8 nan Z dày @ 0.217kg/m + thanh giằng</t>
        </is>
      </c>
    </row>
    <row r="156">
      <c r="A156" t="inlineStr">
        <is>
          <t>SW-DIFF-026-ACCESSORY</t>
        </is>
      </c>
      <c r="B156" t="inlineStr">
        <is>
          <t>SW-DIFF-026</t>
        </is>
      </c>
      <c r="C156" t="inlineStr">
        <is>
          <t>Phụ kiện lắp ghép / Ke góc cửa gió</t>
        </is>
      </c>
      <c r="D156" t="inlineStr">
        <is>
          <t>PHỤ_KIỆN_CỬA</t>
        </is>
      </c>
      <c r="E156" t="inlineStr">
        <is>
          <t>MAT-DOOR-ACCESSORY</t>
        </is>
      </c>
      <c r="F156" t="inlineStr">
        <is>
          <t>Bộ</t>
        </is>
      </c>
      <c r="G156" s="20" t="n">
        <v>0.0711559540888215</v>
      </c>
      <c r="H156" s="16">
        <f>'00_TONG_HOP_BAO_GIA'!G27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Ke góc và vít ghép khung Louver</t>
        </is>
      </c>
    </row>
    <row r="157">
      <c r="A157" t="inlineStr">
        <is>
          <t>SW-DIFF-026-PAINT</t>
        </is>
      </c>
      <c r="B157" t="inlineStr">
        <is>
          <t>SW-DIFF-026</t>
        </is>
      </c>
      <c r="C157" t="inlineStr">
        <is>
          <t>Sơn tĩnh điện tiêu chuẩn Polyester</t>
        </is>
      </c>
      <c r="D157" t="inlineStr">
        <is>
          <t>SƠN_TĨNH_ĐIỆN</t>
        </is>
      </c>
      <c r="E157" t="inlineStr">
        <is>
          <t>MAT-PAINT-POWDER</t>
        </is>
      </c>
      <c r="F157" t="inlineStr">
        <is>
          <t>m2</t>
        </is>
      </c>
      <c r="G157" s="20" t="n">
        <v>0.4287020664520751</v>
      </c>
      <c r="H157" s="16">
        <f>'00_TONG_HOP_BAO_GIA'!G27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Sơn tĩnh điện khung và nan Louver</t>
        </is>
      </c>
    </row>
    <row r="158">
      <c r="A158" t="inlineStr">
        <is>
          <t>SW-DIFF-026-MESH</t>
        </is>
      </c>
      <c r="B158" t="inlineStr">
        <is>
          <t>SW-DIFF-026</t>
        </is>
      </c>
      <c r="C158" t="inlineStr">
        <is>
          <t>Lưới chắn côn trùng Inox 304 (LCCT)</t>
        </is>
      </c>
      <c r="D158" t="inlineStr">
        <is>
          <t>PHỤ_KIỆN_CỬA</t>
        </is>
      </c>
      <c r="E158" t="inlineStr">
        <is>
          <t>MAT-MESH-INOX-304</t>
        </is>
      </c>
      <c r="F158" t="inlineStr">
        <is>
          <t>m2</t>
        </is>
      </c>
      <c r="G158" s="20" t="n">
        <v>0.1883239171374765</v>
      </c>
      <c r="H158" s="16">
        <f>'00_TONG_HOP_BAO_GIA'!G27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Lưới chắn côn trùng cổ 850x350mm</t>
        </is>
      </c>
    </row>
    <row r="159">
      <c r="A159" t="inlineStr">
        <is>
          <t>SW-DIFF-026-FILTER</t>
        </is>
      </c>
      <c r="B159" t="inlineStr">
        <is>
          <t>SW-DIFF-026</t>
        </is>
      </c>
      <c r="C159" t="inlineStr">
        <is>
          <t>Lưới lọc bụi sơ cấp G4 kèm khung nhôm</t>
        </is>
      </c>
      <c r="D159" t="inlineStr">
        <is>
          <t>PHỤ_KIỆN_CỬA</t>
        </is>
      </c>
      <c r="E159" t="inlineStr">
        <is>
          <t>MAT-FILTER-G4</t>
        </is>
      </c>
      <c r="F159" t="inlineStr">
        <is>
          <t>m2</t>
        </is>
      </c>
      <c r="G159" s="20" t="n">
        <v>0.3104794413057125</v>
      </c>
      <c r="H159" s="16">
        <f>'00_TONG_HOP_BAO_GIA'!G27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Phin lọc bụi cổ 850x350mm</t>
        </is>
      </c>
    </row>
    <row r="160">
      <c r="A160" t="inlineStr">
        <is>
          <t>SW-DIFF-027-FRAME</t>
        </is>
      </c>
      <c r="B160" t="inlineStr">
        <is>
          <t>SW-DIFF-027</t>
        </is>
      </c>
      <c r="C160" t="inlineStr">
        <is>
          <t>Khung nhôm định hình Louver (SWL)</t>
        </is>
      </c>
      <c r="D160" t="inlineStr">
        <is>
          <t>NHÔM_ĐỊNH_HÌNH</t>
        </is>
      </c>
      <c r="E160" t="inlineStr">
        <is>
          <t>MAT-ALU-KHUNG-Z-2-LOP</t>
        </is>
      </c>
      <c r="F160" t="inlineStr">
        <is>
          <t>kg</t>
        </is>
      </c>
      <c r="G160" s="20" t="n">
        <v>0.5594609803974616</v>
      </c>
      <c r="H160" s="16">
        <f>'00_TONG_HOP_BAO_GIA'!G28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Khung Louver phủ bì 800x400mm</t>
        </is>
      </c>
    </row>
    <row r="161">
      <c r="A161" t="inlineStr">
        <is>
          <t>SW-DIFF-027-BLADE</t>
        </is>
      </c>
      <c r="B161" t="inlineStr">
        <is>
          <t>SW-DIFF-027</t>
        </is>
      </c>
      <c r="C161" t="inlineStr">
        <is>
          <t>Nan Z Louver &amp; thanh tăng cứng (8 nan)</t>
        </is>
      </c>
      <c r="D161" t="inlineStr">
        <is>
          <t>NHÔM_ĐỊNH_HÌNH</t>
        </is>
      </c>
      <c r="E161" t="inlineStr">
        <is>
          <t>MAT-ALU-NAN-Z-DAY</t>
        </is>
      </c>
      <c r="F161" t="inlineStr">
        <is>
          <t>kg</t>
        </is>
      </c>
      <c r="G161" s="20" t="n">
        <v>1.39150515212514</v>
      </c>
      <c r="H161" s="16">
        <f>'00_TONG_HOP_BAO_GIA'!G28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8 nan Z dày @ 0.217kg/m + thanh giằng</t>
        </is>
      </c>
    </row>
    <row r="162">
      <c r="A162" t="inlineStr">
        <is>
          <t>SW-DIFF-027-ACCESSORY</t>
        </is>
      </c>
      <c r="B162" t="inlineStr">
        <is>
          <t>SW-DIFF-027</t>
        </is>
      </c>
      <c r="C162" t="inlineStr">
        <is>
          <t>Phụ kiện lắp ghép / Ke góc cửa gió</t>
        </is>
      </c>
      <c r="D162" t="inlineStr">
        <is>
          <t>PHỤ_KIỆN_CỬA</t>
        </is>
      </c>
      <c r="E162" t="inlineStr">
        <is>
          <t>MAT-DOOR-ACCESSORY</t>
        </is>
      </c>
      <c r="F162" t="inlineStr">
        <is>
          <t>Bộ</t>
        </is>
      </c>
      <c r="G162" s="20" t="n">
        <v>0.07109956659169449</v>
      </c>
      <c r="H162" s="16">
        <f>'00_TONG_HOP_BAO_GIA'!G28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Ke góc và vít ghép khung Louver</t>
        </is>
      </c>
    </row>
    <row r="163">
      <c r="A163" t="inlineStr">
        <is>
          <t>SW-DIFF-027-PAINT</t>
        </is>
      </c>
      <c r="B163" t="inlineStr">
        <is>
          <t>SW-DIFF-027</t>
        </is>
      </c>
      <c r="C163" t="inlineStr">
        <is>
          <t>Sơn tĩnh điện tiêu chuẩn Polyester</t>
        </is>
      </c>
      <c r="D163" t="inlineStr">
        <is>
          <t>SƠN_TĨNH_ĐIỆN</t>
        </is>
      </c>
      <c r="E163" t="inlineStr">
        <is>
          <t>MAT-PAINT-POWDER</t>
        </is>
      </c>
      <c r="F163" t="inlineStr">
        <is>
          <t>m2</t>
        </is>
      </c>
      <c r="G163" s="20" t="n">
        <v>0.3825658561926752</v>
      </c>
      <c r="H163" s="16">
        <f>'00_TONG_HOP_BAO_GIA'!G28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Sơn tĩnh điện khung và nan Louver</t>
        </is>
      </c>
    </row>
    <row r="164">
      <c r="A164" t="inlineStr">
        <is>
          <t>SW-DIFF-027-MESH</t>
        </is>
      </c>
      <c r="B164" t="inlineStr">
        <is>
          <t>SW-DIFF-027</t>
        </is>
      </c>
      <c r="C164" t="inlineStr">
        <is>
          <t>Lưới chắn côn trùng Inox 304 (LCCT)</t>
        </is>
      </c>
      <c r="D164" t="inlineStr">
        <is>
          <t>PHỤ_KIỆN_CỬA</t>
        </is>
      </c>
      <c r="E164" t="inlineStr">
        <is>
          <t>MAT-MESH-INOX-304</t>
        </is>
      </c>
      <c r="F164" t="inlineStr">
        <is>
          <t>m2</t>
        </is>
      </c>
      <c r="G164" s="20" t="n">
        <v>0.1632140615191463</v>
      </c>
      <c r="H164" s="16">
        <f>'00_TONG_HOP_BAO_GIA'!G28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Lưới chắn côn trùng cổ 750x350mm</t>
        </is>
      </c>
    </row>
    <row r="165">
      <c r="A165" t="inlineStr">
        <is>
          <t>SW-DIFF-027-FILTER</t>
        </is>
      </c>
      <c r="B165" t="inlineStr">
        <is>
          <t>SW-DIFF-027</t>
        </is>
      </c>
      <c r="C165" t="inlineStr">
        <is>
          <t>Lưới lọc bụi sơ cấp G4 kèm khung nhôm</t>
        </is>
      </c>
      <c r="D165" t="inlineStr">
        <is>
          <t>PHỤ_KIỆN_CỬA</t>
        </is>
      </c>
      <c r="E165" t="inlineStr">
        <is>
          <t>MAT-FILTER-G4</t>
        </is>
      </c>
      <c r="F165" t="inlineStr">
        <is>
          <t>m2</t>
        </is>
      </c>
      <c r="G165" s="20" t="n">
        <v>0.2739524482109228</v>
      </c>
      <c r="H165" s="16">
        <f>'00_TONG_HOP_BAO_GIA'!G28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Phin lọc bụi cổ 750x350mm</t>
        </is>
      </c>
    </row>
    <row r="166">
      <c r="A166" t="inlineStr">
        <is>
          <t>SW-DIFF-028-FRAME</t>
        </is>
      </c>
      <c r="B166" t="inlineStr">
        <is>
          <t>SW-DIFF-028</t>
        </is>
      </c>
      <c r="C166" t="inlineStr">
        <is>
          <t>Khung nhôm định hình Louver (SWL)</t>
        </is>
      </c>
      <c r="D166" t="inlineStr">
        <is>
          <t>NHÔM_ĐỊNH_HÌNH</t>
        </is>
      </c>
      <c r="E166" t="inlineStr">
        <is>
          <t>MAT-ALU-KHUNG-Z-2-LOP</t>
        </is>
      </c>
      <c r="F166" t="inlineStr">
        <is>
          <t>kg</t>
        </is>
      </c>
      <c r="G166" s="20" t="n">
        <v>0.9801213415922793</v>
      </c>
      <c r="H166" s="16">
        <f>'00_TONG_HOP_BAO_GIA'!G29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Khung Louver phủ bì 1600x500mm</t>
        </is>
      </c>
    </row>
    <row r="167">
      <c r="A167" t="inlineStr">
        <is>
          <t>SW-DIFF-028-BLADE</t>
        </is>
      </c>
      <c r="B167" t="inlineStr">
        <is>
          <t>SW-DIFF-028</t>
        </is>
      </c>
      <c r="C167" t="inlineStr">
        <is>
          <t>Nan Z Louver &amp; thanh tăng cứng (10 nan)</t>
        </is>
      </c>
      <c r="D167" t="inlineStr">
        <is>
          <t>NHÔM_ĐỊNH_HÌNH</t>
        </is>
      </c>
      <c r="E167" t="inlineStr">
        <is>
          <t>MAT-ALU-NAN-Z-DAY</t>
        </is>
      </c>
      <c r="F167" t="inlineStr">
        <is>
          <t>kg</t>
        </is>
      </c>
      <c r="G167" s="20" t="n">
        <v>3.525928442829033</v>
      </c>
      <c r="H167" s="16">
        <f>'00_TONG_HOP_BAO_GIA'!G29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10 nan Z dày @ 0.217kg/m + thanh giằng</t>
        </is>
      </c>
    </row>
    <row r="168">
      <c r="A168" t="inlineStr">
        <is>
          <t>SW-DIFF-028-ACCESSORY</t>
        </is>
      </c>
      <c r="B168" t="inlineStr">
        <is>
          <t>SW-DIFF-028</t>
        </is>
      </c>
      <c r="C168" t="inlineStr">
        <is>
          <t>Phụ kiện lắp ghép / Ke góc cửa gió</t>
        </is>
      </c>
      <c r="D168" t="inlineStr">
        <is>
          <t>PHỤ_KIỆN_CỬA</t>
        </is>
      </c>
      <c r="E168" t="inlineStr">
        <is>
          <t>MAT-DOOR-ACCESSORY</t>
        </is>
      </c>
      <c r="F168" t="inlineStr">
        <is>
          <t>Bộ</t>
        </is>
      </c>
      <c r="G168" s="20" t="n">
        <v>0.08897110029138298</v>
      </c>
      <c r="H168" s="16">
        <f>'00_TONG_HOP_BAO_GIA'!G29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Ke góc và vít ghép khung Louver</t>
        </is>
      </c>
    </row>
    <row r="169">
      <c r="A169" t="inlineStr">
        <is>
          <t>SW-DIFF-028-PAINT</t>
        </is>
      </c>
      <c r="B169" t="inlineStr">
        <is>
          <t>SW-DIFF-028</t>
        </is>
      </c>
      <c r="C169" t="inlineStr">
        <is>
          <t>Sơn tĩnh điện tiêu chuẩn Polyester</t>
        </is>
      </c>
      <c r="D169" t="inlineStr">
        <is>
          <t>SƠN_TĨNH_ĐIỆN</t>
        </is>
      </c>
      <c r="E169" t="inlineStr">
        <is>
          <t>MAT-PAINT-POWDER</t>
        </is>
      </c>
      <c r="F169" t="inlineStr">
        <is>
          <t>m2</t>
        </is>
      </c>
      <c r="G169" s="20" t="n">
        <v>0.8991733411095252</v>
      </c>
      <c r="H169" s="16">
        <f>'00_TONG_HOP_BAO_GIA'!G29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Sơn tĩnh điện khung và nan Louver</t>
        </is>
      </c>
    </row>
    <row r="170">
      <c r="A170" t="inlineStr">
        <is>
          <t>SW-DIFF-028-MESH</t>
        </is>
      </c>
      <c r="B170" t="inlineStr">
        <is>
          <t>SW-DIFF-028</t>
        </is>
      </c>
      <c r="C170" t="inlineStr">
        <is>
          <t>Lưới chắn côn trùng Inox 304 (LCCT)</t>
        </is>
      </c>
      <c r="D170" t="inlineStr">
        <is>
          <t>PHỤ_KIỆN_CỬA</t>
        </is>
      </c>
      <c r="E170" t="inlineStr">
        <is>
          <t>MAT-MESH-INOX-304</t>
        </is>
      </c>
      <c r="F170" t="inlineStr">
        <is>
          <t>m2</t>
        </is>
      </c>
      <c r="G170" s="20" t="n">
        <v>0.4394224733207784</v>
      </c>
      <c r="H170" s="16">
        <f>'00_TONG_HOP_BAO_GIA'!G29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Lưới chắn côn trùng cổ 1550x450mm</t>
        </is>
      </c>
    </row>
    <row r="171">
      <c r="A171" t="inlineStr">
        <is>
          <t>SW-DIFF-028-FILTER</t>
        </is>
      </c>
      <c r="B171" t="inlineStr">
        <is>
          <t>SW-DIFF-028</t>
        </is>
      </c>
      <c r="C171" t="inlineStr">
        <is>
          <t>Lưới lọc bụi sơ cấp G4 kèm khung nhôm</t>
        </is>
      </c>
      <c r="D171" t="inlineStr">
        <is>
          <t>PHỤ_KIỆN_CỬA</t>
        </is>
      </c>
      <c r="E171" t="inlineStr">
        <is>
          <t>MAT-FILTER-G4</t>
        </is>
      </c>
      <c r="F171" t="inlineStr">
        <is>
          <t>m2</t>
        </is>
      </c>
      <c r="G171" s="20" t="n">
        <v>0.7279307909604521</v>
      </c>
      <c r="H171" s="16">
        <f>'00_TONG_HOP_BAO_GIA'!G29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Phin lọc bụi cổ 1550x450mm</t>
        </is>
      </c>
    </row>
    <row r="172">
      <c r="A172" t="inlineStr">
        <is>
          <t>SW-DIFF-029-FRAME</t>
        </is>
      </c>
      <c r="B172" t="inlineStr">
        <is>
          <t>SW-DIFF-029</t>
        </is>
      </c>
      <c r="C172" t="inlineStr">
        <is>
          <t>Khung nhôm định hình Louver (SWL)</t>
        </is>
      </c>
      <c r="D172" t="inlineStr">
        <is>
          <t>NHÔM_ĐỊNH_HÌNH</t>
        </is>
      </c>
      <c r="E172" t="inlineStr">
        <is>
          <t>MAT-ALU-KHUNG-Z-2-LOP</t>
        </is>
      </c>
      <c r="F172" t="inlineStr">
        <is>
          <t>kg</t>
        </is>
      </c>
      <c r="G172" s="20" t="n">
        <v>0.4193547879170252</v>
      </c>
      <c r="H172" s="16">
        <f>'00_TONG_HOP_BAO_GIA'!G30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Khung Louver phủ bì 500x400mm</t>
        </is>
      </c>
    </row>
    <row r="173">
      <c r="A173" t="inlineStr">
        <is>
          <t>SW-DIFF-029-BLADE</t>
        </is>
      </c>
      <c r="B173" t="inlineStr">
        <is>
          <t>SW-DIFF-029</t>
        </is>
      </c>
      <c r="C173" t="inlineStr">
        <is>
          <t>Nan Z Louver &amp; thanh tăng cứng (8 nan)</t>
        </is>
      </c>
      <c r="D173" t="inlineStr">
        <is>
          <t>NHÔM_ĐỊNH_HÌNH</t>
        </is>
      </c>
      <c r="E173" t="inlineStr">
        <is>
          <t>MAT-ALU-NAN-Z-DAY</t>
        </is>
      </c>
      <c r="F173" t="inlineStr">
        <is>
          <t>kg</t>
        </is>
      </c>
      <c r="G173" s="20" t="n">
        <v>0.8561980868132626</v>
      </c>
      <c r="H173" s="16">
        <f>'00_TONG_HOP_BAO_GIA'!G30</f>
        <v/>
      </c>
      <c r="I173" s="21">
        <f>G173*H173</f>
        <v/>
      </c>
      <c r="J173" s="16">
        <f>IFERROR(INDEX('06_BANG_GIA_VAT_TU_AP_DUNG'!$E$1:$E$5000, MATCH(E173, '06_BANG_GIA_VAT_TU_AP_DUNG'!$B$1:$B$5000, 0)), 0)</f>
        <v/>
      </c>
      <c r="K173" s="16">
        <f>I173*J173</f>
        <v/>
      </c>
      <c r="L173" t="inlineStr">
        <is>
          <t>8 nan Z dày @ 0.217kg/m + thanh giằng</t>
        </is>
      </c>
    </row>
    <row r="174">
      <c r="A174" t="inlineStr">
        <is>
          <t>SW-DIFF-029-ACCESSORY</t>
        </is>
      </c>
      <c r="B174" t="inlineStr">
        <is>
          <t>SW-DIFF-029</t>
        </is>
      </c>
      <c r="C174" t="inlineStr">
        <is>
          <t>Phụ kiện lắp ghép / Ke góc cửa gió</t>
        </is>
      </c>
      <c r="D174" t="inlineStr">
        <is>
          <t>PHỤ_KIỆN_CỬA</t>
        </is>
      </c>
      <c r="E174" t="inlineStr">
        <is>
          <t>MAT-DOOR-ACCESSORY</t>
        </is>
      </c>
      <c r="F174" t="inlineStr">
        <is>
          <t>Bộ</t>
        </is>
      </c>
      <c r="G174" s="20" t="n">
        <v>0.07105873859244567</v>
      </c>
      <c r="H174" s="16">
        <f>'00_TONG_HOP_BAO_GIA'!G30</f>
        <v/>
      </c>
      <c r="I174" s="21">
        <f>G174*H174</f>
        <v/>
      </c>
      <c r="J174" s="16">
        <f>IFERROR(INDEX('06_BANG_GIA_VAT_TU_AP_DUNG'!$E$1:$E$5000, MATCH(E174, '06_BANG_GIA_VAT_TU_AP_DUNG'!$B$1:$B$5000, 0)), 0)</f>
        <v/>
      </c>
      <c r="K174" s="16">
        <f>I174*J174</f>
        <v/>
      </c>
      <c r="L174" t="inlineStr">
        <is>
          <t>Ke góc và vít ghép khung Louver</t>
        </is>
      </c>
    </row>
    <row r="175">
      <c r="A175" t="inlineStr">
        <is>
          <t>SW-DIFF-029-PAINT</t>
        </is>
      </c>
      <c r="B175" t="inlineStr">
        <is>
          <t>SW-DIFF-029</t>
        </is>
      </c>
      <c r="C175" t="inlineStr">
        <is>
          <t>Sơn tĩnh điện tiêu chuẩn Polyester</t>
        </is>
      </c>
      <c r="D175" t="inlineStr">
        <is>
          <t>SƠN_TĨNH_ĐIỆN</t>
        </is>
      </c>
      <c r="E175" t="inlineStr">
        <is>
          <t>MAT-PAINT-POWDER</t>
        </is>
      </c>
      <c r="F175" t="inlineStr">
        <is>
          <t>m2</t>
        </is>
      </c>
      <c r="G175" s="20" t="n">
        <v>0.24503561022155</v>
      </c>
      <c r="H175" s="16">
        <f>'00_TONG_HOP_BAO_GIA'!G30</f>
        <v/>
      </c>
      <c r="I175" s="21">
        <f>G175*H175</f>
        <v/>
      </c>
      <c r="J175" s="16">
        <f>IFERROR(INDEX('06_BANG_GIA_VAT_TU_AP_DUNG'!$E$1:$E$5000, MATCH(E175, '06_BANG_GIA_VAT_TU_AP_DUNG'!$B$1:$B$5000, 0)), 0)</f>
        <v/>
      </c>
      <c r="K175" s="16">
        <f>I175*J175</f>
        <v/>
      </c>
      <c r="L175" t="inlineStr">
        <is>
          <t>Sơn tĩnh điện khung và nan Louver</t>
        </is>
      </c>
    </row>
    <row r="176">
      <c r="A176" t="inlineStr">
        <is>
          <t>SW-DIFF-029-MESH</t>
        </is>
      </c>
      <c r="B176" t="inlineStr">
        <is>
          <t>SW-DIFF-029</t>
        </is>
      </c>
      <c r="C176" t="inlineStr">
        <is>
          <t>Lưới chắn côn trùng Inox 304 (LCCT)</t>
        </is>
      </c>
      <c r="D176" t="inlineStr">
        <is>
          <t>PHỤ_KIỆN_CỬA</t>
        </is>
      </c>
      <c r="E176" t="inlineStr">
        <is>
          <t>MAT-MESH-INOX-304</t>
        </is>
      </c>
      <c r="F176" t="inlineStr">
        <is>
          <t>m2</t>
        </is>
      </c>
      <c r="G176" s="20" t="n">
        <v>0.1004394224733208</v>
      </c>
      <c r="H176" s="16">
        <f>'00_TONG_HOP_BAO_GIA'!G30</f>
        <v/>
      </c>
      <c r="I176" s="21">
        <f>G176*H176</f>
        <v/>
      </c>
      <c r="J176" s="16">
        <f>IFERROR(INDEX('06_BANG_GIA_VAT_TU_AP_DUNG'!$E$1:$E$5000, MATCH(E176, '06_BANG_GIA_VAT_TU_AP_DUNG'!$B$1:$B$5000, 0)), 0)</f>
        <v/>
      </c>
      <c r="K176" s="16">
        <f>I176*J176</f>
        <v/>
      </c>
      <c r="L176" t="inlineStr">
        <is>
          <t>Lưới chắn côn trùng cổ 450x350mm</t>
        </is>
      </c>
    </row>
    <row r="177">
      <c r="A177" t="inlineStr">
        <is>
          <t>SW-DIFF-030-FRAME</t>
        </is>
      </c>
      <c r="B177" t="inlineStr">
        <is>
          <t>SW-DIFF-030</t>
        </is>
      </c>
      <c r="C177" t="inlineStr">
        <is>
          <t>Khung nhôm định hình Louver (SWL)</t>
        </is>
      </c>
      <c r="D177" t="inlineStr">
        <is>
          <t>NHÔM_ĐỊNH_HÌNH</t>
        </is>
      </c>
      <c r="E177" t="inlineStr">
        <is>
          <t>MAT-ALU-KHUNG-Z-2-LOP</t>
        </is>
      </c>
      <c r="F177" t="inlineStr">
        <is>
          <t>kg</t>
        </is>
      </c>
      <c r="G177" s="20" t="n">
        <v>0.9801213415922793</v>
      </c>
      <c r="H177" s="16">
        <f>'00_TONG_HOP_BAO_GIA'!G31</f>
        <v/>
      </c>
      <c r="I177" s="21">
        <f>G177*H177</f>
        <v/>
      </c>
      <c r="J177" s="16">
        <f>IFERROR(INDEX('06_BANG_GIA_VAT_TU_AP_DUNG'!$E$1:$E$5000, MATCH(E177, '06_BANG_GIA_VAT_TU_AP_DUNG'!$B$1:$B$5000, 0)), 0)</f>
        <v/>
      </c>
      <c r="K177" s="16">
        <f>I177*J177</f>
        <v/>
      </c>
      <c r="L177" t="inlineStr">
        <is>
          <t>Khung Louver phủ bì 1600x500mm</t>
        </is>
      </c>
    </row>
    <row r="178">
      <c r="A178" t="inlineStr">
        <is>
          <t>SW-DIFF-030-BLADE</t>
        </is>
      </c>
      <c r="B178" t="inlineStr">
        <is>
          <t>SW-DIFF-030</t>
        </is>
      </c>
      <c r="C178" t="inlineStr">
        <is>
          <t>Nan Z Louver &amp; thanh tăng cứng (10 nan)</t>
        </is>
      </c>
      <c r="D178" t="inlineStr">
        <is>
          <t>NHÔM_ĐỊNH_HÌNH</t>
        </is>
      </c>
      <c r="E178" t="inlineStr">
        <is>
          <t>MAT-ALU-NAN-Z-DAY</t>
        </is>
      </c>
      <c r="F178" t="inlineStr">
        <is>
          <t>kg</t>
        </is>
      </c>
      <c r="G178" s="20" t="n">
        <v>3.525928442829033</v>
      </c>
      <c r="H178" s="16">
        <f>'00_TONG_HOP_BAO_GIA'!G31</f>
        <v/>
      </c>
      <c r="I178" s="21">
        <f>G178*H178</f>
        <v/>
      </c>
      <c r="J178" s="16">
        <f>IFERROR(INDEX('06_BANG_GIA_VAT_TU_AP_DUNG'!$E$1:$E$5000, MATCH(E178, '06_BANG_GIA_VAT_TU_AP_DUNG'!$B$1:$B$5000, 0)), 0)</f>
        <v/>
      </c>
      <c r="K178" s="16">
        <f>I178*J178</f>
        <v/>
      </c>
      <c r="L178" t="inlineStr">
        <is>
          <t>10 nan Z dày @ 0.217kg/m + thanh giằng</t>
        </is>
      </c>
    </row>
    <row r="179">
      <c r="A179" t="inlineStr">
        <is>
          <t>SW-DIFF-030-ACCESSORY</t>
        </is>
      </c>
      <c r="B179" t="inlineStr">
        <is>
          <t>SW-DIFF-030</t>
        </is>
      </c>
      <c r="C179" t="inlineStr">
        <is>
          <t>Phụ kiện lắp ghép / Ke góc cửa gió</t>
        </is>
      </c>
      <c r="D179" t="inlineStr">
        <is>
          <t>PHỤ_KIỆN_CỬA</t>
        </is>
      </c>
      <c r="E179" t="inlineStr">
        <is>
          <t>MAT-DOOR-ACCESSORY</t>
        </is>
      </c>
      <c r="F179" t="inlineStr">
        <is>
          <t>Bộ</t>
        </is>
      </c>
      <c r="G179" s="20" t="n">
        <v>0.08897110029138298</v>
      </c>
      <c r="H179" s="16">
        <f>'00_TONG_HOP_BAO_GIA'!G31</f>
        <v/>
      </c>
      <c r="I179" s="21">
        <f>G179*H179</f>
        <v/>
      </c>
      <c r="J179" s="16">
        <f>IFERROR(INDEX('06_BANG_GIA_VAT_TU_AP_DUNG'!$E$1:$E$5000, MATCH(E179, '06_BANG_GIA_VAT_TU_AP_DUNG'!$B$1:$B$5000, 0)), 0)</f>
        <v/>
      </c>
      <c r="K179" s="16">
        <f>I179*J179</f>
        <v/>
      </c>
      <c r="L179" t="inlineStr">
        <is>
          <t>Ke góc và vít ghép khung Louver</t>
        </is>
      </c>
    </row>
    <row r="180">
      <c r="A180" t="inlineStr">
        <is>
          <t>SW-DIFF-030-PAINT</t>
        </is>
      </c>
      <c r="B180" t="inlineStr">
        <is>
          <t>SW-DIFF-030</t>
        </is>
      </c>
      <c r="C180" t="inlineStr">
        <is>
          <t>Sơn tĩnh điện tiêu chuẩn Polyester</t>
        </is>
      </c>
      <c r="D180" t="inlineStr">
        <is>
          <t>SƠN_TĨNH_ĐIỆN</t>
        </is>
      </c>
      <c r="E180" t="inlineStr">
        <is>
          <t>MAT-PAINT-POWDER</t>
        </is>
      </c>
      <c r="F180" t="inlineStr">
        <is>
          <t>m2</t>
        </is>
      </c>
      <c r="G180" s="20" t="n">
        <v>0.8991733411095252</v>
      </c>
      <c r="H180" s="16">
        <f>'00_TONG_HOP_BAO_GIA'!G31</f>
        <v/>
      </c>
      <c r="I180" s="21">
        <f>G180*H180</f>
        <v/>
      </c>
      <c r="J180" s="16">
        <f>IFERROR(INDEX('06_BANG_GIA_VAT_TU_AP_DUNG'!$E$1:$E$5000, MATCH(E180, '06_BANG_GIA_VAT_TU_AP_DUNG'!$B$1:$B$5000, 0)), 0)</f>
        <v/>
      </c>
      <c r="K180" s="16">
        <f>I180*J180</f>
        <v/>
      </c>
      <c r="L180" t="inlineStr">
        <is>
          <t>Sơn tĩnh điện khung và nan Louver</t>
        </is>
      </c>
    </row>
    <row r="181">
      <c r="A181" t="inlineStr">
        <is>
          <t>SW-DIFF-030-MESH</t>
        </is>
      </c>
      <c r="B181" t="inlineStr">
        <is>
          <t>SW-DIFF-030</t>
        </is>
      </c>
      <c r="C181" t="inlineStr">
        <is>
          <t>Lưới chắn côn trùng Inox 304 (LCCT)</t>
        </is>
      </c>
      <c r="D181" t="inlineStr">
        <is>
          <t>PHỤ_KIỆN_CỬA</t>
        </is>
      </c>
      <c r="E181" t="inlineStr">
        <is>
          <t>MAT-MESH-INOX-304</t>
        </is>
      </c>
      <c r="F181" t="inlineStr">
        <is>
          <t>m2</t>
        </is>
      </c>
      <c r="G181" s="20" t="n">
        <v>0.4394224733207784</v>
      </c>
      <c r="H181" s="16">
        <f>'00_TONG_HOP_BAO_GIA'!G31</f>
        <v/>
      </c>
      <c r="I181" s="21">
        <f>G181*H181</f>
        <v/>
      </c>
      <c r="J181" s="16">
        <f>IFERROR(INDEX('06_BANG_GIA_VAT_TU_AP_DUNG'!$E$1:$E$5000, MATCH(E181, '06_BANG_GIA_VAT_TU_AP_DUNG'!$B$1:$B$5000, 0)), 0)</f>
        <v/>
      </c>
      <c r="K181" s="16">
        <f>I181*J181</f>
        <v/>
      </c>
      <c r="L181" t="inlineStr">
        <is>
          <t>Lưới chắn côn trùng cổ 1550x450mm</t>
        </is>
      </c>
    </row>
    <row r="182">
      <c r="A182" t="inlineStr">
        <is>
          <t>SW-DIFF-031-FRAME</t>
        </is>
      </c>
      <c r="B182" t="inlineStr">
        <is>
          <t>SW-DIFF-031</t>
        </is>
      </c>
      <c r="C182" t="inlineStr">
        <is>
          <t>Khung nhôm định hình Louver (SWL)</t>
        </is>
      </c>
      <c r="D182" t="inlineStr">
        <is>
          <t>NHÔM_ĐỊNH_HÌNH</t>
        </is>
      </c>
      <c r="E182" t="inlineStr">
        <is>
          <t>MAT-ALU-KHUNG-Z-2-LOP</t>
        </is>
      </c>
      <c r="F182" t="inlineStr">
        <is>
          <t>kg</t>
        </is>
      </c>
      <c r="G182" s="20" t="n">
        <v>0.5594609803974616</v>
      </c>
      <c r="H182" s="16">
        <f>'00_TONG_HOP_BAO_GIA'!G32</f>
        <v/>
      </c>
      <c r="I182" s="21">
        <f>G182*H182</f>
        <v/>
      </c>
      <c r="J182" s="16">
        <f>IFERROR(INDEX('06_BANG_GIA_VAT_TU_AP_DUNG'!$E$1:$E$5000, MATCH(E182, '06_BANG_GIA_VAT_TU_AP_DUNG'!$B$1:$B$5000, 0)), 0)</f>
        <v/>
      </c>
      <c r="K182" s="16">
        <f>I182*J182</f>
        <v/>
      </c>
      <c r="L182" t="inlineStr">
        <is>
          <t>Khung Louver phủ bì 800x400mm</t>
        </is>
      </c>
    </row>
    <row r="183">
      <c r="A183" t="inlineStr">
        <is>
          <t>SW-DIFF-031-BLADE</t>
        </is>
      </c>
      <c r="B183" t="inlineStr">
        <is>
          <t>SW-DIFF-031</t>
        </is>
      </c>
      <c r="C183" t="inlineStr">
        <is>
          <t>Nan Z Louver &amp; thanh tăng cứng (8 nan)</t>
        </is>
      </c>
      <c r="D183" t="inlineStr">
        <is>
          <t>NHÔM_ĐỊNH_HÌNH</t>
        </is>
      </c>
      <c r="E183" t="inlineStr">
        <is>
          <t>MAT-ALU-NAN-Z-DAY</t>
        </is>
      </c>
      <c r="F183" t="inlineStr">
        <is>
          <t>kg</t>
        </is>
      </c>
      <c r="G183" s="20" t="n">
        <v>1.39150515212514</v>
      </c>
      <c r="H183" s="16">
        <f>'00_TONG_HOP_BAO_GIA'!G32</f>
        <v/>
      </c>
      <c r="I183" s="21">
        <f>G183*H183</f>
        <v/>
      </c>
      <c r="J183" s="16">
        <f>IFERROR(INDEX('06_BANG_GIA_VAT_TU_AP_DUNG'!$E$1:$E$5000, MATCH(E183, '06_BANG_GIA_VAT_TU_AP_DUNG'!$B$1:$B$5000, 0)), 0)</f>
        <v/>
      </c>
      <c r="K183" s="16">
        <f>I183*J183</f>
        <v/>
      </c>
      <c r="L183" t="inlineStr">
        <is>
          <t>8 nan Z dày @ 0.217kg/m + thanh giằng</t>
        </is>
      </c>
    </row>
    <row r="184">
      <c r="A184" t="inlineStr">
        <is>
          <t>SW-DIFF-031-ACCESSORY</t>
        </is>
      </c>
      <c r="B184" t="inlineStr">
        <is>
          <t>SW-DIFF-031</t>
        </is>
      </c>
      <c r="C184" t="inlineStr">
        <is>
          <t>Phụ kiện lắp ghép / Ke góc cửa gió</t>
        </is>
      </c>
      <c r="D184" t="inlineStr">
        <is>
          <t>PHỤ_KIỆN_CỬA</t>
        </is>
      </c>
      <c r="E184" t="inlineStr">
        <is>
          <t>MAT-DOOR-ACCESSORY</t>
        </is>
      </c>
      <c r="F184" t="inlineStr">
        <is>
          <t>Bộ</t>
        </is>
      </c>
      <c r="G184" s="20" t="n">
        <v>0.07109956659169449</v>
      </c>
      <c r="H184" s="16">
        <f>'00_TONG_HOP_BAO_GIA'!G32</f>
        <v/>
      </c>
      <c r="I184" s="21">
        <f>G184*H184</f>
        <v/>
      </c>
      <c r="J184" s="16">
        <f>IFERROR(INDEX('06_BANG_GIA_VAT_TU_AP_DUNG'!$E$1:$E$5000, MATCH(E184, '06_BANG_GIA_VAT_TU_AP_DUNG'!$B$1:$B$5000, 0)), 0)</f>
        <v/>
      </c>
      <c r="K184" s="16">
        <f>I184*J184</f>
        <v/>
      </c>
      <c r="L184" t="inlineStr">
        <is>
          <t>Ke góc và vít ghép khung Louver</t>
        </is>
      </c>
    </row>
    <row r="185">
      <c r="A185" t="inlineStr">
        <is>
          <t>SW-DIFF-031-PAINT</t>
        </is>
      </c>
      <c r="B185" t="inlineStr">
        <is>
          <t>SW-DIFF-031</t>
        </is>
      </c>
      <c r="C185" t="inlineStr">
        <is>
          <t>Sơn tĩnh điện tiêu chuẩn Polyester</t>
        </is>
      </c>
      <c r="D185" t="inlineStr">
        <is>
          <t>SƠN_TĨNH_ĐIỆN</t>
        </is>
      </c>
      <c r="E185" t="inlineStr">
        <is>
          <t>MAT-PAINT-POWDER</t>
        </is>
      </c>
      <c r="F185" t="inlineStr">
        <is>
          <t>m2</t>
        </is>
      </c>
      <c r="G185" s="20" t="n">
        <v>0.3825658561926752</v>
      </c>
      <c r="H185" s="16">
        <f>'00_TONG_HOP_BAO_GIA'!G32</f>
        <v/>
      </c>
      <c r="I185" s="21">
        <f>G185*H185</f>
        <v/>
      </c>
      <c r="J185" s="16">
        <f>IFERROR(INDEX('06_BANG_GIA_VAT_TU_AP_DUNG'!$E$1:$E$5000, MATCH(E185, '06_BANG_GIA_VAT_TU_AP_DUNG'!$B$1:$B$5000, 0)), 0)</f>
        <v/>
      </c>
      <c r="K185" s="16">
        <f>I185*J185</f>
        <v/>
      </c>
      <c r="L185" t="inlineStr">
        <is>
          <t>Sơn tĩnh điện khung và nan Louver</t>
        </is>
      </c>
    </row>
    <row r="186">
      <c r="A186" t="inlineStr">
        <is>
          <t>SW-DIFF-031-MESH</t>
        </is>
      </c>
      <c r="B186" t="inlineStr">
        <is>
          <t>SW-DIFF-031</t>
        </is>
      </c>
      <c r="C186" t="inlineStr">
        <is>
          <t>Lưới chắn côn trùng Inox 304 (LCCT)</t>
        </is>
      </c>
      <c r="D186" t="inlineStr">
        <is>
          <t>PHỤ_KIỆN_CỬA</t>
        </is>
      </c>
      <c r="E186" t="inlineStr">
        <is>
          <t>MAT-MESH-INOX-304</t>
        </is>
      </c>
      <c r="F186" t="inlineStr">
        <is>
          <t>m2</t>
        </is>
      </c>
      <c r="G186" s="20" t="n">
        <v>0.1632140615191463</v>
      </c>
      <c r="H186" s="16">
        <f>'00_TONG_HOP_BAO_GIA'!G32</f>
        <v/>
      </c>
      <c r="I186" s="21">
        <f>G186*H186</f>
        <v/>
      </c>
      <c r="J186" s="16">
        <f>IFERROR(INDEX('06_BANG_GIA_VAT_TU_AP_DUNG'!$E$1:$E$5000, MATCH(E186, '06_BANG_GIA_VAT_TU_AP_DUNG'!$B$1:$B$5000, 0)), 0)</f>
        <v/>
      </c>
      <c r="K186" s="16">
        <f>I186*J186</f>
        <v/>
      </c>
      <c r="L186" t="inlineStr">
        <is>
          <t>Lưới chắn côn trùng cổ 750x350mm</t>
        </is>
      </c>
    </row>
    <row r="187">
      <c r="A187" t="inlineStr">
        <is>
          <t>SW-DIFF-032-FRAME</t>
        </is>
      </c>
      <c r="B187" t="inlineStr">
        <is>
          <t>SW-DIFF-032</t>
        </is>
      </c>
      <c r="C187" t="inlineStr">
        <is>
          <t>Khung nhôm định hình Louver (SWL)</t>
        </is>
      </c>
      <c r="D187" t="inlineStr">
        <is>
          <t>NHÔM_ĐỊNH_HÌNH</t>
        </is>
      </c>
      <c r="E187" t="inlineStr">
        <is>
          <t>MAT-ALU-KHUNG-Z-2-LOP</t>
        </is>
      </c>
      <c r="F187" t="inlineStr">
        <is>
          <t>kg</t>
        </is>
      </c>
      <c r="G187" s="20" t="n">
        <v>1.049343103759376</v>
      </c>
      <c r="H187" s="16">
        <f>'00_TONG_HOP_BAO_GIA'!G33</f>
        <v/>
      </c>
      <c r="I187" s="21">
        <f>G187*H187</f>
        <v/>
      </c>
      <c r="J187" s="16">
        <f>IFERROR(INDEX('06_BANG_GIA_VAT_TU_AP_DUNG'!$E$1:$E$5000, MATCH(E187, '06_BANG_GIA_VAT_TU_AP_DUNG'!$B$1:$B$5000, 0)), 0)</f>
        <v/>
      </c>
      <c r="K187" s="16">
        <f>I187*J187</f>
        <v/>
      </c>
      <c r="L187" t="inlineStr">
        <is>
          <t>Khung Louver phủ bì 1800x450mm</t>
        </is>
      </c>
    </row>
    <row r="188">
      <c r="A188" t="inlineStr">
        <is>
          <t>SW-DIFF-032-BLADE</t>
        </is>
      </c>
      <c r="B188" t="inlineStr">
        <is>
          <t>SW-DIFF-032</t>
        </is>
      </c>
      <c r="C188" t="inlineStr">
        <is>
          <t>Nan Z Louver &amp; thanh tăng cứng (9 nan)</t>
        </is>
      </c>
      <c r="D188" t="inlineStr">
        <is>
          <t>NHÔM_ĐỊNH_HÌNH</t>
        </is>
      </c>
      <c r="E188" t="inlineStr">
        <is>
          <t>MAT-ALU-NAN-Z-DAY</t>
        </is>
      </c>
      <c r="F188" t="inlineStr">
        <is>
          <t>kg</t>
        </is>
      </c>
      <c r="G188" s="20" t="n">
        <v>3.572204303352843</v>
      </c>
      <c r="H188" s="16">
        <f>'00_TONG_HOP_BAO_GIA'!G33</f>
        <v/>
      </c>
      <c r="I188" s="21">
        <f>G188*H188</f>
        <v/>
      </c>
      <c r="J188" s="16">
        <f>IFERROR(INDEX('06_BANG_GIA_VAT_TU_AP_DUNG'!$E$1:$E$5000, MATCH(E188, '06_BANG_GIA_VAT_TU_AP_DUNG'!$B$1:$B$5000, 0)), 0)</f>
        <v/>
      </c>
      <c r="K188" s="16">
        <f>I188*J188</f>
        <v/>
      </c>
      <c r="L188" t="inlineStr">
        <is>
          <t>9 nan Z dày @ 0.217kg/m + thanh giằng</t>
        </is>
      </c>
    </row>
    <row r="189">
      <c r="A189" t="inlineStr">
        <is>
          <t>SW-DIFF-032-ACCESSORY</t>
        </is>
      </c>
      <c r="B189" t="inlineStr">
        <is>
          <t>SW-DIFF-032</t>
        </is>
      </c>
      <c r="C189" t="inlineStr">
        <is>
          <t>Phụ kiện lắp ghép / Ke góc cửa gió</t>
        </is>
      </c>
      <c r="D189" t="inlineStr">
        <is>
          <t>PHỤ_KIỆN_CỬA</t>
        </is>
      </c>
      <c r="E189" t="inlineStr">
        <is>
          <t>MAT-DOOR-ACCESSORY</t>
        </is>
      </c>
      <c r="F189" t="inlineStr">
        <is>
          <t>Bộ</t>
        </is>
      </c>
      <c r="G189" s="20" t="n">
        <v>0.08001398756739493</v>
      </c>
      <c r="H189" s="16">
        <f>'00_TONG_HOP_BAO_GIA'!G33</f>
        <v/>
      </c>
      <c r="I189" s="21">
        <f>G189*H189</f>
        <v/>
      </c>
      <c r="J189" s="16">
        <f>IFERROR(INDEX('06_BANG_GIA_VAT_TU_AP_DUNG'!$E$1:$E$5000, MATCH(E189, '06_BANG_GIA_VAT_TU_AP_DUNG'!$B$1:$B$5000, 0)), 0)</f>
        <v/>
      </c>
      <c r="K189" s="16">
        <f>I189*J189</f>
        <v/>
      </c>
      <c r="L189" t="inlineStr">
        <is>
          <t>Ke góc và vít ghép khung Louver</t>
        </is>
      </c>
    </row>
    <row r="190">
      <c r="A190" t="inlineStr">
        <is>
          <t>SW-DIFF-032-PAINT</t>
        </is>
      </c>
      <c r="B190" t="inlineStr">
        <is>
          <t>SW-DIFF-032</t>
        </is>
      </c>
      <c r="C190" t="inlineStr">
        <is>
          <t>Sơn tĩnh điện tiêu chuẩn Polyester</t>
        </is>
      </c>
      <c r="D190" t="inlineStr">
        <is>
          <t>SƠN_TĨNH_ĐIỆN</t>
        </is>
      </c>
      <c r="E190" t="inlineStr">
        <is>
          <t>MAT-PAINT-POWDER</t>
        </is>
      </c>
      <c r="F190" t="inlineStr">
        <is>
          <t>m2</t>
        </is>
      </c>
      <c r="G190" s="20" t="n">
        <v>0.9245475062257953</v>
      </c>
      <c r="H190" s="16">
        <f>'00_TONG_HOP_BAO_GIA'!G33</f>
        <v/>
      </c>
      <c r="I190" s="21">
        <f>G190*H190</f>
        <v/>
      </c>
      <c r="J190" s="16">
        <f>IFERROR(INDEX('06_BANG_GIA_VAT_TU_AP_DUNG'!$E$1:$E$5000, MATCH(E190, '06_BANG_GIA_VAT_TU_AP_DUNG'!$B$1:$B$5000, 0)), 0)</f>
        <v/>
      </c>
      <c r="K190" s="16">
        <f>I190*J190</f>
        <v/>
      </c>
      <c r="L190" t="inlineStr">
        <is>
          <t>Sơn tĩnh điện khung và nan Louver</t>
        </is>
      </c>
    </row>
    <row r="191">
      <c r="A191" t="inlineStr">
        <is>
          <t>SW-DIFF-032-MESH</t>
        </is>
      </c>
      <c r="B191" t="inlineStr">
        <is>
          <t>SW-DIFF-032</t>
        </is>
      </c>
      <c r="C191" t="inlineStr">
        <is>
          <t>Lưới chắn côn trùng Inox 304 (LCCT)</t>
        </is>
      </c>
      <c r="D191" t="inlineStr">
        <is>
          <t>PHỤ_KIỆN_CỬA</t>
        </is>
      </c>
      <c r="E191" t="inlineStr">
        <is>
          <t>MAT-MESH-INOX-304</t>
        </is>
      </c>
      <c r="F191" t="inlineStr">
        <is>
          <t>m2</t>
        </is>
      </c>
      <c r="G191" s="20" t="n">
        <v>0.4394224733207784</v>
      </c>
      <c r="H191" s="16">
        <f>'00_TONG_HOP_BAO_GIA'!G33</f>
        <v/>
      </c>
      <c r="I191" s="21">
        <f>G191*H191</f>
        <v/>
      </c>
      <c r="J191" s="16">
        <f>IFERROR(INDEX('06_BANG_GIA_VAT_TU_AP_DUNG'!$E$1:$E$5000, MATCH(E191, '06_BANG_GIA_VAT_TU_AP_DUNG'!$B$1:$B$5000, 0)), 0)</f>
        <v/>
      </c>
      <c r="K191" s="16">
        <f>I191*J191</f>
        <v/>
      </c>
      <c r="L191" t="inlineStr">
        <is>
          <t>Lưới chắn côn trùng cổ 1750x400mm</t>
        </is>
      </c>
    </row>
    <row r="192">
      <c r="A192" t="inlineStr">
        <is>
          <t>SW-DIFF-052-FRAME</t>
        </is>
      </c>
      <c r="B192" t="inlineStr">
        <is>
          <t>SW-DIFF-052</t>
        </is>
      </c>
      <c r="C192" t="inlineStr">
        <is>
          <t>Khung nhôm định hình (1 lớp BD)</t>
        </is>
      </c>
      <c r="D192" t="inlineStr">
        <is>
          <t>NHÔM_ĐỊNH_HÌNH</t>
        </is>
      </c>
      <c r="E192" t="inlineStr">
        <is>
          <t>MAT-ALU-KHUNG-BD</t>
        </is>
      </c>
      <c r="F192" t="inlineStr">
        <is>
          <t>kg</t>
        </is>
      </c>
      <c r="G192" s="20" t="n">
        <v>0.3756807990190791</v>
      </c>
      <c r="H192" s="16">
        <f>'00_TONG_HOP_BAO_GIA'!G53</f>
        <v/>
      </c>
      <c r="I192" s="21">
        <f>G192*H192</f>
        <v/>
      </c>
      <c r="J192" s="16">
        <f>IFERROR(INDEX('06_BANG_GIA_VAT_TU_AP_DUNG'!$E$1:$E$5000, MATCH(E192, '06_BANG_GIA_VAT_TU_AP_DUNG'!$B$1:$B$5000, 0)), 0)</f>
        <v/>
      </c>
      <c r="K192" s="16">
        <f>I192*J192</f>
        <v/>
      </c>
      <c r="L192" t="inlineStr">
        <is>
          <t>Khung bao 1000x90mm (cổ 950x50mm)</t>
        </is>
      </c>
    </row>
    <row r="193">
      <c r="A193" t="inlineStr">
        <is>
          <t>SW-DIFF-052-BLADE</t>
        </is>
      </c>
      <c r="B193" t="inlineStr">
        <is>
          <t>SW-DIFF-052</t>
        </is>
      </c>
      <c r="C193" t="inlineStr">
        <is>
          <t>Nan nhôm bầu dục (2 nan)</t>
        </is>
      </c>
      <c r="D193" t="inlineStr">
        <is>
          <t>NHÔM_ĐỊNH_HÌNH</t>
        </is>
      </c>
      <c r="E193" t="inlineStr">
        <is>
          <t>MAT-ALU-NAN-BD</t>
        </is>
      </c>
      <c r="F193" t="inlineStr">
        <is>
          <t>kg</t>
        </is>
      </c>
      <c r="G193" s="20" t="n">
        <v>0.1034173262687413</v>
      </c>
      <c r="H193" s="16">
        <f>'00_TONG_HOP_BAO_GIA'!G53</f>
        <v/>
      </c>
      <c r="I193" s="21">
        <f>G193*H193</f>
        <v/>
      </c>
      <c r="J193" s="16">
        <f>IFERROR(INDEX('06_BANG_GIA_VAT_TU_AP_DUNG'!$E$1:$E$5000, MATCH(E193, '06_BANG_GIA_VAT_TU_AP_DUNG'!$B$1:$B$5000, 0)), 0)</f>
        <v/>
      </c>
      <c r="K193" s="16">
        <f>I193*J193</f>
        <v/>
      </c>
      <c r="L193" t="inlineStr">
        <is>
          <t>Nan bầu dục @ 0.058kg/m</t>
        </is>
      </c>
    </row>
    <row r="194">
      <c r="A194" t="inlineStr">
        <is>
          <t>SW-DIFF-052-ACCESSORY</t>
        </is>
      </c>
      <c r="B194" t="inlineStr">
        <is>
          <t>SW-DIFF-052</t>
        </is>
      </c>
      <c r="C194" t="inlineStr">
        <is>
          <t>Phụ kiện lắp ghép / Ke góc cửa gió</t>
        </is>
      </c>
      <c r="D194" t="inlineStr">
        <is>
          <t>PHỤ_KIỆN_CỬA</t>
        </is>
      </c>
      <c r="E194" t="inlineStr">
        <is>
          <t>MAT-DOOR-ACCESSORY</t>
        </is>
      </c>
      <c r="F194" t="inlineStr">
        <is>
          <t>Bộ</t>
        </is>
      </c>
      <c r="G194" s="20" t="n">
        <v>0.008934055772036454</v>
      </c>
      <c r="H194" s="16">
        <f>'00_TONG_HOP_BAO_GIA'!G53</f>
        <v/>
      </c>
      <c r="I194" s="21">
        <f>G194*H194</f>
        <v/>
      </c>
      <c r="J194" s="16">
        <f>IFERROR(INDEX('06_BANG_GIA_VAT_TU_AP_DUNG'!$E$1:$E$5000, MATCH(E194, '06_BANG_GIA_VAT_TU_AP_DUNG'!$B$1:$B$5000, 0)), 0)</f>
        <v/>
      </c>
      <c r="K194" s="16">
        <f>I194*J194</f>
        <v/>
      </c>
      <c r="L194" t="inlineStr">
        <is>
          <t>4 ke góc chìm và vít ghép khung</t>
        </is>
      </c>
    </row>
    <row r="195">
      <c r="A195" t="inlineStr">
        <is>
          <t>SW-DIFF-052-PAINT</t>
        </is>
      </c>
      <c r="B195" t="inlineStr">
        <is>
          <t>SW-DIFF-052</t>
        </is>
      </c>
      <c r="C195" t="inlineStr">
        <is>
          <t>Sơn tĩnh điện tiêu chuẩn Polyester</t>
        </is>
      </c>
      <c r="D195" t="inlineStr">
        <is>
          <t>SƠN_TĨNH_ĐIỆN</t>
        </is>
      </c>
      <c r="E195" t="inlineStr">
        <is>
          <t>MAT-PAINT-POWDER</t>
        </is>
      </c>
      <c r="F195" t="inlineStr">
        <is>
          <t>m2</t>
        </is>
      </c>
      <c r="G195" s="20" t="n">
        <v>0.1056530924947182</v>
      </c>
      <c r="H195" s="16">
        <f>'00_TONG_HOP_BAO_GIA'!G53</f>
        <v/>
      </c>
      <c r="I195" s="21">
        <f>G195*H195</f>
        <v/>
      </c>
      <c r="J195" s="16">
        <f>IFERROR(INDEX('06_BANG_GIA_VAT_TU_AP_DUNG'!$E$1:$E$5000, MATCH(E195, '06_BANG_GIA_VAT_TU_AP_DUNG'!$B$1:$B$5000, 0)), 0)</f>
        <v/>
      </c>
      <c r="K195" s="16">
        <f>I195*J195</f>
        <v/>
      </c>
      <c r="L195" t="inlineStr">
        <is>
          <t>Sơn tĩnh điện hoàn thiện</t>
        </is>
      </c>
    </row>
    <row r="196">
      <c r="A196" t="inlineStr">
        <is>
          <t>SW-DIFF-052-OBD-FRAME</t>
        </is>
      </c>
      <c r="B196" t="inlineStr">
        <is>
          <t>SW-DIFF-052</t>
        </is>
      </c>
      <c r="C196" t="inlineStr">
        <is>
          <t>Khung nhôm van OBD gắn cửa (SOBD)</t>
        </is>
      </c>
      <c r="D196" t="inlineStr">
        <is>
          <t>NHÔM_ĐỊNH_HÌNH</t>
        </is>
      </c>
      <c r="E196" t="inlineStr">
        <is>
          <t>MAT-ALU-KHUNG-OBD</t>
        </is>
      </c>
      <c r="F196" t="inlineStr">
        <is>
          <t>kg</t>
        </is>
      </c>
      <c r="G196" s="20" t="n">
        <v>0.2750558546408662</v>
      </c>
      <c r="H196" s="16">
        <f>'00_TONG_HOP_BAO_GIA'!G53</f>
        <v/>
      </c>
      <c r="I196" s="21">
        <f>G196*H196</f>
        <v/>
      </c>
      <c r="J196" s="16">
        <f>IFERROR(INDEX('06_BANG_GIA_VAT_TU_AP_DUNG'!$E$1:$E$5000, MATCH(E196, '06_BANG_GIA_VAT_TU_AP_DUNG'!$B$1:$B$5000, 0)), 0)</f>
        <v/>
      </c>
      <c r="K196" s="16">
        <f>I196*J196</f>
        <v/>
      </c>
      <c r="L196" t="inlineStr">
        <is>
          <t>Khung OBD 950x50mm</t>
        </is>
      </c>
    </row>
    <row r="197">
      <c r="A197" t="inlineStr">
        <is>
          <t>SW-DIFF-052-OBD-BLADE</t>
        </is>
      </c>
      <c r="B197" t="inlineStr">
        <is>
          <t>SW-DIFF-052</t>
        </is>
      </c>
      <c r="C197" t="inlineStr">
        <is>
          <t>Nan nhôm &amp; thanh truyền van OBD (SOBD)</t>
        </is>
      </c>
      <c r="D197" t="inlineStr">
        <is>
          <t>NHÔM_ĐỊNH_HÌNH</t>
        </is>
      </c>
      <c r="E197" t="inlineStr">
        <is>
          <t>MAT-ALU-NAN-OBD</t>
        </is>
      </c>
      <c r="F197" t="inlineStr">
        <is>
          <t>kg</t>
        </is>
      </c>
      <c r="G197" s="20" t="n">
        <v>0.1033635529702622</v>
      </c>
      <c r="H197" s="16">
        <f>'00_TONG_HOP_BAO_GIA'!G53</f>
        <v/>
      </c>
      <c r="I197" s="21">
        <f>G197*H197</f>
        <v/>
      </c>
      <c r="J197" s="16">
        <f>IFERROR(INDEX('06_BANG_GIA_VAT_TU_AP_DUNG'!$E$1:$E$5000, MATCH(E197, '06_BANG_GIA_VAT_TU_AP_DUNG'!$B$1:$B$5000, 0)), 0)</f>
        <v/>
      </c>
      <c r="K197" s="16">
        <f>I197*J197</f>
        <v/>
      </c>
      <c r="L197" t="inlineStr">
        <is>
          <t>Nan OBD đối xứng &amp; thanh liên kết</t>
        </is>
      </c>
    </row>
    <row r="198">
      <c r="A198" t="inlineStr">
        <is>
          <t>SW-DIFF-052-OBD-ACC</t>
        </is>
      </c>
      <c r="B198" t="inlineStr">
        <is>
          <t>SW-DIFF-052</t>
        </is>
      </c>
      <c r="C198" t="inlineStr">
        <is>
          <t>Bánh răng nhựa &amp; phụ kiện van OBD</t>
        </is>
      </c>
      <c r="D198" t="inlineStr">
        <is>
          <t>PHỤ_KIỆN_CỬA</t>
        </is>
      </c>
      <c r="E198" t="inlineStr">
        <is>
          <t>MAT-DOOR-ACCESSORY</t>
        </is>
      </c>
      <c r="F198" t="inlineStr">
        <is>
          <t>Bộ</t>
        </is>
      </c>
      <c r="G198" s="20" t="n">
        <v>1.959600691727887</v>
      </c>
      <c r="H198" s="16">
        <f>'00_TONG_HOP_BAO_GIA'!G53</f>
        <v/>
      </c>
      <c r="I198" s="21">
        <f>G198*H198</f>
        <v/>
      </c>
      <c r="J198" s="16">
        <f>IFERROR(INDEX('06_BANG_GIA_VAT_TU_AP_DUNG'!$E$1:$E$5000, MATCH(E198, '06_BANG_GIA_VAT_TU_AP_DUNG'!$B$1:$B$5000, 0)), 0)</f>
        <v/>
      </c>
      <c r="K198" s="16">
        <f>I198*J198</f>
        <v/>
      </c>
      <c r="L198" t="inlineStr">
        <is>
          <t>Cơ cấu bánh răng đóng mở OBD</t>
        </is>
      </c>
    </row>
    <row r="199">
      <c r="A199" t="inlineStr">
        <is>
          <t>SW-DIFF-053-FRAME</t>
        </is>
      </c>
      <c r="B199" t="inlineStr">
        <is>
          <t>SW-DIFF-053</t>
        </is>
      </c>
      <c r="C199" t="inlineStr">
        <is>
          <t>Khung nhôm định hình (1 lớp BD)</t>
        </is>
      </c>
      <c r="D199" t="inlineStr">
        <is>
          <t>NHÔM_ĐỊNH_HÌNH</t>
        </is>
      </c>
      <c r="E199" t="inlineStr">
        <is>
          <t>MAT-ALU-KHUNG-BD</t>
        </is>
      </c>
      <c r="F199" t="inlineStr">
        <is>
          <t>kg</t>
        </is>
      </c>
      <c r="G199" s="20" t="n">
        <v>0.3756807990190791</v>
      </c>
      <c r="H199" s="16">
        <f>'00_TONG_HOP_BAO_GIA'!G54</f>
        <v/>
      </c>
      <c r="I199" s="21">
        <f>G199*H199</f>
        <v/>
      </c>
      <c r="J199" s="16">
        <f>IFERROR(INDEX('06_BANG_GIA_VAT_TU_AP_DUNG'!$E$1:$E$5000, MATCH(E199, '06_BANG_GIA_VAT_TU_AP_DUNG'!$B$1:$B$5000, 0)), 0)</f>
        <v/>
      </c>
      <c r="K199" s="16">
        <f>I199*J199</f>
        <v/>
      </c>
      <c r="L199" t="inlineStr">
        <is>
          <t>Khung bao 1000x90mm (cổ 950x50mm)</t>
        </is>
      </c>
    </row>
    <row r="200">
      <c r="A200" t="inlineStr">
        <is>
          <t>SW-DIFF-053-BLADE</t>
        </is>
      </c>
      <c r="B200" t="inlineStr">
        <is>
          <t>SW-DIFF-053</t>
        </is>
      </c>
      <c r="C200" t="inlineStr">
        <is>
          <t>Nan nhôm bầu dục (2 nan)</t>
        </is>
      </c>
      <c r="D200" t="inlineStr">
        <is>
          <t>NHÔM_ĐỊNH_HÌNH</t>
        </is>
      </c>
      <c r="E200" t="inlineStr">
        <is>
          <t>MAT-ALU-NAN-BD</t>
        </is>
      </c>
      <c r="F200" t="inlineStr">
        <is>
          <t>kg</t>
        </is>
      </c>
      <c r="G200" s="20" t="n">
        <v>0.1034173262687413</v>
      </c>
      <c r="H200" s="16">
        <f>'00_TONG_HOP_BAO_GIA'!G54</f>
        <v/>
      </c>
      <c r="I200" s="21">
        <f>G200*H200</f>
        <v/>
      </c>
      <c r="J200" s="16">
        <f>IFERROR(INDEX('06_BANG_GIA_VAT_TU_AP_DUNG'!$E$1:$E$5000, MATCH(E200, '06_BANG_GIA_VAT_TU_AP_DUNG'!$B$1:$B$5000, 0)), 0)</f>
        <v/>
      </c>
      <c r="K200" s="16">
        <f>I200*J200</f>
        <v/>
      </c>
      <c r="L200" t="inlineStr">
        <is>
          <t>Nan bầu dục @ 0.058kg/m</t>
        </is>
      </c>
    </row>
    <row r="201">
      <c r="A201" t="inlineStr">
        <is>
          <t>SW-DIFF-053-ACCESSORY</t>
        </is>
      </c>
      <c r="B201" t="inlineStr">
        <is>
          <t>SW-DIFF-053</t>
        </is>
      </c>
      <c r="C201" t="inlineStr">
        <is>
          <t>Phụ kiện lắp ghép / Ke góc cửa gió</t>
        </is>
      </c>
      <c r="D201" t="inlineStr">
        <is>
          <t>PHỤ_KIỆN_CỬA</t>
        </is>
      </c>
      <c r="E201" t="inlineStr">
        <is>
          <t>MAT-DOOR-ACCESSORY</t>
        </is>
      </c>
      <c r="F201" t="inlineStr">
        <is>
          <t>Bộ</t>
        </is>
      </c>
      <c r="G201" s="20" t="n">
        <v>0.008934055772036454</v>
      </c>
      <c r="H201" s="16">
        <f>'00_TONG_HOP_BAO_GIA'!G54</f>
        <v/>
      </c>
      <c r="I201" s="21">
        <f>G201*H201</f>
        <v/>
      </c>
      <c r="J201" s="16">
        <f>IFERROR(INDEX('06_BANG_GIA_VAT_TU_AP_DUNG'!$E$1:$E$5000, MATCH(E201, '06_BANG_GIA_VAT_TU_AP_DUNG'!$B$1:$B$5000, 0)), 0)</f>
        <v/>
      </c>
      <c r="K201" s="16">
        <f>I201*J201</f>
        <v/>
      </c>
      <c r="L201" t="inlineStr">
        <is>
          <t>4 ke góc chìm và vít ghép khung</t>
        </is>
      </c>
    </row>
    <row r="202">
      <c r="A202" t="inlineStr">
        <is>
          <t>SW-DIFF-053-PAINT</t>
        </is>
      </c>
      <c r="B202" t="inlineStr">
        <is>
          <t>SW-DIFF-053</t>
        </is>
      </c>
      <c r="C202" t="inlineStr">
        <is>
          <t>Sơn tĩnh điện tiêu chuẩn Polyester</t>
        </is>
      </c>
      <c r="D202" t="inlineStr">
        <is>
          <t>SƠN_TĨNH_ĐIỆN</t>
        </is>
      </c>
      <c r="E202" t="inlineStr">
        <is>
          <t>MAT-PAINT-POWDER</t>
        </is>
      </c>
      <c r="F202" t="inlineStr">
        <is>
          <t>m2</t>
        </is>
      </c>
      <c r="G202" s="20" t="n">
        <v>0.1056530924947182</v>
      </c>
      <c r="H202" s="16">
        <f>'00_TONG_HOP_BAO_GIA'!G54</f>
        <v/>
      </c>
      <c r="I202" s="21">
        <f>G202*H202</f>
        <v/>
      </c>
      <c r="J202" s="16">
        <f>IFERROR(INDEX('06_BANG_GIA_VAT_TU_AP_DUNG'!$E$1:$E$5000, MATCH(E202, '06_BANG_GIA_VAT_TU_AP_DUNG'!$B$1:$B$5000, 0)), 0)</f>
        <v/>
      </c>
      <c r="K202" s="16">
        <f>I202*J202</f>
        <v/>
      </c>
      <c r="L202" t="inlineStr">
        <is>
          <t>Sơn tĩnh điện hoàn thiện</t>
        </is>
      </c>
    </row>
    <row r="203">
      <c r="A203" t="inlineStr">
        <is>
          <t>SW-DIFF-053-FILTER</t>
        </is>
      </c>
      <c r="B203" t="inlineStr">
        <is>
          <t>SW-DIFF-053</t>
        </is>
      </c>
      <c r="C203" t="inlineStr">
        <is>
          <t>Lưới lọc bụi sơ cấp G4 kèm khung nhôm</t>
        </is>
      </c>
      <c r="D203" t="inlineStr">
        <is>
          <t>PHỤ_KIỆN_CỬA</t>
        </is>
      </c>
      <c r="E203" t="inlineStr">
        <is>
          <t>MAT-FILTER-G4</t>
        </is>
      </c>
      <c r="F203" t="inlineStr">
        <is>
          <t>m2</t>
        </is>
      </c>
      <c r="G203" s="20" t="n">
        <v>0.04957234777150032</v>
      </c>
      <c r="H203" s="16">
        <f>'00_TONG_HOP_BAO_GIA'!G54</f>
        <v/>
      </c>
      <c r="I203" s="21">
        <f>G203*H203</f>
        <v/>
      </c>
      <c r="J203" s="16">
        <f>IFERROR(INDEX('06_BANG_GIA_VAT_TU_AP_DUNG'!$E$1:$E$5000, MATCH(E203, '06_BANG_GIA_VAT_TU_AP_DUNG'!$B$1:$B$5000, 0)), 0)</f>
        <v/>
      </c>
      <c r="K203" s="16">
        <f>I203*J203</f>
        <v/>
      </c>
      <c r="L203" t="inlineStr">
        <is>
          <t>Phin lọc bụi cổ 950x50mm</t>
        </is>
      </c>
    </row>
    <row r="204">
      <c r="A204" t="inlineStr">
        <is>
          <t>SW-DIFF-053-OBD-FRAME</t>
        </is>
      </c>
      <c r="B204" t="inlineStr">
        <is>
          <t>SW-DIFF-053</t>
        </is>
      </c>
      <c r="C204" t="inlineStr">
        <is>
          <t>Khung nhôm van OBD gắn cửa (SOBD)</t>
        </is>
      </c>
      <c r="D204" t="inlineStr">
        <is>
          <t>NHÔM_ĐỊNH_HÌNH</t>
        </is>
      </c>
      <c r="E204" t="inlineStr">
        <is>
          <t>MAT-ALU-KHUNG-OBD</t>
        </is>
      </c>
      <c r="F204" t="inlineStr">
        <is>
          <t>kg</t>
        </is>
      </c>
      <c r="G204" s="20" t="n">
        <v>0.2750558546408662</v>
      </c>
      <c r="H204" s="16">
        <f>'00_TONG_HOP_BAO_GIA'!G54</f>
        <v/>
      </c>
      <c r="I204" s="21">
        <f>G204*H204</f>
        <v/>
      </c>
      <c r="J204" s="16">
        <f>IFERROR(INDEX('06_BANG_GIA_VAT_TU_AP_DUNG'!$E$1:$E$5000, MATCH(E204, '06_BANG_GIA_VAT_TU_AP_DUNG'!$B$1:$B$5000, 0)), 0)</f>
        <v/>
      </c>
      <c r="K204" s="16">
        <f>I204*J204</f>
        <v/>
      </c>
      <c r="L204" t="inlineStr">
        <is>
          <t>Khung OBD 950x50mm</t>
        </is>
      </c>
    </row>
    <row r="205">
      <c r="A205" t="inlineStr">
        <is>
          <t>SW-DIFF-053-OBD-BLADE</t>
        </is>
      </c>
      <c r="B205" t="inlineStr">
        <is>
          <t>SW-DIFF-053</t>
        </is>
      </c>
      <c r="C205" t="inlineStr">
        <is>
          <t>Nan nhôm &amp; thanh truyền van OBD (SOBD)</t>
        </is>
      </c>
      <c r="D205" t="inlineStr">
        <is>
          <t>NHÔM_ĐỊNH_HÌNH</t>
        </is>
      </c>
      <c r="E205" t="inlineStr">
        <is>
          <t>MAT-ALU-NAN-OBD</t>
        </is>
      </c>
      <c r="F205" t="inlineStr">
        <is>
          <t>kg</t>
        </is>
      </c>
      <c r="G205" s="20" t="n">
        <v>0.1033635529702622</v>
      </c>
      <c r="H205" s="16">
        <f>'00_TONG_HOP_BAO_GIA'!G54</f>
        <v/>
      </c>
      <c r="I205" s="21">
        <f>G205*H205</f>
        <v/>
      </c>
      <c r="J205" s="16">
        <f>IFERROR(INDEX('06_BANG_GIA_VAT_TU_AP_DUNG'!$E$1:$E$5000, MATCH(E205, '06_BANG_GIA_VAT_TU_AP_DUNG'!$B$1:$B$5000, 0)), 0)</f>
        <v/>
      </c>
      <c r="K205" s="16">
        <f>I205*J205</f>
        <v/>
      </c>
      <c r="L205" t="inlineStr">
        <is>
          <t>Nan OBD đối xứng &amp; thanh liên kết</t>
        </is>
      </c>
    </row>
    <row r="206">
      <c r="A206" t="inlineStr">
        <is>
          <t>SW-DIFF-053-OBD-ACC</t>
        </is>
      </c>
      <c r="B206" t="inlineStr">
        <is>
          <t>SW-DIFF-053</t>
        </is>
      </c>
      <c r="C206" t="inlineStr">
        <is>
          <t>Bánh răng nhựa &amp; phụ kiện van OBD</t>
        </is>
      </c>
      <c r="D206" t="inlineStr">
        <is>
          <t>PHỤ_KIỆN_CỬA</t>
        </is>
      </c>
      <c r="E206" t="inlineStr">
        <is>
          <t>MAT-DOOR-ACCESSORY</t>
        </is>
      </c>
      <c r="F206" t="inlineStr">
        <is>
          <t>Bộ</t>
        </is>
      </c>
      <c r="G206" s="20" t="n">
        <v>1.959600691727887</v>
      </c>
      <c r="H206" s="16">
        <f>'00_TONG_HOP_BAO_GIA'!G54</f>
        <v/>
      </c>
      <c r="I206" s="21">
        <f>G206*H206</f>
        <v/>
      </c>
      <c r="J206" s="16">
        <f>IFERROR(INDEX('06_BANG_GIA_VAT_TU_AP_DUNG'!$E$1:$E$5000, MATCH(E206, '06_BANG_GIA_VAT_TU_AP_DUNG'!$B$1:$B$5000, 0)), 0)</f>
        <v/>
      </c>
      <c r="K206" s="16">
        <f>I206*J206</f>
        <v/>
      </c>
      <c r="L206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SW-DAMPER-033-BODY</t>
        </is>
      </c>
      <c r="B2" t="inlineStr">
        <is>
          <t>SW-DAMPER-033</t>
        </is>
      </c>
      <c r="C2" t="inlineStr">
        <is>
          <t>Thân vỏ van MFD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0" t="n">
        <v>3.029807820958935</v>
      </c>
      <c r="H2" s="16">
        <f>'00_TONG_HOP_BAO_GIA'!G34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Kích thước vỏ 200x200x200mm</t>
        </is>
      </c>
    </row>
    <row r="3">
      <c r="A3" t="inlineStr">
        <is>
          <t>SW-DAMPER-033-BLADE</t>
        </is>
      </c>
      <c r="B3" t="inlineStr">
        <is>
          <t>SW-DAMPER-033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0" t="n">
        <v>1.017824076915742</v>
      </c>
      <c r="H3" s="16">
        <f>'00_TONG_HOP_BAO_GIA'!G34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Tôn bọc cánh &amp; thân (1 cánh/modul)</t>
        </is>
      </c>
    </row>
    <row r="4">
      <c r="A4" t="inlineStr">
        <is>
          <t>SW-DAMPER-033-AXLE</t>
        </is>
      </c>
      <c r="B4" t="inlineStr">
        <is>
          <t>SW-DAMPER-033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0" t="n">
        <v>0.3664279423955871</v>
      </c>
      <c r="H4" s="16">
        <f>'00_TONG_HOP_BAO_GIA'!G34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1 trục dài 260mm</t>
        </is>
      </c>
    </row>
    <row r="5">
      <c r="A5" t="inlineStr">
        <is>
          <t>SW-DAMPER-033-BEARING</t>
        </is>
      </c>
      <c r="B5" t="inlineStr">
        <is>
          <t>SW-DAMPER-033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0" t="n">
        <v>1</v>
      </c>
      <c r="H5" s="16">
        <f>'00_TONG_HOP_BAO_GIA'!G34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1 đôi bạc đỡ 2 bên thân</t>
        </is>
      </c>
    </row>
    <row r="6">
      <c r="A6" t="inlineStr">
        <is>
          <t>SW-DAMPER-033-ACTUATOR</t>
        </is>
      </c>
      <c r="B6" t="inlineStr">
        <is>
          <t>SW-DAMPER-033</t>
        </is>
      </c>
      <c r="C6" t="inlineStr">
        <is>
          <t>Động cơ chặn lửa ON/OFF KLB (Swin V6006FS500S EI90) 5Nm</t>
        </is>
      </c>
      <c r="D6" t="inlineStr">
        <is>
          <t>ĐỘNG_CƠ_VÀ_CẢM_BIẾN</t>
        </is>
      </c>
      <c r="E6" t="inlineStr">
        <is>
          <t>MAT-ACTUATOR-KLB-V6006FS500S</t>
        </is>
      </c>
      <c r="F6" t="inlineStr">
        <is>
          <t>Cái</t>
        </is>
      </c>
      <c r="G6" s="20" t="n">
        <v>1</v>
      </c>
      <c r="H6" s="16">
        <f>'00_TONG_HOP_BAO_GIA'!G34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Động cơ lò xo phản hồi MFD (1 bộ)</t>
        </is>
      </c>
    </row>
    <row r="7">
      <c r="A7" t="inlineStr">
        <is>
          <t>SW-DAMPER-033-FB10-BODY</t>
        </is>
      </c>
      <c r="B7" t="inlineStr">
        <is>
          <t>SW-DAMPER-033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0" t="n">
        <v>0.6764823551918531</v>
      </c>
      <c r="H7" s="16">
        <f>'00_TONG_HOP_BAO_GIA'!G34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Bọc 2 lớp tấm 10mm quanh thân L=300mm</t>
        </is>
      </c>
    </row>
    <row r="8">
      <c r="A8" t="inlineStr">
        <is>
          <t>SW-DAMPER-033-FB20-BLADE</t>
        </is>
      </c>
      <c r="B8" t="inlineStr">
        <is>
          <t>SW-DAMPER-033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0" t="n">
        <v>0.0563735295993211</v>
      </c>
      <c r="H8" s="16">
        <f>'00_TONG_HOP_BAO_GIA'!G34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Lõi cánh tấm 20mm (Cánh đơn 200x200mm)</t>
        </is>
      </c>
    </row>
    <row r="9">
      <c r="A9" t="inlineStr">
        <is>
          <t>SW-DAMPER-033-FB10-BLADE</t>
        </is>
      </c>
      <c r="B9" t="inlineStr">
        <is>
          <t>SW-DAMPER-033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0" t="n">
        <v>0.1127470591986422</v>
      </c>
      <c r="H9" s="16">
        <f>'00_TONG_HOP_BAO_GIA'!G34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Ốp 2 mặt cánh tấm 10mm (Cánh đơn 200x200mm)</t>
        </is>
      </c>
    </row>
    <row r="10">
      <c r="A10" t="inlineStr">
        <is>
          <t>SW-DAMPER-033-SPRING-BOX</t>
        </is>
      </c>
      <c r="B10" t="inlineStr">
        <is>
          <t>SW-DAMPER-033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0" t="n">
        <v>1</v>
      </c>
      <c r="H10" s="16">
        <f>'00_TONG_HOP_BAO_GIA'!G34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Hộp lò xo cơ cấu đóng sập (1 bộ)</t>
        </is>
      </c>
    </row>
    <row r="11">
      <c r="A11" t="inlineStr">
        <is>
          <t>SW-DAMPER-033-SILICON-BOLT</t>
        </is>
      </c>
      <c r="B11" t="inlineStr">
        <is>
          <t>SW-DAMPER-033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0" t="n">
        <v>1</v>
      </c>
      <c r="H11" s="16">
        <f>'00_TONG_HOP_BAO_GIA'!G34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SW-DAMPER-034-BODY</t>
        </is>
      </c>
      <c r="B12" t="inlineStr">
        <is>
          <t>SW-DAMPER-034</t>
        </is>
      </c>
      <c r="C12" t="inlineStr">
        <is>
          <t>Thân vỏ van MFD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0" t="n">
        <v>3.582547799160102</v>
      </c>
      <c r="H12" s="16">
        <f>'00_TONG_HOP_BAO_GIA'!G35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Kích thước vỏ 300x200x200mm</t>
        </is>
      </c>
    </row>
    <row r="13">
      <c r="A13" t="inlineStr">
        <is>
          <t>SW-DAMPER-034-BLADE</t>
        </is>
      </c>
      <c r="B13" t="inlineStr">
        <is>
          <t>SW-DAMPER-034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0" t="n">
        <v>1.458098412356573</v>
      </c>
      <c r="H13" s="16">
        <f>'00_TONG_HOP_BAO_GIA'!G35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Tôn bọc cánh &amp; thân (1 cánh/modul)</t>
        </is>
      </c>
    </row>
    <row r="14">
      <c r="A14" t="inlineStr">
        <is>
          <t>SW-DAMPER-034-AXLE</t>
        </is>
      </c>
      <c r="B14" t="inlineStr">
        <is>
          <t>SW-DAMPER-034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0" t="n">
        <v>0.484552227867042</v>
      </c>
      <c r="H14" s="16">
        <f>'00_TONG_HOP_BAO_GIA'!G35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1 trục dài 360mm</t>
        </is>
      </c>
    </row>
    <row r="15">
      <c r="A15" t="inlineStr">
        <is>
          <t>SW-DAMPER-034-BEARING</t>
        </is>
      </c>
      <c r="B15" t="inlineStr">
        <is>
          <t>SW-DAMPER-034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0" t="n">
        <v>1</v>
      </c>
      <c r="H15" s="16">
        <f>'00_TONG_HOP_BAO_GIA'!G35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1 đôi bạc đỡ 2 bên thân</t>
        </is>
      </c>
    </row>
    <row r="16">
      <c r="A16" t="inlineStr">
        <is>
          <t>SW-DAMPER-034-ACTUATOR</t>
        </is>
      </c>
      <c r="B16" t="inlineStr">
        <is>
          <t>SW-DAMPER-034</t>
        </is>
      </c>
      <c r="C16" t="inlineStr">
        <is>
          <t>Động cơ chặn lửa ON/OFF KLB (Swin V6006FS500S EI90) 5Nm</t>
        </is>
      </c>
      <c r="D16" t="inlineStr">
        <is>
          <t>ĐỘNG_CƠ_VÀ_CẢM_BIẾN</t>
        </is>
      </c>
      <c r="E16" t="inlineStr">
        <is>
          <t>MAT-ACTUATOR-KLB-V6006FS500S</t>
        </is>
      </c>
      <c r="F16" t="inlineStr">
        <is>
          <t>Cái</t>
        </is>
      </c>
      <c r="G16" s="20" t="n">
        <v>1</v>
      </c>
      <c r="H16" s="16">
        <f>'00_TONG_HOP_BAO_GIA'!G35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Động cơ lò xo phản hồi MFD (1 bộ)</t>
        </is>
      </c>
    </row>
    <row r="17">
      <c r="A17" t="inlineStr">
        <is>
          <t>SW-DAMPER-034-FB10-BODY</t>
        </is>
      </c>
      <c r="B17" t="inlineStr">
        <is>
          <t>SW-DAMPER-034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0" t="n">
        <v>0.80758704644507</v>
      </c>
      <c r="H17" s="16">
        <f>'00_TONG_HOP_BAO_GIA'!G35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Bọc 2 lớp tấm 10mm quanh thân L=300mm</t>
        </is>
      </c>
    </row>
    <row r="18">
      <c r="A18" t="inlineStr">
        <is>
          <t>SW-DAMPER-034-FB20-BLADE</t>
        </is>
      </c>
      <c r="B18" t="inlineStr">
        <is>
          <t>SW-DAMPER-034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0" t="n">
        <v>0.080758704644507</v>
      </c>
      <c r="H18" s="16">
        <f>'00_TONG_HOP_BAO_GIA'!G35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Lõi cánh tấm 20mm (Cánh đơn 300x200mm)</t>
        </is>
      </c>
    </row>
    <row r="19">
      <c r="A19" t="inlineStr">
        <is>
          <t>SW-DAMPER-034-FB10-BLADE</t>
        </is>
      </c>
      <c r="B19" t="inlineStr">
        <is>
          <t>SW-DAMPER-034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0" t="n">
        <v>0.161517409289014</v>
      </c>
      <c r="H19" s="16">
        <f>'00_TONG_HOP_BAO_GIA'!G35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Ốp 2 mặt cánh tấm 10mm (Cánh đơn 300x200mm)</t>
        </is>
      </c>
    </row>
    <row r="20">
      <c r="A20" t="inlineStr">
        <is>
          <t>SW-DAMPER-034-SPRING-BOX</t>
        </is>
      </c>
      <c r="B20" t="inlineStr">
        <is>
          <t>SW-DAMPER-034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0" t="n">
        <v>1</v>
      </c>
      <c r="H20" s="16">
        <f>'00_TONG_HOP_BAO_GIA'!G35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Hộp lò xo cơ cấu đóng sập (1 bộ)</t>
        </is>
      </c>
    </row>
    <row r="21">
      <c r="A21" t="inlineStr">
        <is>
          <t>SW-DAMPER-034-SILICON-BOLT</t>
        </is>
      </c>
      <c r="B21" t="inlineStr">
        <is>
          <t>SW-DAMPER-034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0" t="n">
        <v>1</v>
      </c>
      <c r="H21" s="16">
        <f>'00_TONG_HOP_BAO_GIA'!G35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SW-DAMPER-035-BODY</t>
        </is>
      </c>
      <c r="B22" t="inlineStr">
        <is>
          <t>SW-DAMPER-035</t>
        </is>
      </c>
      <c r="C22" t="inlineStr">
        <is>
          <t>Thân vỏ van 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0" t="n">
        <v>10.2486850309481</v>
      </c>
      <c r="H22" s="16">
        <f>'00_TONG_HOP_BAO_GIA'!G36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Kích thước vỏ 1200x500x200mm</t>
        </is>
      </c>
    </row>
    <row r="23">
      <c r="A23" t="inlineStr">
        <is>
          <t>SW-DAMPER-035-BLADE</t>
        </is>
      </c>
      <c r="B23" t="inlineStr">
        <is>
          <t>SW-DAMPER-035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0" t="n">
        <v>12.61066202897514</v>
      </c>
      <c r="H23" s="16">
        <f>'00_TONG_HOP_BAO_GIA'!G36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Tôn bọc cánh &amp; thân (1 cánh/modul)</t>
        </is>
      </c>
    </row>
    <row r="24">
      <c r="A24" t="inlineStr">
        <is>
          <t>SW-DAMPER-035-AXLE</t>
        </is>
      </c>
      <c r="B24" t="inlineStr">
        <is>
          <t>SW-DAMPER-035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0" t="n">
        <v>1.466762130204807</v>
      </c>
      <c r="H24" s="16">
        <f>'00_TONG_HOP_BAO_GIA'!G36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1 trục dài 1260mm</t>
        </is>
      </c>
    </row>
    <row r="25">
      <c r="A25" t="inlineStr">
        <is>
          <t>SW-DAMPER-035-BEARING</t>
        </is>
      </c>
      <c r="B25" t="inlineStr">
        <is>
          <t>SW-DAMPER-035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0" t="n">
        <v>1</v>
      </c>
      <c r="H25" s="16">
        <f>'00_TONG_HOP_BAO_GIA'!G36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1 đôi bạc đỡ 2 bên thân</t>
        </is>
      </c>
    </row>
    <row r="26">
      <c r="A26" t="inlineStr">
        <is>
          <t>SW-DAMPER-035-FUSE</t>
        </is>
      </c>
      <c r="B26" t="inlineStr">
        <is>
          <t>SW-DAMPER-035</t>
        </is>
      </c>
      <c r="C26" t="inlineStr">
        <is>
          <t>Cầu chì nhiệt nóng chảy 70°C/74°C (Elsie/USA)</t>
        </is>
      </c>
      <c r="D26" t="inlineStr">
        <is>
          <t>PHỤ_KIỆN_VAN</t>
        </is>
      </c>
      <c r="E26" t="inlineStr">
        <is>
          <t>MAT-DAMPER-CAU-CHI-USA-2-400X400</t>
        </is>
      </c>
      <c r="F26" t="inlineStr">
        <is>
          <t>Cái</t>
        </is>
      </c>
      <c r="G26" s="20" t="n">
        <v>1</v>
      </c>
      <c r="H26" s="16">
        <f>'00_TONG_HOP_BAO_GIA'!G36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Cầu chì kiểm định PCCC (1 cái)</t>
        </is>
      </c>
    </row>
    <row r="27">
      <c r="A27" t="inlineStr">
        <is>
          <t>SW-DAMPER-035-FB10-BODY</t>
        </is>
      </c>
      <c r="B27" t="inlineStr">
        <is>
          <t>SW-DAMPER-035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0" t="n">
        <v>2.374757734617307</v>
      </c>
      <c r="H27" s="16">
        <f>'00_TONG_HOP_BAO_GIA'!G36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Bọc 2 lớp tấm 10mm quanh thân L=300mm</t>
        </is>
      </c>
    </row>
    <row r="28">
      <c r="A28" t="inlineStr">
        <is>
          <t>SW-DAMPER-035-FB20-BLADE</t>
        </is>
      </c>
      <c r="B28" t="inlineStr">
        <is>
          <t>SW-DAMPER-035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0" t="n">
        <v>0.6984581572403844</v>
      </c>
      <c r="H28" s="16">
        <f>'00_TONG_HOP_BAO_GIA'!G36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Lõi cánh tấm 20mm (Cánh đơn 1200x500mm)</t>
        </is>
      </c>
    </row>
    <row r="29">
      <c r="A29" t="inlineStr">
        <is>
          <t>SW-DAMPER-035-FB10-BLADE</t>
        </is>
      </c>
      <c r="B29" t="inlineStr">
        <is>
          <t>SW-DAMPER-035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0" t="n">
        <v>1.396916314480769</v>
      </c>
      <c r="H29" s="16">
        <f>'00_TONG_HOP_BAO_GIA'!G36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Ốp 2 mặt cánh tấm 10mm (Cánh đơn 1200x500mm)</t>
        </is>
      </c>
    </row>
    <row r="30">
      <c r="A30" t="inlineStr">
        <is>
          <t>SW-DAMPER-035-SPRING-BOX</t>
        </is>
      </c>
      <c r="B30" t="inlineStr">
        <is>
          <t>SW-DAMPER-035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0" t="n">
        <v>1</v>
      </c>
      <c r="H30" s="16">
        <f>'00_TONG_HOP_BAO_GIA'!G36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Hộp lò xo cơ cấu đóng sập (1 bộ)</t>
        </is>
      </c>
    </row>
    <row r="31">
      <c r="A31" t="inlineStr">
        <is>
          <t>SW-DAMPER-035-SILICON-BOLT</t>
        </is>
      </c>
      <c r="B31" t="inlineStr">
        <is>
          <t>SW-DAMPER-035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0" t="n">
        <v>1</v>
      </c>
      <c r="H31" s="16">
        <f>'00_TONG_HOP_BAO_GIA'!G36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Keo silicon chống cháy &amp; phụ kiện lắp ghép (1 bộ)</t>
        </is>
      </c>
    </row>
    <row r="32">
      <c r="A32" t="inlineStr">
        <is>
          <t>SW-DAMPER-036-BODY</t>
        </is>
      </c>
      <c r="B32" t="inlineStr">
        <is>
          <t>SW-DAMPER-036</t>
        </is>
      </c>
      <c r="C32" t="inlineStr">
        <is>
          <t>Thân vỏ van FD bích C30/TDF (1.15mm)</t>
        </is>
      </c>
      <c r="D32" t="inlineStr">
        <is>
          <t>TÔN_CUỘN_MẠ_KẼM</t>
        </is>
      </c>
      <c r="E32" t="inlineStr">
        <is>
          <t>MAT-STEEL-PN-1.15</t>
        </is>
      </c>
      <c r="F32" t="inlineStr">
        <is>
          <t>kg</t>
        </is>
      </c>
      <c r="G32" s="20" t="n">
        <v>10.91437471584602</v>
      </c>
      <c r="H32" s="16">
        <f>'00_TONG_HOP_BAO_GIA'!G37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Kích thước vỏ 1200x600x200mm</t>
        </is>
      </c>
    </row>
    <row r="33">
      <c r="A33" t="inlineStr">
        <is>
          <t>SW-DAMPER-036-BLADE</t>
        </is>
      </c>
      <c r="B33" t="inlineStr">
        <is>
          <t>SW-DAMPER-036</t>
        </is>
      </c>
      <c r="C33" t="inlineStr">
        <is>
          <t>Lá cánh / Tôn tấm bọc van (1 cánh)</t>
        </is>
      </c>
      <c r="D33" t="inlineStr">
        <is>
          <t>TÔN_CUỘN_MẠ_KẼM</t>
        </is>
      </c>
      <c r="E33" t="inlineStr">
        <is>
          <t>MAT-STEEL-PN-1.15</t>
        </is>
      </c>
      <c r="F33" t="inlineStr">
        <is>
          <t>kg</t>
        </is>
      </c>
      <c r="G33" s="20" t="n">
        <v>15.23024554801469</v>
      </c>
      <c r="H33" s="16">
        <f>'00_TONG_HOP_BAO_GIA'!G37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Tôn bọc cánh &amp; thân (1 cánh/modul)</t>
        </is>
      </c>
    </row>
    <row r="34">
      <c r="A34" t="inlineStr">
        <is>
          <t>SW-DAMPER-036-AXLE</t>
        </is>
      </c>
      <c r="B34" t="inlineStr">
        <is>
          <t>SW-DAMPER-036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20" t="n">
        <v>1.476207682582426</v>
      </c>
      <c r="H34" s="16">
        <f>'00_TONG_HOP_BAO_GIA'!G37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1 trục dài 1260mm</t>
        </is>
      </c>
    </row>
    <row r="35">
      <c r="A35" t="inlineStr">
        <is>
          <t>SW-DAMPER-036-BEARING</t>
        </is>
      </c>
      <c r="B35" t="inlineStr">
        <is>
          <t>SW-DAMPER-036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20" t="n">
        <v>1</v>
      </c>
      <c r="H35" s="16">
        <f>'00_TONG_HOP_BAO_GIA'!G37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1 đôi bạc đỡ 2 bên thân</t>
        </is>
      </c>
    </row>
    <row r="36">
      <c r="A36" t="inlineStr">
        <is>
          <t>SW-DAMPER-036-FUSE</t>
        </is>
      </c>
      <c r="B36" t="inlineStr">
        <is>
          <t>SW-DAMPER-036</t>
        </is>
      </c>
      <c r="C36" t="inlineStr">
        <is>
          <t>Cầu chì nhiệt nóng chảy 70°C/74°C (Elsie/USA)</t>
        </is>
      </c>
      <c r="D36" t="inlineStr">
        <is>
          <t>PHỤ_KIỆN_VAN</t>
        </is>
      </c>
      <c r="E36" t="inlineStr">
        <is>
          <t>MAT-DAMPER-CAU-CHI-USA-2-400X400</t>
        </is>
      </c>
      <c r="F36" t="inlineStr">
        <is>
          <t>Cái</t>
        </is>
      </c>
      <c r="G36" s="20" t="n">
        <v>1</v>
      </c>
      <c r="H36" s="16">
        <f>'00_TONG_HOP_BAO_GIA'!G37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Cầu chì kiểm định PCCC (1 cái)</t>
        </is>
      </c>
    </row>
    <row r="37">
      <c r="A37" t="inlineStr">
        <is>
          <t>SW-DAMPER-036-FB10-BODY</t>
        </is>
      </c>
      <c r="B37" t="inlineStr">
        <is>
          <t>SW-DAMPER-036</t>
        </is>
      </c>
      <c r="C37" t="inlineStr">
        <is>
          <t>Tấm chống cháy dày 10mm bọc thân van FD/MFD (2 lớp)</t>
        </is>
      </c>
      <c r="D37" t="inlineStr">
        <is>
          <t>VẬT_LIỆU_CÁCH_NHIỆT</t>
        </is>
      </c>
      <c r="E37" t="inlineStr">
        <is>
          <t>MAT-FIREBOARD-10MM-BODY</t>
        </is>
      </c>
      <c r="F37" t="inlineStr">
        <is>
          <t>m2</t>
        </is>
      </c>
      <c r="G37" s="20" t="n">
        <v>2.530641741569874</v>
      </c>
      <c r="H37" s="16">
        <f>'00_TONG_HOP_BAO_GIA'!G37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Bọc 2 lớp tấm 10mm quanh thân L=300mm</t>
        </is>
      </c>
    </row>
    <row r="38">
      <c r="A38" t="inlineStr">
        <is>
          <t>SW-DAMPER-036-FB20-BLADE</t>
        </is>
      </c>
      <c r="B38" t="inlineStr">
        <is>
          <t>SW-DAMPER-036</t>
        </is>
      </c>
      <c r="C38" t="inlineStr">
        <is>
          <t>Tấm chống cháy dày 20mm làm lõi cánh van FD/MFD</t>
        </is>
      </c>
      <c r="D38" t="inlineStr">
        <is>
          <t>VẬT_LIỆU_CÁCH_NHIỆT</t>
        </is>
      </c>
      <c r="E38" t="inlineStr">
        <is>
          <t>MAT-FIREBOARD-20MM-BLADE</t>
        </is>
      </c>
      <c r="F38" t="inlineStr">
        <is>
          <t>m2</t>
        </is>
      </c>
      <c r="G38" s="20" t="n">
        <v>0.8435472471899578</v>
      </c>
      <c r="H38" s="16">
        <f>'00_TONG_HOP_BAO_GIA'!G37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Lõi cánh tấm 20mm (Cánh đơn 1200x600mm)</t>
        </is>
      </c>
    </row>
    <row r="39">
      <c r="A39" t="inlineStr">
        <is>
          <t>SW-DAMPER-036-FB10-BLADE</t>
        </is>
      </c>
      <c r="B39" t="inlineStr">
        <is>
          <t>SW-DAMPER-036</t>
        </is>
      </c>
      <c r="C39" t="inlineStr">
        <is>
          <t>Tấm chống cháy dày 10mm ốp 2 mặt cánh van FD/MFD</t>
        </is>
      </c>
      <c r="D39" t="inlineStr">
        <is>
          <t>VẬT_LIỆU_CÁCH_NHIỆT</t>
        </is>
      </c>
      <c r="E39" t="inlineStr">
        <is>
          <t>MAT-FIREBOARD-10MM-BLADE</t>
        </is>
      </c>
      <c r="F39" t="inlineStr">
        <is>
          <t>m2</t>
        </is>
      </c>
      <c r="G39" s="20" t="n">
        <v>1.687094494379916</v>
      </c>
      <c r="H39" s="16">
        <f>'00_TONG_HOP_BAO_GIA'!G37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Ốp 2 mặt cánh tấm 10mm (Cánh đơn 1200x600mm)</t>
        </is>
      </c>
    </row>
    <row r="40">
      <c r="A40" t="inlineStr">
        <is>
          <t>SW-DAMPER-036-SPRING-BOX</t>
        </is>
      </c>
      <c r="B40" t="inlineStr">
        <is>
          <t>SW-DAMPER-036</t>
        </is>
      </c>
      <c r="C40" t="inlineStr">
        <is>
          <t>Hộp lò xo van chặn lửa FD/MFD</t>
        </is>
      </c>
      <c r="D40" t="inlineStr">
        <is>
          <t>PHỤ_KIỆN_VAN</t>
        </is>
      </c>
      <c r="E40" t="inlineStr">
        <is>
          <t>MAT-DAMPER-HOP-LO-XO</t>
        </is>
      </c>
      <c r="F40" t="inlineStr">
        <is>
          <t>Bộ</t>
        </is>
      </c>
      <c r="G40" s="20" t="n">
        <v>1</v>
      </c>
      <c r="H40" s="16">
        <f>'00_TONG_HOP_BAO_GIA'!G37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Hộp lò xo cơ cấu đóng sập (1 bộ)</t>
        </is>
      </c>
    </row>
    <row r="41">
      <c r="A41" t="inlineStr">
        <is>
          <t>SW-DAMPER-036-SILICON-BOLT</t>
        </is>
      </c>
      <c r="B41" t="inlineStr">
        <is>
          <t>SW-DAMPER-036</t>
        </is>
      </c>
      <c r="C41" t="inlineStr">
        <is>
          <t>Silicon chống cháy + bu lông, ốc vít van FD/MFD</t>
        </is>
      </c>
      <c r="D41" t="inlineStr">
        <is>
          <t>PHỤ_KIỆN_VAN</t>
        </is>
      </c>
      <c r="E41" t="inlineStr">
        <is>
          <t>MAT-DAMPER-SILICON-BULONG-VIT</t>
        </is>
      </c>
      <c r="F41" t="inlineStr">
        <is>
          <t>Bộ</t>
        </is>
      </c>
      <c r="G41" s="20" t="n">
        <v>1</v>
      </c>
      <c r="H41" s="16">
        <f>'00_TONG_HOP_BAO_GIA'!G37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Keo silicon chống cháy &amp; phụ kiện lắp ghép (1 bộ)</t>
        </is>
      </c>
    </row>
    <row r="42">
      <c r="A42" t="inlineStr">
        <is>
          <t>SW-DAMPER-037-BODY</t>
        </is>
      </c>
      <c r="B42" t="inlineStr">
        <is>
          <t>SW-DAMPER-037</t>
        </is>
      </c>
      <c r="C42" t="inlineStr">
        <is>
          <t>Thân vỏ van FD bích C30/TDF (1.15mm)</t>
        </is>
      </c>
      <c r="D42" t="inlineStr">
        <is>
          <t>TÔN_CUỘN_MẠ_KẼM</t>
        </is>
      </c>
      <c r="E42" t="inlineStr">
        <is>
          <t>MAT-STEEL-PN-1.15</t>
        </is>
      </c>
      <c r="F42" t="inlineStr">
        <is>
          <t>kg</t>
        </is>
      </c>
      <c r="G42" s="20" t="n">
        <v>5.327299100603574</v>
      </c>
      <c r="H42" s="16">
        <f>'00_TONG_HOP_BAO_GIA'!G38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Kích thước vỏ 600x300x200mm</t>
        </is>
      </c>
    </row>
    <row r="43">
      <c r="A43" t="inlineStr">
        <is>
          <t>SW-DAMPER-037-BLADE</t>
        </is>
      </c>
      <c r="B43" t="inlineStr">
        <is>
          <t>SW-DAMPER-037</t>
        </is>
      </c>
      <c r="C43" t="inlineStr">
        <is>
          <t>Lá cánh / Tôn tấm bọc van (1 cánh)</t>
        </is>
      </c>
      <c r="D43" t="inlineStr">
        <is>
          <t>TÔN_CUỘN_MẠ_KẼM</t>
        </is>
      </c>
      <c r="E43" t="inlineStr">
        <is>
          <t>MAT-STEEL-PN-1.15</t>
        </is>
      </c>
      <c r="F43" t="inlineStr">
        <is>
          <t>kg</t>
        </is>
      </c>
      <c r="G43" s="20" t="n">
        <v>3.676534921051465</v>
      </c>
      <c r="H43" s="16">
        <f>'00_TONG_HOP_BAO_GIA'!G38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Tôn bọc cánh &amp; thân (1 cánh/modul)</t>
        </is>
      </c>
    </row>
    <row r="44">
      <c r="A44" t="inlineStr">
        <is>
          <t>SW-DAMPER-037-AXLE</t>
        </is>
      </c>
      <c r="B44" t="inlineStr">
        <is>
          <t>SW-DAMPER-037</t>
        </is>
      </c>
      <c r="C44" t="inlineStr">
        <is>
          <t>Trục Sus 201 D10</t>
        </is>
      </c>
      <c r="D44" t="inlineStr">
        <is>
          <t>PHỤ_KIỆN_VAN</t>
        </is>
      </c>
      <c r="E44" t="inlineStr">
        <is>
          <t>MAT-DAMPER-TRUC-SUS-201-D10</t>
        </is>
      </c>
      <c r="F44" t="inlineStr">
        <is>
          <t>m</t>
        </is>
      </c>
      <c r="G44" s="20" t="n">
        <v>0.7466423729634658</v>
      </c>
      <c r="H44" s="16">
        <f>'00_TONG_HOP_BAO_GIA'!G38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1 trục dài 660mm</t>
        </is>
      </c>
    </row>
    <row r="45">
      <c r="A45" t="inlineStr">
        <is>
          <t>SW-DAMPER-037-BEARING</t>
        </is>
      </c>
      <c r="B45" t="inlineStr">
        <is>
          <t>SW-DAMPER-037</t>
        </is>
      </c>
      <c r="C45" t="inlineStr">
        <is>
          <t>Bạc đồng D10</t>
        </is>
      </c>
      <c r="D45" t="inlineStr">
        <is>
          <t>PHỤ_KIỆN_VAN</t>
        </is>
      </c>
      <c r="E45" t="inlineStr">
        <is>
          <t>MAT-DAMPER-BAC-DONG-D10</t>
        </is>
      </c>
      <c r="F45" t="inlineStr">
        <is>
          <t>Đôi</t>
        </is>
      </c>
      <c r="G45" s="20" t="n">
        <v>1</v>
      </c>
      <c r="H45" s="16">
        <f>'00_TONG_HOP_BAO_GIA'!G38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1 đôi bạc đỡ 2 bên thân</t>
        </is>
      </c>
    </row>
    <row r="46">
      <c r="A46" t="inlineStr">
        <is>
          <t>SW-DAMPER-037-FUSE</t>
        </is>
      </c>
      <c r="B46" t="inlineStr">
        <is>
          <t>SW-DAMPER-037</t>
        </is>
      </c>
      <c r="C46" t="inlineStr">
        <is>
          <t>Cầu chì nhiệt nóng chảy 70°C/74°C (Elsie/USA)</t>
        </is>
      </c>
      <c r="D46" t="inlineStr">
        <is>
          <t>PHỤ_KIỆN_VAN</t>
        </is>
      </c>
      <c r="E46" t="inlineStr">
        <is>
          <t>MAT-DAMPER-CAU-CHI-USA-2-400X400</t>
        </is>
      </c>
      <c r="F46" t="inlineStr">
        <is>
          <t>Cái</t>
        </is>
      </c>
      <c r="G46" s="20" t="n">
        <v>1</v>
      </c>
      <c r="H46" s="16">
        <f>'00_TONG_HOP_BAO_GIA'!G38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Cầu chì kiểm định PCCC (1 cái)</t>
        </is>
      </c>
    </row>
    <row r="47">
      <c r="A47" t="inlineStr">
        <is>
          <t>SW-DAMPER-037-FB10-BODY</t>
        </is>
      </c>
      <c r="B47" t="inlineStr">
        <is>
          <t>SW-DAMPER-037</t>
        </is>
      </c>
      <c r="C47" t="inlineStr">
        <is>
          <t>Tấm chống cháy dày 10mm bọc thân van FD/MFD (2 lớp)</t>
        </is>
      </c>
      <c r="D47" t="inlineStr">
        <is>
          <t>VẬT_LIỆU_CÁCH_NHIỆT</t>
        </is>
      </c>
      <c r="E47" t="inlineStr">
        <is>
          <t>MAT-FIREBOARD-10MM-BODY</t>
        </is>
      </c>
      <c r="F47" t="inlineStr">
        <is>
          <t>m2</t>
        </is>
      </c>
      <c r="G47" s="20" t="n">
        <v>1.221778428485671</v>
      </c>
      <c r="H47" s="16">
        <f>'00_TONG_HOP_BAO_GIA'!G38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Bọc 2 lớp tấm 10mm quanh thân L=300mm</t>
        </is>
      </c>
    </row>
    <row r="48">
      <c r="A48" t="inlineStr">
        <is>
          <t>SW-DAMPER-037-FB20-BLADE</t>
        </is>
      </c>
      <c r="B48" t="inlineStr">
        <is>
          <t>SW-DAMPER-037</t>
        </is>
      </c>
      <c r="C48" t="inlineStr">
        <is>
          <t>Tấm chống cháy dày 20mm làm lõi cánh van FD/MFD</t>
        </is>
      </c>
      <c r="D48" t="inlineStr">
        <is>
          <t>VẬT_LIỆU_CÁCH_NHIỆT</t>
        </is>
      </c>
      <c r="E48" t="inlineStr">
        <is>
          <t>MAT-FIREBOARD-20MM-BLADE</t>
        </is>
      </c>
      <c r="F48" t="inlineStr">
        <is>
          <t>m2</t>
        </is>
      </c>
      <c r="G48" s="20" t="n">
        <v>0.2036297380809452</v>
      </c>
      <c r="H48" s="16">
        <f>'00_TONG_HOP_BAO_GIA'!G38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Lõi cánh tấm 20mm (Cánh đơn 600x300mm)</t>
        </is>
      </c>
    </row>
    <row r="49">
      <c r="A49" t="inlineStr">
        <is>
          <t>SW-DAMPER-037-FB10-BLADE</t>
        </is>
      </c>
      <c r="B49" t="inlineStr">
        <is>
          <t>SW-DAMPER-037</t>
        </is>
      </c>
      <c r="C49" t="inlineStr">
        <is>
          <t>Tấm chống cháy dày 10mm ốp 2 mặt cánh van FD/MFD</t>
        </is>
      </c>
      <c r="D49" t="inlineStr">
        <is>
          <t>VẬT_LIỆU_CÁCH_NHIỆT</t>
        </is>
      </c>
      <c r="E49" t="inlineStr">
        <is>
          <t>MAT-FIREBOARD-10MM-BLADE</t>
        </is>
      </c>
      <c r="F49" t="inlineStr">
        <is>
          <t>m2</t>
        </is>
      </c>
      <c r="G49" s="20" t="n">
        <v>0.4072594761618904</v>
      </c>
      <c r="H49" s="16">
        <f>'00_TONG_HOP_BAO_GIA'!G38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Ốp 2 mặt cánh tấm 10mm (Cánh đơn 600x300mm)</t>
        </is>
      </c>
    </row>
    <row r="50">
      <c r="A50" t="inlineStr">
        <is>
          <t>SW-DAMPER-037-SPRING-BOX</t>
        </is>
      </c>
      <c r="B50" t="inlineStr">
        <is>
          <t>SW-DAMPER-037</t>
        </is>
      </c>
      <c r="C50" t="inlineStr">
        <is>
          <t>Hộp lò xo van chặn lửa FD/MFD</t>
        </is>
      </c>
      <c r="D50" t="inlineStr">
        <is>
          <t>PHỤ_KIỆN_VAN</t>
        </is>
      </c>
      <c r="E50" t="inlineStr">
        <is>
          <t>MAT-DAMPER-HOP-LO-XO</t>
        </is>
      </c>
      <c r="F50" t="inlineStr">
        <is>
          <t>Bộ</t>
        </is>
      </c>
      <c r="G50" s="20" t="n">
        <v>1</v>
      </c>
      <c r="H50" s="16">
        <f>'00_TONG_HOP_BAO_GIA'!G38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Hộp lò xo cơ cấu đóng sập (1 bộ)</t>
        </is>
      </c>
    </row>
    <row r="51">
      <c r="A51" t="inlineStr">
        <is>
          <t>SW-DAMPER-037-SILICON-BOLT</t>
        </is>
      </c>
      <c r="B51" t="inlineStr">
        <is>
          <t>SW-DAMPER-037</t>
        </is>
      </c>
      <c r="C51" t="inlineStr">
        <is>
          <t>Silicon chống cháy + bu lông, ốc vít van FD/MFD</t>
        </is>
      </c>
      <c r="D51" t="inlineStr">
        <is>
          <t>PHỤ_KIỆN_VAN</t>
        </is>
      </c>
      <c r="E51" t="inlineStr">
        <is>
          <t>MAT-DAMPER-SILICON-BULONG-VIT</t>
        </is>
      </c>
      <c r="F51" t="inlineStr">
        <is>
          <t>Bộ</t>
        </is>
      </c>
      <c r="G51" s="20" t="n">
        <v>1</v>
      </c>
      <c r="H51" s="16">
        <f>'00_TONG_HOP_BAO_GIA'!G38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Keo silicon chống cháy &amp; phụ kiện lắp ghép (1 bộ)</t>
        </is>
      </c>
    </row>
    <row r="52">
      <c r="A52" t="inlineStr">
        <is>
          <t>SW-DAMPER-038-BODY</t>
        </is>
      </c>
      <c r="B52" t="inlineStr">
        <is>
          <t>SW-DAMPER-038</t>
        </is>
      </c>
      <c r="C52" t="inlineStr">
        <is>
          <t>Thân vỏ van FD bích C30/TDF (1.15mm)</t>
        </is>
      </c>
      <c r="D52" t="inlineStr">
        <is>
          <t>TÔN_CUỘN_MẠ_KẼM</t>
        </is>
      </c>
      <c r="E52" t="inlineStr">
        <is>
          <t>MAT-STEEL-PN-1.15</t>
        </is>
      </c>
      <c r="F52" t="inlineStr">
        <is>
          <t>kg</t>
        </is>
      </c>
      <c r="G52" s="20" t="n">
        <v>3.631013245392698</v>
      </c>
      <c r="H52" s="16">
        <f>'00_TONG_HOP_BAO_GIA'!G39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Kích thước vỏ 350x250x200mm</t>
        </is>
      </c>
    </row>
    <row r="53">
      <c r="A53" t="inlineStr">
        <is>
          <t>SW-DAMPER-038-BLADE</t>
        </is>
      </c>
      <c r="B53" t="inlineStr">
        <is>
          <t>SW-DAMPER-038</t>
        </is>
      </c>
      <c r="C53" t="inlineStr">
        <is>
          <t>Lá cánh / Tôn tấm bọc van (1 cánh)</t>
        </is>
      </c>
      <c r="D53" t="inlineStr">
        <is>
          <t>TÔN_CUỘN_MẠ_KẼM</t>
        </is>
      </c>
      <c r="E53" t="inlineStr">
        <is>
          <t>MAT-STEEL-PN-1.15</t>
        </is>
      </c>
      <c r="F53" t="inlineStr">
        <is>
          <t>kg</t>
        </is>
      </c>
      <c r="G53" s="20" t="n">
        <v>1.807553387790072</v>
      </c>
      <c r="H53" s="16">
        <f>'00_TONG_HOP_BAO_GIA'!G39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Tôn bọc cánh &amp; thân (1 cánh/modul)</t>
        </is>
      </c>
    </row>
    <row r="54">
      <c r="A54" t="inlineStr">
        <is>
          <t>SW-DAMPER-038-AXLE</t>
        </is>
      </c>
      <c r="B54" t="inlineStr">
        <is>
          <t>SW-DAMPER-038</t>
        </is>
      </c>
      <c r="C54" t="inlineStr">
        <is>
          <t>Trục Sus 201 D10</t>
        </is>
      </c>
      <c r="D54" t="inlineStr">
        <is>
          <t>PHỤ_KIỆN_VAN</t>
        </is>
      </c>
      <c r="E54" t="inlineStr">
        <is>
          <t>MAT-DAMPER-TRUC-SUS-201-D10</t>
        </is>
      </c>
      <c r="F54" t="inlineStr">
        <is>
          <t>m</t>
        </is>
      </c>
      <c r="G54" s="20" t="n">
        <v>0.4691043329470616</v>
      </c>
      <c r="H54" s="16">
        <f>'00_TONG_HOP_BAO_GIA'!G39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1 trục dài 410mm</t>
        </is>
      </c>
    </row>
    <row r="55">
      <c r="A55" t="inlineStr">
        <is>
          <t>SW-DAMPER-038-BEARING</t>
        </is>
      </c>
      <c r="B55" t="inlineStr">
        <is>
          <t>SW-DAMPER-038</t>
        </is>
      </c>
      <c r="C55" t="inlineStr">
        <is>
          <t>Bạc đồng D10</t>
        </is>
      </c>
      <c r="D55" t="inlineStr">
        <is>
          <t>PHỤ_KIỆN_VAN</t>
        </is>
      </c>
      <c r="E55" t="inlineStr">
        <is>
          <t>MAT-DAMPER-BAC-DONG-D10</t>
        </is>
      </c>
      <c r="F55" t="inlineStr">
        <is>
          <t>Đôi</t>
        </is>
      </c>
      <c r="G55" s="20" t="n">
        <v>1</v>
      </c>
      <c r="H55" s="16">
        <f>'00_TONG_HOP_BAO_GIA'!G39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1 đôi bạc đỡ 2 bên thân</t>
        </is>
      </c>
    </row>
    <row r="56">
      <c r="A56" t="inlineStr">
        <is>
          <t>SW-DAMPER-038-FUSE</t>
        </is>
      </c>
      <c r="B56" t="inlineStr">
        <is>
          <t>SW-DAMPER-038</t>
        </is>
      </c>
      <c r="C56" t="inlineStr">
        <is>
          <t>Cầu chì nhiệt nóng chảy 70°C/74°C (Elsie/USA)</t>
        </is>
      </c>
      <c r="D56" t="inlineStr">
        <is>
          <t>PHỤ_KIỆN_VAN</t>
        </is>
      </c>
      <c r="E56" t="inlineStr">
        <is>
          <t>MAT-DAMPER-CAU-CHI-USA-1-400X400</t>
        </is>
      </c>
      <c r="F56" t="inlineStr">
        <is>
          <t>Cái</t>
        </is>
      </c>
      <c r="G56" s="20" t="n">
        <v>1</v>
      </c>
      <c r="H56" s="16">
        <f>'00_TONG_HOP_BAO_GIA'!G39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Cầu chì kiểm định PCCC (1 cái)</t>
        </is>
      </c>
    </row>
    <row r="57">
      <c r="A57" t="inlineStr">
        <is>
          <t>SW-DAMPER-038-FB10-BODY</t>
        </is>
      </c>
      <c r="B57" t="inlineStr">
        <is>
          <t>SW-DAMPER-038</t>
        </is>
      </c>
      <c r="C57" t="inlineStr">
        <is>
          <t>Tấm chống cháy dày 10mm bọc thân van FD/MFD (2 lớp)</t>
        </is>
      </c>
      <c r="D57" t="inlineStr">
        <is>
          <t>VẬT_LIỆU_CÁCH_NHIỆT</t>
        </is>
      </c>
      <c r="E57" t="inlineStr">
        <is>
          <t>MAT-FIREBOARD-10MM-BODY</t>
        </is>
      </c>
      <c r="F57" t="inlineStr">
        <is>
          <t>m2</t>
        </is>
      </c>
      <c r="G57" s="20" t="n">
        <v>0.8237929749314252</v>
      </c>
      <c r="H57" s="16">
        <f>'00_TONG_HOP_BAO_GIA'!G39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Bọc 2 lớp tấm 10mm quanh thân L=300mm</t>
        </is>
      </c>
    </row>
    <row r="58">
      <c r="A58" t="inlineStr">
        <is>
          <t>SW-DAMPER-038-FB20-BLADE</t>
        </is>
      </c>
      <c r="B58" t="inlineStr">
        <is>
          <t>SW-DAMPER-038</t>
        </is>
      </c>
      <c r="C58" t="inlineStr">
        <is>
          <t>Tấm chống cháy dày 20mm làm lõi cánh van FD/MFD</t>
        </is>
      </c>
      <c r="D58" t="inlineStr">
        <is>
          <t>VẬT_LIỆU_CÁCH_NHIỆT</t>
        </is>
      </c>
      <c r="E58" t="inlineStr">
        <is>
          <t>MAT-FIREBOARD-20MM-BLADE</t>
        </is>
      </c>
      <c r="F58" t="inlineStr">
        <is>
          <t>m2</t>
        </is>
      </c>
      <c r="G58" s="20" t="n">
        <v>0.1001137295923607</v>
      </c>
      <c r="H58" s="16">
        <f>'00_TONG_HOP_BAO_GIA'!G39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Lõi cánh tấm 20mm (Cánh đơn 350x250mm)</t>
        </is>
      </c>
    </row>
    <row r="59">
      <c r="A59" t="inlineStr">
        <is>
          <t>SW-DAMPER-038-FB10-BLADE</t>
        </is>
      </c>
      <c r="B59" t="inlineStr">
        <is>
          <t>SW-DAMPER-038</t>
        </is>
      </c>
      <c r="C59" t="inlineStr">
        <is>
          <t>Tấm chống cháy dày 10mm ốp 2 mặt cánh van FD/MFD</t>
        </is>
      </c>
      <c r="D59" t="inlineStr">
        <is>
          <t>VẬT_LIỆU_CÁCH_NHIỆT</t>
        </is>
      </c>
      <c r="E59" t="inlineStr">
        <is>
          <t>MAT-FIREBOARD-10MM-BLADE</t>
        </is>
      </c>
      <c r="F59" t="inlineStr">
        <is>
          <t>m2</t>
        </is>
      </c>
      <c r="G59" s="20" t="n">
        <v>0.2002274591847214</v>
      </c>
      <c r="H59" s="16">
        <f>'00_TONG_HOP_BAO_GIA'!G39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Ốp 2 mặt cánh tấm 10mm (Cánh đơn 350x250mm)</t>
        </is>
      </c>
    </row>
    <row r="60">
      <c r="A60" t="inlineStr">
        <is>
          <t>SW-DAMPER-038-SPRING-BOX</t>
        </is>
      </c>
      <c r="B60" t="inlineStr">
        <is>
          <t>SW-DAMPER-038</t>
        </is>
      </c>
      <c r="C60" t="inlineStr">
        <is>
          <t>Hộp lò xo van chặn lửa FD/MFD</t>
        </is>
      </c>
      <c r="D60" t="inlineStr">
        <is>
          <t>PHỤ_KIỆN_VAN</t>
        </is>
      </c>
      <c r="E60" t="inlineStr">
        <is>
          <t>MAT-DAMPER-HOP-LO-XO</t>
        </is>
      </c>
      <c r="F60" t="inlineStr">
        <is>
          <t>Bộ</t>
        </is>
      </c>
      <c r="G60" s="20" t="n">
        <v>1</v>
      </c>
      <c r="H60" s="16">
        <f>'00_TONG_HOP_BAO_GIA'!G39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Hộp lò xo cơ cấu đóng sập (1 bộ)</t>
        </is>
      </c>
    </row>
    <row r="61">
      <c r="A61" t="inlineStr">
        <is>
          <t>SW-DAMPER-038-SILICON-BOLT</t>
        </is>
      </c>
      <c r="B61" t="inlineStr">
        <is>
          <t>SW-DAMPER-038</t>
        </is>
      </c>
      <c r="C61" t="inlineStr">
        <is>
          <t>Silicon chống cháy + bu lông, ốc vít van FD/MFD</t>
        </is>
      </c>
      <c r="D61" t="inlineStr">
        <is>
          <t>PHỤ_KIỆN_VAN</t>
        </is>
      </c>
      <c r="E61" t="inlineStr">
        <is>
          <t>MAT-DAMPER-SILICON-BULONG-VIT</t>
        </is>
      </c>
      <c r="F61" t="inlineStr">
        <is>
          <t>Bộ</t>
        </is>
      </c>
      <c r="G61" s="20" t="n">
        <v>1</v>
      </c>
      <c r="H61" s="16">
        <f>'00_TONG_HOP_BAO_GIA'!G39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Keo silicon chống cháy &amp; phụ kiện lắp ghép (1 bộ)</t>
        </is>
      </c>
    </row>
    <row r="62">
      <c r="A62" t="inlineStr">
        <is>
          <t>SW-DAMPER-039-BODY</t>
        </is>
      </c>
      <c r="B62" t="inlineStr">
        <is>
          <t>SW-DAMPER-039</t>
        </is>
      </c>
      <c r="C62" t="inlineStr">
        <is>
          <t>Thân vỏ van MFD bích C30/TDF (1.15mm)</t>
        </is>
      </c>
      <c r="D62" t="inlineStr">
        <is>
          <t>TÔN_CUỘN_MẠ_KẼM</t>
        </is>
      </c>
      <c r="E62" t="inlineStr">
        <is>
          <t>MAT-STEEL-PN-1.15</t>
        </is>
      </c>
      <c r="F62" t="inlineStr">
        <is>
          <t>kg</t>
        </is>
      </c>
      <c r="G62" s="20" t="n">
        <v>10.69191722255552</v>
      </c>
      <c r="H62" s="16">
        <f>'00_TONG_HOP_BAO_GIA'!G40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Kích thước vỏ 1200x500x200mm</t>
        </is>
      </c>
    </row>
    <row r="63">
      <c r="A63" t="inlineStr">
        <is>
          <t>SW-DAMPER-039-BLADE</t>
        </is>
      </c>
      <c r="B63" t="inlineStr">
        <is>
          <t>SW-DAMPER-039</t>
        </is>
      </c>
      <c r="C63" t="inlineStr">
        <is>
          <t>Lá cánh / Tôn tấm bọc van (1 cánh)</t>
        </is>
      </c>
      <c r="D63" t="inlineStr">
        <is>
          <t>TÔN_CUỘN_MẠ_KẼM</t>
        </is>
      </c>
      <c r="E63" t="inlineStr">
        <is>
          <t>MAT-STEEL-PN-1.15</t>
        </is>
      </c>
      <c r="F63" t="inlineStr">
        <is>
          <t>kg</t>
        </is>
      </c>
      <c r="G63" s="20" t="n">
        <v>13.15604432454229</v>
      </c>
      <c r="H63" s="16">
        <f>'00_TONG_HOP_BAO_GIA'!G40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Tôn bọc cánh &amp; thân (1 cánh/modul)</t>
        </is>
      </c>
    </row>
    <row r="64">
      <c r="A64" t="inlineStr">
        <is>
          <t>SW-DAMPER-039-AXLE</t>
        </is>
      </c>
      <c r="B64" t="inlineStr">
        <is>
          <t>SW-DAMPER-039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20" t="n">
        <v>1.530196238246404</v>
      </c>
      <c r="H64" s="16">
        <f>'00_TONG_HOP_BAO_GIA'!G40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1 trục dài 1260mm</t>
        </is>
      </c>
    </row>
    <row r="65">
      <c r="A65" t="inlineStr">
        <is>
          <t>SW-DAMPER-039-BEARING</t>
        </is>
      </c>
      <c r="B65" t="inlineStr">
        <is>
          <t>SW-DAMPER-039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20" t="n">
        <v>1</v>
      </c>
      <c r="H65" s="16">
        <f>'00_TONG_HOP_BAO_GIA'!G40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1 đôi bạc đỡ 2 bên thân</t>
        </is>
      </c>
    </row>
    <row r="66">
      <c r="A66" t="inlineStr">
        <is>
          <t>SW-DAMPER-039-ACTUATOR</t>
        </is>
      </c>
      <c r="B66" t="inlineStr">
        <is>
          <t>SW-DAMPER-039</t>
        </is>
      </c>
      <c r="C66" t="inlineStr">
        <is>
          <t>Động cơ chặn lửa ON/OFF KLB (Swin V6006FS500S EI90) 5Nm</t>
        </is>
      </c>
      <c r="D66" t="inlineStr">
        <is>
          <t>ĐỘNG_CƠ_VÀ_CẢM_BIẾN</t>
        </is>
      </c>
      <c r="E66" t="inlineStr">
        <is>
          <t>MAT-ACTUATOR-KLB-V6006FS500S</t>
        </is>
      </c>
      <c r="F66" t="inlineStr">
        <is>
          <t>Cái</t>
        </is>
      </c>
      <c r="G66" s="20" t="n">
        <v>1</v>
      </c>
      <c r="H66" s="16">
        <f>'00_TONG_HOP_BAO_GIA'!G40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Động cơ lò xo phản hồi MFD (1 bộ)</t>
        </is>
      </c>
    </row>
    <row r="67">
      <c r="A67" t="inlineStr">
        <is>
          <t>SW-DAMPER-039-FB10-BODY</t>
        </is>
      </c>
      <c r="B67" t="inlineStr">
        <is>
          <t>SW-DAMPER-039</t>
        </is>
      </c>
      <c r="C67" t="inlineStr">
        <is>
          <t>Tấm chống cháy dày 10mm bọc thân van FD/MFD (2 lớp)</t>
        </is>
      </c>
      <c r="D67" t="inlineStr">
        <is>
          <t>VẬT_LIỆU_CÁCH_NHIỆT</t>
        </is>
      </c>
      <c r="E67" t="inlineStr">
        <is>
          <t>MAT-FIREBOARD-10MM-BODY</t>
        </is>
      </c>
      <c r="F67" t="inlineStr">
        <is>
          <t>m2</t>
        </is>
      </c>
      <c r="G67" s="20" t="n">
        <v>2.477460576208464</v>
      </c>
      <c r="H67" s="16">
        <f>'00_TONG_HOP_BAO_GIA'!G40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Bọc 2 lớp tấm 10mm quanh thân L=300mm</t>
        </is>
      </c>
    </row>
    <row r="68">
      <c r="A68" t="inlineStr">
        <is>
          <t>SW-DAMPER-039-FB20-BLADE</t>
        </is>
      </c>
      <c r="B68" t="inlineStr">
        <is>
          <t>SW-DAMPER-039</t>
        </is>
      </c>
      <c r="C68" t="inlineStr">
        <is>
          <t>Tấm chống cháy dày 20mm làm lõi cánh van FD/MFD</t>
        </is>
      </c>
      <c r="D68" t="inlineStr">
        <is>
          <t>VẬT_LIỆU_CÁCH_NHIỆT</t>
        </is>
      </c>
      <c r="E68" t="inlineStr">
        <is>
          <t>MAT-FIREBOARD-20MM-BLADE</t>
        </is>
      </c>
      <c r="F68" t="inlineStr">
        <is>
          <t>m2</t>
        </is>
      </c>
      <c r="G68" s="20" t="n">
        <v>0.7286648753554305</v>
      </c>
      <c r="H68" s="16">
        <f>'00_TONG_HOP_BAO_GIA'!G40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Lõi cánh tấm 20mm (Cánh đơn 1200x500mm)</t>
        </is>
      </c>
    </row>
    <row r="69">
      <c r="A69" t="inlineStr">
        <is>
          <t>SW-DAMPER-039-FB10-BLADE</t>
        </is>
      </c>
      <c r="B69" t="inlineStr">
        <is>
          <t>SW-DAMPER-039</t>
        </is>
      </c>
      <c r="C69" t="inlineStr">
        <is>
          <t>Tấm chống cháy dày 10mm ốp 2 mặt cánh van FD/MFD</t>
        </is>
      </c>
      <c r="D69" t="inlineStr">
        <is>
          <t>VẬT_LIỆU_CÁCH_NHIỆT</t>
        </is>
      </c>
      <c r="E69" t="inlineStr">
        <is>
          <t>MAT-FIREBOARD-10MM-BLADE</t>
        </is>
      </c>
      <c r="F69" t="inlineStr">
        <is>
          <t>m2</t>
        </is>
      </c>
      <c r="G69" s="20" t="n">
        <v>1.457329750710861</v>
      </c>
      <c r="H69" s="16">
        <f>'00_TONG_HOP_BAO_GIA'!G40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Ốp 2 mặt cánh tấm 10mm (Cánh đơn 1200x500mm)</t>
        </is>
      </c>
    </row>
    <row r="70">
      <c r="A70" t="inlineStr">
        <is>
          <t>SW-DAMPER-039-SPRING-BOX</t>
        </is>
      </c>
      <c r="B70" t="inlineStr">
        <is>
          <t>SW-DAMPER-039</t>
        </is>
      </c>
      <c r="C70" t="inlineStr">
        <is>
          <t>Hộp lò xo van chặn lửa FD/MFD</t>
        </is>
      </c>
      <c r="D70" t="inlineStr">
        <is>
          <t>PHỤ_KIỆN_VAN</t>
        </is>
      </c>
      <c r="E70" t="inlineStr">
        <is>
          <t>MAT-DAMPER-HOP-LO-XO</t>
        </is>
      </c>
      <c r="F70" t="inlineStr">
        <is>
          <t>Bộ</t>
        </is>
      </c>
      <c r="G70" s="20" t="n">
        <v>1</v>
      </c>
      <c r="H70" s="16">
        <f>'00_TONG_HOP_BAO_GIA'!G40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Hộp lò xo cơ cấu đóng sập (1 bộ)</t>
        </is>
      </c>
    </row>
    <row r="71">
      <c r="A71" t="inlineStr">
        <is>
          <t>SW-DAMPER-039-SILICON-BOLT</t>
        </is>
      </c>
      <c r="B71" t="inlineStr">
        <is>
          <t>SW-DAMPER-039</t>
        </is>
      </c>
      <c r="C71" t="inlineStr">
        <is>
          <t>Silicon chống cháy + bu lông, ốc vít van FD/MFD</t>
        </is>
      </c>
      <c r="D71" t="inlineStr">
        <is>
          <t>PHỤ_KIỆN_VAN</t>
        </is>
      </c>
      <c r="E71" t="inlineStr">
        <is>
          <t>MAT-DAMPER-SILICON-BULONG-VIT</t>
        </is>
      </c>
      <c r="F71" t="inlineStr">
        <is>
          <t>Bộ</t>
        </is>
      </c>
      <c r="G71" s="20" t="n">
        <v>1</v>
      </c>
      <c r="H71" s="16">
        <f>'00_TONG_HOP_BAO_GIA'!G40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Keo silicon chống cháy &amp; phụ kiện lắp ghép (1 bộ)</t>
        </is>
      </c>
    </row>
    <row r="72">
      <c r="A72" t="inlineStr">
        <is>
          <t>SW-DAMPER-040-BODY</t>
        </is>
      </c>
      <c r="B72" t="inlineStr">
        <is>
          <t>SW-DAMPER-040</t>
        </is>
      </c>
      <c r="C72" t="inlineStr">
        <is>
          <t>Thân vỏ van MFD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20" t="n">
        <v>20.93965810941627</v>
      </c>
      <c r="H72" s="16">
        <f>'00_TONG_HOP_BAO_GIA'!G41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Kích thước vỏ 1800x750x200mm (2 modul 900x750mm)</t>
        </is>
      </c>
    </row>
    <row r="73">
      <c r="A73" t="inlineStr">
        <is>
          <t>SW-DAMPER-040-BLADE</t>
        </is>
      </c>
      <c r="B73" t="inlineStr">
        <is>
          <t>SW-DAMPER-040</t>
        </is>
      </c>
      <c r="C73" t="inlineStr">
        <is>
          <t>Lá cánh / Tôn tấm bọc van (2 cánh)</t>
        </is>
      </c>
      <c r="D73" t="inlineStr">
        <is>
          <t>TÔN_CUỘN_MẠ_KẼM</t>
        </is>
      </c>
      <c r="E73" t="inlineStr">
        <is>
          <t>MAT-STEEL-PN-1.15</t>
        </is>
      </c>
      <c r="F73" t="inlineStr">
        <is>
          <t>kg</t>
        </is>
      </c>
      <c r="G73" s="20" t="n">
        <v>29.85408912092426</v>
      </c>
      <c r="H73" s="16">
        <f>'00_TONG_HOP_BAO_GIA'!G41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Tôn bọc cánh &amp; thân (1 cánh/modul (2 modul 900x750mm))</t>
        </is>
      </c>
    </row>
    <row r="74">
      <c r="A74" t="inlineStr">
        <is>
          <t>SW-DAMPER-040-AXLE</t>
        </is>
      </c>
      <c r="B74" t="inlineStr">
        <is>
          <t>SW-DAMPER-040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20" t="n">
        <v>2.351655994017235</v>
      </c>
      <c r="H74" s="16">
        <f>'00_TONG_HOP_BAO_GIA'!G41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2 trục dài 960mm</t>
        </is>
      </c>
    </row>
    <row r="75">
      <c r="A75" t="inlineStr">
        <is>
          <t>SW-DAMPER-040-BEARING</t>
        </is>
      </c>
      <c r="B75" t="inlineStr">
        <is>
          <t>SW-DAMPER-040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20" t="n">
        <v>2</v>
      </c>
      <c r="H75" s="16">
        <f>'00_TONG_HOP_BAO_GIA'!G41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2 đôi bạc đỡ 2 bên thân</t>
        </is>
      </c>
    </row>
    <row r="76">
      <c r="A76" t="inlineStr">
        <is>
          <t>SW-DAMPER-040-ACTUATOR</t>
        </is>
      </c>
      <c r="B76" t="inlineStr">
        <is>
          <t>SW-DAMPER-040</t>
        </is>
      </c>
      <c r="C76" t="inlineStr">
        <is>
          <t>Động cơ chặn lửa ON/OFF KLB (Swin V6006FS500S EI90) 5Nm</t>
        </is>
      </c>
      <c r="D76" t="inlineStr">
        <is>
          <t>ĐỘNG_CƠ_VÀ_CẢM_BIẾN</t>
        </is>
      </c>
      <c r="E76" t="inlineStr">
        <is>
          <t>MAT-ACTUATOR-KLB-V6006FS500S</t>
        </is>
      </c>
      <c r="F76" t="inlineStr">
        <is>
          <t>Cái</t>
        </is>
      </c>
      <c r="G76" s="20" t="n">
        <v>2</v>
      </c>
      <c r="H76" s="16">
        <f>'00_TONG_HOP_BAO_GIA'!G41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Động cơ lò xo phản hồi MFD (2 bộ (2 modul 900x750mm))</t>
        </is>
      </c>
    </row>
    <row r="77">
      <c r="A77" t="inlineStr">
        <is>
          <t>SW-DAMPER-040-FB10-BODY</t>
        </is>
      </c>
      <c r="B77" t="inlineStr">
        <is>
          <t>SW-DAMPER-040</t>
        </is>
      </c>
      <c r="C77" t="inlineStr">
        <is>
          <t>Tấm chống cháy dày 10mm bọc thân van FD/MFD (2 lớp)</t>
        </is>
      </c>
      <c r="D77" t="inlineStr">
        <is>
          <t>VẬT_LIỆU_CÁCH_NHIỆT</t>
        </is>
      </c>
      <c r="E77" t="inlineStr">
        <is>
          <t>MAT-FIREBOARD-10MM-BODY</t>
        </is>
      </c>
      <c r="F77" t="inlineStr">
        <is>
          <t>m2</t>
        </is>
      </c>
      <c r="G77" s="20" t="n">
        <v>4.850290487660547</v>
      </c>
      <c r="H77" s="16">
        <f>'00_TONG_HOP_BAO_GIA'!G41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Bọc 2 lớp tấm 10mm quanh thân L=300mm (2 modul 900x750mm)</t>
        </is>
      </c>
    </row>
    <row r="78">
      <c r="A78" t="inlineStr">
        <is>
          <t>SW-DAMPER-040-FB20-BLADE</t>
        </is>
      </c>
      <c r="B78" t="inlineStr">
        <is>
          <t>SW-DAMPER-040</t>
        </is>
      </c>
      <c r="C78" t="inlineStr">
        <is>
          <t>Tấm chống cháy dày 20mm làm lõi cánh van FD/MFD</t>
        </is>
      </c>
      <c r="D78" t="inlineStr">
        <is>
          <t>VẬT_LIỆU_CÁCH_NHIỆT</t>
        </is>
      </c>
      <c r="E78" t="inlineStr">
        <is>
          <t>MAT-FIREBOARD-20MM-BLADE</t>
        </is>
      </c>
      <c r="F78" t="inlineStr">
        <is>
          <t>m2</t>
        </is>
      </c>
      <c r="G78" s="20" t="n">
        <v>1.653508120793368</v>
      </c>
      <c r="H78" s="16">
        <f>'00_TONG_HOP_BAO_GIA'!G41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Lõi cánh tấm 20mm (Cánh đơn 900x750mm (2 modul 900x750mm))</t>
        </is>
      </c>
    </row>
    <row r="79">
      <c r="A79" t="inlineStr">
        <is>
          <t>SW-DAMPER-040-FB10-BLADE</t>
        </is>
      </c>
      <c r="B79" t="inlineStr">
        <is>
          <t>SW-DAMPER-040</t>
        </is>
      </c>
      <c r="C79" t="inlineStr">
        <is>
          <t>Tấm chống cháy dày 10mm ốp 2 mặt cánh van FD/MFD</t>
        </is>
      </c>
      <c r="D79" t="inlineStr">
        <is>
          <t>VẬT_LIỆU_CÁCH_NHIỆT</t>
        </is>
      </c>
      <c r="E79" t="inlineStr">
        <is>
          <t>MAT-FIREBOARD-10MM-BLADE</t>
        </is>
      </c>
      <c r="F79" t="inlineStr">
        <is>
          <t>m2</t>
        </is>
      </c>
      <c r="G79" s="20" t="n">
        <v>3.307016241586737</v>
      </c>
      <c r="H79" s="16">
        <f>'00_TONG_HOP_BAO_GIA'!G41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Ốp 2 mặt cánh tấm 10mm (Cánh đơn 900x750mm (2 modul 900x750mm))</t>
        </is>
      </c>
    </row>
    <row r="80">
      <c r="A80" t="inlineStr">
        <is>
          <t>SW-DAMPER-040-SPRING-BOX</t>
        </is>
      </c>
      <c r="B80" t="inlineStr">
        <is>
          <t>SW-DAMPER-040</t>
        </is>
      </c>
      <c r="C80" t="inlineStr">
        <is>
          <t>Hộp lò xo van chặn lửa FD/MFD</t>
        </is>
      </c>
      <c r="D80" t="inlineStr">
        <is>
          <t>PHỤ_KIỆN_VAN</t>
        </is>
      </c>
      <c r="E80" t="inlineStr">
        <is>
          <t>MAT-DAMPER-HOP-LO-XO</t>
        </is>
      </c>
      <c r="F80" t="inlineStr">
        <is>
          <t>Bộ</t>
        </is>
      </c>
      <c r="G80" s="20" t="n">
        <v>2</v>
      </c>
      <c r="H80" s="16">
        <f>'00_TONG_HOP_BAO_GIA'!G41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Hộp lò xo cơ cấu đóng sập (2 bộ)</t>
        </is>
      </c>
    </row>
    <row r="81">
      <c r="A81" t="inlineStr">
        <is>
          <t>SW-DAMPER-040-SILICON-BOLT</t>
        </is>
      </c>
      <c r="B81" t="inlineStr">
        <is>
          <t>SW-DAMPER-040</t>
        </is>
      </c>
      <c r="C81" t="inlineStr">
        <is>
          <t>Silicon chống cháy + bu lông, ốc vít van FD/MFD</t>
        </is>
      </c>
      <c r="D81" t="inlineStr">
        <is>
          <t>PHỤ_KIỆN_VAN</t>
        </is>
      </c>
      <c r="E81" t="inlineStr">
        <is>
          <t>MAT-DAMPER-SILICON-BULONG-VIT</t>
        </is>
      </c>
      <c r="F81" t="inlineStr">
        <is>
          <t>Bộ</t>
        </is>
      </c>
      <c r="G81" s="20" t="n">
        <v>2</v>
      </c>
      <c r="H81" s="16">
        <f>'00_TONG_HOP_BAO_GIA'!G41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Keo silicon chống cháy &amp; phụ kiện lắp ghép (2 bộ)</t>
        </is>
      </c>
    </row>
    <row r="82">
      <c r="A82" t="inlineStr">
        <is>
          <t>SW-DAMPER-041-BODY</t>
        </is>
      </c>
      <c r="B82" t="inlineStr">
        <is>
          <t>SW-DAMPER-041</t>
        </is>
      </c>
      <c r="C82" t="inlineStr">
        <is>
          <t>Thân vỏ van MFD bích C30/TDF (1.15mm)</t>
        </is>
      </c>
      <c r="D82" t="inlineStr">
        <is>
          <t>TÔN_CUỘN_MẠ_KẼM</t>
        </is>
      </c>
      <c r="E82" t="inlineStr">
        <is>
          <t>MAT-STEEL-PN-1.15</t>
        </is>
      </c>
      <c r="F82" t="inlineStr">
        <is>
          <t>kg</t>
        </is>
      </c>
      <c r="G82" s="20" t="n">
        <v>40.50791291021071</v>
      </c>
      <c r="H82" s="16">
        <f>'00_TONG_HOP_BAO_GIA'!G42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Kích thước vỏ 2000x1200x200mm (4 modul 1000x600mm)</t>
        </is>
      </c>
    </row>
    <row r="83">
      <c r="A83" t="inlineStr">
        <is>
          <t>SW-DAMPER-041-BLADE</t>
        </is>
      </c>
      <c r="B83" t="inlineStr">
        <is>
          <t>SW-DAMPER-041</t>
        </is>
      </c>
      <c r="C83" t="inlineStr">
        <is>
          <t>Lá cánh / Tôn tấm bọc van (4 cánh)</t>
        </is>
      </c>
      <c r="D83" t="inlineStr">
        <is>
          <t>TÔN_CUỘN_MẠ_KẼM</t>
        </is>
      </c>
      <c r="E83" t="inlineStr">
        <is>
          <t>MAT-STEEL-PN-1.15</t>
        </is>
      </c>
      <c r="F83" t="inlineStr">
        <is>
          <t>kg</t>
        </is>
      </c>
      <c r="G83" s="20" t="n">
        <v>52.92039050259417</v>
      </c>
      <c r="H83" s="16">
        <f>'00_TONG_HOP_BAO_GIA'!G42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Tôn bọc cánh &amp; thân (1 cánh/modul (4 modul 1000x600mm))</t>
        </is>
      </c>
    </row>
    <row r="84">
      <c r="A84" t="inlineStr">
        <is>
          <t>SW-DAMPER-041-AXLE</t>
        </is>
      </c>
      <c r="B84" t="inlineStr">
        <is>
          <t>SW-DAMPER-041</t>
        </is>
      </c>
      <c r="C84" t="inlineStr">
        <is>
          <t>Trục Sus 201 D10</t>
        </is>
      </c>
      <c r="D84" t="inlineStr">
        <is>
          <t>PHỤ_KIỆN_VAN</t>
        </is>
      </c>
      <c r="E84" t="inlineStr">
        <is>
          <t>MAT-DAMPER-TRUC-SUS-201-D10</t>
        </is>
      </c>
      <c r="F84" t="inlineStr">
        <is>
          <t>m</t>
        </is>
      </c>
      <c r="G84" s="20" t="n">
        <v>5.178216000438461</v>
      </c>
      <c r="H84" s="16">
        <f>'00_TONG_HOP_BAO_GIA'!G42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4 trục dài 1060mm</t>
        </is>
      </c>
    </row>
    <row r="85">
      <c r="A85" t="inlineStr">
        <is>
          <t>SW-DAMPER-041-BEARING</t>
        </is>
      </c>
      <c r="B85" t="inlineStr">
        <is>
          <t>SW-DAMPER-041</t>
        </is>
      </c>
      <c r="C85" t="inlineStr">
        <is>
          <t>Bạc đồng D10</t>
        </is>
      </c>
      <c r="D85" t="inlineStr">
        <is>
          <t>PHỤ_KIỆN_VAN</t>
        </is>
      </c>
      <c r="E85" t="inlineStr">
        <is>
          <t>MAT-DAMPER-BAC-DONG-D10</t>
        </is>
      </c>
      <c r="F85" t="inlineStr">
        <is>
          <t>Đôi</t>
        </is>
      </c>
      <c r="G85" s="20" t="n">
        <v>4</v>
      </c>
      <c r="H85" s="16">
        <f>'00_TONG_HOP_BAO_GIA'!G42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4 đôi bạc đỡ 2 bên thân</t>
        </is>
      </c>
    </row>
    <row r="86">
      <c r="A86" t="inlineStr">
        <is>
          <t>SW-DAMPER-041-ACTUATOR</t>
        </is>
      </c>
      <c r="B86" t="inlineStr">
        <is>
          <t>SW-DAMPER-041</t>
        </is>
      </c>
      <c r="C86" t="inlineStr">
        <is>
          <t>Động cơ chặn lửa ON/OFF KLB (Swin V6006FS500S EI90) 5Nm</t>
        </is>
      </c>
      <c r="D86" t="inlineStr">
        <is>
          <t>ĐỘNG_CƠ_VÀ_CẢM_BIẾN</t>
        </is>
      </c>
      <c r="E86" t="inlineStr">
        <is>
          <t>MAT-ACTUATOR-KLB-V6006FS500S</t>
        </is>
      </c>
      <c r="F86" t="inlineStr">
        <is>
          <t>Cái</t>
        </is>
      </c>
      <c r="G86" s="20" t="n">
        <v>4</v>
      </c>
      <c r="H86" s="16">
        <f>'00_TONG_HOP_BAO_GIA'!G42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Động cơ lò xo phản hồi MFD (4 bộ (4 modul 1000x600mm))</t>
        </is>
      </c>
    </row>
    <row r="87">
      <c r="A87" t="inlineStr">
        <is>
          <t>SW-DAMPER-041-FB10-BODY</t>
        </is>
      </c>
      <c r="B87" t="inlineStr">
        <is>
          <t>SW-DAMPER-041</t>
        </is>
      </c>
      <c r="C87" t="inlineStr">
        <is>
          <t>Tấm chống cháy dày 10mm bọc thân van FD/MFD (2 lớp)</t>
        </is>
      </c>
      <c r="D87" t="inlineStr">
        <is>
          <t>VẬT_LIỆU_CÁCH_NHIỆT</t>
        </is>
      </c>
      <c r="E87" t="inlineStr">
        <is>
          <t>MAT-FIREBOARD-10MM-BODY</t>
        </is>
      </c>
      <c r="F87" t="inlineStr">
        <is>
          <t>m2</t>
        </is>
      </c>
      <c r="G87" s="20" t="n">
        <v>9.37941011400174</v>
      </c>
      <c r="H87" s="16">
        <f>'00_TONG_HOP_BAO_GIA'!G42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Bọc 2 lớp tấm 10mm quanh thân L=300mm (4 modul 1000x600mm)</t>
        </is>
      </c>
    </row>
    <row r="88">
      <c r="A88" t="inlineStr">
        <is>
          <t>SW-DAMPER-041-FB20-BLADE</t>
        </is>
      </c>
      <c r="B88" t="inlineStr">
        <is>
          <t>SW-DAMPER-041</t>
        </is>
      </c>
      <c r="C88" t="inlineStr">
        <is>
          <t>Tấm chống cháy dày 20mm làm lõi cánh van FD/MFD</t>
        </is>
      </c>
      <c r="D88" t="inlineStr">
        <is>
          <t>VẬT_LIỆU_CÁCH_NHIỆT</t>
        </is>
      </c>
      <c r="E88" t="inlineStr">
        <is>
          <t>MAT-FIREBOARD-20MM-BLADE</t>
        </is>
      </c>
      <c r="F88" t="inlineStr">
        <is>
          <t>m2</t>
        </is>
      </c>
      <c r="G88" s="20" t="n">
        <v>2.931065660625543</v>
      </c>
      <c r="H88" s="16">
        <f>'00_TONG_HOP_BAO_GIA'!G42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Lõi cánh tấm 20mm (Cánh đơn 1000x600mm (4 modul 1000x600mm))</t>
        </is>
      </c>
    </row>
    <row r="89">
      <c r="A89" t="inlineStr">
        <is>
          <t>SW-DAMPER-041-FB10-BLADE</t>
        </is>
      </c>
      <c r="B89" t="inlineStr">
        <is>
          <t>SW-DAMPER-041</t>
        </is>
      </c>
      <c r="C89" t="inlineStr">
        <is>
          <t>Tấm chống cháy dày 10mm ốp 2 mặt cánh van FD/MFD</t>
        </is>
      </c>
      <c r="D89" t="inlineStr">
        <is>
          <t>VẬT_LIỆU_CÁCH_NHIỆT</t>
        </is>
      </c>
      <c r="E89" t="inlineStr">
        <is>
          <t>MAT-FIREBOARD-10MM-BLADE</t>
        </is>
      </c>
      <c r="F89" t="inlineStr">
        <is>
          <t>m2</t>
        </is>
      </c>
      <c r="G89" s="20" t="n">
        <v>5.862131321251087</v>
      </c>
      <c r="H89" s="16">
        <f>'00_TONG_HOP_BAO_GIA'!G42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Ốp 2 mặt cánh tấm 10mm (Cánh đơn 1000x600mm (4 modul 1000x600mm))</t>
        </is>
      </c>
    </row>
    <row r="90">
      <c r="A90" t="inlineStr">
        <is>
          <t>SW-DAMPER-041-SPRING-BOX</t>
        </is>
      </c>
      <c r="B90" t="inlineStr">
        <is>
          <t>SW-DAMPER-041</t>
        </is>
      </c>
      <c r="C90" t="inlineStr">
        <is>
          <t>Hộp lò xo van chặn lửa FD/MFD</t>
        </is>
      </c>
      <c r="D90" t="inlineStr">
        <is>
          <t>PHỤ_KIỆN_VAN</t>
        </is>
      </c>
      <c r="E90" t="inlineStr">
        <is>
          <t>MAT-DAMPER-HOP-LO-XO</t>
        </is>
      </c>
      <c r="F90" t="inlineStr">
        <is>
          <t>Bộ</t>
        </is>
      </c>
      <c r="G90" s="20" t="n">
        <v>4</v>
      </c>
      <c r="H90" s="16">
        <f>'00_TONG_HOP_BAO_GIA'!G42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Hộp lò xo cơ cấu đóng sập (4 bộ)</t>
        </is>
      </c>
    </row>
    <row r="91">
      <c r="A91" t="inlineStr">
        <is>
          <t>SW-DAMPER-041-SILICON-BOLT</t>
        </is>
      </c>
      <c r="B91" t="inlineStr">
        <is>
          <t>SW-DAMPER-041</t>
        </is>
      </c>
      <c r="C91" t="inlineStr">
        <is>
          <t>Silicon chống cháy + bu lông, ốc vít van FD/MFD</t>
        </is>
      </c>
      <c r="D91" t="inlineStr">
        <is>
          <t>PHỤ_KIỆN_VAN</t>
        </is>
      </c>
      <c r="E91" t="inlineStr">
        <is>
          <t>MAT-DAMPER-SILICON-BULONG-VIT</t>
        </is>
      </c>
      <c r="F91" t="inlineStr">
        <is>
          <t>Bộ</t>
        </is>
      </c>
      <c r="G91" s="20" t="n">
        <v>4</v>
      </c>
      <c r="H91" s="16">
        <f>'00_TONG_HOP_BAO_GIA'!G42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Keo silicon chống cháy &amp; phụ kiện lắp ghép (4 bộ)</t>
        </is>
      </c>
    </row>
    <row r="92">
      <c r="A92" t="inlineStr">
        <is>
          <t>SW-DAMPER-042-BODY</t>
        </is>
      </c>
      <c r="B92" t="inlineStr">
        <is>
          <t>SW-DAMPER-042</t>
        </is>
      </c>
      <c r="C92" t="inlineStr">
        <is>
          <t>Thân vỏ van MFD bích C30/TDF (1.15mm)</t>
        </is>
      </c>
      <c r="D92" t="inlineStr">
        <is>
          <t>TÔN_CUỘN_MẠ_KẼM</t>
        </is>
      </c>
      <c r="E92" t="inlineStr">
        <is>
          <t>MAT-STEEL-PN-1.15</t>
        </is>
      </c>
      <c r="F92" t="inlineStr">
        <is>
          <t>kg</t>
        </is>
      </c>
      <c r="G92" s="20" t="n">
        <v>3.029807820958935</v>
      </c>
      <c r="H92" s="16">
        <f>'00_TONG_HOP_BAO_GIA'!G43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Kích thước vỏ 200x200x200mm</t>
        </is>
      </c>
    </row>
    <row r="93">
      <c r="A93" t="inlineStr">
        <is>
          <t>SW-DAMPER-042-BLADE</t>
        </is>
      </c>
      <c r="B93" t="inlineStr">
        <is>
          <t>SW-DAMPER-042</t>
        </is>
      </c>
      <c r="C93" t="inlineStr">
        <is>
          <t>Lá cánh / Tôn tấm bọc van (1 cánh)</t>
        </is>
      </c>
      <c r="D93" t="inlineStr">
        <is>
          <t>TÔN_CUỘN_MẠ_KẼM</t>
        </is>
      </c>
      <c r="E93" t="inlineStr">
        <is>
          <t>MAT-STEEL-PN-1.15</t>
        </is>
      </c>
      <c r="F93" t="inlineStr">
        <is>
          <t>kg</t>
        </is>
      </c>
      <c r="G93" s="20" t="n">
        <v>1.017824076915742</v>
      </c>
      <c r="H93" s="16">
        <f>'00_TONG_HOP_BAO_GIA'!G43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Tôn bọc cánh &amp; thân (1 cánh/modul)</t>
        </is>
      </c>
    </row>
    <row r="94">
      <c r="A94" t="inlineStr">
        <is>
          <t>SW-DAMPER-042-AXLE</t>
        </is>
      </c>
      <c r="B94" t="inlineStr">
        <is>
          <t>SW-DAMPER-042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20" t="n">
        <v>0.3664279423955871</v>
      </c>
      <c r="H94" s="16">
        <f>'00_TONG_HOP_BAO_GIA'!G43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1 trục dài 260mm</t>
        </is>
      </c>
    </row>
    <row r="95">
      <c r="A95" t="inlineStr">
        <is>
          <t>SW-DAMPER-042-BEARING</t>
        </is>
      </c>
      <c r="B95" t="inlineStr">
        <is>
          <t>SW-DAMPER-042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20" t="n">
        <v>1</v>
      </c>
      <c r="H95" s="16">
        <f>'00_TONG_HOP_BAO_GIA'!G43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1 đôi bạc đỡ 2 bên thân</t>
        </is>
      </c>
    </row>
    <row r="96">
      <c r="A96" t="inlineStr">
        <is>
          <t>SW-DAMPER-042-ACTUATOR</t>
        </is>
      </c>
      <c r="B96" t="inlineStr">
        <is>
          <t>SW-DAMPER-042</t>
        </is>
      </c>
      <c r="C96" t="inlineStr">
        <is>
          <t>Động cơ chặn lửa ON/OFF KLB (Swin V6006FS500S EI90) 5Nm</t>
        </is>
      </c>
      <c r="D96" t="inlineStr">
        <is>
          <t>ĐỘNG_CƠ_VÀ_CẢM_BIẾN</t>
        </is>
      </c>
      <c r="E96" t="inlineStr">
        <is>
          <t>MAT-ACTUATOR-KLB-V6006FS500S</t>
        </is>
      </c>
      <c r="F96" t="inlineStr">
        <is>
          <t>Cái</t>
        </is>
      </c>
      <c r="G96" s="20" t="n">
        <v>1</v>
      </c>
      <c r="H96" s="16">
        <f>'00_TONG_HOP_BAO_GIA'!G43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Động cơ lò xo phản hồi MFD (1 bộ)</t>
        </is>
      </c>
    </row>
    <row r="97">
      <c r="A97" t="inlineStr">
        <is>
          <t>SW-DAMPER-042-FB10-BODY</t>
        </is>
      </c>
      <c r="B97" t="inlineStr">
        <is>
          <t>SW-DAMPER-042</t>
        </is>
      </c>
      <c r="C97" t="inlineStr">
        <is>
          <t>Tấm chống cháy dày 10mm bọc thân van FD/MFD (2 lớp)</t>
        </is>
      </c>
      <c r="D97" t="inlineStr">
        <is>
          <t>VẬT_LIỆU_CÁCH_NHIỆT</t>
        </is>
      </c>
      <c r="E97" t="inlineStr">
        <is>
          <t>MAT-FIREBOARD-10MM-BODY</t>
        </is>
      </c>
      <c r="F97" t="inlineStr">
        <is>
          <t>m2</t>
        </is>
      </c>
      <c r="G97" s="20" t="n">
        <v>0.6764823551918531</v>
      </c>
      <c r="H97" s="16">
        <f>'00_TONG_HOP_BAO_GIA'!G43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Bọc 2 lớp tấm 10mm quanh thân L=300mm</t>
        </is>
      </c>
    </row>
    <row r="98">
      <c r="A98" t="inlineStr">
        <is>
          <t>SW-DAMPER-042-FB20-BLADE</t>
        </is>
      </c>
      <c r="B98" t="inlineStr">
        <is>
          <t>SW-DAMPER-042</t>
        </is>
      </c>
      <c r="C98" t="inlineStr">
        <is>
          <t>Tấm chống cháy dày 20mm làm lõi cánh van FD/MFD</t>
        </is>
      </c>
      <c r="D98" t="inlineStr">
        <is>
          <t>VẬT_LIỆU_CÁCH_NHIỆT</t>
        </is>
      </c>
      <c r="E98" t="inlineStr">
        <is>
          <t>MAT-FIREBOARD-20MM-BLADE</t>
        </is>
      </c>
      <c r="F98" t="inlineStr">
        <is>
          <t>m2</t>
        </is>
      </c>
      <c r="G98" s="20" t="n">
        <v>0.0563735295993211</v>
      </c>
      <c r="H98" s="16">
        <f>'00_TONG_HOP_BAO_GIA'!G43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Lõi cánh tấm 20mm (Cánh đơn 200x200mm)</t>
        </is>
      </c>
    </row>
    <row r="99">
      <c r="A99" t="inlineStr">
        <is>
          <t>SW-DAMPER-042-FB10-BLADE</t>
        </is>
      </c>
      <c r="B99" t="inlineStr">
        <is>
          <t>SW-DAMPER-042</t>
        </is>
      </c>
      <c r="C99" t="inlineStr">
        <is>
          <t>Tấm chống cháy dày 10mm ốp 2 mặt cánh van FD/MFD</t>
        </is>
      </c>
      <c r="D99" t="inlineStr">
        <is>
          <t>VẬT_LIỆU_CÁCH_NHIỆT</t>
        </is>
      </c>
      <c r="E99" t="inlineStr">
        <is>
          <t>MAT-FIREBOARD-10MM-BLADE</t>
        </is>
      </c>
      <c r="F99" t="inlineStr">
        <is>
          <t>m2</t>
        </is>
      </c>
      <c r="G99" s="20" t="n">
        <v>0.1127470591986422</v>
      </c>
      <c r="H99" s="16">
        <f>'00_TONG_HOP_BAO_GIA'!G43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Ốp 2 mặt cánh tấm 10mm (Cánh đơn 200x200mm)</t>
        </is>
      </c>
    </row>
    <row r="100">
      <c r="A100" t="inlineStr">
        <is>
          <t>SW-DAMPER-042-SPRING-BOX</t>
        </is>
      </c>
      <c r="B100" t="inlineStr">
        <is>
          <t>SW-DAMPER-042</t>
        </is>
      </c>
      <c r="C100" t="inlineStr">
        <is>
          <t>Hộp lò xo van chặn lửa FD/MFD</t>
        </is>
      </c>
      <c r="D100" t="inlineStr">
        <is>
          <t>PHỤ_KIỆN_VAN</t>
        </is>
      </c>
      <c r="E100" t="inlineStr">
        <is>
          <t>MAT-DAMPER-HOP-LO-XO</t>
        </is>
      </c>
      <c r="F100" t="inlineStr">
        <is>
          <t>Bộ</t>
        </is>
      </c>
      <c r="G100" s="20" t="n">
        <v>1</v>
      </c>
      <c r="H100" s="16">
        <f>'00_TONG_HOP_BAO_GIA'!G43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Hộp lò xo cơ cấu đóng sập (1 bộ)</t>
        </is>
      </c>
    </row>
    <row r="101">
      <c r="A101" t="inlineStr">
        <is>
          <t>SW-DAMPER-042-SILICON-BOLT</t>
        </is>
      </c>
      <c r="B101" t="inlineStr">
        <is>
          <t>SW-DAMPER-042</t>
        </is>
      </c>
      <c r="C101" t="inlineStr">
        <is>
          <t>Silicon chống cháy + bu lông, ốc vít van FD/MFD</t>
        </is>
      </c>
      <c r="D101" t="inlineStr">
        <is>
          <t>PHỤ_KIỆN_VAN</t>
        </is>
      </c>
      <c r="E101" t="inlineStr">
        <is>
          <t>MAT-DAMPER-SILICON-BULONG-VIT</t>
        </is>
      </c>
      <c r="F101" t="inlineStr">
        <is>
          <t>Bộ</t>
        </is>
      </c>
      <c r="G101" s="20" t="n">
        <v>1</v>
      </c>
      <c r="H101" s="16">
        <f>'00_TONG_HOP_BAO_GIA'!G43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Keo silicon chống cháy &amp; phụ kiện lắp ghép (1 bộ)</t>
        </is>
      </c>
    </row>
    <row r="102">
      <c r="A102" t="inlineStr">
        <is>
          <t>SW-DAMPER-043-BODY</t>
        </is>
      </c>
      <c r="B102" t="inlineStr">
        <is>
          <t>SW-DAMPER-043</t>
        </is>
      </c>
      <c r="C102" t="inlineStr">
        <is>
          <t>Thân vỏ van MFD bích C30/TDF (1.15mm)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0" t="n">
        <v>3.582547799160102</v>
      </c>
      <c r="H102" s="16">
        <f>'00_TONG_HOP_BAO_GIA'!G44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Kích thước vỏ 300x200x200mm</t>
        </is>
      </c>
    </row>
    <row r="103">
      <c r="A103" t="inlineStr">
        <is>
          <t>SW-DAMPER-043-BLADE</t>
        </is>
      </c>
      <c r="B103" t="inlineStr">
        <is>
          <t>SW-DAMPER-043</t>
        </is>
      </c>
      <c r="C103" t="inlineStr">
        <is>
          <t>Lá cánh / Tôn tấm bọc van (1 cánh)</t>
        </is>
      </c>
      <c r="D103" t="inlineStr">
        <is>
          <t>TÔN_CUỘN_MẠ_KẼM</t>
        </is>
      </c>
      <c r="E103" t="inlineStr">
        <is>
          <t>MAT-STEEL-PN-1.15</t>
        </is>
      </c>
      <c r="F103" t="inlineStr">
        <is>
          <t>kg</t>
        </is>
      </c>
      <c r="G103" s="20" t="n">
        <v>1.458098412356573</v>
      </c>
      <c r="H103" s="16">
        <f>'00_TONG_HOP_BAO_GIA'!G44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Tôn bọc cánh &amp; thân (1 cánh/modul)</t>
        </is>
      </c>
    </row>
    <row r="104">
      <c r="A104" t="inlineStr">
        <is>
          <t>SW-DAMPER-043-AXLE</t>
        </is>
      </c>
      <c r="B104" t="inlineStr">
        <is>
          <t>SW-DAMPER-043</t>
        </is>
      </c>
      <c r="C104" t="inlineStr">
        <is>
          <t>Trục Sus 201 D10</t>
        </is>
      </c>
      <c r="D104" t="inlineStr">
        <is>
          <t>PHỤ_KIỆN_VAN</t>
        </is>
      </c>
      <c r="E104" t="inlineStr">
        <is>
          <t>MAT-DAMPER-TRUC-SUS-201-D10</t>
        </is>
      </c>
      <c r="F104" t="inlineStr">
        <is>
          <t>m</t>
        </is>
      </c>
      <c r="G104" s="20" t="n">
        <v>0.484552227867042</v>
      </c>
      <c r="H104" s="16">
        <f>'00_TONG_HOP_BAO_GIA'!G44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1 trục dài 360mm</t>
        </is>
      </c>
    </row>
    <row r="105">
      <c r="A105" t="inlineStr">
        <is>
          <t>SW-DAMPER-043-BEARING</t>
        </is>
      </c>
      <c r="B105" t="inlineStr">
        <is>
          <t>SW-DAMPER-043</t>
        </is>
      </c>
      <c r="C105" t="inlineStr">
        <is>
          <t>Bạc đồng D10</t>
        </is>
      </c>
      <c r="D105" t="inlineStr">
        <is>
          <t>PHỤ_KIỆN_VAN</t>
        </is>
      </c>
      <c r="E105" t="inlineStr">
        <is>
          <t>MAT-DAMPER-BAC-DONG-D10</t>
        </is>
      </c>
      <c r="F105" t="inlineStr">
        <is>
          <t>Đôi</t>
        </is>
      </c>
      <c r="G105" s="20" t="n">
        <v>1</v>
      </c>
      <c r="H105" s="16">
        <f>'00_TONG_HOP_BAO_GIA'!G44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1 đôi bạc đỡ 2 bên thân</t>
        </is>
      </c>
    </row>
    <row r="106">
      <c r="A106" t="inlineStr">
        <is>
          <t>SW-DAMPER-043-ACTUATOR</t>
        </is>
      </c>
      <c r="B106" t="inlineStr">
        <is>
          <t>SW-DAMPER-043</t>
        </is>
      </c>
      <c r="C106" t="inlineStr">
        <is>
          <t>Động cơ chặn lửa ON/OFF KLB (Swin V6006FS500S EI90) 5Nm</t>
        </is>
      </c>
      <c r="D106" t="inlineStr">
        <is>
          <t>ĐỘNG_CƠ_VÀ_CẢM_BIẾN</t>
        </is>
      </c>
      <c r="E106" t="inlineStr">
        <is>
          <t>MAT-ACTUATOR-KLB-V6006FS500S</t>
        </is>
      </c>
      <c r="F106" t="inlineStr">
        <is>
          <t>Cái</t>
        </is>
      </c>
      <c r="G106" s="20" t="n">
        <v>1</v>
      </c>
      <c r="H106" s="16">
        <f>'00_TONG_HOP_BAO_GIA'!G44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Động cơ lò xo phản hồi MFD (1 bộ)</t>
        </is>
      </c>
    </row>
    <row r="107">
      <c r="A107" t="inlineStr">
        <is>
          <t>SW-DAMPER-043-FB10-BODY</t>
        </is>
      </c>
      <c r="B107" t="inlineStr">
        <is>
          <t>SW-DAMPER-043</t>
        </is>
      </c>
      <c r="C107" t="inlineStr">
        <is>
          <t>Tấm chống cháy dày 10mm bọc thân van FD/MFD (2 lớp)</t>
        </is>
      </c>
      <c r="D107" t="inlineStr">
        <is>
          <t>VẬT_LIỆU_CÁCH_NHIỆT</t>
        </is>
      </c>
      <c r="E107" t="inlineStr">
        <is>
          <t>MAT-FIREBOARD-10MM-BODY</t>
        </is>
      </c>
      <c r="F107" t="inlineStr">
        <is>
          <t>m2</t>
        </is>
      </c>
      <c r="G107" s="20" t="n">
        <v>0.80758704644507</v>
      </c>
      <c r="H107" s="16">
        <f>'00_TONG_HOP_BAO_GIA'!G44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Bọc 2 lớp tấm 10mm quanh thân L=300mm</t>
        </is>
      </c>
    </row>
    <row r="108">
      <c r="A108" t="inlineStr">
        <is>
          <t>SW-DAMPER-043-FB20-BLADE</t>
        </is>
      </c>
      <c r="B108" t="inlineStr">
        <is>
          <t>SW-DAMPER-043</t>
        </is>
      </c>
      <c r="C108" t="inlineStr">
        <is>
          <t>Tấm chống cháy dày 20mm làm lõi cánh van FD/MFD</t>
        </is>
      </c>
      <c r="D108" t="inlineStr">
        <is>
          <t>VẬT_LIỆU_CÁCH_NHIỆT</t>
        </is>
      </c>
      <c r="E108" t="inlineStr">
        <is>
          <t>MAT-FIREBOARD-20MM-BLADE</t>
        </is>
      </c>
      <c r="F108" t="inlineStr">
        <is>
          <t>m2</t>
        </is>
      </c>
      <c r="G108" s="20" t="n">
        <v>0.080758704644507</v>
      </c>
      <c r="H108" s="16">
        <f>'00_TONG_HOP_BAO_GIA'!G44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Lõi cánh tấm 20mm (Cánh đơn 300x200mm)</t>
        </is>
      </c>
    </row>
    <row r="109">
      <c r="A109" t="inlineStr">
        <is>
          <t>SW-DAMPER-043-FB10-BLADE</t>
        </is>
      </c>
      <c r="B109" t="inlineStr">
        <is>
          <t>SW-DAMPER-043</t>
        </is>
      </c>
      <c r="C109" t="inlineStr">
        <is>
          <t>Tấm chống cháy dày 10mm ốp 2 mặt cánh van FD/MFD</t>
        </is>
      </c>
      <c r="D109" t="inlineStr">
        <is>
          <t>VẬT_LIỆU_CÁCH_NHIỆT</t>
        </is>
      </c>
      <c r="E109" t="inlineStr">
        <is>
          <t>MAT-FIREBOARD-10MM-BLADE</t>
        </is>
      </c>
      <c r="F109" t="inlineStr">
        <is>
          <t>m2</t>
        </is>
      </c>
      <c r="G109" s="20" t="n">
        <v>0.161517409289014</v>
      </c>
      <c r="H109" s="16">
        <f>'00_TONG_HOP_BAO_GIA'!G44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Ốp 2 mặt cánh tấm 10mm (Cánh đơn 300x200mm)</t>
        </is>
      </c>
    </row>
    <row r="110">
      <c r="A110" t="inlineStr">
        <is>
          <t>SW-DAMPER-043-SPRING-BOX</t>
        </is>
      </c>
      <c r="B110" t="inlineStr">
        <is>
          <t>SW-DAMPER-043</t>
        </is>
      </c>
      <c r="C110" t="inlineStr">
        <is>
          <t>Hộp lò xo van chặn lửa FD/MFD</t>
        </is>
      </c>
      <c r="D110" t="inlineStr">
        <is>
          <t>PHỤ_KIỆN_VAN</t>
        </is>
      </c>
      <c r="E110" t="inlineStr">
        <is>
          <t>MAT-DAMPER-HOP-LO-XO</t>
        </is>
      </c>
      <c r="F110" t="inlineStr">
        <is>
          <t>Bộ</t>
        </is>
      </c>
      <c r="G110" s="20" t="n">
        <v>1</v>
      </c>
      <c r="H110" s="16">
        <f>'00_TONG_HOP_BAO_GIA'!G44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Hộp lò xo cơ cấu đóng sập (1 bộ)</t>
        </is>
      </c>
    </row>
    <row r="111">
      <c r="A111" t="inlineStr">
        <is>
          <t>SW-DAMPER-043-SILICON-BOLT</t>
        </is>
      </c>
      <c r="B111" t="inlineStr">
        <is>
          <t>SW-DAMPER-043</t>
        </is>
      </c>
      <c r="C111" t="inlineStr">
        <is>
          <t>Silicon chống cháy + bu lông, ốc vít van FD/MFD</t>
        </is>
      </c>
      <c r="D111" t="inlineStr">
        <is>
          <t>PHỤ_KIỆN_VAN</t>
        </is>
      </c>
      <c r="E111" t="inlineStr">
        <is>
          <t>MAT-DAMPER-SILICON-BULONG-VIT</t>
        </is>
      </c>
      <c r="F111" t="inlineStr">
        <is>
          <t>Bộ</t>
        </is>
      </c>
      <c r="G111" s="20" t="n">
        <v>1</v>
      </c>
      <c r="H111" s="16">
        <f>'00_TONG_HOP_BAO_GIA'!G44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Keo silicon chống cháy &amp; phụ kiện lắp ghép (1 bộ)</t>
        </is>
      </c>
    </row>
    <row r="112">
      <c r="A112" t="inlineStr">
        <is>
          <t>SW-DAMPER-044-BODY</t>
        </is>
      </c>
      <c r="B112" t="inlineStr">
        <is>
          <t>SW-DAMPER-044</t>
        </is>
      </c>
      <c r="C112" t="inlineStr">
        <is>
          <t>Thân vỏ van MFD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20" t="n">
        <v>262.205887014725</v>
      </c>
      <c r="H112" s="16">
        <f>'00_TONG_HOP_BAO_GIA'!G45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Kích thước vỏ 3900x4500x200mm (24 modul 975x750mm)</t>
        </is>
      </c>
    </row>
    <row r="113">
      <c r="A113" t="inlineStr">
        <is>
          <t>SW-DAMPER-044-BLADE</t>
        </is>
      </c>
      <c r="B113" t="inlineStr">
        <is>
          <t>SW-DAMPER-044</t>
        </is>
      </c>
      <c r="C113" t="inlineStr">
        <is>
          <t>Lá cánh / Tôn tấm bọc van (24 cánh)</t>
        </is>
      </c>
      <c r="D113" t="inlineStr">
        <is>
          <t>TÔN_CUỘN_MẠ_KẼM</t>
        </is>
      </c>
      <c r="E113" t="inlineStr">
        <is>
          <t>MAT-STEEL-PN-1.15</t>
        </is>
      </c>
      <c r="F113" t="inlineStr">
        <is>
          <t>kg</t>
        </is>
      </c>
      <c r="G113" s="20" t="n">
        <v>387.5786295528521</v>
      </c>
      <c r="H113" s="16">
        <f>'00_TONG_HOP_BAO_GIA'!G45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Tôn bọc cánh &amp; thân (1 cánh/modul (24 modul 975x750mm))</t>
        </is>
      </c>
    </row>
    <row r="114">
      <c r="A114" t="inlineStr">
        <is>
          <t>SW-DAMPER-044-AXLE</t>
        </is>
      </c>
      <c r="B114" t="inlineStr">
        <is>
          <t>SW-DAMPER-044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0" t="n">
        <v>30.38343004823927</v>
      </c>
      <c r="H114" s="16">
        <f>'00_TONG_HOP_BAO_GIA'!G45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24 trục dài 1035mm</t>
        </is>
      </c>
    </row>
    <row r="115">
      <c r="A115" t="inlineStr">
        <is>
          <t>SW-DAMPER-044-BEARING</t>
        </is>
      </c>
      <c r="B115" t="inlineStr">
        <is>
          <t>SW-DAMPER-044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0" t="n">
        <v>24</v>
      </c>
      <c r="H115" s="16">
        <f>'00_TONG_HOP_BAO_GIA'!G45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24 đôi bạc đỡ 2 bên thân</t>
        </is>
      </c>
    </row>
    <row r="116">
      <c r="A116" t="inlineStr">
        <is>
          <t>SW-DAMPER-044-ACTUATOR</t>
        </is>
      </c>
      <c r="B116" t="inlineStr">
        <is>
          <t>SW-DAMPER-044</t>
        </is>
      </c>
      <c r="C116" t="inlineStr">
        <is>
          <t>Động cơ chặn lửa ON/OFF KLB (Swin V6006FS500S EI90) 5Nm</t>
        </is>
      </c>
      <c r="D116" t="inlineStr">
        <is>
          <t>ĐỘNG_CƠ_VÀ_CẢM_BIẾN</t>
        </is>
      </c>
      <c r="E116" t="inlineStr">
        <is>
          <t>MAT-ACTUATOR-KLB-V6006FS500S</t>
        </is>
      </c>
      <c r="F116" t="inlineStr">
        <is>
          <t>Cái</t>
        </is>
      </c>
      <c r="G116" s="20" t="n">
        <v>24</v>
      </c>
      <c r="H116" s="16">
        <f>'00_TONG_HOP_BAO_GIA'!G45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Động cơ lò xo phản hồi MFD (24 bộ (24 modul 975x750mm))</t>
        </is>
      </c>
    </row>
    <row r="117">
      <c r="A117" t="inlineStr">
        <is>
          <t>SW-DAMPER-044-FB10-BODY</t>
        </is>
      </c>
      <c r="B117" t="inlineStr">
        <is>
          <t>SW-DAMPER-044</t>
        </is>
      </c>
      <c r="C117" t="inlineStr">
        <is>
          <t>Tấm chống cháy dày 10mm bọc thân van FD/MFD (2 lớp)</t>
        </is>
      </c>
      <c r="D117" t="inlineStr">
        <is>
          <t>VẬT_LIỆU_CÁCH_NHIỆT</t>
        </is>
      </c>
      <c r="E117" t="inlineStr">
        <is>
          <t>MAT-FIREBOARD-10MM-BODY</t>
        </is>
      </c>
      <c r="F117" t="inlineStr">
        <is>
          <t>m2</t>
        </is>
      </c>
      <c r="G117" s="20" t="n">
        <v>60.76686009647855</v>
      </c>
      <c r="H117" s="16">
        <f>'00_TONG_HOP_BAO_GIA'!G45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Bọc 2 lớp tấm 10mm quanh thân L=300mm (24 modul 975x750mm)</t>
        </is>
      </c>
    </row>
    <row r="118">
      <c r="A118" t="inlineStr">
        <is>
          <t>SW-DAMPER-044-FB20-BLADE</t>
        </is>
      </c>
      <c r="B118" t="inlineStr">
        <is>
          <t>SW-DAMPER-044</t>
        </is>
      </c>
      <c r="C118" t="inlineStr">
        <is>
          <t>Tấm chống cháy dày 20mm làm lõi cánh van FD/MFD</t>
        </is>
      </c>
      <c r="D118" t="inlineStr">
        <is>
          <t>VẬT_LIỆU_CÁCH_NHIỆT</t>
        </is>
      </c>
      <c r="E118" t="inlineStr">
        <is>
          <t>MAT-FIREBOARD-20MM-BLADE</t>
        </is>
      </c>
      <c r="F118" t="inlineStr">
        <is>
          <t>m2</t>
        </is>
      </c>
      <c r="G118" s="20" t="n">
        <v>21.46655383842992</v>
      </c>
      <c r="H118" s="16">
        <f>'00_TONG_HOP_BAO_GIA'!G45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Lõi cánh tấm 20mm (Cánh đơn 975x750mm (24 modul 975x750mm))</t>
        </is>
      </c>
    </row>
    <row r="119">
      <c r="A119" t="inlineStr">
        <is>
          <t>SW-DAMPER-044-FB10-BLADE</t>
        </is>
      </c>
      <c r="B119" t="inlineStr">
        <is>
          <t>SW-DAMPER-044</t>
        </is>
      </c>
      <c r="C119" t="inlineStr">
        <is>
          <t>Tấm chống cháy dày 10mm ốp 2 mặt cánh van FD/MFD</t>
        </is>
      </c>
      <c r="D119" t="inlineStr">
        <is>
          <t>VẬT_LIỆU_CÁCH_NHIỆT</t>
        </is>
      </c>
      <c r="E119" t="inlineStr">
        <is>
          <t>MAT-FIREBOARD-10MM-BLADE</t>
        </is>
      </c>
      <c r="F119" t="inlineStr">
        <is>
          <t>m2</t>
        </is>
      </c>
      <c r="G119" s="20" t="n">
        <v>42.93310767685984</v>
      </c>
      <c r="H119" s="16">
        <f>'00_TONG_HOP_BAO_GIA'!G45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Ốp 2 mặt cánh tấm 10mm (Cánh đơn 975x750mm (24 modul 975x750mm))</t>
        </is>
      </c>
    </row>
    <row r="120">
      <c r="A120" t="inlineStr">
        <is>
          <t>SW-DAMPER-044-SPRING-BOX</t>
        </is>
      </c>
      <c r="B120" t="inlineStr">
        <is>
          <t>SW-DAMPER-044</t>
        </is>
      </c>
      <c r="C120" t="inlineStr">
        <is>
          <t>Hộp lò xo van chặn lửa FD/MFD</t>
        </is>
      </c>
      <c r="D120" t="inlineStr">
        <is>
          <t>PHỤ_KIỆN_VAN</t>
        </is>
      </c>
      <c r="E120" t="inlineStr">
        <is>
          <t>MAT-DAMPER-HOP-LO-XO</t>
        </is>
      </c>
      <c r="F120" t="inlineStr">
        <is>
          <t>Bộ</t>
        </is>
      </c>
      <c r="G120" s="20" t="n">
        <v>24</v>
      </c>
      <c r="H120" s="16">
        <f>'00_TONG_HOP_BAO_GIA'!G45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Hộp lò xo cơ cấu đóng sập (24 bộ)</t>
        </is>
      </c>
    </row>
    <row r="121">
      <c r="A121" t="inlineStr">
        <is>
          <t>SW-DAMPER-044-SILICON-BOLT</t>
        </is>
      </c>
      <c r="B121" t="inlineStr">
        <is>
          <t>SW-DAMPER-044</t>
        </is>
      </c>
      <c r="C121" t="inlineStr">
        <is>
          <t>Silicon chống cháy + bu lông, ốc vít van FD/MFD</t>
        </is>
      </c>
      <c r="D121" t="inlineStr">
        <is>
          <t>PHỤ_KIỆN_VAN</t>
        </is>
      </c>
      <c r="E121" t="inlineStr">
        <is>
          <t>MAT-DAMPER-SILICON-BULONG-VIT</t>
        </is>
      </c>
      <c r="F121" t="inlineStr">
        <is>
          <t>Bộ</t>
        </is>
      </c>
      <c r="G121" s="20" t="n">
        <v>24</v>
      </c>
      <c r="H121" s="16">
        <f>'00_TONG_HOP_BAO_GIA'!G45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Keo silicon chống cháy &amp; phụ kiện lắp ghép (24 bộ)</t>
        </is>
      </c>
    </row>
    <row r="122">
      <c r="A122" t="inlineStr">
        <is>
          <t>SW-DAMPER-045-BODY</t>
        </is>
      </c>
      <c r="B122" t="inlineStr">
        <is>
          <t>SW-DAMPER-045</t>
        </is>
      </c>
      <c r="C122" t="inlineStr">
        <is>
          <t>Thân vỏ van MFD bích C30/TDF (1.15mm)</t>
        </is>
      </c>
      <c r="D122" t="inlineStr">
        <is>
          <t>TÔN_CUỘN_MẠ_KẼM</t>
        </is>
      </c>
      <c r="E122" t="inlineStr">
        <is>
          <t>MAT-STEEL-PN-1.15</t>
        </is>
      </c>
      <c r="F122" t="inlineStr">
        <is>
          <t>kg</t>
        </is>
      </c>
      <c r="G122" s="20" t="n">
        <v>5.919548391994504</v>
      </c>
      <c r="H122" s="16">
        <f>'00_TONG_HOP_BAO_GIA'!G46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Kích thước vỏ 500x400x200mm</t>
        </is>
      </c>
    </row>
    <row r="123">
      <c r="A123" t="inlineStr">
        <is>
          <t>SW-DAMPER-045-BLADE</t>
        </is>
      </c>
      <c r="B123" t="inlineStr">
        <is>
          <t>SW-DAMPER-045</t>
        </is>
      </c>
      <c r="C123" t="inlineStr">
        <is>
          <t>Lá cánh / Tôn tấm bọc van (1 cánh)</t>
        </is>
      </c>
      <c r="D123" t="inlineStr">
        <is>
          <t>TÔN_CUỘN_MẠ_KẼM</t>
        </is>
      </c>
      <c r="E123" t="inlineStr">
        <is>
          <t>MAT-STEEL-PN-1.15</t>
        </is>
      </c>
      <c r="F123" t="inlineStr">
        <is>
          <t>kg</t>
        </is>
      </c>
      <c r="G123" s="20" t="n">
        <v>4.539182878609387</v>
      </c>
      <c r="H123" s="16">
        <f>'00_TONG_HOP_BAO_GIA'!G46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Tôn bọc cánh &amp; thân (1 cánh/modul)</t>
        </is>
      </c>
    </row>
    <row r="124">
      <c r="A124" t="inlineStr">
        <is>
          <t>SW-DAMPER-045-AXLE</t>
        </is>
      </c>
      <c r="B124" t="inlineStr">
        <is>
          <t>SW-DAMPER-045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20" t="n">
        <v>0.7039441739189305</v>
      </c>
      <c r="H124" s="16">
        <f>'00_TONG_HOP_BAO_GIA'!G46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1 trục dài 560mm</t>
        </is>
      </c>
    </row>
    <row r="125">
      <c r="A125" t="inlineStr">
        <is>
          <t>SW-DAMPER-045-BEARING</t>
        </is>
      </c>
      <c r="B125" t="inlineStr">
        <is>
          <t>SW-DAMPER-045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20" t="n">
        <v>1</v>
      </c>
      <c r="H125" s="16">
        <f>'00_TONG_HOP_BAO_GIA'!G46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1 đôi bạc đỡ 2 bên thân</t>
        </is>
      </c>
    </row>
    <row r="126">
      <c r="A126" t="inlineStr">
        <is>
          <t>SW-DAMPER-045-ACTUATOR</t>
        </is>
      </c>
      <c r="B126" t="inlineStr">
        <is>
          <t>SW-DAMPER-045</t>
        </is>
      </c>
      <c r="C126" t="inlineStr">
        <is>
          <t>Động cơ chặn lửa ON/OFF KLB (Swin V6006FS500S EI90) 5Nm</t>
        </is>
      </c>
      <c r="D126" t="inlineStr">
        <is>
          <t>ĐỘNG_CƠ_VÀ_CẢM_BIẾN</t>
        </is>
      </c>
      <c r="E126" t="inlineStr">
        <is>
          <t>MAT-ACTUATOR-KLB-V6006FS500S</t>
        </is>
      </c>
      <c r="F126" t="inlineStr">
        <is>
          <t>Cái</t>
        </is>
      </c>
      <c r="G126" s="20" t="n">
        <v>1</v>
      </c>
      <c r="H126" s="16">
        <f>'00_TONG_HOP_BAO_GIA'!G46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Động cơ lò xo phản hồi MFD (1 bộ)</t>
        </is>
      </c>
    </row>
    <row r="127">
      <c r="A127" t="inlineStr">
        <is>
          <t>SW-DAMPER-045-FB10-BODY</t>
        </is>
      </c>
      <c r="B127" t="inlineStr">
        <is>
          <t>SW-DAMPER-045</t>
        </is>
      </c>
      <c r="C127" t="inlineStr">
        <is>
          <t>Tấm chống cháy dày 10mm bọc thân van FD/MFD (2 lớp)</t>
        </is>
      </c>
      <c r="D127" t="inlineStr">
        <is>
          <t>VẬT_LIỆU_CÁCH_NHIỆT</t>
        </is>
      </c>
      <c r="E127" t="inlineStr">
        <is>
          <t>MAT-FIREBOARD-10MM-BODY</t>
        </is>
      </c>
      <c r="F127" t="inlineStr">
        <is>
          <t>m2</t>
        </is>
      </c>
      <c r="G127" s="20" t="n">
        <v>1.357606621129366</v>
      </c>
      <c r="H127" s="16">
        <f>'00_TONG_HOP_BAO_GIA'!G46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Bọc 2 lớp tấm 10mm quanh thân L=300mm</t>
        </is>
      </c>
    </row>
    <row r="128">
      <c r="A128" t="inlineStr">
        <is>
          <t>SW-DAMPER-045-FB20-BLADE</t>
        </is>
      </c>
      <c r="B128" t="inlineStr">
        <is>
          <t>SW-DAMPER-045</t>
        </is>
      </c>
      <c r="C128" t="inlineStr">
        <is>
          <t>Tấm chống cháy dày 20mm làm lõi cánh van FD/MFD</t>
        </is>
      </c>
      <c r="D128" t="inlineStr">
        <is>
          <t>VẬT_LIỆU_CÁCH_NHIỆT</t>
        </is>
      </c>
      <c r="E128" t="inlineStr">
        <is>
          <t>MAT-FIREBOARD-20MM-BLADE</t>
        </is>
      </c>
      <c r="F128" t="inlineStr">
        <is>
          <t>m2</t>
        </is>
      </c>
      <c r="G128" s="20" t="n">
        <v>0.2514086335424752</v>
      </c>
      <c r="H128" s="16">
        <f>'00_TONG_HOP_BAO_GIA'!G46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Lõi cánh tấm 20mm (Cánh đơn 500x400mm)</t>
        </is>
      </c>
    </row>
    <row r="129">
      <c r="A129" t="inlineStr">
        <is>
          <t>SW-DAMPER-045-FB10-BLADE</t>
        </is>
      </c>
      <c r="B129" t="inlineStr">
        <is>
          <t>SW-DAMPER-045</t>
        </is>
      </c>
      <c r="C129" t="inlineStr">
        <is>
          <t>Tấm chống cháy dày 10mm ốp 2 mặt cánh van FD/MFD</t>
        </is>
      </c>
      <c r="D129" t="inlineStr">
        <is>
          <t>VẬT_LIỆU_CÁCH_NHIỆT</t>
        </is>
      </c>
      <c r="E129" t="inlineStr">
        <is>
          <t>MAT-FIREBOARD-10MM-BLADE</t>
        </is>
      </c>
      <c r="F129" t="inlineStr">
        <is>
          <t>m2</t>
        </is>
      </c>
      <c r="G129" s="20" t="n">
        <v>0.5028172670849503</v>
      </c>
      <c r="H129" s="16">
        <f>'00_TONG_HOP_BAO_GIA'!G46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Ốp 2 mặt cánh tấm 10mm (Cánh đơn 500x400mm)</t>
        </is>
      </c>
    </row>
    <row r="130">
      <c r="A130" t="inlineStr">
        <is>
          <t>SW-DAMPER-045-SPRING-BOX</t>
        </is>
      </c>
      <c r="B130" t="inlineStr">
        <is>
          <t>SW-DAMPER-045</t>
        </is>
      </c>
      <c r="C130" t="inlineStr">
        <is>
          <t>Hộp lò xo van chặn lửa FD/MFD</t>
        </is>
      </c>
      <c r="D130" t="inlineStr">
        <is>
          <t>PHỤ_KIỆN_VAN</t>
        </is>
      </c>
      <c r="E130" t="inlineStr">
        <is>
          <t>MAT-DAMPER-HOP-LO-XO</t>
        </is>
      </c>
      <c r="F130" t="inlineStr">
        <is>
          <t>Bộ</t>
        </is>
      </c>
      <c r="G130" s="20" t="n">
        <v>1</v>
      </c>
      <c r="H130" s="16">
        <f>'00_TONG_HOP_BAO_GIA'!G46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Hộp lò xo cơ cấu đóng sập (1 bộ)</t>
        </is>
      </c>
    </row>
    <row r="131">
      <c r="A131" t="inlineStr">
        <is>
          <t>SW-DAMPER-045-SILICON-BOLT</t>
        </is>
      </c>
      <c r="B131" t="inlineStr">
        <is>
          <t>SW-DAMPER-045</t>
        </is>
      </c>
      <c r="C131" t="inlineStr">
        <is>
          <t>Silicon chống cháy + bu lông, ốc vít van FD/MFD</t>
        </is>
      </c>
      <c r="D131" t="inlineStr">
        <is>
          <t>PHỤ_KIỆN_VAN</t>
        </is>
      </c>
      <c r="E131" t="inlineStr">
        <is>
          <t>MAT-DAMPER-SILICON-BULONG-VIT</t>
        </is>
      </c>
      <c r="F131" t="inlineStr">
        <is>
          <t>Bộ</t>
        </is>
      </c>
      <c r="G131" s="20" t="n">
        <v>1</v>
      </c>
      <c r="H131" s="16">
        <f>'00_TONG_HOP_BAO_GIA'!G46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Keo silicon chống cháy &amp; phụ kiện lắp ghép (1 bộ)</t>
        </is>
      </c>
    </row>
    <row r="132">
      <c r="A132" t="inlineStr">
        <is>
          <t>SW-DAMPER-046-BODY</t>
        </is>
      </c>
      <c r="B132" t="inlineStr">
        <is>
          <t>SW-DAMPER-046</t>
        </is>
      </c>
      <c r="C132" t="inlineStr">
        <is>
          <t>Thân vỏ van MFD bích C30/TDF (1.15mm)</t>
        </is>
      </c>
      <c r="D132" t="inlineStr">
        <is>
          <t>TÔN_CUỘN_MẠ_KẼM</t>
        </is>
      </c>
      <c r="E132" t="inlineStr">
        <is>
          <t>MAT-STEEL-PN-1.15</t>
        </is>
      </c>
      <c r="F132" t="inlineStr">
        <is>
          <t>kg</t>
        </is>
      </c>
      <c r="G132" s="20" t="n">
        <v>8.584949066486374</v>
      </c>
      <c r="H132" s="16">
        <f>'00_TONG_HOP_BAO_GIA'!G47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Kích thước vỏ 900x450x200mm</t>
        </is>
      </c>
    </row>
    <row r="133">
      <c r="A133" t="inlineStr">
        <is>
          <t>SW-DAMPER-046-BLADE</t>
        </is>
      </c>
      <c r="B133" t="inlineStr">
        <is>
          <t>SW-DAMPER-046</t>
        </is>
      </c>
      <c r="C133" t="inlineStr">
        <is>
          <t>Lá cánh / Tôn tấm bọc van (1 cánh)</t>
        </is>
      </c>
      <c r="D133" t="inlineStr">
        <is>
          <t>TÔN_CUỘN_MẠ_KẼM</t>
        </is>
      </c>
      <c r="E133" t="inlineStr">
        <is>
          <t>MAT-STEEL-PN-1.15</t>
        </is>
      </c>
      <c r="F133" t="inlineStr">
        <is>
          <t>kg</t>
        </is>
      </c>
      <c r="G133" s="20" t="n">
        <v>8.951980257024371</v>
      </c>
      <c r="H133" s="16">
        <f>'00_TONG_HOP_BAO_GIA'!G47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Tôn bọc cánh &amp; thân (1 cánh/modul)</t>
        </is>
      </c>
    </row>
    <row r="134">
      <c r="A134" t="inlineStr">
        <is>
          <t>SW-DAMPER-046-AXLE</t>
        </is>
      </c>
      <c r="B134" t="inlineStr">
        <is>
          <t>SW-DAMPER-046</t>
        </is>
      </c>
      <c r="C134" t="inlineStr">
        <is>
          <t>Trục Sus 201 D10</t>
        </is>
      </c>
      <c r="D134" t="inlineStr">
        <is>
          <t>PHỤ_KIỆN_VAN</t>
        </is>
      </c>
      <c r="E134" t="inlineStr">
        <is>
          <t>MAT-DAMPER-TRUC-SUS-201-D10</t>
        </is>
      </c>
      <c r="F134" t="inlineStr">
        <is>
          <t>m</t>
        </is>
      </c>
      <c r="G134" s="20" t="n">
        <v>1.17527049334761</v>
      </c>
      <c r="H134" s="16">
        <f>'00_TONG_HOP_BAO_GIA'!G47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1 trục dài 960mm</t>
        </is>
      </c>
    </row>
    <row r="135">
      <c r="A135" t="inlineStr">
        <is>
          <t>SW-DAMPER-046-BEARING</t>
        </is>
      </c>
      <c r="B135" t="inlineStr">
        <is>
          <t>SW-DAMPER-046</t>
        </is>
      </c>
      <c r="C135" t="inlineStr">
        <is>
          <t>Bạc đồng D10</t>
        </is>
      </c>
      <c r="D135" t="inlineStr">
        <is>
          <t>PHỤ_KIỆN_VAN</t>
        </is>
      </c>
      <c r="E135" t="inlineStr">
        <is>
          <t>MAT-DAMPER-BAC-DONG-D10</t>
        </is>
      </c>
      <c r="F135" t="inlineStr">
        <is>
          <t>Đôi</t>
        </is>
      </c>
      <c r="G135" s="20" t="n">
        <v>1</v>
      </c>
      <c r="H135" s="16">
        <f>'00_TONG_HOP_BAO_GIA'!G47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1 đôi bạc đỡ 2 bên thân</t>
        </is>
      </c>
    </row>
    <row r="136">
      <c r="A136" t="inlineStr">
        <is>
          <t>SW-DAMPER-046-ACTUATOR</t>
        </is>
      </c>
      <c r="B136" t="inlineStr">
        <is>
          <t>SW-DAMPER-046</t>
        </is>
      </c>
      <c r="C136" t="inlineStr">
        <is>
          <t>Động cơ chặn lửa ON/OFF KLB (Swin V6006FS500S EI90) 5Nm</t>
        </is>
      </c>
      <c r="D136" t="inlineStr">
        <is>
          <t>ĐỘNG_CƠ_VÀ_CẢM_BIẾN</t>
        </is>
      </c>
      <c r="E136" t="inlineStr">
        <is>
          <t>MAT-ACTUATOR-KLB-V6006FS500S</t>
        </is>
      </c>
      <c r="F136" t="inlineStr">
        <is>
          <t>Cái</t>
        </is>
      </c>
      <c r="G136" s="20" t="n">
        <v>1</v>
      </c>
      <c r="H136" s="16">
        <f>'00_TONG_HOP_BAO_GIA'!G47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Động cơ lò xo phản hồi MFD (1 bộ)</t>
        </is>
      </c>
    </row>
    <row r="137">
      <c r="A137" t="inlineStr">
        <is>
          <t>SW-DAMPER-046-FB10-BODY</t>
        </is>
      </c>
      <c r="B137" t="inlineStr">
        <is>
          <t>SW-DAMPER-046</t>
        </is>
      </c>
      <c r="C137" t="inlineStr">
        <is>
          <t>Tấm chống cháy dày 10mm bọc thân van FD/MFD (2 lớp)</t>
        </is>
      </c>
      <c r="D137" t="inlineStr">
        <is>
          <t>VẬT_LIỆU_CÁCH_NHIỆT</t>
        </is>
      </c>
      <c r="E137" t="inlineStr">
        <is>
          <t>MAT-FIREBOARD-10MM-BODY</t>
        </is>
      </c>
      <c r="F137" t="inlineStr">
        <is>
          <t>m2</t>
        </is>
      </c>
      <c r="G137" s="20" t="n">
        <v>1.983268957524093</v>
      </c>
      <c r="H137" s="16">
        <f>'00_TONG_HOP_BAO_GIA'!G47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Bọc 2 lớp tấm 10mm quanh thân L=300mm</t>
        </is>
      </c>
    </row>
    <row r="138">
      <c r="A138" t="inlineStr">
        <is>
          <t>SW-DAMPER-046-FB20-BLADE</t>
        </is>
      </c>
      <c r="B138" t="inlineStr">
        <is>
          <t>SW-DAMPER-046</t>
        </is>
      </c>
      <c r="C138" t="inlineStr">
        <is>
          <t>Tấm chống cháy dày 20mm làm lõi cánh van FD/MFD</t>
        </is>
      </c>
      <c r="D138" t="inlineStr">
        <is>
          <t>VẬT_LIỆU_CÁCH_NHIỆT</t>
        </is>
      </c>
      <c r="E138" t="inlineStr">
        <is>
          <t>MAT-FIREBOARD-20MM-BLADE</t>
        </is>
      </c>
      <c r="F138" t="inlineStr">
        <is>
          <t>m2</t>
        </is>
      </c>
      <c r="G138" s="20" t="n">
        <v>0.4958172393810232</v>
      </c>
      <c r="H138" s="16">
        <f>'00_TONG_HOP_BAO_GIA'!G47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Lõi cánh tấm 20mm (Cánh đơn 900x450mm)</t>
        </is>
      </c>
    </row>
    <row r="139">
      <c r="A139" t="inlineStr">
        <is>
          <t>SW-DAMPER-046-FB10-BLADE</t>
        </is>
      </c>
      <c r="B139" t="inlineStr">
        <is>
          <t>SW-DAMPER-046</t>
        </is>
      </c>
      <c r="C139" t="inlineStr">
        <is>
          <t>Tấm chống cháy dày 10mm ốp 2 mặt cánh van FD/MFD</t>
        </is>
      </c>
      <c r="D139" t="inlineStr">
        <is>
          <t>VẬT_LIỆU_CÁCH_NHIỆT</t>
        </is>
      </c>
      <c r="E139" t="inlineStr">
        <is>
          <t>MAT-FIREBOARD-10MM-BLADE</t>
        </is>
      </c>
      <c r="F139" t="inlineStr">
        <is>
          <t>m2</t>
        </is>
      </c>
      <c r="G139" s="20" t="n">
        <v>0.9916344787620464</v>
      </c>
      <c r="H139" s="16">
        <f>'00_TONG_HOP_BAO_GIA'!G47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Ốp 2 mặt cánh tấm 10mm (Cánh đơn 900x450mm)</t>
        </is>
      </c>
    </row>
    <row r="140">
      <c r="A140" t="inlineStr">
        <is>
          <t>SW-DAMPER-046-SPRING-BOX</t>
        </is>
      </c>
      <c r="B140" t="inlineStr">
        <is>
          <t>SW-DAMPER-046</t>
        </is>
      </c>
      <c r="C140" t="inlineStr">
        <is>
          <t>Hộp lò xo van chặn lửa FD/MFD</t>
        </is>
      </c>
      <c r="D140" t="inlineStr">
        <is>
          <t>PHỤ_KIỆN_VAN</t>
        </is>
      </c>
      <c r="E140" t="inlineStr">
        <is>
          <t>MAT-DAMPER-HOP-LO-XO</t>
        </is>
      </c>
      <c r="F140" t="inlineStr">
        <is>
          <t>Bộ</t>
        </is>
      </c>
      <c r="G140" s="20" t="n">
        <v>1</v>
      </c>
      <c r="H140" s="16">
        <f>'00_TONG_HOP_BAO_GIA'!G47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Hộp lò xo cơ cấu đóng sập (1 bộ)</t>
        </is>
      </c>
    </row>
    <row r="141">
      <c r="A141" t="inlineStr">
        <is>
          <t>SW-DAMPER-046-SILICON-BOLT</t>
        </is>
      </c>
      <c r="B141" t="inlineStr">
        <is>
          <t>SW-DAMPER-046</t>
        </is>
      </c>
      <c r="C141" t="inlineStr">
        <is>
          <t>Silicon chống cháy + bu lông, ốc vít van FD/MFD</t>
        </is>
      </c>
      <c r="D141" t="inlineStr">
        <is>
          <t>PHỤ_KIỆN_VAN</t>
        </is>
      </c>
      <c r="E141" t="inlineStr">
        <is>
          <t>MAT-DAMPER-SILICON-BULONG-VIT</t>
        </is>
      </c>
      <c r="F141" t="inlineStr">
        <is>
          <t>Bộ</t>
        </is>
      </c>
      <c r="G141" s="20" t="n">
        <v>1</v>
      </c>
      <c r="H141" s="16">
        <f>'00_TONG_HOP_BAO_GIA'!G47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Keo silicon chống cháy &amp; phụ kiện lắp ghép (1 bộ)</t>
        </is>
      </c>
    </row>
    <row r="142">
      <c r="A142" t="inlineStr">
        <is>
          <t>SW-DAMPER-047-BODY</t>
        </is>
      </c>
      <c r="B142" t="inlineStr">
        <is>
          <t>SW-DAMPER-047</t>
        </is>
      </c>
      <c r="C142" t="inlineStr">
        <is>
          <t>Thân vỏ van NRD bích C30/TDF (0.75mm)</t>
        </is>
      </c>
      <c r="D142" t="inlineStr">
        <is>
          <t>TÔN_CUỘN_MẠ_KẼM</t>
        </is>
      </c>
      <c r="E142" t="inlineStr">
        <is>
          <t>MAT-STEEL-PN-0.75</t>
        </is>
      </c>
      <c r="F142" t="inlineStr">
        <is>
          <t>kg</t>
        </is>
      </c>
      <c r="G142" s="20" t="n">
        <v>0.5724479255648766</v>
      </c>
      <c r="H142" s="16">
        <f>'00_TONG_HOP_BAO_GIA'!G48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Kích thước vỏ 350x250x210mm</t>
        </is>
      </c>
    </row>
    <row r="143">
      <c r="A143" t="inlineStr">
        <is>
          <t>SW-DAMPER-047-BLADE</t>
        </is>
      </c>
      <c r="B143" t="inlineStr">
        <is>
          <t>SW-DAMPER-047</t>
        </is>
      </c>
      <c r="C143" t="inlineStr">
        <is>
          <t>Lá cánh / Tôn tấm bọc van (2 cánh)</t>
        </is>
      </c>
      <c r="D143" t="inlineStr">
        <is>
          <t>TÔN_CUỘN_MẠ_KẼM</t>
        </is>
      </c>
      <c r="E143" t="inlineStr">
        <is>
          <t>MAT-STEEL-PN-0.75</t>
        </is>
      </c>
      <c r="F143" t="inlineStr">
        <is>
          <t>kg</t>
        </is>
      </c>
      <c r="G143" s="20" t="n">
        <v>0.1721300790004986</v>
      </c>
      <c r="H143" s="16">
        <f>'00_TONG_HOP_BAO_GIA'!G48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2 cánh cao 145mm</t>
        </is>
      </c>
    </row>
    <row r="144">
      <c r="A144" t="inlineStr">
        <is>
          <t>SW-DAMPER-047-AXLE</t>
        </is>
      </c>
      <c r="B144" t="inlineStr">
        <is>
          <t>SW-DAMPER-047</t>
        </is>
      </c>
      <c r="C144" t="inlineStr">
        <is>
          <t>Trục Sus 201 D10</t>
        </is>
      </c>
      <c r="D144" t="inlineStr">
        <is>
          <t>PHỤ_KIỆN_VAN</t>
        </is>
      </c>
      <c r="E144" t="inlineStr">
        <is>
          <t>MAT-DAMPER-TRUC-SUS-201-D10</t>
        </is>
      </c>
      <c r="F144" t="inlineStr">
        <is>
          <t>m</t>
        </is>
      </c>
      <c r="G144" s="20" t="n">
        <v>0.2187005637779906</v>
      </c>
      <c r="H144" s="16">
        <f>'00_TONG_HOP_BAO_GIA'!G48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2 trục dài 410mm</t>
        </is>
      </c>
    </row>
    <row r="145">
      <c r="A145" t="inlineStr">
        <is>
          <t>SW-DAMPER-047-BEARING</t>
        </is>
      </c>
      <c r="B145" t="inlineStr">
        <is>
          <t>SW-DAMPER-047</t>
        </is>
      </c>
      <c r="C145" t="inlineStr">
        <is>
          <t>Bạc đồng D10</t>
        </is>
      </c>
      <c r="D145" t="inlineStr">
        <is>
          <t>PHỤ_KIỆN_VAN</t>
        </is>
      </c>
      <c r="E145" t="inlineStr">
        <is>
          <t>MAT-DAMPER-BAC-DONG-D10</t>
        </is>
      </c>
      <c r="F145" t="inlineStr">
        <is>
          <t>Đôi</t>
        </is>
      </c>
      <c r="G145" s="20" t="n">
        <v>2</v>
      </c>
      <c r="H145" s="16">
        <f>'00_TONG_HOP_BAO_GIA'!G48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2 đôi bạc đỡ 2 bên thân</t>
        </is>
      </c>
    </row>
    <row r="146">
      <c r="A146" t="inlineStr">
        <is>
          <t>SW-DAMPER-047-GEAR</t>
        </is>
      </c>
      <c r="B146" t="inlineStr">
        <is>
          <t>SW-DAMPER-047</t>
        </is>
      </c>
      <c r="C146" t="inlineStr">
        <is>
          <t>Bánh răng van nhôm</t>
        </is>
      </c>
      <c r="D146" t="inlineStr">
        <is>
          <t>PHỤ_KIỆN_VAN</t>
        </is>
      </c>
      <c r="E146" t="inlineStr">
        <is>
          <t>MAT-DAMPER-BANH-RANG-VAN-NHOM</t>
        </is>
      </c>
      <c r="F146" t="inlineStr">
        <is>
          <t>Bộ</t>
        </is>
      </c>
      <c r="G146" s="20" t="n">
        <v>1</v>
      </c>
      <c r="H146" s="16">
        <f>'00_TONG_HOP_BAO_GIA'!G48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Cơ cấu liên động cánh (1 bộ)</t>
        </is>
      </c>
    </row>
    <row r="147">
      <c r="A147" t="inlineStr">
        <is>
          <t>SW-DAMPER-047-ECCENTRIC</t>
        </is>
      </c>
      <c r="B147" t="inlineStr">
        <is>
          <t>SW-DAMPER-047</t>
        </is>
      </c>
      <c r="C147" t="inlineStr">
        <is>
          <t>Cơ cấu lệch tâm / Lò xo đóng mở (NRD)</t>
        </is>
      </c>
      <c r="D147" t="inlineStr">
        <is>
          <t>PHỤ_KIỆN_VAN</t>
        </is>
      </c>
      <c r="E147" t="inlineStr">
        <is>
          <t>ECCENTRIC_SHAFT</t>
        </is>
      </c>
      <c r="F147" t="inlineStr">
        <is>
          <t>Bộ</t>
        </is>
      </c>
      <c r="G147" s="20" t="n">
        <v>1</v>
      </c>
      <c r="H147" s="16">
        <f>'00_TONG_HOP_BAO_GIA'!G48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Cơ cấu đóng mở một chiều</t>
        </is>
      </c>
    </row>
    <row r="148">
      <c r="A148" t="inlineStr">
        <is>
          <t>SW-DAMPER-048-BODY</t>
        </is>
      </c>
      <c r="B148" t="inlineStr">
        <is>
          <t>SW-DAMPER-048</t>
        </is>
      </c>
      <c r="C148" t="inlineStr">
        <is>
          <t>Thân vỏ van NRD bích C30/TDF (1.15mm)</t>
        </is>
      </c>
      <c r="D148" t="inlineStr">
        <is>
          <t>TÔN_CUỘN_MẠ_KẼM</t>
        </is>
      </c>
      <c r="E148" t="inlineStr">
        <is>
          <t>MAT-STEEL-PN-1.15</t>
        </is>
      </c>
      <c r="F148" t="inlineStr">
        <is>
          <t>kg</t>
        </is>
      </c>
      <c r="G148" s="20" t="n">
        <v>11.61458010666438</v>
      </c>
      <c r="H148" s="16">
        <f>'00_TONG_HOP_BAO_GIA'!G49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Kích thước vỏ 1200x500x210mm</t>
        </is>
      </c>
    </row>
    <row r="149">
      <c r="A149" t="inlineStr">
        <is>
          <t>SW-DAMPER-048-BLADE</t>
        </is>
      </c>
      <c r="B149" t="inlineStr">
        <is>
          <t>SW-DAMPER-048</t>
        </is>
      </c>
      <c r="C149" t="inlineStr">
        <is>
          <t>Lá cánh / Tôn tấm bọc van (3 cánh)</t>
        </is>
      </c>
      <c r="D149" t="inlineStr">
        <is>
          <t>TÔN_CUỘN_MẠ_KẼM</t>
        </is>
      </c>
      <c r="E149" t="inlineStr">
        <is>
          <t>MAT-STEEL-PN-0.75</t>
        </is>
      </c>
      <c r="F149" t="inlineStr">
        <is>
          <t>kg</t>
        </is>
      </c>
      <c r="G149" s="20" t="n">
        <v>5.435683886406556</v>
      </c>
      <c r="H149" s="16">
        <f>'00_TONG_HOP_BAO_GIA'!G49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3 cánh cao 187mm</t>
        </is>
      </c>
    </row>
    <row r="150">
      <c r="A150" t="inlineStr">
        <is>
          <t>SW-DAMPER-048-AXLE</t>
        </is>
      </c>
      <c r="B150" t="inlineStr">
        <is>
          <t>SW-DAMPER-048</t>
        </is>
      </c>
      <c r="C150" t="inlineStr">
        <is>
          <t>Trục Sus 201 D10</t>
        </is>
      </c>
      <c r="D150" t="inlineStr">
        <is>
          <t>PHỤ_KIỆN_VAN</t>
        </is>
      </c>
      <c r="E150" t="inlineStr">
        <is>
          <t>MAT-DAMPER-TRUC-SUS-201-D10</t>
        </is>
      </c>
      <c r="F150" t="inlineStr">
        <is>
          <t>m</t>
        </is>
      </c>
      <c r="G150" s="20" t="n">
        <v>4.808637549899644</v>
      </c>
      <c r="H150" s="16">
        <f>'00_TONG_HOP_BAO_GIA'!G49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3 trục dài 1260mm</t>
        </is>
      </c>
    </row>
    <row r="151">
      <c r="A151" t="inlineStr">
        <is>
          <t>SW-DAMPER-048-BEARING</t>
        </is>
      </c>
      <c r="B151" t="inlineStr">
        <is>
          <t>SW-DAMPER-048</t>
        </is>
      </c>
      <c r="C151" t="inlineStr">
        <is>
          <t>Bạc đồng D10</t>
        </is>
      </c>
      <c r="D151" t="inlineStr">
        <is>
          <t>PHỤ_KIỆN_VAN</t>
        </is>
      </c>
      <c r="E151" t="inlineStr">
        <is>
          <t>MAT-DAMPER-BAC-DONG-D10</t>
        </is>
      </c>
      <c r="F151" t="inlineStr">
        <is>
          <t>Đôi</t>
        </is>
      </c>
      <c r="G151" s="20" t="n">
        <v>3</v>
      </c>
      <c r="H151" s="16">
        <f>'00_TONG_HOP_BAO_GIA'!G49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3 đôi bạc đỡ 2 bên thân</t>
        </is>
      </c>
    </row>
    <row r="152">
      <c r="A152" t="inlineStr">
        <is>
          <t>SW-DAMPER-048-GEAR</t>
        </is>
      </c>
      <c r="B152" t="inlineStr">
        <is>
          <t>SW-DAMPER-048</t>
        </is>
      </c>
      <c r="C152" t="inlineStr">
        <is>
          <t>Bánh răng van nhôm</t>
        </is>
      </c>
      <c r="D152" t="inlineStr">
        <is>
          <t>PHỤ_KIỆN_VAN</t>
        </is>
      </c>
      <c r="E152" t="inlineStr">
        <is>
          <t>MAT-DAMPER-BANH-RANG-VAN-NHOM</t>
        </is>
      </c>
      <c r="F152" t="inlineStr">
        <is>
          <t>Bộ</t>
        </is>
      </c>
      <c r="G152" s="20" t="n">
        <v>1</v>
      </c>
      <c r="H152" s="16">
        <f>'00_TONG_HOP_BAO_GIA'!G49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Cơ cấu liên động cánh (1 bộ)</t>
        </is>
      </c>
    </row>
    <row r="153">
      <c r="A153" t="inlineStr">
        <is>
          <t>SW-DAMPER-048-ECCENTRIC</t>
        </is>
      </c>
      <c r="B153" t="inlineStr">
        <is>
          <t>SW-DAMPER-048</t>
        </is>
      </c>
      <c r="C153" t="inlineStr">
        <is>
          <t>Cơ cấu lệch tâm / Lò xo đóng mở (NRD)</t>
        </is>
      </c>
      <c r="D153" t="inlineStr">
        <is>
          <t>PHỤ_KIỆN_VAN</t>
        </is>
      </c>
      <c r="E153" t="inlineStr">
        <is>
          <t>ECCENTRIC_SHAFT</t>
        </is>
      </c>
      <c r="F153" t="inlineStr">
        <is>
          <t>Bộ</t>
        </is>
      </c>
      <c r="G153" s="20" t="n">
        <v>1</v>
      </c>
      <c r="H153" s="16">
        <f>'00_TONG_HOP_BAO_GIA'!G49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Cơ cấu đóng mở một chiều</t>
        </is>
      </c>
    </row>
    <row r="154">
      <c r="A154" t="inlineStr">
        <is>
          <t>SW-DAMPER-049-BODY</t>
        </is>
      </c>
      <c r="B154" t="inlineStr">
        <is>
          <t>SW-DAMPER-049</t>
        </is>
      </c>
      <c r="C154" t="inlineStr">
        <is>
          <t>Thân vỏ van NRD bích C30/TDF (1.15mm)</t>
        </is>
      </c>
      <c r="D154" t="inlineStr">
        <is>
          <t>TÔN_CUỘN_MẠ_KẼM</t>
        </is>
      </c>
      <c r="E154" t="inlineStr">
        <is>
          <t>MAT-STEEL-PN-1.15</t>
        </is>
      </c>
      <c r="F154" t="inlineStr">
        <is>
          <t>kg</t>
        </is>
      </c>
      <c r="G154" s="20" t="n">
        <v>11.04053665736497</v>
      </c>
      <c r="H154" s="16">
        <f>'00_TONG_HOP_BAO_GIA'!G50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Kích thước vỏ 1200x600x210mm</t>
        </is>
      </c>
    </row>
    <row r="155">
      <c r="A155" t="inlineStr">
        <is>
          <t>SW-DAMPER-049-BLADE</t>
        </is>
      </c>
      <c r="B155" t="inlineStr">
        <is>
          <t>SW-DAMPER-049</t>
        </is>
      </c>
      <c r="C155" t="inlineStr">
        <is>
          <t>Lá cánh / Tôn tấm bọc van (4 cánh)</t>
        </is>
      </c>
      <c r="D155" t="inlineStr">
        <is>
          <t>TÔN_CUỘN_MẠ_KẼM</t>
        </is>
      </c>
      <c r="E155" t="inlineStr">
        <is>
          <t>MAT-STEEL-PN-0.75</t>
        </is>
      </c>
      <c r="F155" t="inlineStr">
        <is>
          <t>kg</t>
        </is>
      </c>
      <c r="G155" s="20" t="n">
        <v>5.929510019673573</v>
      </c>
      <c r="H155" s="16">
        <f>'00_TONG_HOP_BAO_GIA'!G50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4 cánh cao 170mm</t>
        </is>
      </c>
    </row>
    <row r="156">
      <c r="A156" t="inlineStr">
        <is>
          <t>SW-DAMPER-049-AXLE</t>
        </is>
      </c>
      <c r="B156" t="inlineStr">
        <is>
          <t>SW-DAMPER-049</t>
        </is>
      </c>
      <c r="C156" t="inlineStr">
        <is>
          <t>Trục Sus 201 D10</t>
        </is>
      </c>
      <c r="D156" t="inlineStr">
        <is>
          <t>PHỤ_KIỆN_VAN</t>
        </is>
      </c>
      <c r="E156" t="inlineStr">
        <is>
          <t>MAT-DAMPER-TRUC-SUS-201-D10</t>
        </is>
      </c>
      <c r="F156" t="inlineStr">
        <is>
          <t>m</t>
        </is>
      </c>
      <c r="G156" s="20" t="n">
        <v>5.759761616601446</v>
      </c>
      <c r="H156" s="16">
        <f>'00_TONG_HOP_BAO_GIA'!G50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4 trục dài 1260mm</t>
        </is>
      </c>
    </row>
    <row r="157">
      <c r="A157" t="inlineStr">
        <is>
          <t>SW-DAMPER-049-BEARING</t>
        </is>
      </c>
      <c r="B157" t="inlineStr">
        <is>
          <t>SW-DAMPER-049</t>
        </is>
      </c>
      <c r="C157" t="inlineStr">
        <is>
          <t>Bạc đồng D10</t>
        </is>
      </c>
      <c r="D157" t="inlineStr">
        <is>
          <t>PHỤ_KIỆN_VAN</t>
        </is>
      </c>
      <c r="E157" t="inlineStr">
        <is>
          <t>MAT-DAMPER-BAC-DONG-D10</t>
        </is>
      </c>
      <c r="F157" t="inlineStr">
        <is>
          <t>Đôi</t>
        </is>
      </c>
      <c r="G157" s="20" t="n">
        <v>4</v>
      </c>
      <c r="H157" s="16">
        <f>'00_TONG_HOP_BAO_GIA'!G50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4 đôi bạc đỡ 2 bên thân</t>
        </is>
      </c>
    </row>
    <row r="158">
      <c r="A158" t="inlineStr">
        <is>
          <t>SW-DAMPER-049-GEAR</t>
        </is>
      </c>
      <c r="B158" t="inlineStr">
        <is>
          <t>SW-DAMPER-049</t>
        </is>
      </c>
      <c r="C158" t="inlineStr">
        <is>
          <t>Bánh răng van nhôm</t>
        </is>
      </c>
      <c r="D158" t="inlineStr">
        <is>
          <t>PHỤ_KIỆN_VAN</t>
        </is>
      </c>
      <c r="E158" t="inlineStr">
        <is>
          <t>MAT-DAMPER-BANH-RANG-VAN-NHOM</t>
        </is>
      </c>
      <c r="F158" t="inlineStr">
        <is>
          <t>Bộ</t>
        </is>
      </c>
      <c r="G158" s="20" t="n">
        <v>1</v>
      </c>
      <c r="H158" s="16">
        <f>'00_TONG_HOP_BAO_GIA'!G50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Cơ cấu liên động cánh (1 bộ)</t>
        </is>
      </c>
    </row>
    <row r="159">
      <c r="A159" t="inlineStr">
        <is>
          <t>SW-DAMPER-049-ECCENTRIC</t>
        </is>
      </c>
      <c r="B159" t="inlineStr">
        <is>
          <t>SW-DAMPER-049</t>
        </is>
      </c>
      <c r="C159" t="inlineStr">
        <is>
          <t>Cơ cấu lệch tâm / Lò xo đóng mở (NRD)</t>
        </is>
      </c>
      <c r="D159" t="inlineStr">
        <is>
          <t>PHỤ_KIỆN_VAN</t>
        </is>
      </c>
      <c r="E159" t="inlineStr">
        <is>
          <t>ECCENTRIC_SHAFT</t>
        </is>
      </c>
      <c r="F159" t="inlineStr">
        <is>
          <t>Bộ</t>
        </is>
      </c>
      <c r="G159" s="20" t="n">
        <v>1</v>
      </c>
      <c r="H159" s="16">
        <f>'00_TONG_HOP_BAO_GIA'!G50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Cơ cấu đóng mở một chiều</t>
        </is>
      </c>
    </row>
    <row r="160">
      <c r="A160" t="inlineStr">
        <is>
          <t>SW-DAMPER-050-BODY</t>
        </is>
      </c>
      <c r="B160" t="inlineStr">
        <is>
          <t>SW-DAMPER-050</t>
        </is>
      </c>
      <c r="C160" t="inlineStr">
        <is>
          <t>Thân vỏ van NRD bích C30/TDF (0.75mm)</t>
        </is>
      </c>
      <c r="D160" t="inlineStr">
        <is>
          <t>TÔN_CUỘN_MẠ_KẼM</t>
        </is>
      </c>
      <c r="E160" t="inlineStr">
        <is>
          <t>MAT-STEEL-PN-0.75</t>
        </is>
      </c>
      <c r="F160" t="inlineStr">
        <is>
          <t>kg</t>
        </is>
      </c>
      <c r="G160" s="20" t="n">
        <v>1.951908997506971</v>
      </c>
      <c r="H160" s="16">
        <f>'00_TONG_HOP_BAO_GIA'!G51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Kích thước vỏ 600x300x210mm</t>
        </is>
      </c>
    </row>
    <row r="161">
      <c r="A161" t="inlineStr">
        <is>
          <t>SW-DAMPER-050-BLADE</t>
        </is>
      </c>
      <c r="B161" t="inlineStr">
        <is>
          <t>SW-DAMPER-050</t>
        </is>
      </c>
      <c r="C161" t="inlineStr">
        <is>
          <t>Lá cánh / Tôn tấm bọc van (2 cánh)</t>
        </is>
      </c>
      <c r="D161" t="inlineStr">
        <is>
          <t>TÔN_CUỘN_MẠ_KẼM</t>
        </is>
      </c>
      <c r="E161" t="inlineStr">
        <is>
          <t>MAT-STEEL-PN-0.75</t>
        </is>
      </c>
      <c r="F161" t="inlineStr">
        <is>
          <t>kg</t>
        </is>
      </c>
      <c r="G161" s="20" t="n">
        <v>0.7949655988071869</v>
      </c>
      <c r="H161" s="16">
        <f>'00_TONG_HOP_BAO_GIA'!G51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2 cánh cao 170mm</t>
        </is>
      </c>
    </row>
    <row r="162">
      <c r="A162" t="inlineStr">
        <is>
          <t>SW-DAMPER-050-AXLE</t>
        </is>
      </c>
      <c r="B162" t="inlineStr">
        <is>
          <t>SW-DAMPER-050</t>
        </is>
      </c>
      <c r="C162" t="inlineStr">
        <is>
          <t>Trục Sus 201 D10</t>
        </is>
      </c>
      <c r="D162" t="inlineStr">
        <is>
          <t>PHỤ_KIỆN_VAN</t>
        </is>
      </c>
      <c r="E162" t="inlineStr">
        <is>
          <t>MAT-DAMPER-TRUC-SUS-201-D10</t>
        </is>
      </c>
      <c r="F162" t="inlineStr">
        <is>
          <t>m</t>
        </is>
      </c>
      <c r="G162" s="20" t="n">
        <v>0.8089793270591062</v>
      </c>
      <c r="H162" s="16">
        <f>'00_TONG_HOP_BAO_GIA'!G51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2 trục dài 660mm</t>
        </is>
      </c>
    </row>
    <row r="163">
      <c r="A163" t="inlineStr">
        <is>
          <t>SW-DAMPER-050-BEARING</t>
        </is>
      </c>
      <c r="B163" t="inlineStr">
        <is>
          <t>SW-DAMPER-050</t>
        </is>
      </c>
      <c r="C163" t="inlineStr">
        <is>
          <t>Bạc đồng D10</t>
        </is>
      </c>
      <c r="D163" t="inlineStr">
        <is>
          <t>PHỤ_KIỆN_VAN</t>
        </is>
      </c>
      <c r="E163" t="inlineStr">
        <is>
          <t>MAT-DAMPER-BAC-DONG-D10</t>
        </is>
      </c>
      <c r="F163" t="inlineStr">
        <is>
          <t>Đôi</t>
        </is>
      </c>
      <c r="G163" s="20" t="n">
        <v>2</v>
      </c>
      <c r="H163" s="16">
        <f>'00_TONG_HOP_BAO_GIA'!G51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2 đôi bạc đỡ 2 bên thân</t>
        </is>
      </c>
    </row>
    <row r="164">
      <c r="A164" t="inlineStr">
        <is>
          <t>SW-DAMPER-050-GEAR</t>
        </is>
      </c>
      <c r="B164" t="inlineStr">
        <is>
          <t>SW-DAMPER-050</t>
        </is>
      </c>
      <c r="C164" t="inlineStr">
        <is>
          <t>Bánh răng van nhôm</t>
        </is>
      </c>
      <c r="D164" t="inlineStr">
        <is>
          <t>PHỤ_KIỆN_VAN</t>
        </is>
      </c>
      <c r="E164" t="inlineStr">
        <is>
          <t>MAT-DAMPER-BANH-RANG-VAN-NHOM</t>
        </is>
      </c>
      <c r="F164" t="inlineStr">
        <is>
          <t>Bộ</t>
        </is>
      </c>
      <c r="G164" s="20" t="n">
        <v>1</v>
      </c>
      <c r="H164" s="16">
        <f>'00_TONG_HOP_BAO_GIA'!G51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Cơ cấu liên động cánh (1 bộ)</t>
        </is>
      </c>
    </row>
    <row r="165">
      <c r="A165" t="inlineStr">
        <is>
          <t>SW-DAMPER-050-ECCENTRIC</t>
        </is>
      </c>
      <c r="B165" t="inlineStr">
        <is>
          <t>SW-DAMPER-050</t>
        </is>
      </c>
      <c r="C165" t="inlineStr">
        <is>
          <t>Cơ cấu lệch tâm / Lò xo đóng mở (NRD)</t>
        </is>
      </c>
      <c r="D165" t="inlineStr">
        <is>
          <t>PHỤ_KIỆN_VAN</t>
        </is>
      </c>
      <c r="E165" t="inlineStr">
        <is>
          <t>ECCENTRIC_SHAFT</t>
        </is>
      </c>
      <c r="F165" t="inlineStr">
        <is>
          <t>Bộ</t>
        </is>
      </c>
      <c r="G165" s="20" t="n">
        <v>1</v>
      </c>
      <c r="H165" s="16">
        <f>'00_TONG_HOP_BAO_GIA'!G51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Cơ cấu đóng mở một chiều</t>
        </is>
      </c>
    </row>
    <row r="166">
      <c r="A166" t="inlineStr">
        <is>
          <t>SW-DAMPER-051-BODY</t>
        </is>
      </c>
      <c r="B166" t="inlineStr">
        <is>
          <t>SW-DAMPER-051</t>
        </is>
      </c>
      <c r="C166" t="inlineStr">
        <is>
          <t>Thân vỏ van NRD bích C30/TDF (0.95mm)</t>
        </is>
      </c>
      <c r="D166" t="inlineStr">
        <is>
          <t>TÔN_CUỘN_MẠ_KẼM</t>
        </is>
      </c>
      <c r="E166" t="inlineStr">
        <is>
          <t>MAT-STEEL-PN-0.95</t>
        </is>
      </c>
      <c r="F166" t="inlineStr">
        <is>
          <t>kg</t>
        </is>
      </c>
      <c r="G166" s="20" t="n">
        <v>4.441659336235211</v>
      </c>
      <c r="H166" s="16">
        <f>'00_TONG_HOP_BAO_GIA'!G52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Kích thước vỏ 900x450x210mm</t>
        </is>
      </c>
    </row>
    <row r="167">
      <c r="A167" t="inlineStr">
        <is>
          <t>SW-DAMPER-051-BLADE</t>
        </is>
      </c>
      <c r="B167" t="inlineStr">
        <is>
          <t>SW-DAMPER-051</t>
        </is>
      </c>
      <c r="C167" t="inlineStr">
        <is>
          <t>Lá cánh / Tôn tấm bọc van (3 cánh)</t>
        </is>
      </c>
      <c r="D167" t="inlineStr">
        <is>
          <t>TÔN_CUỘN_MẠ_KẼM</t>
        </is>
      </c>
      <c r="E167" t="inlineStr">
        <is>
          <t>MAT-STEEL-PN-0.75</t>
        </is>
      </c>
      <c r="F167" t="inlineStr">
        <is>
          <t>kg</t>
        </is>
      </c>
      <c r="G167" s="20" t="n">
        <v>2.157850994298689</v>
      </c>
      <c r="H167" s="16">
        <f>'00_TONG_HOP_BAO_GIA'!G52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3 cánh cao 170mm</t>
        </is>
      </c>
    </row>
    <row r="168">
      <c r="A168" t="inlineStr">
        <is>
          <t>SW-DAMPER-051-AXLE</t>
        </is>
      </c>
      <c r="B168" t="inlineStr">
        <is>
          <t>SW-DAMPER-051</t>
        </is>
      </c>
      <c r="C168" t="inlineStr">
        <is>
          <t>Trục Sus 201 D10</t>
        </is>
      </c>
      <c r="D168" t="inlineStr">
        <is>
          <t>PHỤ_KIỆN_VAN</t>
        </is>
      </c>
      <c r="E168" t="inlineStr">
        <is>
          <t>MAT-DAMPER-TRUC-SUS-201-D10</t>
        </is>
      </c>
      <c r="F168" t="inlineStr">
        <is>
          <t>m</t>
        </is>
      </c>
      <c r="G168" s="20" t="n">
        <v>2.129347679347177</v>
      </c>
      <c r="H168" s="16">
        <f>'00_TONG_HOP_BAO_GIA'!G52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3 trục dài 960mm</t>
        </is>
      </c>
    </row>
    <row r="169">
      <c r="A169" t="inlineStr">
        <is>
          <t>SW-DAMPER-051-BEARING</t>
        </is>
      </c>
      <c r="B169" t="inlineStr">
        <is>
          <t>SW-DAMPER-051</t>
        </is>
      </c>
      <c r="C169" t="inlineStr">
        <is>
          <t>Bạc đồng D10</t>
        </is>
      </c>
      <c r="D169" t="inlineStr">
        <is>
          <t>PHỤ_KIỆN_VAN</t>
        </is>
      </c>
      <c r="E169" t="inlineStr">
        <is>
          <t>MAT-DAMPER-BAC-DONG-D10</t>
        </is>
      </c>
      <c r="F169" t="inlineStr">
        <is>
          <t>Đôi</t>
        </is>
      </c>
      <c r="G169" s="20" t="n">
        <v>3</v>
      </c>
      <c r="H169" s="16">
        <f>'00_TONG_HOP_BAO_GIA'!G52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3 đôi bạc đỡ 2 bên thân</t>
        </is>
      </c>
    </row>
    <row r="170">
      <c r="A170" t="inlineStr">
        <is>
          <t>SW-DAMPER-051-GEAR</t>
        </is>
      </c>
      <c r="B170" t="inlineStr">
        <is>
          <t>SW-DAMPER-051</t>
        </is>
      </c>
      <c r="C170" t="inlineStr">
        <is>
          <t>Bánh răng van nhôm</t>
        </is>
      </c>
      <c r="D170" t="inlineStr">
        <is>
          <t>PHỤ_KIỆN_VAN</t>
        </is>
      </c>
      <c r="E170" t="inlineStr">
        <is>
          <t>MAT-DAMPER-BANH-RANG-VAN-NHOM</t>
        </is>
      </c>
      <c r="F170" t="inlineStr">
        <is>
          <t>Bộ</t>
        </is>
      </c>
      <c r="G170" s="20" t="n">
        <v>1</v>
      </c>
      <c r="H170" s="16">
        <f>'00_TONG_HOP_BAO_GIA'!G52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Cơ cấu liên động cánh (1 bộ)</t>
        </is>
      </c>
    </row>
    <row r="171">
      <c r="A171" t="inlineStr">
        <is>
          <t>SW-DAMPER-051-ECCENTRIC</t>
        </is>
      </c>
      <c r="B171" t="inlineStr">
        <is>
          <t>SW-DAMPER-051</t>
        </is>
      </c>
      <c r="C171" t="inlineStr">
        <is>
          <t>Cơ cấu lệch tâm / Lò xo đóng mở (NRD)</t>
        </is>
      </c>
      <c r="D171" t="inlineStr">
        <is>
          <t>PHỤ_KIỆN_VAN</t>
        </is>
      </c>
      <c r="E171" t="inlineStr">
        <is>
          <t>ECCENTRIC_SHAFT</t>
        </is>
      </c>
      <c r="F171" t="inlineStr">
        <is>
          <t>Bộ</t>
        </is>
      </c>
      <c r="G171" s="20" t="n">
        <v>1</v>
      </c>
      <c r="H171" s="16">
        <f>'00_TONG_HOP_BAO_GIA'!G52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Cơ cấu đóng mở một chiều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PHÂN LOẠI</t>
        </is>
      </c>
      <c r="D1" s="15" t="inlineStr">
        <is>
          <t>TÊN VẬT TƯ</t>
        </is>
      </c>
      <c r="E1" s="15" t="inlineStr">
        <is>
          <t>ĐVT</t>
        </is>
      </c>
      <c r="F1" s="15" t="inlineStr">
        <is>
          <t>BAREM KỸ THUẬT</t>
        </is>
      </c>
      <c r="G1" s="15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TÊN VẬT TƯ</t>
        </is>
      </c>
      <c r="D1" s="15" t="inlineStr">
        <is>
          <t>PHÂN LOẠI</t>
        </is>
      </c>
      <c r="E1" s="15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6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6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6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6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6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6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6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6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6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6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6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6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6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6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6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6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6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6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6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6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6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6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6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6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6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6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6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6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6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6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6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6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6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6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6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6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6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6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6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6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6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6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6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6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6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6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6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6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6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6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6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6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6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6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6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6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6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6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6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6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6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6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6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6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6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6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6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6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6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6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6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6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6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6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6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6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6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6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6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6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6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6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6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6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6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6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6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6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6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6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6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6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6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6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6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6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6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6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6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6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6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6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6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6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6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6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6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6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6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6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6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6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6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6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6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6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6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6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6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6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6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6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6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6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6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6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6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6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6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6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6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6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6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6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6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6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6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6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6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6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6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6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6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6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6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6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6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6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6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6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6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6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6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6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6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6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6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6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6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6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6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6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6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6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6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6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6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6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6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6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6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6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6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6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6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6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6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6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6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6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6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6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6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6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6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6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6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6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6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6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6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6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6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6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6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6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6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6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6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6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6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6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6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6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6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2026-10-19T04:37:24Z</dcterms:created>
  <dcterms:modified xsi:type="dcterms:W3CDTF">2026-10-19T04:37:24Z</dcterms:modified>
</cp:coreProperties>
</file>
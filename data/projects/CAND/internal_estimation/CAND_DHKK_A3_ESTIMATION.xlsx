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87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Hạng mục: HỆ THỐNG ĐIỀU HÒA KHÔNG KHÍ VÀ THÔNG GIÓ - KHỐI A1 + A2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PHẦN CÔNG CỘNG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Đường ống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1. Ống nước ngưng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Ống nước ngưng uPVC D.27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m</t>
        </is>
      </c>
      <c r="M18" s="10" t="n">
        <v>452</v>
      </c>
      <c r="N18" s="11" t="n"/>
      <c r="O18" s="11" t="n"/>
      <c r="P18" s="9" t="n"/>
    </row>
    <row r="19">
      <c r="A19" s="8" t="n"/>
      <c r="B19" s="9" t="inlineStr">
        <is>
          <t>Ống nước ngưng uPVC D.34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m</t>
        </is>
      </c>
      <c r="M19" s="10" t="n">
        <v>225</v>
      </c>
      <c r="N19" s="11" t="n"/>
      <c r="O19" s="11" t="n"/>
      <c r="P19" s="9" t="n"/>
    </row>
    <row r="20">
      <c r="A20" s="8" t="n"/>
      <c r="B20" s="9" t="inlineStr">
        <is>
          <t>Ống nước ngưng uPVC D.42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m</t>
        </is>
      </c>
      <c r="M20" s="10" t="n">
        <v>178</v>
      </c>
      <c r="N20" s="11" t="n"/>
      <c r="O20" s="11" t="n"/>
      <c r="P20" s="9" t="n"/>
    </row>
    <row r="21">
      <c r="A21" s="8" t="n"/>
      <c r="B21" s="9" t="inlineStr">
        <is>
          <t>Ống nước ngưng uPVC D.60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m</t>
        </is>
      </c>
      <c r="M21" s="10" t="n">
        <v>4885</v>
      </c>
      <c r="N21" s="11" t="n"/>
      <c r="O21" s="11" t="n"/>
      <c r="P21" s="9" t="n"/>
    </row>
    <row r="22">
      <c r="A22" s="8" t="n"/>
      <c r="B22" s="9" t="inlineStr">
        <is>
          <t>Ống nước ngưng uPVC D.75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m</t>
        </is>
      </c>
      <c r="M22" s="10" t="n">
        <v>104</v>
      </c>
      <c r="N22" s="11" t="n"/>
      <c r="O22" s="11" t="n"/>
      <c r="P22" s="9" t="n"/>
    </row>
    <row r="23">
      <c r="A23" s="8" t="n"/>
      <c r="B23" s="9" t="inlineStr">
        <is>
          <t>Ống nước ngưng uPVC D.90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m</t>
        </is>
      </c>
      <c r="M23" s="10" t="n">
        <v>56</v>
      </c>
      <c r="N23" s="11" t="n"/>
      <c r="O23" s="11" t="n"/>
      <c r="P23" s="9" t="n"/>
    </row>
    <row r="24">
      <c r="A24" s="8" t="n"/>
      <c r="B24" s="9" t="inlineStr">
        <is>
          <t>Ống nước ngưng uPVC D.114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m</t>
        </is>
      </c>
      <c r="M24" s="10" t="n">
        <v>236</v>
      </c>
      <c r="N24" s="11" t="n"/>
      <c r="O24" s="11" t="n"/>
      <c r="P24" s="9" t="n"/>
    </row>
    <row r="25">
      <c r="A25" s="8" t="n"/>
      <c r="B25" s="9" t="inlineStr">
        <is>
          <t>Phụ kiện ống nước ngưng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Lô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Vật tư phụ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Lô</t>
        </is>
      </c>
      <c r="M26" s="10" t="n">
        <v>1</v>
      </c>
      <c r="N26" s="11" t="n"/>
      <c r="O26" s="11" t="n"/>
      <c r="P26" s="9" t="n"/>
    </row>
    <row r="27">
      <c r="A27" s="6" t="n"/>
      <c r="B27" s="7" t="inlineStr">
        <is>
          <t>Ống Cách nhiệt ống nước ngưng, tỉ trọng 25kg/m3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8" t="n"/>
      <c r="B28" s="9" t="inlineStr">
        <is>
          <t>Cách nhiệt ống D.27 dày 10mm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m</t>
        </is>
      </c>
      <c r="M28" s="10" t="n">
        <v>452</v>
      </c>
      <c r="N28" s="11" t="n"/>
      <c r="O28" s="11" t="n"/>
      <c r="P28" s="9" t="n"/>
    </row>
    <row r="29">
      <c r="A29" s="8" t="n"/>
      <c r="B29" s="9" t="inlineStr">
        <is>
          <t>Cách nhiệt ống D34 dày 10mm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m</t>
        </is>
      </c>
      <c r="M29" s="10" t="n">
        <v>225</v>
      </c>
      <c r="N29" s="11" t="n"/>
      <c r="O29" s="11" t="n"/>
      <c r="P29" s="9" t="n"/>
    </row>
    <row r="30">
      <c r="A30" s="8" t="n"/>
      <c r="B30" s="9" t="inlineStr">
        <is>
          <t>Cách nhiệt ống D42 dày 10mm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m</t>
        </is>
      </c>
      <c r="M30" s="10" t="n">
        <v>178</v>
      </c>
      <c r="N30" s="11" t="n"/>
      <c r="O30" s="11" t="n"/>
      <c r="P30" s="9" t="n"/>
    </row>
    <row r="31">
      <c r="A31" s="8" t="n"/>
      <c r="B31" s="9" t="inlineStr">
        <is>
          <t>Cách nhiệt ống D60 dày 10mm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m</t>
        </is>
      </c>
      <c r="M31" s="10" t="n">
        <v>4885</v>
      </c>
      <c r="N31" s="11" t="n"/>
      <c r="O31" s="11" t="n"/>
      <c r="P31" s="9" t="n"/>
    </row>
    <row r="32">
      <c r="A32" s="8" t="n"/>
      <c r="B32" s="9" t="inlineStr">
        <is>
          <t>Cách nhiệt ống D75 dày 10mm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inlineStr">
        <is>
          <t>m</t>
        </is>
      </c>
      <c r="M32" s="10" t="n">
        <v>104</v>
      </c>
      <c r="N32" s="11" t="n"/>
      <c r="O32" s="11" t="n"/>
      <c r="P32" s="9" t="n"/>
    </row>
    <row r="33">
      <c r="A33" s="8" t="n"/>
      <c r="B33" s="9" t="inlineStr">
        <is>
          <t>Cách nhiệt ống D90 dày 10mm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56</v>
      </c>
      <c r="N33" s="11" t="n"/>
      <c r="O33" s="11" t="n"/>
      <c r="P33" s="9" t="n"/>
    </row>
    <row r="34">
      <c r="A34" s="8" t="n"/>
      <c r="B34" s="9" t="inlineStr">
        <is>
          <t>Cách nhiệt ống D114 dày 10mm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236</v>
      </c>
      <c r="N34" s="11" t="n"/>
      <c r="O34" s="11" t="n"/>
      <c r="P34" s="9" t="n"/>
    </row>
    <row r="35">
      <c r="A35" s="6" t="n"/>
      <c r="B35" s="7" t="inlineStr">
        <is>
          <t>2. Ống đồng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8" t="n"/>
      <c r="B36" s="9" t="inlineStr">
        <is>
          <t>Ống đồng Ø6.4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75</v>
      </c>
      <c r="N36" s="11" t="n"/>
      <c r="O36" s="11" t="n"/>
      <c r="P36" s="9" t="n"/>
    </row>
    <row r="37">
      <c r="A37" s="8" t="n"/>
      <c r="B37" s="9" t="inlineStr">
        <is>
          <t>Ống đồng  Ø9.5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inlineStr">
        <is>
          <t>m</t>
        </is>
      </c>
      <c r="M37" s="10" t="n">
        <v>1117</v>
      </c>
      <c r="N37" s="11" t="n"/>
      <c r="O37" s="11" t="n"/>
      <c r="P37" s="9" t="n"/>
    </row>
    <row r="38">
      <c r="A38" s="8" t="n"/>
      <c r="B38" s="9" t="inlineStr">
        <is>
          <t>Ống đồng  Ø12.7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75</v>
      </c>
      <c r="N38" s="11" t="n"/>
      <c r="O38" s="11" t="n"/>
      <c r="P38" s="9" t="n"/>
    </row>
    <row r="39">
      <c r="A39" s="8" t="n"/>
      <c r="B39" s="9" t="inlineStr">
        <is>
          <t>Ống đồng  Ø15.9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1083</v>
      </c>
      <c r="N39" s="11" t="n"/>
      <c r="O39" s="11" t="n"/>
      <c r="P39" s="9" t="n"/>
    </row>
    <row r="40">
      <c r="A40" s="8" t="n"/>
      <c r="B40" s="9" t="inlineStr">
        <is>
          <t>Ống đồng  Ø19.1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inlineStr">
        <is>
          <t>m</t>
        </is>
      </c>
      <c r="M40" s="10" t="n">
        <v>115</v>
      </c>
      <c r="N40" s="11" t="n"/>
      <c r="O40" s="11" t="n"/>
      <c r="P40" s="9" t="n"/>
    </row>
    <row r="41">
      <c r="A41" s="8" t="n"/>
      <c r="B41" s="9" t="inlineStr">
        <is>
          <t>Ống đồng  Ø22.2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m</t>
        </is>
      </c>
      <c r="M41" s="10" t="n">
        <v>81</v>
      </c>
      <c r="N41" s="11" t="n"/>
      <c r="O41" s="11" t="n"/>
      <c r="P41" s="9" t="n"/>
    </row>
    <row r="42">
      <c r="A42" s="8" t="n"/>
      <c r="B42" s="9" t="inlineStr">
        <is>
          <t>Ống đồng  Ø28.6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inlineStr">
        <is>
          <t>m</t>
        </is>
      </c>
      <c r="M42" s="10" t="n">
        <v>47</v>
      </c>
      <c r="N42" s="11" t="n"/>
      <c r="O42" s="11" t="n"/>
      <c r="P42" s="9" t="n"/>
    </row>
    <row r="43">
      <c r="A43" s="8" t="n"/>
      <c r="B43" s="9" t="inlineStr">
        <is>
          <t>Ống đồng  Ø34.9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m</t>
        </is>
      </c>
      <c r="M43" s="10" t="n">
        <v>42</v>
      </c>
      <c r="N43" s="11" t="n"/>
      <c r="O43" s="11" t="n"/>
      <c r="P43" s="9" t="n"/>
    </row>
    <row r="44">
      <c r="A44" s="8" t="n"/>
      <c r="B44" s="9" t="inlineStr">
        <is>
          <t>Ống đồng  Ø41.3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m</t>
        </is>
      </c>
      <c r="M44" s="10" t="n">
        <v>100</v>
      </c>
      <c r="N44" s="11" t="n"/>
      <c r="O44" s="11" t="n"/>
      <c r="P44" s="9" t="n"/>
    </row>
    <row r="45">
      <c r="A45" s="8" t="n"/>
      <c r="B45" s="9" t="inlineStr">
        <is>
          <t>Bộ chia gas dàn lạnh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Cái</t>
        </is>
      </c>
      <c r="M45" s="10" t="n">
        <v>34</v>
      </c>
      <c r="N45" s="11" t="n"/>
      <c r="O45" s="11" t="n"/>
      <c r="P45" s="9" t="n"/>
    </row>
    <row r="46">
      <c r="A46" s="8" t="n"/>
      <c r="B46" s="9" t="inlineStr">
        <is>
          <t>KHRP26A72T8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1" t="n"/>
      <c r="N46" s="11" t="n"/>
      <c r="O46" s="11" t="n"/>
      <c r="P46" s="9" t="n"/>
    </row>
    <row r="47">
      <c r="A47" s="8" t="n"/>
      <c r="B47" s="9" t="inlineStr">
        <is>
          <t>KHRP26A73T8, KHRP26A73TP8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1" t="n"/>
      <c r="N47" s="11" t="n"/>
      <c r="O47" s="11" t="n"/>
      <c r="P47" s="9" t="n"/>
    </row>
    <row r="48">
      <c r="A48" s="8" t="n"/>
      <c r="B48" s="9" t="inlineStr">
        <is>
          <t>Bộ chia gas dàn nóng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0" t="n">
        <v>8</v>
      </c>
      <c r="N48" s="11" t="n"/>
      <c r="O48" s="11" t="n"/>
      <c r="P48" s="9" t="n"/>
    </row>
    <row r="49">
      <c r="A49" s="8" t="n"/>
      <c r="B49" s="9" t="inlineStr">
        <is>
          <t>BHFP22R135-8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1" t="n"/>
      <c r="N49" s="11" t="n"/>
      <c r="O49" s="11" t="n"/>
      <c r="P49" s="9" t="n"/>
    </row>
    <row r="50">
      <c r="A50" s="8" t="n"/>
      <c r="B50" s="9" t="inlineStr">
        <is>
          <t>Vật tư phụ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Lô</t>
        </is>
      </c>
      <c r="M50" s="10" t="n">
        <v>1</v>
      </c>
      <c r="N50" s="11" t="n"/>
      <c r="O50" s="11" t="n"/>
      <c r="P50" s="9" t="n"/>
    </row>
    <row r="51">
      <c r="A51" s="6" t="n"/>
      <c r="B51" s="7" t="inlineStr">
        <is>
          <t>Ống Cách nhiệt ống gas lạnh, tỉ trọng 25kg/m3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8" t="n"/>
      <c r="B52" s="9" t="inlineStr">
        <is>
          <t>Cách nhiệt ống Ø6.4 dày 19mm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inlineStr">
        <is>
          <t>m</t>
        </is>
      </c>
      <c r="M52" s="10" t="n">
        <v>75</v>
      </c>
      <c r="N52" s="11" t="n"/>
      <c r="O52" s="11" t="n"/>
      <c r="P52" s="9" t="n"/>
    </row>
    <row r="53">
      <c r="A53" s="8" t="n"/>
      <c r="B53" s="9" t="inlineStr">
        <is>
          <t>Cách nhiệt ống Ø9.5 dày 19mm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m</t>
        </is>
      </c>
      <c r="M53" s="10" t="n">
        <v>1117</v>
      </c>
      <c r="N53" s="11" t="n"/>
      <c r="O53" s="11" t="n"/>
      <c r="P53" s="9" t="n"/>
    </row>
    <row r="54">
      <c r="A54" s="8" t="n"/>
      <c r="B54" s="9" t="inlineStr">
        <is>
          <t>Cách nhiệt ống Ø12.7 dày 19mm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inlineStr">
        <is>
          <t>m</t>
        </is>
      </c>
      <c r="M54" s="10" t="n">
        <v>75</v>
      </c>
      <c r="N54" s="11" t="n"/>
      <c r="O54" s="11" t="n"/>
      <c r="P54" s="9" t="n"/>
    </row>
    <row r="55">
      <c r="A55" s="8" t="n"/>
      <c r="B55" s="9" t="inlineStr">
        <is>
          <t>Cách nhiệt ống Ø15.9 dày 19mm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1083</v>
      </c>
      <c r="N55" s="11" t="n"/>
      <c r="O55" s="11" t="n"/>
      <c r="P55" s="9" t="n"/>
    </row>
    <row r="56">
      <c r="A56" s="8" t="n"/>
      <c r="B56" s="9" t="inlineStr">
        <is>
          <t>Cách nhiệt ống Ø19.1 dày 19mm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115</v>
      </c>
      <c r="N56" s="11" t="n"/>
      <c r="O56" s="11" t="n"/>
      <c r="P56" s="9" t="n"/>
    </row>
    <row r="57">
      <c r="A57" s="8" t="n"/>
      <c r="B57" s="9" t="inlineStr">
        <is>
          <t>Cách nhiệt ống Ø22.2 dày 19mm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81</v>
      </c>
      <c r="N57" s="11" t="n"/>
      <c r="O57" s="11" t="n"/>
      <c r="P57" s="9" t="n"/>
    </row>
    <row r="58">
      <c r="A58" s="8" t="n"/>
      <c r="B58" s="9" t="inlineStr">
        <is>
          <t>Cách nhiệt ống Ø28.6 dày 19mm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47</v>
      </c>
      <c r="N58" s="11" t="n"/>
      <c r="O58" s="11" t="n"/>
      <c r="P58" s="9" t="n"/>
    </row>
    <row r="59">
      <c r="A59" s="8" t="n"/>
      <c r="B59" s="9" t="inlineStr">
        <is>
          <t>Cách nhiệt ống Ø34.9 dày 19mm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42</v>
      </c>
      <c r="N59" s="11" t="n"/>
      <c r="O59" s="11" t="n"/>
      <c r="P59" s="9" t="n"/>
    </row>
    <row r="60">
      <c r="A60" s="8" t="n"/>
      <c r="B60" s="9" t="inlineStr">
        <is>
          <t>Cách nhiệt ống Ø41.3 dày 19mm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inlineStr">
        <is>
          <t>m</t>
        </is>
      </c>
      <c r="M60" s="10" t="n">
        <v>100</v>
      </c>
      <c r="N60" s="11" t="n"/>
      <c r="O60" s="11" t="n"/>
      <c r="P60" s="9" t="n"/>
    </row>
    <row r="61">
      <c r="A61" s="6" t="n"/>
      <c r="B61" s="7" t="inlineStr">
        <is>
          <t>3. Ống gió/ Duct work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n"/>
      <c r="B62" s="7" t="inlineStr">
        <is>
          <t>a. Ống tole tráng kẽm dày 0.6mm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8" t="n"/>
      <c r="B63" s="9" t="inlineStr">
        <is>
          <t>Ống tole tráng kẽm dày 0.6mm 150x150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3</v>
      </c>
      <c r="N63" s="11" t="n"/>
      <c r="O63" s="11" t="n"/>
      <c r="P63" s="9" t="n"/>
    </row>
    <row r="64">
      <c r="A64" s="8" t="n"/>
      <c r="B64" s="9" t="inlineStr">
        <is>
          <t>Ống tole tráng kẽm dày 0.6mm 200x100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8</v>
      </c>
      <c r="N64" s="11" t="n"/>
      <c r="O64" s="11" t="n"/>
      <c r="P64" s="9" t="n"/>
    </row>
    <row r="65">
      <c r="A65" s="8" t="n"/>
      <c r="B65" s="9" t="inlineStr">
        <is>
          <t>Ống tole tráng kẽm dày 0.6mm 200x150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m</t>
        </is>
      </c>
      <c r="M65" s="10" t="n">
        <v>25</v>
      </c>
      <c r="N65" s="11" t="n"/>
      <c r="O65" s="11" t="n"/>
      <c r="P65" s="9" t="n"/>
    </row>
    <row r="66">
      <c r="A66" s="8" t="n"/>
      <c r="B66" s="9" t="inlineStr">
        <is>
          <t>Ống tole tráng kẽm dày 0.6mm 200x200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m</t>
        </is>
      </c>
      <c r="M66" s="10" t="n">
        <v>53</v>
      </c>
      <c r="N66" s="11" t="n"/>
      <c r="O66" s="11" t="n"/>
      <c r="P66" s="9" t="n"/>
    </row>
    <row r="67">
      <c r="A67" s="8" t="n"/>
      <c r="B67" s="9" t="inlineStr">
        <is>
          <t>Ống tole tráng kẽm dày 0.6mm 250x100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inlineStr">
        <is>
          <t>m</t>
        </is>
      </c>
      <c r="M67" s="10" t="n">
        <v>5</v>
      </c>
      <c r="N67" s="11" t="n"/>
      <c r="O67" s="11" t="n"/>
      <c r="P67" s="9" t="n"/>
    </row>
    <row r="68">
      <c r="A68" s="8" t="n"/>
      <c r="B68" s="9" t="inlineStr">
        <is>
          <t>Ống tole tráng kẽm dày 0.6mm 250x150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36</v>
      </c>
      <c r="N68" s="11" t="n"/>
      <c r="O68" s="11" t="n"/>
      <c r="P68" s="9" t="n"/>
    </row>
    <row r="69">
      <c r="A69" s="8" t="n"/>
      <c r="B69" s="9" t="inlineStr">
        <is>
          <t>Ống tole tráng kẽm dày 0.6mm 250x200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39</v>
      </c>
      <c r="N69" s="11" t="n"/>
      <c r="O69" s="11" t="n"/>
      <c r="P69" s="9" t="n"/>
    </row>
    <row r="70">
      <c r="A70" s="8" t="n"/>
      <c r="B70" s="9" t="inlineStr">
        <is>
          <t>Ống tole tráng kẽm dày 0.6mm 300x200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m</t>
        </is>
      </c>
      <c r="M70" s="10" t="n">
        <v>224</v>
      </c>
      <c r="N70" s="11" t="n"/>
      <c r="O70" s="11" t="n"/>
      <c r="P70" s="9" t="n"/>
    </row>
    <row r="71">
      <c r="A71" s="8" t="n"/>
      <c r="B71" s="9" t="inlineStr">
        <is>
          <t>Ống tole tráng kẽm dày 0.6mm 300x250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inlineStr">
        <is>
          <t>m</t>
        </is>
      </c>
      <c r="M71" s="10" t="n">
        <v>44</v>
      </c>
      <c r="N71" s="11" t="n"/>
      <c r="O71" s="11" t="n"/>
      <c r="P71" s="9" t="n"/>
    </row>
    <row r="72">
      <c r="A72" s="8" t="n"/>
      <c r="B72" s="9" t="inlineStr">
        <is>
          <t>Ống tole tráng kẽm dày 0.6mm 350x200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inlineStr">
        <is>
          <t>m</t>
        </is>
      </c>
      <c r="M72" s="10" t="n">
        <v>29</v>
      </c>
      <c r="N72" s="11" t="n"/>
      <c r="O72" s="11" t="n"/>
      <c r="P72" s="9" t="n"/>
    </row>
    <row r="73">
      <c r="A73" s="8" t="n"/>
      <c r="B73" s="9" t="inlineStr">
        <is>
          <t>Ống tole tráng kẽm dày 0.6mm 350x250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m</t>
        </is>
      </c>
      <c r="M73" s="10" t="n">
        <v>47</v>
      </c>
      <c r="N73" s="11" t="n"/>
      <c r="O73" s="11" t="n"/>
      <c r="P73" s="9" t="n"/>
    </row>
    <row r="74">
      <c r="A74" s="8" t="n"/>
      <c r="B74" s="9" t="inlineStr">
        <is>
          <t>Ống tole tráng kẽm dày 0.6mm 400x250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m</t>
        </is>
      </c>
      <c r="M74" s="10" t="n">
        <v>88</v>
      </c>
      <c r="N74" s="11" t="n"/>
      <c r="O74" s="11" t="n"/>
      <c r="P74" s="9" t="n"/>
    </row>
    <row r="75">
      <c r="A75" s="8" t="n"/>
      <c r="B75" s="9" t="inlineStr">
        <is>
          <t>Ống tole tráng kẽm dày 0.6mm 450x200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m</t>
        </is>
      </c>
      <c r="M75" s="10" t="n">
        <v>9</v>
      </c>
      <c r="N75" s="11" t="n"/>
      <c r="O75" s="11" t="n"/>
      <c r="P75" s="9" t="n"/>
    </row>
    <row r="76">
      <c r="A76" s="8" t="n"/>
      <c r="B76" s="9" t="inlineStr">
        <is>
          <t>Ống tole tráng kẽm dày 0.6mm 450x250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m</t>
        </is>
      </c>
      <c r="M76" s="10" t="n">
        <v>9</v>
      </c>
      <c r="N76" s="11" t="n"/>
      <c r="O76" s="11" t="n"/>
      <c r="P76" s="9" t="n"/>
    </row>
    <row r="77">
      <c r="A77" s="8" t="n"/>
      <c r="B77" s="9" t="inlineStr">
        <is>
          <t>Ống tole tráng kẽm dày 0.6mm 450x300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inlineStr">
        <is>
          <t>m</t>
        </is>
      </c>
      <c r="M77" s="10" t="n">
        <v>7</v>
      </c>
      <c r="N77" s="11" t="n"/>
      <c r="O77" s="11" t="n"/>
      <c r="P77" s="9" t="n"/>
    </row>
    <row r="78">
      <c r="A78" s="8" t="n"/>
      <c r="B78" s="9" t="inlineStr">
        <is>
          <t>Ống tole tráng kẽm dày 0.6mm 500x200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m</t>
        </is>
      </c>
      <c r="M78" s="10" t="n">
        <v>8</v>
      </c>
      <c r="N78" s="11" t="n"/>
      <c r="O78" s="11" t="n"/>
      <c r="P78" s="9" t="n"/>
    </row>
    <row r="79">
      <c r="A79" s="8" t="n"/>
      <c r="B79" s="9" t="inlineStr">
        <is>
          <t>Ống tole tráng kẽm dày 0.6mm 550x300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m</t>
        </is>
      </c>
      <c r="M79" s="10" t="n">
        <v>17</v>
      </c>
      <c r="N79" s="11" t="n"/>
      <c r="O79" s="11" t="n"/>
      <c r="P79" s="9" t="n"/>
    </row>
    <row r="80">
      <c r="A80" s="8" t="n"/>
      <c r="B80" s="9" t="inlineStr">
        <is>
          <t>Ống tole tráng kẽm dày 0.6mm D150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m</t>
        </is>
      </c>
      <c r="M80" s="10" t="n">
        <v>28</v>
      </c>
      <c r="N80" s="11" t="n"/>
      <c r="O80" s="11" t="n"/>
      <c r="P80" s="9" t="n"/>
    </row>
    <row r="81">
      <c r="A81" s="8" t="n"/>
      <c r="B81" s="9" t="inlineStr">
        <is>
          <t>Ống tole tráng kẽm dày 0.6mm D200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m</t>
        </is>
      </c>
      <c r="M81" s="10" t="n">
        <v>28</v>
      </c>
      <c r="N81" s="11" t="n"/>
      <c r="O81" s="11" t="n"/>
      <c r="P81" s="9" t="n"/>
    </row>
    <row r="82">
      <c r="A82" s="8" t="n"/>
      <c r="B82" s="9" t="inlineStr">
        <is>
          <t>Phụ kiện ống gió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lô</t>
        </is>
      </c>
      <c r="M82" s="10" t="n">
        <v>1</v>
      </c>
      <c r="N82" s="11" t="n"/>
      <c r="O82" s="11" t="n"/>
      <c r="P82" s="9" t="n"/>
    </row>
    <row r="83">
      <c r="A83" s="6" t="n"/>
      <c r="B83" s="7" t="inlineStr">
        <is>
          <t>b. Ống tole tráng kẽm dày 0.8mm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8" t="n"/>
      <c r="B84" s="9" t="inlineStr">
        <is>
          <t>Ống tole tráng kẽm dày 0.8mm 600x250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m</t>
        </is>
      </c>
      <c r="M84" s="10" t="n">
        <v>8</v>
      </c>
      <c r="N84" s="11" t="n"/>
      <c r="O84" s="11" t="n"/>
      <c r="P84" s="9" t="n"/>
    </row>
    <row r="85">
      <c r="A85" s="8" t="n"/>
      <c r="B85" s="9" t="inlineStr">
        <is>
          <t>Ống tole tráng kẽm dày 0.8mm 600x300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m</t>
        </is>
      </c>
      <c r="M85" s="10" t="n">
        <v>42</v>
      </c>
      <c r="N85" s="11" t="n"/>
      <c r="O85" s="11" t="n"/>
      <c r="P85" s="9" t="n"/>
    </row>
    <row r="86">
      <c r="A86" s="8" t="n"/>
      <c r="B86" s="9" t="inlineStr">
        <is>
          <t>Ống tole tráng kẽm dày 0.8mm 600x350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m</t>
        </is>
      </c>
      <c r="M86" s="10" t="n">
        <v>280</v>
      </c>
      <c r="N86" s="11" t="n"/>
      <c r="O86" s="11" t="n"/>
      <c r="P86" s="9" t="n"/>
    </row>
    <row r="87">
      <c r="A87" s="8" t="n"/>
      <c r="B87" s="9" t="inlineStr">
        <is>
          <t>Ống tole tráng kẽm dày 0.8mm 800x300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m</t>
        </is>
      </c>
      <c r="M87" s="10" t="n">
        <v>65</v>
      </c>
      <c r="N87" s="11" t="n"/>
      <c r="O87" s="11" t="n"/>
      <c r="P87" s="9" t="n"/>
    </row>
    <row r="88">
      <c r="A88" s="8" t="n"/>
      <c r="B88" s="9" t="inlineStr">
        <is>
          <t>Ống tole tráng kẽm dày 0.8mm 800x400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m</t>
        </is>
      </c>
      <c r="M88" s="10" t="n">
        <v>17</v>
      </c>
      <c r="N88" s="11" t="n"/>
      <c r="O88" s="11" t="n"/>
      <c r="P88" s="9" t="n"/>
    </row>
    <row r="89">
      <c r="A89" s="8" t="n"/>
      <c r="B89" s="9" t="inlineStr">
        <is>
          <t>Ống tole tráng kẽm dày 0.8mm 900x300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m</t>
        </is>
      </c>
      <c r="M89" s="10" t="n">
        <v>27</v>
      </c>
      <c r="N89" s="11" t="n"/>
      <c r="O89" s="11" t="n"/>
      <c r="P89" s="9" t="n"/>
    </row>
    <row r="90">
      <c r="A90" s="8" t="n"/>
      <c r="B90" s="9" t="inlineStr">
        <is>
          <t>Phụ kiện ống gió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lô</t>
        </is>
      </c>
      <c r="M90" s="10" t="n">
        <v>1</v>
      </c>
      <c r="N90" s="11" t="n"/>
      <c r="O90" s="11" t="n"/>
      <c r="P90" s="9" t="n"/>
    </row>
    <row r="91">
      <c r="A91" s="6" t="n"/>
      <c r="B91" s="7" t="inlineStr">
        <is>
          <t>c. Ống tole tráng kẽm dày 1.0mm</t>
        </is>
      </c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8" t="n"/>
      <c r="B92" s="9" t="inlineStr">
        <is>
          <t>Ống tole tráng kẽm dày 1.0mm 1000x350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m</t>
        </is>
      </c>
      <c r="M92" s="10" t="n">
        <v>10</v>
      </c>
      <c r="N92" s="11" t="n"/>
      <c r="O92" s="11" t="n"/>
      <c r="P92" s="9" t="n"/>
    </row>
    <row r="93">
      <c r="A93" s="8" t="n"/>
      <c r="B93" s="9" t="inlineStr">
        <is>
          <t>Ống tole tráng kẽm dày 1.0mm 1000x500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m</t>
        </is>
      </c>
      <c r="M93" s="10" t="n">
        <v>124</v>
      </c>
      <c r="N93" s="11" t="n"/>
      <c r="O93" s="11" t="n"/>
      <c r="P93" s="9" t="n"/>
    </row>
    <row r="94">
      <c r="A94" s="8" t="n"/>
      <c r="B94" s="9" t="inlineStr">
        <is>
          <t>Ống tole tráng kẽm dày 1.0mm 1200x500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m</t>
        </is>
      </c>
      <c r="M94" s="10" t="n">
        <v>20</v>
      </c>
      <c r="N94" s="11" t="n"/>
      <c r="O94" s="11" t="n"/>
      <c r="P94" s="9" t="n"/>
    </row>
    <row r="95">
      <c r="A95" s="8" t="n"/>
      <c r="B95" s="9" t="inlineStr">
        <is>
          <t>Ống tole tráng kẽm dày 1.0mm 1200x650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m</t>
        </is>
      </c>
      <c r="M95" s="10" t="n">
        <v>6</v>
      </c>
      <c r="N95" s="11" t="n"/>
      <c r="O95" s="11" t="n"/>
      <c r="P95" s="9" t="n"/>
    </row>
    <row r="96">
      <c r="A96" s="8" t="n"/>
      <c r="B96" s="9" t="inlineStr">
        <is>
          <t>Ống tole tráng kẽm dày 1.0mm 1200x800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m</t>
        </is>
      </c>
      <c r="M96" s="10" t="n">
        <v>110</v>
      </c>
      <c r="N96" s="11" t="n"/>
      <c r="O96" s="11" t="n"/>
      <c r="P96" s="9" t="n"/>
    </row>
    <row r="97">
      <c r="A97" s="8" t="n"/>
      <c r="B97" s="9" t="inlineStr">
        <is>
          <t>Phụ kiện ống gió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lô</t>
        </is>
      </c>
      <c r="M97" s="10" t="n">
        <v>1</v>
      </c>
      <c r="N97" s="11" t="n"/>
      <c r="O97" s="11" t="n"/>
      <c r="P97" s="9" t="n"/>
    </row>
    <row r="98">
      <c r="A98" s="6" t="n"/>
      <c r="B98" s="7" t="inlineStr">
        <is>
          <t>d. Ống gió mềm</t>
        </is>
      </c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8" t="n"/>
      <c r="B99" s="9" t="inlineStr">
        <is>
          <t>Ống gió mềm D150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m</t>
        </is>
      </c>
      <c r="M99" s="10" t="n">
        <v>123</v>
      </c>
      <c r="N99" s="11" t="n"/>
      <c r="O99" s="11" t="n"/>
      <c r="P99" s="9" t="n"/>
    </row>
    <row r="100">
      <c r="A100" s="8" t="n"/>
      <c r="B100" s="9" t="inlineStr">
        <is>
          <t>Ống gió mềm D200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m</t>
        </is>
      </c>
      <c r="M100" s="10" t="n">
        <v>10</v>
      </c>
      <c r="N100" s="11" t="n"/>
      <c r="O100" s="11" t="n"/>
      <c r="P100" s="9" t="n"/>
    </row>
    <row r="101">
      <c r="A101" s="8" t="n"/>
      <c r="B101" s="9" t="inlineStr">
        <is>
          <t>Ống gió mềm D250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m</t>
        </is>
      </c>
      <c r="M101" s="10" t="n">
        <v>5</v>
      </c>
      <c r="N101" s="11" t="n"/>
      <c r="O101" s="11" t="n"/>
      <c r="P101" s="9" t="n"/>
    </row>
    <row r="102">
      <c r="A102" s="8" t="n"/>
      <c r="B102" s="9" t="inlineStr">
        <is>
          <t>Ống gió mềm D350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m</t>
        </is>
      </c>
      <c r="M102" s="10" t="n">
        <v>12</v>
      </c>
      <c r="N102" s="11" t="n"/>
      <c r="O102" s="11" t="n"/>
      <c r="P102" s="9" t="n"/>
    </row>
    <row r="103">
      <c r="A103" s="8" t="n"/>
      <c r="B103" s="9" t="inlineStr">
        <is>
          <t>Phụ kiện ống gió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Lô</t>
        </is>
      </c>
      <c r="M103" s="10" t="n">
        <v>1</v>
      </c>
      <c r="N103" s="11" t="n"/>
      <c r="O103" s="11" t="n"/>
      <c r="P103" s="9" t="n"/>
    </row>
    <row r="104">
      <c r="A104" s="6" t="n"/>
      <c r="B104" s="7" t="inlineStr">
        <is>
          <t>4. Thiết bị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5">
      <c r="A105" s="6" t="n"/>
      <c r="B105" s="7" t="inlineStr">
        <is>
          <t>a. Quạt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8" t="n"/>
      <c r="B106" s="9" t="inlineStr">
        <is>
          <t>QUẠT GẮN TƯỜNG WF-A1-B3.01 60L/s 50Pa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GẮN TƯỜNG WF-A1-B2.01 100L/s 50Pa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GẮN TƯỜNG WF-A1-B2.02 970L/s 50Pa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HƯỚNG TRỤC TEF-A1-B2-01 200L/s 250Pa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HƯỚNG TRỤC TEF-A1-B1-01 200L/s 250Pa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HƯỚNG TRỤC EAF-A1-B1.01 9200L/s 350Pa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HƯỚNG TRỤC EAF-A1-B1.02 4050L/s 350Pa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HƯỚNG TRỤC EAF-A1-B1.03 1650L/s 350Pa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HƯỚNG TRỤC EAF-A1-B1.04 1430L/s 350Pa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HƯỚNG TRỤC EAF-A1-B1.05 100L/s 150Pa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GẮN TƯỜNG WF-A1-B1-BV 25L/s 50Pa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HƯỚNG TRỤC TEF-A1-1F.01 450L/s 150Pa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HƯỚNG TRỤC FAF-A1-1F.LO.01 300L/s 300Pa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GẮN TRẦN VF-A1-1F.SH.01 100L/s 50Pa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HƯỚNG TRỤC FAF-A1-1F-TM1 250L/s 300Pa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QUẠT HƯỚNG TRỤC EAF-A1-1F-TM1 250L/s 200Pa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1</v>
      </c>
      <c r="N121" s="11" t="n"/>
      <c r="O121" s="11" t="n"/>
      <c r="P121" s="9" t="n"/>
    </row>
    <row r="122">
      <c r="A122" s="8" t="n"/>
      <c r="B122" s="9" t="inlineStr">
        <is>
          <t>QUẠT HƯỚNG TRỤC FAF-A1-1F-TM2 1500L/s 400Pa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1</v>
      </c>
      <c r="N122" s="11" t="n"/>
      <c r="O122" s="11" t="n"/>
      <c r="P122" s="9" t="n"/>
    </row>
    <row r="123">
      <c r="A123" s="8" t="n"/>
      <c r="B123" s="9" t="inlineStr">
        <is>
          <t>QUẠT HƯỚNG TRỤC EAF-A1-1F-TM2 1500L/s 300Pa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1</v>
      </c>
      <c r="N123" s="11" t="n"/>
      <c r="O123" s="11" t="n"/>
      <c r="P123" s="9" t="n"/>
    </row>
    <row r="124">
      <c r="A124" s="8" t="n"/>
      <c r="B124" s="9" t="inlineStr">
        <is>
          <t>QUẠT GẮN TRẦN VF-A1-1F.BQL 25L/s 50Pa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1</v>
      </c>
      <c r="N124" s="11" t="n"/>
      <c r="O124" s="11" t="n"/>
      <c r="P124" s="9" t="n"/>
    </row>
    <row r="125">
      <c r="A125" s="8" t="n"/>
      <c r="B125" s="9" t="inlineStr">
        <is>
          <t>QUẠT HƯỚNG TRỤC TEF-A1-1F.KID 300L/s 150Pa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1</v>
      </c>
      <c r="N125" s="11" t="n"/>
      <c r="O125" s="11" t="n"/>
      <c r="P125" s="9" t="n"/>
    </row>
    <row r="126">
      <c r="A126" s="8" t="n"/>
      <c r="B126" s="9" t="inlineStr">
        <is>
          <t>QUẠT HƯỚNG TRỤC TEF-A1-2F.01 750L/s 150Pa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1</v>
      </c>
      <c r="N126" s="11" t="n"/>
      <c r="O126" s="11" t="n"/>
      <c r="P126" s="9" t="n"/>
    </row>
    <row r="127">
      <c r="A127" s="8" t="n"/>
      <c r="B127" s="9" t="inlineStr">
        <is>
          <t>QUẠT HƯỚNG TRỤC FAF-A1-2F.SH1 215L/s 300Pa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cái</t>
        </is>
      </c>
      <c r="M127" s="10" t="n">
        <v>1</v>
      </c>
      <c r="N127" s="11" t="n"/>
      <c r="O127" s="11" t="n"/>
      <c r="P127" s="9" t="n"/>
    </row>
    <row r="128">
      <c r="A128" s="8" t="n"/>
      <c r="B128" s="9" t="inlineStr">
        <is>
          <t>QUẠT HƯỚNG TRỤC EAF-A1-2F.SH1 215L/s 200Pa</t>
        </is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inlineStr">
        <is>
          <t>cái</t>
        </is>
      </c>
      <c r="M128" s="10" t="n">
        <v>1</v>
      </c>
      <c r="N128" s="11" t="n"/>
      <c r="O128" s="11" t="n"/>
      <c r="P128" s="9" t="n"/>
    </row>
    <row r="129">
      <c r="A129" s="8" t="n"/>
      <c r="B129" s="9" t="inlineStr">
        <is>
          <t>QUẠT GẮN TRẦN VF-A1-2F.SH2 80L/s 50Pa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inlineStr">
        <is>
          <t>cái</t>
        </is>
      </c>
      <c r="M129" s="10" t="n">
        <v>1</v>
      </c>
      <c r="N129" s="11" t="n"/>
      <c r="O129" s="11" t="n"/>
      <c r="P129" s="9" t="n"/>
    </row>
    <row r="130">
      <c r="A130" s="8" t="n"/>
      <c r="B130" s="9" t="inlineStr">
        <is>
          <t>QUẠT GẮN TRẦN VF-A1-2F.SH3 80L/s 50Pa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inlineStr">
        <is>
          <t>cái</t>
        </is>
      </c>
      <c r="M130" s="10" t="n">
        <v>1</v>
      </c>
      <c r="N130" s="11" t="n"/>
      <c r="O130" s="11" t="n"/>
      <c r="P130" s="9" t="n"/>
    </row>
    <row r="131">
      <c r="A131" s="8" t="n"/>
      <c r="B131" s="9" t="inlineStr">
        <is>
          <t>QUẠT GẮN TRẦN VF-A1-2F.SH4 80L/s 50Pa</t>
        </is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inlineStr">
        <is>
          <t>cái</t>
        </is>
      </c>
      <c r="M131" s="10" t="n">
        <v>1</v>
      </c>
      <c r="N131" s="11" t="n"/>
      <c r="O131" s="11" t="n"/>
      <c r="P131" s="9" t="n"/>
    </row>
    <row r="132">
      <c r="A132" s="8" t="n"/>
      <c r="B132" s="9" t="inlineStr">
        <is>
          <t>QUẠT HƯỚNG TRỤC FAF-A1-2F.SH5 215L/s 300Pa</t>
        </is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inlineStr">
        <is>
          <t>cái</t>
        </is>
      </c>
      <c r="M132" s="10" t="n">
        <v>1</v>
      </c>
      <c r="N132" s="11" t="n"/>
      <c r="O132" s="11" t="n"/>
      <c r="P132" s="9" t="n"/>
    </row>
    <row r="133">
      <c r="A133" s="8" t="n"/>
      <c r="B133" s="9" t="inlineStr">
        <is>
          <t>QUẠT HƯỚNG TRỤC EAF-A1-2F.SH5 215L/s 200Pa</t>
        </is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inlineStr">
        <is>
          <t>cái</t>
        </is>
      </c>
      <c r="M133" s="10" t="n">
        <v>1</v>
      </c>
      <c r="N133" s="11" t="n"/>
      <c r="O133" s="11" t="n"/>
      <c r="P133" s="9" t="n"/>
    </row>
    <row r="134">
      <c r="A134" s="8" t="n"/>
      <c r="B134" s="9" t="inlineStr">
        <is>
          <t>QUẠT GẮN TRẦN VF-A1-2F.SH6 80L/s 50Pa</t>
        </is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inlineStr">
        <is>
          <t>cái</t>
        </is>
      </c>
      <c r="M134" s="10" t="n">
        <v>1</v>
      </c>
      <c r="N134" s="11" t="n"/>
      <c r="O134" s="11" t="n"/>
      <c r="P134" s="9" t="n"/>
    </row>
    <row r="135">
      <c r="A135" s="8" t="n"/>
      <c r="B135" s="9" t="inlineStr">
        <is>
          <t>QUẠT GẮN TƯỜNG WF-A1-TR.01 850L/s 50Pa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inlineStr">
        <is>
          <t>cái</t>
        </is>
      </c>
      <c r="M135" s="10" t="n">
        <v>1</v>
      </c>
      <c r="N135" s="11" t="n"/>
      <c r="O135" s="11" t="n"/>
      <c r="P135" s="9" t="n"/>
    </row>
    <row r="136">
      <c r="A136" s="8" t="n"/>
      <c r="B136" s="9" t="inlineStr">
        <is>
          <t>QUẠT GẮN TƯỜNG WF-A2-B3.01 60L/s 50Pa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inlineStr">
        <is>
          <t>cái</t>
        </is>
      </c>
      <c r="M136" s="10" t="n">
        <v>1</v>
      </c>
      <c r="N136" s="11" t="n"/>
      <c r="O136" s="11" t="n"/>
      <c r="P136" s="9" t="n"/>
    </row>
    <row r="137">
      <c r="A137" s="8" t="n"/>
      <c r="B137" s="9" t="inlineStr">
        <is>
          <t>QUẠT GẮN TƯỜNG WF-A2-B2.01 100L/s 50Pa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inlineStr">
        <is>
          <t>cái</t>
        </is>
      </c>
      <c r="M137" s="10" t="n">
        <v>1</v>
      </c>
      <c r="N137" s="11" t="n"/>
      <c r="O137" s="11" t="n"/>
      <c r="P137" s="9" t="n"/>
    </row>
    <row r="138">
      <c r="A138" s="8" t="n"/>
      <c r="B138" s="9" t="inlineStr">
        <is>
          <t>QUẠT HƯỚNG TRỤC TEF-A2-B1.01 200L/s 250Pa</t>
        </is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inlineStr">
        <is>
          <t>cái</t>
        </is>
      </c>
      <c r="M138" s="10" t="n">
        <v>1</v>
      </c>
      <c r="N138" s="11" t="n"/>
      <c r="O138" s="11" t="n"/>
      <c r="P138" s="9" t="n"/>
    </row>
    <row r="139">
      <c r="A139" s="8" t="n"/>
      <c r="B139" s="9" t="inlineStr">
        <is>
          <t>QUẠT HƯỚNG TRỤC EAF-A2-B1.04 100L/s 150Pa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inlineStr">
        <is>
          <t>cái</t>
        </is>
      </c>
      <c r="M139" s="10" t="n">
        <v>1</v>
      </c>
      <c r="N139" s="11" t="n"/>
      <c r="O139" s="11" t="n"/>
      <c r="P139" s="9" t="n"/>
    </row>
    <row r="140">
      <c r="A140" s="8" t="n"/>
      <c r="B140" s="9" t="inlineStr">
        <is>
          <t>QUẠT HƯỚNG TRỤC EAF-A2-B1.01 7500L/s 350Pa</t>
        </is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inlineStr">
        <is>
          <t>cái</t>
        </is>
      </c>
      <c r="M140" s="10" t="n">
        <v>1</v>
      </c>
      <c r="N140" s="11" t="n"/>
      <c r="O140" s="11" t="n"/>
      <c r="P140" s="9" t="n"/>
    </row>
    <row r="141">
      <c r="A141" s="8" t="n"/>
      <c r="B141" s="9" t="inlineStr">
        <is>
          <t>QUẠT HƯỚNG TRỤC EAF-A2-B1.02 3750L/s 350Pa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inlineStr">
        <is>
          <t>cái</t>
        </is>
      </c>
      <c r="M141" s="10" t="n">
        <v>1</v>
      </c>
      <c r="N141" s="11" t="n"/>
      <c r="O141" s="11" t="n"/>
      <c r="P141" s="9" t="n"/>
    </row>
    <row r="142">
      <c r="A142" s="8" t="n"/>
      <c r="B142" s="9" t="inlineStr">
        <is>
          <t>QUẠT HƯỚNG TRỤC EAF-A2-B1.03 1600L/s 350Pa</t>
        </is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inlineStr">
        <is>
          <t>cái</t>
        </is>
      </c>
      <c r="M142" s="10" t="n">
        <v>1</v>
      </c>
      <c r="N142" s="11" t="n"/>
      <c r="O142" s="11" t="n"/>
      <c r="P142" s="9" t="n"/>
    </row>
    <row r="143">
      <c r="A143" s="8" t="n"/>
      <c r="B143" s="9" t="inlineStr">
        <is>
          <t>QUẠT HƯỚNG TRỤC TEF-A2-1F.01 400L/s 150Pa</t>
        </is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inlineStr">
        <is>
          <t>cái</t>
        </is>
      </c>
      <c r="M143" s="10" t="n">
        <v>1</v>
      </c>
      <c r="N143" s="11" t="n"/>
      <c r="O143" s="11" t="n"/>
      <c r="P143" s="9" t="n"/>
    </row>
    <row r="144">
      <c r="A144" s="8" t="n"/>
      <c r="B144" s="9" t="inlineStr">
        <is>
          <t>QUẠT GẮN TRẦN VF-A2-1F.BQL 30L/s 50Pa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cái</t>
        </is>
      </c>
      <c r="M144" s="10" t="n">
        <v>1</v>
      </c>
      <c r="N144" s="11" t="n"/>
      <c r="O144" s="11" t="n"/>
      <c r="P144" s="9" t="n"/>
    </row>
    <row r="145">
      <c r="A145" s="8" t="n"/>
      <c r="B145" s="9" t="inlineStr">
        <is>
          <t>QUẠT GẮN TRẦN VF-A2-1F.TB 25L/s 50Pa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inlineStr">
        <is>
          <t>cái</t>
        </is>
      </c>
      <c r="M145" s="10" t="n">
        <v>1</v>
      </c>
      <c r="N145" s="11" t="n"/>
      <c r="O145" s="11" t="n"/>
      <c r="P145" s="9" t="n"/>
    </row>
    <row r="146">
      <c r="A146" s="8" t="n"/>
      <c r="B146" s="9" t="inlineStr">
        <is>
          <t>QUẠT HƯỚNG TRỤC FAF-A2-1F.LO.01 375L/s 300Pa</t>
        </is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inlineStr">
        <is>
          <t>cái</t>
        </is>
      </c>
      <c r="M146" s="10" t="n">
        <v>1</v>
      </c>
      <c r="N146" s="11" t="n"/>
      <c r="O146" s="11" t="n"/>
      <c r="P146" s="9" t="n"/>
    </row>
    <row r="147">
      <c r="A147" s="8" t="n"/>
      <c r="B147" s="9" t="inlineStr">
        <is>
          <t>QUẠT HƯỚNG TRỤC VF-A2-1F.TM3 30L/s 50Pa</t>
        </is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inlineStr">
        <is>
          <t>cái</t>
        </is>
      </c>
      <c r="M147" s="10" t="n">
        <v>1</v>
      </c>
      <c r="N147" s="11" t="n"/>
      <c r="O147" s="11" t="n"/>
      <c r="P147" s="9" t="n"/>
    </row>
    <row r="148">
      <c r="A148" s="8" t="n"/>
      <c r="B148" s="9" t="inlineStr">
        <is>
          <t>QUẠT HƯỚNG TRỤC VF-A2-1F.TM4 60L/s 50Pa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cái</t>
        </is>
      </c>
      <c r="M148" s="10" t="n">
        <v>1</v>
      </c>
      <c r="N148" s="11" t="n"/>
      <c r="O148" s="11" t="n"/>
      <c r="P148" s="9" t="n"/>
    </row>
    <row r="149">
      <c r="A149" s="8" t="n"/>
      <c r="B149" s="9" t="inlineStr">
        <is>
          <t>QUẠT HƯỚNG TRỤC FAF-A2-1F.TM5 215L/s 300Pa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inlineStr">
        <is>
          <t>cái</t>
        </is>
      </c>
      <c r="M149" s="10" t="n">
        <v>1</v>
      </c>
      <c r="N149" s="11" t="n"/>
      <c r="O149" s="11" t="n"/>
      <c r="P149" s="9" t="n"/>
    </row>
    <row r="150">
      <c r="A150" s="8" t="n"/>
      <c r="B150" s="9" t="inlineStr">
        <is>
          <t>QUẠT HƯỚNG TRỤC EAF-A2-1F.TM5 215L/s 200Pa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cái</t>
        </is>
      </c>
      <c r="M150" s="10" t="n">
        <v>1</v>
      </c>
      <c r="N150" s="11" t="n"/>
      <c r="O150" s="11" t="n"/>
      <c r="P150" s="9" t="n"/>
    </row>
    <row r="151">
      <c r="A151" s="8" t="n"/>
      <c r="B151" s="9" t="inlineStr">
        <is>
          <t>QUẠT GẮN TRẦN VF-A2-1F.VP 25L/s 50Pa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cái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QUẠT HƯỚNG TRỤC TEF-A2-1F.KID 220L/s 150Pa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cái</t>
        </is>
      </c>
      <c r="M152" s="10" t="n">
        <v>1</v>
      </c>
      <c r="N152" s="11" t="n"/>
      <c r="O152" s="11" t="n"/>
      <c r="P152" s="9" t="n"/>
    </row>
    <row r="153">
      <c r="A153" s="8" t="n"/>
      <c r="B153" s="9" t="inlineStr">
        <is>
          <t>QUẠT HƯỚNG TRỤC TEF-A2-2F.01 350L/s 150Pa</t>
        </is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inlineStr">
        <is>
          <t>cái</t>
        </is>
      </c>
      <c r="M153" s="10" t="n">
        <v>1</v>
      </c>
      <c r="N153" s="11" t="n"/>
      <c r="O153" s="11" t="n"/>
      <c r="P153" s="9" t="n"/>
    </row>
    <row r="154">
      <c r="A154" s="8" t="n"/>
      <c r="B154" s="9" t="inlineStr">
        <is>
          <t>QUẠT HƯỚNG TRỤC FAF-A2-2F.GYM 900L/s 400Pa</t>
        </is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inlineStr">
        <is>
          <t>cái</t>
        </is>
      </c>
      <c r="M154" s="10" t="n">
        <v>1</v>
      </c>
      <c r="N154" s="11" t="n"/>
      <c r="O154" s="11" t="n"/>
      <c r="P154" s="9" t="n"/>
    </row>
    <row r="155">
      <c r="A155" s="8" t="n"/>
      <c r="B155" s="9" t="inlineStr">
        <is>
          <t>QUẠT HƯỚNG TRỤC EAF-A2-2F.GYM 900L/s 300Pa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inlineStr">
        <is>
          <t>cái</t>
        </is>
      </c>
      <c r="M155" s="10" t="n">
        <v>1</v>
      </c>
      <c r="N155" s="11" t="n"/>
      <c r="O155" s="11" t="n"/>
      <c r="P155" s="9" t="n"/>
    </row>
    <row r="156">
      <c r="A156" s="8" t="n"/>
      <c r="B156" s="9" t="inlineStr">
        <is>
          <t>QUẠT GẮN TRẦN VF-A2-2F.GT3 70L/s 50Pa</t>
        </is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inlineStr">
        <is>
          <t>cái</t>
        </is>
      </c>
      <c r="M156" s="10" t="n">
        <v>1</v>
      </c>
      <c r="N156" s="11" t="n"/>
      <c r="O156" s="11" t="n"/>
      <c r="P156" s="9" t="n"/>
    </row>
    <row r="157">
      <c r="A157" s="8" t="n"/>
      <c r="B157" s="9" t="inlineStr">
        <is>
          <t>QUẠT HƯỚNG TRỤC FAF-A2-2F.SHCD 470L/s 300Pa</t>
        </is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inlineStr">
        <is>
          <t>cái</t>
        </is>
      </c>
      <c r="M157" s="10" t="n">
        <v>1</v>
      </c>
      <c r="N157" s="11" t="n"/>
      <c r="O157" s="11" t="n"/>
      <c r="P157" s="9" t="n"/>
    </row>
    <row r="158">
      <c r="A158" s="8" t="n"/>
      <c r="B158" s="9" t="inlineStr">
        <is>
          <t>QUẠT HƯỚNG TRỤC EAF-A2-2F.SHCD 470L/s 200Pa</t>
        </is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inlineStr">
        <is>
          <t>cái</t>
        </is>
      </c>
      <c r="M158" s="10" t="n">
        <v>1</v>
      </c>
      <c r="N158" s="11" t="n"/>
      <c r="O158" s="11" t="n"/>
      <c r="P158" s="9" t="n"/>
    </row>
    <row r="159">
      <c r="A159" s="8" t="n"/>
      <c r="B159" s="9" t="inlineStr">
        <is>
          <t>QUẠT HƯỚNG TRỤC TEF-A2-2F.KID 220L/s 150Pa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inlineStr">
        <is>
          <t>cái</t>
        </is>
      </c>
      <c r="M159" s="10" t="n">
        <v>1</v>
      </c>
      <c r="N159" s="11" t="n"/>
      <c r="O159" s="11" t="n"/>
      <c r="P159" s="9" t="n"/>
    </row>
    <row r="160">
      <c r="A160" s="8" t="n"/>
      <c r="B160" s="9" t="inlineStr">
        <is>
          <t>QUẠT GẮN TƯỜNG WF-A2-TR.01 850L/s 50Pa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inlineStr">
        <is>
          <t>cái</t>
        </is>
      </c>
      <c r="M160" s="10" t="n">
        <v>1</v>
      </c>
      <c r="N160" s="11" t="n"/>
      <c r="O160" s="11" t="n"/>
      <c r="P160" s="9" t="n"/>
    </row>
    <row r="161">
      <c r="A161" s="8" t="n"/>
      <c r="B161" s="9" t="inlineStr">
        <is>
          <t>QUẠT GẮN TRẦN TEF-A 70L/s -Pa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inlineStr">
        <is>
          <t>cái</t>
        </is>
      </c>
      <c r="M161" s="10" t="n">
        <v>6</v>
      </c>
      <c r="N161" s="11" t="n"/>
      <c r="O161" s="11" t="n"/>
      <c r="P161" s="9" t="n"/>
    </row>
    <row r="162">
      <c r="A162" s="8" t="n"/>
      <c r="B162" s="9" t="inlineStr">
        <is>
          <t>Cảm biến nhệt độ</t>
        </is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inlineStr">
        <is>
          <t>cái</t>
        </is>
      </c>
      <c r="M162" s="10" t="n">
        <v>4</v>
      </c>
      <c r="N162" s="11" t="n"/>
      <c r="O162" s="11" t="n"/>
      <c r="P162" s="9" t="n"/>
    </row>
    <row r="163">
      <c r="A163" s="8" t="n"/>
      <c r="B163" s="9" t="inlineStr">
        <is>
          <t>Vật tư phụ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inlineStr">
        <is>
          <t>Lô</t>
        </is>
      </c>
      <c r="M163" s="10" t="n">
        <v>1</v>
      </c>
      <c r="N163" s="11" t="n"/>
      <c r="O163" s="11" t="n"/>
      <c r="P163" s="9" t="n"/>
    </row>
    <row r="164">
      <c r="A164" s="6" t="n"/>
      <c r="B164" s="7" t="inlineStr">
        <is>
          <t>b. Máy Lạnh trung tâm VRV</t>
        </is>
      </c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</row>
    <row r="165">
      <c r="A165" s="8" t="n"/>
      <c r="B165" s="9" t="inlineStr">
        <is>
          <t>Dàn nóng trung tâm VRV 162kW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inlineStr">
        <is>
          <t>bộ</t>
        </is>
      </c>
      <c r="M165" s="10" t="n">
        <v>3</v>
      </c>
      <c r="N165" s="11" t="n"/>
      <c r="O165" s="11" t="n"/>
      <c r="P165" s="9" t="n"/>
    </row>
    <row r="166">
      <c r="A166" s="8" t="n"/>
      <c r="B166" s="9" t="inlineStr">
        <is>
          <t>Dàn nóng trung tâm VRV 128kW</t>
        </is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inlineStr">
        <is>
          <t>bộ</t>
        </is>
      </c>
      <c r="M166" s="10" t="n">
        <v>1</v>
      </c>
      <c r="N166" s="11" t="n"/>
      <c r="O166" s="11" t="n"/>
      <c r="P166" s="9" t="n"/>
    </row>
    <row r="167">
      <c r="A167" s="8" t="n"/>
      <c r="B167" s="9" t="inlineStr">
        <is>
          <t>Dàn lạnh âm trần đa hướng thổi 16kW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inlineStr">
        <is>
          <t>bộ</t>
        </is>
      </c>
      <c r="M167" s="10" t="n">
        <v>38</v>
      </c>
      <c r="N167" s="11" t="n"/>
      <c r="O167" s="11" t="n"/>
      <c r="P167" s="9" t="n"/>
    </row>
    <row r="168">
      <c r="A168" s="8" t="n"/>
      <c r="B168" s="9" t="inlineStr">
        <is>
          <t>Khiển dây gắn tường BRC1E63</t>
        </is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inlineStr">
        <is>
          <t>Cái</t>
        </is>
      </c>
      <c r="M168" s="10" t="n">
        <v>38</v>
      </c>
      <c r="N168" s="11" t="n"/>
      <c r="O168" s="11" t="n"/>
      <c r="P168" s="9" t="n"/>
    </row>
    <row r="169">
      <c r="A169" s="8" t="n"/>
      <c r="B169" s="9" t="inlineStr">
        <is>
          <t>Mặt nạ Cassetet BYCQ12EAF8</t>
        </is>
      </c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inlineStr">
        <is>
          <t>Cái</t>
        </is>
      </c>
      <c r="M169" s="10" t="n">
        <v>38</v>
      </c>
      <c r="N169" s="11" t="n"/>
      <c r="O169" s="11" t="n"/>
      <c r="P169" s="9" t="n"/>
    </row>
    <row r="170">
      <c r="A170" s="8" t="n"/>
      <c r="B170" s="9" t="inlineStr">
        <is>
          <t>Vật tư phụ</t>
        </is>
      </c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inlineStr">
        <is>
          <t>Lô</t>
        </is>
      </c>
      <c r="M170" s="10" t="n">
        <v>1</v>
      </c>
      <c r="N170" s="11" t="n"/>
      <c r="O170" s="11" t="n"/>
      <c r="P170" s="9" t="n"/>
    </row>
    <row r="171">
      <c r="A171" s="8" t="n"/>
      <c r="B171" s="9" t="inlineStr">
        <is>
          <t>Ga nạp R410/R32 (khối lượng tạm tính)</t>
        </is>
      </c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inlineStr">
        <is>
          <t>Kg</t>
        </is>
      </c>
      <c r="M171" s="10" t="n">
        <v>300</v>
      </c>
      <c r="N171" s="11" t="n"/>
      <c r="O171" s="11" t="n"/>
      <c r="P171" s="9" t="n"/>
    </row>
    <row r="172">
      <c r="A172" s="6" t="n"/>
      <c r="B172" s="7" t="inlineStr">
        <is>
          <t>c. Máy Lạnh cục bộ loại gắn tường</t>
        </is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</row>
    <row r="173">
      <c r="A173" s="8" t="n"/>
      <c r="B173" s="9" t="inlineStr">
        <is>
          <t>5.3kW</t>
        </is>
      </c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inlineStr">
        <is>
          <t>bộ</t>
        </is>
      </c>
      <c r="M173" s="10" t="n">
        <v>6</v>
      </c>
      <c r="N173" s="11" t="n"/>
      <c r="O173" s="11" t="n"/>
      <c r="P173" s="9" t="n"/>
    </row>
    <row r="174">
      <c r="A174" s="8" t="n"/>
      <c r="B174" s="9" t="inlineStr">
        <is>
          <t>7.1kW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inlineStr">
        <is>
          <t>bộ</t>
        </is>
      </c>
      <c r="M174" s="10" t="n">
        <v>4</v>
      </c>
      <c r="N174" s="11" t="n"/>
      <c r="O174" s="11" t="n"/>
      <c r="P174" s="9" t="n"/>
    </row>
    <row r="175">
      <c r="A175" s="8" t="n"/>
      <c r="B175" s="9" t="inlineStr">
        <is>
          <t>Vật tư phụ</t>
        </is>
      </c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inlineStr">
        <is>
          <t>Lô</t>
        </is>
      </c>
      <c r="M175" s="10" t="n">
        <v>1</v>
      </c>
      <c r="N175" s="11" t="n"/>
      <c r="O175" s="11" t="n"/>
      <c r="P175" s="9" t="n"/>
    </row>
    <row r="176">
      <c r="A176" s="8" t="n"/>
      <c r="B176" s="9" t="inlineStr">
        <is>
          <t>Ga nạp R410/R32 (khối lượng tạm tính)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inlineStr">
        <is>
          <t>Kg</t>
        </is>
      </c>
      <c r="M176" s="10" t="n">
        <v>8.800000000000001</v>
      </c>
      <c r="N176" s="11" t="n"/>
      <c r="O176" s="11" t="n"/>
      <c r="P176" s="9" t="n"/>
    </row>
    <row r="177">
      <c r="A177" s="6" t="n"/>
      <c r="B177" s="7" t="inlineStr">
        <is>
          <t>c. Máy Lạnh cục bộ loại âm trần 4 hướng thổi</t>
        </is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8" t="n"/>
      <c r="B178" s="9" t="inlineStr">
        <is>
          <t>5.0kW</t>
        </is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inlineStr">
        <is>
          <t>bộ</t>
        </is>
      </c>
      <c r="M178" s="10" t="n">
        <v>2</v>
      </c>
      <c r="N178" s="11" t="n"/>
      <c r="O178" s="11" t="n"/>
      <c r="P178" s="9" t="n"/>
    </row>
    <row r="179">
      <c r="A179" s="8" t="n"/>
      <c r="B179" s="9" t="inlineStr">
        <is>
          <t>7.1kW</t>
        </is>
      </c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inlineStr">
        <is>
          <t>bộ</t>
        </is>
      </c>
      <c r="M179" s="10" t="n">
        <v>2</v>
      </c>
      <c r="N179" s="11" t="n"/>
      <c r="O179" s="11" t="n"/>
      <c r="P179" s="9" t="n"/>
    </row>
    <row r="180">
      <c r="A180" s="8" t="n"/>
      <c r="B180" s="9" t="inlineStr">
        <is>
          <t>10.0kW</t>
        </is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inlineStr">
        <is>
          <t>bộ</t>
        </is>
      </c>
      <c r="M180" s="10" t="n">
        <v>2</v>
      </c>
      <c r="N180" s="11" t="n"/>
      <c r="O180" s="11" t="n"/>
      <c r="P180" s="9" t="n"/>
    </row>
    <row r="181">
      <c r="A181" s="8" t="n"/>
      <c r="B181" s="9" t="inlineStr">
        <is>
          <t>12.5kW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inlineStr">
        <is>
          <t>bộ</t>
        </is>
      </c>
      <c r="M181" s="10" t="n">
        <v>10</v>
      </c>
      <c r="N181" s="11" t="n"/>
      <c r="O181" s="11" t="n"/>
      <c r="P181" s="9" t="n"/>
    </row>
    <row r="182">
      <c r="A182" s="8" t="n"/>
      <c r="B182" s="9" t="inlineStr">
        <is>
          <t>14.0kW</t>
        </is>
      </c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inlineStr">
        <is>
          <t>bộ</t>
        </is>
      </c>
      <c r="M182" s="10" t="n">
        <v>33</v>
      </c>
      <c r="N182" s="11" t="n"/>
      <c r="O182" s="11" t="n"/>
      <c r="P182" s="9" t="n"/>
    </row>
    <row r="183">
      <c r="A183" s="8" t="n"/>
      <c r="B183" s="9" t="inlineStr">
        <is>
          <t>Khiển dây gắn tường BRC1E63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inlineStr">
        <is>
          <t>Cái</t>
        </is>
      </c>
      <c r="M183" s="10" t="n">
        <v>49</v>
      </c>
      <c r="N183" s="11" t="n"/>
      <c r="O183" s="11" t="n"/>
      <c r="P183" s="9" t="n"/>
    </row>
    <row r="184">
      <c r="A184" s="8" t="n"/>
      <c r="B184" s="9" t="inlineStr">
        <is>
          <t>Mặt nạ Cassetet BYCQ12EAF8</t>
        </is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inlineStr">
        <is>
          <t>Cái</t>
        </is>
      </c>
      <c r="M184" s="10" t="n">
        <v>49</v>
      </c>
      <c r="N184" s="11" t="n"/>
      <c r="O184" s="11" t="n"/>
      <c r="P184" s="9" t="n"/>
    </row>
    <row r="185">
      <c r="A185" s="8" t="n"/>
      <c r="B185" s="9" t="inlineStr">
        <is>
          <t>Vật tư phụ</t>
        </is>
      </c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inlineStr">
        <is>
          <t>Lô</t>
        </is>
      </c>
      <c r="M185" s="10" t="n">
        <v>1</v>
      </c>
      <c r="N185" s="11" t="n"/>
      <c r="O185" s="11" t="n"/>
      <c r="P185" s="9" t="n"/>
    </row>
    <row r="186">
      <c r="A186" s="8" t="n"/>
      <c r="B186" s="9" t="inlineStr">
        <is>
          <t>Ga nạp R410/R32 (khối lượng tạm tính)</t>
        </is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inlineStr">
        <is>
          <t>Kg</t>
        </is>
      </c>
      <c r="M186" s="10" t="n">
        <v>40</v>
      </c>
      <c r="N186" s="11" t="n"/>
      <c r="O186" s="11" t="n"/>
      <c r="P186" s="9" t="n"/>
    </row>
    <row r="187">
      <c r="A187" s="6" t="n"/>
      <c r="B187" s="7" t="inlineStr">
        <is>
          <t>e. Máy Lạnh cục bộ loại tủ đứng</t>
        </is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8" t="n"/>
      <c r="B188" s="9" t="inlineStr">
        <is>
          <t>14kW</t>
        </is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inlineStr">
        <is>
          <t>bộ</t>
        </is>
      </c>
      <c r="M188" s="10" t="n">
        <v>6</v>
      </c>
      <c r="N188" s="11" t="n"/>
      <c r="O188" s="11" t="n"/>
      <c r="P188" s="9" t="n"/>
    </row>
    <row r="189">
      <c r="A189" s="8" t="n"/>
      <c r="B189" s="9" t="inlineStr">
        <is>
          <t>Vật tư phụ</t>
        </is>
      </c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inlineStr">
        <is>
          <t>Lô</t>
        </is>
      </c>
      <c r="M189" s="10" t="n">
        <v>1</v>
      </c>
      <c r="N189" s="11" t="n"/>
      <c r="O189" s="11" t="n"/>
      <c r="P189" s="9" t="n"/>
    </row>
    <row r="190">
      <c r="A190" s="6" t="n"/>
      <c r="B190" s="7" t="inlineStr">
        <is>
          <t>g. Miệng gió</t>
        </is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</row>
    <row r="191">
      <c r="A191" s="8" t="n"/>
      <c r="B191" s="9" t="inlineStr">
        <is>
          <t>Miệng gió EAG 200x200+OBD kèm hộp gió</t>
        </is>
      </c>
      <c r="C191" s="8" t="inlineStr">
        <is>
          <t>SDG+O</t>
        </is>
      </c>
      <c r="D191" s="8" t="inlineStr">
        <is>
          <t>SWIND</t>
        </is>
      </c>
      <c r="E191" s="8" t="n">
        <v>200</v>
      </c>
      <c r="F191" s="8" t="n">
        <v>200</v>
      </c>
      <c r="G191" s="8" t="n">
        <v>150</v>
      </c>
      <c r="H191" s="8" t="n">
        <v>150</v>
      </c>
      <c r="I191" s="8" t="n"/>
      <c r="J191" s="8" t="n"/>
      <c r="K191" s="8" t="n"/>
      <c r="L191" s="8" t="inlineStr">
        <is>
          <t>cái</t>
        </is>
      </c>
      <c r="M191" s="10" t="n">
        <v>62</v>
      </c>
      <c r="N191" s="10">
        <f>ROUND('00_TONG_HOP_BAO_GIA'!Q2, 0)</f>
        <v/>
      </c>
      <c r="O191" s="10">
        <f>ROUNDUP(N191*M191, -2)</f>
        <v/>
      </c>
      <c r="P191" s="9" t="inlineStr">
        <is>
          <t>Cửa nan bầu dục 1 lớp kèm van OBD</t>
        </is>
      </c>
    </row>
    <row r="192">
      <c r="A192" s="8" t="n"/>
      <c r="B192" s="9" t="inlineStr">
        <is>
          <t>Miệng gió EAG 300x200+OBD kèm hộp gió</t>
        </is>
      </c>
      <c r="C192" s="8" t="inlineStr">
        <is>
          <t>SDG+O</t>
        </is>
      </c>
      <c r="D192" s="8" t="inlineStr">
        <is>
          <t>SWIND</t>
        </is>
      </c>
      <c r="E192" s="8" t="n">
        <v>300</v>
      </c>
      <c r="F192" s="8" t="n">
        <v>200</v>
      </c>
      <c r="G192" s="8" t="n">
        <v>250</v>
      </c>
      <c r="H192" s="8" t="n">
        <v>150</v>
      </c>
      <c r="I192" s="8" t="n"/>
      <c r="J192" s="8" t="n"/>
      <c r="K192" s="8" t="n"/>
      <c r="L192" s="8" t="inlineStr">
        <is>
          <t>cái</t>
        </is>
      </c>
      <c r="M192" s="10" t="n">
        <v>6</v>
      </c>
      <c r="N192" s="10">
        <f>ROUND('00_TONG_HOP_BAO_GIA'!Q3, 0)</f>
        <v/>
      </c>
      <c r="O192" s="10">
        <f>ROUNDUP(N192*M192, -2)</f>
        <v/>
      </c>
      <c r="P192" s="9" t="inlineStr">
        <is>
          <t>Cửa nan bầu dục 1 lớp kèm van OBD</t>
        </is>
      </c>
    </row>
    <row r="193">
      <c r="A193" s="8" t="n"/>
      <c r="B193" s="9" t="inlineStr">
        <is>
          <t>Miệng gió EAG 700x400+OBD kèm hộp gió</t>
        </is>
      </c>
      <c r="C193" s="8" t="inlineStr">
        <is>
          <t>SDG+O</t>
        </is>
      </c>
      <c r="D193" s="8" t="inlineStr">
        <is>
          <t>SWIND</t>
        </is>
      </c>
      <c r="E193" s="8" t="n">
        <v>700</v>
      </c>
      <c r="F193" s="8" t="n">
        <v>400</v>
      </c>
      <c r="G193" s="8" t="n">
        <v>650</v>
      </c>
      <c r="H193" s="8" t="n">
        <v>350</v>
      </c>
      <c r="I193" s="8" t="n"/>
      <c r="J193" s="8" t="n"/>
      <c r="K193" s="8" t="n"/>
      <c r="L193" s="8" t="inlineStr">
        <is>
          <t>cái</t>
        </is>
      </c>
      <c r="M193" s="10" t="n">
        <v>5</v>
      </c>
      <c r="N193" s="10">
        <f>ROUND('00_TONG_HOP_BAO_GIA'!Q4, 0)</f>
        <v/>
      </c>
      <c r="O193" s="10">
        <f>ROUNDUP(N193*M193, -2)</f>
        <v/>
      </c>
      <c r="P193" s="9" t="inlineStr">
        <is>
          <t>Cửa nan bầu dục 1 lớp kèm van OBD</t>
        </is>
      </c>
    </row>
    <row r="194">
      <c r="A194" s="8" t="n"/>
      <c r="B194" s="9" t="inlineStr">
        <is>
          <t>Miệng gió EAG 800x500+OBD kèm hộp gió</t>
        </is>
      </c>
      <c r="C194" s="8" t="inlineStr">
        <is>
          <t>SDG+O</t>
        </is>
      </c>
      <c r="D194" s="8" t="inlineStr">
        <is>
          <t>SWIND</t>
        </is>
      </c>
      <c r="E194" s="8" t="n">
        <v>800</v>
      </c>
      <c r="F194" s="8" t="n">
        <v>500</v>
      </c>
      <c r="G194" s="8" t="n">
        <v>750</v>
      </c>
      <c r="H194" s="8" t="n">
        <v>450</v>
      </c>
      <c r="I194" s="8" t="n"/>
      <c r="J194" s="8" t="n"/>
      <c r="K194" s="8" t="n"/>
      <c r="L194" s="8" t="inlineStr">
        <is>
          <t>cái</t>
        </is>
      </c>
      <c r="M194" s="10" t="n">
        <v>6</v>
      </c>
      <c r="N194" s="10">
        <f>ROUND('00_TONG_HOP_BAO_GIA'!Q5, 0)</f>
        <v/>
      </c>
      <c r="O194" s="10">
        <f>ROUNDUP(N194*M194, -2)</f>
        <v/>
      </c>
      <c r="P194" s="9" t="inlineStr">
        <is>
          <t>Cửa nan bầu dục 1 lớp kèm van OBD</t>
        </is>
      </c>
    </row>
    <row r="195">
      <c r="A195" s="8" t="n"/>
      <c r="B195" s="9" t="inlineStr">
        <is>
          <t>Miệng gió EAG 1000x600+OBD kèm hộp gió</t>
        </is>
      </c>
      <c r="C195" s="8" t="inlineStr">
        <is>
          <t>SDG+O</t>
        </is>
      </c>
      <c r="D195" s="8" t="inlineStr">
        <is>
          <t>SWIND</t>
        </is>
      </c>
      <c r="E195" s="8" t="n">
        <v>1000</v>
      </c>
      <c r="F195" s="8" t="n">
        <v>600</v>
      </c>
      <c r="G195" s="8" t="n">
        <v>950</v>
      </c>
      <c r="H195" s="8" t="n">
        <v>550</v>
      </c>
      <c r="I195" s="8" t="n"/>
      <c r="J195" s="8" t="n"/>
      <c r="K195" s="8" t="n"/>
      <c r="L195" s="8" t="inlineStr">
        <is>
          <t>cái</t>
        </is>
      </c>
      <c r="M195" s="10" t="n">
        <v>8</v>
      </c>
      <c r="N195" s="10">
        <f>ROUND('00_TONG_HOP_BAO_GIA'!Q6, 0)</f>
        <v/>
      </c>
      <c r="O195" s="10">
        <f>ROUNDUP(N195*M195, -2)</f>
        <v/>
      </c>
      <c r="P195" s="9" t="inlineStr">
        <is>
          <t>Cửa nan bầu dục 1 lớp kèm van OBD</t>
        </is>
      </c>
    </row>
    <row r="196">
      <c r="A196" s="8" t="n"/>
      <c r="B196" s="9" t="inlineStr">
        <is>
          <t>Miệng gió EAG 1000x1000+OBD kèm hộp gió</t>
        </is>
      </c>
      <c r="C196" s="8" t="inlineStr">
        <is>
          <t>SDG+O</t>
        </is>
      </c>
      <c r="D196" s="8" t="inlineStr">
        <is>
          <t>SWIND</t>
        </is>
      </c>
      <c r="E196" s="8" t="n">
        <v>1000</v>
      </c>
      <c r="F196" s="8" t="n">
        <v>1000</v>
      </c>
      <c r="G196" s="8" t="n">
        <v>950</v>
      </c>
      <c r="H196" s="8" t="n">
        <v>950</v>
      </c>
      <c r="I196" s="8" t="n"/>
      <c r="J196" s="8" t="n"/>
      <c r="K196" s="8" t="n"/>
      <c r="L196" s="8" t="inlineStr">
        <is>
          <t>cái</t>
        </is>
      </c>
      <c r="M196" s="10" t="n">
        <v>8</v>
      </c>
      <c r="N196" s="10">
        <f>ROUND('00_TONG_HOP_BAO_GIA'!Q7, 0)</f>
        <v/>
      </c>
      <c r="O196" s="10">
        <f>ROUNDUP(N196*M196, -2)</f>
        <v/>
      </c>
      <c r="P196" s="9" t="inlineStr">
        <is>
          <t>Cửa nan bầu dục 1 lớp kèm van OBD</t>
        </is>
      </c>
    </row>
    <row r="197">
      <c r="A197" s="8" t="n"/>
      <c r="B197" s="9" t="inlineStr">
        <is>
          <t>Miệng gió FAG 200x200+OBD kèm hộp gió</t>
        </is>
      </c>
      <c r="C197" s="8" t="inlineStr">
        <is>
          <t>SDG+O</t>
        </is>
      </c>
      <c r="D197" s="8" t="inlineStr">
        <is>
          <t>SWIND</t>
        </is>
      </c>
      <c r="E197" s="8" t="n">
        <v>200</v>
      </c>
      <c r="F197" s="8" t="n">
        <v>200</v>
      </c>
      <c r="G197" s="8" t="n">
        <v>150</v>
      </c>
      <c r="H197" s="8" t="n">
        <v>150</v>
      </c>
      <c r="I197" s="8" t="n"/>
      <c r="J197" s="8" t="n"/>
      <c r="K197" s="8" t="n"/>
      <c r="L197" s="8" t="inlineStr">
        <is>
          <t>cái</t>
        </is>
      </c>
      <c r="M197" s="10" t="n">
        <v>2</v>
      </c>
      <c r="N197" s="10">
        <f>ROUND('00_TONG_HOP_BAO_GIA'!Q8, 0)</f>
        <v/>
      </c>
      <c r="O197" s="10">
        <f>ROUNDUP(N197*M197, -2)</f>
        <v/>
      </c>
      <c r="P197" s="9" t="inlineStr">
        <is>
          <t>Cửa nan bầu dục 1 lớp kèm van OBD</t>
        </is>
      </c>
    </row>
    <row r="198">
      <c r="A198" s="8" t="n"/>
      <c r="B198" s="9" t="inlineStr">
        <is>
          <t>Miệng gió FAG 300x200 kèm hộp gió</t>
        </is>
      </c>
      <c r="C198" s="8" t="inlineStr">
        <is>
          <t>SDG</t>
        </is>
      </c>
      <c r="D198" s="8" t="inlineStr">
        <is>
          <t>SWIND</t>
        </is>
      </c>
      <c r="E198" s="8" t="n">
        <v>300</v>
      </c>
      <c r="F198" s="8" t="n">
        <v>200</v>
      </c>
      <c r="G198" s="8" t="n">
        <v>250</v>
      </c>
      <c r="H198" s="8" t="n">
        <v>150</v>
      </c>
      <c r="I198" s="8" t="n"/>
      <c r="J198" s="8" t="n"/>
      <c r="K198" s="8" t="n"/>
      <c r="L198" s="8" t="inlineStr">
        <is>
          <t>cái</t>
        </is>
      </c>
      <c r="M198" s="10" t="n">
        <v>5</v>
      </c>
      <c r="N198" s="10">
        <f>ROUND('00_TONG_HOP_BAO_GIA'!Q9, 0)</f>
        <v/>
      </c>
      <c r="O198" s="10">
        <f>ROUNDUP(N198*M198, -2)</f>
        <v/>
      </c>
      <c r="P198" s="9" t="inlineStr">
        <is>
          <t>Cửa nan bầu dục 1 lớp</t>
        </is>
      </c>
    </row>
    <row r="199">
      <c r="A199" s="8" t="n"/>
      <c r="B199" s="9" t="inlineStr">
        <is>
          <t>Miệng gió FAG 400x250 kèm hộp gió</t>
        </is>
      </c>
      <c r="C199" s="8" t="inlineStr">
        <is>
          <t>SDG</t>
        </is>
      </c>
      <c r="D199" s="8" t="inlineStr">
        <is>
          <t>SWIND</t>
        </is>
      </c>
      <c r="E199" s="8" t="n">
        <v>400</v>
      </c>
      <c r="F199" s="8" t="n">
        <v>250</v>
      </c>
      <c r="G199" s="8" t="n">
        <v>350</v>
      </c>
      <c r="H199" s="8" t="n">
        <v>200</v>
      </c>
      <c r="I199" s="8" t="n"/>
      <c r="J199" s="8" t="n"/>
      <c r="K199" s="8" t="n"/>
      <c r="L199" s="8" t="inlineStr">
        <is>
          <t>cái</t>
        </is>
      </c>
      <c r="M199" s="10" t="n">
        <v>2</v>
      </c>
      <c r="N199" s="10">
        <f>ROUND('00_TONG_HOP_BAO_GIA'!Q10, 0)</f>
        <v/>
      </c>
      <c r="O199" s="10">
        <f>ROUNDUP(N199*M199, -2)</f>
        <v/>
      </c>
      <c r="P199" s="9" t="inlineStr">
        <is>
          <t>Cửa nan bầu dục 1 lớp</t>
        </is>
      </c>
    </row>
    <row r="200">
      <c r="A200" s="8" t="n"/>
      <c r="B200" s="9" t="inlineStr">
        <is>
          <t>Miệng gió FAG 700x400+OBD kèm hộp gió</t>
        </is>
      </c>
      <c r="C200" s="8" t="inlineStr">
        <is>
          <t>SDG+O</t>
        </is>
      </c>
      <c r="D200" s="8" t="inlineStr">
        <is>
          <t>SWIND</t>
        </is>
      </c>
      <c r="E200" s="8" t="n">
        <v>700</v>
      </c>
      <c r="F200" s="8" t="n">
        <v>400</v>
      </c>
      <c r="G200" s="8" t="n">
        <v>650</v>
      </c>
      <c r="H200" s="8" t="n">
        <v>350</v>
      </c>
      <c r="I200" s="8" t="n"/>
      <c r="J200" s="8" t="n"/>
      <c r="K200" s="8" t="n"/>
      <c r="L200" s="8" t="inlineStr">
        <is>
          <t>cái</t>
        </is>
      </c>
      <c r="M200" s="10" t="n">
        <v>5</v>
      </c>
      <c r="N200" s="10">
        <f>ROUND('00_TONG_HOP_BAO_GIA'!Q11, 0)</f>
        <v/>
      </c>
      <c r="O200" s="10">
        <f>ROUNDUP(N200*M200, -2)</f>
        <v/>
      </c>
      <c r="P200" s="9" t="inlineStr">
        <is>
          <t>Cửa nan bầu dục 1 lớp kèm van OBD</t>
        </is>
      </c>
    </row>
    <row r="201">
      <c r="A201" s="6" t="n"/>
      <c r="B201" s="7" t="inlineStr">
        <is>
          <t>g. Cửa gió</t>
        </is>
      </c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</row>
    <row r="202">
      <c r="A202" s="8" t="n"/>
      <c r="B202" s="9" t="inlineStr">
        <is>
          <t>Cửa gió FAL 200x200 kèm hộp gió</t>
        </is>
      </c>
      <c r="C202" s="8" t="inlineStr">
        <is>
          <t>WL</t>
        </is>
      </c>
      <c r="D202" s="8" t="inlineStr">
        <is>
          <t>SWIND</t>
        </is>
      </c>
      <c r="E202" s="8" t="n">
        <v>200</v>
      </c>
      <c r="F202" s="8" t="n">
        <v>200</v>
      </c>
      <c r="G202" s="8" t="n">
        <v>150</v>
      </c>
      <c r="H202" s="8" t="n">
        <v>150</v>
      </c>
      <c r="I202" s="8" t="n"/>
      <c r="J202" s="8" t="n"/>
      <c r="K202" s="8" t="n"/>
      <c r="L202" s="8" t="inlineStr">
        <is>
          <t>cái</t>
        </is>
      </c>
      <c r="M202" s="10" t="n">
        <v>2</v>
      </c>
      <c r="N202" s="10">
        <f>ROUND('00_TONG_HOP_BAO_GIA'!Q12, 0)</f>
        <v/>
      </c>
      <c r="O202" s="10">
        <f>ROUNDUP(N202*M202, -2)</f>
        <v/>
      </c>
      <c r="P202" s="9" t="inlineStr">
        <is>
          <t>Louver nan Z ngoài trời</t>
        </is>
      </c>
    </row>
    <row r="203">
      <c r="A203" s="8" t="n"/>
      <c r="B203" s="9" t="inlineStr">
        <is>
          <t>Cửa gió FAL 300x200 kèm hộp gió</t>
        </is>
      </c>
      <c r="C203" s="8" t="inlineStr">
        <is>
          <t>WL</t>
        </is>
      </c>
      <c r="D203" s="8" t="inlineStr">
        <is>
          <t>SWIND</t>
        </is>
      </c>
      <c r="E203" s="8" t="n">
        <v>300</v>
      </c>
      <c r="F203" s="8" t="n">
        <v>200</v>
      </c>
      <c r="G203" s="8" t="n">
        <v>250</v>
      </c>
      <c r="H203" s="8" t="n">
        <v>150</v>
      </c>
      <c r="I203" s="8" t="n"/>
      <c r="J203" s="8" t="n"/>
      <c r="K203" s="8" t="n"/>
      <c r="L203" s="8" t="inlineStr">
        <is>
          <t>cái</t>
        </is>
      </c>
      <c r="M203" s="10" t="n">
        <v>4</v>
      </c>
      <c r="N203" s="10">
        <f>ROUND('00_TONG_HOP_BAO_GIA'!Q13, 0)</f>
        <v/>
      </c>
      <c r="O203" s="10">
        <f>ROUNDUP(N203*M203, -2)</f>
        <v/>
      </c>
      <c r="P203" s="9" t="inlineStr">
        <is>
          <t>Louver nan Z ngoài trời</t>
        </is>
      </c>
    </row>
    <row r="204">
      <c r="A204" s="8" t="n"/>
      <c r="B204" s="9" t="inlineStr">
        <is>
          <t>Cửa gió FAL 500x400+LCCT+G4 kèm hộp gió</t>
        </is>
      </c>
      <c r="C204" s="8" t="inlineStr">
        <is>
          <t>WL+N</t>
        </is>
      </c>
      <c r="D204" s="8" t="inlineStr">
        <is>
          <t>SWIND</t>
        </is>
      </c>
      <c r="E204" s="8" t="n">
        <v>500</v>
      </c>
      <c r="F204" s="8" t="n">
        <v>400</v>
      </c>
      <c r="G204" s="8" t="n">
        <v>450</v>
      </c>
      <c r="H204" s="8" t="n">
        <v>350</v>
      </c>
      <c r="I204" s="8" t="n"/>
      <c r="J204" s="8" t="n"/>
      <c r="K204" s="8" t="n"/>
      <c r="L204" s="8" t="inlineStr">
        <is>
          <t>cái</t>
        </is>
      </c>
      <c r="M204" s="10" t="n">
        <v>5</v>
      </c>
      <c r="N204" s="10">
        <f>ROUND('00_TONG_HOP_BAO_GIA'!Q14, 0)</f>
        <v/>
      </c>
      <c r="O204" s="10">
        <f>ROUNDUP(N204*M204, -2)</f>
        <v/>
      </c>
      <c r="P204" s="9" t="inlineStr">
        <is>
          <t>Louver nan Z ngoài trời kèm lưới chắn côn trùng Inox 304 kèm phin lọc bụi G4</t>
        </is>
      </c>
    </row>
    <row r="205">
      <c r="A205" s="8" t="n"/>
      <c r="B205" s="9" t="inlineStr">
        <is>
          <t>Cửa gió FAL 600x400+LCCT+G4 kèm hộp gió</t>
        </is>
      </c>
      <c r="C205" s="8" t="inlineStr">
        <is>
          <t>WL+N</t>
        </is>
      </c>
      <c r="D205" s="8" t="inlineStr">
        <is>
          <t>SWIND</t>
        </is>
      </c>
      <c r="E205" s="8" t="n">
        <v>600</v>
      </c>
      <c r="F205" s="8" t="n">
        <v>400</v>
      </c>
      <c r="G205" s="8" t="n">
        <v>550</v>
      </c>
      <c r="H205" s="8" t="n">
        <v>350</v>
      </c>
      <c r="I205" s="8" t="n"/>
      <c r="J205" s="8" t="n"/>
      <c r="K205" s="8" t="n"/>
      <c r="L205" s="8" t="inlineStr">
        <is>
          <t>cái</t>
        </is>
      </c>
      <c r="M205" s="10" t="n">
        <v>1</v>
      </c>
      <c r="N205" s="10">
        <f>ROUND('00_TONG_HOP_BAO_GIA'!Q15, 0)</f>
        <v/>
      </c>
      <c r="O205" s="10">
        <f>ROUNDUP(N205*M205, -2)</f>
        <v/>
      </c>
      <c r="P205" s="9" t="inlineStr">
        <is>
          <t>Louver nan Z ngoài trời kèm lưới chắn côn trùng Inox 304 kèm phin lọc bụi G4</t>
        </is>
      </c>
    </row>
    <row r="206">
      <c r="A206" s="8" t="n"/>
      <c r="B206" s="9" t="inlineStr">
        <is>
          <t>Cửa gió FAL 800x400+LCCT+G4 kèm hộp gió</t>
        </is>
      </c>
      <c r="C206" s="8" t="inlineStr">
        <is>
          <t>WL+N</t>
        </is>
      </c>
      <c r="D206" s="8" t="inlineStr">
        <is>
          <t>SWIND</t>
        </is>
      </c>
      <c r="E206" s="8" t="n">
        <v>800</v>
      </c>
      <c r="F206" s="8" t="n">
        <v>400</v>
      </c>
      <c r="G206" s="8" t="n">
        <v>750</v>
      </c>
      <c r="H206" s="8" t="n">
        <v>350</v>
      </c>
      <c r="I206" s="8" t="n"/>
      <c r="J206" s="8" t="n"/>
      <c r="K206" s="8" t="n"/>
      <c r="L206" s="8" t="inlineStr">
        <is>
          <t>cái</t>
        </is>
      </c>
      <c r="M206" s="10" t="n">
        <v>1</v>
      </c>
      <c r="N206" s="10">
        <f>ROUND('00_TONG_HOP_BAO_GIA'!Q16, 0)</f>
        <v/>
      </c>
      <c r="O206" s="10">
        <f>ROUNDUP(N206*M206, -2)</f>
        <v/>
      </c>
      <c r="P206" s="9" t="inlineStr">
        <is>
          <t>Louver nan Z ngoài trời kèm lưới chắn côn trùng Inox 304 kèm phin lọc bụi G4</t>
        </is>
      </c>
    </row>
    <row r="207">
      <c r="A207" s="8" t="n"/>
      <c r="B207" s="9" t="inlineStr">
        <is>
          <t>Cửa gió FAL 1700x800+LCCT+G4 kèm hộp gió</t>
        </is>
      </c>
      <c r="C207" s="8" t="inlineStr">
        <is>
          <t>WL+N</t>
        </is>
      </c>
      <c r="D207" s="8" t="inlineStr">
        <is>
          <t>SWIND</t>
        </is>
      </c>
      <c r="E207" s="8" t="n">
        <v>1700</v>
      </c>
      <c r="F207" s="8" t="n">
        <v>800</v>
      </c>
      <c r="G207" s="8" t="n">
        <v>1650</v>
      </c>
      <c r="H207" s="8" t="n">
        <v>750</v>
      </c>
      <c r="I207" s="8" t="n"/>
      <c r="J207" s="8" t="n"/>
      <c r="K207" s="8" t="n"/>
      <c r="L207" s="8" t="inlineStr">
        <is>
          <t>cái</t>
        </is>
      </c>
      <c r="M207" s="10" t="n">
        <v>1</v>
      </c>
      <c r="N207" s="10">
        <f>ROUND('00_TONG_HOP_BAO_GIA'!Q17, 0)</f>
        <v/>
      </c>
      <c r="O207" s="10">
        <f>ROUNDUP(N207*M207, -2)</f>
        <v/>
      </c>
      <c r="P207" s="9" t="inlineStr">
        <is>
          <t>Louver nan Z ngoài trời kèm lưới chắn côn trùng Inox 304 kèm phin lọc bụi G4</t>
        </is>
      </c>
    </row>
    <row r="208">
      <c r="A208" s="8" t="n"/>
      <c r="B208" s="9" t="inlineStr">
        <is>
          <t>Cửa gió FAL 1200x600</t>
        </is>
      </c>
      <c r="C208" s="8" t="inlineStr">
        <is>
          <t>WL</t>
        </is>
      </c>
      <c r="D208" s="8" t="inlineStr">
        <is>
          <t>SWIND</t>
        </is>
      </c>
      <c r="E208" s="8" t="n">
        <v>1200</v>
      </c>
      <c r="F208" s="8" t="n">
        <v>600</v>
      </c>
      <c r="G208" s="8" t="n">
        <v>1150</v>
      </c>
      <c r="H208" s="8" t="n">
        <v>550</v>
      </c>
      <c r="I208" s="8" t="n"/>
      <c r="J208" s="8" t="n"/>
      <c r="K208" s="8" t="n"/>
      <c r="L208" s="8" t="inlineStr">
        <is>
          <t>cái</t>
        </is>
      </c>
      <c r="M208" s="10" t="n">
        <v>1</v>
      </c>
      <c r="N208" s="10">
        <f>ROUND('00_TONG_HOP_BAO_GIA'!Q18, 0)</f>
        <v/>
      </c>
      <c r="O208" s="10">
        <f>ROUNDUP(N208*M208, -2)</f>
        <v/>
      </c>
      <c r="P208" s="9" t="inlineStr">
        <is>
          <t>Louver nan Z ngoài trời</t>
        </is>
      </c>
    </row>
    <row r="209">
      <c r="A209" s="8" t="n"/>
      <c r="B209" s="9" t="inlineStr">
        <is>
          <t>Cửa gió FAL 1500x1000+LCCT</t>
        </is>
      </c>
      <c r="C209" s="8" t="inlineStr">
        <is>
          <t>WL+N</t>
        </is>
      </c>
      <c r="D209" s="8" t="inlineStr">
        <is>
          <t>SWIND</t>
        </is>
      </c>
      <c r="E209" s="8" t="n">
        <v>1500</v>
      </c>
      <c r="F209" s="8" t="n">
        <v>1000</v>
      </c>
      <c r="G209" s="8" t="n">
        <v>1450</v>
      </c>
      <c r="H209" s="8" t="n">
        <v>950</v>
      </c>
      <c r="I209" s="8" t="n"/>
      <c r="J209" s="8" t="n"/>
      <c r="K209" s="8" t="n"/>
      <c r="L209" s="8" t="inlineStr">
        <is>
          <t>cái</t>
        </is>
      </c>
      <c r="M209" s="10" t="n">
        <v>4</v>
      </c>
      <c r="N209" s="10">
        <f>ROUND('00_TONG_HOP_BAO_GIA'!Q19, 0)</f>
        <v/>
      </c>
      <c r="O209" s="10">
        <f>ROUNDUP(N209*M209, -2)</f>
        <v/>
      </c>
      <c r="P209" s="9" t="inlineStr">
        <is>
          <t>Louver nan Z ngoài trời kèm lưới chắn côn trùng Inox 304</t>
        </is>
      </c>
    </row>
    <row r="210">
      <c r="A210" s="8" t="n"/>
      <c r="B210" s="9" t="inlineStr">
        <is>
          <t>Cửa gió FAL 1600x700+LCCT</t>
        </is>
      </c>
      <c r="C210" s="8" t="inlineStr">
        <is>
          <t>WL+N</t>
        </is>
      </c>
      <c r="D210" s="8" t="inlineStr">
        <is>
          <t>SWIND</t>
        </is>
      </c>
      <c r="E210" s="8" t="n">
        <v>1600</v>
      </c>
      <c r="F210" s="8" t="n">
        <v>700</v>
      </c>
      <c r="G210" s="8" t="n">
        <v>1550</v>
      </c>
      <c r="H210" s="8" t="n">
        <v>650</v>
      </c>
      <c r="I210" s="8" t="n"/>
      <c r="J210" s="8" t="n"/>
      <c r="K210" s="8" t="n"/>
      <c r="L210" s="8" t="inlineStr">
        <is>
          <t>cái</t>
        </is>
      </c>
      <c r="M210" s="10" t="n">
        <v>1</v>
      </c>
      <c r="N210" s="10">
        <f>ROUND('00_TONG_HOP_BAO_GIA'!Q20, 0)</f>
        <v/>
      </c>
      <c r="O210" s="10">
        <f>ROUNDUP(N210*M210, -2)</f>
        <v/>
      </c>
      <c r="P210" s="9" t="inlineStr">
        <is>
          <t>Louver nan Z ngoài trời kèm lưới chắn côn trùng Inox 304</t>
        </is>
      </c>
    </row>
    <row r="211">
      <c r="A211" s="8" t="n"/>
      <c r="B211" s="9" t="inlineStr">
        <is>
          <t>Cửa gió FAL 2000x1200+LCCT</t>
        </is>
      </c>
      <c r="C211" s="8" t="inlineStr">
        <is>
          <t>WL+N</t>
        </is>
      </c>
      <c r="D211" s="8" t="inlineStr">
        <is>
          <t>SWIND</t>
        </is>
      </c>
      <c r="E211" s="8" t="n">
        <v>2000</v>
      </c>
      <c r="F211" s="8" t="n">
        <v>1200</v>
      </c>
      <c r="G211" s="8" t="n">
        <v>1950</v>
      </c>
      <c r="H211" s="8" t="n">
        <v>1150</v>
      </c>
      <c r="I211" s="8" t="n"/>
      <c r="J211" s="8" t="n"/>
      <c r="K211" s="8" t="n"/>
      <c r="L211" s="8" t="inlineStr">
        <is>
          <t>cái</t>
        </is>
      </c>
      <c r="M211" s="10" t="n">
        <v>6</v>
      </c>
      <c r="N211" s="10">
        <f>ROUND('00_TONG_HOP_BAO_GIA'!Q21, 0)</f>
        <v/>
      </c>
      <c r="O211" s="10">
        <f>ROUNDUP(N211*M211, -2)</f>
        <v/>
      </c>
      <c r="P211" s="9" t="inlineStr">
        <is>
          <t>Louver nan Z ngoài trời kèm lưới chắn côn trùng Inox 304</t>
        </is>
      </c>
    </row>
    <row r="212">
      <c r="A212" s="8" t="n"/>
      <c r="B212" s="9" t="inlineStr">
        <is>
          <t>Cửa gió FAL 4000x4000+LCCT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cái</t>
        </is>
      </c>
      <c r="M212" s="11" t="n"/>
      <c r="N212" s="11" t="n"/>
      <c r="O212" s="11" t="n"/>
      <c r="P212" s="9" t="n"/>
    </row>
    <row r="213">
      <c r="A213" s="8" t="n"/>
      <c r="B213" s="9" t="inlineStr">
        <is>
          <t>Cửa gió FAL 1800x450+LCCT +G4 kèm hộp gió</t>
        </is>
      </c>
      <c r="C213" s="8" t="inlineStr">
        <is>
          <t>WL+N</t>
        </is>
      </c>
      <c r="D213" s="8" t="inlineStr">
        <is>
          <t>SWIND</t>
        </is>
      </c>
      <c r="E213" s="8" t="n">
        <v>1800</v>
      </c>
      <c r="F213" s="8" t="n">
        <v>450</v>
      </c>
      <c r="G213" s="8" t="n">
        <v>1750</v>
      </c>
      <c r="H213" s="8" t="n">
        <v>400</v>
      </c>
      <c r="I213" s="8" t="n"/>
      <c r="J213" s="8" t="n"/>
      <c r="K213" s="8" t="n"/>
      <c r="L213" s="8" t="inlineStr">
        <is>
          <t>cái</t>
        </is>
      </c>
      <c r="M213" s="10" t="n">
        <v>3</v>
      </c>
      <c r="N213" s="10">
        <f>ROUND('00_TONG_HOP_BAO_GIA'!Q22, 0)</f>
        <v/>
      </c>
      <c r="O213" s="10">
        <f>ROUNDUP(N213*M213, -2)</f>
        <v/>
      </c>
      <c r="P213" s="9" t="inlineStr">
        <is>
          <t>Louver nan Z ngoài trời kèm lưới chắn côn trùng Inox 304 kèm phin lọc bụi G4</t>
        </is>
      </c>
    </row>
    <row r="214">
      <c r="A214" s="8" t="n"/>
      <c r="B214" s="9" t="inlineStr">
        <is>
          <t>Cửa gió EAL 200x100+LCCT kèm hộp gió</t>
        </is>
      </c>
      <c r="C214" s="8" t="inlineStr">
        <is>
          <t>WL+N</t>
        </is>
      </c>
      <c r="D214" s="8" t="inlineStr">
        <is>
          <t>SWIND</t>
        </is>
      </c>
      <c r="E214" s="8" t="n">
        <v>200</v>
      </c>
      <c r="F214" s="8" t="n">
        <v>100</v>
      </c>
      <c r="G214" s="8" t="n">
        <v>150</v>
      </c>
      <c r="H214" s="8" t="n">
        <v>50</v>
      </c>
      <c r="I214" s="8" t="n"/>
      <c r="J214" s="8" t="n"/>
      <c r="K214" s="8" t="n"/>
      <c r="L214" s="8" t="inlineStr">
        <is>
          <t>cái</t>
        </is>
      </c>
      <c r="M214" s="10" t="n">
        <v>2</v>
      </c>
      <c r="N214" s="10">
        <f>ROUND('00_TONG_HOP_BAO_GIA'!Q23, 0)</f>
        <v/>
      </c>
      <c r="O214" s="10">
        <f>ROUNDUP(N214*M214, -2)</f>
        <v/>
      </c>
      <c r="P214" s="9" t="inlineStr">
        <is>
          <t>Louver nan Z ngoài trời kèm lưới chắn côn trùng Inox 304</t>
        </is>
      </c>
    </row>
    <row r="215">
      <c r="A215" s="8" t="n"/>
      <c r="B215" s="9" t="inlineStr">
        <is>
          <t>Cửa gió EAL 500x400+LCCT kèm hộp gió</t>
        </is>
      </c>
      <c r="C215" s="8" t="inlineStr">
        <is>
          <t>WL+N</t>
        </is>
      </c>
      <c r="D215" s="8" t="inlineStr">
        <is>
          <t>SWIND</t>
        </is>
      </c>
      <c r="E215" s="8" t="n">
        <v>500</v>
      </c>
      <c r="F215" s="8" t="n">
        <v>400</v>
      </c>
      <c r="G215" s="8" t="n">
        <v>450</v>
      </c>
      <c r="H215" s="8" t="n">
        <v>350</v>
      </c>
      <c r="I215" s="8" t="n"/>
      <c r="J215" s="8" t="n"/>
      <c r="K215" s="8" t="n"/>
      <c r="L215" s="8" t="inlineStr">
        <is>
          <t>cái</t>
        </is>
      </c>
      <c r="M215" s="10" t="n">
        <v>2</v>
      </c>
      <c r="N215" s="10">
        <f>ROUND('00_TONG_HOP_BAO_GIA'!Q24, 0)</f>
        <v/>
      </c>
      <c r="O215" s="10">
        <f>ROUNDUP(N215*M215, -2)</f>
        <v/>
      </c>
      <c r="P215" s="9" t="inlineStr">
        <is>
          <t>Louver nan Z ngoài trời kèm lưới chắn côn trùng Inox 304</t>
        </is>
      </c>
    </row>
    <row r="216">
      <c r="A216" s="8" t="n"/>
      <c r="B216" s="9" t="inlineStr">
        <is>
          <t>Cửa gió EAL 700x450+LCCT kèm hộp gió</t>
        </is>
      </c>
      <c r="C216" s="8" t="inlineStr">
        <is>
          <t>WL+N</t>
        </is>
      </c>
      <c r="D216" s="8" t="inlineStr">
        <is>
          <t>SWIND</t>
        </is>
      </c>
      <c r="E216" s="8" t="n">
        <v>700</v>
      </c>
      <c r="F216" s="8" t="n">
        <v>450</v>
      </c>
      <c r="G216" s="8" t="n">
        <v>650</v>
      </c>
      <c r="H216" s="8" t="n">
        <v>400</v>
      </c>
      <c r="I216" s="8" t="n"/>
      <c r="J216" s="8" t="n"/>
      <c r="K216" s="8" t="n"/>
      <c r="L216" s="8" t="inlineStr">
        <is>
          <t>cái</t>
        </is>
      </c>
      <c r="M216" s="10" t="n">
        <v>1</v>
      </c>
      <c r="N216" s="10">
        <f>ROUND('00_TONG_HOP_BAO_GIA'!Q25, 0)</f>
        <v/>
      </c>
      <c r="O216" s="10">
        <f>ROUNDUP(N216*M216, -2)</f>
        <v/>
      </c>
      <c r="P216" s="9" t="inlineStr">
        <is>
          <t>Louver nan Z ngoài trời kèm lưới chắn côn trùng Inox 304</t>
        </is>
      </c>
    </row>
    <row r="217">
      <c r="A217" s="8" t="n"/>
      <c r="B217" s="9" t="inlineStr">
        <is>
          <t>Cửa gió EAL 1000x400+LCCT kèm hộp gió</t>
        </is>
      </c>
      <c r="C217" s="8" t="inlineStr">
        <is>
          <t>WL+N</t>
        </is>
      </c>
      <c r="D217" s="8" t="inlineStr">
        <is>
          <t>SWIND</t>
        </is>
      </c>
      <c r="E217" s="8" t="n">
        <v>1000</v>
      </c>
      <c r="F217" s="8" t="n">
        <v>400</v>
      </c>
      <c r="G217" s="8" t="n">
        <v>950</v>
      </c>
      <c r="H217" s="8" t="n">
        <v>350</v>
      </c>
      <c r="I217" s="8" t="n"/>
      <c r="J217" s="8" t="n"/>
      <c r="K217" s="8" t="n"/>
      <c r="L217" s="8" t="inlineStr">
        <is>
          <t>cái</t>
        </is>
      </c>
      <c r="M217" s="10" t="n">
        <v>1</v>
      </c>
      <c r="N217" s="10">
        <f>ROUND('00_TONG_HOP_BAO_GIA'!Q26, 0)</f>
        <v/>
      </c>
      <c r="O217" s="10">
        <f>ROUNDUP(N217*M217, -2)</f>
        <v/>
      </c>
      <c r="P217" s="9" t="inlineStr">
        <is>
          <t>Louver nan Z ngoài trời kèm lưới chắn côn trùng Inox 304</t>
        </is>
      </c>
    </row>
    <row r="218">
      <c r="A218" s="8" t="n"/>
      <c r="B218" s="9" t="inlineStr">
        <is>
          <t>Cửa gió EAL 1500x450+LCCT kèm hộp gió</t>
        </is>
      </c>
      <c r="C218" s="8" t="inlineStr">
        <is>
          <t>WL+N</t>
        </is>
      </c>
      <c r="D218" s="8" t="inlineStr">
        <is>
          <t>SWIND</t>
        </is>
      </c>
      <c r="E218" s="8" t="n">
        <v>1500</v>
      </c>
      <c r="F218" s="8" t="n">
        <v>450</v>
      </c>
      <c r="G218" s="8" t="n">
        <v>1450</v>
      </c>
      <c r="H218" s="8" t="n">
        <v>400</v>
      </c>
      <c r="I218" s="8" t="n"/>
      <c r="J218" s="8" t="n"/>
      <c r="K218" s="8" t="n"/>
      <c r="L218" s="8" t="inlineStr">
        <is>
          <t>cái</t>
        </is>
      </c>
      <c r="M218" s="10" t="n">
        <v>1</v>
      </c>
      <c r="N218" s="10">
        <f>ROUND('00_TONG_HOP_BAO_GIA'!Q27, 0)</f>
        <v/>
      </c>
      <c r="O218" s="10">
        <f>ROUNDUP(N218*M218, -2)</f>
        <v/>
      </c>
      <c r="P218" s="9" t="inlineStr">
        <is>
          <t>Louver nan Z ngoài trời kèm lưới chắn côn trùng Inox 304</t>
        </is>
      </c>
    </row>
    <row r="219">
      <c r="A219" s="8" t="n"/>
      <c r="B219" s="9" t="inlineStr">
        <is>
          <t>Cửa gió EAL 1700x800+LCCT kèm hộp gió</t>
        </is>
      </c>
      <c r="C219" s="8" t="inlineStr">
        <is>
          <t>WL+N</t>
        </is>
      </c>
      <c r="D219" s="8" t="inlineStr">
        <is>
          <t>SWIND</t>
        </is>
      </c>
      <c r="E219" s="8" t="n">
        <v>1700</v>
      </c>
      <c r="F219" s="8" t="n">
        <v>800</v>
      </c>
      <c r="G219" s="8" t="n">
        <v>1650</v>
      </c>
      <c r="H219" s="8" t="n">
        <v>750</v>
      </c>
      <c r="I219" s="8" t="n"/>
      <c r="J219" s="8" t="n"/>
      <c r="K219" s="8" t="n"/>
      <c r="L219" s="8" t="inlineStr">
        <is>
          <t>cái</t>
        </is>
      </c>
      <c r="M219" s="10" t="n">
        <v>1</v>
      </c>
      <c r="N219" s="10">
        <f>ROUND('00_TONG_HOP_BAO_GIA'!Q28, 0)</f>
        <v/>
      </c>
      <c r="O219" s="10">
        <f>ROUNDUP(N219*M219, -2)</f>
        <v/>
      </c>
      <c r="P219" s="9" t="inlineStr">
        <is>
          <t>Louver nan Z ngoài trời kèm lưới chắn côn trùng Inox 304</t>
        </is>
      </c>
    </row>
    <row r="220">
      <c r="A220" s="8" t="n"/>
      <c r="B220" s="9" t="inlineStr">
        <is>
          <t>Cửa gió EAL 1800x450+LCCT kèm hộp gió</t>
        </is>
      </c>
      <c r="C220" s="8" t="inlineStr">
        <is>
          <t>WL+N</t>
        </is>
      </c>
      <c r="D220" s="8" t="inlineStr">
        <is>
          <t>SWIND</t>
        </is>
      </c>
      <c r="E220" s="8" t="n">
        <v>1800</v>
      </c>
      <c r="F220" s="8" t="n">
        <v>450</v>
      </c>
      <c r="G220" s="8" t="n">
        <v>1750</v>
      </c>
      <c r="H220" s="8" t="n">
        <v>400</v>
      </c>
      <c r="I220" s="8" t="n"/>
      <c r="J220" s="8" t="n"/>
      <c r="K220" s="8" t="n"/>
      <c r="L220" s="8" t="inlineStr">
        <is>
          <t>cái</t>
        </is>
      </c>
      <c r="M220" s="10" t="n">
        <v>1</v>
      </c>
      <c r="N220" s="10">
        <f>ROUND('00_TONG_HOP_BAO_GIA'!Q29, 0)</f>
        <v/>
      </c>
      <c r="O220" s="10">
        <f>ROUNDUP(N220*M220, -2)</f>
        <v/>
      </c>
      <c r="P220" s="9" t="inlineStr">
        <is>
          <t>Louver nan Z ngoài trời kèm lưới chắn côn trùng Inox 304</t>
        </is>
      </c>
    </row>
    <row r="221">
      <c r="A221" s="6" t="n"/>
      <c r="B221" s="7" t="inlineStr">
        <is>
          <t>h. Van gió</t>
        </is>
      </c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</row>
    <row r="222">
      <c r="A222" s="8" t="n"/>
      <c r="B222" s="9" t="inlineStr">
        <is>
          <t>Van gió MFD 200x200</t>
        </is>
      </c>
      <c r="C222" s="8" t="inlineStr">
        <is>
          <t>SWIND-1.03-MFD-EI90</t>
        </is>
      </c>
      <c r="D222" s="8" t="inlineStr">
        <is>
          <t>SWIND</t>
        </is>
      </c>
      <c r="E222" s="8" t="n">
        <v>200</v>
      </c>
      <c r="F222" s="8" t="n">
        <v>200</v>
      </c>
      <c r="G222" s="8" t="n"/>
      <c r="H222" s="8" t="n"/>
      <c r="I222" s="8" t="n"/>
      <c r="J222" s="8" t="n">
        <v>200</v>
      </c>
      <c r="K222" s="12" t="n">
        <v>1.15</v>
      </c>
      <c r="L222" s="8" t="inlineStr">
        <is>
          <t>cái</t>
        </is>
      </c>
      <c r="M222" s="10" t="n">
        <v>4</v>
      </c>
      <c r="N222" s="10">
        <f>ROUND('00_TONG_HOP_BAO_GIA'!Q30, 0)</f>
        <v/>
      </c>
      <c r="O222" s="10">
        <f>ROUNDUP(N222*M222, -2)</f>
        <v/>
      </c>
      <c r="P222" s="9" t="inlineStr">
        <is>
          <t>- Van ngăn cháy động cơ - Tiêu chuẩn EI 90
- 2 đầu bích TDC - Gắn kèm động cơ ON-OFF 5Nm, Hãng KLB
- Sản xuất theo BCTN số 4651/VLXD-TBMT</t>
        </is>
      </c>
    </row>
    <row r="223">
      <c r="A223" s="8" t="n"/>
      <c r="B223" s="9" t="inlineStr">
        <is>
          <t>Van gió MFD 300x200</t>
        </is>
      </c>
      <c r="C223" s="8" t="inlineStr">
        <is>
          <t>SWIND-1.03-MFD-EI90</t>
        </is>
      </c>
      <c r="D223" s="8" t="inlineStr">
        <is>
          <t>SWIND</t>
        </is>
      </c>
      <c r="E223" s="8" t="n">
        <v>300</v>
      </c>
      <c r="F223" s="8" t="n">
        <v>200</v>
      </c>
      <c r="G223" s="8" t="n"/>
      <c r="H223" s="8" t="n"/>
      <c r="I223" s="8" t="n"/>
      <c r="J223" s="8" t="n">
        <v>200</v>
      </c>
      <c r="K223" s="12" t="n">
        <v>1.15</v>
      </c>
      <c r="L223" s="8" t="inlineStr">
        <is>
          <t>cái</t>
        </is>
      </c>
      <c r="M223" s="10" t="n">
        <v>4</v>
      </c>
      <c r="N223" s="10">
        <f>ROUND('00_TONG_HOP_BAO_GIA'!Q31, 0)</f>
        <v/>
      </c>
      <c r="O223" s="10">
        <f>ROUNDUP(N223*M223, -2)</f>
        <v/>
      </c>
      <c r="P223" s="9" t="inlineStr">
        <is>
          <t>- Van ngăn cháy động cơ - Tiêu chuẩn EI 90
- 2 đầu bích TDC - Gắn kèm động cơ ON-OFF 5Nm, Hãng KLB
- Sản xuất theo BCTN số 4651/VLXD-TBMT</t>
        </is>
      </c>
    </row>
    <row r="224">
      <c r="A224" s="8" t="n"/>
      <c r="B224" s="9" t="inlineStr">
        <is>
          <t>Van gió MFD 500x400</t>
        </is>
      </c>
      <c r="C224" s="8" t="inlineStr">
        <is>
          <t>SWIND-1.03-MFD-EI90</t>
        </is>
      </c>
      <c r="D224" s="8" t="inlineStr">
        <is>
          <t>SWIND</t>
        </is>
      </c>
      <c r="E224" s="8" t="n">
        <v>500</v>
      </c>
      <c r="F224" s="8" t="n">
        <v>400</v>
      </c>
      <c r="G224" s="8" t="n"/>
      <c r="H224" s="8" t="n"/>
      <c r="I224" s="8" t="n"/>
      <c r="J224" s="8" t="n">
        <v>200</v>
      </c>
      <c r="K224" s="12" t="n">
        <v>1.15</v>
      </c>
      <c r="L224" s="8" t="inlineStr">
        <is>
          <t>cái</t>
        </is>
      </c>
      <c r="M224" s="10" t="n">
        <v>1</v>
      </c>
      <c r="N224" s="10">
        <f>ROUND('00_TONG_HOP_BAO_GIA'!Q32, 0)</f>
        <v/>
      </c>
      <c r="O224" s="10">
        <f>ROUNDUP(N224*M224, -2)</f>
        <v/>
      </c>
      <c r="P224" s="9" t="inlineStr">
        <is>
          <t>- Van ngăn cháy động cơ - Tiêu chuẩn EI 90
- 2 đầu bích TDC - Gắn kèm động cơ ON-OFF 5Nm, Hãng KLB
- Sản xuất theo BCTN số 4651/VLXD-TBMT</t>
        </is>
      </c>
    </row>
    <row r="225">
      <c r="A225" s="8" t="n"/>
      <c r="B225" s="9" t="inlineStr">
        <is>
          <t>Van gió MFD 800x300</t>
        </is>
      </c>
      <c r="C225" s="8" t="inlineStr">
        <is>
          <t>SWIND-1.03-MFD-EI90</t>
        </is>
      </c>
      <c r="D225" s="8" t="inlineStr">
        <is>
          <t>SWIND</t>
        </is>
      </c>
      <c r="E225" s="8" t="n">
        <v>800</v>
      </c>
      <c r="F225" s="8" t="n">
        <v>300</v>
      </c>
      <c r="G225" s="8" t="n"/>
      <c r="H225" s="8" t="n"/>
      <c r="I225" s="8" t="n"/>
      <c r="J225" s="8" t="n">
        <v>200</v>
      </c>
      <c r="K225" s="12" t="n">
        <v>1.15</v>
      </c>
      <c r="L225" s="8" t="inlineStr">
        <is>
          <t>cái</t>
        </is>
      </c>
      <c r="M225" s="10" t="n">
        <v>1</v>
      </c>
      <c r="N225" s="10">
        <f>ROUND('00_TONG_HOP_BAO_GIA'!Q33, 0)</f>
        <v/>
      </c>
      <c r="O225" s="10">
        <f>ROUNDUP(N225*M225, -2)</f>
        <v/>
      </c>
      <c r="P225" s="9" t="inlineStr">
        <is>
          <t>- Van ngăn cháy động cơ - Tiêu chuẩn EI 90
- 2 đầu bích TDC - Gắn kèm động cơ ON-OFF 5Nm, Hãng KLB
- Sản xuất theo BCTN số 4651/VLXD-TBMT</t>
        </is>
      </c>
    </row>
    <row r="226">
      <c r="A226" s="8" t="n"/>
      <c r="B226" s="9" t="inlineStr">
        <is>
          <t>Van gió MFD 900x300</t>
        </is>
      </c>
      <c r="C226" s="8" t="inlineStr">
        <is>
          <t>SWIND-1.03-MFD-EI90</t>
        </is>
      </c>
      <c r="D226" s="8" t="inlineStr">
        <is>
          <t>SWIND</t>
        </is>
      </c>
      <c r="E226" s="8" t="n">
        <v>900</v>
      </c>
      <c r="F226" s="8" t="n">
        <v>300</v>
      </c>
      <c r="G226" s="8" t="n"/>
      <c r="H226" s="8" t="n"/>
      <c r="I226" s="8" t="n"/>
      <c r="J226" s="8" t="n">
        <v>200</v>
      </c>
      <c r="K226" s="12" t="n">
        <v>1.15</v>
      </c>
      <c r="L226" s="8" t="inlineStr">
        <is>
          <t>cái</t>
        </is>
      </c>
      <c r="M226" s="10" t="n">
        <v>2</v>
      </c>
      <c r="N226" s="10">
        <f>ROUND('00_TONG_HOP_BAO_GIA'!Q34, 0)</f>
        <v/>
      </c>
      <c r="O226" s="10">
        <f>ROUNDUP(N226*M226, -2)</f>
        <v/>
      </c>
      <c r="P226" s="9" t="inlineStr">
        <is>
          <t>- Van ngăn cháy động cơ - Tiêu chuẩn EI 90
- 2 đầu bích TDC - Gắn kèm động cơ ON-OFF 5Nm, Hãng KLB
- Sản xuất theo BCTN số 4651/VLXD-TBMT</t>
        </is>
      </c>
    </row>
    <row r="227">
      <c r="A227" s="8" t="n"/>
      <c r="B227" s="9" t="inlineStr">
        <is>
          <t>Van gió MFD 1500x1000</t>
        </is>
      </c>
      <c r="C227" s="8" t="inlineStr">
        <is>
          <t>SWIND-1.03-MFD-EI90</t>
        </is>
      </c>
      <c r="D227" s="8" t="inlineStr">
        <is>
          <t>SWIND</t>
        </is>
      </c>
      <c r="E227" s="8" t="n">
        <v>1500</v>
      </c>
      <c r="F227" s="8" t="n">
        <v>1000</v>
      </c>
      <c r="G227" s="8" t="n">
        <v>1500</v>
      </c>
      <c r="H227" s="8" t="n">
        <v>500</v>
      </c>
      <c r="I227" s="8" t="n">
        <v>2</v>
      </c>
      <c r="J227" s="8" t="n">
        <v>200</v>
      </c>
      <c r="K227" s="12" t="n">
        <v>1.15</v>
      </c>
      <c r="L227" s="8" t="inlineStr">
        <is>
          <t>cái</t>
        </is>
      </c>
      <c r="M227" s="10" t="n">
        <v>4</v>
      </c>
      <c r="N227" s="10">
        <f>ROUND('00_TONG_HOP_BAO_GIA'!Q35, 0)</f>
        <v/>
      </c>
      <c r="O227" s="10">
        <f>ROUNDUP(N227*M227, -2)</f>
        <v/>
      </c>
      <c r="P227" s="9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228">
      <c r="A228" s="8" t="n"/>
      <c r="B228" s="9" t="inlineStr">
        <is>
          <t>Van gió MFD 2000x1200</t>
        </is>
      </c>
      <c r="C228" s="8" t="inlineStr">
        <is>
          <t>SWIND-1.03-MFD-EI90</t>
        </is>
      </c>
      <c r="D228" s="8" t="inlineStr">
        <is>
          <t>SWIND</t>
        </is>
      </c>
      <c r="E228" s="8" t="n">
        <v>2000</v>
      </c>
      <c r="F228" s="8" t="n">
        <v>1200</v>
      </c>
      <c r="G228" s="8" t="n">
        <v>1000</v>
      </c>
      <c r="H228" s="8" t="n">
        <v>600</v>
      </c>
      <c r="I228" s="8" t="n">
        <v>4</v>
      </c>
      <c r="J228" s="8" t="n">
        <v>200</v>
      </c>
      <c r="K228" s="12" t="n">
        <v>1.15</v>
      </c>
      <c r="L228" s="8" t="inlineStr">
        <is>
          <t>cái</t>
        </is>
      </c>
      <c r="M228" s="10" t="n">
        <v>6</v>
      </c>
      <c r="N228" s="10">
        <f>ROUND('00_TONG_HOP_BAO_GIA'!Q36, 0)</f>
        <v/>
      </c>
      <c r="O228" s="10">
        <f>ROUNDUP(N228*M228, -2)</f>
        <v/>
      </c>
      <c r="P228" s="9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229">
      <c r="A229" s="8" t="n"/>
      <c r="B229" s="9" t="inlineStr">
        <is>
          <t>Van gió FD 300x200</t>
        </is>
      </c>
      <c r="C229" s="8" t="inlineStr">
        <is>
          <t>SWIND-2.01- E-FD-EI120</t>
        </is>
      </c>
      <c r="D229" s="8" t="inlineStr">
        <is>
          <t>SWIND</t>
        </is>
      </c>
      <c r="E229" s="8" t="n">
        <v>300</v>
      </c>
      <c r="F229" s="8" t="n">
        <v>200</v>
      </c>
      <c r="G229" s="8" t="n"/>
      <c r="H229" s="8" t="n"/>
      <c r="I229" s="8" t="n"/>
      <c r="J229" s="8" t="n">
        <v>200</v>
      </c>
      <c r="K229" s="12" t="n">
        <v>1.15</v>
      </c>
      <c r="L229" s="8" t="inlineStr">
        <is>
          <t>cái</t>
        </is>
      </c>
      <c r="M229" s="10" t="n">
        <v>3</v>
      </c>
      <c r="N229" s="10">
        <f>ROUND('00_TONG_HOP_BAO_GIA'!Q37, 0)</f>
        <v/>
      </c>
      <c r="O229" s="10">
        <f>ROUNDUP(N229*M229, -2)</f>
        <v/>
      </c>
      <c r="P229" s="9" t="inlineStr">
        <is>
          <t>- Van chặn lửa cầu chì - Tiêu chuẩn EI 120
- 2 đầu bích TDC - gắn cầu chì 70-74 độ C
- Sản xuất theo BCTN số: 4761/VLXD-TBMT</t>
        </is>
      </c>
    </row>
    <row r="230">
      <c r="A230" s="8" t="n"/>
      <c r="B230" s="9" t="inlineStr">
        <is>
          <t>Van gió FD 1000x500</t>
        </is>
      </c>
      <c r="C230" s="8" t="inlineStr">
        <is>
          <t>SWIND-2.01- E-FD-EI120</t>
        </is>
      </c>
      <c r="D230" s="8" t="inlineStr">
        <is>
          <t>SWIND</t>
        </is>
      </c>
      <c r="E230" s="8" t="n">
        <v>1000</v>
      </c>
      <c r="F230" s="8" t="n">
        <v>500</v>
      </c>
      <c r="G230" s="8" t="n"/>
      <c r="H230" s="8" t="n"/>
      <c r="I230" s="8" t="n"/>
      <c r="J230" s="8" t="n">
        <v>200</v>
      </c>
      <c r="K230" s="12" t="n">
        <v>1.15</v>
      </c>
      <c r="L230" s="8" t="inlineStr">
        <is>
          <t>cái</t>
        </is>
      </c>
      <c r="M230" s="10" t="n">
        <v>2</v>
      </c>
      <c r="N230" s="10">
        <f>ROUND('00_TONG_HOP_BAO_GIA'!Q38, 0)</f>
        <v/>
      </c>
      <c r="O230" s="10">
        <f>ROUNDUP(N230*M230, -2)</f>
        <v/>
      </c>
      <c r="P230" s="9" t="inlineStr">
        <is>
          <t>- Van chặn lửa cầu chì - Tiêu chuẩn EI 120
- 2 đầu bích TDC - gắn cầu chì 70-74 độ C
- Sản xuất theo BCTN số: 4761/VLXD-TBMT</t>
        </is>
      </c>
    </row>
    <row r="231">
      <c r="A231" s="8" t="n"/>
      <c r="B231" s="9" t="inlineStr">
        <is>
          <t>Van gió FD 1200x800</t>
        </is>
      </c>
      <c r="C231" s="8" t="inlineStr">
        <is>
          <t>SWIND-2.01- E-FD-EI120</t>
        </is>
      </c>
      <c r="D231" s="8" t="inlineStr">
        <is>
          <t>SWIND</t>
        </is>
      </c>
      <c r="E231" s="8" t="n">
        <v>1200</v>
      </c>
      <c r="F231" s="8" t="n">
        <v>800</v>
      </c>
      <c r="G231" s="8" t="n"/>
      <c r="H231" s="8" t="n"/>
      <c r="I231" s="8" t="n"/>
      <c r="J231" s="8" t="n">
        <v>200</v>
      </c>
      <c r="K231" s="12" t="n">
        <v>1.15</v>
      </c>
      <c r="L231" s="8" t="inlineStr">
        <is>
          <t>cái</t>
        </is>
      </c>
      <c r="M231" s="10" t="n">
        <v>2</v>
      </c>
      <c r="N231" s="10">
        <f>ROUND('00_TONG_HOP_BAO_GIA'!Q39, 0)</f>
        <v/>
      </c>
      <c r="O231" s="10">
        <f>ROUNDUP(N231*M231, -2)</f>
        <v/>
      </c>
      <c r="P231" s="9" t="inlineStr">
        <is>
          <t>- Van chặn lửa cầu chì - Tiêu chuẩn EI 120
- 2 đầu bích TDC - gắn cầu chì 70-74 độ C
- Sản xuất theo BCTN số: 4761/VLXD-TBMT</t>
        </is>
      </c>
    </row>
    <row r="232">
      <c r="A232" s="8" t="n"/>
      <c r="B232" s="9" t="inlineStr">
        <is>
          <t>Van gió FD 1600x700</t>
        </is>
      </c>
      <c r="C232" s="8" t="inlineStr">
        <is>
          <t>SWIND-2.01- E-FD-EI120</t>
        </is>
      </c>
      <c r="D232" s="8" t="inlineStr">
        <is>
          <t>SWIND</t>
        </is>
      </c>
      <c r="E232" s="8" t="n">
        <v>1600</v>
      </c>
      <c r="F232" s="8" t="n">
        <v>700</v>
      </c>
      <c r="G232" s="8" t="n">
        <v>800</v>
      </c>
      <c r="H232" s="8" t="n">
        <v>700</v>
      </c>
      <c r="I232" s="8" t="n">
        <v>2</v>
      </c>
      <c r="J232" s="8" t="n">
        <v>200</v>
      </c>
      <c r="K232" s="12" t="n">
        <v>1.15</v>
      </c>
      <c r="L232" s="8" t="inlineStr">
        <is>
          <t>cái</t>
        </is>
      </c>
      <c r="M232" s="10" t="n">
        <v>1</v>
      </c>
      <c r="N232" s="10">
        <f>ROUND('00_TONG_HOP_BAO_GIA'!Q40, 0)</f>
        <v/>
      </c>
      <c r="O232" s="10">
        <f>ROUNDUP(N232*M232, -2)</f>
        <v/>
      </c>
      <c r="P232" s="9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33">
      <c r="A233" s="8" t="n"/>
      <c r="B233" s="9" t="inlineStr">
        <is>
          <t>Van gió NRD 300x200</t>
        </is>
      </c>
      <c r="C233" s="8" t="inlineStr">
        <is>
          <t>NRD</t>
        </is>
      </c>
      <c r="D233" s="8" t="inlineStr">
        <is>
          <t>SWIND</t>
        </is>
      </c>
      <c r="E233" s="8" t="n">
        <v>300</v>
      </c>
      <c r="F233" s="8" t="n">
        <v>200</v>
      </c>
      <c r="G233" s="8" t="n"/>
      <c r="H233" s="8" t="n"/>
      <c r="I233" s="8" t="n"/>
      <c r="J233" s="8" t="n">
        <v>200</v>
      </c>
      <c r="K233" s="12" t="n">
        <v>0.75</v>
      </c>
      <c r="L233" s="8" t="inlineStr">
        <is>
          <t>cái</t>
        </is>
      </c>
      <c r="M233" s="10" t="n">
        <v>3</v>
      </c>
      <c r="N233" s="10">
        <f>ROUND('00_TONG_HOP_BAO_GIA'!Q41, 0)</f>
        <v/>
      </c>
      <c r="O233" s="10">
        <f>ROUNDUP(N233*M233, -2)</f>
        <v/>
      </c>
      <c r="P233" s="9" t="inlineStr">
        <is>
          <t>Van 1 chiều tôn mạ kẽm</t>
        </is>
      </c>
    </row>
    <row r="234">
      <c r="A234" s="8" t="n"/>
      <c r="B234" s="9" t="inlineStr">
        <is>
          <t>Van gió NRD 800x300</t>
        </is>
      </c>
      <c r="C234" s="8" t="inlineStr">
        <is>
          <t>NRD</t>
        </is>
      </c>
      <c r="D234" s="8" t="inlineStr">
        <is>
          <t>SWIND</t>
        </is>
      </c>
      <c r="E234" s="8" t="n">
        <v>800</v>
      </c>
      <c r="F234" s="8" t="n">
        <v>300</v>
      </c>
      <c r="G234" s="8" t="n"/>
      <c r="H234" s="8" t="n"/>
      <c r="I234" s="8" t="n"/>
      <c r="J234" s="8" t="n">
        <v>200</v>
      </c>
      <c r="K234" s="12" t="n">
        <v>0.75</v>
      </c>
      <c r="L234" s="8" t="inlineStr">
        <is>
          <t>cái</t>
        </is>
      </c>
      <c r="M234" s="10" t="n">
        <v>1</v>
      </c>
      <c r="N234" s="10">
        <f>ROUND('00_TONG_HOP_BAO_GIA'!Q42, 0)</f>
        <v/>
      </c>
      <c r="O234" s="10">
        <f>ROUNDUP(N234*M234, -2)</f>
        <v/>
      </c>
      <c r="P234" s="9" t="inlineStr">
        <is>
          <t>Van 1 chiều tôn mạ kẽm</t>
        </is>
      </c>
    </row>
    <row r="235">
      <c r="A235" s="8" t="n"/>
      <c r="B235" s="9" t="inlineStr">
        <is>
          <t>Van gió NRD 900x300</t>
        </is>
      </c>
      <c r="C235" s="8" t="inlineStr">
        <is>
          <t>NRD</t>
        </is>
      </c>
      <c r="D235" s="8" t="inlineStr">
        <is>
          <t>SWIND</t>
        </is>
      </c>
      <c r="E235" s="8" t="n">
        <v>900</v>
      </c>
      <c r="F235" s="8" t="n">
        <v>300</v>
      </c>
      <c r="G235" s="8" t="n"/>
      <c r="H235" s="8" t="n"/>
      <c r="I235" s="8" t="n"/>
      <c r="J235" s="8" t="n">
        <v>200</v>
      </c>
      <c r="K235" s="12" t="n">
        <v>0.75</v>
      </c>
      <c r="L235" s="8" t="inlineStr">
        <is>
          <t>cái</t>
        </is>
      </c>
      <c r="M235" s="10" t="n">
        <v>2</v>
      </c>
      <c r="N235" s="10">
        <f>ROUND('00_TONG_HOP_BAO_GIA'!Q43, 0)</f>
        <v/>
      </c>
      <c r="O235" s="10">
        <f>ROUNDUP(N235*M235, -2)</f>
        <v/>
      </c>
      <c r="P235" s="9" t="inlineStr">
        <is>
          <t>Van 1 chiều tôn mạ kẽm</t>
        </is>
      </c>
    </row>
    <row r="236">
      <c r="A236" s="8" t="n"/>
      <c r="B236" s="9" t="inlineStr">
        <is>
          <t>Van gió NRD 1000x500</t>
        </is>
      </c>
      <c r="C236" s="8" t="inlineStr">
        <is>
          <t>NRD</t>
        </is>
      </c>
      <c r="D236" s="8" t="inlineStr">
        <is>
          <t>SWIND</t>
        </is>
      </c>
      <c r="E236" s="8" t="n">
        <v>1000</v>
      </c>
      <c r="F236" s="8" t="n">
        <v>500</v>
      </c>
      <c r="G236" s="8" t="n"/>
      <c r="H236" s="8" t="n"/>
      <c r="I236" s="8" t="n"/>
      <c r="J236" s="8" t="n">
        <v>200</v>
      </c>
      <c r="K236" s="12" t="n">
        <v>1.15</v>
      </c>
      <c r="L236" s="8" t="inlineStr">
        <is>
          <t>cái</t>
        </is>
      </c>
      <c r="M236" s="10" t="n">
        <v>2</v>
      </c>
      <c r="N236" s="10">
        <f>ROUND('00_TONG_HOP_BAO_GIA'!Q44, 0)</f>
        <v/>
      </c>
      <c r="O236" s="10">
        <f>ROUNDUP(N236*M236, -2)</f>
        <v/>
      </c>
      <c r="P236" s="9" t="inlineStr">
        <is>
          <t>Van 1 chiều tôn mạ kẽm</t>
        </is>
      </c>
    </row>
    <row r="237">
      <c r="A237" s="8" t="n"/>
      <c r="B237" s="9" t="inlineStr">
        <is>
          <t>Ga nạp R410/R32 (khối lượng tạm tính)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Kg</t>
        </is>
      </c>
      <c r="M237" s="10" t="n">
        <v>13</v>
      </c>
      <c r="N237" s="11" t="n"/>
      <c r="O237" s="11" t="n"/>
      <c r="P237" s="9" t="n"/>
    </row>
    <row r="238">
      <c r="A238" s="8" t="n"/>
      <c r="B238" s="9" t="inlineStr">
        <is>
          <t>Van gió NRD 1200x800</t>
        </is>
      </c>
      <c r="C238" s="8" t="inlineStr">
        <is>
          <t>NRD</t>
        </is>
      </c>
      <c r="D238" s="8" t="inlineStr">
        <is>
          <t>SWIND</t>
        </is>
      </c>
      <c r="E238" s="8" t="n">
        <v>1200</v>
      </c>
      <c r="F238" s="8" t="n">
        <v>800</v>
      </c>
      <c r="G238" s="8" t="n"/>
      <c r="H238" s="8" t="n"/>
      <c r="I238" s="8" t="n"/>
      <c r="J238" s="8" t="n">
        <v>200</v>
      </c>
      <c r="K238" s="12" t="n">
        <v>1.15</v>
      </c>
      <c r="L238" s="8" t="inlineStr">
        <is>
          <t>cái</t>
        </is>
      </c>
      <c r="M238" s="10" t="n">
        <v>2</v>
      </c>
      <c r="N238" s="10">
        <f>ROUND('00_TONG_HOP_BAO_GIA'!Q45, 0)</f>
        <v/>
      </c>
      <c r="O238" s="10">
        <f>ROUNDUP(N238*M238, -2)</f>
        <v/>
      </c>
      <c r="P238" s="9" t="inlineStr">
        <is>
          <t>Van 1 chiều tôn mạ kẽm</t>
        </is>
      </c>
    </row>
    <row r="239">
      <c r="A239" s="6" t="n"/>
      <c r="B239" s="7" t="inlineStr">
        <is>
          <t>B. PHẦN CĂN HỘ</t>
        </is>
      </c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</row>
    <row r="240">
      <c r="A240" s="6" t="n"/>
      <c r="B240" s="7" t="inlineStr">
        <is>
          <t>I. Đường ống</t>
        </is>
      </c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6" t="n"/>
      <c r="B241" s="7" t="inlineStr">
        <is>
          <t>1. Ống nước ngưng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8" t="n"/>
      <c r="B242" s="9" t="inlineStr">
        <is>
          <t>Ống nước ngưng uPVC D.27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m</t>
        </is>
      </c>
      <c r="M242" s="10" t="n">
        <v>7872</v>
      </c>
      <c r="N242" s="11" t="n"/>
      <c r="O242" s="11" t="n"/>
      <c r="P242" s="9" t="n"/>
    </row>
    <row r="243">
      <c r="A243" s="8" t="n"/>
      <c r="B243" s="9" t="inlineStr">
        <is>
          <t>Ống nước ngưng uPVC D.34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9184</v>
      </c>
      <c r="N243" s="11" t="n"/>
      <c r="O243" s="11" t="n"/>
      <c r="P243" s="9" t="n"/>
    </row>
    <row r="244">
      <c r="A244" s="8" t="n"/>
      <c r="B244" s="9" t="inlineStr">
        <is>
          <t>Phụ kiện ống nước ngưng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Lô</t>
        </is>
      </c>
      <c r="M244" s="10" t="n">
        <v>1</v>
      </c>
      <c r="N244" s="11" t="n"/>
      <c r="O244" s="11" t="n"/>
      <c r="P244" s="9" t="n"/>
    </row>
    <row r="245">
      <c r="A245" s="8" t="n"/>
      <c r="B245" s="9" t="inlineStr">
        <is>
          <t>Vật tư phụ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Lô</t>
        </is>
      </c>
      <c r="M245" s="10" t="n">
        <v>1</v>
      </c>
      <c r="N245" s="11" t="n"/>
      <c r="O245" s="11" t="n"/>
      <c r="P245" s="9" t="n"/>
    </row>
    <row r="246">
      <c r="A246" s="6" t="n"/>
      <c r="B246" s="7" t="inlineStr">
        <is>
          <t>Ống Cách nhiệt ống nước ngưng, tỉ trọng 25kg/m3</t>
        </is>
      </c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8" t="n"/>
      <c r="B247" s="9" t="inlineStr">
        <is>
          <t>Cách nhiệt ống D.27 dày 10mm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7872</v>
      </c>
      <c r="N247" s="11" t="n"/>
      <c r="O247" s="11" t="n"/>
      <c r="P247" s="9" t="n"/>
    </row>
    <row r="248">
      <c r="A248" s="8" t="n"/>
      <c r="B248" s="9" t="inlineStr">
        <is>
          <t>Cách nhiệt ống D.34 dày 10mm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9184</v>
      </c>
      <c r="N248" s="11" t="n"/>
      <c r="O248" s="11" t="n"/>
      <c r="P248" s="9" t="n"/>
    </row>
    <row r="249">
      <c r="A249" s="6" t="n"/>
      <c r="B249" s="7" t="inlineStr">
        <is>
          <t>2. Ống đồng</t>
        </is>
      </c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8" t="n"/>
      <c r="B250" s="9" t="inlineStr">
        <is>
          <t>Ống đồng Ø6.4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52480</v>
      </c>
      <c r="N250" s="11" t="n"/>
      <c r="O250" s="11" t="n"/>
      <c r="P250" s="9" t="n"/>
    </row>
    <row r="251">
      <c r="A251" s="8" t="n"/>
      <c r="B251" s="9" t="inlineStr">
        <is>
          <t>Ống đồng  Ø9.5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39360</v>
      </c>
      <c r="N251" s="11" t="n"/>
      <c r="O251" s="11" t="n"/>
      <c r="P251" s="9" t="n"/>
    </row>
    <row r="252">
      <c r="A252" s="8" t="n"/>
      <c r="B252" s="9" t="inlineStr">
        <is>
          <t>Ống đồng  Ø12.7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19680</v>
      </c>
      <c r="N252" s="11" t="n"/>
      <c r="O252" s="11" t="n"/>
      <c r="P252" s="9" t="n"/>
    </row>
    <row r="253">
      <c r="A253" s="8" t="n"/>
      <c r="B253" s="9" t="inlineStr">
        <is>
          <t>Vật tư phụ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Lô</t>
        </is>
      </c>
      <c r="M253" s="10" t="n">
        <v>1</v>
      </c>
      <c r="N253" s="11" t="n"/>
      <c r="O253" s="11" t="n"/>
      <c r="P253" s="9" t="n"/>
    </row>
    <row r="254">
      <c r="A254" s="6" t="n"/>
      <c r="B254" s="7" t="inlineStr">
        <is>
          <t>Ống Cách nhiệt ống gas lạnh, tỉ trọng 25kg/m3</t>
        </is>
      </c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</row>
    <row r="255">
      <c r="A255" s="8" t="n"/>
      <c r="B255" s="9" t="inlineStr">
        <is>
          <t>Cách nhiệt ống Ø6.4 dày 19mm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52480</v>
      </c>
      <c r="N255" s="11" t="n"/>
      <c r="O255" s="11" t="n"/>
      <c r="P255" s="9" t="n"/>
    </row>
    <row r="256">
      <c r="A256" s="8" t="n"/>
      <c r="B256" s="9" t="inlineStr">
        <is>
          <t>Cách nhiệt ống Ø9.5 dày 19mm</t>
        </is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inlineStr">
        <is>
          <t>m</t>
        </is>
      </c>
      <c r="M256" s="10" t="n">
        <v>39360</v>
      </c>
      <c r="N256" s="11" t="n"/>
      <c r="O256" s="11" t="n"/>
      <c r="P256" s="9" t="n"/>
    </row>
    <row r="257">
      <c r="A257" s="8" t="n"/>
      <c r="B257" s="9" t="inlineStr">
        <is>
          <t>Cách nhiệt ống Ø12.7 dày 19mm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m</t>
        </is>
      </c>
      <c r="M257" s="10" t="n">
        <v>19680</v>
      </c>
      <c r="N257" s="11" t="n"/>
      <c r="O257" s="11" t="n"/>
      <c r="P257" s="9" t="n"/>
    </row>
    <row r="258">
      <c r="A258" s="6" t="n"/>
      <c r="B258" s="7" t="inlineStr">
        <is>
          <t>3. Ống gió/ Duct work</t>
        </is>
      </c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</row>
    <row r="259">
      <c r="A259" s="6" t="n"/>
      <c r="B259" s="7" t="inlineStr">
        <is>
          <t>a. Ống uPCV</t>
        </is>
      </c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8" t="n"/>
      <c r="B260" s="9" t="inlineStr">
        <is>
          <t>Ống uPCV D110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11" t="n"/>
      <c r="N260" s="11" t="n"/>
      <c r="O260" s="11" t="n"/>
      <c r="P260" s="9" t="n"/>
    </row>
    <row r="261">
      <c r="A261" s="8" t="n"/>
      <c r="B261" s="9" t="inlineStr">
        <is>
          <t>Ống uPCV D160</t>
        </is>
      </c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11" t="n"/>
      <c r="N261" s="11" t="n"/>
      <c r="O261" s="11" t="n"/>
      <c r="P261" s="9" t="n"/>
    </row>
    <row r="262">
      <c r="A262" s="6" t="n"/>
      <c r="B262" s="7" t="inlineStr">
        <is>
          <t>b. Ống tole tráng kẽm dày 0.6mm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Ống tole tráng kẽm dày 0.6mm D150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11" t="n"/>
      <c r="N263" s="11" t="n"/>
      <c r="O263" s="11" t="n"/>
      <c r="P263" s="9" t="n"/>
    </row>
    <row r="264">
      <c r="A264" s="8" t="n"/>
      <c r="B264" s="9" t="inlineStr">
        <is>
          <t>Phụ kiện ống gió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11" t="n"/>
      <c r="N264" s="11" t="n"/>
      <c r="O264" s="11" t="n"/>
      <c r="P264" s="9" t="n"/>
    </row>
    <row r="265">
      <c r="A265" s="6" t="n"/>
      <c r="B265" s="7" t="inlineStr">
        <is>
          <t>e. Ống gió mềm</t>
        </is>
      </c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8" t="n"/>
      <c r="B266" s="9" t="inlineStr">
        <is>
          <t>Ống gió mềm D150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11" t="n"/>
      <c r="N266" s="11" t="n"/>
      <c r="O266" s="11" t="n"/>
      <c r="P266" s="9" t="n"/>
    </row>
    <row r="267">
      <c r="A267" s="8" t="n"/>
      <c r="B267" s="9" t="inlineStr">
        <is>
          <t>Ống gió mềm D100</t>
        </is>
      </c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11" t="n"/>
      <c r="N267" s="11" t="n"/>
      <c r="O267" s="11" t="n"/>
      <c r="P267" s="9" t="n"/>
    </row>
    <row r="268">
      <c r="A268" s="8" t="n"/>
      <c r="B268" s="9" t="inlineStr">
        <is>
          <t>Phụ kiện ống gió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11" t="n"/>
      <c r="N268" s="11" t="n"/>
      <c r="O268" s="11" t="n"/>
      <c r="P268" s="9" t="n"/>
    </row>
    <row r="269">
      <c r="A269" s="6" t="n"/>
      <c r="B269" s="7" t="inlineStr">
        <is>
          <t>4. Thiết bị</t>
        </is>
      </c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</row>
    <row r="270">
      <c r="A270" s="6" t="n"/>
      <c r="B270" s="7" t="inlineStr">
        <is>
          <t>a. Quạt</t>
        </is>
      </c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</row>
    <row r="271">
      <c r="A271" s="8" t="n"/>
      <c r="B271" s="9" t="inlineStr">
        <is>
          <t>Quạt gắn trần TEF-2PN : 25L/s -70Pa</t>
        </is>
      </c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11" t="n"/>
      <c r="N271" s="11" t="n"/>
      <c r="O271" s="11" t="n"/>
      <c r="P271" s="9" t="n"/>
    </row>
    <row r="272">
      <c r="A272" s="8" t="n"/>
      <c r="B272" s="9" t="inlineStr">
        <is>
          <t>Vật tư phụ</t>
        </is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11" t="n"/>
      <c r="N272" s="11" t="n"/>
      <c r="O272" s="11" t="n"/>
      <c r="P272" s="9" t="n"/>
    </row>
    <row r="273">
      <c r="A273" s="6" t="n"/>
      <c r="B273" s="7" t="inlineStr">
        <is>
          <t>f. Máy Lạnh multi</t>
        </is>
      </c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</row>
    <row r="274">
      <c r="A274" s="8" t="n"/>
      <c r="B274" s="9" t="inlineStr">
        <is>
          <t>Dàn nóng 10kW</t>
        </is>
      </c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inlineStr">
        <is>
          <t>bộ</t>
        </is>
      </c>
      <c r="M274" s="10" t="n">
        <v>1312</v>
      </c>
      <c r="N274" s="11" t="n"/>
      <c r="O274" s="11" t="n"/>
      <c r="P274" s="9" t="n"/>
    </row>
    <row r="275">
      <c r="A275" s="8" t="n"/>
      <c r="B275" s="9" t="inlineStr">
        <is>
          <t>Dàn lạnh cassette 1 hướng thổi 2.6kW</t>
        </is>
      </c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inlineStr">
        <is>
          <t>bộ</t>
        </is>
      </c>
      <c r="M275" s="10" t="n">
        <v>2624</v>
      </c>
      <c r="N275" s="11" t="n"/>
      <c r="O275" s="11" t="n"/>
      <c r="P275" s="9" t="n"/>
    </row>
    <row r="276">
      <c r="A276" s="8" t="n"/>
      <c r="B276" s="9" t="inlineStr">
        <is>
          <t>Dàn lạnh âm trần nối ống gió, kèm hộp box : 5.2kW</t>
        </is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inlineStr">
        <is>
          <t>bộ</t>
        </is>
      </c>
      <c r="M276" s="10" t="n">
        <v>1312</v>
      </c>
      <c r="N276" s="11" t="n"/>
      <c r="O276" s="11" t="n"/>
      <c r="P276" s="9" t="n"/>
    </row>
    <row r="277">
      <c r="A277" s="8" t="n"/>
      <c r="B277" s="9" t="inlineStr">
        <is>
          <t>Vật tư phụ</t>
        </is>
      </c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inlineStr">
        <is>
          <t>Lô</t>
        </is>
      </c>
      <c r="M277" s="10" t="n">
        <v>1</v>
      </c>
      <c r="N277" s="11" t="n"/>
      <c r="O277" s="11" t="n"/>
      <c r="P277" s="9" t="n"/>
    </row>
    <row r="278">
      <c r="A278" s="6" t="n"/>
      <c r="B278" s="7" t="inlineStr">
        <is>
          <t>g. Miệng gió</t>
        </is>
      </c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</row>
    <row r="279">
      <c r="A279" s="8" t="n"/>
      <c r="B279" s="9" t="inlineStr">
        <is>
          <t>Miệng gió SAG 1000x90+OBD kèm hộp gió cách nhiệt</t>
        </is>
      </c>
      <c r="C279" s="8" t="inlineStr">
        <is>
          <t>SDG+O</t>
        </is>
      </c>
      <c r="D279" s="8" t="inlineStr">
        <is>
          <t>SWIND</t>
        </is>
      </c>
      <c r="E279" s="8" t="n">
        <v>1000</v>
      </c>
      <c r="F279" s="8" t="n">
        <v>90</v>
      </c>
      <c r="G279" s="8" t="n">
        <v>950</v>
      </c>
      <c r="H279" s="8" t="n">
        <v>50</v>
      </c>
      <c r="I279" s="8" t="n"/>
      <c r="J279" s="8" t="n"/>
      <c r="K279" s="8" t="n"/>
      <c r="L279" s="8" t="inlineStr">
        <is>
          <t>cái</t>
        </is>
      </c>
      <c r="M279" s="10" t="n">
        <v>2624</v>
      </c>
      <c r="N279" s="10">
        <f>ROUND('00_TONG_HOP_BAO_GIA'!Q46, 0)</f>
        <v/>
      </c>
      <c r="O279" s="10">
        <f>ROUNDUP(N279*M279, -2)</f>
        <v/>
      </c>
      <c r="P279" s="9" t="inlineStr">
        <is>
          <t>Cửa nan bầu dục 1 lớp kèm van OBD</t>
        </is>
      </c>
    </row>
    <row r="280">
      <c r="A280" s="8" t="n"/>
      <c r="B280" s="9" t="inlineStr">
        <is>
          <t>Miệng gió RAG 1000x90+OBD kèm hộp gió cách nhiệt</t>
        </is>
      </c>
      <c r="C280" s="8" t="inlineStr">
        <is>
          <t>SDG+O+F</t>
        </is>
      </c>
      <c r="D280" s="8" t="inlineStr">
        <is>
          <t>SWIND</t>
        </is>
      </c>
      <c r="E280" s="8" t="n">
        <v>1000</v>
      </c>
      <c r="F280" s="8" t="n">
        <v>90</v>
      </c>
      <c r="G280" s="8" t="n">
        <v>950</v>
      </c>
      <c r="H280" s="8" t="n">
        <v>50</v>
      </c>
      <c r="I280" s="8" t="n"/>
      <c r="J280" s="8" t="n"/>
      <c r="K280" s="8" t="n"/>
      <c r="L280" s="8" t="inlineStr">
        <is>
          <t>cái</t>
        </is>
      </c>
      <c r="M280" s="10" t="n">
        <v>2624</v>
      </c>
      <c r="N280" s="10">
        <f>ROUND('00_TONG_HOP_BAO_GIA'!Q47, 0)</f>
        <v/>
      </c>
      <c r="O280" s="10">
        <f>ROUNDUP(N280*M280, -2)</f>
        <v/>
      </c>
      <c r="P280" s="9" t="inlineStr">
        <is>
          <t>Cửa hồi nan thẳng bầu dục kèm lưới lọc bụi G4 và van OBD</t>
        </is>
      </c>
    </row>
    <row r="281">
      <c r="A281" s="6" t="n"/>
      <c r="B281" s="7" t="inlineStr">
        <is>
          <t>Chụp thông gió</t>
        </is>
      </c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</row>
    <row r="282">
      <c r="A282" s="8" t="n"/>
      <c r="B282" s="9" t="inlineStr">
        <is>
          <t>Chụp thông gió D110</t>
        </is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inlineStr">
        <is>
          <t>cái</t>
        </is>
      </c>
      <c r="M282" s="10" t="n">
        <v>2624</v>
      </c>
      <c r="N282" s="11" t="n"/>
      <c r="O282" s="11" t="n"/>
      <c r="P282" s="9" t="n"/>
    </row>
    <row r="283">
      <c r="A283" s="8" t="n"/>
      <c r="B283" s="9" t="inlineStr">
        <is>
          <t>Chụp thông gió D160</t>
        </is>
      </c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inlineStr">
        <is>
          <t>cái</t>
        </is>
      </c>
      <c r="M283" s="10" t="n">
        <v>1312</v>
      </c>
      <c r="N283" s="11" t="n"/>
      <c r="O283" s="11" t="n"/>
      <c r="P283" s="9" t="n"/>
    </row>
    <row r="285">
      <c r="B285" s="13" t="inlineStr">
        <is>
          <t>TỔNG CỘNG (CHƯA BAO GỒM VAT):</t>
        </is>
      </c>
      <c r="O285" s="14">
        <f>SUBTOTAL(9,O14:O283)</f>
        <v/>
      </c>
    </row>
    <row r="286">
      <c r="B286" s="13" t="inlineStr">
        <is>
          <t>THUẾ GTGT (VAT 8%):</t>
        </is>
      </c>
      <c r="O286" s="14">
        <f>ROUND(O285*0.08, 0)</f>
        <v/>
      </c>
    </row>
    <row r="287">
      <c r="B287" s="13" t="inlineStr">
        <is>
          <t>TỔNG CỘNG THANH TOÁN (ĐÃ GỒM VAT 8%):</t>
        </is>
      </c>
      <c r="O287" s="14">
        <f>O285+O286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5" t="inlineStr">
        <is>
          <t>STT</t>
        </is>
      </c>
      <c r="B1" s="15" t="inlineStr">
        <is>
          <t>ITEM_ID</t>
        </is>
      </c>
      <c r="C1" s="15" t="inlineStr">
        <is>
          <t>PHÂN NHÓM</t>
        </is>
      </c>
      <c r="D1" s="15" t="inlineStr">
        <is>
          <t>TÊN SẢN PHẨM</t>
        </is>
      </c>
      <c r="E1" s="15" t="inlineStr">
        <is>
          <t>QUY CÁCH (WxH)</t>
        </is>
      </c>
      <c r="F1" s="15" t="inlineStr">
        <is>
          <t>ĐVT</t>
        </is>
      </c>
      <c r="G1" s="15" t="inlineStr">
        <is>
          <t>SỐ LƯỢNG</t>
        </is>
      </c>
      <c r="H1" s="15" t="inlineStr">
        <is>
          <t>CP VẬT TƯ ỐNG</t>
        </is>
      </c>
      <c r="I1" s="15" t="inlineStr">
        <is>
          <t>CP VẬT TƯ CỬA</t>
        </is>
      </c>
      <c r="J1" s="15" t="inlineStr">
        <is>
          <t>CP VẬT TƯ VAN</t>
        </is>
      </c>
      <c r="K1" s="15" t="inlineStr">
        <is>
          <t>TỔNG CP VẬT TƯ</t>
        </is>
      </c>
      <c r="L1" s="15" t="inlineStr">
        <is>
          <t>NHÂN CÔNG (25%)</t>
        </is>
      </c>
      <c r="M1" s="15" t="inlineStr">
        <is>
          <t>CP XƯỞNG (10%)</t>
        </is>
      </c>
      <c r="N1" s="15" t="inlineStr">
        <is>
          <t>TỔNG GIÁ VỐN</t>
        </is>
      </c>
      <c r="O1" s="15" t="inlineStr">
        <is>
          <t>GIÁ VỐN / ĐVT</t>
        </is>
      </c>
      <c r="P1" s="15" t="inlineStr">
        <is>
          <t>MARGIN (%)</t>
        </is>
      </c>
      <c r="Q1" s="15" t="inlineStr">
        <is>
          <t>ĐƠN GIÁ BÁN</t>
        </is>
      </c>
      <c r="R1" s="15" t="inlineStr">
        <is>
          <t>THÀNH TIỀN (VNĐ)</t>
        </is>
      </c>
      <c r="S1" s="15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g. Miệng gió Miệng gió EAG 200x200+OBD kèm hộp gió</t>
        </is>
      </c>
      <c r="E2" t="inlineStr">
        <is>
          <t>200x200</t>
        </is>
      </c>
      <c r="F2" t="inlineStr">
        <is>
          <t>cái</t>
        </is>
      </c>
      <c r="G2" s="16" t="n">
        <v>62</v>
      </c>
      <c r="H2" s="16">
        <f>SUMIF('01_BOC_TACH_ONG'!$B$2:$B$5000, B2, '01_BOC_TACH_ONG'!$K$2:$K$5000)</f>
        <v/>
      </c>
      <c r="I2" s="16">
        <f>SUMIF('02_BOC_TACH_CUA'!$B$2:$B$5000, B2, '02_BOC_TACH_CUA'!$K$2:$K$5000)</f>
        <v/>
      </c>
      <c r="J2" s="16">
        <f>SUMIF('03_BOC_TACH_VAN'!$B$2:$B$5000, B2, '03_BOC_TACH_VAN'!$K$2:$K$5000)</f>
        <v/>
      </c>
      <c r="K2" s="16">
        <f>SUM(H2:J2)</f>
        <v/>
      </c>
      <c r="L2" s="16">
        <f>(K2-SUMIFS('03_BOC_TACH_VAN'!$K$2:$K$5000, '03_BOC_TACH_VAN'!$B$2:$B$5000, B2, '03_BOC_TACH_VAN'!$D$2:$D$5000, "ĐỘNG_CƠ_VÀ_CẢM_BIẾN"))*0.25</f>
        <v/>
      </c>
      <c r="M2" s="16">
        <f>(K2-SUMIFS('03_BOC_TACH_VAN'!$K$2:$K$5000, '03_BOC_TACH_VAN'!$B$2:$B$5000, B2, '03_BOC_TACH_VAN'!$D$2:$D$5000, "ĐỘNG_CƠ_VÀ_CẢM_BIẾN"))*0.10</f>
        <v/>
      </c>
      <c r="N2" s="16">
        <f>K2+L2+M2</f>
        <v/>
      </c>
      <c r="O2" s="16">
        <f>IF(G2&gt;0, N2/G2, 0)</f>
        <v/>
      </c>
      <c r="P2" s="17" t="n">
        <v>0.18</v>
      </c>
      <c r="Q2" s="16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6">
        <f>G2*Q2</f>
        <v/>
      </c>
      <c r="S2" t="inlineStr">
        <is>
          <t>Cửa nan bầu dục 1 lớp kèm van OBD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g. Miệng gió Miệng gió EAG 300x200+OBD kèm hộp gió</t>
        </is>
      </c>
      <c r="E3" t="inlineStr">
        <is>
          <t>300x200</t>
        </is>
      </c>
      <c r="F3" t="inlineStr">
        <is>
          <t>cái</t>
        </is>
      </c>
      <c r="G3" s="16" t="n">
        <v>6</v>
      </c>
      <c r="H3" s="16">
        <f>SUMIF('01_BOC_TACH_ONG'!$B$2:$B$5000, B3, '01_BOC_TACH_ONG'!$K$2:$K$5000)</f>
        <v/>
      </c>
      <c r="I3" s="16">
        <f>SUMIF('02_BOC_TACH_CUA'!$B$2:$B$5000, B3, '02_BOC_TACH_CUA'!$K$2:$K$5000)</f>
        <v/>
      </c>
      <c r="J3" s="16">
        <f>SUMIF('03_BOC_TACH_VAN'!$B$2:$B$5000, B3, '03_BOC_TACH_VAN'!$K$2:$K$5000)</f>
        <v/>
      </c>
      <c r="K3" s="16">
        <f>SUM(H3:J3)</f>
        <v/>
      </c>
      <c r="L3" s="16">
        <f>(K3-SUMIFS('03_BOC_TACH_VAN'!$K$2:$K$5000, '03_BOC_TACH_VAN'!$B$2:$B$5000, B3, '03_BOC_TACH_VAN'!$D$2:$D$5000, "ĐỘNG_CƠ_VÀ_CẢM_BIẾN"))*0.25</f>
        <v/>
      </c>
      <c r="M3" s="16">
        <f>(K3-SUMIFS('03_BOC_TACH_VAN'!$K$2:$K$5000, '03_BOC_TACH_VAN'!$B$2:$B$5000, B3, '03_BOC_TACH_VAN'!$D$2:$D$5000, "ĐỘNG_CƠ_VÀ_CẢM_BIẾN"))*0.10</f>
        <v/>
      </c>
      <c r="N3" s="16">
        <f>K3+L3+M3</f>
        <v/>
      </c>
      <c r="O3" s="16">
        <f>IF(G3&gt;0, N3/G3, 0)</f>
        <v/>
      </c>
      <c r="P3" s="17" t="n">
        <v>0.18</v>
      </c>
      <c r="Q3" s="16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6">
        <f>G3*Q3</f>
        <v/>
      </c>
      <c r="S3" t="inlineStr">
        <is>
          <t>Cửa nan bầu dục 1 lớp kèm van OBD</t>
        </is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g. Miệng gió Miệng gió EAG 700x400+OBD kèm hộp gió</t>
        </is>
      </c>
      <c r="E4" t="inlineStr">
        <is>
          <t>700x400</t>
        </is>
      </c>
      <c r="F4" t="inlineStr">
        <is>
          <t>cái</t>
        </is>
      </c>
      <c r="G4" s="16" t="n">
        <v>5</v>
      </c>
      <c r="H4" s="16">
        <f>SUMIF('01_BOC_TACH_ONG'!$B$2:$B$5000, B4, '01_BOC_TACH_ONG'!$K$2:$K$5000)</f>
        <v/>
      </c>
      <c r="I4" s="16">
        <f>SUMIF('02_BOC_TACH_CUA'!$B$2:$B$5000, B4, '02_BOC_TACH_CUA'!$K$2:$K$5000)</f>
        <v/>
      </c>
      <c r="J4" s="16">
        <f>SUMIF('03_BOC_TACH_VAN'!$B$2:$B$5000, B4, '03_BOC_TACH_VAN'!$K$2:$K$5000)</f>
        <v/>
      </c>
      <c r="K4" s="16">
        <f>SUM(H4:J4)</f>
        <v/>
      </c>
      <c r="L4" s="16">
        <f>(K4-SUMIFS('03_BOC_TACH_VAN'!$K$2:$K$5000, '03_BOC_TACH_VAN'!$B$2:$B$5000, B4, '03_BOC_TACH_VAN'!$D$2:$D$5000, "ĐỘNG_CƠ_VÀ_CẢM_BIẾN"))*0.25</f>
        <v/>
      </c>
      <c r="M4" s="16">
        <f>(K4-SUMIFS('03_BOC_TACH_VAN'!$K$2:$K$5000, '03_BOC_TACH_VAN'!$B$2:$B$5000, B4, '03_BOC_TACH_VAN'!$D$2:$D$5000, "ĐỘNG_CƠ_VÀ_CẢM_BIẾN"))*0.10</f>
        <v/>
      </c>
      <c r="N4" s="16">
        <f>K4+L4+M4</f>
        <v/>
      </c>
      <c r="O4" s="16">
        <f>IF(G4&gt;0, N4/G4, 0)</f>
        <v/>
      </c>
      <c r="P4" s="17" t="n">
        <v>0.18</v>
      </c>
      <c r="Q4" s="16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6">
        <f>G4*Q4</f>
        <v/>
      </c>
      <c r="S4" t="inlineStr">
        <is>
          <t>Cửa nan bầu dục 1 lớp kèm van OBD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g. Miệng gió Miệng gió EAG 800x500+OBD kèm hộp gió</t>
        </is>
      </c>
      <c r="E5" t="inlineStr">
        <is>
          <t>800x500</t>
        </is>
      </c>
      <c r="F5" t="inlineStr">
        <is>
          <t>cái</t>
        </is>
      </c>
      <c r="G5" s="16" t="n">
        <v>6</v>
      </c>
      <c r="H5" s="16">
        <f>SUMIF('01_BOC_TACH_ONG'!$B$2:$B$5000, B5, '01_BOC_TACH_ONG'!$K$2:$K$5000)</f>
        <v/>
      </c>
      <c r="I5" s="16">
        <f>SUMIF('02_BOC_TACH_CUA'!$B$2:$B$5000, B5, '02_BOC_TACH_CUA'!$K$2:$K$5000)</f>
        <v/>
      </c>
      <c r="J5" s="16">
        <f>SUMIF('03_BOC_TACH_VAN'!$B$2:$B$5000, B5, '03_BOC_TACH_VAN'!$K$2:$K$5000)</f>
        <v/>
      </c>
      <c r="K5" s="16">
        <f>SUM(H5:J5)</f>
        <v/>
      </c>
      <c r="L5" s="16">
        <f>(K5-SUMIFS('03_BOC_TACH_VAN'!$K$2:$K$5000, '03_BOC_TACH_VAN'!$B$2:$B$5000, B5, '03_BOC_TACH_VAN'!$D$2:$D$5000, "ĐỘNG_CƠ_VÀ_CẢM_BIẾN"))*0.25</f>
        <v/>
      </c>
      <c r="M5" s="16">
        <f>(K5-SUMIFS('03_BOC_TACH_VAN'!$K$2:$K$5000, '03_BOC_TACH_VAN'!$B$2:$B$5000, B5, '03_BOC_TACH_VAN'!$D$2:$D$5000, "ĐỘNG_CƠ_VÀ_CẢM_BIẾN"))*0.10</f>
        <v/>
      </c>
      <c r="N5" s="16">
        <f>K5+L5+M5</f>
        <v/>
      </c>
      <c r="O5" s="16">
        <f>IF(G5&gt;0, N5/G5, 0)</f>
        <v/>
      </c>
      <c r="P5" s="17" t="n">
        <v>0.18</v>
      </c>
      <c r="Q5" s="16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6">
        <f>G5*Q5</f>
        <v/>
      </c>
      <c r="S5" t="inlineStr">
        <is>
          <t>Cửa nan bầu dục 1 lớp kèm van OBD</t>
        </is>
      </c>
    </row>
    <row r="6">
      <c r="A6" t="n">
        <v>5</v>
      </c>
      <c r="B6" t="inlineStr">
        <is>
          <t>SW-DIFF-005</t>
        </is>
      </c>
      <c r="C6" t="inlineStr">
        <is>
          <t>CỬA GIÓ</t>
        </is>
      </c>
      <c r="D6" t="inlineStr">
        <is>
          <t>g. Miệng gió Miệng gió EAG 1000x600+OBD kèm hộp gió</t>
        </is>
      </c>
      <c r="E6" t="inlineStr">
        <is>
          <t>1000x600</t>
        </is>
      </c>
      <c r="F6" t="inlineStr">
        <is>
          <t>cái</t>
        </is>
      </c>
      <c r="G6" s="16" t="n">
        <v>8</v>
      </c>
      <c r="H6" s="16">
        <f>SUMIF('01_BOC_TACH_ONG'!$B$2:$B$5000, B6, '01_BOC_TACH_ONG'!$K$2:$K$5000)</f>
        <v/>
      </c>
      <c r="I6" s="16">
        <f>SUMIF('02_BOC_TACH_CUA'!$B$2:$B$5000, B6, '02_BOC_TACH_CUA'!$K$2:$K$5000)</f>
        <v/>
      </c>
      <c r="J6" s="16">
        <f>SUMIF('03_BOC_TACH_VAN'!$B$2:$B$5000, B6, '03_BOC_TACH_VAN'!$K$2:$K$5000)</f>
        <v/>
      </c>
      <c r="K6" s="16">
        <f>SUM(H6:J6)</f>
        <v/>
      </c>
      <c r="L6" s="16">
        <f>(K6-SUMIFS('03_BOC_TACH_VAN'!$K$2:$K$5000, '03_BOC_TACH_VAN'!$B$2:$B$5000, B6, '03_BOC_TACH_VAN'!$D$2:$D$5000, "ĐỘNG_CƠ_VÀ_CẢM_BIẾN"))*0.25</f>
        <v/>
      </c>
      <c r="M6" s="16">
        <f>(K6-SUMIFS('03_BOC_TACH_VAN'!$K$2:$K$5000, '03_BOC_TACH_VAN'!$B$2:$B$5000, B6, '03_BOC_TACH_VAN'!$D$2:$D$5000, "ĐỘNG_CƠ_VÀ_CẢM_BIẾN"))*0.10</f>
        <v/>
      </c>
      <c r="N6" s="16">
        <f>K6+L6+M6</f>
        <v/>
      </c>
      <c r="O6" s="16">
        <f>IF(G6&gt;0, N6/G6, 0)</f>
        <v/>
      </c>
      <c r="P6" s="17" t="n">
        <v>0.18</v>
      </c>
      <c r="Q6" s="16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6">
        <f>G6*Q6</f>
        <v/>
      </c>
      <c r="S6" t="inlineStr">
        <is>
          <t>Cửa nan bầu dục 1 lớp kèm van OBD</t>
        </is>
      </c>
    </row>
    <row r="7">
      <c r="A7" t="n">
        <v>6</v>
      </c>
      <c r="B7" t="inlineStr">
        <is>
          <t>SW-DIFF-006</t>
        </is>
      </c>
      <c r="C7" t="inlineStr">
        <is>
          <t>CỬA GIÓ</t>
        </is>
      </c>
      <c r="D7" t="inlineStr">
        <is>
          <t>g. Miệng gió Miệng gió EAG 1000x1000+OBD kèm hộp gió</t>
        </is>
      </c>
      <c r="E7" t="inlineStr">
        <is>
          <t>1000x1000</t>
        </is>
      </c>
      <c r="F7" t="inlineStr">
        <is>
          <t>cái</t>
        </is>
      </c>
      <c r="G7" s="16" t="n">
        <v>8</v>
      </c>
      <c r="H7" s="16">
        <f>SUMIF('01_BOC_TACH_ONG'!$B$2:$B$5000, B7, '01_BOC_TACH_ONG'!$K$2:$K$5000)</f>
        <v/>
      </c>
      <c r="I7" s="16">
        <f>SUMIF('02_BOC_TACH_CUA'!$B$2:$B$5000, B7, '02_BOC_TACH_CUA'!$K$2:$K$5000)</f>
        <v/>
      </c>
      <c r="J7" s="16">
        <f>SUMIF('03_BOC_TACH_VAN'!$B$2:$B$5000, B7, '03_BOC_TACH_VAN'!$K$2:$K$5000)</f>
        <v/>
      </c>
      <c r="K7" s="16">
        <f>SUM(H7:J7)</f>
        <v/>
      </c>
      <c r="L7" s="16">
        <f>(K7-SUMIFS('03_BOC_TACH_VAN'!$K$2:$K$5000, '03_BOC_TACH_VAN'!$B$2:$B$5000, B7, '03_BOC_TACH_VAN'!$D$2:$D$5000, "ĐỘNG_CƠ_VÀ_CẢM_BIẾN"))*0.25</f>
        <v/>
      </c>
      <c r="M7" s="16">
        <f>(K7-SUMIFS('03_BOC_TACH_VAN'!$K$2:$K$5000, '03_BOC_TACH_VAN'!$B$2:$B$5000, B7, '03_BOC_TACH_VAN'!$D$2:$D$5000, "ĐỘNG_CƠ_VÀ_CẢM_BIẾN"))*0.10</f>
        <v/>
      </c>
      <c r="N7" s="16">
        <f>K7+L7+M7</f>
        <v/>
      </c>
      <c r="O7" s="16">
        <f>IF(G7&gt;0, N7/G7, 0)</f>
        <v/>
      </c>
      <c r="P7" s="17" t="n">
        <v>0.18</v>
      </c>
      <c r="Q7" s="16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6">
        <f>G7*Q7</f>
        <v/>
      </c>
      <c r="S7" t="inlineStr">
        <is>
          <t>Cửa nan bầu dục 1 lớp kèm van OBD</t>
        </is>
      </c>
    </row>
    <row r="8">
      <c r="A8" t="n">
        <v>7</v>
      </c>
      <c r="B8" t="inlineStr">
        <is>
          <t>SW-DIFF-007</t>
        </is>
      </c>
      <c r="C8" t="inlineStr">
        <is>
          <t>CỬA GIÓ</t>
        </is>
      </c>
      <c r="D8" t="inlineStr">
        <is>
          <t>g. Miệng gió Miệng gió FAG 200x200+OBD kèm hộp gió</t>
        </is>
      </c>
      <c r="E8" t="inlineStr">
        <is>
          <t>200x200</t>
        </is>
      </c>
      <c r="F8" t="inlineStr">
        <is>
          <t>cái</t>
        </is>
      </c>
      <c r="G8" s="16" t="n">
        <v>2</v>
      </c>
      <c r="H8" s="16">
        <f>SUMIF('01_BOC_TACH_ONG'!$B$2:$B$5000, B8, '01_BOC_TACH_ONG'!$K$2:$K$5000)</f>
        <v/>
      </c>
      <c r="I8" s="16">
        <f>SUMIF('02_BOC_TACH_CUA'!$B$2:$B$5000, B8, '02_BOC_TACH_CUA'!$K$2:$K$5000)</f>
        <v/>
      </c>
      <c r="J8" s="16">
        <f>SUMIF('03_BOC_TACH_VAN'!$B$2:$B$5000, B8, '03_BOC_TACH_VAN'!$K$2:$K$5000)</f>
        <v/>
      </c>
      <c r="K8" s="16">
        <f>SUM(H8:J8)</f>
        <v/>
      </c>
      <c r="L8" s="16">
        <f>(K8-SUMIFS('03_BOC_TACH_VAN'!$K$2:$K$5000, '03_BOC_TACH_VAN'!$B$2:$B$5000, B8, '03_BOC_TACH_VAN'!$D$2:$D$5000, "ĐỘNG_CƠ_VÀ_CẢM_BIẾN"))*0.25</f>
        <v/>
      </c>
      <c r="M8" s="16">
        <f>(K8-SUMIFS('03_BOC_TACH_VAN'!$K$2:$K$5000, '03_BOC_TACH_VAN'!$B$2:$B$5000, B8, '03_BOC_TACH_VAN'!$D$2:$D$5000, "ĐỘNG_CƠ_VÀ_CẢM_BIẾN"))*0.10</f>
        <v/>
      </c>
      <c r="N8" s="16">
        <f>K8+L8+M8</f>
        <v/>
      </c>
      <c r="O8" s="16">
        <f>IF(G8&gt;0, N8/G8, 0)</f>
        <v/>
      </c>
      <c r="P8" s="17" t="n">
        <v>0.18</v>
      </c>
      <c r="Q8" s="16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6">
        <f>G8*Q8</f>
        <v/>
      </c>
      <c r="S8" t="inlineStr">
        <is>
          <t>Cửa nan bầu dục 1 lớp kèm van OBD</t>
        </is>
      </c>
    </row>
    <row r="9">
      <c r="A9" t="n">
        <v>8</v>
      </c>
      <c r="B9" t="inlineStr">
        <is>
          <t>SW-DIFF-008</t>
        </is>
      </c>
      <c r="C9" t="inlineStr">
        <is>
          <t>CỬA GIÓ</t>
        </is>
      </c>
      <c r="D9" t="inlineStr">
        <is>
          <t>g. Miệng gió Miệng gió FAG 300x200 kèm hộp gió</t>
        </is>
      </c>
      <c r="E9" t="inlineStr">
        <is>
          <t>300x200</t>
        </is>
      </c>
      <c r="F9" t="inlineStr">
        <is>
          <t>cái</t>
        </is>
      </c>
      <c r="G9" s="16" t="n">
        <v>5</v>
      </c>
      <c r="H9" s="16">
        <f>SUMIF('01_BOC_TACH_ONG'!$B$2:$B$5000, B9, '01_BOC_TACH_ONG'!$K$2:$K$5000)</f>
        <v/>
      </c>
      <c r="I9" s="16">
        <f>SUMIF('02_BOC_TACH_CUA'!$B$2:$B$5000, B9, '02_BOC_TACH_CUA'!$K$2:$K$5000)</f>
        <v/>
      </c>
      <c r="J9" s="16">
        <f>SUMIF('03_BOC_TACH_VAN'!$B$2:$B$5000, B9, '03_BOC_TACH_VAN'!$K$2:$K$5000)</f>
        <v/>
      </c>
      <c r="K9" s="16">
        <f>SUM(H9:J9)</f>
        <v/>
      </c>
      <c r="L9" s="16">
        <f>(K9-SUMIFS('03_BOC_TACH_VAN'!$K$2:$K$5000, '03_BOC_TACH_VAN'!$B$2:$B$5000, B9, '03_BOC_TACH_VAN'!$D$2:$D$5000, "ĐỘNG_CƠ_VÀ_CẢM_BIẾN"))*0.25</f>
        <v/>
      </c>
      <c r="M9" s="16">
        <f>(K9-SUMIFS('03_BOC_TACH_VAN'!$K$2:$K$5000, '03_BOC_TACH_VAN'!$B$2:$B$5000, B9, '03_BOC_TACH_VAN'!$D$2:$D$5000, "ĐỘNG_CƠ_VÀ_CẢM_BIẾN"))*0.10</f>
        <v/>
      </c>
      <c r="N9" s="16">
        <f>K9+L9+M9</f>
        <v/>
      </c>
      <c r="O9" s="16">
        <f>IF(G9&gt;0, N9/G9, 0)</f>
        <v/>
      </c>
      <c r="P9" s="17" t="n">
        <v>0.18</v>
      </c>
      <c r="Q9" s="16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6">
        <f>G9*Q9</f>
        <v/>
      </c>
      <c r="S9" t="inlineStr">
        <is>
          <t>Cửa nan bầu dục 1 lớp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g. Miệng gió Miệng gió FAG 400x250 kèm hộp gió</t>
        </is>
      </c>
      <c r="E10" t="inlineStr">
        <is>
          <t>400x250</t>
        </is>
      </c>
      <c r="F10" t="inlineStr">
        <is>
          <t>cái</t>
        </is>
      </c>
      <c r="G10" s="16" t="n">
        <v>2</v>
      </c>
      <c r="H10" s="16">
        <f>SUMIF('01_BOC_TACH_ONG'!$B$2:$B$5000, B10, '01_BOC_TACH_ONG'!$K$2:$K$5000)</f>
        <v/>
      </c>
      <c r="I10" s="16">
        <f>SUMIF('02_BOC_TACH_CUA'!$B$2:$B$5000, B10, '02_BOC_TACH_CUA'!$K$2:$K$5000)</f>
        <v/>
      </c>
      <c r="J10" s="16">
        <f>SUMIF('03_BOC_TACH_VAN'!$B$2:$B$5000, B10, '03_BOC_TACH_VAN'!$K$2:$K$5000)</f>
        <v/>
      </c>
      <c r="K10" s="16">
        <f>SUM(H10:J10)</f>
        <v/>
      </c>
      <c r="L10" s="16">
        <f>(K10-SUMIFS('03_BOC_TACH_VAN'!$K$2:$K$5000, '03_BOC_TACH_VAN'!$B$2:$B$5000, B10, '03_BOC_TACH_VAN'!$D$2:$D$5000, "ĐỘNG_CƠ_VÀ_CẢM_BIẾN"))*0.25</f>
        <v/>
      </c>
      <c r="M10" s="16">
        <f>(K10-SUMIFS('03_BOC_TACH_VAN'!$K$2:$K$5000, '03_BOC_TACH_VAN'!$B$2:$B$5000, B10, '03_BOC_TACH_VAN'!$D$2:$D$5000, "ĐỘNG_CƠ_VÀ_CẢM_BIẾN"))*0.10</f>
        <v/>
      </c>
      <c r="N10" s="16">
        <f>K10+L10+M10</f>
        <v/>
      </c>
      <c r="O10" s="16">
        <f>IF(G10&gt;0, N10/G10, 0)</f>
        <v/>
      </c>
      <c r="P10" s="17" t="n">
        <v>0.18</v>
      </c>
      <c r="Q10" s="16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6">
        <f>G10*Q10</f>
        <v/>
      </c>
      <c r="S10" t="inlineStr">
        <is>
          <t>Cửa nan bầu dục 1 lớp</t>
        </is>
      </c>
    </row>
    <row r="11">
      <c r="A11" t="n">
        <v>10</v>
      </c>
      <c r="B11" t="inlineStr">
        <is>
          <t>SW-DIFF-010</t>
        </is>
      </c>
      <c r="C11" t="inlineStr">
        <is>
          <t>CỬA GIÓ</t>
        </is>
      </c>
      <c r="D11" t="inlineStr">
        <is>
          <t>g. Miệng gió Miệng gió FAG 700x400+OBD kèm hộp gió</t>
        </is>
      </c>
      <c r="E11" t="inlineStr">
        <is>
          <t>700x400</t>
        </is>
      </c>
      <c r="F11" t="inlineStr">
        <is>
          <t>cái</t>
        </is>
      </c>
      <c r="G11" s="16" t="n">
        <v>5</v>
      </c>
      <c r="H11" s="16">
        <f>SUMIF('01_BOC_TACH_ONG'!$B$2:$B$5000, B11, '01_BOC_TACH_ONG'!$K$2:$K$5000)</f>
        <v/>
      </c>
      <c r="I11" s="16">
        <f>SUMIF('02_BOC_TACH_CUA'!$B$2:$B$5000, B11, '02_BOC_TACH_CUA'!$K$2:$K$5000)</f>
        <v/>
      </c>
      <c r="J11" s="16">
        <f>SUMIF('03_BOC_TACH_VAN'!$B$2:$B$5000, B11, '03_BOC_TACH_VAN'!$K$2:$K$5000)</f>
        <v/>
      </c>
      <c r="K11" s="16">
        <f>SUM(H11:J11)</f>
        <v/>
      </c>
      <c r="L11" s="16">
        <f>(K11-SUMIFS('03_BOC_TACH_VAN'!$K$2:$K$5000, '03_BOC_TACH_VAN'!$B$2:$B$5000, B11, '03_BOC_TACH_VAN'!$D$2:$D$5000, "ĐỘNG_CƠ_VÀ_CẢM_BIẾN"))*0.25</f>
        <v/>
      </c>
      <c r="M11" s="16">
        <f>(K11-SUMIFS('03_BOC_TACH_VAN'!$K$2:$K$5000, '03_BOC_TACH_VAN'!$B$2:$B$5000, B11, '03_BOC_TACH_VAN'!$D$2:$D$5000, "ĐỘNG_CƠ_VÀ_CẢM_BIẾN"))*0.10</f>
        <v/>
      </c>
      <c r="N11" s="16">
        <f>K11+L11+M11</f>
        <v/>
      </c>
      <c r="O11" s="16">
        <f>IF(G11&gt;0, N11/G11, 0)</f>
        <v/>
      </c>
      <c r="P11" s="17" t="n">
        <v>0.18</v>
      </c>
      <c r="Q11" s="16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6">
        <f>G11*Q11</f>
        <v/>
      </c>
      <c r="S11" t="inlineStr">
        <is>
          <t>Cửa nan bầu dục 1 lớp kèm van OBD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g. Cửa gió Cửa gió FAL 200x200 kèm hộp gió</t>
        </is>
      </c>
      <c r="E12" t="inlineStr">
        <is>
          <t>200x200</t>
        </is>
      </c>
      <c r="F12" t="inlineStr">
        <is>
          <t>cái</t>
        </is>
      </c>
      <c r="G12" s="16" t="n">
        <v>2</v>
      </c>
      <c r="H12" s="16">
        <f>SUMIF('01_BOC_TACH_ONG'!$B$2:$B$5000, B12, '01_BOC_TACH_ONG'!$K$2:$K$5000)</f>
        <v/>
      </c>
      <c r="I12" s="16">
        <f>SUMIF('02_BOC_TACH_CUA'!$B$2:$B$5000, B12, '02_BOC_TACH_CUA'!$K$2:$K$5000)</f>
        <v/>
      </c>
      <c r="J12" s="16">
        <f>SUMIF('03_BOC_TACH_VAN'!$B$2:$B$5000, B12, '03_BOC_TACH_VAN'!$K$2:$K$5000)</f>
        <v/>
      </c>
      <c r="K12" s="16">
        <f>SUM(H12:J12)</f>
        <v/>
      </c>
      <c r="L12" s="16">
        <f>(K12-SUMIFS('03_BOC_TACH_VAN'!$K$2:$K$5000, '03_BOC_TACH_VAN'!$B$2:$B$5000, B12, '03_BOC_TACH_VAN'!$D$2:$D$5000, "ĐỘNG_CƠ_VÀ_CẢM_BIẾN"))*0.25</f>
        <v/>
      </c>
      <c r="M12" s="16">
        <f>(K12-SUMIFS('03_BOC_TACH_VAN'!$K$2:$K$5000, '03_BOC_TACH_VAN'!$B$2:$B$5000, B12, '03_BOC_TACH_VAN'!$D$2:$D$5000, "ĐỘNG_CƠ_VÀ_CẢM_BIẾN"))*0.10</f>
        <v/>
      </c>
      <c r="N12" s="16">
        <f>K12+L12+M12</f>
        <v/>
      </c>
      <c r="O12" s="16">
        <f>IF(G12&gt;0, N12/G12, 0)</f>
        <v/>
      </c>
      <c r="P12" s="17" t="n">
        <v>0.18</v>
      </c>
      <c r="Q12" s="16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6">
        <f>G12*Q12</f>
        <v/>
      </c>
      <c r="S12" t="inlineStr">
        <is>
          <t>Louver nan Z ngoài trời</t>
        </is>
      </c>
    </row>
    <row r="13">
      <c r="A13" t="n">
        <v>12</v>
      </c>
      <c r="B13" t="inlineStr">
        <is>
          <t>SW-DIFF-012</t>
        </is>
      </c>
      <c r="C13" t="inlineStr">
        <is>
          <t>CỬA GIÓ</t>
        </is>
      </c>
      <c r="D13" t="inlineStr">
        <is>
          <t>g. Cửa gió Cửa gió FAL 300x200 kèm hộp gió</t>
        </is>
      </c>
      <c r="E13" t="inlineStr">
        <is>
          <t>300x200</t>
        </is>
      </c>
      <c r="F13" t="inlineStr">
        <is>
          <t>cái</t>
        </is>
      </c>
      <c r="G13" s="16" t="n">
        <v>4</v>
      </c>
      <c r="H13" s="16">
        <f>SUMIF('01_BOC_TACH_ONG'!$B$2:$B$5000, B13, '01_BOC_TACH_ONG'!$K$2:$K$5000)</f>
        <v/>
      </c>
      <c r="I13" s="16">
        <f>SUMIF('02_BOC_TACH_CUA'!$B$2:$B$5000, B13, '02_BOC_TACH_CUA'!$K$2:$K$5000)</f>
        <v/>
      </c>
      <c r="J13" s="16">
        <f>SUMIF('03_BOC_TACH_VAN'!$B$2:$B$5000, B13, '03_BOC_TACH_VAN'!$K$2:$K$5000)</f>
        <v/>
      </c>
      <c r="K13" s="16">
        <f>SUM(H13:J13)</f>
        <v/>
      </c>
      <c r="L13" s="16">
        <f>(K13-SUMIFS('03_BOC_TACH_VAN'!$K$2:$K$5000, '03_BOC_TACH_VAN'!$B$2:$B$5000, B13, '03_BOC_TACH_VAN'!$D$2:$D$5000, "ĐỘNG_CƠ_VÀ_CẢM_BIẾN"))*0.25</f>
        <v/>
      </c>
      <c r="M13" s="16">
        <f>(K13-SUMIFS('03_BOC_TACH_VAN'!$K$2:$K$5000, '03_BOC_TACH_VAN'!$B$2:$B$5000, B13, '03_BOC_TACH_VAN'!$D$2:$D$5000, "ĐỘNG_CƠ_VÀ_CẢM_BIẾN"))*0.10</f>
        <v/>
      </c>
      <c r="N13" s="16">
        <f>K13+L13+M13</f>
        <v/>
      </c>
      <c r="O13" s="16">
        <f>IF(G13&gt;0, N13/G13, 0)</f>
        <v/>
      </c>
      <c r="P13" s="17" t="n">
        <v>0.18</v>
      </c>
      <c r="Q13" s="16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6">
        <f>G13*Q13</f>
        <v/>
      </c>
      <c r="S13" t="inlineStr">
        <is>
          <t>Louver nan Z ngoài trời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g. Cửa gió Cửa gió FAL 500x400+LCCT+G4 kèm hộp gió</t>
        </is>
      </c>
      <c r="E14" t="inlineStr">
        <is>
          <t>500x400</t>
        </is>
      </c>
      <c r="F14" t="inlineStr">
        <is>
          <t>cái</t>
        </is>
      </c>
      <c r="G14" s="16" t="n">
        <v>5</v>
      </c>
      <c r="H14" s="16">
        <f>SUMIF('01_BOC_TACH_ONG'!$B$2:$B$5000, B14, '01_BOC_TACH_ONG'!$K$2:$K$5000)</f>
        <v/>
      </c>
      <c r="I14" s="16">
        <f>SUMIF('02_BOC_TACH_CUA'!$B$2:$B$5000, B14, '02_BOC_TACH_CUA'!$K$2:$K$5000)</f>
        <v/>
      </c>
      <c r="J14" s="16">
        <f>SUMIF('03_BOC_TACH_VAN'!$B$2:$B$5000, B14, '03_BOC_TACH_VAN'!$K$2:$K$5000)</f>
        <v/>
      </c>
      <c r="K14" s="16">
        <f>SUM(H14:J14)</f>
        <v/>
      </c>
      <c r="L14" s="16">
        <f>(K14-SUMIFS('03_BOC_TACH_VAN'!$K$2:$K$5000, '03_BOC_TACH_VAN'!$B$2:$B$5000, B14, '03_BOC_TACH_VAN'!$D$2:$D$5000, "ĐỘNG_CƠ_VÀ_CẢM_BIẾN"))*0.25</f>
        <v/>
      </c>
      <c r="M14" s="16">
        <f>(K14-SUMIFS('03_BOC_TACH_VAN'!$K$2:$K$5000, '03_BOC_TACH_VAN'!$B$2:$B$5000, B14, '03_BOC_TACH_VAN'!$D$2:$D$5000, "ĐỘNG_CƠ_VÀ_CẢM_BIẾN"))*0.10</f>
        <v/>
      </c>
      <c r="N14" s="16">
        <f>K14+L14+M14</f>
        <v/>
      </c>
      <c r="O14" s="16">
        <f>IF(G14&gt;0, N14/G14, 0)</f>
        <v/>
      </c>
      <c r="P14" s="17" t="n">
        <v>0.18</v>
      </c>
      <c r="Q14" s="16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6">
        <f>G14*Q14</f>
        <v/>
      </c>
      <c r="S14" t="inlineStr">
        <is>
          <t>Louver nan Z ngoài trời kèm lưới chắn côn trùng Inox 304 kèm phin lọc bụi G4</t>
        </is>
      </c>
    </row>
    <row r="15">
      <c r="A15" t="n">
        <v>14</v>
      </c>
      <c r="B15" t="inlineStr">
        <is>
          <t>SW-DIFF-014</t>
        </is>
      </c>
      <c r="C15" t="inlineStr">
        <is>
          <t>CỬA GIÓ</t>
        </is>
      </c>
      <c r="D15" t="inlineStr">
        <is>
          <t>g. Cửa gió Cửa gió FAL 600x400+LCCT+G4 kèm hộp gió</t>
        </is>
      </c>
      <c r="E15" t="inlineStr">
        <is>
          <t>600x400</t>
        </is>
      </c>
      <c r="F15" t="inlineStr">
        <is>
          <t>cái</t>
        </is>
      </c>
      <c r="G15" s="16" t="n">
        <v>1</v>
      </c>
      <c r="H15" s="16">
        <f>SUMIF('01_BOC_TACH_ONG'!$B$2:$B$5000, B15, '01_BOC_TACH_ONG'!$K$2:$K$5000)</f>
        <v/>
      </c>
      <c r="I15" s="16">
        <f>SUMIF('02_BOC_TACH_CUA'!$B$2:$B$5000, B15, '02_BOC_TACH_CUA'!$K$2:$K$5000)</f>
        <v/>
      </c>
      <c r="J15" s="16">
        <f>SUMIF('03_BOC_TACH_VAN'!$B$2:$B$5000, B15, '03_BOC_TACH_VAN'!$K$2:$K$5000)</f>
        <v/>
      </c>
      <c r="K15" s="16">
        <f>SUM(H15:J15)</f>
        <v/>
      </c>
      <c r="L15" s="16">
        <f>(K15-SUMIFS('03_BOC_TACH_VAN'!$K$2:$K$5000, '03_BOC_TACH_VAN'!$B$2:$B$5000, B15, '03_BOC_TACH_VAN'!$D$2:$D$5000, "ĐỘNG_CƠ_VÀ_CẢM_BIẾN"))*0.25</f>
        <v/>
      </c>
      <c r="M15" s="16">
        <f>(K15-SUMIFS('03_BOC_TACH_VAN'!$K$2:$K$5000, '03_BOC_TACH_VAN'!$B$2:$B$5000, B15, '03_BOC_TACH_VAN'!$D$2:$D$5000, "ĐỘNG_CƠ_VÀ_CẢM_BIẾN"))*0.10</f>
        <v/>
      </c>
      <c r="N15" s="16">
        <f>K15+L15+M15</f>
        <v/>
      </c>
      <c r="O15" s="16">
        <f>IF(G15&gt;0, N15/G15, 0)</f>
        <v/>
      </c>
      <c r="P15" s="17" t="n">
        <v>0.18</v>
      </c>
      <c r="Q15" s="16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6">
        <f>G15*Q15</f>
        <v/>
      </c>
      <c r="S15" t="inlineStr">
        <is>
          <t>Louver nan Z ngoài trời kèm lưới chắn côn trùng Inox 304 kèm phin lọc bụi G4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g. Cửa gió Cửa gió FAL 800x400+LCCT+G4 kèm hộp gió</t>
        </is>
      </c>
      <c r="E16" t="inlineStr">
        <is>
          <t>800x400</t>
        </is>
      </c>
      <c r="F16" t="inlineStr">
        <is>
          <t>cái</t>
        </is>
      </c>
      <c r="G16" s="16" t="n">
        <v>1</v>
      </c>
      <c r="H16" s="16">
        <f>SUMIF('01_BOC_TACH_ONG'!$B$2:$B$5000, B16, '01_BOC_TACH_ONG'!$K$2:$K$5000)</f>
        <v/>
      </c>
      <c r="I16" s="16">
        <f>SUMIF('02_BOC_TACH_CUA'!$B$2:$B$5000, B16, '02_BOC_TACH_CUA'!$K$2:$K$5000)</f>
        <v/>
      </c>
      <c r="J16" s="16">
        <f>SUMIF('03_BOC_TACH_VAN'!$B$2:$B$5000, B16, '03_BOC_TACH_VAN'!$K$2:$K$5000)</f>
        <v/>
      </c>
      <c r="K16" s="16">
        <f>SUM(H16:J16)</f>
        <v/>
      </c>
      <c r="L16" s="16">
        <f>(K16-SUMIFS('03_BOC_TACH_VAN'!$K$2:$K$5000, '03_BOC_TACH_VAN'!$B$2:$B$5000, B16, '03_BOC_TACH_VAN'!$D$2:$D$5000, "ĐỘNG_CƠ_VÀ_CẢM_BIẾN"))*0.25</f>
        <v/>
      </c>
      <c r="M16" s="16">
        <f>(K16-SUMIFS('03_BOC_TACH_VAN'!$K$2:$K$5000, '03_BOC_TACH_VAN'!$B$2:$B$5000, B16, '03_BOC_TACH_VAN'!$D$2:$D$5000, "ĐỘNG_CƠ_VÀ_CẢM_BIẾN"))*0.10</f>
        <v/>
      </c>
      <c r="N16" s="16">
        <f>K16+L16+M16</f>
        <v/>
      </c>
      <c r="O16" s="16">
        <f>IF(G16&gt;0, N16/G16, 0)</f>
        <v/>
      </c>
      <c r="P16" s="17" t="n">
        <v>0.18</v>
      </c>
      <c r="Q16" s="16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6">
        <f>G16*Q16</f>
        <v/>
      </c>
      <c r="S16" t="inlineStr">
        <is>
          <t>Louver nan Z ngoài trời kèm lưới chắn côn trùng Inox 304 kèm phin lọc bụi G4</t>
        </is>
      </c>
    </row>
    <row r="17">
      <c r="A17" t="n">
        <v>16</v>
      </c>
      <c r="B17" t="inlineStr">
        <is>
          <t>SW-DIFF-016</t>
        </is>
      </c>
      <c r="C17" t="inlineStr">
        <is>
          <t>CỬA GIÓ</t>
        </is>
      </c>
      <c r="D17" t="inlineStr">
        <is>
          <t>g. Cửa gió Cửa gió FAL 1700x800+LCCT+G4 kèm hộp gió</t>
        </is>
      </c>
      <c r="E17" t="inlineStr">
        <is>
          <t>1700x800</t>
        </is>
      </c>
      <c r="F17" t="inlineStr">
        <is>
          <t>cái</t>
        </is>
      </c>
      <c r="G17" s="16" t="n">
        <v>1</v>
      </c>
      <c r="H17" s="16">
        <f>SUMIF('01_BOC_TACH_ONG'!$B$2:$B$5000, B17, '01_BOC_TACH_ONG'!$K$2:$K$5000)</f>
        <v/>
      </c>
      <c r="I17" s="16">
        <f>SUMIF('02_BOC_TACH_CUA'!$B$2:$B$5000, B17, '02_BOC_TACH_CUA'!$K$2:$K$5000)</f>
        <v/>
      </c>
      <c r="J17" s="16">
        <f>SUMIF('03_BOC_TACH_VAN'!$B$2:$B$5000, B17, '03_BOC_TACH_VAN'!$K$2:$K$5000)</f>
        <v/>
      </c>
      <c r="K17" s="16">
        <f>SUM(H17:J17)</f>
        <v/>
      </c>
      <c r="L17" s="16">
        <f>(K17-SUMIFS('03_BOC_TACH_VAN'!$K$2:$K$5000, '03_BOC_TACH_VAN'!$B$2:$B$5000, B17, '03_BOC_TACH_VAN'!$D$2:$D$5000, "ĐỘNG_CƠ_VÀ_CẢM_BIẾN"))*0.25</f>
        <v/>
      </c>
      <c r="M17" s="16">
        <f>(K17-SUMIFS('03_BOC_TACH_VAN'!$K$2:$K$5000, '03_BOC_TACH_VAN'!$B$2:$B$5000, B17, '03_BOC_TACH_VAN'!$D$2:$D$5000, "ĐỘNG_CƠ_VÀ_CẢM_BIẾN"))*0.10</f>
        <v/>
      </c>
      <c r="N17" s="16">
        <f>K17+L17+M17</f>
        <v/>
      </c>
      <c r="O17" s="16">
        <f>IF(G17&gt;0, N17/G17, 0)</f>
        <v/>
      </c>
      <c r="P17" s="17" t="n">
        <v>0.18</v>
      </c>
      <c r="Q17" s="16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6">
        <f>G17*Q17</f>
        <v/>
      </c>
      <c r="S17" t="inlineStr">
        <is>
          <t>Louver nan Z ngoài trời kèm lưới chắn côn trùng Inox 304 kèm phin lọc bụi G4</t>
        </is>
      </c>
    </row>
    <row r="18">
      <c r="A18" t="n">
        <v>17</v>
      </c>
      <c r="B18" t="inlineStr">
        <is>
          <t>SW-DIFF-017</t>
        </is>
      </c>
      <c r="C18" t="inlineStr">
        <is>
          <t>CỬA GIÓ</t>
        </is>
      </c>
      <c r="D18" t="inlineStr">
        <is>
          <t>g. Cửa gió Cửa gió FAL 1200x600</t>
        </is>
      </c>
      <c r="E18" t="inlineStr">
        <is>
          <t>1200x600</t>
        </is>
      </c>
      <c r="F18" t="inlineStr">
        <is>
          <t>cái</t>
        </is>
      </c>
      <c r="G18" s="16" t="n">
        <v>1</v>
      </c>
      <c r="H18" s="16">
        <f>SUMIF('01_BOC_TACH_ONG'!$B$2:$B$5000, B18, '01_BOC_TACH_ONG'!$K$2:$K$5000)</f>
        <v/>
      </c>
      <c r="I18" s="16">
        <f>SUMIF('02_BOC_TACH_CUA'!$B$2:$B$5000, B18, '02_BOC_TACH_CUA'!$K$2:$K$5000)</f>
        <v/>
      </c>
      <c r="J18" s="16">
        <f>SUMIF('03_BOC_TACH_VAN'!$B$2:$B$5000, B18, '03_BOC_TACH_VAN'!$K$2:$K$5000)</f>
        <v/>
      </c>
      <c r="K18" s="16">
        <f>SUM(H18:J18)</f>
        <v/>
      </c>
      <c r="L18" s="16">
        <f>(K18-SUMIFS('03_BOC_TACH_VAN'!$K$2:$K$5000, '03_BOC_TACH_VAN'!$B$2:$B$5000, B18, '03_BOC_TACH_VAN'!$D$2:$D$5000, "ĐỘNG_CƠ_VÀ_CẢM_BIẾN"))*0.25</f>
        <v/>
      </c>
      <c r="M18" s="16">
        <f>(K18-SUMIFS('03_BOC_TACH_VAN'!$K$2:$K$5000, '03_BOC_TACH_VAN'!$B$2:$B$5000, B18, '03_BOC_TACH_VAN'!$D$2:$D$5000, "ĐỘNG_CƠ_VÀ_CẢM_BIẾN"))*0.10</f>
        <v/>
      </c>
      <c r="N18" s="16">
        <f>K18+L18+M18</f>
        <v/>
      </c>
      <c r="O18" s="16">
        <f>IF(G18&gt;0, N18/G18, 0)</f>
        <v/>
      </c>
      <c r="P18" s="17" t="n">
        <v>0.18</v>
      </c>
      <c r="Q18" s="16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6">
        <f>G18*Q18</f>
        <v/>
      </c>
      <c r="S18" t="inlineStr">
        <is>
          <t>Louver nan Z ngoài trời</t>
        </is>
      </c>
    </row>
    <row r="19">
      <c r="A19" t="n">
        <v>18</v>
      </c>
      <c r="B19" t="inlineStr">
        <is>
          <t>SW-DIFF-018</t>
        </is>
      </c>
      <c r="C19" t="inlineStr">
        <is>
          <t>CỬA GIÓ</t>
        </is>
      </c>
      <c r="D19" t="inlineStr">
        <is>
          <t>g. Cửa gió Cửa gió FAL 1500x1000+LCCT</t>
        </is>
      </c>
      <c r="E19" t="inlineStr">
        <is>
          <t>1500x1000</t>
        </is>
      </c>
      <c r="F19" t="inlineStr">
        <is>
          <t>cái</t>
        </is>
      </c>
      <c r="G19" s="16" t="n">
        <v>4</v>
      </c>
      <c r="H19" s="16">
        <f>SUMIF('01_BOC_TACH_ONG'!$B$2:$B$5000, B19, '01_BOC_TACH_ONG'!$K$2:$K$5000)</f>
        <v/>
      </c>
      <c r="I19" s="16">
        <f>SUMIF('02_BOC_TACH_CUA'!$B$2:$B$5000, B19, '02_BOC_TACH_CUA'!$K$2:$K$5000)</f>
        <v/>
      </c>
      <c r="J19" s="16">
        <f>SUMIF('03_BOC_TACH_VAN'!$B$2:$B$5000, B19, '03_BOC_TACH_VAN'!$K$2:$K$5000)</f>
        <v/>
      </c>
      <c r="K19" s="16">
        <f>SUM(H19:J19)</f>
        <v/>
      </c>
      <c r="L19" s="16">
        <f>(K19-SUMIFS('03_BOC_TACH_VAN'!$K$2:$K$5000, '03_BOC_TACH_VAN'!$B$2:$B$5000, B19, '03_BOC_TACH_VAN'!$D$2:$D$5000, "ĐỘNG_CƠ_VÀ_CẢM_BIẾN"))*0.25</f>
        <v/>
      </c>
      <c r="M19" s="16">
        <f>(K19-SUMIFS('03_BOC_TACH_VAN'!$K$2:$K$5000, '03_BOC_TACH_VAN'!$B$2:$B$5000, B19, '03_BOC_TACH_VAN'!$D$2:$D$5000, "ĐỘNG_CƠ_VÀ_CẢM_BIẾN"))*0.10</f>
        <v/>
      </c>
      <c r="N19" s="16">
        <f>K19+L19+M19</f>
        <v/>
      </c>
      <c r="O19" s="16">
        <f>IF(G19&gt;0, N19/G19, 0)</f>
        <v/>
      </c>
      <c r="P19" s="17" t="n">
        <v>0.18</v>
      </c>
      <c r="Q19" s="16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6">
        <f>G19*Q19</f>
        <v/>
      </c>
      <c r="S19" t="inlineStr">
        <is>
          <t>Louver nan Z ngoài trời kèm lưới chắn côn trùng Inox 304</t>
        </is>
      </c>
    </row>
    <row r="20">
      <c r="A20" t="n">
        <v>19</v>
      </c>
      <c r="B20" t="inlineStr">
        <is>
          <t>SW-DIFF-019</t>
        </is>
      </c>
      <c r="C20" t="inlineStr">
        <is>
          <t>CỬA GIÓ</t>
        </is>
      </c>
      <c r="D20" t="inlineStr">
        <is>
          <t>g. Cửa gió Cửa gió FAL 1600x700+LCCT</t>
        </is>
      </c>
      <c r="E20" t="inlineStr">
        <is>
          <t>1600x700</t>
        </is>
      </c>
      <c r="F20" t="inlineStr">
        <is>
          <t>cái</t>
        </is>
      </c>
      <c r="G20" s="16" t="n">
        <v>1</v>
      </c>
      <c r="H20" s="16">
        <f>SUMIF('01_BOC_TACH_ONG'!$B$2:$B$5000, B20, '01_BOC_TACH_ONG'!$K$2:$K$5000)</f>
        <v/>
      </c>
      <c r="I20" s="16">
        <f>SUMIF('02_BOC_TACH_CUA'!$B$2:$B$5000, B20, '02_BOC_TACH_CUA'!$K$2:$K$5000)</f>
        <v/>
      </c>
      <c r="J20" s="16">
        <f>SUMIF('03_BOC_TACH_VAN'!$B$2:$B$5000, B20, '03_BOC_TACH_VAN'!$K$2:$K$5000)</f>
        <v/>
      </c>
      <c r="K20" s="16">
        <f>SUM(H20:J20)</f>
        <v/>
      </c>
      <c r="L20" s="16">
        <f>(K20-SUMIFS('03_BOC_TACH_VAN'!$K$2:$K$5000, '03_BOC_TACH_VAN'!$B$2:$B$5000, B20, '03_BOC_TACH_VAN'!$D$2:$D$5000, "ĐỘNG_CƠ_VÀ_CẢM_BIẾN"))*0.25</f>
        <v/>
      </c>
      <c r="M20" s="16">
        <f>(K20-SUMIFS('03_BOC_TACH_VAN'!$K$2:$K$5000, '03_BOC_TACH_VAN'!$B$2:$B$5000, B20, '03_BOC_TACH_VAN'!$D$2:$D$5000, "ĐỘNG_CƠ_VÀ_CẢM_BIẾN"))*0.10</f>
        <v/>
      </c>
      <c r="N20" s="16">
        <f>K20+L20+M20</f>
        <v/>
      </c>
      <c r="O20" s="16">
        <f>IF(G20&gt;0, N20/G20, 0)</f>
        <v/>
      </c>
      <c r="P20" s="17" t="n">
        <v>0.18</v>
      </c>
      <c r="Q20" s="16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6">
        <f>G20*Q20</f>
        <v/>
      </c>
      <c r="S20" t="inlineStr">
        <is>
          <t>Louver nan Z ngoài trời kèm lưới chắn côn trùng Inox 304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g. Cửa gió Cửa gió FAL 2000x1200+LCCT</t>
        </is>
      </c>
      <c r="E21" t="inlineStr">
        <is>
          <t>2000x1200</t>
        </is>
      </c>
      <c r="F21" t="inlineStr">
        <is>
          <t>cái</t>
        </is>
      </c>
      <c r="G21" s="16" t="n">
        <v>6</v>
      </c>
      <c r="H21" s="16">
        <f>SUMIF('01_BOC_TACH_ONG'!$B$2:$B$5000, B21, '01_BOC_TACH_ONG'!$K$2:$K$5000)</f>
        <v/>
      </c>
      <c r="I21" s="16">
        <f>SUMIF('02_BOC_TACH_CUA'!$B$2:$B$5000, B21, '02_BOC_TACH_CUA'!$K$2:$K$5000)</f>
        <v/>
      </c>
      <c r="J21" s="16">
        <f>SUMIF('03_BOC_TACH_VAN'!$B$2:$B$5000, B21, '03_BOC_TACH_VAN'!$K$2:$K$5000)</f>
        <v/>
      </c>
      <c r="K21" s="16">
        <f>SUM(H21:J21)</f>
        <v/>
      </c>
      <c r="L21" s="16">
        <f>(K21-SUMIFS('03_BOC_TACH_VAN'!$K$2:$K$5000, '03_BOC_TACH_VAN'!$B$2:$B$5000, B21, '03_BOC_TACH_VAN'!$D$2:$D$5000, "ĐỘNG_CƠ_VÀ_CẢM_BIẾN"))*0.25</f>
        <v/>
      </c>
      <c r="M21" s="16">
        <f>(K21-SUMIFS('03_BOC_TACH_VAN'!$K$2:$K$5000, '03_BOC_TACH_VAN'!$B$2:$B$5000, B21, '03_BOC_TACH_VAN'!$D$2:$D$5000, "ĐỘNG_CƠ_VÀ_CẢM_BIẾN"))*0.10</f>
        <v/>
      </c>
      <c r="N21" s="16">
        <f>K21+L21+M21</f>
        <v/>
      </c>
      <c r="O21" s="16">
        <f>IF(G21&gt;0, N21/G21, 0)</f>
        <v/>
      </c>
      <c r="P21" s="17" t="n">
        <v>0.18</v>
      </c>
      <c r="Q21" s="16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6">
        <f>G21*Q21</f>
        <v/>
      </c>
      <c r="S21" t="inlineStr">
        <is>
          <t>Louver nan Z ngoài trời kèm lưới chắn côn trùng Inox 304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g. Cửa gió Cửa gió FAL 1800x450+LCCT +G4 kèm hộp gió</t>
        </is>
      </c>
      <c r="E22" t="inlineStr">
        <is>
          <t>1800x450</t>
        </is>
      </c>
      <c r="F22" t="inlineStr">
        <is>
          <t>cái</t>
        </is>
      </c>
      <c r="G22" s="16" t="n">
        <v>3</v>
      </c>
      <c r="H22" s="16">
        <f>SUMIF('01_BOC_TACH_ONG'!$B$2:$B$5000, B22, '01_BOC_TACH_ONG'!$K$2:$K$5000)</f>
        <v/>
      </c>
      <c r="I22" s="16">
        <f>SUMIF('02_BOC_TACH_CUA'!$B$2:$B$5000, B22, '02_BOC_TACH_CUA'!$K$2:$K$5000)</f>
        <v/>
      </c>
      <c r="J22" s="16">
        <f>SUMIF('03_BOC_TACH_VAN'!$B$2:$B$5000, B22, '03_BOC_TACH_VAN'!$K$2:$K$5000)</f>
        <v/>
      </c>
      <c r="K22" s="16">
        <f>SUM(H22:J22)</f>
        <v/>
      </c>
      <c r="L22" s="16">
        <f>(K22-SUMIFS('03_BOC_TACH_VAN'!$K$2:$K$5000, '03_BOC_TACH_VAN'!$B$2:$B$5000, B22, '03_BOC_TACH_VAN'!$D$2:$D$5000, "ĐỘNG_CƠ_VÀ_CẢM_BIẾN"))*0.25</f>
        <v/>
      </c>
      <c r="M22" s="16">
        <f>(K22-SUMIFS('03_BOC_TACH_VAN'!$K$2:$K$5000, '03_BOC_TACH_VAN'!$B$2:$B$5000, B22, '03_BOC_TACH_VAN'!$D$2:$D$5000, "ĐỘNG_CƠ_VÀ_CẢM_BIẾN"))*0.10</f>
        <v/>
      </c>
      <c r="N22" s="16">
        <f>K22+L22+M22</f>
        <v/>
      </c>
      <c r="O22" s="16">
        <f>IF(G22&gt;0, N22/G22, 0)</f>
        <v/>
      </c>
      <c r="P22" s="17" t="n">
        <v>0.18</v>
      </c>
      <c r="Q22" s="16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6">
        <f>G22*Q22</f>
        <v/>
      </c>
      <c r="S22" t="inlineStr">
        <is>
          <t>Louver nan Z ngoài trời kèm lưới chắn côn trùng Inox 304 kèm phin lọc bụi G4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g. Cửa gió Cửa gió EAL 200x100+LCCT kèm hộp gió</t>
        </is>
      </c>
      <c r="E23" t="inlineStr">
        <is>
          <t>200x100</t>
        </is>
      </c>
      <c r="F23" t="inlineStr">
        <is>
          <t>cái</t>
        </is>
      </c>
      <c r="G23" s="16" t="n">
        <v>2</v>
      </c>
      <c r="H23" s="16">
        <f>SUMIF('01_BOC_TACH_ONG'!$B$2:$B$5000, B23, '01_BOC_TACH_ONG'!$K$2:$K$5000)</f>
        <v/>
      </c>
      <c r="I23" s="16">
        <f>SUMIF('02_BOC_TACH_CUA'!$B$2:$B$5000, B23, '02_BOC_TACH_CUA'!$K$2:$K$5000)</f>
        <v/>
      </c>
      <c r="J23" s="16">
        <f>SUMIF('03_BOC_TACH_VAN'!$B$2:$B$5000, B23, '03_BOC_TACH_VAN'!$K$2:$K$5000)</f>
        <v/>
      </c>
      <c r="K23" s="16">
        <f>SUM(H23:J23)</f>
        <v/>
      </c>
      <c r="L23" s="16">
        <f>(K23-SUMIFS('03_BOC_TACH_VAN'!$K$2:$K$5000, '03_BOC_TACH_VAN'!$B$2:$B$5000, B23, '03_BOC_TACH_VAN'!$D$2:$D$5000, "ĐỘNG_CƠ_VÀ_CẢM_BIẾN"))*0.25</f>
        <v/>
      </c>
      <c r="M23" s="16">
        <f>(K23-SUMIFS('03_BOC_TACH_VAN'!$K$2:$K$5000, '03_BOC_TACH_VAN'!$B$2:$B$5000, B23, '03_BOC_TACH_VAN'!$D$2:$D$5000, "ĐỘNG_CƠ_VÀ_CẢM_BIẾN"))*0.10</f>
        <v/>
      </c>
      <c r="N23" s="16">
        <f>K23+L23+M23</f>
        <v/>
      </c>
      <c r="O23" s="16">
        <f>IF(G23&gt;0, N23/G23, 0)</f>
        <v/>
      </c>
      <c r="P23" s="17" t="n">
        <v>0.18</v>
      </c>
      <c r="Q23" s="16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6">
        <f>G23*Q23</f>
        <v/>
      </c>
      <c r="S23" t="inlineStr">
        <is>
          <t>Louver nan Z ngoài trời kèm lưới chắn côn trùng Inox 304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g. Cửa gió Cửa gió EAL 500x400+LCCT kèm hộp gió</t>
        </is>
      </c>
      <c r="E24" t="inlineStr">
        <is>
          <t>500x400</t>
        </is>
      </c>
      <c r="F24" t="inlineStr">
        <is>
          <t>cái</t>
        </is>
      </c>
      <c r="G24" s="16" t="n">
        <v>2</v>
      </c>
      <c r="H24" s="16">
        <f>SUMIF('01_BOC_TACH_ONG'!$B$2:$B$5000, B24, '01_BOC_TACH_ONG'!$K$2:$K$5000)</f>
        <v/>
      </c>
      <c r="I24" s="16">
        <f>SUMIF('02_BOC_TACH_CUA'!$B$2:$B$5000, B24, '02_BOC_TACH_CUA'!$K$2:$K$5000)</f>
        <v/>
      </c>
      <c r="J24" s="16">
        <f>SUMIF('03_BOC_TACH_VAN'!$B$2:$B$5000, B24, '03_BOC_TACH_VAN'!$K$2:$K$5000)</f>
        <v/>
      </c>
      <c r="K24" s="16">
        <f>SUM(H24:J24)</f>
        <v/>
      </c>
      <c r="L24" s="16">
        <f>(K24-SUMIFS('03_BOC_TACH_VAN'!$K$2:$K$5000, '03_BOC_TACH_VAN'!$B$2:$B$5000, B24, '03_BOC_TACH_VAN'!$D$2:$D$5000, "ĐỘNG_CƠ_VÀ_CẢM_BIẾN"))*0.25</f>
        <v/>
      </c>
      <c r="M24" s="16">
        <f>(K24-SUMIFS('03_BOC_TACH_VAN'!$K$2:$K$5000, '03_BOC_TACH_VAN'!$B$2:$B$5000, B24, '03_BOC_TACH_VAN'!$D$2:$D$5000, "ĐỘNG_CƠ_VÀ_CẢM_BIẾN"))*0.10</f>
        <v/>
      </c>
      <c r="N24" s="16">
        <f>K24+L24+M24</f>
        <v/>
      </c>
      <c r="O24" s="16">
        <f>IF(G24&gt;0, N24/G24, 0)</f>
        <v/>
      </c>
      <c r="P24" s="17" t="n">
        <v>0.18</v>
      </c>
      <c r="Q24" s="16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6">
        <f>G24*Q24</f>
        <v/>
      </c>
      <c r="S24" t="inlineStr">
        <is>
          <t>Louver nan Z ngoài trời kèm lưới chắn côn trùng Inox 304</t>
        </is>
      </c>
    </row>
    <row r="25">
      <c r="A25" t="n">
        <v>24</v>
      </c>
      <c r="B25" t="inlineStr">
        <is>
          <t>SW-DIFF-024</t>
        </is>
      </c>
      <c r="C25" t="inlineStr">
        <is>
          <t>CỬA GIÓ</t>
        </is>
      </c>
      <c r="D25" t="inlineStr">
        <is>
          <t>g. Cửa gió Cửa gió EAL 700x450+LCCT kèm hộp gió</t>
        </is>
      </c>
      <c r="E25" t="inlineStr">
        <is>
          <t>700x450</t>
        </is>
      </c>
      <c r="F25" t="inlineStr">
        <is>
          <t>cái</t>
        </is>
      </c>
      <c r="G25" s="16" t="n">
        <v>1</v>
      </c>
      <c r="H25" s="16">
        <f>SUMIF('01_BOC_TACH_ONG'!$B$2:$B$5000, B25, '01_BOC_TACH_ONG'!$K$2:$K$5000)</f>
        <v/>
      </c>
      <c r="I25" s="16">
        <f>SUMIF('02_BOC_TACH_CUA'!$B$2:$B$5000, B25, '02_BOC_TACH_CUA'!$K$2:$K$5000)</f>
        <v/>
      </c>
      <c r="J25" s="16">
        <f>SUMIF('03_BOC_TACH_VAN'!$B$2:$B$5000, B25, '03_BOC_TACH_VAN'!$K$2:$K$5000)</f>
        <v/>
      </c>
      <c r="K25" s="16">
        <f>SUM(H25:J25)</f>
        <v/>
      </c>
      <c r="L25" s="16">
        <f>(K25-SUMIFS('03_BOC_TACH_VAN'!$K$2:$K$5000, '03_BOC_TACH_VAN'!$B$2:$B$5000, B25, '03_BOC_TACH_VAN'!$D$2:$D$5000, "ĐỘNG_CƠ_VÀ_CẢM_BIẾN"))*0.25</f>
        <v/>
      </c>
      <c r="M25" s="16">
        <f>(K25-SUMIFS('03_BOC_TACH_VAN'!$K$2:$K$5000, '03_BOC_TACH_VAN'!$B$2:$B$5000, B25, '03_BOC_TACH_VAN'!$D$2:$D$5000, "ĐỘNG_CƠ_VÀ_CẢM_BIẾN"))*0.10</f>
        <v/>
      </c>
      <c r="N25" s="16">
        <f>K25+L25+M25</f>
        <v/>
      </c>
      <c r="O25" s="16">
        <f>IF(G25&gt;0, N25/G25, 0)</f>
        <v/>
      </c>
      <c r="P25" s="17" t="n">
        <v>0.18</v>
      </c>
      <c r="Q25" s="16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6">
        <f>G25*Q25</f>
        <v/>
      </c>
      <c r="S25" t="inlineStr">
        <is>
          <t>Louver nan Z ngoài trời kèm lưới chắn côn trùng Inox 304</t>
        </is>
      </c>
    </row>
    <row r="26">
      <c r="A26" t="n">
        <v>25</v>
      </c>
      <c r="B26" t="inlineStr">
        <is>
          <t>SW-DIFF-025</t>
        </is>
      </c>
      <c r="C26" t="inlineStr">
        <is>
          <t>CỬA GIÓ</t>
        </is>
      </c>
      <c r="D26" t="inlineStr">
        <is>
          <t>g. Cửa gió Cửa gió EAL 1000x400+LCCT kèm hộp gió</t>
        </is>
      </c>
      <c r="E26" t="inlineStr">
        <is>
          <t>1000x400</t>
        </is>
      </c>
      <c r="F26" t="inlineStr">
        <is>
          <t>cái</t>
        </is>
      </c>
      <c r="G26" s="16" t="n">
        <v>1</v>
      </c>
      <c r="H26" s="16">
        <f>SUMIF('01_BOC_TACH_ONG'!$B$2:$B$5000, B26, '01_BOC_TACH_ONG'!$K$2:$K$5000)</f>
        <v/>
      </c>
      <c r="I26" s="16">
        <f>SUMIF('02_BOC_TACH_CUA'!$B$2:$B$5000, B26, '02_BOC_TACH_CUA'!$K$2:$K$5000)</f>
        <v/>
      </c>
      <c r="J26" s="16">
        <f>SUMIF('03_BOC_TACH_VAN'!$B$2:$B$5000, B26, '03_BOC_TACH_VAN'!$K$2:$K$5000)</f>
        <v/>
      </c>
      <c r="K26" s="16">
        <f>SUM(H26:J26)</f>
        <v/>
      </c>
      <c r="L26" s="16">
        <f>(K26-SUMIFS('03_BOC_TACH_VAN'!$K$2:$K$5000, '03_BOC_TACH_VAN'!$B$2:$B$5000, B26, '03_BOC_TACH_VAN'!$D$2:$D$5000, "ĐỘNG_CƠ_VÀ_CẢM_BIẾN"))*0.25</f>
        <v/>
      </c>
      <c r="M26" s="16">
        <f>(K26-SUMIFS('03_BOC_TACH_VAN'!$K$2:$K$5000, '03_BOC_TACH_VAN'!$B$2:$B$5000, B26, '03_BOC_TACH_VAN'!$D$2:$D$5000, "ĐỘNG_CƠ_VÀ_CẢM_BIẾN"))*0.10</f>
        <v/>
      </c>
      <c r="N26" s="16">
        <f>K26+L26+M26</f>
        <v/>
      </c>
      <c r="O26" s="16">
        <f>IF(G26&gt;0, N26/G26, 0)</f>
        <v/>
      </c>
      <c r="P26" s="17" t="n">
        <v>0.18</v>
      </c>
      <c r="Q26" s="16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6">
        <f>G26*Q26</f>
        <v/>
      </c>
      <c r="S26" t="inlineStr">
        <is>
          <t>Louver nan Z ngoài trời kèm lưới chắn côn trùng Inox 304</t>
        </is>
      </c>
    </row>
    <row r="27">
      <c r="A27" t="n">
        <v>26</v>
      </c>
      <c r="B27" t="inlineStr">
        <is>
          <t>SW-DIFF-026</t>
        </is>
      </c>
      <c r="C27" t="inlineStr">
        <is>
          <t>CỬA GIÓ</t>
        </is>
      </c>
      <c r="D27" t="inlineStr">
        <is>
          <t>g. Cửa gió Cửa gió EAL 1500x450+LCCT kèm hộp gió</t>
        </is>
      </c>
      <c r="E27" t="inlineStr">
        <is>
          <t>1500x450</t>
        </is>
      </c>
      <c r="F27" t="inlineStr">
        <is>
          <t>cái</t>
        </is>
      </c>
      <c r="G27" s="16" t="n">
        <v>1</v>
      </c>
      <c r="H27" s="16">
        <f>SUMIF('01_BOC_TACH_ONG'!$B$2:$B$5000, B27, '01_BOC_TACH_ONG'!$K$2:$K$5000)</f>
        <v/>
      </c>
      <c r="I27" s="16">
        <f>SUMIF('02_BOC_TACH_CUA'!$B$2:$B$5000, B27, '02_BOC_TACH_CUA'!$K$2:$K$5000)</f>
        <v/>
      </c>
      <c r="J27" s="16">
        <f>SUMIF('03_BOC_TACH_VAN'!$B$2:$B$5000, B27, '03_BOC_TACH_VAN'!$K$2:$K$5000)</f>
        <v/>
      </c>
      <c r="K27" s="16">
        <f>SUM(H27:J27)</f>
        <v/>
      </c>
      <c r="L27" s="16">
        <f>(K27-SUMIFS('03_BOC_TACH_VAN'!$K$2:$K$5000, '03_BOC_TACH_VAN'!$B$2:$B$5000, B27, '03_BOC_TACH_VAN'!$D$2:$D$5000, "ĐỘNG_CƠ_VÀ_CẢM_BIẾN"))*0.25</f>
        <v/>
      </c>
      <c r="M27" s="16">
        <f>(K27-SUMIFS('03_BOC_TACH_VAN'!$K$2:$K$5000, '03_BOC_TACH_VAN'!$B$2:$B$5000, B27, '03_BOC_TACH_VAN'!$D$2:$D$5000, "ĐỘNG_CƠ_VÀ_CẢM_BIẾN"))*0.10</f>
        <v/>
      </c>
      <c r="N27" s="16">
        <f>K27+L27+M27</f>
        <v/>
      </c>
      <c r="O27" s="16">
        <f>IF(G27&gt;0, N27/G27, 0)</f>
        <v/>
      </c>
      <c r="P27" s="17" t="n">
        <v>0.18</v>
      </c>
      <c r="Q27" s="16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6">
        <f>G27*Q27</f>
        <v/>
      </c>
      <c r="S27" t="inlineStr">
        <is>
          <t>Louver nan Z ngoài trời kèm lưới chắn côn trùng Inox 304</t>
        </is>
      </c>
    </row>
    <row r="28">
      <c r="A28" t="n">
        <v>27</v>
      </c>
      <c r="B28" t="inlineStr">
        <is>
          <t>SW-DIFF-027</t>
        </is>
      </c>
      <c r="C28" t="inlineStr">
        <is>
          <t>CỬA GIÓ</t>
        </is>
      </c>
      <c r="D28" t="inlineStr">
        <is>
          <t>g. Cửa gió Cửa gió EAL 1700x800+LCCT kèm hộp gió</t>
        </is>
      </c>
      <c r="E28" t="inlineStr">
        <is>
          <t>1700x800</t>
        </is>
      </c>
      <c r="F28" t="inlineStr">
        <is>
          <t>cái</t>
        </is>
      </c>
      <c r="G28" s="16" t="n">
        <v>1</v>
      </c>
      <c r="H28" s="16">
        <f>SUMIF('01_BOC_TACH_ONG'!$B$2:$B$5000, B28, '01_BOC_TACH_ONG'!$K$2:$K$5000)</f>
        <v/>
      </c>
      <c r="I28" s="16">
        <f>SUMIF('02_BOC_TACH_CUA'!$B$2:$B$5000, B28, '02_BOC_TACH_CUA'!$K$2:$K$5000)</f>
        <v/>
      </c>
      <c r="J28" s="16">
        <f>SUMIF('03_BOC_TACH_VAN'!$B$2:$B$5000, B28, '03_BOC_TACH_VAN'!$K$2:$K$5000)</f>
        <v/>
      </c>
      <c r="K28" s="16">
        <f>SUM(H28:J28)</f>
        <v/>
      </c>
      <c r="L28" s="16">
        <f>(K28-SUMIFS('03_BOC_TACH_VAN'!$K$2:$K$5000, '03_BOC_TACH_VAN'!$B$2:$B$5000, B28, '03_BOC_TACH_VAN'!$D$2:$D$5000, "ĐỘNG_CƠ_VÀ_CẢM_BIẾN"))*0.25</f>
        <v/>
      </c>
      <c r="M28" s="16">
        <f>(K28-SUMIFS('03_BOC_TACH_VAN'!$K$2:$K$5000, '03_BOC_TACH_VAN'!$B$2:$B$5000, B28, '03_BOC_TACH_VAN'!$D$2:$D$5000, "ĐỘNG_CƠ_VÀ_CẢM_BIẾN"))*0.10</f>
        <v/>
      </c>
      <c r="N28" s="16">
        <f>K28+L28+M28</f>
        <v/>
      </c>
      <c r="O28" s="16">
        <f>IF(G28&gt;0, N28/G28, 0)</f>
        <v/>
      </c>
      <c r="P28" s="17" t="n">
        <v>0.18</v>
      </c>
      <c r="Q28" s="16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6">
        <f>G28*Q28</f>
        <v/>
      </c>
      <c r="S28" t="inlineStr">
        <is>
          <t>Louver nan Z ngoài trời kèm lưới chắn côn trùng Inox 304</t>
        </is>
      </c>
    </row>
    <row r="29">
      <c r="A29" t="n">
        <v>28</v>
      </c>
      <c r="B29" t="inlineStr">
        <is>
          <t>SW-DIFF-028</t>
        </is>
      </c>
      <c r="C29" t="inlineStr">
        <is>
          <t>CỬA GIÓ</t>
        </is>
      </c>
      <c r="D29" t="inlineStr">
        <is>
          <t>g. Cửa gió Cửa gió EAL 1800x450+LCCT kèm hộp gió</t>
        </is>
      </c>
      <c r="E29" t="inlineStr">
        <is>
          <t>1800x450</t>
        </is>
      </c>
      <c r="F29" t="inlineStr">
        <is>
          <t>cái</t>
        </is>
      </c>
      <c r="G29" s="16" t="n">
        <v>1</v>
      </c>
      <c r="H29" s="16">
        <f>SUMIF('01_BOC_TACH_ONG'!$B$2:$B$5000, B29, '01_BOC_TACH_ONG'!$K$2:$K$5000)</f>
        <v/>
      </c>
      <c r="I29" s="16">
        <f>SUMIF('02_BOC_TACH_CUA'!$B$2:$B$5000, B29, '02_BOC_TACH_CUA'!$K$2:$K$5000)</f>
        <v/>
      </c>
      <c r="J29" s="16">
        <f>SUMIF('03_BOC_TACH_VAN'!$B$2:$B$5000, B29, '03_BOC_TACH_VAN'!$K$2:$K$5000)</f>
        <v/>
      </c>
      <c r="K29" s="16">
        <f>SUM(H29:J29)</f>
        <v/>
      </c>
      <c r="L29" s="16">
        <f>(K29-SUMIFS('03_BOC_TACH_VAN'!$K$2:$K$5000, '03_BOC_TACH_VAN'!$B$2:$B$5000, B29, '03_BOC_TACH_VAN'!$D$2:$D$5000, "ĐỘNG_CƠ_VÀ_CẢM_BIẾN"))*0.25</f>
        <v/>
      </c>
      <c r="M29" s="16">
        <f>(K29-SUMIFS('03_BOC_TACH_VAN'!$K$2:$K$5000, '03_BOC_TACH_VAN'!$B$2:$B$5000, B29, '03_BOC_TACH_VAN'!$D$2:$D$5000, "ĐỘNG_CƠ_VÀ_CẢM_BIẾN"))*0.10</f>
        <v/>
      </c>
      <c r="N29" s="16">
        <f>K29+L29+M29</f>
        <v/>
      </c>
      <c r="O29" s="16">
        <f>IF(G29&gt;0, N29/G29, 0)</f>
        <v/>
      </c>
      <c r="P29" s="17" t="n">
        <v>0.18</v>
      </c>
      <c r="Q29" s="16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6">
        <f>G29*Q29</f>
        <v/>
      </c>
      <c r="S29" t="inlineStr">
        <is>
          <t>Louver nan Z ngoài trời kèm lưới chắn côn trùng Inox 304</t>
        </is>
      </c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h. Van gió Van gió MFD 200x200</t>
        </is>
      </c>
      <c r="E30" t="inlineStr">
        <is>
          <t>200x200</t>
        </is>
      </c>
      <c r="F30" t="inlineStr">
        <is>
          <t>cái</t>
        </is>
      </c>
      <c r="G30" s="16" t="n">
        <v>4</v>
      </c>
      <c r="H30" s="16">
        <f>SUMIF('01_BOC_TACH_ONG'!$B$2:$B$5000, B30, '01_BOC_TACH_ONG'!$K$2:$K$5000)</f>
        <v/>
      </c>
      <c r="I30" s="16">
        <f>SUMIF('02_BOC_TACH_CUA'!$B$2:$B$5000, B30, '02_BOC_TACH_CUA'!$K$2:$K$5000)</f>
        <v/>
      </c>
      <c r="J30" s="16">
        <f>SUMIF('03_BOC_TACH_VAN'!$B$2:$B$5000, B30, '03_BOC_TACH_VAN'!$K$2:$K$5000)</f>
        <v/>
      </c>
      <c r="K30" s="16">
        <f>SUM(H30:J30)</f>
        <v/>
      </c>
      <c r="L30" s="16">
        <f>(K30-SUMIFS('03_BOC_TACH_VAN'!$K$2:$K$5000, '03_BOC_TACH_VAN'!$B$2:$B$5000, B30, '03_BOC_TACH_VAN'!$D$2:$D$5000, "ĐỘNG_CƠ_VÀ_CẢM_BIẾN"))*0.25</f>
        <v/>
      </c>
      <c r="M30" s="16">
        <f>(K30-SUMIFS('03_BOC_TACH_VAN'!$K$2:$K$5000, '03_BOC_TACH_VAN'!$B$2:$B$5000, B30, '03_BOC_TACH_VAN'!$D$2:$D$5000, "ĐỘNG_CƠ_VÀ_CẢM_BIẾN"))*0.10</f>
        <v/>
      </c>
      <c r="N30" s="16">
        <f>K30+L30+M30</f>
        <v/>
      </c>
      <c r="O30" s="16">
        <f>IF(G30&gt;0, N30/G30, 0)</f>
        <v/>
      </c>
      <c r="P30" s="17" t="n">
        <v>0.18</v>
      </c>
      <c r="Q30" s="16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6">
        <f>G30*Q30</f>
        <v/>
      </c>
      <c r="S30" t="inlineStr">
        <is>
          <t>- Van ngăn cháy động cơ - Tiêu chuẩn EI 90
- 2 đầu bích TDC - Gắn kèm động cơ ON-OFF 5Nm, Hãng KLB
- Sản xuất theo BCTN số 4651/VLXD-TBMT</t>
        </is>
      </c>
    </row>
    <row r="31">
      <c r="A31" t="n">
        <v>30</v>
      </c>
      <c r="B31" t="inlineStr">
        <is>
          <t>SW-DAMPER-030</t>
        </is>
      </c>
      <c r="C31" t="inlineStr">
        <is>
          <t>VAN GIÓ</t>
        </is>
      </c>
      <c r="D31" t="inlineStr">
        <is>
          <t>h. Van gió Van gió MFD 300x200</t>
        </is>
      </c>
      <c r="E31" t="inlineStr">
        <is>
          <t>300x200</t>
        </is>
      </c>
      <c r="F31" t="inlineStr">
        <is>
          <t>cái</t>
        </is>
      </c>
      <c r="G31" s="16" t="n">
        <v>4</v>
      </c>
      <c r="H31" s="16">
        <f>SUMIF('01_BOC_TACH_ONG'!$B$2:$B$5000, B31, '01_BOC_TACH_ONG'!$K$2:$K$5000)</f>
        <v/>
      </c>
      <c r="I31" s="16">
        <f>SUMIF('02_BOC_TACH_CUA'!$B$2:$B$5000, B31, '02_BOC_TACH_CUA'!$K$2:$K$5000)</f>
        <v/>
      </c>
      <c r="J31" s="16">
        <f>SUMIF('03_BOC_TACH_VAN'!$B$2:$B$5000, B31, '03_BOC_TACH_VAN'!$K$2:$K$5000)</f>
        <v/>
      </c>
      <c r="K31" s="16">
        <f>SUM(H31:J31)</f>
        <v/>
      </c>
      <c r="L31" s="16">
        <f>(K31-SUMIFS('03_BOC_TACH_VAN'!$K$2:$K$5000, '03_BOC_TACH_VAN'!$B$2:$B$5000, B31, '03_BOC_TACH_VAN'!$D$2:$D$5000, "ĐỘNG_CƠ_VÀ_CẢM_BIẾN"))*0.25</f>
        <v/>
      </c>
      <c r="M31" s="16">
        <f>(K31-SUMIFS('03_BOC_TACH_VAN'!$K$2:$K$5000, '03_BOC_TACH_VAN'!$B$2:$B$5000, B31, '03_BOC_TACH_VAN'!$D$2:$D$5000, "ĐỘNG_CƠ_VÀ_CẢM_BIẾN"))*0.10</f>
        <v/>
      </c>
      <c r="N31" s="16">
        <f>K31+L31+M31</f>
        <v/>
      </c>
      <c r="O31" s="16">
        <f>IF(G31&gt;0, N31/G31, 0)</f>
        <v/>
      </c>
      <c r="P31" s="17" t="n">
        <v>0.18</v>
      </c>
      <c r="Q31" s="16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6">
        <f>G31*Q31</f>
        <v/>
      </c>
      <c r="S31" t="inlineStr">
        <is>
          <t>- Van ngăn cháy động cơ - Tiêu chuẩn EI 90
- 2 đầu bích TDC - Gắn kèm động cơ ON-OFF 5Nm, Hãng KLB
- Sản xuất theo BCTN số 4651/VLXD-TBMT</t>
        </is>
      </c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h. Van gió Van gió MFD 500x400</t>
        </is>
      </c>
      <c r="E32" t="inlineStr">
        <is>
          <t>500x400</t>
        </is>
      </c>
      <c r="F32" t="inlineStr">
        <is>
          <t>cái</t>
        </is>
      </c>
      <c r="G32" s="16" t="n">
        <v>1</v>
      </c>
      <c r="H32" s="16">
        <f>SUMIF('01_BOC_TACH_ONG'!$B$2:$B$5000, B32, '01_BOC_TACH_ONG'!$K$2:$K$5000)</f>
        <v/>
      </c>
      <c r="I32" s="16">
        <f>SUMIF('02_BOC_TACH_CUA'!$B$2:$B$5000, B32, '02_BOC_TACH_CUA'!$K$2:$K$5000)</f>
        <v/>
      </c>
      <c r="J32" s="16">
        <f>SUMIF('03_BOC_TACH_VAN'!$B$2:$B$5000, B32, '03_BOC_TACH_VAN'!$K$2:$K$5000)</f>
        <v/>
      </c>
      <c r="K32" s="16">
        <f>SUM(H32:J32)</f>
        <v/>
      </c>
      <c r="L32" s="16">
        <f>(K32-SUMIFS('03_BOC_TACH_VAN'!$K$2:$K$5000, '03_BOC_TACH_VAN'!$B$2:$B$5000, B32, '03_BOC_TACH_VAN'!$D$2:$D$5000, "ĐỘNG_CƠ_VÀ_CẢM_BIẾN"))*0.25</f>
        <v/>
      </c>
      <c r="M32" s="16">
        <f>(K32-SUMIFS('03_BOC_TACH_VAN'!$K$2:$K$5000, '03_BOC_TACH_VAN'!$B$2:$B$5000, B32, '03_BOC_TACH_VAN'!$D$2:$D$5000, "ĐỘNG_CƠ_VÀ_CẢM_BIẾN"))*0.10</f>
        <v/>
      </c>
      <c r="N32" s="16">
        <f>K32+L32+M32</f>
        <v/>
      </c>
      <c r="O32" s="16">
        <f>IF(G32&gt;0, N32/G32, 0)</f>
        <v/>
      </c>
      <c r="P32" s="17" t="n">
        <v>0.18</v>
      </c>
      <c r="Q32" s="16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6">
        <f>G32*Q32</f>
        <v/>
      </c>
      <c r="S32" t="inlineStr">
        <is>
          <t>- Van ngăn cháy động cơ - Tiêu chuẩn EI 90
- 2 đầu bích TDC - Gắn kèm động cơ ON-OFF 5Nm, Hãng KLB
- Sản xuất theo BCTN số 4651/VLXD-TBMT</t>
        </is>
      </c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h. Van gió Van gió MFD 800x300</t>
        </is>
      </c>
      <c r="E33" t="inlineStr">
        <is>
          <t>800x300</t>
        </is>
      </c>
      <c r="F33" t="inlineStr">
        <is>
          <t>cái</t>
        </is>
      </c>
      <c r="G33" s="16" t="n">
        <v>1</v>
      </c>
      <c r="H33" s="16">
        <f>SUMIF('01_BOC_TACH_ONG'!$B$2:$B$5000, B33, '01_BOC_TACH_ONG'!$K$2:$K$5000)</f>
        <v/>
      </c>
      <c r="I33" s="16">
        <f>SUMIF('02_BOC_TACH_CUA'!$B$2:$B$5000, B33, '02_BOC_TACH_CUA'!$K$2:$K$5000)</f>
        <v/>
      </c>
      <c r="J33" s="16">
        <f>SUMIF('03_BOC_TACH_VAN'!$B$2:$B$5000, B33, '03_BOC_TACH_VAN'!$K$2:$K$5000)</f>
        <v/>
      </c>
      <c r="K33" s="16">
        <f>SUM(H33:J33)</f>
        <v/>
      </c>
      <c r="L33" s="16">
        <f>(K33-SUMIFS('03_BOC_TACH_VAN'!$K$2:$K$5000, '03_BOC_TACH_VAN'!$B$2:$B$5000, B33, '03_BOC_TACH_VAN'!$D$2:$D$5000, "ĐỘNG_CƠ_VÀ_CẢM_BIẾN"))*0.25</f>
        <v/>
      </c>
      <c r="M33" s="16">
        <f>(K33-SUMIFS('03_BOC_TACH_VAN'!$K$2:$K$5000, '03_BOC_TACH_VAN'!$B$2:$B$5000, B33, '03_BOC_TACH_VAN'!$D$2:$D$5000, "ĐỘNG_CƠ_VÀ_CẢM_BIẾN"))*0.10</f>
        <v/>
      </c>
      <c r="N33" s="16">
        <f>K33+L33+M33</f>
        <v/>
      </c>
      <c r="O33" s="16">
        <f>IF(G33&gt;0, N33/G33, 0)</f>
        <v/>
      </c>
      <c r="P33" s="17" t="n">
        <v>0.18</v>
      </c>
      <c r="Q33" s="16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6">
        <f>G33*Q33</f>
        <v/>
      </c>
      <c r="S33" t="inlineStr">
        <is>
          <t>- Van ngăn cháy động cơ - Tiêu chuẩn EI 90
- 2 đầu bích TDC - Gắn kèm động cơ ON-OFF 5Nm, Hãng KLB
- Sản xuất theo BCTN số 4651/VLXD-TBMT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h. Van gió Van gió MFD 900x300</t>
        </is>
      </c>
      <c r="E34" t="inlineStr">
        <is>
          <t>900x300</t>
        </is>
      </c>
      <c r="F34" t="inlineStr">
        <is>
          <t>cái</t>
        </is>
      </c>
      <c r="G34" s="16" t="n">
        <v>2</v>
      </c>
      <c r="H34" s="16">
        <f>SUMIF('01_BOC_TACH_ONG'!$B$2:$B$5000, B34, '01_BOC_TACH_ONG'!$K$2:$K$5000)</f>
        <v/>
      </c>
      <c r="I34" s="16">
        <f>SUMIF('02_BOC_TACH_CUA'!$B$2:$B$5000, B34, '02_BOC_TACH_CUA'!$K$2:$K$5000)</f>
        <v/>
      </c>
      <c r="J34" s="16">
        <f>SUMIF('03_BOC_TACH_VAN'!$B$2:$B$5000, B34, '03_BOC_TACH_VAN'!$K$2:$K$5000)</f>
        <v/>
      </c>
      <c r="K34" s="16">
        <f>SUM(H34:J34)</f>
        <v/>
      </c>
      <c r="L34" s="16">
        <f>(K34-SUMIFS('03_BOC_TACH_VAN'!$K$2:$K$5000, '03_BOC_TACH_VAN'!$B$2:$B$5000, B34, '03_BOC_TACH_VAN'!$D$2:$D$5000, "ĐỘNG_CƠ_VÀ_CẢM_BIẾN"))*0.25</f>
        <v/>
      </c>
      <c r="M34" s="16">
        <f>(K34-SUMIFS('03_BOC_TACH_VAN'!$K$2:$K$5000, '03_BOC_TACH_VAN'!$B$2:$B$5000, B34, '03_BOC_TACH_VAN'!$D$2:$D$5000, "ĐỘNG_CƠ_VÀ_CẢM_BIẾN"))*0.10</f>
        <v/>
      </c>
      <c r="N34" s="16">
        <f>K34+L34+M34</f>
        <v/>
      </c>
      <c r="O34" s="16">
        <f>IF(G34&gt;0, N34/G34, 0)</f>
        <v/>
      </c>
      <c r="P34" s="17" t="n">
        <v>0.18</v>
      </c>
      <c r="Q34" s="16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6">
        <f>G34*Q34</f>
        <v/>
      </c>
      <c r="S34" t="inlineStr">
        <is>
          <t>- Van ngăn cháy động cơ - Tiêu chuẩn EI 90
- 2 đầu bích TDC - Gắn kèm động cơ ON-OFF 5Nm, Hãng KLB
- Sản xuất theo BCTN số 4651/VLXD-TBMT</t>
        </is>
      </c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h. Van gió Van gió MFD 1500x1000</t>
        </is>
      </c>
      <c r="E35" t="inlineStr">
        <is>
          <t>1500x1000</t>
        </is>
      </c>
      <c r="F35" t="inlineStr">
        <is>
          <t>cái</t>
        </is>
      </c>
      <c r="G35" s="16" t="n">
        <v>4</v>
      </c>
      <c r="H35" s="16">
        <f>SUMIF('01_BOC_TACH_ONG'!$B$2:$B$5000, B35, '01_BOC_TACH_ONG'!$K$2:$K$5000)</f>
        <v/>
      </c>
      <c r="I35" s="16">
        <f>SUMIF('02_BOC_TACH_CUA'!$B$2:$B$5000, B35, '02_BOC_TACH_CUA'!$K$2:$K$5000)</f>
        <v/>
      </c>
      <c r="J35" s="16">
        <f>SUMIF('03_BOC_TACH_VAN'!$B$2:$B$5000, B35, '03_BOC_TACH_VAN'!$K$2:$K$5000)</f>
        <v/>
      </c>
      <c r="K35" s="16">
        <f>SUM(H35:J35)</f>
        <v/>
      </c>
      <c r="L35" s="16">
        <f>(K35-SUMIFS('03_BOC_TACH_VAN'!$K$2:$K$5000, '03_BOC_TACH_VAN'!$B$2:$B$5000, B35, '03_BOC_TACH_VAN'!$D$2:$D$5000, "ĐỘNG_CƠ_VÀ_CẢM_BIẾN"))*0.25</f>
        <v/>
      </c>
      <c r="M35" s="16">
        <f>(K35-SUMIFS('03_BOC_TACH_VAN'!$K$2:$K$5000, '03_BOC_TACH_VAN'!$B$2:$B$5000, B35, '03_BOC_TACH_VAN'!$D$2:$D$5000, "ĐỘNG_CƠ_VÀ_CẢM_BIẾN"))*0.10</f>
        <v/>
      </c>
      <c r="N35" s="16">
        <f>K35+L35+M35</f>
        <v/>
      </c>
      <c r="O35" s="16">
        <f>IF(G35&gt;0, N35/G35, 0)</f>
        <v/>
      </c>
      <c r="P35" s="17" t="n">
        <v>0.18</v>
      </c>
      <c r="Q35" s="16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6">
        <f>G35*Q35</f>
        <v/>
      </c>
      <c r="S35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h. Van gió Van gió MFD 2000x1200</t>
        </is>
      </c>
      <c r="E36" t="inlineStr">
        <is>
          <t>2000x1200</t>
        </is>
      </c>
      <c r="F36" t="inlineStr">
        <is>
          <t>cái</t>
        </is>
      </c>
      <c r="G36" s="16" t="n">
        <v>6</v>
      </c>
      <c r="H36" s="16">
        <f>SUMIF('01_BOC_TACH_ONG'!$B$2:$B$5000, B36, '01_BOC_TACH_ONG'!$K$2:$K$5000)</f>
        <v/>
      </c>
      <c r="I36" s="16">
        <f>SUMIF('02_BOC_TACH_CUA'!$B$2:$B$5000, B36, '02_BOC_TACH_CUA'!$K$2:$K$5000)</f>
        <v/>
      </c>
      <c r="J36" s="16">
        <f>SUMIF('03_BOC_TACH_VAN'!$B$2:$B$5000, B36, '03_BOC_TACH_VAN'!$K$2:$K$5000)</f>
        <v/>
      </c>
      <c r="K36" s="16">
        <f>SUM(H36:J36)</f>
        <v/>
      </c>
      <c r="L36" s="16">
        <f>(K36-SUMIFS('03_BOC_TACH_VAN'!$K$2:$K$5000, '03_BOC_TACH_VAN'!$B$2:$B$5000, B36, '03_BOC_TACH_VAN'!$D$2:$D$5000, "ĐỘNG_CƠ_VÀ_CẢM_BIẾN"))*0.25</f>
        <v/>
      </c>
      <c r="M36" s="16">
        <f>(K36-SUMIFS('03_BOC_TACH_VAN'!$K$2:$K$5000, '03_BOC_TACH_VAN'!$B$2:$B$5000, B36, '03_BOC_TACH_VAN'!$D$2:$D$5000, "ĐỘNG_CƠ_VÀ_CẢM_BIẾN"))*0.10</f>
        <v/>
      </c>
      <c r="N36" s="16">
        <f>K36+L36+M36</f>
        <v/>
      </c>
      <c r="O36" s="16">
        <f>IF(G36&gt;0, N36/G36, 0)</f>
        <v/>
      </c>
      <c r="P36" s="17" t="n">
        <v>0.18</v>
      </c>
      <c r="Q36" s="16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6">
        <f>G36*Q36</f>
        <v/>
      </c>
      <c r="S36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h. Van gió Van gió FD 300x200</t>
        </is>
      </c>
      <c r="E37" t="inlineStr">
        <is>
          <t>300x200</t>
        </is>
      </c>
      <c r="F37" t="inlineStr">
        <is>
          <t>cái</t>
        </is>
      </c>
      <c r="G37" s="16" t="n">
        <v>3</v>
      </c>
      <c r="H37" s="16">
        <f>SUMIF('01_BOC_TACH_ONG'!$B$2:$B$5000, B37, '01_BOC_TACH_ONG'!$K$2:$K$5000)</f>
        <v/>
      </c>
      <c r="I37" s="16">
        <f>SUMIF('02_BOC_TACH_CUA'!$B$2:$B$5000, B37, '02_BOC_TACH_CUA'!$K$2:$K$5000)</f>
        <v/>
      </c>
      <c r="J37" s="16">
        <f>SUMIF('03_BOC_TACH_VAN'!$B$2:$B$5000, B37, '03_BOC_TACH_VAN'!$K$2:$K$5000)</f>
        <v/>
      </c>
      <c r="K37" s="16">
        <f>SUM(H37:J37)</f>
        <v/>
      </c>
      <c r="L37" s="16">
        <f>(K37-SUMIFS('03_BOC_TACH_VAN'!$K$2:$K$5000, '03_BOC_TACH_VAN'!$B$2:$B$5000, B37, '03_BOC_TACH_VAN'!$D$2:$D$5000, "ĐỘNG_CƠ_VÀ_CẢM_BIẾN"))*0.25</f>
        <v/>
      </c>
      <c r="M37" s="16">
        <f>(K37-SUMIFS('03_BOC_TACH_VAN'!$K$2:$K$5000, '03_BOC_TACH_VAN'!$B$2:$B$5000, B37, '03_BOC_TACH_VAN'!$D$2:$D$5000, "ĐỘNG_CƠ_VÀ_CẢM_BIẾN"))*0.10</f>
        <v/>
      </c>
      <c r="N37" s="16">
        <f>K37+L37+M37</f>
        <v/>
      </c>
      <c r="O37" s="16">
        <f>IF(G37&gt;0, N37/G37, 0)</f>
        <v/>
      </c>
      <c r="P37" s="17" t="n">
        <v>0.18</v>
      </c>
      <c r="Q37" s="16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6">
        <f>G37*Q37</f>
        <v/>
      </c>
      <c r="S37" t="inlineStr">
        <is>
          <t>- Van chặn lửa cầu chì - Tiêu chuẩn EI 120
- 2 đầu bích TDC - gắn cầu chì 70-74 độ C
- Sản xuất theo BCTN số: 4761/VLXD-TBMT</t>
        </is>
      </c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h. Van gió Van gió FD 1000x500</t>
        </is>
      </c>
      <c r="E38" t="inlineStr">
        <is>
          <t>1000x500</t>
        </is>
      </c>
      <c r="F38" t="inlineStr">
        <is>
          <t>cái</t>
        </is>
      </c>
      <c r="G38" s="16" t="n">
        <v>2</v>
      </c>
      <c r="H38" s="16">
        <f>SUMIF('01_BOC_TACH_ONG'!$B$2:$B$5000, B38, '01_BOC_TACH_ONG'!$K$2:$K$5000)</f>
        <v/>
      </c>
      <c r="I38" s="16">
        <f>SUMIF('02_BOC_TACH_CUA'!$B$2:$B$5000, B38, '02_BOC_TACH_CUA'!$K$2:$K$5000)</f>
        <v/>
      </c>
      <c r="J38" s="16">
        <f>SUMIF('03_BOC_TACH_VAN'!$B$2:$B$5000, B38, '03_BOC_TACH_VAN'!$K$2:$K$5000)</f>
        <v/>
      </c>
      <c r="K38" s="16">
        <f>SUM(H38:J38)</f>
        <v/>
      </c>
      <c r="L38" s="16">
        <f>(K38-SUMIFS('03_BOC_TACH_VAN'!$K$2:$K$5000, '03_BOC_TACH_VAN'!$B$2:$B$5000, B38, '03_BOC_TACH_VAN'!$D$2:$D$5000, "ĐỘNG_CƠ_VÀ_CẢM_BIẾN"))*0.25</f>
        <v/>
      </c>
      <c r="M38" s="16">
        <f>(K38-SUMIFS('03_BOC_TACH_VAN'!$K$2:$K$5000, '03_BOC_TACH_VAN'!$B$2:$B$5000, B38, '03_BOC_TACH_VAN'!$D$2:$D$5000, "ĐỘNG_CƠ_VÀ_CẢM_BIẾN"))*0.10</f>
        <v/>
      </c>
      <c r="N38" s="16">
        <f>K38+L38+M38</f>
        <v/>
      </c>
      <c r="O38" s="16">
        <f>IF(G38&gt;0, N38/G38, 0)</f>
        <v/>
      </c>
      <c r="P38" s="17" t="n">
        <v>0.18</v>
      </c>
      <c r="Q38" s="16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6">
        <f>G38*Q38</f>
        <v/>
      </c>
      <c r="S38" t="inlineStr">
        <is>
          <t>- Van chặn lửa cầu chì - Tiêu chuẩn EI 120
- 2 đầu bích TDC - gắn cầu chì 70-74 độ C
- Sản xuất theo BCTN số: 4761/VLXD-TBMT</t>
        </is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h. Van gió Van gió FD 1200x800</t>
        </is>
      </c>
      <c r="E39" t="inlineStr">
        <is>
          <t>1200x800</t>
        </is>
      </c>
      <c r="F39" t="inlineStr">
        <is>
          <t>cái</t>
        </is>
      </c>
      <c r="G39" s="16" t="n">
        <v>2</v>
      </c>
      <c r="H39" s="16">
        <f>SUMIF('01_BOC_TACH_ONG'!$B$2:$B$5000, B39, '01_BOC_TACH_ONG'!$K$2:$K$5000)</f>
        <v/>
      </c>
      <c r="I39" s="16">
        <f>SUMIF('02_BOC_TACH_CUA'!$B$2:$B$5000, B39, '02_BOC_TACH_CUA'!$K$2:$K$5000)</f>
        <v/>
      </c>
      <c r="J39" s="16">
        <f>SUMIF('03_BOC_TACH_VAN'!$B$2:$B$5000, B39, '03_BOC_TACH_VAN'!$K$2:$K$5000)</f>
        <v/>
      </c>
      <c r="K39" s="16">
        <f>SUM(H39:J39)</f>
        <v/>
      </c>
      <c r="L39" s="16">
        <f>(K39-SUMIFS('03_BOC_TACH_VAN'!$K$2:$K$5000, '03_BOC_TACH_VAN'!$B$2:$B$5000, B39, '03_BOC_TACH_VAN'!$D$2:$D$5000, "ĐỘNG_CƠ_VÀ_CẢM_BIẾN"))*0.25</f>
        <v/>
      </c>
      <c r="M39" s="16">
        <f>(K39-SUMIFS('03_BOC_TACH_VAN'!$K$2:$K$5000, '03_BOC_TACH_VAN'!$B$2:$B$5000, B39, '03_BOC_TACH_VAN'!$D$2:$D$5000, "ĐỘNG_CƠ_VÀ_CẢM_BIẾN"))*0.10</f>
        <v/>
      </c>
      <c r="N39" s="16">
        <f>K39+L39+M39</f>
        <v/>
      </c>
      <c r="O39" s="16">
        <f>IF(G39&gt;0, N39/G39, 0)</f>
        <v/>
      </c>
      <c r="P39" s="17" t="n">
        <v>0.18</v>
      </c>
      <c r="Q39" s="16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6">
        <f>G39*Q39</f>
        <v/>
      </c>
      <c r="S39" t="inlineStr">
        <is>
          <t>- Van chặn lửa cầu chì - Tiêu chuẩn EI 120
- 2 đầu bích TDC - gắn cầu chì 70-74 độ C
- Sản xuất theo BCTN số: 4761/VLXD-TBMT</t>
        </is>
      </c>
    </row>
    <row r="40">
      <c r="A40" t="n">
        <v>39</v>
      </c>
      <c r="B40" t="inlineStr">
        <is>
          <t>SW-DAMPER-039</t>
        </is>
      </c>
      <c r="C40" t="inlineStr">
        <is>
          <t>VAN GIÓ</t>
        </is>
      </c>
      <c r="D40" t="inlineStr">
        <is>
          <t>h. Van gió Van gió FD 1600x700</t>
        </is>
      </c>
      <c r="E40" t="inlineStr">
        <is>
          <t>1600x700</t>
        </is>
      </c>
      <c r="F40" t="inlineStr">
        <is>
          <t>cái</t>
        </is>
      </c>
      <c r="G40" s="16" t="n">
        <v>1</v>
      </c>
      <c r="H40" s="16">
        <f>SUMIF('01_BOC_TACH_ONG'!$B$2:$B$5000, B40, '01_BOC_TACH_ONG'!$K$2:$K$5000)</f>
        <v/>
      </c>
      <c r="I40" s="16">
        <f>SUMIF('02_BOC_TACH_CUA'!$B$2:$B$5000, B40, '02_BOC_TACH_CUA'!$K$2:$K$5000)</f>
        <v/>
      </c>
      <c r="J40" s="16">
        <f>SUMIF('03_BOC_TACH_VAN'!$B$2:$B$5000, B40, '03_BOC_TACH_VAN'!$K$2:$K$5000)</f>
        <v/>
      </c>
      <c r="K40" s="16">
        <f>SUM(H40:J40)</f>
        <v/>
      </c>
      <c r="L40" s="16">
        <f>(K40-SUMIFS('03_BOC_TACH_VAN'!$K$2:$K$5000, '03_BOC_TACH_VAN'!$B$2:$B$5000, B40, '03_BOC_TACH_VAN'!$D$2:$D$5000, "ĐỘNG_CƠ_VÀ_CẢM_BIẾN"))*0.25</f>
        <v/>
      </c>
      <c r="M40" s="16">
        <f>(K40-SUMIFS('03_BOC_TACH_VAN'!$K$2:$K$5000, '03_BOC_TACH_VAN'!$B$2:$B$5000, B40, '03_BOC_TACH_VAN'!$D$2:$D$5000, "ĐỘNG_CƠ_VÀ_CẢM_BIẾN"))*0.10</f>
        <v/>
      </c>
      <c r="N40" s="16">
        <f>K40+L40+M40</f>
        <v/>
      </c>
      <c r="O40" s="16">
        <f>IF(G40&gt;0, N40/G40, 0)</f>
        <v/>
      </c>
      <c r="P40" s="17" t="n">
        <v>0.18</v>
      </c>
      <c r="Q40" s="16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6">
        <f>G40*Q40</f>
        <v/>
      </c>
      <c r="S40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41">
      <c r="A41" t="n">
        <v>40</v>
      </c>
      <c r="B41" t="inlineStr">
        <is>
          <t>SW-DAMPER-040</t>
        </is>
      </c>
      <c r="C41" t="inlineStr">
        <is>
          <t>VAN GIÓ</t>
        </is>
      </c>
      <c r="D41" t="inlineStr">
        <is>
          <t>h. Van gió Van gió NRD 300x200</t>
        </is>
      </c>
      <c r="E41" t="inlineStr">
        <is>
          <t>300x200</t>
        </is>
      </c>
      <c r="F41" t="inlineStr">
        <is>
          <t>cái</t>
        </is>
      </c>
      <c r="G41" s="16" t="n">
        <v>3</v>
      </c>
      <c r="H41" s="16">
        <f>SUMIF('01_BOC_TACH_ONG'!$B$2:$B$5000, B41, '01_BOC_TACH_ONG'!$K$2:$K$5000)</f>
        <v/>
      </c>
      <c r="I41" s="16">
        <f>SUMIF('02_BOC_TACH_CUA'!$B$2:$B$5000, B41, '02_BOC_TACH_CUA'!$K$2:$K$5000)</f>
        <v/>
      </c>
      <c r="J41" s="16">
        <f>SUMIF('03_BOC_TACH_VAN'!$B$2:$B$5000, B41, '03_BOC_TACH_VAN'!$K$2:$K$5000)</f>
        <v/>
      </c>
      <c r="K41" s="16">
        <f>SUM(H41:J41)</f>
        <v/>
      </c>
      <c r="L41" s="16">
        <f>(K41-SUMIFS('03_BOC_TACH_VAN'!$K$2:$K$5000, '03_BOC_TACH_VAN'!$B$2:$B$5000, B41, '03_BOC_TACH_VAN'!$D$2:$D$5000, "ĐỘNG_CƠ_VÀ_CẢM_BIẾN"))*0.25</f>
        <v/>
      </c>
      <c r="M41" s="16">
        <f>(K41-SUMIFS('03_BOC_TACH_VAN'!$K$2:$K$5000, '03_BOC_TACH_VAN'!$B$2:$B$5000, B41, '03_BOC_TACH_VAN'!$D$2:$D$5000, "ĐỘNG_CƠ_VÀ_CẢM_BIẾN"))*0.10</f>
        <v/>
      </c>
      <c r="N41" s="16">
        <f>K41+L41+M41</f>
        <v/>
      </c>
      <c r="O41" s="16">
        <f>IF(G41&gt;0, N41/G41, 0)</f>
        <v/>
      </c>
      <c r="P41" s="17" t="n">
        <v>0.18</v>
      </c>
      <c r="Q41" s="16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6">
        <f>G41*Q41</f>
        <v/>
      </c>
      <c r="S41" t="inlineStr">
        <is>
          <t>Van 1 chiều tôn mạ kẽm</t>
        </is>
      </c>
    </row>
    <row r="42">
      <c r="A42" t="n">
        <v>41</v>
      </c>
      <c r="B42" t="inlineStr">
        <is>
          <t>SW-DAMPER-041</t>
        </is>
      </c>
      <c r="C42" t="inlineStr">
        <is>
          <t>VAN GIÓ</t>
        </is>
      </c>
      <c r="D42" t="inlineStr">
        <is>
          <t>h. Van gió Van gió NRD 800x300</t>
        </is>
      </c>
      <c r="E42" t="inlineStr">
        <is>
          <t>800x300</t>
        </is>
      </c>
      <c r="F42" t="inlineStr">
        <is>
          <t>cái</t>
        </is>
      </c>
      <c r="G42" s="16" t="n">
        <v>1</v>
      </c>
      <c r="H42" s="16">
        <f>SUMIF('01_BOC_TACH_ONG'!$B$2:$B$5000, B42, '01_BOC_TACH_ONG'!$K$2:$K$5000)</f>
        <v/>
      </c>
      <c r="I42" s="16">
        <f>SUMIF('02_BOC_TACH_CUA'!$B$2:$B$5000, B42, '02_BOC_TACH_CUA'!$K$2:$K$5000)</f>
        <v/>
      </c>
      <c r="J42" s="16">
        <f>SUMIF('03_BOC_TACH_VAN'!$B$2:$B$5000, B42, '03_BOC_TACH_VAN'!$K$2:$K$5000)</f>
        <v/>
      </c>
      <c r="K42" s="16">
        <f>SUM(H42:J42)</f>
        <v/>
      </c>
      <c r="L42" s="16">
        <f>(K42-SUMIFS('03_BOC_TACH_VAN'!$K$2:$K$5000, '03_BOC_TACH_VAN'!$B$2:$B$5000, B42, '03_BOC_TACH_VAN'!$D$2:$D$5000, "ĐỘNG_CƠ_VÀ_CẢM_BIẾN"))*0.25</f>
        <v/>
      </c>
      <c r="M42" s="16">
        <f>(K42-SUMIFS('03_BOC_TACH_VAN'!$K$2:$K$5000, '03_BOC_TACH_VAN'!$B$2:$B$5000, B42, '03_BOC_TACH_VAN'!$D$2:$D$5000, "ĐỘNG_CƠ_VÀ_CẢM_BIẾN"))*0.10</f>
        <v/>
      </c>
      <c r="N42" s="16">
        <f>K42+L42+M42</f>
        <v/>
      </c>
      <c r="O42" s="16">
        <f>IF(G42&gt;0, N42/G42, 0)</f>
        <v/>
      </c>
      <c r="P42" s="17" t="n">
        <v>0.18</v>
      </c>
      <c r="Q42" s="16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6">
        <f>G42*Q42</f>
        <v/>
      </c>
      <c r="S42" t="inlineStr">
        <is>
          <t>Van 1 chiều tôn mạ kẽm</t>
        </is>
      </c>
    </row>
    <row r="43">
      <c r="A43" t="n">
        <v>42</v>
      </c>
      <c r="B43" t="inlineStr">
        <is>
          <t>SW-DAMPER-042</t>
        </is>
      </c>
      <c r="C43" t="inlineStr">
        <is>
          <t>VAN GIÓ</t>
        </is>
      </c>
      <c r="D43" t="inlineStr">
        <is>
          <t>h. Van gió Van gió NRD 900x300</t>
        </is>
      </c>
      <c r="E43" t="inlineStr">
        <is>
          <t>900x300</t>
        </is>
      </c>
      <c r="F43" t="inlineStr">
        <is>
          <t>cái</t>
        </is>
      </c>
      <c r="G43" s="16" t="n">
        <v>2</v>
      </c>
      <c r="H43" s="16">
        <f>SUMIF('01_BOC_TACH_ONG'!$B$2:$B$5000, B43, '01_BOC_TACH_ONG'!$K$2:$K$5000)</f>
        <v/>
      </c>
      <c r="I43" s="16">
        <f>SUMIF('02_BOC_TACH_CUA'!$B$2:$B$5000, B43, '02_BOC_TACH_CUA'!$K$2:$K$5000)</f>
        <v/>
      </c>
      <c r="J43" s="16">
        <f>SUMIF('03_BOC_TACH_VAN'!$B$2:$B$5000, B43, '03_BOC_TACH_VAN'!$K$2:$K$5000)</f>
        <v/>
      </c>
      <c r="K43" s="16">
        <f>SUM(H43:J43)</f>
        <v/>
      </c>
      <c r="L43" s="16">
        <f>(K43-SUMIFS('03_BOC_TACH_VAN'!$K$2:$K$5000, '03_BOC_TACH_VAN'!$B$2:$B$5000, B43, '03_BOC_TACH_VAN'!$D$2:$D$5000, "ĐỘNG_CƠ_VÀ_CẢM_BIẾN"))*0.25</f>
        <v/>
      </c>
      <c r="M43" s="16">
        <f>(K43-SUMIFS('03_BOC_TACH_VAN'!$K$2:$K$5000, '03_BOC_TACH_VAN'!$B$2:$B$5000, B43, '03_BOC_TACH_VAN'!$D$2:$D$5000, "ĐỘNG_CƠ_VÀ_CẢM_BIẾN"))*0.10</f>
        <v/>
      </c>
      <c r="N43" s="16">
        <f>K43+L43+M43</f>
        <v/>
      </c>
      <c r="O43" s="16">
        <f>IF(G43&gt;0, N43/G43, 0)</f>
        <v/>
      </c>
      <c r="P43" s="17" t="n">
        <v>0.18</v>
      </c>
      <c r="Q43" s="16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6">
        <f>G43*Q43</f>
        <v/>
      </c>
      <c r="S43" t="inlineStr">
        <is>
          <t>Van 1 chiều tôn mạ kẽm</t>
        </is>
      </c>
    </row>
    <row r="44">
      <c r="A44" t="n">
        <v>43</v>
      </c>
      <c r="B44" t="inlineStr">
        <is>
          <t>SW-DAMPER-043</t>
        </is>
      </c>
      <c r="C44" t="inlineStr">
        <is>
          <t>VAN GIÓ</t>
        </is>
      </c>
      <c r="D44" t="inlineStr">
        <is>
          <t>h. Van gió Van gió NRD 1000x500</t>
        </is>
      </c>
      <c r="E44" t="inlineStr">
        <is>
          <t>1000x500</t>
        </is>
      </c>
      <c r="F44" t="inlineStr">
        <is>
          <t>cái</t>
        </is>
      </c>
      <c r="G44" s="16" t="n">
        <v>2</v>
      </c>
      <c r="H44" s="16">
        <f>SUMIF('01_BOC_TACH_ONG'!$B$2:$B$5000, B44, '01_BOC_TACH_ONG'!$K$2:$K$5000)</f>
        <v/>
      </c>
      <c r="I44" s="16">
        <f>SUMIF('02_BOC_TACH_CUA'!$B$2:$B$5000, B44, '02_BOC_TACH_CUA'!$K$2:$K$5000)</f>
        <v/>
      </c>
      <c r="J44" s="16">
        <f>SUMIF('03_BOC_TACH_VAN'!$B$2:$B$5000, B44, '03_BOC_TACH_VAN'!$K$2:$K$5000)</f>
        <v/>
      </c>
      <c r="K44" s="16">
        <f>SUM(H44:J44)</f>
        <v/>
      </c>
      <c r="L44" s="16">
        <f>(K44-SUMIFS('03_BOC_TACH_VAN'!$K$2:$K$5000, '03_BOC_TACH_VAN'!$B$2:$B$5000, B44, '03_BOC_TACH_VAN'!$D$2:$D$5000, "ĐỘNG_CƠ_VÀ_CẢM_BIẾN"))*0.25</f>
        <v/>
      </c>
      <c r="M44" s="16">
        <f>(K44-SUMIFS('03_BOC_TACH_VAN'!$K$2:$K$5000, '03_BOC_TACH_VAN'!$B$2:$B$5000, B44, '03_BOC_TACH_VAN'!$D$2:$D$5000, "ĐỘNG_CƠ_VÀ_CẢM_BIẾN"))*0.10</f>
        <v/>
      </c>
      <c r="N44" s="16">
        <f>K44+L44+M44</f>
        <v/>
      </c>
      <c r="O44" s="16">
        <f>IF(G44&gt;0, N44/G44, 0)</f>
        <v/>
      </c>
      <c r="P44" s="17" t="n">
        <v>0.18</v>
      </c>
      <c r="Q44" s="16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6">
        <f>G44*Q44</f>
        <v/>
      </c>
      <c r="S44" t="inlineStr">
        <is>
          <t>Van 1 chiều tôn mạ kẽm</t>
        </is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h. Van gió Van gió NRD 1200x800</t>
        </is>
      </c>
      <c r="E45" t="inlineStr">
        <is>
          <t>1200x800</t>
        </is>
      </c>
      <c r="F45" t="inlineStr">
        <is>
          <t>cái</t>
        </is>
      </c>
      <c r="G45" s="16" t="n">
        <v>2</v>
      </c>
      <c r="H45" s="16">
        <f>SUMIF('01_BOC_TACH_ONG'!$B$2:$B$5000, B45, '01_BOC_TACH_ONG'!$K$2:$K$5000)</f>
        <v/>
      </c>
      <c r="I45" s="16">
        <f>SUMIF('02_BOC_TACH_CUA'!$B$2:$B$5000, B45, '02_BOC_TACH_CUA'!$K$2:$K$5000)</f>
        <v/>
      </c>
      <c r="J45" s="16">
        <f>SUMIF('03_BOC_TACH_VAN'!$B$2:$B$5000, B45, '03_BOC_TACH_VAN'!$K$2:$K$5000)</f>
        <v/>
      </c>
      <c r="K45" s="16">
        <f>SUM(H45:J45)</f>
        <v/>
      </c>
      <c r="L45" s="16">
        <f>(K45-SUMIFS('03_BOC_TACH_VAN'!$K$2:$K$5000, '03_BOC_TACH_VAN'!$B$2:$B$5000, B45, '03_BOC_TACH_VAN'!$D$2:$D$5000, "ĐỘNG_CƠ_VÀ_CẢM_BIẾN"))*0.25</f>
        <v/>
      </c>
      <c r="M45" s="16">
        <f>(K45-SUMIFS('03_BOC_TACH_VAN'!$K$2:$K$5000, '03_BOC_TACH_VAN'!$B$2:$B$5000, B45, '03_BOC_TACH_VAN'!$D$2:$D$5000, "ĐỘNG_CƠ_VÀ_CẢM_BIẾN"))*0.10</f>
        <v/>
      </c>
      <c r="N45" s="16">
        <f>K45+L45+M45</f>
        <v/>
      </c>
      <c r="O45" s="16">
        <f>IF(G45&gt;0, N45/G45, 0)</f>
        <v/>
      </c>
      <c r="P45" s="17" t="n">
        <v>0.18</v>
      </c>
      <c r="Q45" s="16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6">
        <f>G45*Q45</f>
        <v/>
      </c>
      <c r="S45" t="inlineStr">
        <is>
          <t>Van 1 chiều tôn mạ kẽm</t>
        </is>
      </c>
    </row>
    <row r="46">
      <c r="A46" t="n">
        <v>45</v>
      </c>
      <c r="B46" t="inlineStr">
        <is>
          <t>SW-DIFF-045</t>
        </is>
      </c>
      <c r="C46" t="inlineStr">
        <is>
          <t>CỬA GIÓ</t>
        </is>
      </c>
      <c r="D46" t="inlineStr">
        <is>
          <t>g. Miệng gió Miệng gió SAG 1000x90+OBD kèm hộp gió cách nhiệt</t>
        </is>
      </c>
      <c r="E46" t="inlineStr">
        <is>
          <t>1000x90</t>
        </is>
      </c>
      <c r="F46" t="inlineStr">
        <is>
          <t>cái</t>
        </is>
      </c>
      <c r="G46" s="16" t="n">
        <v>2624</v>
      </c>
      <c r="H46" s="16">
        <f>SUMIF('01_BOC_TACH_ONG'!$B$2:$B$5000, B46, '01_BOC_TACH_ONG'!$K$2:$K$5000)</f>
        <v/>
      </c>
      <c r="I46" s="16">
        <f>SUMIF('02_BOC_TACH_CUA'!$B$2:$B$5000, B46, '02_BOC_TACH_CUA'!$K$2:$K$5000)</f>
        <v/>
      </c>
      <c r="J46" s="16">
        <f>SUMIF('03_BOC_TACH_VAN'!$B$2:$B$5000, B46, '03_BOC_TACH_VAN'!$K$2:$K$5000)</f>
        <v/>
      </c>
      <c r="K46" s="16">
        <f>SUM(H46:J46)</f>
        <v/>
      </c>
      <c r="L46" s="16">
        <f>(K46-SUMIFS('03_BOC_TACH_VAN'!$K$2:$K$5000, '03_BOC_TACH_VAN'!$B$2:$B$5000, B46, '03_BOC_TACH_VAN'!$D$2:$D$5000, "ĐỘNG_CƠ_VÀ_CẢM_BIẾN"))*0.25</f>
        <v/>
      </c>
      <c r="M46" s="16">
        <f>(K46-SUMIFS('03_BOC_TACH_VAN'!$K$2:$K$5000, '03_BOC_TACH_VAN'!$B$2:$B$5000, B46, '03_BOC_TACH_VAN'!$D$2:$D$5000, "ĐỘNG_CƠ_VÀ_CẢM_BIẾN"))*0.10</f>
        <v/>
      </c>
      <c r="N46" s="16">
        <f>K46+L46+M46</f>
        <v/>
      </c>
      <c r="O46" s="16">
        <f>IF(G46&gt;0, N46/G46, 0)</f>
        <v/>
      </c>
      <c r="P46" s="17" t="n">
        <v>0.18</v>
      </c>
      <c r="Q46" s="16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6">
        <f>G46*Q46</f>
        <v/>
      </c>
      <c r="S46" t="inlineStr">
        <is>
          <t>Cửa nan bầu dục 1 lớp kèm van OBD</t>
        </is>
      </c>
    </row>
    <row r="47">
      <c r="A47" t="n">
        <v>46</v>
      </c>
      <c r="B47" t="inlineStr">
        <is>
          <t>SW-DIFF-046</t>
        </is>
      </c>
      <c r="C47" t="inlineStr">
        <is>
          <t>CỬA GIÓ</t>
        </is>
      </c>
      <c r="D47" t="inlineStr">
        <is>
          <t>g. Miệng gió Miệng gió RAG 1000x90+OBD kèm hộp gió cách nhiệt</t>
        </is>
      </c>
      <c r="E47" t="inlineStr">
        <is>
          <t>1000x90</t>
        </is>
      </c>
      <c r="F47" t="inlineStr">
        <is>
          <t>cái</t>
        </is>
      </c>
      <c r="G47" s="16" t="n">
        <v>2624</v>
      </c>
      <c r="H47" s="16">
        <f>SUMIF('01_BOC_TACH_ONG'!$B$2:$B$5000, B47, '01_BOC_TACH_ONG'!$K$2:$K$5000)</f>
        <v/>
      </c>
      <c r="I47" s="16">
        <f>SUMIF('02_BOC_TACH_CUA'!$B$2:$B$5000, B47, '02_BOC_TACH_CUA'!$K$2:$K$5000)</f>
        <v/>
      </c>
      <c r="J47" s="16">
        <f>SUMIF('03_BOC_TACH_VAN'!$B$2:$B$5000, B47, '03_BOC_TACH_VAN'!$K$2:$K$5000)</f>
        <v/>
      </c>
      <c r="K47" s="16">
        <f>SUM(H47:J47)</f>
        <v/>
      </c>
      <c r="L47" s="16">
        <f>(K47-SUMIFS('03_BOC_TACH_VAN'!$K$2:$K$5000, '03_BOC_TACH_VAN'!$B$2:$B$5000, B47, '03_BOC_TACH_VAN'!$D$2:$D$5000, "ĐỘNG_CƠ_VÀ_CẢM_BIẾN"))*0.25</f>
        <v/>
      </c>
      <c r="M47" s="16">
        <f>(K47-SUMIFS('03_BOC_TACH_VAN'!$K$2:$K$5000, '03_BOC_TACH_VAN'!$B$2:$B$5000, B47, '03_BOC_TACH_VAN'!$D$2:$D$5000, "ĐỘNG_CƠ_VÀ_CẢM_BIẾN"))*0.10</f>
        <v/>
      </c>
      <c r="N47" s="16">
        <f>K47+L47+M47</f>
        <v/>
      </c>
      <c r="O47" s="16">
        <f>IF(G47&gt;0, N47/G47, 0)</f>
        <v/>
      </c>
      <c r="P47" s="17" t="n">
        <v>0.18</v>
      </c>
      <c r="Q47" s="16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6">
        <f>G47*Q47</f>
        <v/>
      </c>
      <c r="S47" t="inlineStr">
        <is>
          <t>Cửa hồi nan thẳng bầu dục kèm lưới lọc bụi G4 và van OBD</t>
        </is>
      </c>
    </row>
    <row r="48">
      <c r="A48" s="18" t="inlineStr">
        <is>
          <t>TỔNG CỘNG</t>
        </is>
      </c>
      <c r="H48" s="19">
        <f>SUM(H2:H47)</f>
        <v/>
      </c>
      <c r="I48" s="19">
        <f>SUM(I2:I47)</f>
        <v/>
      </c>
      <c r="J48" s="19">
        <f>SUM(J2:J47)</f>
        <v/>
      </c>
      <c r="K48" s="19">
        <f>SUM(K2:K47)</f>
        <v/>
      </c>
      <c r="L48" s="19">
        <f>SUM(L2:L47)</f>
        <v/>
      </c>
      <c r="M48" s="19">
        <f>SUM(M2:M47)</f>
        <v/>
      </c>
      <c r="N48" s="19">
        <f>SUM(N2:N47)</f>
        <v/>
      </c>
      <c r="R48" s="19">
        <f>SUM(R2:R47)</f>
        <v/>
      </c>
    </row>
  </sheetData>
  <mergeCells count="1">
    <mergeCell ref="A48:F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0" t="n">
        <v>0.1522746013870727</v>
      </c>
      <c r="H2" s="16">
        <f>'00_TONG_HOP_BAO_GIA'!G2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Khung bao 200x200mm (cổ 150x150mm)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0" t="n">
        <v>0.0573856635177768</v>
      </c>
      <c r="H3" s="16">
        <f>'00_TONG_HOP_BAO_GIA'!G2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0" t="n">
        <v>0.0313972136028296</v>
      </c>
      <c r="H4" s="16">
        <f>'00_TONG_HOP_BAO_GIA'!G2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0" t="n">
        <v>0.04324900213256998</v>
      </c>
      <c r="H5" s="16">
        <f>'00_TONG_HOP_BAO_GIA'!G2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0" t="n">
        <v>0.08230553030583942</v>
      </c>
      <c r="H6" s="16">
        <f>'00_TONG_HOP_BAO_GIA'!G2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Khung OBD 150x150mm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0" t="n">
        <v>0.04883635105172434</v>
      </c>
      <c r="H7" s="16">
        <f>'00_TONG_HOP_BAO_GIA'!G2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0" t="n">
        <v>0.5111990265182811</v>
      </c>
      <c r="H8" s="16">
        <f>'00_TONG_HOP_BAO_GIA'!G2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(1 lớp BD)</t>
        </is>
      </c>
      <c r="D9" t="inlineStr">
        <is>
          <t>NHÔM_ĐỊNH_HÌNH</t>
        </is>
      </c>
      <c r="E9" t="inlineStr">
        <is>
          <t>MAT-ALU-KHUNG-BD</t>
        </is>
      </c>
      <c r="F9" t="inlineStr">
        <is>
          <t>kg</t>
        </is>
      </c>
      <c r="G9" s="20" t="n">
        <v>0.1849847596746003</v>
      </c>
      <c r="H9" s="16">
        <f>'00_TONG_HOP_BAO_GIA'!G3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Khung bao 300x200mm (cổ 250x150mm)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nhôm bầu dục (7 nan)</t>
        </is>
      </c>
      <c r="D10" t="inlineStr">
        <is>
          <t>NHÔM_ĐỊNH_HÌNH</t>
        </is>
      </c>
      <c r="E10" t="inlineStr">
        <is>
          <t>MAT-ALU-NAN-BD</t>
        </is>
      </c>
      <c r="F10" t="inlineStr">
        <is>
          <t>kg</t>
        </is>
      </c>
      <c r="G10" s="20" t="n">
        <v>0.09502000560208465</v>
      </c>
      <c r="H10" s="16">
        <f>'00_TONG_HOP_BAO_GIA'!G3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Nan bầu dục @ 0.058kg/m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0" t="n">
        <v>0.03119277425282226</v>
      </c>
      <c r="H11" s="16">
        <f>'00_TONG_HOP_BAO_GIA'!G3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4 ke góc chìm và vít ghép khung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0" t="n">
        <v>0.05903035934231575</v>
      </c>
      <c r="H12" s="16">
        <f>'00_TONG_HOP_BAO_GIA'!G3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Sơn tĩnh điện hoàn thiện</t>
        </is>
      </c>
    </row>
    <row r="13">
      <c r="A13" t="inlineStr">
        <is>
          <t>SW-DIFF-002-OBD-FRAME</t>
        </is>
      </c>
      <c r="B13" t="inlineStr">
        <is>
          <t>SW-DIFF-002</t>
        </is>
      </c>
      <c r="C13" t="inlineStr">
        <is>
          <t>Khung nhôm van OBD gắn cửa (SOBD)</t>
        </is>
      </c>
      <c r="D13" t="inlineStr">
        <is>
          <t>NHÔM_ĐỊNH_HÌNH</t>
        </is>
      </c>
      <c r="E13" t="inlineStr">
        <is>
          <t>MAT-ALU-KHUNG-OBD</t>
        </is>
      </c>
      <c r="F13" t="inlineStr">
        <is>
          <t>kg</t>
        </is>
      </c>
      <c r="G13" s="20" t="n">
        <v>0.1096987237700162</v>
      </c>
      <c r="H13" s="16">
        <f>'00_TONG_HOP_BAO_GIA'!G3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Khung OBD 250x150mm</t>
        </is>
      </c>
    </row>
    <row r="14">
      <c r="A14" t="inlineStr">
        <is>
          <t>SW-DIFF-002-OBD-BLADE</t>
        </is>
      </c>
      <c r="B14" t="inlineStr">
        <is>
          <t>SW-DIFF-002</t>
        </is>
      </c>
      <c r="C14" t="inlineStr">
        <is>
          <t>Nan nhôm &amp; thanh truyền van OBD (SOBD)</t>
        </is>
      </c>
      <c r="D14" t="inlineStr">
        <is>
          <t>NHÔM_ĐỊNH_HÌNH</t>
        </is>
      </c>
      <c r="E14" t="inlineStr">
        <is>
          <t>MAT-ALU-NAN-OBD</t>
        </is>
      </c>
      <c r="F14" t="inlineStr">
        <is>
          <t>kg</t>
        </is>
      </c>
      <c r="G14" s="20" t="n">
        <v>0.08136277969492896</v>
      </c>
      <c r="H14" s="16">
        <f>'00_TONG_HOP_BAO_GIA'!G3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Nan OBD đối xứng &amp; thanh liên kết</t>
        </is>
      </c>
    </row>
    <row r="15">
      <c r="A15" t="inlineStr">
        <is>
          <t>SW-DIFF-002-OBD-ACC</t>
        </is>
      </c>
      <c r="B15" t="inlineStr">
        <is>
          <t>SW-DIFF-002</t>
        </is>
      </c>
      <c r="C15" t="inlineStr">
        <is>
          <t>Bánh răng nhựa &amp; phụ kiện van OBD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0" t="n">
        <v>0.6913576196855213</v>
      </c>
      <c r="H15" s="16">
        <f>'00_TONG_HOP_BAO_GIA'!G3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Cơ cấu bánh răng đóng mở OBD</t>
        </is>
      </c>
    </row>
    <row r="16">
      <c r="A16" t="inlineStr">
        <is>
          <t>SW-DIFF-003-FRAME</t>
        </is>
      </c>
      <c r="B16" t="inlineStr">
        <is>
          <t>SW-DIFF-003</t>
        </is>
      </c>
      <c r="C16" t="inlineStr">
        <is>
          <t>Khung nhôm định hình (1 lớp BD)</t>
        </is>
      </c>
      <c r="D16" t="inlineStr">
        <is>
          <t>NHÔM_ĐỊNH_HÌNH</t>
        </is>
      </c>
      <c r="E16" t="inlineStr">
        <is>
          <t>MAT-ALU-KHUNG-BD</t>
        </is>
      </c>
      <c r="F16" t="inlineStr">
        <is>
          <t>kg</t>
        </is>
      </c>
      <c r="G16" s="20" t="n">
        <v>0.4032485638440642</v>
      </c>
      <c r="H16" s="16">
        <f>'00_TONG_HOP_BAO_GIA'!G4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Khung bao 700x400mm (cổ 650x350mm)</t>
        </is>
      </c>
    </row>
    <row r="17">
      <c r="A17" t="inlineStr">
        <is>
          <t>SW-DIFF-003-BLADE</t>
        </is>
      </c>
      <c r="B17" t="inlineStr">
        <is>
          <t>SW-DIFF-003</t>
        </is>
      </c>
      <c r="C17" t="inlineStr">
        <is>
          <t>Nan nhôm bầu dục (17 nan)</t>
        </is>
      </c>
      <c r="D17" t="inlineStr">
        <is>
          <t>NHÔM_ĐỊNH_HÌNH</t>
        </is>
      </c>
      <c r="E17" t="inlineStr">
        <is>
          <t>MAT-ALU-NAN-BD</t>
        </is>
      </c>
      <c r="F17" t="inlineStr">
        <is>
          <t>kg</t>
        </is>
      </c>
      <c r="G17" s="20" t="n">
        <v>0.5993552981624786</v>
      </c>
      <c r="H17" s="16">
        <f>'00_TONG_HOP_BAO_GIA'!G4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Nan bầu dục @ 0.058kg/m</t>
        </is>
      </c>
    </row>
    <row r="18">
      <c r="A18" t="inlineStr">
        <is>
          <t>SW-DIFF-003-ACCESSORY</t>
        </is>
      </c>
      <c r="B18" t="inlineStr">
        <is>
          <t>SW-DIFF-003</t>
        </is>
      </c>
      <c r="C18" t="inlineStr">
        <is>
          <t>Phụ kiện lắp ghép / Ke góc cửa gió</t>
        </is>
      </c>
      <c r="D18" t="inlineStr">
        <is>
          <t>PHỤ_KIỆN_CỬA</t>
        </is>
      </c>
      <c r="E18" t="inlineStr">
        <is>
          <t>MAT-DOOR-ACCESSORY</t>
        </is>
      </c>
      <c r="F18" t="inlineStr">
        <is>
          <t>Bộ</t>
        </is>
      </c>
      <c r="G18" s="20" t="n">
        <v>0.0756745681499575</v>
      </c>
      <c r="H18" s="16">
        <f>'00_TONG_HOP_BAO_GIA'!G4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4 ke góc chìm và vít ghép khung</t>
        </is>
      </c>
    </row>
    <row r="19">
      <c r="A19" t="inlineStr">
        <is>
          <t>SW-DIFF-003-PAINT</t>
        </is>
      </c>
      <c r="B19" t="inlineStr">
        <is>
          <t>SW-DIFF-003</t>
        </is>
      </c>
      <c r="C19" t="inlineStr">
        <is>
          <t>Sơn tĩnh điện tiêu chuẩn Polyester</t>
        </is>
      </c>
      <c r="D19" t="inlineStr">
        <is>
          <t>SƠN_TĨNH_ĐIỆN</t>
        </is>
      </c>
      <c r="E19" t="inlineStr">
        <is>
          <t>MAT-PAINT-POWDER</t>
        </is>
      </c>
      <c r="F19" t="inlineStr">
        <is>
          <t>m2</t>
        </is>
      </c>
      <c r="G19" s="20" t="n">
        <v>0.2172095770648884</v>
      </c>
      <c r="H19" s="16">
        <f>'00_TONG_HOP_BAO_GIA'!G4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Sơn tĩnh điện hoàn thiện</t>
        </is>
      </c>
    </row>
    <row r="20">
      <c r="A20" t="inlineStr">
        <is>
          <t>SW-DIFF-003-OBD-FRAME</t>
        </is>
      </c>
      <c r="B20" t="inlineStr">
        <is>
          <t>SW-DIFF-003</t>
        </is>
      </c>
      <c r="C20" t="inlineStr">
        <is>
          <t>Khung nhôm van OBD gắn cửa (SOBD)</t>
        </is>
      </c>
      <c r="D20" t="inlineStr">
        <is>
          <t>NHÔM_ĐỊNH_HÌNH</t>
        </is>
      </c>
      <c r="E20" t="inlineStr">
        <is>
          <t>MAT-ALU-KHUNG-OBD</t>
        </is>
      </c>
      <c r="F20" t="inlineStr">
        <is>
          <t>kg</t>
        </is>
      </c>
      <c r="G20" s="20" t="n">
        <v>0.2750267129992985</v>
      </c>
      <c r="H20" s="16">
        <f>'00_TONG_HOP_BAO_GIA'!G4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Khung OBD 650x350mm</t>
        </is>
      </c>
    </row>
    <row r="21">
      <c r="A21" t="inlineStr">
        <is>
          <t>SW-DIFF-003-OBD-BLADE</t>
        </is>
      </c>
      <c r="B21" t="inlineStr">
        <is>
          <t>SW-DIFF-003</t>
        </is>
      </c>
      <c r="C21" t="inlineStr">
        <is>
          <t>Nan nhôm &amp; thanh truyền van OBD (SOBD)</t>
        </is>
      </c>
      <c r="D21" t="inlineStr">
        <is>
          <t>NHÔM_ĐỊNH_HÌNH</t>
        </is>
      </c>
      <c r="E21" t="inlineStr">
        <is>
          <t>MAT-ALU-NAN-OBD</t>
        </is>
      </c>
      <c r="F21" t="inlineStr">
        <is>
          <t>kg</t>
        </is>
      </c>
      <c r="G21" s="20" t="n">
        <v>0.495004566513769</v>
      </c>
      <c r="H21" s="16">
        <f>'00_TONG_HOP_BAO_GIA'!G4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Nan OBD đối xứng &amp; thanh liên kết</t>
        </is>
      </c>
    </row>
    <row r="22">
      <c r="A22" t="inlineStr">
        <is>
          <t>SW-DIFF-003-OBD-ACC</t>
        </is>
      </c>
      <c r="B22" t="inlineStr">
        <is>
          <t>SW-DIFF-003</t>
        </is>
      </c>
      <c r="C22" t="inlineStr">
        <is>
          <t>Bánh răng nhựa &amp; phụ kiện van OBD</t>
        </is>
      </c>
      <c r="D22" t="inlineStr">
        <is>
          <t>PHỤ_KIỆN_CỬA</t>
        </is>
      </c>
      <c r="E22" t="inlineStr">
        <is>
          <t>MAT-DOOR-ACCESSORY</t>
        </is>
      </c>
      <c r="F22" t="inlineStr">
        <is>
          <t>Bộ</t>
        </is>
      </c>
      <c r="G22" s="20" t="n">
        <v>1.416791916335884</v>
      </c>
      <c r="H22" s="16">
        <f>'00_TONG_HOP_BAO_GIA'!G4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Cơ cấu bánh răng đóng mở OBD</t>
        </is>
      </c>
    </row>
    <row r="23">
      <c r="A23" t="inlineStr">
        <is>
          <t>SW-DIFF-004-FRAME</t>
        </is>
      </c>
      <c r="B23" t="inlineStr">
        <is>
          <t>SW-DIFF-004</t>
        </is>
      </c>
      <c r="C23" t="inlineStr">
        <is>
          <t>Khung nhôm định hình (1 lớp BD)</t>
        </is>
      </c>
      <c r="D23" t="inlineStr">
        <is>
          <t>NHÔM_ĐỊNH_HÌNH</t>
        </is>
      </c>
      <c r="E23" t="inlineStr">
        <is>
          <t>MAT-ALU-KHUNG-BD</t>
        </is>
      </c>
      <c r="F23" t="inlineStr">
        <is>
          <t>kg</t>
        </is>
      </c>
      <c r="G23" s="20" t="n">
        <v>0.4776725200435986</v>
      </c>
      <c r="H23" s="16">
        <f>'00_TONG_HOP_BAO_GIA'!G5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Khung bao 800x500mm (cổ 750x450mm)</t>
        </is>
      </c>
    </row>
    <row r="24">
      <c r="A24" t="inlineStr">
        <is>
          <t>SW-DIFF-004-BLADE</t>
        </is>
      </c>
      <c r="B24" t="inlineStr">
        <is>
          <t>SW-DIFF-004</t>
        </is>
      </c>
      <c r="C24" t="inlineStr">
        <is>
          <t>Nan nhôm bầu dục (22 nan)</t>
        </is>
      </c>
      <c r="D24" t="inlineStr">
        <is>
          <t>NHÔM_ĐỊNH_HÌNH</t>
        </is>
      </c>
      <c r="E24" t="inlineStr">
        <is>
          <t>MAT-ALU-NAN-BD</t>
        </is>
      </c>
      <c r="F24" t="inlineStr">
        <is>
          <t>kg</t>
        </is>
      </c>
      <c r="G24" s="20" t="n">
        <v>0.8928371126596171</v>
      </c>
      <c r="H24" s="16">
        <f>'00_TONG_HOP_BAO_GIA'!G5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Nan bầu dục @ 0.058kg/m</t>
        </is>
      </c>
    </row>
    <row r="25">
      <c r="A25" t="inlineStr">
        <is>
          <t>SW-DIFF-004-ACCESSORY</t>
        </is>
      </c>
      <c r="B25" t="inlineStr">
        <is>
          <t>SW-DIFF-004</t>
        </is>
      </c>
      <c r="C25" t="inlineStr">
        <is>
          <t>Phụ kiện lắp ghép / Ke góc cửa gió</t>
        </is>
      </c>
      <c r="D25" t="inlineStr">
        <is>
          <t>PHỤ_KIỆN_CỬA</t>
        </is>
      </c>
      <c r="E25" t="inlineStr">
        <is>
          <t>MAT-DOOR-ACCESSORY</t>
        </is>
      </c>
      <c r="F25" t="inlineStr">
        <is>
          <t>Bộ</t>
        </is>
      </c>
      <c r="G25" s="20" t="n">
        <v>0.0976989576151673</v>
      </c>
      <c r="H25" s="16">
        <f>'00_TONG_HOP_BAO_GIA'!G5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4 ke góc chìm và vít ghép khung</t>
        </is>
      </c>
    </row>
    <row r="26">
      <c r="A26" t="inlineStr">
        <is>
          <t>SW-DIFF-004-PAINT</t>
        </is>
      </c>
      <c r="B26" t="inlineStr">
        <is>
          <t>SW-DIFF-004</t>
        </is>
      </c>
      <c r="C26" t="inlineStr">
        <is>
          <t>Sơn tĩnh điện tiêu chuẩn Polyester</t>
        </is>
      </c>
      <c r="D26" t="inlineStr">
        <is>
          <t>SƠN_TĨNH_ĐIỆN</t>
        </is>
      </c>
      <c r="E26" t="inlineStr">
        <is>
          <t>MAT-PAINT-POWDER</t>
        </is>
      </c>
      <c r="F26" t="inlineStr">
        <is>
          <t>m2</t>
        </is>
      </c>
      <c r="G26" s="20" t="n">
        <v>0.2977989617146811</v>
      </c>
      <c r="H26" s="16">
        <f>'00_TONG_HOP_BAO_GIA'!G5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Sơn tĩnh điện hoàn thiện</t>
        </is>
      </c>
    </row>
    <row r="27">
      <c r="A27" t="inlineStr">
        <is>
          <t>SW-DIFF-004-OBD-FRAME</t>
        </is>
      </c>
      <c r="B27" t="inlineStr">
        <is>
          <t>SW-DIFF-004</t>
        </is>
      </c>
      <c r="C27" t="inlineStr">
        <is>
          <t>Khung nhôm van OBD gắn cửa (SOBD)</t>
        </is>
      </c>
      <c r="D27" t="inlineStr">
        <is>
          <t>NHÔM_ĐỊNH_HÌNH</t>
        </is>
      </c>
      <c r="E27" t="inlineStr">
        <is>
          <t>MAT-ALU-KHUNG-OBD</t>
        </is>
      </c>
      <c r="F27" t="inlineStr">
        <is>
          <t>kg</t>
        </is>
      </c>
      <c r="G27" s="20" t="n">
        <v>0.3291746006677848</v>
      </c>
      <c r="H27" s="16">
        <f>'00_TONG_HOP_BAO_GIA'!G5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Khung OBD 750x450mm</t>
        </is>
      </c>
    </row>
    <row r="28">
      <c r="A28" t="inlineStr">
        <is>
          <t>SW-DIFF-004-OBD-BLADE</t>
        </is>
      </c>
      <c r="B28" t="inlineStr">
        <is>
          <t>SW-DIFF-004</t>
        </is>
      </c>
      <c r="C28" t="inlineStr">
        <is>
          <t>Nan nhôm &amp; thanh truyền van OBD (SOBD)</t>
        </is>
      </c>
      <c r="D28" t="inlineStr">
        <is>
          <t>NHÔM_ĐỊNH_HÌNH</t>
        </is>
      </c>
      <c r="E28" t="inlineStr">
        <is>
          <t>MAT-ALU-NAN-OBD</t>
        </is>
      </c>
      <c r="F28" t="inlineStr">
        <is>
          <t>kg</t>
        </is>
      </c>
      <c r="G28" s="20" t="n">
        <v>0.7324395287801777</v>
      </c>
      <c r="H28" s="16">
        <f>'00_TONG_HOP_BAO_GIA'!G5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Nan OBD đối xứng &amp; thanh liên kết</t>
        </is>
      </c>
    </row>
    <row r="29">
      <c r="A29" t="inlineStr">
        <is>
          <t>SW-DIFF-004-OBD-ACC</t>
        </is>
      </c>
      <c r="B29" t="inlineStr">
        <is>
          <t>SW-DIFF-004</t>
        </is>
      </c>
      <c r="C29" t="inlineStr">
        <is>
          <t>Bánh răng nhựa &amp; phụ kiện van OBD</t>
        </is>
      </c>
      <c r="D29" t="inlineStr">
        <is>
          <t>PHỤ_KIỆN_CỬA</t>
        </is>
      </c>
      <c r="E29" t="inlineStr">
        <is>
          <t>MAT-DOOR-ACCESSORY</t>
        </is>
      </c>
      <c r="F29" t="inlineStr">
        <is>
          <t>Bộ</t>
        </is>
      </c>
      <c r="G29" s="20" t="n">
        <v>1.5935080982628</v>
      </c>
      <c r="H29" s="16">
        <f>'00_TONG_HOP_BAO_GIA'!G5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Cơ cấu bánh răng đóng mở OBD</t>
        </is>
      </c>
    </row>
    <row r="30">
      <c r="A30" t="inlineStr">
        <is>
          <t>SW-DIFF-005-FRAME</t>
        </is>
      </c>
      <c r="B30" t="inlineStr">
        <is>
          <t>SW-DIFF-005</t>
        </is>
      </c>
      <c r="C30" t="inlineStr">
        <is>
          <t>Khung nhôm định hình (1 lớp BD)</t>
        </is>
      </c>
      <c r="D30" t="inlineStr">
        <is>
          <t>NHÔM_ĐỊNH_HÌNH</t>
        </is>
      </c>
      <c r="E30" t="inlineStr">
        <is>
          <t>MAT-ALU-KHUNG-BD</t>
        </is>
      </c>
      <c r="F30" t="inlineStr">
        <is>
          <t>kg</t>
        </is>
      </c>
      <c r="G30" s="20" t="n">
        <v>0.5869942958224981</v>
      </c>
      <c r="H30" s="16">
        <f>'00_TONG_HOP_BAO_GIA'!G6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Khung bao 1000x600mm (cổ 950x550mm)</t>
        </is>
      </c>
    </row>
    <row r="31">
      <c r="A31" t="inlineStr">
        <is>
          <t>SW-DIFF-005-BLADE</t>
        </is>
      </c>
      <c r="B31" t="inlineStr">
        <is>
          <t>SW-DIFF-005</t>
        </is>
      </c>
      <c r="C31" t="inlineStr">
        <is>
          <t>Nan nhôm bầu dục (27 nan)</t>
        </is>
      </c>
      <c r="D31" t="inlineStr">
        <is>
          <t>NHÔM_ĐỊNH_HÌNH</t>
        </is>
      </c>
      <c r="E31" t="inlineStr">
        <is>
          <t>MAT-ALU-NAN-BD</t>
        </is>
      </c>
      <c r="F31" t="inlineStr">
        <is>
          <t>kg</t>
        </is>
      </c>
      <c r="G31" s="20" t="n">
        <v>1.388790416499889</v>
      </c>
      <c r="H31" s="16">
        <f>'00_TONG_HOP_BAO_GIA'!G6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Nan bầu dục @ 0.058kg/m</t>
        </is>
      </c>
    </row>
    <row r="32">
      <c r="A32" t="inlineStr">
        <is>
          <t>SW-DIFF-005-ACCESSORY</t>
        </is>
      </c>
      <c r="B32" t="inlineStr">
        <is>
          <t>SW-DIFF-005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20" t="n">
        <v>0.1199753608446366</v>
      </c>
      <c r="H32" s="16">
        <f>'00_TONG_HOP_BAO_GIA'!G6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4 ke góc chìm và vít ghép khung</t>
        </is>
      </c>
    </row>
    <row r="33">
      <c r="A33" t="inlineStr">
        <is>
          <t>SW-DIFF-005-PAINT</t>
        </is>
      </c>
      <c r="B33" t="inlineStr">
        <is>
          <t>SW-DIFF-005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20" t="n">
        <v>0.4315349057517672</v>
      </c>
      <c r="H33" s="16">
        <f>'00_TONG_HOP_BAO_GIA'!G6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Sơn tĩnh điện hoàn thiện</t>
        </is>
      </c>
    </row>
    <row r="34">
      <c r="A34" t="inlineStr">
        <is>
          <t>SW-DIFF-005-OBD-FRAME</t>
        </is>
      </c>
      <c r="B34" t="inlineStr">
        <is>
          <t>SW-DIFF-005</t>
        </is>
      </c>
      <c r="C34" t="inlineStr">
        <is>
          <t>Khung nhôm van OBD gắn cửa (SOBD)</t>
        </is>
      </c>
      <c r="D34" t="inlineStr">
        <is>
          <t>NHÔM_ĐỊNH_HÌNH</t>
        </is>
      </c>
      <c r="E34" t="inlineStr">
        <is>
          <t>MAT-ALU-KHUNG-OBD</t>
        </is>
      </c>
      <c r="F34" t="inlineStr">
        <is>
          <t>kg</t>
        </is>
      </c>
      <c r="G34" s="20" t="n">
        <v>0.4113374180627027</v>
      </c>
      <c r="H34" s="16">
        <f>'00_TONG_HOP_BAO_GIA'!G6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Khung OBD 950x550mm</t>
        </is>
      </c>
    </row>
    <row r="35">
      <c r="A35" t="inlineStr">
        <is>
          <t>SW-DIFF-005-OBD-BLADE</t>
        </is>
      </c>
      <c r="B35" t="inlineStr">
        <is>
          <t>SW-DIFF-005</t>
        </is>
      </c>
      <c r="C35" t="inlineStr">
        <is>
          <t>Nan nhôm &amp; thanh truyền van OBD (SOBD)</t>
        </is>
      </c>
      <c r="D35" t="inlineStr">
        <is>
          <t>NHÔM_ĐỊNH_HÌNH</t>
        </is>
      </c>
      <c r="E35" t="inlineStr">
        <is>
          <t>MAT-ALU-NAN-OBD</t>
        </is>
      </c>
      <c r="F35" t="inlineStr">
        <is>
          <t>kg</t>
        </is>
      </c>
      <c r="G35" s="20" t="n">
        <v>1.133564350937564</v>
      </c>
      <c r="H35" s="16">
        <f>'00_TONG_HOP_BAO_GIA'!G6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Nan OBD đối xứng &amp; thanh liên kết</t>
        </is>
      </c>
    </row>
    <row r="36">
      <c r="A36" t="inlineStr">
        <is>
          <t>SW-DIFF-005-OBD-ACC</t>
        </is>
      </c>
      <c r="B36" t="inlineStr">
        <is>
          <t>SW-DIFF-005</t>
        </is>
      </c>
      <c r="C36" t="inlineStr">
        <is>
          <t>Bánh răng nhựa &amp; phụ kiện van OBD</t>
        </is>
      </c>
      <c r="D36" t="inlineStr">
        <is>
          <t>PHỤ_KIỆN_CỬA</t>
        </is>
      </c>
      <c r="E36" t="inlineStr">
        <is>
          <t>MAT-DOOR-ACCESSORY</t>
        </is>
      </c>
      <c r="F36" t="inlineStr">
        <is>
          <t>Bộ</t>
        </is>
      </c>
      <c r="G36" s="20" t="n">
        <v>1.953680983623453</v>
      </c>
      <c r="H36" s="16">
        <f>'00_TONG_HOP_BAO_GIA'!G6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Cơ cấu bánh răng đóng mở OBD</t>
        </is>
      </c>
    </row>
    <row r="37">
      <c r="A37" t="inlineStr">
        <is>
          <t>SW-DIFF-006-FRAME</t>
        </is>
      </c>
      <c r="B37" t="inlineStr">
        <is>
          <t>SW-DIFF-006</t>
        </is>
      </c>
      <c r="C37" t="inlineStr">
        <is>
          <t>Khung nhôm định hình (1 lớp BD)</t>
        </is>
      </c>
      <c r="D37" t="inlineStr">
        <is>
          <t>NHÔM_ĐỊNH_HÌNH</t>
        </is>
      </c>
      <c r="E37" t="inlineStr">
        <is>
          <t>MAT-ALU-KHUNG-BD</t>
        </is>
      </c>
      <c r="F37" t="inlineStr">
        <is>
          <t>kg</t>
        </is>
      </c>
      <c r="G37" s="20" t="n">
        <v>0.7549933699951762</v>
      </c>
      <c r="H37" s="16">
        <f>'00_TONG_HOP_BAO_GIA'!G7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Khung bao 1000x1000mm (cổ 950x950mm)</t>
        </is>
      </c>
    </row>
    <row r="38">
      <c r="A38" t="inlineStr">
        <is>
          <t>SW-DIFF-006-BLADE</t>
        </is>
      </c>
      <c r="B38" t="inlineStr">
        <is>
          <t>SW-DIFF-006</t>
        </is>
      </c>
      <c r="C38" t="inlineStr">
        <is>
          <t>Nan nhôm bầu dục (47 nan)</t>
        </is>
      </c>
      <c r="D38" t="inlineStr">
        <is>
          <t>NHÔM_ĐỊNH_HÌNH</t>
        </is>
      </c>
      <c r="E38" t="inlineStr">
        <is>
          <t>MAT-ALU-NAN-BD</t>
        </is>
      </c>
      <c r="F38" t="inlineStr">
        <is>
          <t>kg</t>
        </is>
      </c>
      <c r="G38" s="20" t="n">
        <v>2.419809814698648</v>
      </c>
      <c r="H38" s="16">
        <f>'00_TONG_HOP_BAO_GIA'!G7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Nan bầu dục @ 0.058kg/m</t>
        </is>
      </c>
    </row>
    <row r="39">
      <c r="A39" t="inlineStr">
        <is>
          <t>SW-DIFF-006-ACCESSORY</t>
        </is>
      </c>
      <c r="B39" t="inlineStr">
        <is>
          <t>SW-DIFF-006</t>
        </is>
      </c>
      <c r="C39" t="inlineStr">
        <is>
          <t>Phụ kiện lắp ghép / Ke góc cửa gió</t>
        </is>
      </c>
      <c r="D39" t="inlineStr">
        <is>
          <t>PHỤ_KIỆN_CỬA</t>
        </is>
      </c>
      <c r="E39" t="inlineStr">
        <is>
          <t>MAT-DOOR-ACCESSORY</t>
        </is>
      </c>
      <c r="F39" t="inlineStr">
        <is>
          <t>Bộ</t>
        </is>
      </c>
      <c r="G39" s="20" t="n">
        <v>0.2090434613060901</v>
      </c>
      <c r="H39" s="16">
        <f>'00_TONG_HOP_BAO_GIA'!G7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4 ke góc chìm và vít ghép khung</t>
        </is>
      </c>
    </row>
    <row r="40">
      <c r="A40" t="inlineStr">
        <is>
          <t>SW-DIFF-006-PAINT</t>
        </is>
      </c>
      <c r="B40" t="inlineStr">
        <is>
          <t>SW-DIFF-006</t>
        </is>
      </c>
      <c r="C40" t="inlineStr">
        <is>
          <t>Sơn tĩnh điện tiêu chuẩn Polyester</t>
        </is>
      </c>
      <c r="D40" t="inlineStr">
        <is>
          <t>SƠN_TĨNH_ĐIỆN</t>
        </is>
      </c>
      <c r="E40" t="inlineStr">
        <is>
          <t>MAT-PAINT-POWDER</t>
        </is>
      </c>
      <c r="F40" t="inlineStr">
        <is>
          <t>m2</t>
        </is>
      </c>
      <c r="G40" s="20" t="n">
        <v>0.6927370652162869</v>
      </c>
      <c r="H40" s="16">
        <f>'00_TONG_HOP_BAO_GIA'!G7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Sơn tĩnh điện hoàn thiện</t>
        </is>
      </c>
    </row>
    <row r="41">
      <c r="A41" t="inlineStr">
        <is>
          <t>SW-DIFF-006-OBD-FRAME</t>
        </is>
      </c>
      <c r="B41" t="inlineStr">
        <is>
          <t>SW-DIFF-006</t>
        </is>
      </c>
      <c r="C41" t="inlineStr">
        <is>
          <t>Khung nhôm van OBD gắn cửa (SOBD)</t>
        </is>
      </c>
      <c r="D41" t="inlineStr">
        <is>
          <t>NHÔM_ĐỊNH_HÌNH</t>
        </is>
      </c>
      <c r="E41" t="inlineStr">
        <is>
          <t>MAT-ALU-KHUNG-OBD</t>
        </is>
      </c>
      <c r="F41" t="inlineStr">
        <is>
          <t>kg</t>
        </is>
      </c>
      <c r="G41" s="20" t="n">
        <v>0.5211121945890383</v>
      </c>
      <c r="H41" s="16">
        <f>'00_TONG_HOP_BAO_GIA'!G7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Khung OBD 950x950mm</t>
        </is>
      </c>
    </row>
    <row r="42">
      <c r="A42" t="inlineStr">
        <is>
          <t>SW-DIFF-006-OBD-BLADE</t>
        </is>
      </c>
      <c r="B42" t="inlineStr">
        <is>
          <t>SW-DIFF-006</t>
        </is>
      </c>
      <c r="C42" t="inlineStr">
        <is>
          <t>Nan nhôm &amp; thanh truyền van OBD (SOBD)</t>
        </is>
      </c>
      <c r="D42" t="inlineStr">
        <is>
          <t>NHÔM_ĐỊNH_HÌNH</t>
        </is>
      </c>
      <c r="E42" t="inlineStr">
        <is>
          <t>MAT-ALU-NAN-OBD</t>
        </is>
      </c>
      <c r="F42" t="inlineStr">
        <is>
          <t>kg</t>
        </is>
      </c>
      <c r="G42" s="20" t="n">
        <v>1.958293452767352</v>
      </c>
      <c r="H42" s="16">
        <f>'00_TONG_HOP_BAO_GIA'!G7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Nan OBD đối xứng &amp; thanh liên kết</t>
        </is>
      </c>
    </row>
    <row r="43">
      <c r="A43" t="inlineStr">
        <is>
          <t>SW-DIFF-006-OBD-ACC</t>
        </is>
      </c>
      <c r="B43" t="inlineStr">
        <is>
          <t>SW-DIFF-006</t>
        </is>
      </c>
      <c r="C43" t="inlineStr">
        <is>
          <t>Bánh răng nhựa &amp; phụ kiện van OBD</t>
        </is>
      </c>
      <c r="D43" t="inlineStr">
        <is>
          <t>PHỤ_KIỆN_CỬA</t>
        </is>
      </c>
      <c r="E43" t="inlineStr">
        <is>
          <t>MAT-DOOR-ACCESSORY</t>
        </is>
      </c>
      <c r="F43" t="inlineStr">
        <is>
          <t>Bộ</t>
        </is>
      </c>
      <c r="G43" s="20" t="n">
        <v>1.953998949581458</v>
      </c>
      <c r="H43" s="16">
        <f>'00_TONG_HOP_BAO_GIA'!G7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Cơ cấu bánh răng đóng mở OBD</t>
        </is>
      </c>
    </row>
    <row r="44">
      <c r="A44" t="inlineStr">
        <is>
          <t>SW-DIFF-007-FRAME</t>
        </is>
      </c>
      <c r="B44" t="inlineStr">
        <is>
          <t>SW-DIFF-007</t>
        </is>
      </c>
      <c r="C44" t="inlineStr">
        <is>
          <t>Khung nhôm định hình (1 lớp BD)</t>
        </is>
      </c>
      <c r="D44" t="inlineStr">
        <is>
          <t>NHÔM_ĐỊNH_HÌNH</t>
        </is>
      </c>
      <c r="E44" t="inlineStr">
        <is>
          <t>MAT-ALU-KHUNG-BD</t>
        </is>
      </c>
      <c r="F44" t="inlineStr">
        <is>
          <t>kg</t>
        </is>
      </c>
      <c r="G44" s="20" t="n">
        <v>0.1522746013870727</v>
      </c>
      <c r="H44" s="16">
        <f>'00_TONG_HOP_BAO_GIA'!G8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Khung bao 200x200mm (cổ 150x150mm)</t>
        </is>
      </c>
    </row>
    <row r="45">
      <c r="A45" t="inlineStr">
        <is>
          <t>SW-DIFF-007-BLADE</t>
        </is>
      </c>
      <c r="B45" t="inlineStr">
        <is>
          <t>SW-DIFF-007</t>
        </is>
      </c>
      <c r="C45" t="inlineStr">
        <is>
          <t>Nan nhôm bầu dục (7 nan)</t>
        </is>
      </c>
      <c r="D45" t="inlineStr">
        <is>
          <t>NHÔM_ĐỊNH_HÌNH</t>
        </is>
      </c>
      <c r="E45" t="inlineStr">
        <is>
          <t>MAT-ALU-NAN-BD</t>
        </is>
      </c>
      <c r="F45" t="inlineStr">
        <is>
          <t>kg</t>
        </is>
      </c>
      <c r="G45" s="20" t="n">
        <v>0.0573856635177768</v>
      </c>
      <c r="H45" s="16">
        <f>'00_TONG_HOP_BAO_GIA'!G8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Nan bầu dục @ 0.058kg/m</t>
        </is>
      </c>
    </row>
    <row r="46">
      <c r="A46" t="inlineStr">
        <is>
          <t>SW-DIFF-007-ACCESSORY</t>
        </is>
      </c>
      <c r="B46" t="inlineStr">
        <is>
          <t>SW-DIFF-007</t>
        </is>
      </c>
      <c r="C46" t="inlineStr">
        <is>
          <t>Phụ kiện lắp ghép / Ke góc cửa gió</t>
        </is>
      </c>
      <c r="D46" t="inlineStr">
        <is>
          <t>PHỤ_KIỆN_CỬA</t>
        </is>
      </c>
      <c r="E46" t="inlineStr">
        <is>
          <t>MAT-DOOR-ACCESSORY</t>
        </is>
      </c>
      <c r="F46" t="inlineStr">
        <is>
          <t>Bộ</t>
        </is>
      </c>
      <c r="G46" s="20" t="n">
        <v>0.0313972136028296</v>
      </c>
      <c r="H46" s="16">
        <f>'00_TONG_HOP_BAO_GIA'!G8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4 ke góc chìm và vít ghép khung</t>
        </is>
      </c>
    </row>
    <row r="47">
      <c r="A47" t="inlineStr">
        <is>
          <t>SW-DIFF-007-PAINT</t>
        </is>
      </c>
      <c r="B47" t="inlineStr">
        <is>
          <t>SW-DIFF-007</t>
        </is>
      </c>
      <c r="C47" t="inlineStr">
        <is>
          <t>Sơn tĩnh điện tiêu chuẩn Polyester</t>
        </is>
      </c>
      <c r="D47" t="inlineStr">
        <is>
          <t>SƠN_TĨNH_ĐIỆN</t>
        </is>
      </c>
      <c r="E47" t="inlineStr">
        <is>
          <t>MAT-PAINT-POWDER</t>
        </is>
      </c>
      <c r="F47" t="inlineStr">
        <is>
          <t>m2</t>
        </is>
      </c>
      <c r="G47" s="20" t="n">
        <v>0.04324900213256998</v>
      </c>
      <c r="H47" s="16">
        <f>'00_TONG_HOP_BAO_GIA'!G8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Sơn tĩnh điện hoàn thiện</t>
        </is>
      </c>
    </row>
    <row r="48">
      <c r="A48" t="inlineStr">
        <is>
          <t>SW-DIFF-007-OBD-FRAME</t>
        </is>
      </c>
      <c r="B48" t="inlineStr">
        <is>
          <t>SW-DIFF-007</t>
        </is>
      </c>
      <c r="C48" t="inlineStr">
        <is>
          <t>Khung nhôm van OBD gắn cửa (SOBD)</t>
        </is>
      </c>
      <c r="D48" t="inlineStr">
        <is>
          <t>NHÔM_ĐỊNH_HÌNH</t>
        </is>
      </c>
      <c r="E48" t="inlineStr">
        <is>
          <t>MAT-ALU-KHUNG-OBD</t>
        </is>
      </c>
      <c r="F48" t="inlineStr">
        <is>
          <t>kg</t>
        </is>
      </c>
      <c r="G48" s="20" t="n">
        <v>0.08230553030583942</v>
      </c>
      <c r="H48" s="16">
        <f>'00_TONG_HOP_BAO_GIA'!G8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Khung OBD 150x150mm</t>
        </is>
      </c>
    </row>
    <row r="49">
      <c r="A49" t="inlineStr">
        <is>
          <t>SW-DIFF-007-OBD-BLADE</t>
        </is>
      </c>
      <c r="B49" t="inlineStr">
        <is>
          <t>SW-DIFF-007</t>
        </is>
      </c>
      <c r="C49" t="inlineStr">
        <is>
          <t>Nan nhôm &amp; thanh truyền van OBD (SOBD)</t>
        </is>
      </c>
      <c r="D49" t="inlineStr">
        <is>
          <t>NHÔM_ĐỊNH_HÌNH</t>
        </is>
      </c>
      <c r="E49" t="inlineStr">
        <is>
          <t>MAT-ALU-NAN-OBD</t>
        </is>
      </c>
      <c r="F49" t="inlineStr">
        <is>
          <t>kg</t>
        </is>
      </c>
      <c r="G49" s="20" t="n">
        <v>0.04883635105172434</v>
      </c>
      <c r="H49" s="16">
        <f>'00_TONG_HOP_BAO_GIA'!G8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Nan OBD đối xứng &amp; thanh liên kết</t>
        </is>
      </c>
    </row>
    <row r="50">
      <c r="A50" t="inlineStr">
        <is>
          <t>SW-DIFF-007-OBD-ACC</t>
        </is>
      </c>
      <c r="B50" t="inlineStr">
        <is>
          <t>SW-DIFF-007</t>
        </is>
      </c>
      <c r="C50" t="inlineStr">
        <is>
          <t>Bánh răng nhựa &amp; phụ kiện van OBD</t>
        </is>
      </c>
      <c r="D50" t="inlineStr">
        <is>
          <t>PHỤ_KIỆN_CỬA</t>
        </is>
      </c>
      <c r="E50" t="inlineStr">
        <is>
          <t>MAT-DOOR-ACCESSORY</t>
        </is>
      </c>
      <c r="F50" t="inlineStr">
        <is>
          <t>Bộ</t>
        </is>
      </c>
      <c r="G50" s="20" t="n">
        <v>0.5111990265182811</v>
      </c>
      <c r="H50" s="16">
        <f>'00_TONG_HOP_BAO_GIA'!G8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Cơ cấu bánh răng đóng mở OBD</t>
        </is>
      </c>
    </row>
    <row r="51">
      <c r="A51" t="inlineStr">
        <is>
          <t>SW-DIFF-008-FRAME</t>
        </is>
      </c>
      <c r="B51" t="inlineStr">
        <is>
          <t>SW-DIFF-008</t>
        </is>
      </c>
      <c r="C51" t="inlineStr">
        <is>
          <t>Khung nhôm định hình (1 lớp BD)</t>
        </is>
      </c>
      <c r="D51" t="inlineStr">
        <is>
          <t>NHÔM_ĐỊNH_HÌNH</t>
        </is>
      </c>
      <c r="E51" t="inlineStr">
        <is>
          <t>MAT-ALU-KHUNG-BD</t>
        </is>
      </c>
      <c r="F51" t="inlineStr">
        <is>
          <t>kg</t>
        </is>
      </c>
      <c r="G51" s="20" t="n">
        <v>0.1849847596746003</v>
      </c>
      <c r="H51" s="16">
        <f>'00_TONG_HOP_BAO_GIA'!G9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Khung bao 300x200mm (cổ 250x150mm)</t>
        </is>
      </c>
    </row>
    <row r="52">
      <c r="A52" t="inlineStr">
        <is>
          <t>SW-DIFF-008-BLADE</t>
        </is>
      </c>
      <c r="B52" t="inlineStr">
        <is>
          <t>SW-DIFF-008</t>
        </is>
      </c>
      <c r="C52" t="inlineStr">
        <is>
          <t>Nan nhôm bầu dục (7 nan)</t>
        </is>
      </c>
      <c r="D52" t="inlineStr">
        <is>
          <t>NHÔM_ĐỊNH_HÌNH</t>
        </is>
      </c>
      <c r="E52" t="inlineStr">
        <is>
          <t>MAT-ALU-NAN-BD</t>
        </is>
      </c>
      <c r="F52" t="inlineStr">
        <is>
          <t>kg</t>
        </is>
      </c>
      <c r="G52" s="20" t="n">
        <v>0.09502000560208465</v>
      </c>
      <c r="H52" s="16">
        <f>'00_TONG_HOP_BAO_GIA'!G9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Nan bầu dục @ 0.058kg/m</t>
        </is>
      </c>
    </row>
    <row r="53">
      <c r="A53" t="inlineStr">
        <is>
          <t>SW-DIFF-008-ACCESSORY</t>
        </is>
      </c>
      <c r="B53" t="inlineStr">
        <is>
          <t>SW-DIFF-008</t>
        </is>
      </c>
      <c r="C53" t="inlineStr">
        <is>
          <t>Phụ kiện lắp ghép / Ke góc cửa gió</t>
        </is>
      </c>
      <c r="D53" t="inlineStr">
        <is>
          <t>PHỤ_KIỆN_CỬA</t>
        </is>
      </c>
      <c r="E53" t="inlineStr">
        <is>
          <t>MAT-DOOR-ACCESSORY</t>
        </is>
      </c>
      <c r="F53" t="inlineStr">
        <is>
          <t>Bộ</t>
        </is>
      </c>
      <c r="G53" s="20" t="n">
        <v>0.03119277425282226</v>
      </c>
      <c r="H53" s="16">
        <f>'00_TONG_HOP_BAO_GIA'!G9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4 ke góc chìm và vít ghép khung</t>
        </is>
      </c>
    </row>
    <row r="54">
      <c r="A54" t="inlineStr">
        <is>
          <t>SW-DIFF-008-PAINT</t>
        </is>
      </c>
      <c r="B54" t="inlineStr">
        <is>
          <t>SW-DIFF-008</t>
        </is>
      </c>
      <c r="C54" t="inlineStr">
        <is>
          <t>Sơn tĩnh điện tiêu chuẩn Polyester</t>
        </is>
      </c>
      <c r="D54" t="inlineStr">
        <is>
          <t>SƠN_TĨNH_ĐIỆN</t>
        </is>
      </c>
      <c r="E54" t="inlineStr">
        <is>
          <t>MAT-PAINT-POWDER</t>
        </is>
      </c>
      <c r="F54" t="inlineStr">
        <is>
          <t>m2</t>
        </is>
      </c>
      <c r="G54" s="20" t="n">
        <v>0.05903035934231575</v>
      </c>
      <c r="H54" s="16">
        <f>'00_TONG_HOP_BAO_GIA'!G9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Sơn tĩnh điện hoàn thiện</t>
        </is>
      </c>
    </row>
    <row r="55">
      <c r="A55" t="inlineStr">
        <is>
          <t>SW-DIFF-009-FRAME</t>
        </is>
      </c>
      <c r="B55" t="inlineStr">
        <is>
          <t>SW-DIFF-009</t>
        </is>
      </c>
      <c r="C55" t="inlineStr">
        <is>
          <t>Khung nhôm định hình (1 lớp BD)</t>
        </is>
      </c>
      <c r="D55" t="inlineStr">
        <is>
          <t>NHÔM_ĐỊNH_HÌNH</t>
        </is>
      </c>
      <c r="E55" t="inlineStr">
        <is>
          <t>MAT-ALU-KHUNG-BD</t>
        </is>
      </c>
      <c r="F55" t="inlineStr">
        <is>
          <t>kg</t>
        </is>
      </c>
      <c r="G55" s="20" t="n">
        <v>0.2400865034225944</v>
      </c>
      <c r="H55" s="16">
        <f>'00_TONG_HOP_BAO_GIA'!G10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Khung bao 400x250mm (cổ 350x200mm)</t>
        </is>
      </c>
    </row>
    <row r="56">
      <c r="A56" t="inlineStr">
        <is>
          <t>SW-DIFF-009-BLADE</t>
        </is>
      </c>
      <c r="B56" t="inlineStr">
        <is>
          <t>SW-DIFF-009</t>
        </is>
      </c>
      <c r="C56" t="inlineStr">
        <is>
          <t>Nan nhôm bầu dục (9 nan)</t>
        </is>
      </c>
      <c r="D56" t="inlineStr">
        <is>
          <t>NHÔM_ĐỊNH_HÌNH</t>
        </is>
      </c>
      <c r="E56" t="inlineStr">
        <is>
          <t>MAT-ALU-NAN-BD</t>
        </is>
      </c>
      <c r="F56" t="inlineStr">
        <is>
          <t>kg</t>
        </is>
      </c>
      <c r="G56" s="20" t="n">
        <v>0.1713429850597968</v>
      </c>
      <c r="H56" s="16">
        <f>'00_TONG_HOP_BAO_GIA'!G10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Nan bầu dục @ 0.058kg/m</t>
        </is>
      </c>
    </row>
    <row r="57">
      <c r="A57" t="inlineStr">
        <is>
          <t>SW-DIFF-009-ACCESSORY</t>
        </is>
      </c>
      <c r="B57" t="inlineStr">
        <is>
          <t>SW-DIFF-009</t>
        </is>
      </c>
      <c r="C57" t="inlineStr">
        <is>
          <t>Phụ kiện lắp ghép / Ke góc cửa gió</t>
        </is>
      </c>
      <c r="D57" t="inlineStr">
        <is>
          <t>PHỤ_KIỆN_CỬA</t>
        </is>
      </c>
      <c r="E57" t="inlineStr">
        <is>
          <t>MAT-DOOR-ACCESSORY</t>
        </is>
      </c>
      <c r="F57" t="inlineStr">
        <is>
          <t>Bộ</t>
        </is>
      </c>
      <c r="G57" s="20" t="n">
        <v>0.04017697580712477</v>
      </c>
      <c r="H57" s="16">
        <f>'00_TONG_HOP_BAO_GIA'!G10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4 ke góc chìm và vít ghép khung</t>
        </is>
      </c>
    </row>
    <row r="58">
      <c r="A58" t="inlineStr">
        <is>
          <t>SW-DIFF-009-PAINT</t>
        </is>
      </c>
      <c r="B58" t="inlineStr">
        <is>
          <t>SW-DIFF-009</t>
        </is>
      </c>
      <c r="C58" t="inlineStr">
        <is>
          <t>Sơn tĩnh điện tiêu chuẩn Polyester</t>
        </is>
      </c>
      <c r="D58" t="inlineStr">
        <is>
          <t>SƠN_TĨNH_ĐIỆN</t>
        </is>
      </c>
      <c r="E58" t="inlineStr">
        <is>
          <t>MAT-PAINT-POWDER</t>
        </is>
      </c>
      <c r="F58" t="inlineStr">
        <is>
          <t>m2</t>
        </is>
      </c>
      <c r="G58" s="20" t="n">
        <v>0.08753854022917067</v>
      </c>
      <c r="H58" s="16">
        <f>'00_TONG_HOP_BAO_GIA'!G10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Sơn tĩnh điện hoàn thiện</t>
        </is>
      </c>
    </row>
    <row r="59">
      <c r="A59" t="inlineStr">
        <is>
          <t>SW-DIFF-010-FRAME</t>
        </is>
      </c>
      <c r="B59" t="inlineStr">
        <is>
          <t>SW-DIFF-010</t>
        </is>
      </c>
      <c r="C59" t="inlineStr">
        <is>
          <t>Khung nhôm định hình (1 lớp BD)</t>
        </is>
      </c>
      <c r="D59" t="inlineStr">
        <is>
          <t>NHÔM_ĐỊNH_HÌNH</t>
        </is>
      </c>
      <c r="E59" t="inlineStr">
        <is>
          <t>MAT-ALU-KHUNG-BD</t>
        </is>
      </c>
      <c r="F59" t="inlineStr">
        <is>
          <t>kg</t>
        </is>
      </c>
      <c r="G59" s="20" t="n">
        <v>0.4032485638440642</v>
      </c>
      <c r="H59" s="16">
        <f>'00_TONG_HOP_BAO_GIA'!G11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Khung bao 700x400mm (cổ 650x350mm)</t>
        </is>
      </c>
    </row>
    <row r="60">
      <c r="A60" t="inlineStr">
        <is>
          <t>SW-DIFF-010-BLADE</t>
        </is>
      </c>
      <c r="B60" t="inlineStr">
        <is>
          <t>SW-DIFF-010</t>
        </is>
      </c>
      <c r="C60" t="inlineStr">
        <is>
          <t>Nan nhôm bầu dục (17 nan)</t>
        </is>
      </c>
      <c r="D60" t="inlineStr">
        <is>
          <t>NHÔM_ĐỊNH_HÌNH</t>
        </is>
      </c>
      <c r="E60" t="inlineStr">
        <is>
          <t>MAT-ALU-NAN-BD</t>
        </is>
      </c>
      <c r="F60" t="inlineStr">
        <is>
          <t>kg</t>
        </is>
      </c>
      <c r="G60" s="20" t="n">
        <v>0.5993552981624786</v>
      </c>
      <c r="H60" s="16">
        <f>'00_TONG_HOP_BAO_GIA'!G11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Nan bầu dục @ 0.058kg/m</t>
        </is>
      </c>
    </row>
    <row r="61">
      <c r="A61" t="inlineStr">
        <is>
          <t>SW-DIFF-010-ACCESSORY</t>
        </is>
      </c>
      <c r="B61" t="inlineStr">
        <is>
          <t>SW-DIFF-010</t>
        </is>
      </c>
      <c r="C61" t="inlineStr">
        <is>
          <t>Phụ kiện lắp ghép / Ke góc cửa gió</t>
        </is>
      </c>
      <c r="D61" t="inlineStr">
        <is>
          <t>PHỤ_KIỆN_CỬA</t>
        </is>
      </c>
      <c r="E61" t="inlineStr">
        <is>
          <t>MAT-DOOR-ACCESSORY</t>
        </is>
      </c>
      <c r="F61" t="inlineStr">
        <is>
          <t>Bộ</t>
        </is>
      </c>
      <c r="G61" s="20" t="n">
        <v>0.0756745681499575</v>
      </c>
      <c r="H61" s="16">
        <f>'00_TONG_HOP_BAO_GIA'!G11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4 ke góc chìm và vít ghép khung</t>
        </is>
      </c>
    </row>
    <row r="62">
      <c r="A62" t="inlineStr">
        <is>
          <t>SW-DIFF-010-PAINT</t>
        </is>
      </c>
      <c r="B62" t="inlineStr">
        <is>
          <t>SW-DIFF-010</t>
        </is>
      </c>
      <c r="C62" t="inlineStr">
        <is>
          <t>Sơn tĩnh điện tiêu chuẩn Polyester</t>
        </is>
      </c>
      <c r="D62" t="inlineStr">
        <is>
          <t>SƠN_TĨNH_ĐIỆN</t>
        </is>
      </c>
      <c r="E62" t="inlineStr">
        <is>
          <t>MAT-PAINT-POWDER</t>
        </is>
      </c>
      <c r="F62" t="inlineStr">
        <is>
          <t>m2</t>
        </is>
      </c>
      <c r="G62" s="20" t="n">
        <v>0.2172095770648884</v>
      </c>
      <c r="H62" s="16">
        <f>'00_TONG_HOP_BAO_GIA'!G11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Sơn tĩnh điện hoàn thiện</t>
        </is>
      </c>
    </row>
    <row r="63">
      <c r="A63" t="inlineStr">
        <is>
          <t>SW-DIFF-010-OBD-FRAME</t>
        </is>
      </c>
      <c r="B63" t="inlineStr">
        <is>
          <t>SW-DIFF-010</t>
        </is>
      </c>
      <c r="C63" t="inlineStr">
        <is>
          <t>Khung nhôm van OBD gắn cửa (SOBD)</t>
        </is>
      </c>
      <c r="D63" t="inlineStr">
        <is>
          <t>NHÔM_ĐỊNH_HÌNH</t>
        </is>
      </c>
      <c r="E63" t="inlineStr">
        <is>
          <t>MAT-ALU-KHUNG-OBD</t>
        </is>
      </c>
      <c r="F63" t="inlineStr">
        <is>
          <t>kg</t>
        </is>
      </c>
      <c r="G63" s="20" t="n">
        <v>0.2750267129992985</v>
      </c>
      <c r="H63" s="16">
        <f>'00_TONG_HOP_BAO_GIA'!G11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Khung OBD 650x350mm</t>
        </is>
      </c>
    </row>
    <row r="64">
      <c r="A64" t="inlineStr">
        <is>
          <t>SW-DIFF-010-OBD-BLADE</t>
        </is>
      </c>
      <c r="B64" t="inlineStr">
        <is>
          <t>SW-DIFF-010</t>
        </is>
      </c>
      <c r="C64" t="inlineStr">
        <is>
          <t>Nan nhôm &amp; thanh truyền van OBD (SOBD)</t>
        </is>
      </c>
      <c r="D64" t="inlineStr">
        <is>
          <t>NHÔM_ĐỊNH_HÌNH</t>
        </is>
      </c>
      <c r="E64" t="inlineStr">
        <is>
          <t>MAT-ALU-NAN-OBD</t>
        </is>
      </c>
      <c r="F64" t="inlineStr">
        <is>
          <t>kg</t>
        </is>
      </c>
      <c r="G64" s="20" t="n">
        <v>0.495004566513769</v>
      </c>
      <c r="H64" s="16">
        <f>'00_TONG_HOP_BAO_GIA'!G11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Nan OBD đối xứng &amp; thanh liên kết</t>
        </is>
      </c>
    </row>
    <row r="65">
      <c r="A65" t="inlineStr">
        <is>
          <t>SW-DIFF-010-OBD-ACC</t>
        </is>
      </c>
      <c r="B65" t="inlineStr">
        <is>
          <t>SW-DIFF-010</t>
        </is>
      </c>
      <c r="C65" t="inlineStr">
        <is>
          <t>Bánh răng nhựa &amp; phụ kiện van OBD</t>
        </is>
      </c>
      <c r="D65" t="inlineStr">
        <is>
          <t>PHỤ_KIỆN_CỬA</t>
        </is>
      </c>
      <c r="E65" t="inlineStr">
        <is>
          <t>MAT-DOOR-ACCESSORY</t>
        </is>
      </c>
      <c r="F65" t="inlineStr">
        <is>
          <t>Bộ</t>
        </is>
      </c>
      <c r="G65" s="20" t="n">
        <v>1.416791916335884</v>
      </c>
      <c r="H65" s="16">
        <f>'00_TONG_HOP_BAO_GIA'!G11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Cơ cấu bánh răng đóng mở OBD</t>
        </is>
      </c>
    </row>
    <row r="66">
      <c r="A66" t="inlineStr">
        <is>
          <t>SW-DIFF-011-FRAME</t>
        </is>
      </c>
      <c r="B66" t="inlineStr">
        <is>
          <t>SW-DIFF-011</t>
        </is>
      </c>
      <c r="C66" t="inlineStr">
        <is>
          <t>Khung nhôm định hình Louver (SWL)</t>
        </is>
      </c>
      <c r="D66" t="inlineStr">
        <is>
          <t>NHÔM_ĐỊNH_HÌNH</t>
        </is>
      </c>
      <c r="E66" t="inlineStr">
        <is>
          <t>MAT-ALU-KHUNG-Z-2-LOP</t>
        </is>
      </c>
      <c r="F66" t="inlineStr">
        <is>
          <t>kg</t>
        </is>
      </c>
      <c r="G66" s="20" t="n">
        <v>0.1866875852418899</v>
      </c>
      <c r="H66" s="16">
        <f>'00_TONG_HOP_BAO_GIA'!G12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Khung Louver phủ bì 200x200mm</t>
        </is>
      </c>
    </row>
    <row r="67">
      <c r="A67" t="inlineStr">
        <is>
          <t>SW-DIFF-011-BLADE</t>
        </is>
      </c>
      <c r="B67" t="inlineStr">
        <is>
          <t>SW-DIFF-011</t>
        </is>
      </c>
      <c r="C67" t="inlineStr">
        <is>
          <t>Nan Z Louver &amp; thanh tăng cứng (3 nan)</t>
        </is>
      </c>
      <c r="D67" t="inlineStr">
        <is>
          <t>NHÔM_ĐỊNH_HÌNH</t>
        </is>
      </c>
      <c r="E67" t="inlineStr">
        <is>
          <t>MAT-ALU-NAN-Z-DAY</t>
        </is>
      </c>
      <c r="F67" t="inlineStr">
        <is>
          <t>kg</t>
        </is>
      </c>
      <c r="G67" s="20" t="n">
        <v>0.1298794577062796</v>
      </c>
      <c r="H67" s="16">
        <f>'00_TONG_HOP_BAO_GIA'!G12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3 nan Z dày @ 0.217kg/m + thanh giằng</t>
        </is>
      </c>
    </row>
    <row r="68">
      <c r="A68" t="inlineStr">
        <is>
          <t>SW-DIFF-011-ACCESSORY</t>
        </is>
      </c>
      <c r="B68" t="inlineStr">
        <is>
          <t>SW-DIFF-011</t>
        </is>
      </c>
      <c r="C68" t="inlineStr">
        <is>
          <t>Phụ kiện lắp ghép / Ke góc cửa gió</t>
        </is>
      </c>
      <c r="D68" t="inlineStr">
        <is>
          <t>PHỤ_KIỆN_CỬA</t>
        </is>
      </c>
      <c r="E68" t="inlineStr">
        <is>
          <t>MAT-DOOR-ACCESSORY</t>
        </is>
      </c>
      <c r="F68" t="inlineStr">
        <is>
          <t>Bộ</t>
        </is>
      </c>
      <c r="G68" s="20" t="n">
        <v>0.02669101639221253</v>
      </c>
      <c r="H68" s="16">
        <f>'00_TONG_HOP_BAO_GIA'!G12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Ke góc và vít ghép khung Louver</t>
        </is>
      </c>
    </row>
    <row r="69">
      <c r="A69" t="inlineStr">
        <is>
          <t>SW-DIFF-011-PAINT</t>
        </is>
      </c>
      <c r="B69" t="inlineStr">
        <is>
          <t>SW-DIFF-011</t>
        </is>
      </c>
      <c r="C69" t="inlineStr">
        <is>
          <t>Sơn tĩnh điện tiêu chuẩn Polyester</t>
        </is>
      </c>
      <c r="D69" t="inlineStr">
        <is>
          <t>SƠN_TĨNH_ĐIỆN</t>
        </is>
      </c>
      <c r="E69" t="inlineStr">
        <is>
          <t>MAT-PAINT-POWDER</t>
        </is>
      </c>
      <c r="F69" t="inlineStr">
        <is>
          <t>m2</t>
        </is>
      </c>
      <c r="G69" s="20" t="n">
        <v>0.05709574753578076</v>
      </c>
      <c r="H69" s="16">
        <f>'00_TONG_HOP_BAO_GIA'!G12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Sơn tĩnh điện khung và nan Louver</t>
        </is>
      </c>
    </row>
    <row r="70">
      <c r="A70" t="inlineStr">
        <is>
          <t>SW-DIFF-012-FRAME</t>
        </is>
      </c>
      <c r="B70" t="inlineStr">
        <is>
          <t>SW-DIFF-012</t>
        </is>
      </c>
      <c r="C70" t="inlineStr">
        <is>
          <t>Khung nhôm định hình Louver (SWL)</t>
        </is>
      </c>
      <c r="D70" t="inlineStr">
        <is>
          <t>NHÔM_ĐỊNH_HÌNH</t>
        </is>
      </c>
      <c r="E70" t="inlineStr">
        <is>
          <t>MAT-ALU-KHUNG-Z-2-LOP</t>
        </is>
      </c>
      <c r="F70" t="inlineStr">
        <is>
          <t>kg</t>
        </is>
      </c>
      <c r="G70" s="20" t="n">
        <v>0.2344121080261447</v>
      </c>
      <c r="H70" s="16">
        <f>'00_TONG_HOP_BAO_GIA'!G13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Khung Louver phủ bì 300x200mm</t>
        </is>
      </c>
    </row>
    <row r="71">
      <c r="A71" t="inlineStr">
        <is>
          <t>SW-DIFF-012-BLADE</t>
        </is>
      </c>
      <c r="B71" t="inlineStr">
        <is>
          <t>SW-DIFF-012</t>
        </is>
      </c>
      <c r="C71" t="inlineStr">
        <is>
          <t>Nan Z Louver &amp; thanh tăng cứng (3 nan)</t>
        </is>
      </c>
      <c r="D71" t="inlineStr">
        <is>
          <t>NHÔM_ĐỊNH_HÌNH</t>
        </is>
      </c>
      <c r="E71" t="inlineStr">
        <is>
          <t>MAT-ALU-NAN-Z-DAY</t>
        </is>
      </c>
      <c r="F71" t="inlineStr">
        <is>
          <t>kg</t>
        </is>
      </c>
      <c r="G71" s="20" t="n">
        <v>0.1976909866102429</v>
      </c>
      <c r="H71" s="16">
        <f>'00_TONG_HOP_BAO_GIA'!G13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3 nan Z dày @ 0.217kg/m + thanh giằng</t>
        </is>
      </c>
    </row>
    <row r="72">
      <c r="A72" t="inlineStr">
        <is>
          <t>SW-DIFF-012-ACCESSORY</t>
        </is>
      </c>
      <c r="B72" t="inlineStr">
        <is>
          <t>SW-DIFF-012</t>
        </is>
      </c>
      <c r="C72" t="inlineStr">
        <is>
          <t>Phụ kiện lắp ghép / Ke góc cửa gió</t>
        </is>
      </c>
      <c r="D72" t="inlineStr">
        <is>
          <t>PHỤ_KIỆN_CỬA</t>
        </is>
      </c>
      <c r="E72" t="inlineStr">
        <is>
          <t>MAT-DOOR-ACCESSORY</t>
        </is>
      </c>
      <c r="F72" t="inlineStr">
        <is>
          <t>Bộ</t>
        </is>
      </c>
      <c r="G72" s="20" t="n">
        <v>0.02681141291640646</v>
      </c>
      <c r="H72" s="16">
        <f>'00_TONG_HOP_BAO_GIA'!G13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Ke góc và vít ghép khung Louver</t>
        </is>
      </c>
    </row>
    <row r="73">
      <c r="A73" t="inlineStr">
        <is>
          <t>SW-DIFF-012-PAINT</t>
        </is>
      </c>
      <c r="B73" t="inlineStr">
        <is>
          <t>SW-DIFF-012</t>
        </is>
      </c>
      <c r="C73" t="inlineStr">
        <is>
          <t>Sơn tĩnh điện tiêu chuẩn Polyester</t>
        </is>
      </c>
      <c r="D73" t="inlineStr">
        <is>
          <t>SƠN_TĨNH_ĐIỆN</t>
        </is>
      </c>
      <c r="E73" t="inlineStr">
        <is>
          <t>MAT-PAINT-POWDER</t>
        </is>
      </c>
      <c r="F73" t="inlineStr">
        <is>
          <t>m2</t>
        </is>
      </c>
      <c r="G73" s="20" t="n">
        <v>0.08058985008693029</v>
      </c>
      <c r="H73" s="16">
        <f>'00_TONG_HOP_BAO_GIA'!G13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Sơn tĩnh điện khung và nan Louver</t>
        </is>
      </c>
    </row>
    <row r="74">
      <c r="A74" t="inlineStr">
        <is>
          <t>SW-DIFF-013-FRAME</t>
        </is>
      </c>
      <c r="B74" t="inlineStr">
        <is>
          <t>SW-DIFF-013</t>
        </is>
      </c>
      <c r="C74" t="inlineStr">
        <is>
          <t>Khung nhôm định hình Louver (SWL)</t>
        </is>
      </c>
      <c r="D74" t="inlineStr">
        <is>
          <t>NHÔM_ĐỊNH_HÌNH</t>
        </is>
      </c>
      <c r="E74" t="inlineStr">
        <is>
          <t>MAT-ALU-KHUNG-Z-2-LOP</t>
        </is>
      </c>
      <c r="F74" t="inlineStr">
        <is>
          <t>kg</t>
        </is>
      </c>
      <c r="G74" s="20" t="n">
        <v>0.4193547879170252</v>
      </c>
      <c r="H74" s="16">
        <f>'00_TONG_HOP_BAO_GIA'!G14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Khung Louver phủ bì 500x400mm</t>
        </is>
      </c>
    </row>
    <row r="75">
      <c r="A75" t="inlineStr">
        <is>
          <t>SW-DIFF-013-BLADE</t>
        </is>
      </c>
      <c r="B75" t="inlineStr">
        <is>
          <t>SW-DIFF-013</t>
        </is>
      </c>
      <c r="C75" t="inlineStr">
        <is>
          <t>Nan Z Louver &amp; thanh tăng cứng (8 nan)</t>
        </is>
      </c>
      <c r="D75" t="inlineStr">
        <is>
          <t>NHÔM_ĐỊNH_HÌNH</t>
        </is>
      </c>
      <c r="E75" t="inlineStr">
        <is>
          <t>MAT-ALU-NAN-Z-DAY</t>
        </is>
      </c>
      <c r="F75" t="inlineStr">
        <is>
          <t>kg</t>
        </is>
      </c>
      <c r="G75" s="20" t="n">
        <v>0.8561980868132626</v>
      </c>
      <c r="H75" s="16">
        <f>'00_TONG_HOP_BAO_GIA'!G14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8 nan Z dày @ 0.217kg/m + thanh giằng</t>
        </is>
      </c>
    </row>
    <row r="76">
      <c r="A76" t="inlineStr">
        <is>
          <t>SW-DIFF-013-ACCESSORY</t>
        </is>
      </c>
      <c r="B76" t="inlineStr">
        <is>
          <t>SW-DIFF-013</t>
        </is>
      </c>
      <c r="C76" t="inlineStr">
        <is>
          <t>Phụ kiện lắp ghép / Ke góc cửa gió</t>
        </is>
      </c>
      <c r="D76" t="inlineStr">
        <is>
          <t>PHỤ_KIỆN_CỬA</t>
        </is>
      </c>
      <c r="E76" t="inlineStr">
        <is>
          <t>MAT-DOOR-ACCESSORY</t>
        </is>
      </c>
      <c r="F76" t="inlineStr">
        <is>
          <t>Bộ</t>
        </is>
      </c>
      <c r="G76" s="20" t="n">
        <v>0.07105873859244567</v>
      </c>
      <c r="H76" s="16">
        <f>'00_TONG_HOP_BAO_GIA'!G14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Ke góc và vít ghép khung Louver</t>
        </is>
      </c>
    </row>
    <row r="77">
      <c r="A77" t="inlineStr">
        <is>
          <t>SW-DIFF-013-PAINT</t>
        </is>
      </c>
      <c r="B77" t="inlineStr">
        <is>
          <t>SW-DIFF-013</t>
        </is>
      </c>
      <c r="C77" t="inlineStr">
        <is>
          <t>Sơn tĩnh điện tiêu chuẩn Polyester</t>
        </is>
      </c>
      <c r="D77" t="inlineStr">
        <is>
          <t>SƠN_TĨNH_ĐIỆN</t>
        </is>
      </c>
      <c r="E77" t="inlineStr">
        <is>
          <t>MAT-PAINT-POWDER</t>
        </is>
      </c>
      <c r="F77" t="inlineStr">
        <is>
          <t>m2</t>
        </is>
      </c>
      <c r="G77" s="20" t="n">
        <v>0.24503561022155</v>
      </c>
      <c r="H77" s="16">
        <f>'00_TONG_HOP_BAO_GIA'!G14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Sơn tĩnh điện khung và nan Louver</t>
        </is>
      </c>
    </row>
    <row r="78">
      <c r="A78" t="inlineStr">
        <is>
          <t>SW-DIFF-013-MESH</t>
        </is>
      </c>
      <c r="B78" t="inlineStr">
        <is>
          <t>SW-DIFF-013</t>
        </is>
      </c>
      <c r="C78" t="inlineStr">
        <is>
          <t>Lưới chắn côn trùng Inox 304 (LCCT)</t>
        </is>
      </c>
      <c r="D78" t="inlineStr">
        <is>
          <t>PHỤ_KIỆN_CỬA</t>
        </is>
      </c>
      <c r="E78" t="inlineStr">
        <is>
          <t>MAT-MESH-INOX-304</t>
        </is>
      </c>
      <c r="F78" t="inlineStr">
        <is>
          <t>m2</t>
        </is>
      </c>
      <c r="G78" s="20" t="n">
        <v>0.1004394224733208</v>
      </c>
      <c r="H78" s="16">
        <f>'00_TONG_HOP_BAO_GIA'!G14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Lưới chắn côn trùng cổ 450x350mm</t>
        </is>
      </c>
    </row>
    <row r="79">
      <c r="A79" t="inlineStr">
        <is>
          <t>SW-DIFF-013-FILTER</t>
        </is>
      </c>
      <c r="B79" t="inlineStr">
        <is>
          <t>SW-DIFF-013</t>
        </is>
      </c>
      <c r="C79" t="inlineStr">
        <is>
          <t>Lưới lọc bụi sơ cấp G4 kèm khung nhôm</t>
        </is>
      </c>
      <c r="D79" t="inlineStr">
        <is>
          <t>PHỤ_KIỆN_CỬA</t>
        </is>
      </c>
      <c r="E79" t="inlineStr">
        <is>
          <t>MAT-FILTER-G4</t>
        </is>
      </c>
      <c r="F79" t="inlineStr">
        <is>
          <t>m2</t>
        </is>
      </c>
      <c r="G79" s="20" t="n">
        <v>0.1643714689265537</v>
      </c>
      <c r="H79" s="16">
        <f>'00_TONG_HOP_BAO_GIA'!G14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Phin lọc bụi cổ 450x350mm</t>
        </is>
      </c>
    </row>
    <row r="80">
      <c r="A80" t="inlineStr">
        <is>
          <t>SW-DIFF-014-FRAME</t>
        </is>
      </c>
      <c r="B80" t="inlineStr">
        <is>
          <t>SW-DIFF-014</t>
        </is>
      </c>
      <c r="C80" t="inlineStr">
        <is>
          <t>Khung nhôm định hình Louver (SWL)</t>
        </is>
      </c>
      <c r="D80" t="inlineStr">
        <is>
          <t>NHÔM_ĐỊNH_HÌNH</t>
        </is>
      </c>
      <c r="E80" t="inlineStr">
        <is>
          <t>MAT-ALU-KHUNG-Z-2-LOP</t>
        </is>
      </c>
      <c r="F80" t="inlineStr">
        <is>
          <t>kg</t>
        </is>
      </c>
      <c r="G80" s="20" t="n">
        <v>0.4665258317500089</v>
      </c>
      <c r="H80" s="16">
        <f>'00_TONG_HOP_BAO_GIA'!G15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Khung Louver phủ bì 600x400mm</t>
        </is>
      </c>
    </row>
    <row r="81">
      <c r="A81" t="inlineStr">
        <is>
          <t>SW-DIFF-014-BLADE</t>
        </is>
      </c>
      <c r="B81" t="inlineStr">
        <is>
          <t>SW-DIFF-014</t>
        </is>
      </c>
      <c r="C81" t="inlineStr">
        <is>
          <t>Nan Z Louver &amp; thanh tăng cứng (8 nan)</t>
        </is>
      </c>
      <c r="D81" t="inlineStr">
        <is>
          <t>NHÔM_ĐỊNH_HÌNH</t>
        </is>
      </c>
      <c r="E81" t="inlineStr">
        <is>
          <t>MAT-ALU-NAN-Z-DAY</t>
        </is>
      </c>
      <c r="F81" t="inlineStr">
        <is>
          <t>kg</t>
        </is>
      </c>
      <c r="G81" s="20" t="n">
        <v>1.035646242887509</v>
      </c>
      <c r="H81" s="16">
        <f>'00_TONG_HOP_BAO_GIA'!G15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8 nan Z dày @ 0.217kg/m + thanh giằng</t>
        </is>
      </c>
    </row>
    <row r="82">
      <c r="A82" t="inlineStr">
        <is>
          <t>SW-DIFF-014-ACCESSORY</t>
        </is>
      </c>
      <c r="B82" t="inlineStr">
        <is>
          <t>SW-DIFF-014</t>
        </is>
      </c>
      <c r="C82" t="inlineStr">
        <is>
          <t>Phụ kiện lắp ghép / Ke góc cửa gió</t>
        </is>
      </c>
      <c r="D82" t="inlineStr">
        <is>
          <t>PHỤ_KIỆN_CỬA</t>
        </is>
      </c>
      <c r="E82" t="inlineStr">
        <is>
          <t>MAT-DOOR-ACCESSORY</t>
        </is>
      </c>
      <c r="F82" t="inlineStr">
        <is>
          <t>Bộ</t>
        </is>
      </c>
      <c r="G82" s="20" t="n">
        <v>0.07114659060088242</v>
      </c>
      <c r="H82" s="16">
        <f>'00_TONG_HOP_BAO_GIA'!G15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Ke góc và vít ghép khung Louver</t>
        </is>
      </c>
    </row>
    <row r="83">
      <c r="A83" t="inlineStr">
        <is>
          <t>SW-DIFF-014-PAINT</t>
        </is>
      </c>
      <c r="B83" t="inlineStr">
        <is>
          <t>SW-DIFF-014</t>
        </is>
      </c>
      <c r="C83" t="inlineStr">
        <is>
          <t>Sơn tĩnh điện tiêu chuẩn Polyester</t>
        </is>
      </c>
      <c r="D83" t="inlineStr">
        <is>
          <t>SƠN_TĨNH_ĐIỆN</t>
        </is>
      </c>
      <c r="E83" t="inlineStr">
        <is>
          <t>MAT-PAINT-POWDER</t>
        </is>
      </c>
      <c r="F83" t="inlineStr">
        <is>
          <t>m2</t>
        </is>
      </c>
      <c r="G83" s="20" t="n">
        <v>0.2911653294873289</v>
      </c>
      <c r="H83" s="16">
        <f>'00_TONG_HOP_BAO_GIA'!G15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Sơn tĩnh điện khung và nan Louver</t>
        </is>
      </c>
    </row>
    <row r="84">
      <c r="A84" t="inlineStr">
        <is>
          <t>SW-DIFF-014-MESH</t>
        </is>
      </c>
      <c r="B84" t="inlineStr">
        <is>
          <t>SW-DIFF-014</t>
        </is>
      </c>
      <c r="C84" t="inlineStr">
        <is>
          <t>Lưới chắn côn trùng Inox 304 (LCCT)</t>
        </is>
      </c>
      <c r="D84" t="inlineStr">
        <is>
          <t>PHỤ_KIỆN_CỬA</t>
        </is>
      </c>
      <c r="E84" t="inlineStr">
        <is>
          <t>MAT-MESH-INOX-304</t>
        </is>
      </c>
      <c r="F84" t="inlineStr">
        <is>
          <t>m2</t>
        </is>
      </c>
      <c r="G84" s="20" t="n">
        <v>0.1213643021552626</v>
      </c>
      <c r="H84" s="16">
        <f>'00_TONG_HOP_BAO_GIA'!G15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Lưới chắn côn trùng cổ 550x350mm</t>
        </is>
      </c>
    </row>
    <row r="85">
      <c r="A85" t="inlineStr">
        <is>
          <t>SW-DIFF-014-FILTER</t>
        </is>
      </c>
      <c r="B85" t="inlineStr">
        <is>
          <t>SW-DIFF-014</t>
        </is>
      </c>
      <c r="C85" t="inlineStr">
        <is>
          <t>Lưới lọc bụi sơ cấp G4 kèm khung nhôm</t>
        </is>
      </c>
      <c r="D85" t="inlineStr">
        <is>
          <t>PHỤ_KIỆN_CỬA</t>
        </is>
      </c>
      <c r="E85" t="inlineStr">
        <is>
          <t>MAT-FILTER-G4</t>
        </is>
      </c>
      <c r="F85" t="inlineStr">
        <is>
          <t>m2</t>
        </is>
      </c>
      <c r="G85" s="20" t="n">
        <v>0.2008984620213434</v>
      </c>
      <c r="H85" s="16">
        <f>'00_TONG_HOP_BAO_GIA'!G15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Phin lọc bụi cổ 550x350mm</t>
        </is>
      </c>
    </row>
    <row r="86">
      <c r="A86" t="inlineStr">
        <is>
          <t>SW-DIFF-015-FRAME</t>
        </is>
      </c>
      <c r="B86" t="inlineStr">
        <is>
          <t>SW-DIFF-015</t>
        </is>
      </c>
      <c r="C86" t="inlineStr">
        <is>
          <t>Khung nhôm định hình Louver (SWL)</t>
        </is>
      </c>
      <c r="D86" t="inlineStr">
        <is>
          <t>NHÔM_ĐỊNH_HÌNH</t>
        </is>
      </c>
      <c r="E86" t="inlineStr">
        <is>
          <t>MAT-ALU-KHUNG-Z-2-LOP</t>
        </is>
      </c>
      <c r="F86" t="inlineStr">
        <is>
          <t>kg</t>
        </is>
      </c>
      <c r="G86" s="20" t="n">
        <v>0.5594609803974616</v>
      </c>
      <c r="H86" s="16">
        <f>'00_TONG_HOP_BAO_GIA'!G16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Khung Louver phủ bì 800x400mm</t>
        </is>
      </c>
    </row>
    <row r="87">
      <c r="A87" t="inlineStr">
        <is>
          <t>SW-DIFF-015-BLADE</t>
        </is>
      </c>
      <c r="B87" t="inlineStr">
        <is>
          <t>SW-DIFF-015</t>
        </is>
      </c>
      <c r="C87" t="inlineStr">
        <is>
          <t>Nan Z Louver &amp; thanh tăng cứng (8 nan)</t>
        </is>
      </c>
      <c r="D87" t="inlineStr">
        <is>
          <t>NHÔM_ĐỊNH_HÌNH</t>
        </is>
      </c>
      <c r="E87" t="inlineStr">
        <is>
          <t>MAT-ALU-NAN-Z-DAY</t>
        </is>
      </c>
      <c r="F87" t="inlineStr">
        <is>
          <t>kg</t>
        </is>
      </c>
      <c r="G87" s="20" t="n">
        <v>1.39150515212514</v>
      </c>
      <c r="H87" s="16">
        <f>'00_TONG_HOP_BAO_GIA'!G16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8 nan Z dày @ 0.217kg/m + thanh giằng</t>
        </is>
      </c>
    </row>
    <row r="88">
      <c r="A88" t="inlineStr">
        <is>
          <t>SW-DIFF-015-ACCESSORY</t>
        </is>
      </c>
      <c r="B88" t="inlineStr">
        <is>
          <t>SW-DIFF-015</t>
        </is>
      </c>
      <c r="C88" t="inlineStr">
        <is>
          <t>Phụ kiện lắp ghép / Ke góc cửa gió</t>
        </is>
      </c>
      <c r="D88" t="inlineStr">
        <is>
          <t>PHỤ_KIỆN_CỬA</t>
        </is>
      </c>
      <c r="E88" t="inlineStr">
        <is>
          <t>MAT-DOOR-ACCESSORY</t>
        </is>
      </c>
      <c r="F88" t="inlineStr">
        <is>
          <t>Bộ</t>
        </is>
      </c>
      <c r="G88" s="20" t="n">
        <v>0.07109956659169449</v>
      </c>
      <c r="H88" s="16">
        <f>'00_TONG_HOP_BAO_GIA'!G16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Ke góc và vít ghép khung Louver</t>
        </is>
      </c>
    </row>
    <row r="89">
      <c r="A89" t="inlineStr">
        <is>
          <t>SW-DIFF-015-PAINT</t>
        </is>
      </c>
      <c r="B89" t="inlineStr">
        <is>
          <t>SW-DIFF-015</t>
        </is>
      </c>
      <c r="C89" t="inlineStr">
        <is>
          <t>Sơn tĩnh điện tiêu chuẩn Polyester</t>
        </is>
      </c>
      <c r="D89" t="inlineStr">
        <is>
          <t>SƠN_TĨNH_ĐIỆN</t>
        </is>
      </c>
      <c r="E89" t="inlineStr">
        <is>
          <t>MAT-PAINT-POWDER</t>
        </is>
      </c>
      <c r="F89" t="inlineStr">
        <is>
          <t>m2</t>
        </is>
      </c>
      <c r="G89" s="20" t="n">
        <v>0.3825658561926752</v>
      </c>
      <c r="H89" s="16">
        <f>'00_TONG_HOP_BAO_GIA'!G16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Sơn tĩnh điện khung và nan Louver</t>
        </is>
      </c>
    </row>
    <row r="90">
      <c r="A90" t="inlineStr">
        <is>
          <t>SW-DIFF-015-MESH</t>
        </is>
      </c>
      <c r="B90" t="inlineStr">
        <is>
          <t>SW-DIFF-015</t>
        </is>
      </c>
      <c r="C90" t="inlineStr">
        <is>
          <t>Lưới chắn côn trùng Inox 304 (LCCT)</t>
        </is>
      </c>
      <c r="D90" t="inlineStr">
        <is>
          <t>PHỤ_KIỆN_CỬA</t>
        </is>
      </c>
      <c r="E90" t="inlineStr">
        <is>
          <t>MAT-MESH-INOX-304</t>
        </is>
      </c>
      <c r="F90" t="inlineStr">
        <is>
          <t>m2</t>
        </is>
      </c>
      <c r="G90" s="20" t="n">
        <v>0.1632140615191463</v>
      </c>
      <c r="H90" s="16">
        <f>'00_TONG_HOP_BAO_GIA'!G16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Lưới chắn côn trùng cổ 750x350mm</t>
        </is>
      </c>
    </row>
    <row r="91">
      <c r="A91" t="inlineStr">
        <is>
          <t>SW-DIFF-015-FILTER</t>
        </is>
      </c>
      <c r="B91" t="inlineStr">
        <is>
          <t>SW-DIFF-015</t>
        </is>
      </c>
      <c r="C91" t="inlineStr">
        <is>
          <t>Lưới lọc bụi sơ cấp G4 kèm khung nhôm</t>
        </is>
      </c>
      <c r="D91" t="inlineStr">
        <is>
          <t>PHỤ_KIỆN_CỬA</t>
        </is>
      </c>
      <c r="E91" t="inlineStr">
        <is>
          <t>MAT-FILTER-G4</t>
        </is>
      </c>
      <c r="F91" t="inlineStr">
        <is>
          <t>m2</t>
        </is>
      </c>
      <c r="G91" s="20" t="n">
        <v>0.2739524482109228</v>
      </c>
      <c r="H91" s="16">
        <f>'00_TONG_HOP_BAO_GIA'!G16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Phin lọc bụi cổ 750x350mm</t>
        </is>
      </c>
    </row>
    <row r="92">
      <c r="A92" t="inlineStr">
        <is>
          <t>SW-DIFF-016-FRAME</t>
        </is>
      </c>
      <c r="B92" t="inlineStr">
        <is>
          <t>SW-DIFF-016</t>
        </is>
      </c>
      <c r="C92" t="inlineStr">
        <is>
          <t>Khung nhôm định hình Louver (SWL)</t>
        </is>
      </c>
      <c r="D92" t="inlineStr">
        <is>
          <t>NHÔM_ĐỊNH_HÌNH</t>
        </is>
      </c>
      <c r="E92" t="inlineStr">
        <is>
          <t>MAT-ALU-KHUNG-Z-2-LOP</t>
        </is>
      </c>
      <c r="F92" t="inlineStr">
        <is>
          <t>kg</t>
        </is>
      </c>
      <c r="G92" s="20" t="n">
        <v>1.166161671300473</v>
      </c>
      <c r="H92" s="16">
        <f>'00_TONG_HOP_BAO_GIA'!G17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Khung Louver phủ bì 1700x800mm</t>
        </is>
      </c>
    </row>
    <row r="93">
      <c r="A93" t="inlineStr">
        <is>
          <t>SW-DIFF-016-BLADE</t>
        </is>
      </c>
      <c r="B93" t="inlineStr">
        <is>
          <t>SW-DIFF-016</t>
        </is>
      </c>
      <c r="C93" t="inlineStr">
        <is>
          <t>Nan Z Louver &amp; thanh tăng cứng (17 nan)</t>
        </is>
      </c>
      <c r="D93" t="inlineStr">
        <is>
          <t>NHÔM_ĐỊNH_HÌNH</t>
        </is>
      </c>
      <c r="E93" t="inlineStr">
        <is>
          <t>MAT-ALU-NAN-Z-DAY</t>
        </is>
      </c>
      <c r="F93" t="inlineStr">
        <is>
          <t>kg</t>
        </is>
      </c>
      <c r="G93" s="20" t="n">
        <v>6.360728659224772</v>
      </c>
      <c r="H93" s="16">
        <f>'00_TONG_HOP_BAO_GIA'!G17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17 nan Z dày @ 0.217kg/m + thanh giằng</t>
        </is>
      </c>
    </row>
    <row r="94">
      <c r="A94" t="inlineStr">
        <is>
          <t>SW-DIFF-016-ACCESSORY</t>
        </is>
      </c>
      <c r="B94" t="inlineStr">
        <is>
          <t>SW-DIFF-016</t>
        </is>
      </c>
      <c r="C94" t="inlineStr">
        <is>
          <t>Phụ kiện lắp ghép / Ke góc cửa gió</t>
        </is>
      </c>
      <c r="D94" t="inlineStr">
        <is>
          <t>PHỤ_KIỆN_CỬA</t>
        </is>
      </c>
      <c r="E94" t="inlineStr">
        <is>
          <t>MAT-DOOR-ACCESSORY</t>
        </is>
      </c>
      <c r="F94" t="inlineStr">
        <is>
          <t>Bộ</t>
        </is>
      </c>
      <c r="G94" s="20" t="n">
        <v>0.1511666839273277</v>
      </c>
      <c r="H94" s="16">
        <f>'00_TONG_HOP_BAO_GIA'!G17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Ke góc và vít ghép khung Louver</t>
        </is>
      </c>
    </row>
    <row r="95">
      <c r="A95" t="inlineStr">
        <is>
          <t>SW-DIFF-016-PAINT</t>
        </is>
      </c>
      <c r="B95" t="inlineStr">
        <is>
          <t>SW-DIFF-016</t>
        </is>
      </c>
      <c r="C95" t="inlineStr">
        <is>
          <t>Sơn tĩnh điện tiêu chuẩn Polyester</t>
        </is>
      </c>
      <c r="D95" t="inlineStr">
        <is>
          <t>SƠN_TĨNH_ĐIỆN</t>
        </is>
      </c>
      <c r="E95" t="inlineStr">
        <is>
          <t>MAT-PAINT-POWDER</t>
        </is>
      </c>
      <c r="F95" t="inlineStr">
        <is>
          <t>m2</t>
        </is>
      </c>
      <c r="G95" s="20" t="n">
        <v>1.503289380415906</v>
      </c>
      <c r="H95" s="16">
        <f>'00_TONG_HOP_BAO_GIA'!G17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Sơn tĩnh điện khung và nan Louver</t>
        </is>
      </c>
    </row>
    <row r="96">
      <c r="A96" t="inlineStr">
        <is>
          <t>SW-DIFF-016-MESH</t>
        </is>
      </c>
      <c r="B96" t="inlineStr">
        <is>
          <t>SW-DIFF-016</t>
        </is>
      </c>
      <c r="C96" t="inlineStr">
        <is>
          <t>Lưới chắn côn trùng Inox 304 (LCCT)</t>
        </is>
      </c>
      <c r="D96" t="inlineStr">
        <is>
          <t>PHỤ_KIỆN_CỬA</t>
        </is>
      </c>
      <c r="E96" t="inlineStr">
        <is>
          <t>MAT-MESH-INOX-304</t>
        </is>
      </c>
      <c r="F96" t="inlineStr">
        <is>
          <t>m2</t>
        </is>
      </c>
      <c r="G96" s="20" t="n">
        <v>0.7784055241682361</v>
      </c>
      <c r="H96" s="16">
        <f>'00_TONG_HOP_BAO_GIA'!G17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Lưới chắn côn trùng cổ 1650x750mm</t>
        </is>
      </c>
    </row>
    <row r="97">
      <c r="A97" t="inlineStr">
        <is>
          <t>SW-DIFF-016-FILTER</t>
        </is>
      </c>
      <c r="B97" t="inlineStr">
        <is>
          <t>SW-DIFF-016</t>
        </is>
      </c>
      <c r="C97" t="inlineStr">
        <is>
          <t>Lưới lọc bụi sơ cấp G4 kèm khung nhôm</t>
        </is>
      </c>
      <c r="D97" t="inlineStr">
        <is>
          <t>PHỤ_KIỆN_CỬA</t>
        </is>
      </c>
      <c r="E97" t="inlineStr">
        <is>
          <t>MAT-FILTER-G4</t>
        </is>
      </c>
      <c r="F97" t="inlineStr">
        <is>
          <t>m2</t>
        </is>
      </c>
      <c r="G97" s="20" t="n">
        <v>1.291490112994351</v>
      </c>
      <c r="H97" s="16">
        <f>'00_TONG_HOP_BAO_GIA'!G17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Phin lọc bụi cổ 1650x750mm</t>
        </is>
      </c>
    </row>
    <row r="98">
      <c r="A98" t="inlineStr">
        <is>
          <t>SW-DIFF-017-FRAME</t>
        </is>
      </c>
      <c r="B98" t="inlineStr">
        <is>
          <t>SW-DIFF-017</t>
        </is>
      </c>
      <c r="C98" t="inlineStr">
        <is>
          <t>Khung nhôm định hình Louver (SWL)</t>
        </is>
      </c>
      <c r="D98" t="inlineStr">
        <is>
          <t>NHÔM_ĐỊNH_HÌNH</t>
        </is>
      </c>
      <c r="E98" t="inlineStr">
        <is>
          <t>MAT-ALU-KHUNG-Z-2-LOP</t>
        </is>
      </c>
      <c r="F98" t="inlineStr">
        <is>
          <t>kg</t>
        </is>
      </c>
      <c r="G98" s="20" t="n">
        <v>0.8399216762710249</v>
      </c>
      <c r="H98" s="16">
        <f>'00_TONG_HOP_BAO_GIA'!G18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Khung Louver phủ bì 1200x600mm</t>
        </is>
      </c>
    </row>
    <row r="99">
      <c r="A99" t="inlineStr">
        <is>
          <t>SW-DIFF-017-BLADE</t>
        </is>
      </c>
      <c r="B99" t="inlineStr">
        <is>
          <t>SW-DIFF-017</t>
        </is>
      </c>
      <c r="C99" t="inlineStr">
        <is>
          <t>Nan Z Louver &amp; thanh tăng cứng (12 nan)</t>
        </is>
      </c>
      <c r="D99" t="inlineStr">
        <is>
          <t>NHÔM_ĐỊNH_HÌNH</t>
        </is>
      </c>
      <c r="E99" t="inlineStr">
        <is>
          <t>MAT-ALU-NAN-Z-DAY</t>
        </is>
      </c>
      <c r="F99" t="inlineStr">
        <is>
          <t>kg</t>
        </is>
      </c>
      <c r="G99" s="20" t="n">
        <v>3.159634875581662</v>
      </c>
      <c r="H99" s="16">
        <f>'00_TONG_HOP_BAO_GIA'!G18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12 nan Z dày @ 0.217kg/m + thanh giằng</t>
        </is>
      </c>
    </row>
    <row r="100">
      <c r="A100" t="inlineStr">
        <is>
          <t>SW-DIFF-017-ACCESSORY</t>
        </is>
      </c>
      <c r="B100" t="inlineStr">
        <is>
          <t>SW-DIFF-017</t>
        </is>
      </c>
      <c r="C100" t="inlineStr">
        <is>
          <t>Phụ kiện lắp ghép / Ke góc cửa gió</t>
        </is>
      </c>
      <c r="D100" t="inlineStr">
        <is>
          <t>PHỤ_KIỆN_CỬA</t>
        </is>
      </c>
      <c r="E100" t="inlineStr">
        <is>
          <t>MAT-DOOR-ACCESSORY</t>
        </is>
      </c>
      <c r="F100" t="inlineStr">
        <is>
          <t>Bộ</t>
        </is>
      </c>
      <c r="G100" s="20" t="n">
        <v>0.1067421486864258</v>
      </c>
      <c r="H100" s="16">
        <f>'00_TONG_HOP_BAO_GIA'!G18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Ke góc và vít ghép khung Louver</t>
        </is>
      </c>
    </row>
    <row r="101">
      <c r="A101" t="inlineStr">
        <is>
          <t>SW-DIFF-017-PAINT</t>
        </is>
      </c>
      <c r="B101" t="inlineStr">
        <is>
          <t>SW-DIFF-017</t>
        </is>
      </c>
      <c r="C101" t="inlineStr">
        <is>
          <t>Sơn tĩnh điện tiêu chuẩn Polyester</t>
        </is>
      </c>
      <c r="D101" t="inlineStr">
        <is>
          <t>SƠN_TĨNH_ĐIỆN</t>
        </is>
      </c>
      <c r="E101" t="inlineStr">
        <is>
          <t>MAT-PAINT-POWDER</t>
        </is>
      </c>
      <c r="F101" t="inlineStr">
        <is>
          <t>m2</t>
        </is>
      </c>
      <c r="G101" s="20" t="n">
        <v>0.7923532486492615</v>
      </c>
      <c r="H101" s="16">
        <f>'00_TONG_HOP_BAO_GIA'!G18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Sơn tĩnh điện khung và nan Louver</t>
        </is>
      </c>
    </row>
    <row r="102">
      <c r="A102" t="inlineStr">
        <is>
          <t>SW-DIFF-018-FRAME</t>
        </is>
      </c>
      <c r="B102" t="inlineStr">
        <is>
          <t>SW-DIFF-018</t>
        </is>
      </c>
      <c r="C102" t="inlineStr">
        <is>
          <t>Khung nhôm định hình Louver (SWL)</t>
        </is>
      </c>
      <c r="D102" t="inlineStr">
        <is>
          <t>NHÔM_ĐỊNH_HÌNH</t>
        </is>
      </c>
      <c r="E102" t="inlineStr">
        <is>
          <t>MAT-ALU-KHUNG-Z-2-LOP</t>
        </is>
      </c>
      <c r="F102" t="inlineStr">
        <is>
          <t>kg</t>
        </is>
      </c>
      <c r="G102" s="20" t="n">
        <v>1.166466120489014</v>
      </c>
      <c r="H102" s="16">
        <f>'00_TONG_HOP_BAO_GIA'!G19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Khung Louver phủ bì 1500x1000mm</t>
        </is>
      </c>
    </row>
    <row r="103">
      <c r="A103" t="inlineStr">
        <is>
          <t>SW-DIFF-018-BLADE</t>
        </is>
      </c>
      <c r="B103" t="inlineStr">
        <is>
          <t>SW-DIFF-018</t>
        </is>
      </c>
      <c r="C103" t="inlineStr">
        <is>
          <t>Nan Z Louver &amp; thanh tăng cứng (21 nan)</t>
        </is>
      </c>
      <c r="D103" t="inlineStr">
        <is>
          <t>NHÔM_ĐỊNH_HÌNH</t>
        </is>
      </c>
      <c r="E103" t="inlineStr">
        <is>
          <t>MAT-ALU-NAN-Z-DAY</t>
        </is>
      </c>
      <c r="F103" t="inlineStr">
        <is>
          <t>kg</t>
        </is>
      </c>
      <c r="G103" s="20" t="n">
        <v>6.924882852109795</v>
      </c>
      <c r="H103" s="16">
        <f>'00_TONG_HOP_BAO_GIA'!G19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21 nan Z dày @ 0.217kg/m + thanh giằng</t>
        </is>
      </c>
    </row>
    <row r="104">
      <c r="A104" t="inlineStr">
        <is>
          <t>SW-DIFF-018-ACCESSORY</t>
        </is>
      </c>
      <c r="B104" t="inlineStr">
        <is>
          <t>SW-DIFF-018</t>
        </is>
      </c>
      <c r="C104" t="inlineStr">
        <is>
          <t>Phụ kiện lắp ghép / Ke góc cửa gió</t>
        </is>
      </c>
      <c r="D104" t="inlineStr">
        <is>
          <t>PHỤ_KIỆN_CỬA</t>
        </is>
      </c>
      <c r="E104" t="inlineStr">
        <is>
          <t>MAT-DOOR-ACCESSORY</t>
        </is>
      </c>
      <c r="F104" t="inlineStr">
        <is>
          <t>Bộ</t>
        </is>
      </c>
      <c r="G104" s="20" t="n">
        <v>0.1867840663261223</v>
      </c>
      <c r="H104" s="16">
        <f>'00_TONG_HOP_BAO_GIA'!G19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Ke góc và vít ghép khung Louver</t>
        </is>
      </c>
    </row>
    <row r="105">
      <c r="A105" t="inlineStr">
        <is>
          <t>SW-DIFF-018-PAINT</t>
        </is>
      </c>
      <c r="B105" t="inlineStr">
        <is>
          <t>SW-DIFF-018</t>
        </is>
      </c>
      <c r="C105" t="inlineStr">
        <is>
          <t>Sơn tĩnh điện tiêu chuẩn Polyester</t>
        </is>
      </c>
      <c r="D105" t="inlineStr">
        <is>
          <t>SƠN_TĨNH_ĐIỆN</t>
        </is>
      </c>
      <c r="E105" t="inlineStr">
        <is>
          <t>MAT-PAINT-POWDER</t>
        </is>
      </c>
      <c r="F105" t="inlineStr">
        <is>
          <t>m2</t>
        </is>
      </c>
      <c r="G105" s="20" t="n">
        <v>1.610859273095204</v>
      </c>
      <c r="H105" s="16">
        <f>'00_TONG_HOP_BAO_GIA'!G19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Sơn tĩnh điện khung và nan Louver</t>
        </is>
      </c>
    </row>
    <row r="106">
      <c r="A106" t="inlineStr">
        <is>
          <t>SW-DIFF-018-MESH</t>
        </is>
      </c>
      <c r="B106" t="inlineStr">
        <is>
          <t>SW-DIFF-018</t>
        </is>
      </c>
      <c r="C106" t="inlineStr">
        <is>
          <t>Lưới chắn côn trùng Inox 304 (LCCT)</t>
        </is>
      </c>
      <c r="D106" t="inlineStr">
        <is>
          <t>PHỤ_KIỆN_CỬA</t>
        </is>
      </c>
      <c r="E106" t="inlineStr">
        <is>
          <t>MAT-MESH-INOX-304</t>
        </is>
      </c>
      <c r="F106" t="inlineStr">
        <is>
          <t>m2</t>
        </is>
      </c>
      <c r="G106" s="20" t="n">
        <v>0.8662900188323918</v>
      </c>
      <c r="H106" s="16">
        <f>'00_TONG_HOP_BAO_GIA'!G19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Lưới chắn côn trùng cổ 1450x950mm</t>
        </is>
      </c>
    </row>
    <row r="107">
      <c r="A107" t="inlineStr">
        <is>
          <t>SW-DIFF-019-FRAME</t>
        </is>
      </c>
      <c r="B107" t="inlineStr">
        <is>
          <t>SW-DIFF-019</t>
        </is>
      </c>
      <c r="C107" t="inlineStr">
        <is>
          <t>Khung nhôm định hình Louver (SWL)</t>
        </is>
      </c>
      <c r="D107" t="inlineStr">
        <is>
          <t>NHÔM_ĐỊNH_HÌNH</t>
        </is>
      </c>
      <c r="E107" t="inlineStr">
        <is>
          <t>MAT-ALU-KHUNG-Z-2-LOP</t>
        </is>
      </c>
      <c r="F107" t="inlineStr">
        <is>
          <t>kg</t>
        </is>
      </c>
      <c r="G107" s="20" t="n">
        <v>1.073166582370986</v>
      </c>
      <c r="H107" s="16">
        <f>'00_TONG_HOP_BAO_GIA'!G20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Khung Louver phủ bì 1600x700mm</t>
        </is>
      </c>
    </row>
    <row r="108">
      <c r="A108" t="inlineStr">
        <is>
          <t>SW-DIFF-019-BLADE</t>
        </is>
      </c>
      <c r="B108" t="inlineStr">
        <is>
          <t>SW-DIFF-019</t>
        </is>
      </c>
      <c r="C108" t="inlineStr">
        <is>
          <t>Nan Z Louver &amp; thanh tăng cứng (14 nan)</t>
        </is>
      </c>
      <c r="D108" t="inlineStr">
        <is>
          <t>NHÔM_ĐỊNH_HÌNH</t>
        </is>
      </c>
      <c r="E108" t="inlineStr">
        <is>
          <t>MAT-ALU-NAN-Z-DAY</t>
        </is>
      </c>
      <c r="F108" t="inlineStr">
        <is>
          <t>kg</t>
        </is>
      </c>
      <c r="G108" s="20" t="n">
        <v>4.934921894179667</v>
      </c>
      <c r="H108" s="16">
        <f>'00_TONG_HOP_BAO_GIA'!G20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14 nan Z dày @ 0.217kg/m + thanh giằng</t>
        </is>
      </c>
    </row>
    <row r="109">
      <c r="A109" t="inlineStr">
        <is>
          <t>SW-DIFF-019-ACCESSORY</t>
        </is>
      </c>
      <c r="B109" t="inlineStr">
        <is>
          <t>SW-DIFF-019</t>
        </is>
      </c>
      <c r="C109" t="inlineStr">
        <is>
          <t>Phụ kiện lắp ghép / Ke góc cửa gió</t>
        </is>
      </c>
      <c r="D109" t="inlineStr">
        <is>
          <t>PHỤ_KIỆN_CỬA</t>
        </is>
      </c>
      <c r="E109" t="inlineStr">
        <is>
          <t>MAT-DOOR-ACCESSORY</t>
        </is>
      </c>
      <c r="F109" t="inlineStr">
        <is>
          <t>Bộ</t>
        </is>
      </c>
      <c r="G109" s="20" t="n">
        <v>0.1245247706799507</v>
      </c>
      <c r="H109" s="16">
        <f>'00_TONG_HOP_BAO_GIA'!G20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Ke góc và vít ghép khung Louver</t>
        </is>
      </c>
    </row>
    <row r="110">
      <c r="A110" t="inlineStr">
        <is>
          <t>SW-DIFF-019-PAINT</t>
        </is>
      </c>
      <c r="B110" t="inlineStr">
        <is>
          <t>SW-DIFF-019</t>
        </is>
      </c>
      <c r="C110" t="inlineStr">
        <is>
          <t>Sơn tĩnh điện tiêu chuẩn Polyester</t>
        </is>
      </c>
      <c r="D110" t="inlineStr">
        <is>
          <t>SƠN_TĨNH_ĐIỆN</t>
        </is>
      </c>
      <c r="E110" t="inlineStr">
        <is>
          <t>MAT-PAINT-POWDER</t>
        </is>
      </c>
      <c r="F110" t="inlineStr">
        <is>
          <t>m2</t>
        </is>
      </c>
      <c r="G110" s="20" t="n">
        <v>1.197681337253055</v>
      </c>
      <c r="H110" s="16">
        <f>'00_TONG_HOP_BAO_GIA'!G20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Sơn tĩnh điện khung và nan Louver</t>
        </is>
      </c>
    </row>
    <row r="111">
      <c r="A111" t="inlineStr">
        <is>
          <t>SW-DIFF-019-MESH</t>
        </is>
      </c>
      <c r="B111" t="inlineStr">
        <is>
          <t>SW-DIFF-019</t>
        </is>
      </c>
      <c r="C111" t="inlineStr">
        <is>
          <t>Lưới chắn côn trùng Inox 304 (LCCT)</t>
        </is>
      </c>
      <c r="D111" t="inlineStr">
        <is>
          <t>PHỤ_KIỆN_CỬA</t>
        </is>
      </c>
      <c r="E111" t="inlineStr">
        <is>
          <t>MAT-MESH-INOX-304</t>
        </is>
      </c>
      <c r="F111" t="inlineStr">
        <is>
          <t>m2</t>
        </is>
      </c>
      <c r="G111" s="20" t="n">
        <v>0.6319313663946432</v>
      </c>
      <c r="H111" s="16">
        <f>'00_TONG_HOP_BAO_GIA'!G20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Lưới chắn côn trùng cổ 1550x650mm</t>
        </is>
      </c>
    </row>
    <row r="112">
      <c r="A112" t="inlineStr">
        <is>
          <t>SW-DIFF-020-FRAME</t>
        </is>
      </c>
      <c r="B112" t="inlineStr">
        <is>
          <t>SW-DIFF-020</t>
        </is>
      </c>
      <c r="C112" t="inlineStr">
        <is>
          <t>Khung nhôm định hình Louver (SWL)</t>
        </is>
      </c>
      <c r="D112" t="inlineStr">
        <is>
          <t>NHÔM_ĐỊNH_HÌNH</t>
        </is>
      </c>
      <c r="E112" t="inlineStr">
        <is>
          <t>MAT-ALU-KHUNG-Z-2-LOP</t>
        </is>
      </c>
      <c r="F112" t="inlineStr">
        <is>
          <t>kg</t>
        </is>
      </c>
      <c r="G112" s="20" t="n">
        <v>1.49274484575118</v>
      </c>
      <c r="H112" s="16">
        <f>'00_TONG_HOP_BAO_GIA'!G21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Khung Louver phủ bì 2000x1200mm</t>
        </is>
      </c>
    </row>
    <row r="113">
      <c r="A113" t="inlineStr">
        <is>
          <t>SW-DIFF-020-BLADE</t>
        </is>
      </c>
      <c r="B113" t="inlineStr">
        <is>
          <t>SW-DIFF-020</t>
        </is>
      </c>
      <c r="C113" t="inlineStr">
        <is>
          <t>Nan Z Louver &amp; thanh tăng cứng (26 nan)</t>
        </is>
      </c>
      <c r="D113" t="inlineStr">
        <is>
          <t>NHÔM_ĐỊNH_HÌNH</t>
        </is>
      </c>
      <c r="E113" t="inlineStr">
        <is>
          <t>MAT-ALU-NAN-Z-DAY</t>
        </is>
      </c>
      <c r="F113" t="inlineStr">
        <is>
          <t>kg</t>
        </is>
      </c>
      <c r="G113" s="20" t="n">
        <v>11.46343375942681</v>
      </c>
      <c r="H113" s="16">
        <f>'00_TONG_HOP_BAO_GIA'!G21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26 nan Z dày @ 0.217kg/m + thanh giằng</t>
        </is>
      </c>
    </row>
    <row r="114">
      <c r="A114" t="inlineStr">
        <is>
          <t>SW-DIFF-020-ACCESSORY</t>
        </is>
      </c>
      <c r="B114" t="inlineStr">
        <is>
          <t>SW-DIFF-020</t>
        </is>
      </c>
      <c r="C114" t="inlineStr">
        <is>
          <t>Phụ kiện lắp ghép / Ke góc cửa gió</t>
        </is>
      </c>
      <c r="D114" t="inlineStr">
        <is>
          <t>PHỤ_KIỆN_CỬA</t>
        </is>
      </c>
      <c r="E114" t="inlineStr">
        <is>
          <t>MAT-DOOR-ACCESSORY</t>
        </is>
      </c>
      <c r="F114" t="inlineStr">
        <is>
          <t>Bộ</t>
        </is>
      </c>
      <c r="G114" s="20" t="n">
        <v>0.231205073726179</v>
      </c>
      <c r="H114" s="16">
        <f>'00_TONG_HOP_BAO_GIA'!G21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Ke góc và vít ghép khung Louver</t>
        </is>
      </c>
    </row>
    <row r="115">
      <c r="A115" t="inlineStr">
        <is>
          <t>SW-DIFF-020-PAINT</t>
        </is>
      </c>
      <c r="B115" t="inlineStr">
        <is>
          <t>SW-DIFF-020</t>
        </is>
      </c>
      <c r="C115" t="inlineStr">
        <is>
          <t>Sơn tĩnh điện tiêu chuẩn Polyester</t>
        </is>
      </c>
      <c r="D115" t="inlineStr">
        <is>
          <t>SƠN_TĨNH_ĐIỆN</t>
        </is>
      </c>
      <c r="E115" t="inlineStr">
        <is>
          <t>MAT-PAINT-POWDER</t>
        </is>
      </c>
      <c r="F115" t="inlineStr">
        <is>
          <t>m2</t>
        </is>
      </c>
      <c r="G115" s="20" t="n">
        <v>2.594158589572679</v>
      </c>
      <c r="H115" s="16">
        <f>'00_TONG_HOP_BAO_GIA'!G21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Sơn tĩnh điện khung và nan Louver</t>
        </is>
      </c>
    </row>
    <row r="116">
      <c r="A116" t="inlineStr">
        <is>
          <t>SW-DIFF-020-MESH</t>
        </is>
      </c>
      <c r="B116" t="inlineStr">
        <is>
          <t>SW-DIFF-020</t>
        </is>
      </c>
      <c r="C116" t="inlineStr">
        <is>
          <t>Lưới chắn côn trùng Inox 304 (LCCT)</t>
        </is>
      </c>
      <c r="D116" t="inlineStr">
        <is>
          <t>PHỤ_KIỆN_CỬA</t>
        </is>
      </c>
      <c r="E116" t="inlineStr">
        <is>
          <t>MAT-MESH-INOX-304</t>
        </is>
      </c>
      <c r="F116" t="inlineStr">
        <is>
          <t>m2</t>
        </is>
      </c>
      <c r="G116" s="20" t="n">
        <v>1.406151914626491</v>
      </c>
      <c r="H116" s="16">
        <f>'00_TONG_HOP_BAO_GIA'!G21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Lưới chắn côn trùng cổ 1950x1150mm</t>
        </is>
      </c>
    </row>
    <row r="117">
      <c r="A117" t="inlineStr">
        <is>
          <t>SW-DIFF-021-FRAME</t>
        </is>
      </c>
      <c r="B117" t="inlineStr">
        <is>
          <t>SW-DIFF-021</t>
        </is>
      </c>
      <c r="C117" t="inlineStr">
        <is>
          <t>Khung nhôm định hình Louver (SWL)</t>
        </is>
      </c>
      <c r="D117" t="inlineStr">
        <is>
          <t>NHÔM_ĐỊNH_HÌNH</t>
        </is>
      </c>
      <c r="E117" t="inlineStr">
        <is>
          <t>MAT-ALU-KHUNG-Z-2-LOP</t>
        </is>
      </c>
      <c r="F117" t="inlineStr">
        <is>
          <t>kg</t>
        </is>
      </c>
      <c r="G117" s="20" t="n">
        <v>1.049343103759376</v>
      </c>
      <c r="H117" s="16">
        <f>'00_TONG_HOP_BAO_GIA'!G22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Khung Louver phủ bì 1800x450mm</t>
        </is>
      </c>
    </row>
    <row r="118">
      <c r="A118" t="inlineStr">
        <is>
          <t>SW-DIFF-021-BLADE</t>
        </is>
      </c>
      <c r="B118" t="inlineStr">
        <is>
          <t>SW-DIFF-021</t>
        </is>
      </c>
      <c r="C118" t="inlineStr">
        <is>
          <t>Nan Z Louver &amp; thanh tăng cứng (9 nan)</t>
        </is>
      </c>
      <c r="D118" t="inlineStr">
        <is>
          <t>NHÔM_ĐỊNH_HÌNH</t>
        </is>
      </c>
      <c r="E118" t="inlineStr">
        <is>
          <t>MAT-ALU-NAN-Z-DAY</t>
        </is>
      </c>
      <c r="F118" t="inlineStr">
        <is>
          <t>kg</t>
        </is>
      </c>
      <c r="G118" s="20" t="n">
        <v>3.572204303352843</v>
      </c>
      <c r="H118" s="16">
        <f>'00_TONG_HOP_BAO_GIA'!G22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9 nan Z dày @ 0.217kg/m + thanh giằng</t>
        </is>
      </c>
    </row>
    <row r="119">
      <c r="A119" t="inlineStr">
        <is>
          <t>SW-DIFF-021-ACCESSORY</t>
        </is>
      </c>
      <c r="B119" t="inlineStr">
        <is>
          <t>SW-DIFF-021</t>
        </is>
      </c>
      <c r="C119" t="inlineStr">
        <is>
          <t>Phụ kiện lắp ghép / Ke góc cửa gió</t>
        </is>
      </c>
      <c r="D119" t="inlineStr">
        <is>
          <t>PHỤ_KIỆN_CỬA</t>
        </is>
      </c>
      <c r="E119" t="inlineStr">
        <is>
          <t>MAT-DOOR-ACCESSORY</t>
        </is>
      </c>
      <c r="F119" t="inlineStr">
        <is>
          <t>Bộ</t>
        </is>
      </c>
      <c r="G119" s="20" t="n">
        <v>0.08001398756739493</v>
      </c>
      <c r="H119" s="16">
        <f>'00_TONG_HOP_BAO_GIA'!G22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Ke góc và vít ghép khung Louver</t>
        </is>
      </c>
    </row>
    <row r="120">
      <c r="A120" t="inlineStr">
        <is>
          <t>SW-DIFF-021-PAINT</t>
        </is>
      </c>
      <c r="B120" t="inlineStr">
        <is>
          <t>SW-DIFF-021</t>
        </is>
      </c>
      <c r="C120" t="inlineStr">
        <is>
          <t>Sơn tĩnh điện tiêu chuẩn Polyester</t>
        </is>
      </c>
      <c r="D120" t="inlineStr">
        <is>
          <t>SƠN_TĨNH_ĐIỆN</t>
        </is>
      </c>
      <c r="E120" t="inlineStr">
        <is>
          <t>MAT-PAINT-POWDER</t>
        </is>
      </c>
      <c r="F120" t="inlineStr">
        <is>
          <t>m2</t>
        </is>
      </c>
      <c r="G120" s="20" t="n">
        <v>0.9245475062257953</v>
      </c>
      <c r="H120" s="16">
        <f>'00_TONG_HOP_BAO_GIA'!G22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Sơn tĩnh điện khung và nan Louver</t>
        </is>
      </c>
    </row>
    <row r="121">
      <c r="A121" t="inlineStr">
        <is>
          <t>SW-DIFF-021-MESH</t>
        </is>
      </c>
      <c r="B121" t="inlineStr">
        <is>
          <t>SW-DIFF-021</t>
        </is>
      </c>
      <c r="C121" t="inlineStr">
        <is>
          <t>Lưới chắn côn trùng Inox 304 (LCCT)</t>
        </is>
      </c>
      <c r="D121" t="inlineStr">
        <is>
          <t>PHỤ_KIỆN_CỬA</t>
        </is>
      </c>
      <c r="E121" t="inlineStr">
        <is>
          <t>MAT-MESH-INOX-304</t>
        </is>
      </c>
      <c r="F121" t="inlineStr">
        <is>
          <t>m2</t>
        </is>
      </c>
      <c r="G121" s="20" t="n">
        <v>0.4394224733207784</v>
      </c>
      <c r="H121" s="16">
        <f>'00_TONG_HOP_BAO_GIA'!G22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Lưới chắn côn trùng cổ 1750x400mm</t>
        </is>
      </c>
    </row>
    <row r="122">
      <c r="A122" t="inlineStr">
        <is>
          <t>SW-DIFF-021-FILTER</t>
        </is>
      </c>
      <c r="B122" t="inlineStr">
        <is>
          <t>SW-DIFF-021</t>
        </is>
      </c>
      <c r="C122" t="inlineStr">
        <is>
          <t>Lưới lọc bụi sơ cấp G4 kèm khung nhôm</t>
        </is>
      </c>
      <c r="D122" t="inlineStr">
        <is>
          <t>PHỤ_KIỆN_CỬA</t>
        </is>
      </c>
      <c r="E122" t="inlineStr">
        <is>
          <t>MAT-FILTER-G4</t>
        </is>
      </c>
      <c r="F122" t="inlineStr">
        <is>
          <t>m2</t>
        </is>
      </c>
      <c r="G122" s="20" t="n">
        <v>0.7305398618957941</v>
      </c>
      <c r="H122" s="16">
        <f>'00_TONG_HOP_BAO_GIA'!G22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Phin lọc bụi cổ 1750x400mm</t>
        </is>
      </c>
    </row>
    <row r="123">
      <c r="A123" t="inlineStr">
        <is>
          <t>SW-DIFF-022-FRAME</t>
        </is>
      </c>
      <c r="B123" t="inlineStr">
        <is>
          <t>SW-DIFF-022</t>
        </is>
      </c>
      <c r="C123" t="inlineStr">
        <is>
          <t>Khung nhôm định hình Louver (SWL)</t>
        </is>
      </c>
      <c r="D123" t="inlineStr">
        <is>
          <t>NHÔM_ĐỊNH_HÌNH</t>
        </is>
      </c>
      <c r="E123" t="inlineStr">
        <is>
          <t>MAT-ALU-KHUNG-Z-2-LOP</t>
        </is>
      </c>
      <c r="F123" t="inlineStr">
        <is>
          <t>kg</t>
        </is>
      </c>
      <c r="G123" s="20" t="n">
        <v>0.1387508950946936</v>
      </c>
      <c r="H123" s="16">
        <f>'00_TONG_HOP_BAO_GIA'!G23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Khung Louver phủ bì 200x100mm</t>
        </is>
      </c>
    </row>
    <row r="124">
      <c r="A124" t="inlineStr">
        <is>
          <t>SW-DIFF-022-BLADE</t>
        </is>
      </c>
      <c r="B124" t="inlineStr">
        <is>
          <t>SW-DIFF-022</t>
        </is>
      </c>
      <c r="C124" t="inlineStr">
        <is>
          <t>Nan Z Louver &amp; thanh tăng cứng (1 nan)</t>
        </is>
      </c>
      <c r="D124" t="inlineStr">
        <is>
          <t>NHÔM_ĐỊNH_HÌNH</t>
        </is>
      </c>
      <c r="E124" t="inlineStr">
        <is>
          <t>MAT-ALU-NAN-Z-DAY</t>
        </is>
      </c>
      <c r="F124" t="inlineStr">
        <is>
          <t>kg</t>
        </is>
      </c>
      <c r="G124" s="20" t="n">
        <v>0.04887861928519381</v>
      </c>
      <c r="H124" s="16">
        <f>'00_TONG_HOP_BAO_GIA'!G23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1 nan Z dày @ 0.217kg/m + thanh giằng</t>
        </is>
      </c>
    </row>
    <row r="125">
      <c r="A125" t="inlineStr">
        <is>
          <t>SW-DIFF-022-ACCESSORY</t>
        </is>
      </c>
      <c r="B125" t="inlineStr">
        <is>
          <t>SW-DIFF-022</t>
        </is>
      </c>
      <c r="C125" t="inlineStr">
        <is>
          <t>Phụ kiện lắp ghép / Ke góc cửa gió</t>
        </is>
      </c>
      <c r="D125" t="inlineStr">
        <is>
          <t>PHỤ_KIỆN_CỬA</t>
        </is>
      </c>
      <c r="E125" t="inlineStr">
        <is>
          <t>MAT-DOOR-ACCESSORY</t>
        </is>
      </c>
      <c r="F125" t="inlineStr">
        <is>
          <t>Bộ</t>
        </is>
      </c>
      <c r="G125" s="20" t="n">
        <v>0.008816636772803914</v>
      </c>
      <c r="H125" s="16">
        <f>'00_TONG_HOP_BAO_GIA'!G23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Ke góc và vít ghép khung Louver</t>
        </is>
      </c>
    </row>
    <row r="126">
      <c r="A126" t="inlineStr">
        <is>
          <t>SW-DIFF-022-PAINT</t>
        </is>
      </c>
      <c r="B126" t="inlineStr">
        <is>
          <t>SW-DIFF-022</t>
        </is>
      </c>
      <c r="C126" t="inlineStr">
        <is>
          <t>Sơn tĩnh điện tiêu chuẩn Polyester</t>
        </is>
      </c>
      <c r="D126" t="inlineStr">
        <is>
          <t>SƠN_TĨNH_ĐIỆN</t>
        </is>
      </c>
      <c r="E126" t="inlineStr">
        <is>
          <t>MAT-PAINT-POWDER</t>
        </is>
      </c>
      <c r="F126" t="inlineStr">
        <is>
          <t>m2</t>
        </is>
      </c>
      <c r="G126" s="20" t="n">
        <v>0.03455706714385121</v>
      </c>
      <c r="H126" s="16">
        <f>'00_TONG_HOP_BAO_GIA'!G23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Sơn tĩnh điện khung và nan Louver</t>
        </is>
      </c>
    </row>
    <row r="127">
      <c r="A127" t="inlineStr">
        <is>
          <t>SW-DIFF-022-MESH</t>
        </is>
      </c>
      <c r="B127" t="inlineStr">
        <is>
          <t>SW-DIFF-022</t>
        </is>
      </c>
      <c r="C127" t="inlineStr">
        <is>
          <t>Lưới chắn côn trùng Inox 304 (LCCT)</t>
        </is>
      </c>
      <c r="D127" t="inlineStr">
        <is>
          <t>PHỤ_KIỆN_CỬA</t>
        </is>
      </c>
      <c r="E127" t="inlineStr">
        <is>
          <t>MAT-MESH-INOX-304</t>
        </is>
      </c>
      <c r="F127" t="inlineStr">
        <is>
          <t>m2</t>
        </is>
      </c>
      <c r="G127" s="20" t="n">
        <v>0.004184975936388366</v>
      </c>
      <c r="H127" s="16">
        <f>'00_TONG_HOP_BAO_GIA'!G23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Lưới chắn côn trùng cổ 150x50mm</t>
        </is>
      </c>
    </row>
    <row r="128">
      <c r="A128" t="inlineStr">
        <is>
          <t>SW-DIFF-023-FRAME</t>
        </is>
      </c>
      <c r="B128" t="inlineStr">
        <is>
          <t>SW-DIFF-023</t>
        </is>
      </c>
      <c r="C128" t="inlineStr">
        <is>
          <t>Khung nhôm định hình Louver (SWL)</t>
        </is>
      </c>
      <c r="D128" t="inlineStr">
        <is>
          <t>NHÔM_ĐỊNH_HÌNH</t>
        </is>
      </c>
      <c r="E128" t="inlineStr">
        <is>
          <t>MAT-ALU-KHUNG-Z-2-LOP</t>
        </is>
      </c>
      <c r="F128" t="inlineStr">
        <is>
          <t>kg</t>
        </is>
      </c>
      <c r="G128" s="20" t="n">
        <v>0.4193547879170252</v>
      </c>
      <c r="H128" s="16">
        <f>'00_TONG_HOP_BAO_GIA'!G24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Khung Louver phủ bì 500x400mm</t>
        </is>
      </c>
    </row>
    <row r="129">
      <c r="A129" t="inlineStr">
        <is>
          <t>SW-DIFF-023-BLADE</t>
        </is>
      </c>
      <c r="B129" t="inlineStr">
        <is>
          <t>SW-DIFF-023</t>
        </is>
      </c>
      <c r="C129" t="inlineStr">
        <is>
          <t>Nan Z Louver &amp; thanh tăng cứng (8 nan)</t>
        </is>
      </c>
      <c r="D129" t="inlineStr">
        <is>
          <t>NHÔM_ĐỊNH_HÌNH</t>
        </is>
      </c>
      <c r="E129" t="inlineStr">
        <is>
          <t>MAT-ALU-NAN-Z-DAY</t>
        </is>
      </c>
      <c r="F129" t="inlineStr">
        <is>
          <t>kg</t>
        </is>
      </c>
      <c r="G129" s="20" t="n">
        <v>0.8561980868132626</v>
      </c>
      <c r="H129" s="16">
        <f>'00_TONG_HOP_BAO_GIA'!G24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8 nan Z dày @ 0.217kg/m + thanh giằng</t>
        </is>
      </c>
    </row>
    <row r="130">
      <c r="A130" t="inlineStr">
        <is>
          <t>SW-DIFF-023-ACCESSORY</t>
        </is>
      </c>
      <c r="B130" t="inlineStr">
        <is>
          <t>SW-DIFF-023</t>
        </is>
      </c>
      <c r="C130" t="inlineStr">
        <is>
          <t>Phụ kiện lắp ghép / Ke góc cửa gió</t>
        </is>
      </c>
      <c r="D130" t="inlineStr">
        <is>
          <t>PHỤ_KIỆN_CỬA</t>
        </is>
      </c>
      <c r="E130" t="inlineStr">
        <is>
          <t>MAT-DOOR-ACCESSORY</t>
        </is>
      </c>
      <c r="F130" t="inlineStr">
        <is>
          <t>Bộ</t>
        </is>
      </c>
      <c r="G130" s="20" t="n">
        <v>0.07105873859244567</v>
      </c>
      <c r="H130" s="16">
        <f>'00_TONG_HOP_BAO_GIA'!G24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Ke góc và vít ghép khung Louver</t>
        </is>
      </c>
    </row>
    <row r="131">
      <c r="A131" t="inlineStr">
        <is>
          <t>SW-DIFF-023-PAINT</t>
        </is>
      </c>
      <c r="B131" t="inlineStr">
        <is>
          <t>SW-DIFF-023</t>
        </is>
      </c>
      <c r="C131" t="inlineStr">
        <is>
          <t>Sơn tĩnh điện tiêu chuẩn Polyester</t>
        </is>
      </c>
      <c r="D131" t="inlineStr">
        <is>
          <t>SƠN_TĨNH_ĐIỆN</t>
        </is>
      </c>
      <c r="E131" t="inlineStr">
        <is>
          <t>MAT-PAINT-POWDER</t>
        </is>
      </c>
      <c r="F131" t="inlineStr">
        <is>
          <t>m2</t>
        </is>
      </c>
      <c r="G131" s="20" t="n">
        <v>0.24503561022155</v>
      </c>
      <c r="H131" s="16">
        <f>'00_TONG_HOP_BAO_GIA'!G24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Sơn tĩnh điện khung và nan Louver</t>
        </is>
      </c>
    </row>
    <row r="132">
      <c r="A132" t="inlineStr">
        <is>
          <t>SW-DIFF-023-MESH</t>
        </is>
      </c>
      <c r="B132" t="inlineStr">
        <is>
          <t>SW-DIFF-023</t>
        </is>
      </c>
      <c r="C132" t="inlineStr">
        <is>
          <t>Lưới chắn côn trùng Inox 304 (LCCT)</t>
        </is>
      </c>
      <c r="D132" t="inlineStr">
        <is>
          <t>PHỤ_KIỆN_CỬA</t>
        </is>
      </c>
      <c r="E132" t="inlineStr">
        <is>
          <t>MAT-MESH-INOX-304</t>
        </is>
      </c>
      <c r="F132" t="inlineStr">
        <is>
          <t>m2</t>
        </is>
      </c>
      <c r="G132" s="20" t="n">
        <v>0.1004394224733208</v>
      </c>
      <c r="H132" s="16">
        <f>'00_TONG_HOP_BAO_GIA'!G24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Lưới chắn côn trùng cổ 450x350mm</t>
        </is>
      </c>
    </row>
    <row r="133">
      <c r="A133" t="inlineStr">
        <is>
          <t>SW-DIFF-024-FRAME</t>
        </is>
      </c>
      <c r="B133" t="inlineStr">
        <is>
          <t>SW-DIFF-024</t>
        </is>
      </c>
      <c r="C133" t="inlineStr">
        <is>
          <t>Khung nhôm định hình Louver (SWL)</t>
        </is>
      </c>
      <c r="D133" t="inlineStr">
        <is>
          <t>NHÔM_ĐỊNH_HÌNH</t>
        </is>
      </c>
      <c r="E133" t="inlineStr">
        <is>
          <t>MAT-ALU-KHUNG-Z-2-LOP</t>
        </is>
      </c>
      <c r="F133" t="inlineStr">
        <is>
          <t>kg</t>
        </is>
      </c>
      <c r="G133" s="20" t="n">
        <v>0.5364556287360432</v>
      </c>
      <c r="H133" s="16">
        <f>'00_TONG_HOP_BAO_GIA'!G25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Khung Louver phủ bì 700x450mm</t>
        </is>
      </c>
    </row>
    <row r="134">
      <c r="A134" t="inlineStr">
        <is>
          <t>SW-DIFF-024-BLADE</t>
        </is>
      </c>
      <c r="B134" t="inlineStr">
        <is>
          <t>SW-DIFF-024</t>
        </is>
      </c>
      <c r="C134" t="inlineStr">
        <is>
          <t>Nan Z Louver &amp; thanh tăng cứng (9 nan)</t>
        </is>
      </c>
      <c r="D134" t="inlineStr">
        <is>
          <t>NHÔM_ĐỊNH_HÌNH</t>
        </is>
      </c>
      <c r="E134" t="inlineStr">
        <is>
          <t>MAT-ALU-NAN-Z-DAY</t>
        </is>
      </c>
      <c r="F134" t="inlineStr">
        <is>
          <t>kg</t>
        </is>
      </c>
      <c r="G134" s="20" t="n">
        <v>1.365665399857594</v>
      </c>
      <c r="H134" s="16">
        <f>'00_TONG_HOP_BAO_GIA'!G25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9 nan Z dày @ 0.217kg/m + thanh giằng</t>
        </is>
      </c>
    </row>
    <row r="135">
      <c r="A135" t="inlineStr">
        <is>
          <t>SW-DIFF-024-ACCESSORY</t>
        </is>
      </c>
      <c r="B135" t="inlineStr">
        <is>
          <t>SW-DIFF-024</t>
        </is>
      </c>
      <c r="C135" t="inlineStr">
        <is>
          <t>Phụ kiện lắp ghép / Ke góc cửa gió</t>
        </is>
      </c>
      <c r="D135" t="inlineStr">
        <is>
          <t>PHỤ_KIỆN_CỬA</t>
        </is>
      </c>
      <c r="E135" t="inlineStr">
        <is>
          <t>MAT-DOOR-ACCESSORY</t>
        </is>
      </c>
      <c r="F135" t="inlineStr">
        <is>
          <t>Bộ</t>
        </is>
      </c>
      <c r="G135" s="20" t="n">
        <v>0.08003259262437393</v>
      </c>
      <c r="H135" s="16">
        <f>'00_TONG_HOP_BAO_GIA'!G25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Ke góc và vít ghép khung Louver</t>
        </is>
      </c>
    </row>
    <row r="136">
      <c r="A136" t="inlineStr">
        <is>
          <t>SW-DIFF-024-PAINT</t>
        </is>
      </c>
      <c r="B136" t="inlineStr">
        <is>
          <t>SW-DIFF-024</t>
        </is>
      </c>
      <c r="C136" t="inlineStr">
        <is>
          <t>Sơn tĩnh điện tiêu chuẩn Polyester</t>
        </is>
      </c>
      <c r="D136" t="inlineStr">
        <is>
          <t>SƠN_TĨNH_ĐIỆN</t>
        </is>
      </c>
      <c r="E136" t="inlineStr">
        <is>
          <t>MAT-PAINT-POWDER</t>
        </is>
      </c>
      <c r="F136" t="inlineStr">
        <is>
          <t>m2</t>
        </is>
      </c>
      <c r="G136" s="20" t="n">
        <v>0.3707695549862564</v>
      </c>
      <c r="H136" s="16">
        <f>'00_TONG_HOP_BAO_GIA'!G25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Sơn tĩnh điện khung và nan Louver</t>
        </is>
      </c>
    </row>
    <row r="137">
      <c r="A137" t="inlineStr">
        <is>
          <t>SW-DIFF-024-MESH</t>
        </is>
      </c>
      <c r="B137" t="inlineStr">
        <is>
          <t>SW-DIFF-024</t>
        </is>
      </c>
      <c r="C137" t="inlineStr">
        <is>
          <t>Lưới chắn côn trùng Inox 304 (LCCT)</t>
        </is>
      </c>
      <c r="D137" t="inlineStr">
        <is>
          <t>PHỤ_KIỆN_CỬA</t>
        </is>
      </c>
      <c r="E137" t="inlineStr">
        <is>
          <t>MAT-MESH-INOX-304</t>
        </is>
      </c>
      <c r="F137" t="inlineStr">
        <is>
          <t>m2</t>
        </is>
      </c>
      <c r="G137" s="20" t="n">
        <v>0.1632140615191463</v>
      </c>
      <c r="H137" s="16">
        <f>'00_TONG_HOP_BAO_GIA'!G25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Lưới chắn côn trùng cổ 650x400mm</t>
        </is>
      </c>
    </row>
    <row r="138">
      <c r="A138" t="inlineStr">
        <is>
          <t>SW-DIFF-025-FRAME</t>
        </is>
      </c>
      <c r="B138" t="inlineStr">
        <is>
          <t>SW-DIFF-025</t>
        </is>
      </c>
      <c r="C138" t="inlineStr">
        <is>
          <t>Khung nhôm định hình Louver (SWL)</t>
        </is>
      </c>
      <c r="D138" t="inlineStr">
        <is>
          <t>NHÔM_ĐỊNH_HÌNH</t>
        </is>
      </c>
      <c r="E138" t="inlineStr">
        <is>
          <t>MAT-ALU-KHUNG-Z-2-LOP</t>
        </is>
      </c>
      <c r="F138" t="inlineStr">
        <is>
          <t>kg</t>
        </is>
      </c>
      <c r="G138" s="20" t="n">
        <v>0.6536427752534737</v>
      </c>
      <c r="H138" s="16">
        <f>'00_TONG_HOP_BAO_GIA'!G26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Khung Louver phủ bì 1000x400mm</t>
        </is>
      </c>
    </row>
    <row r="139">
      <c r="A139" t="inlineStr">
        <is>
          <t>SW-DIFF-025-BLADE</t>
        </is>
      </c>
      <c r="B139" t="inlineStr">
        <is>
          <t>SW-DIFF-025</t>
        </is>
      </c>
      <c r="C139" t="inlineStr">
        <is>
          <t>Nan Z Louver &amp; thanh tăng cứng (8 nan)</t>
        </is>
      </c>
      <c r="D139" t="inlineStr">
        <is>
          <t>NHÔM_ĐỊNH_HÌNH</t>
        </is>
      </c>
      <c r="E139" t="inlineStr">
        <is>
          <t>MAT-ALU-NAN-Z-DAY</t>
        </is>
      </c>
      <c r="F139" t="inlineStr">
        <is>
          <t>kg</t>
        </is>
      </c>
      <c r="G139" s="20" t="n">
        <v>1.750561481666887</v>
      </c>
      <c r="H139" s="16">
        <f>'00_TONG_HOP_BAO_GIA'!G26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8 nan Z dày @ 0.217kg/m + thanh giằng</t>
        </is>
      </c>
    </row>
    <row r="140">
      <c r="A140" t="inlineStr">
        <is>
          <t>SW-DIFF-025-ACCESSORY</t>
        </is>
      </c>
      <c r="B140" t="inlineStr">
        <is>
          <t>SW-DIFF-025</t>
        </is>
      </c>
      <c r="C140" t="inlineStr">
        <is>
          <t>Phụ kiện lắp ghép / Ke góc cửa gió</t>
        </is>
      </c>
      <c r="D140" t="inlineStr">
        <is>
          <t>PHỤ_KIỆN_CỬA</t>
        </is>
      </c>
      <c r="E140" t="inlineStr">
        <is>
          <t>MAT-DOOR-ACCESSORY</t>
        </is>
      </c>
      <c r="F140" t="inlineStr">
        <is>
          <t>Bộ</t>
        </is>
      </c>
      <c r="G140" s="20" t="n">
        <v>0.07120177607887258</v>
      </c>
      <c r="H140" s="16">
        <f>'00_TONG_HOP_BAO_GIA'!G26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Ke góc và vít ghép khung Louver</t>
        </is>
      </c>
    </row>
    <row r="141">
      <c r="A141" t="inlineStr">
        <is>
          <t>SW-DIFF-025-PAINT</t>
        </is>
      </c>
      <c r="B141" t="inlineStr">
        <is>
          <t>SW-DIFF-025</t>
        </is>
      </c>
      <c r="C141" t="inlineStr">
        <is>
          <t>Sơn tĩnh điện tiêu chuẩn Polyester</t>
        </is>
      </c>
      <c r="D141" t="inlineStr">
        <is>
          <t>SƠN_TĨNH_ĐIỆN</t>
        </is>
      </c>
      <c r="E141" t="inlineStr">
        <is>
          <t>MAT-PAINT-POWDER</t>
        </is>
      </c>
      <c r="F141" t="inlineStr">
        <is>
          <t>m2</t>
        </is>
      </c>
      <c r="G141" s="20" t="n">
        <v>0.4748404563302319</v>
      </c>
      <c r="H141" s="16">
        <f>'00_TONG_HOP_BAO_GIA'!G26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Sơn tĩnh điện khung và nan Louver</t>
        </is>
      </c>
    </row>
    <row r="142">
      <c r="A142" t="inlineStr">
        <is>
          <t>SW-DIFF-025-MESH</t>
        </is>
      </c>
      <c r="B142" t="inlineStr">
        <is>
          <t>SW-DIFF-025</t>
        </is>
      </c>
      <c r="C142" t="inlineStr">
        <is>
          <t>Lưới chắn côn trùng Inox 304 (LCCT)</t>
        </is>
      </c>
      <c r="D142" t="inlineStr">
        <is>
          <t>PHỤ_KIỆN_CỬA</t>
        </is>
      </c>
      <c r="E142" t="inlineStr">
        <is>
          <t>MAT-MESH-INOX-304</t>
        </is>
      </c>
      <c r="F142" t="inlineStr">
        <is>
          <t>m2</t>
        </is>
      </c>
      <c r="G142" s="20" t="n">
        <v>0.2092487968194183</v>
      </c>
      <c r="H142" s="16">
        <f>'00_TONG_HOP_BAO_GIA'!G26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Lưới chắn côn trùng cổ 950x350mm</t>
        </is>
      </c>
    </row>
    <row r="143">
      <c r="A143" t="inlineStr">
        <is>
          <t>SW-DIFF-026-FRAME</t>
        </is>
      </c>
      <c r="B143" t="inlineStr">
        <is>
          <t>SW-DIFF-026</t>
        </is>
      </c>
      <c r="C143" t="inlineStr">
        <is>
          <t>Khung nhôm định hình Louver (SWL)</t>
        </is>
      </c>
      <c r="D143" t="inlineStr">
        <is>
          <t>NHÔM_ĐỊNH_HÌNH</t>
        </is>
      </c>
      <c r="E143" t="inlineStr">
        <is>
          <t>MAT-ALU-KHUNG-Z-2-LOP</t>
        </is>
      </c>
      <c r="F143" t="inlineStr">
        <is>
          <t>kg</t>
        </is>
      </c>
      <c r="G143" s="20" t="n">
        <v>0.9093642597962648</v>
      </c>
      <c r="H143" s="16">
        <f>'00_TONG_HOP_BAO_GIA'!G27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Khung Louver phủ bì 1500x450mm</t>
        </is>
      </c>
    </row>
    <row r="144">
      <c r="A144" t="inlineStr">
        <is>
          <t>SW-DIFF-026-BLADE</t>
        </is>
      </c>
      <c r="B144" t="inlineStr">
        <is>
          <t>SW-DIFF-026</t>
        </is>
      </c>
      <c r="C144" t="inlineStr">
        <is>
          <t>Nan Z Louver &amp; thanh tăng cứng (9 nan)</t>
        </is>
      </c>
      <c r="D144" t="inlineStr">
        <is>
          <t>NHÔM_ĐỊNH_HÌNH</t>
        </is>
      </c>
      <c r="E144" t="inlineStr">
        <is>
          <t>MAT-ALU-NAN-Z-DAY</t>
        </is>
      </c>
      <c r="F144" t="inlineStr">
        <is>
          <t>kg</t>
        </is>
      </c>
      <c r="G144" s="20" t="n">
        <v>2.970117411596177</v>
      </c>
      <c r="H144" s="16">
        <f>'00_TONG_HOP_BAO_GIA'!G27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9 nan Z dày @ 0.217kg/m + thanh giằng</t>
        </is>
      </c>
    </row>
    <row r="145">
      <c r="A145" t="inlineStr">
        <is>
          <t>SW-DIFF-026-ACCESSORY</t>
        </is>
      </c>
      <c r="B145" t="inlineStr">
        <is>
          <t>SW-DIFF-026</t>
        </is>
      </c>
      <c r="C145" t="inlineStr">
        <is>
          <t>Phụ kiện lắp ghép / Ke góc cửa gió</t>
        </is>
      </c>
      <c r="D145" t="inlineStr">
        <is>
          <t>PHỤ_KIỆN_CỬA</t>
        </is>
      </c>
      <c r="E145" t="inlineStr">
        <is>
          <t>MAT-DOOR-ACCESSORY</t>
        </is>
      </c>
      <c r="F145" t="inlineStr">
        <is>
          <t>Bộ</t>
        </is>
      </c>
      <c r="G145" s="20" t="n">
        <v>0.08000814287847362</v>
      </c>
      <c r="H145" s="16">
        <f>'00_TONG_HOP_BAO_GIA'!G27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Ke góc và vít ghép khung Louver</t>
        </is>
      </c>
    </row>
    <row r="146">
      <c r="A146" t="inlineStr">
        <is>
          <t>SW-DIFF-026-PAINT</t>
        </is>
      </c>
      <c r="B146" t="inlineStr">
        <is>
          <t>SW-DIFF-026</t>
        </is>
      </c>
      <c r="C146" t="inlineStr">
        <is>
          <t>Sơn tĩnh điện tiêu chuẩn Polyester</t>
        </is>
      </c>
      <c r="D146" t="inlineStr">
        <is>
          <t>SƠN_TĨNH_ĐIỆN</t>
        </is>
      </c>
      <c r="E146" t="inlineStr">
        <is>
          <t>MAT-PAINT-POWDER</t>
        </is>
      </c>
      <c r="F146" t="inlineStr">
        <is>
          <t>m2</t>
        </is>
      </c>
      <c r="G146" s="20" t="n">
        <v>0.7734371484190892</v>
      </c>
      <c r="H146" s="16">
        <f>'00_TONG_HOP_BAO_GIA'!G27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Sơn tĩnh điện khung và nan Louver</t>
        </is>
      </c>
    </row>
    <row r="147">
      <c r="A147" t="inlineStr">
        <is>
          <t>SW-DIFF-026-MESH</t>
        </is>
      </c>
      <c r="B147" t="inlineStr">
        <is>
          <t>SW-DIFF-026</t>
        </is>
      </c>
      <c r="C147" t="inlineStr">
        <is>
          <t>Lưới chắn côn trùng Inox 304 (LCCT)</t>
        </is>
      </c>
      <c r="D147" t="inlineStr">
        <is>
          <t>PHỤ_KIỆN_CỬA</t>
        </is>
      </c>
      <c r="E147" t="inlineStr">
        <is>
          <t>MAT-MESH-INOX-304</t>
        </is>
      </c>
      <c r="F147" t="inlineStr">
        <is>
          <t>m2</t>
        </is>
      </c>
      <c r="G147" s="20" t="n">
        <v>0.3640929064657878</v>
      </c>
      <c r="H147" s="16">
        <f>'00_TONG_HOP_BAO_GIA'!G27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Lưới chắn côn trùng cổ 1450x400mm</t>
        </is>
      </c>
    </row>
    <row r="148">
      <c r="A148" t="inlineStr">
        <is>
          <t>SW-DIFF-027-FRAME</t>
        </is>
      </c>
      <c r="B148" t="inlineStr">
        <is>
          <t>SW-DIFF-027</t>
        </is>
      </c>
      <c r="C148" t="inlineStr">
        <is>
          <t>Khung nhôm định hình Louver (SWL)</t>
        </is>
      </c>
      <c r="D148" t="inlineStr">
        <is>
          <t>NHÔM_ĐỊNH_HÌNH</t>
        </is>
      </c>
      <c r="E148" t="inlineStr">
        <is>
          <t>MAT-ALU-KHUNG-Z-2-LOP</t>
        </is>
      </c>
      <c r="F148" t="inlineStr">
        <is>
          <t>kg</t>
        </is>
      </c>
      <c r="G148" s="20" t="n">
        <v>1.166161671300473</v>
      </c>
      <c r="H148" s="16">
        <f>'00_TONG_HOP_BAO_GIA'!G28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Khung Louver phủ bì 1700x800mm</t>
        </is>
      </c>
    </row>
    <row r="149">
      <c r="A149" t="inlineStr">
        <is>
          <t>SW-DIFF-027-BLADE</t>
        </is>
      </c>
      <c r="B149" t="inlineStr">
        <is>
          <t>SW-DIFF-027</t>
        </is>
      </c>
      <c r="C149" t="inlineStr">
        <is>
          <t>Nan Z Louver &amp; thanh tăng cứng (17 nan)</t>
        </is>
      </c>
      <c r="D149" t="inlineStr">
        <is>
          <t>NHÔM_ĐỊNH_HÌNH</t>
        </is>
      </c>
      <c r="E149" t="inlineStr">
        <is>
          <t>MAT-ALU-NAN-Z-DAY</t>
        </is>
      </c>
      <c r="F149" t="inlineStr">
        <is>
          <t>kg</t>
        </is>
      </c>
      <c r="G149" s="20" t="n">
        <v>6.360728659224772</v>
      </c>
      <c r="H149" s="16">
        <f>'00_TONG_HOP_BAO_GIA'!G28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17 nan Z dày @ 0.217kg/m + thanh giằng</t>
        </is>
      </c>
    </row>
    <row r="150">
      <c r="A150" t="inlineStr">
        <is>
          <t>SW-DIFF-027-ACCESSORY</t>
        </is>
      </c>
      <c r="B150" t="inlineStr">
        <is>
          <t>SW-DIFF-027</t>
        </is>
      </c>
      <c r="C150" t="inlineStr">
        <is>
          <t>Phụ kiện lắp ghép / Ke góc cửa gió</t>
        </is>
      </c>
      <c r="D150" t="inlineStr">
        <is>
          <t>PHỤ_KIỆN_CỬA</t>
        </is>
      </c>
      <c r="E150" t="inlineStr">
        <is>
          <t>MAT-DOOR-ACCESSORY</t>
        </is>
      </c>
      <c r="F150" t="inlineStr">
        <is>
          <t>Bộ</t>
        </is>
      </c>
      <c r="G150" s="20" t="n">
        <v>0.1511666839273277</v>
      </c>
      <c r="H150" s="16">
        <f>'00_TONG_HOP_BAO_GIA'!G28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Ke góc và vít ghép khung Louver</t>
        </is>
      </c>
    </row>
    <row r="151">
      <c r="A151" t="inlineStr">
        <is>
          <t>SW-DIFF-027-PAINT</t>
        </is>
      </c>
      <c r="B151" t="inlineStr">
        <is>
          <t>SW-DIFF-027</t>
        </is>
      </c>
      <c r="C151" t="inlineStr">
        <is>
          <t>Sơn tĩnh điện tiêu chuẩn Polyester</t>
        </is>
      </c>
      <c r="D151" t="inlineStr">
        <is>
          <t>SƠN_TĨNH_ĐIỆN</t>
        </is>
      </c>
      <c r="E151" t="inlineStr">
        <is>
          <t>MAT-PAINT-POWDER</t>
        </is>
      </c>
      <c r="F151" t="inlineStr">
        <is>
          <t>m2</t>
        </is>
      </c>
      <c r="G151" s="20" t="n">
        <v>1.503289380415906</v>
      </c>
      <c r="H151" s="16">
        <f>'00_TONG_HOP_BAO_GIA'!G28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Sơn tĩnh điện khung và nan Louver</t>
        </is>
      </c>
    </row>
    <row r="152">
      <c r="A152" t="inlineStr">
        <is>
          <t>SW-DIFF-027-MESH</t>
        </is>
      </c>
      <c r="B152" t="inlineStr">
        <is>
          <t>SW-DIFF-027</t>
        </is>
      </c>
      <c r="C152" t="inlineStr">
        <is>
          <t>Lưới chắn côn trùng Inox 304 (LCCT)</t>
        </is>
      </c>
      <c r="D152" t="inlineStr">
        <is>
          <t>PHỤ_KIỆN_CỬA</t>
        </is>
      </c>
      <c r="E152" t="inlineStr">
        <is>
          <t>MAT-MESH-INOX-304</t>
        </is>
      </c>
      <c r="F152" t="inlineStr">
        <is>
          <t>m2</t>
        </is>
      </c>
      <c r="G152" s="20" t="n">
        <v>0.7784055241682361</v>
      </c>
      <c r="H152" s="16">
        <f>'00_TONG_HOP_BAO_GIA'!G28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Lưới chắn côn trùng cổ 1650x750mm</t>
        </is>
      </c>
    </row>
    <row r="153">
      <c r="A153" t="inlineStr">
        <is>
          <t>SW-DIFF-028-FRAME</t>
        </is>
      </c>
      <c r="B153" t="inlineStr">
        <is>
          <t>SW-DIFF-028</t>
        </is>
      </c>
      <c r="C153" t="inlineStr">
        <is>
          <t>Khung nhôm định hình Louver (SWL)</t>
        </is>
      </c>
      <c r="D153" t="inlineStr">
        <is>
          <t>NHÔM_ĐỊNH_HÌNH</t>
        </is>
      </c>
      <c r="E153" t="inlineStr">
        <is>
          <t>MAT-ALU-KHUNG-Z-2-LOP</t>
        </is>
      </c>
      <c r="F153" t="inlineStr">
        <is>
          <t>kg</t>
        </is>
      </c>
      <c r="G153" s="20" t="n">
        <v>1.049343103759376</v>
      </c>
      <c r="H153" s="16">
        <f>'00_TONG_HOP_BAO_GIA'!G29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Khung Louver phủ bì 1800x450mm</t>
        </is>
      </c>
    </row>
    <row r="154">
      <c r="A154" t="inlineStr">
        <is>
          <t>SW-DIFF-028-BLADE</t>
        </is>
      </c>
      <c r="B154" t="inlineStr">
        <is>
          <t>SW-DIFF-028</t>
        </is>
      </c>
      <c r="C154" t="inlineStr">
        <is>
          <t>Nan Z Louver &amp; thanh tăng cứng (9 nan)</t>
        </is>
      </c>
      <c r="D154" t="inlineStr">
        <is>
          <t>NHÔM_ĐỊNH_HÌNH</t>
        </is>
      </c>
      <c r="E154" t="inlineStr">
        <is>
          <t>MAT-ALU-NAN-Z-DAY</t>
        </is>
      </c>
      <c r="F154" t="inlineStr">
        <is>
          <t>kg</t>
        </is>
      </c>
      <c r="G154" s="20" t="n">
        <v>3.572204303352843</v>
      </c>
      <c r="H154" s="16">
        <f>'00_TONG_HOP_BAO_GIA'!G29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9 nan Z dày @ 0.217kg/m + thanh giằng</t>
        </is>
      </c>
    </row>
    <row r="155">
      <c r="A155" t="inlineStr">
        <is>
          <t>SW-DIFF-028-ACCESSORY</t>
        </is>
      </c>
      <c r="B155" t="inlineStr">
        <is>
          <t>SW-DIFF-028</t>
        </is>
      </c>
      <c r="C155" t="inlineStr">
        <is>
          <t>Phụ kiện lắp ghép / Ke góc cửa gió</t>
        </is>
      </c>
      <c r="D155" t="inlineStr">
        <is>
          <t>PHỤ_KIỆN_CỬA</t>
        </is>
      </c>
      <c r="E155" t="inlineStr">
        <is>
          <t>MAT-DOOR-ACCESSORY</t>
        </is>
      </c>
      <c r="F155" t="inlineStr">
        <is>
          <t>Bộ</t>
        </is>
      </c>
      <c r="G155" s="20" t="n">
        <v>0.08001398756739493</v>
      </c>
      <c r="H155" s="16">
        <f>'00_TONG_HOP_BAO_GIA'!G29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Ke góc và vít ghép khung Louver</t>
        </is>
      </c>
    </row>
    <row r="156">
      <c r="A156" t="inlineStr">
        <is>
          <t>SW-DIFF-028-PAINT</t>
        </is>
      </c>
      <c r="B156" t="inlineStr">
        <is>
          <t>SW-DIFF-028</t>
        </is>
      </c>
      <c r="C156" t="inlineStr">
        <is>
          <t>Sơn tĩnh điện tiêu chuẩn Polyester</t>
        </is>
      </c>
      <c r="D156" t="inlineStr">
        <is>
          <t>SƠN_TĨNH_ĐIỆN</t>
        </is>
      </c>
      <c r="E156" t="inlineStr">
        <is>
          <t>MAT-PAINT-POWDER</t>
        </is>
      </c>
      <c r="F156" t="inlineStr">
        <is>
          <t>m2</t>
        </is>
      </c>
      <c r="G156" s="20" t="n">
        <v>0.9245475062257953</v>
      </c>
      <c r="H156" s="16">
        <f>'00_TONG_HOP_BAO_GIA'!G29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Sơn tĩnh điện khung và nan Louver</t>
        </is>
      </c>
    </row>
    <row r="157">
      <c r="A157" t="inlineStr">
        <is>
          <t>SW-DIFF-028-MESH</t>
        </is>
      </c>
      <c r="B157" t="inlineStr">
        <is>
          <t>SW-DIFF-028</t>
        </is>
      </c>
      <c r="C157" t="inlineStr">
        <is>
          <t>Lưới chắn côn trùng Inox 304 (LCCT)</t>
        </is>
      </c>
      <c r="D157" t="inlineStr">
        <is>
          <t>PHỤ_KIỆN_CỬA</t>
        </is>
      </c>
      <c r="E157" t="inlineStr">
        <is>
          <t>MAT-MESH-INOX-304</t>
        </is>
      </c>
      <c r="F157" t="inlineStr">
        <is>
          <t>m2</t>
        </is>
      </c>
      <c r="G157" s="20" t="n">
        <v>0.4394224733207784</v>
      </c>
      <c r="H157" s="16">
        <f>'00_TONG_HOP_BAO_GIA'!G29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Lưới chắn côn trùng cổ 1750x400mm</t>
        </is>
      </c>
    </row>
    <row r="158">
      <c r="A158" t="inlineStr">
        <is>
          <t>SW-DIFF-045-FRAME</t>
        </is>
      </c>
      <c r="B158" t="inlineStr">
        <is>
          <t>SW-DIFF-045</t>
        </is>
      </c>
      <c r="C158" t="inlineStr">
        <is>
          <t>Khung nhôm định hình (1 lớp BD)</t>
        </is>
      </c>
      <c r="D158" t="inlineStr">
        <is>
          <t>NHÔM_ĐỊNH_HÌNH</t>
        </is>
      </c>
      <c r="E158" t="inlineStr">
        <is>
          <t>MAT-ALU-KHUNG-BD</t>
        </is>
      </c>
      <c r="F158" t="inlineStr">
        <is>
          <t>kg</t>
        </is>
      </c>
      <c r="G158" s="20" t="n">
        <v>0.3756807990190791</v>
      </c>
      <c r="H158" s="16">
        <f>'00_TONG_HOP_BAO_GIA'!G46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Khung bao 1000x90mm (cổ 950x50mm)</t>
        </is>
      </c>
    </row>
    <row r="159">
      <c r="A159" t="inlineStr">
        <is>
          <t>SW-DIFF-045-BLADE</t>
        </is>
      </c>
      <c r="B159" t="inlineStr">
        <is>
          <t>SW-DIFF-045</t>
        </is>
      </c>
      <c r="C159" t="inlineStr">
        <is>
          <t>Nan nhôm bầu dục (2 nan)</t>
        </is>
      </c>
      <c r="D159" t="inlineStr">
        <is>
          <t>NHÔM_ĐỊNH_HÌNH</t>
        </is>
      </c>
      <c r="E159" t="inlineStr">
        <is>
          <t>MAT-ALU-NAN-BD</t>
        </is>
      </c>
      <c r="F159" t="inlineStr">
        <is>
          <t>kg</t>
        </is>
      </c>
      <c r="G159" s="20" t="n">
        <v>0.1034173262687413</v>
      </c>
      <c r="H159" s="16">
        <f>'00_TONG_HOP_BAO_GIA'!G46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Nan bầu dục @ 0.058kg/m</t>
        </is>
      </c>
    </row>
    <row r="160">
      <c r="A160" t="inlineStr">
        <is>
          <t>SW-DIFF-045-ACCESSORY</t>
        </is>
      </c>
      <c r="B160" t="inlineStr">
        <is>
          <t>SW-DIFF-045</t>
        </is>
      </c>
      <c r="C160" t="inlineStr">
        <is>
          <t>Phụ kiện lắp ghép / Ke góc cửa gió</t>
        </is>
      </c>
      <c r="D160" t="inlineStr">
        <is>
          <t>PHỤ_KIỆN_CỬA</t>
        </is>
      </c>
      <c r="E160" t="inlineStr">
        <is>
          <t>MAT-DOOR-ACCESSORY</t>
        </is>
      </c>
      <c r="F160" t="inlineStr">
        <is>
          <t>Bộ</t>
        </is>
      </c>
      <c r="G160" s="20" t="n">
        <v>0.008934055772036454</v>
      </c>
      <c r="H160" s="16">
        <f>'00_TONG_HOP_BAO_GIA'!G46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4 ke góc chìm và vít ghép khung</t>
        </is>
      </c>
    </row>
    <row r="161">
      <c r="A161" t="inlineStr">
        <is>
          <t>SW-DIFF-045-PAINT</t>
        </is>
      </c>
      <c r="B161" t="inlineStr">
        <is>
          <t>SW-DIFF-045</t>
        </is>
      </c>
      <c r="C161" t="inlineStr">
        <is>
          <t>Sơn tĩnh điện tiêu chuẩn Polyester</t>
        </is>
      </c>
      <c r="D161" t="inlineStr">
        <is>
          <t>SƠN_TĨNH_ĐIỆN</t>
        </is>
      </c>
      <c r="E161" t="inlineStr">
        <is>
          <t>MAT-PAINT-POWDER</t>
        </is>
      </c>
      <c r="F161" t="inlineStr">
        <is>
          <t>m2</t>
        </is>
      </c>
      <c r="G161" s="20" t="n">
        <v>0.1056530924947182</v>
      </c>
      <c r="H161" s="16">
        <f>'00_TONG_HOP_BAO_GIA'!G46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Sơn tĩnh điện hoàn thiện</t>
        </is>
      </c>
    </row>
    <row r="162">
      <c r="A162" t="inlineStr">
        <is>
          <t>SW-DIFF-045-OBD-FRAME</t>
        </is>
      </c>
      <c r="B162" t="inlineStr">
        <is>
          <t>SW-DIFF-045</t>
        </is>
      </c>
      <c r="C162" t="inlineStr">
        <is>
          <t>Khung nhôm van OBD gắn cửa (SOBD)</t>
        </is>
      </c>
      <c r="D162" t="inlineStr">
        <is>
          <t>NHÔM_ĐỊNH_HÌNH</t>
        </is>
      </c>
      <c r="E162" t="inlineStr">
        <is>
          <t>MAT-ALU-KHUNG-OBD</t>
        </is>
      </c>
      <c r="F162" t="inlineStr">
        <is>
          <t>kg</t>
        </is>
      </c>
      <c r="G162" s="20" t="n">
        <v>0.2750558546408662</v>
      </c>
      <c r="H162" s="16">
        <f>'00_TONG_HOP_BAO_GIA'!G46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Khung OBD 950x50mm</t>
        </is>
      </c>
    </row>
    <row r="163">
      <c r="A163" t="inlineStr">
        <is>
          <t>SW-DIFF-045-OBD-BLADE</t>
        </is>
      </c>
      <c r="B163" t="inlineStr">
        <is>
          <t>SW-DIFF-045</t>
        </is>
      </c>
      <c r="C163" t="inlineStr">
        <is>
          <t>Nan nhôm &amp; thanh truyền van OBD (SOBD)</t>
        </is>
      </c>
      <c r="D163" t="inlineStr">
        <is>
          <t>NHÔM_ĐỊNH_HÌNH</t>
        </is>
      </c>
      <c r="E163" t="inlineStr">
        <is>
          <t>MAT-ALU-NAN-OBD</t>
        </is>
      </c>
      <c r="F163" t="inlineStr">
        <is>
          <t>kg</t>
        </is>
      </c>
      <c r="G163" s="20" t="n">
        <v>0.1033635529702622</v>
      </c>
      <c r="H163" s="16">
        <f>'00_TONG_HOP_BAO_GIA'!G46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Nan OBD đối xứng &amp; thanh liên kết</t>
        </is>
      </c>
    </row>
    <row r="164">
      <c r="A164" t="inlineStr">
        <is>
          <t>SW-DIFF-045-OBD-ACC</t>
        </is>
      </c>
      <c r="B164" t="inlineStr">
        <is>
          <t>SW-DIFF-045</t>
        </is>
      </c>
      <c r="C164" t="inlineStr">
        <is>
          <t>Bánh răng nhựa &amp; phụ kiện van OBD</t>
        </is>
      </c>
      <c r="D164" t="inlineStr">
        <is>
          <t>PHỤ_KIỆN_CỬA</t>
        </is>
      </c>
      <c r="E164" t="inlineStr">
        <is>
          <t>MAT-DOOR-ACCESSORY</t>
        </is>
      </c>
      <c r="F164" t="inlineStr">
        <is>
          <t>Bộ</t>
        </is>
      </c>
      <c r="G164" s="20" t="n">
        <v>1.959600691727887</v>
      </c>
      <c r="H164" s="16">
        <f>'00_TONG_HOP_BAO_GIA'!G46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Cơ cấu bánh răng đóng mở OBD</t>
        </is>
      </c>
    </row>
    <row r="165">
      <c r="A165" t="inlineStr">
        <is>
          <t>SW-DIFF-046-FRAME</t>
        </is>
      </c>
      <c r="B165" t="inlineStr">
        <is>
          <t>SW-DIFF-046</t>
        </is>
      </c>
      <c r="C165" t="inlineStr">
        <is>
          <t>Khung nhôm định hình (1 lớp BD)</t>
        </is>
      </c>
      <c r="D165" t="inlineStr">
        <is>
          <t>NHÔM_ĐỊNH_HÌNH</t>
        </is>
      </c>
      <c r="E165" t="inlineStr">
        <is>
          <t>MAT-ALU-KHUNG-BD</t>
        </is>
      </c>
      <c r="F165" t="inlineStr">
        <is>
          <t>kg</t>
        </is>
      </c>
      <c r="G165" s="20" t="n">
        <v>0.3756807990190791</v>
      </c>
      <c r="H165" s="16">
        <f>'00_TONG_HOP_BAO_GIA'!G47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Khung bao 1000x90mm (cổ 950x50mm)</t>
        </is>
      </c>
    </row>
    <row r="166">
      <c r="A166" t="inlineStr">
        <is>
          <t>SW-DIFF-046-BLADE</t>
        </is>
      </c>
      <c r="B166" t="inlineStr">
        <is>
          <t>SW-DIFF-046</t>
        </is>
      </c>
      <c r="C166" t="inlineStr">
        <is>
          <t>Nan nhôm bầu dục (2 nan)</t>
        </is>
      </c>
      <c r="D166" t="inlineStr">
        <is>
          <t>NHÔM_ĐỊNH_HÌNH</t>
        </is>
      </c>
      <c r="E166" t="inlineStr">
        <is>
          <t>MAT-ALU-NAN-BD</t>
        </is>
      </c>
      <c r="F166" t="inlineStr">
        <is>
          <t>kg</t>
        </is>
      </c>
      <c r="G166" s="20" t="n">
        <v>0.1034173262687413</v>
      </c>
      <c r="H166" s="16">
        <f>'00_TONG_HOP_BAO_GIA'!G47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Nan bầu dục @ 0.058kg/m</t>
        </is>
      </c>
    </row>
    <row r="167">
      <c r="A167" t="inlineStr">
        <is>
          <t>SW-DIFF-046-ACCESSORY</t>
        </is>
      </c>
      <c r="B167" t="inlineStr">
        <is>
          <t>SW-DIFF-046</t>
        </is>
      </c>
      <c r="C167" t="inlineStr">
        <is>
          <t>Phụ kiện lắp ghép / Ke góc cửa gió</t>
        </is>
      </c>
      <c r="D167" t="inlineStr">
        <is>
          <t>PHỤ_KIỆN_CỬA</t>
        </is>
      </c>
      <c r="E167" t="inlineStr">
        <is>
          <t>MAT-DOOR-ACCESSORY</t>
        </is>
      </c>
      <c r="F167" t="inlineStr">
        <is>
          <t>Bộ</t>
        </is>
      </c>
      <c r="G167" s="20" t="n">
        <v>0.008934055772036454</v>
      </c>
      <c r="H167" s="16">
        <f>'00_TONG_HOP_BAO_GIA'!G47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4 ke góc chìm và vít ghép khung</t>
        </is>
      </c>
    </row>
    <row r="168">
      <c r="A168" t="inlineStr">
        <is>
          <t>SW-DIFF-046-PAINT</t>
        </is>
      </c>
      <c r="B168" t="inlineStr">
        <is>
          <t>SW-DIFF-046</t>
        </is>
      </c>
      <c r="C168" t="inlineStr">
        <is>
          <t>Sơn tĩnh điện tiêu chuẩn Polyester</t>
        </is>
      </c>
      <c r="D168" t="inlineStr">
        <is>
          <t>SƠN_TĨNH_ĐIỆN</t>
        </is>
      </c>
      <c r="E168" t="inlineStr">
        <is>
          <t>MAT-PAINT-POWDER</t>
        </is>
      </c>
      <c r="F168" t="inlineStr">
        <is>
          <t>m2</t>
        </is>
      </c>
      <c r="G168" s="20" t="n">
        <v>0.1056530924947182</v>
      </c>
      <c r="H168" s="16">
        <f>'00_TONG_HOP_BAO_GIA'!G47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Sơn tĩnh điện hoàn thiện</t>
        </is>
      </c>
    </row>
    <row r="169">
      <c r="A169" t="inlineStr">
        <is>
          <t>SW-DIFF-046-FILTER</t>
        </is>
      </c>
      <c r="B169" t="inlineStr">
        <is>
          <t>SW-DIFF-046</t>
        </is>
      </c>
      <c r="C169" t="inlineStr">
        <is>
          <t>Lưới lọc bụi sơ cấp G4 kèm khung nhôm</t>
        </is>
      </c>
      <c r="D169" t="inlineStr">
        <is>
          <t>PHỤ_KIỆN_CỬA</t>
        </is>
      </c>
      <c r="E169" t="inlineStr">
        <is>
          <t>MAT-FILTER-G4</t>
        </is>
      </c>
      <c r="F169" t="inlineStr">
        <is>
          <t>m2</t>
        </is>
      </c>
      <c r="G169" s="20" t="n">
        <v>0.04957234777150032</v>
      </c>
      <c r="H169" s="16">
        <f>'00_TONG_HOP_BAO_GIA'!G47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Phin lọc bụi cổ 950x50mm</t>
        </is>
      </c>
    </row>
    <row r="170">
      <c r="A170" t="inlineStr">
        <is>
          <t>SW-DIFF-046-OBD-FRAME</t>
        </is>
      </c>
      <c r="B170" t="inlineStr">
        <is>
          <t>SW-DIFF-046</t>
        </is>
      </c>
      <c r="C170" t="inlineStr">
        <is>
          <t>Khung nhôm van OBD gắn cửa (SOBD)</t>
        </is>
      </c>
      <c r="D170" t="inlineStr">
        <is>
          <t>NHÔM_ĐỊNH_HÌNH</t>
        </is>
      </c>
      <c r="E170" t="inlineStr">
        <is>
          <t>MAT-ALU-KHUNG-OBD</t>
        </is>
      </c>
      <c r="F170" t="inlineStr">
        <is>
          <t>kg</t>
        </is>
      </c>
      <c r="G170" s="20" t="n">
        <v>0.2750558546408662</v>
      </c>
      <c r="H170" s="16">
        <f>'00_TONG_HOP_BAO_GIA'!G47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Khung OBD 950x50mm</t>
        </is>
      </c>
    </row>
    <row r="171">
      <c r="A171" t="inlineStr">
        <is>
          <t>SW-DIFF-046-OBD-BLADE</t>
        </is>
      </c>
      <c r="B171" t="inlineStr">
        <is>
          <t>SW-DIFF-046</t>
        </is>
      </c>
      <c r="C171" t="inlineStr">
        <is>
          <t>Nan nhôm &amp; thanh truyền van OBD (SOBD)</t>
        </is>
      </c>
      <c r="D171" t="inlineStr">
        <is>
          <t>NHÔM_ĐỊNH_HÌNH</t>
        </is>
      </c>
      <c r="E171" t="inlineStr">
        <is>
          <t>MAT-ALU-NAN-OBD</t>
        </is>
      </c>
      <c r="F171" t="inlineStr">
        <is>
          <t>kg</t>
        </is>
      </c>
      <c r="G171" s="20" t="n">
        <v>0.1033635529702622</v>
      </c>
      <c r="H171" s="16">
        <f>'00_TONG_HOP_BAO_GIA'!G47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Nan OBD đối xứng &amp; thanh liên kết</t>
        </is>
      </c>
    </row>
    <row r="172">
      <c r="A172" t="inlineStr">
        <is>
          <t>SW-DIFF-046-OBD-ACC</t>
        </is>
      </c>
      <c r="B172" t="inlineStr">
        <is>
          <t>SW-DIFF-046</t>
        </is>
      </c>
      <c r="C172" t="inlineStr">
        <is>
          <t>Bánh răng nhựa &amp; phụ kiện van OBD</t>
        </is>
      </c>
      <c r="D172" t="inlineStr">
        <is>
          <t>PHỤ_KIỆN_CỬA</t>
        </is>
      </c>
      <c r="E172" t="inlineStr">
        <is>
          <t>MAT-DOOR-ACCESSORY</t>
        </is>
      </c>
      <c r="F172" t="inlineStr">
        <is>
          <t>Bộ</t>
        </is>
      </c>
      <c r="G172" s="20" t="n">
        <v>1.959600691727887</v>
      </c>
      <c r="H172" s="16">
        <f>'00_TONG_HOP_BAO_GIA'!G47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SW-DAMPER-029-BODY</t>
        </is>
      </c>
      <c r="B2" t="inlineStr">
        <is>
          <t>SW-DAMPER-029</t>
        </is>
      </c>
      <c r="C2" t="inlineStr">
        <is>
          <t>Thân vỏ van MFD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0" t="n">
        <v>3.029807820958935</v>
      </c>
      <c r="H2" s="16">
        <f>'00_TONG_HOP_BAO_GIA'!G30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Kích thước vỏ 200x200x200mm</t>
        </is>
      </c>
    </row>
    <row r="3">
      <c r="A3" t="inlineStr">
        <is>
          <t>SW-DAMPER-029-BLADE</t>
        </is>
      </c>
      <c r="B3" t="inlineStr">
        <is>
          <t>SW-DAMPER-029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0" t="n">
        <v>1.017824076915742</v>
      </c>
      <c r="H3" s="16">
        <f>'00_TONG_HOP_BAO_GIA'!G30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Tôn bọc cánh &amp; thân (1 cánh/modul)</t>
        </is>
      </c>
    </row>
    <row r="4">
      <c r="A4" t="inlineStr">
        <is>
          <t>SW-DAMPER-029-AXLE</t>
        </is>
      </c>
      <c r="B4" t="inlineStr">
        <is>
          <t>SW-DAMPER-029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0" t="n">
        <v>0.3664279423955871</v>
      </c>
      <c r="H4" s="16">
        <f>'00_TONG_HOP_BAO_GIA'!G30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1 trục dài 260mm</t>
        </is>
      </c>
    </row>
    <row r="5">
      <c r="A5" t="inlineStr">
        <is>
          <t>SW-DAMPER-029-BEARING</t>
        </is>
      </c>
      <c r="B5" t="inlineStr">
        <is>
          <t>SW-DAMPER-029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0" t="n">
        <v>1</v>
      </c>
      <c r="H5" s="16">
        <f>'00_TONG_HOP_BAO_GIA'!G30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1 đôi bạc đỡ 2 bên thân</t>
        </is>
      </c>
    </row>
    <row r="6">
      <c r="A6" t="inlineStr">
        <is>
          <t>SW-DAMPER-029-ACTUATOR</t>
        </is>
      </c>
      <c r="B6" t="inlineStr">
        <is>
          <t>SW-DAMPER-029</t>
        </is>
      </c>
      <c r="C6" t="inlineStr">
        <is>
          <t>Động cơ chặn lửa ON/OFF KLB (Swin V6006FS500S EI90) 5Nm</t>
        </is>
      </c>
      <c r="D6" t="inlineStr">
        <is>
          <t>ĐỘNG_CƠ_VÀ_CẢM_BIẾN</t>
        </is>
      </c>
      <c r="E6" t="inlineStr">
        <is>
          <t>MAT-ACTUATOR-KLB-V6006FS500S</t>
        </is>
      </c>
      <c r="F6" t="inlineStr">
        <is>
          <t>Cái</t>
        </is>
      </c>
      <c r="G6" s="20" t="n">
        <v>1</v>
      </c>
      <c r="H6" s="16">
        <f>'00_TONG_HOP_BAO_GIA'!G30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Động cơ lò xo phản hồi MFD (1 bộ)</t>
        </is>
      </c>
    </row>
    <row r="7">
      <c r="A7" t="inlineStr">
        <is>
          <t>SW-DAMPER-029-FB10-BODY</t>
        </is>
      </c>
      <c r="B7" t="inlineStr">
        <is>
          <t>SW-DAMPER-029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0" t="n">
        <v>0.6764823551918531</v>
      </c>
      <c r="H7" s="16">
        <f>'00_TONG_HOP_BAO_GIA'!G30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Bọc 2 lớp tấm 10mm quanh thân L=300mm</t>
        </is>
      </c>
    </row>
    <row r="8">
      <c r="A8" t="inlineStr">
        <is>
          <t>SW-DAMPER-029-FB20-BLADE</t>
        </is>
      </c>
      <c r="B8" t="inlineStr">
        <is>
          <t>SW-DAMPER-029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0" t="n">
        <v>0.0563735295993211</v>
      </c>
      <c r="H8" s="16">
        <f>'00_TONG_HOP_BAO_GIA'!G30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Lõi cánh tấm 20mm (Cánh đơn 200x200mm)</t>
        </is>
      </c>
    </row>
    <row r="9">
      <c r="A9" t="inlineStr">
        <is>
          <t>SW-DAMPER-029-FB10-BLADE</t>
        </is>
      </c>
      <c r="B9" t="inlineStr">
        <is>
          <t>SW-DAMPER-029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0" t="n">
        <v>0.1127470591986422</v>
      </c>
      <c r="H9" s="16">
        <f>'00_TONG_HOP_BAO_GIA'!G30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Ốp 2 mặt cánh tấm 10mm (Cánh đơn 200x200mm)</t>
        </is>
      </c>
    </row>
    <row r="10">
      <c r="A10" t="inlineStr">
        <is>
          <t>SW-DAMPER-029-SPRING-BOX</t>
        </is>
      </c>
      <c r="B10" t="inlineStr">
        <is>
          <t>SW-DAMPER-029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0" t="n">
        <v>1</v>
      </c>
      <c r="H10" s="16">
        <f>'00_TONG_HOP_BAO_GIA'!G30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Hộp lò xo cơ cấu đóng sập (1 bộ)</t>
        </is>
      </c>
    </row>
    <row r="11">
      <c r="A11" t="inlineStr">
        <is>
          <t>SW-DAMPER-029-SILICON-BOLT</t>
        </is>
      </c>
      <c r="B11" t="inlineStr">
        <is>
          <t>SW-DAMPER-029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0" t="n">
        <v>1</v>
      </c>
      <c r="H11" s="16">
        <f>'00_TONG_HOP_BAO_GIA'!G30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SW-DAMPER-030-BODY</t>
        </is>
      </c>
      <c r="B12" t="inlineStr">
        <is>
          <t>SW-DAMPER-030</t>
        </is>
      </c>
      <c r="C12" t="inlineStr">
        <is>
          <t>Thân vỏ van MFD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0" t="n">
        <v>3.582547799160102</v>
      </c>
      <c r="H12" s="16">
        <f>'00_TONG_HOP_BAO_GIA'!G31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Kích thước vỏ 300x200x200mm</t>
        </is>
      </c>
    </row>
    <row r="13">
      <c r="A13" t="inlineStr">
        <is>
          <t>SW-DAMPER-030-BLADE</t>
        </is>
      </c>
      <c r="B13" t="inlineStr">
        <is>
          <t>SW-DAMPER-030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0" t="n">
        <v>1.458098412356573</v>
      </c>
      <c r="H13" s="16">
        <f>'00_TONG_HOP_BAO_GIA'!G31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Tôn bọc cánh &amp; thân (1 cánh/modul)</t>
        </is>
      </c>
    </row>
    <row r="14">
      <c r="A14" t="inlineStr">
        <is>
          <t>SW-DAMPER-030-AXLE</t>
        </is>
      </c>
      <c r="B14" t="inlineStr">
        <is>
          <t>SW-DAMPER-030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0" t="n">
        <v>0.484552227867042</v>
      </c>
      <c r="H14" s="16">
        <f>'00_TONG_HOP_BAO_GIA'!G31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1 trục dài 360mm</t>
        </is>
      </c>
    </row>
    <row r="15">
      <c r="A15" t="inlineStr">
        <is>
          <t>SW-DAMPER-030-BEARING</t>
        </is>
      </c>
      <c r="B15" t="inlineStr">
        <is>
          <t>SW-DAMPER-030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0" t="n">
        <v>1</v>
      </c>
      <c r="H15" s="16">
        <f>'00_TONG_HOP_BAO_GIA'!G31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1 đôi bạc đỡ 2 bên thân</t>
        </is>
      </c>
    </row>
    <row r="16">
      <c r="A16" t="inlineStr">
        <is>
          <t>SW-DAMPER-030-ACTUATOR</t>
        </is>
      </c>
      <c r="B16" t="inlineStr">
        <is>
          <t>SW-DAMPER-030</t>
        </is>
      </c>
      <c r="C16" t="inlineStr">
        <is>
          <t>Động cơ chặn lửa ON/OFF KLB (Swin V6006FS500S EI90) 5Nm</t>
        </is>
      </c>
      <c r="D16" t="inlineStr">
        <is>
          <t>ĐỘNG_CƠ_VÀ_CẢM_BIẾN</t>
        </is>
      </c>
      <c r="E16" t="inlineStr">
        <is>
          <t>MAT-ACTUATOR-KLB-V6006FS500S</t>
        </is>
      </c>
      <c r="F16" t="inlineStr">
        <is>
          <t>Cái</t>
        </is>
      </c>
      <c r="G16" s="20" t="n">
        <v>1</v>
      </c>
      <c r="H16" s="16">
        <f>'00_TONG_HOP_BAO_GIA'!G31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Động cơ lò xo phản hồi MFD (1 bộ)</t>
        </is>
      </c>
    </row>
    <row r="17">
      <c r="A17" t="inlineStr">
        <is>
          <t>SW-DAMPER-030-FB10-BODY</t>
        </is>
      </c>
      <c r="B17" t="inlineStr">
        <is>
          <t>SW-DAMPER-030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0" t="n">
        <v>0.80758704644507</v>
      </c>
      <c r="H17" s="16">
        <f>'00_TONG_HOP_BAO_GIA'!G31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Bọc 2 lớp tấm 10mm quanh thân L=300mm</t>
        </is>
      </c>
    </row>
    <row r="18">
      <c r="A18" t="inlineStr">
        <is>
          <t>SW-DAMPER-030-FB20-BLADE</t>
        </is>
      </c>
      <c r="B18" t="inlineStr">
        <is>
          <t>SW-DAMPER-030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0" t="n">
        <v>0.080758704644507</v>
      </c>
      <c r="H18" s="16">
        <f>'00_TONG_HOP_BAO_GIA'!G31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Lõi cánh tấm 20mm (Cánh đơn 300x200mm)</t>
        </is>
      </c>
    </row>
    <row r="19">
      <c r="A19" t="inlineStr">
        <is>
          <t>SW-DAMPER-030-FB10-BLADE</t>
        </is>
      </c>
      <c r="B19" t="inlineStr">
        <is>
          <t>SW-DAMPER-030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0" t="n">
        <v>0.161517409289014</v>
      </c>
      <c r="H19" s="16">
        <f>'00_TONG_HOP_BAO_GIA'!G31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Ốp 2 mặt cánh tấm 10mm (Cánh đơn 300x200mm)</t>
        </is>
      </c>
    </row>
    <row r="20">
      <c r="A20" t="inlineStr">
        <is>
          <t>SW-DAMPER-030-SPRING-BOX</t>
        </is>
      </c>
      <c r="B20" t="inlineStr">
        <is>
          <t>SW-DAMPER-030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0" t="n">
        <v>1</v>
      </c>
      <c r="H20" s="16">
        <f>'00_TONG_HOP_BAO_GIA'!G31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Hộp lò xo cơ cấu đóng sập (1 bộ)</t>
        </is>
      </c>
    </row>
    <row r="21">
      <c r="A21" t="inlineStr">
        <is>
          <t>SW-DAMPER-030-SILICON-BOLT</t>
        </is>
      </c>
      <c r="B21" t="inlineStr">
        <is>
          <t>SW-DAMPER-030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0" t="n">
        <v>1</v>
      </c>
      <c r="H21" s="16">
        <f>'00_TONG_HOP_BAO_GIA'!G31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SW-DAMPER-031-BODY</t>
        </is>
      </c>
      <c r="B22" t="inlineStr">
        <is>
          <t>SW-DAMPER-031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0" t="n">
        <v>5.919548391994504</v>
      </c>
      <c r="H22" s="16">
        <f>'00_TONG_HOP_BAO_GIA'!G32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Kích thước vỏ 500x400x200mm</t>
        </is>
      </c>
    </row>
    <row r="23">
      <c r="A23" t="inlineStr">
        <is>
          <t>SW-DAMPER-031-BLADE</t>
        </is>
      </c>
      <c r="B23" t="inlineStr">
        <is>
          <t>SW-DAMPER-031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0" t="n">
        <v>4.539182878609387</v>
      </c>
      <c r="H23" s="16">
        <f>'00_TONG_HOP_BAO_GIA'!G32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Tôn bọc cánh &amp; thân (1 cánh/modul)</t>
        </is>
      </c>
    </row>
    <row r="24">
      <c r="A24" t="inlineStr">
        <is>
          <t>SW-DAMPER-031-AXLE</t>
        </is>
      </c>
      <c r="B24" t="inlineStr">
        <is>
          <t>SW-DAMPER-031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0" t="n">
        <v>0.7039441739189305</v>
      </c>
      <c r="H24" s="16">
        <f>'00_TONG_HOP_BAO_GIA'!G32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1 trục dài 560mm</t>
        </is>
      </c>
    </row>
    <row r="25">
      <c r="A25" t="inlineStr">
        <is>
          <t>SW-DAMPER-031-BEARING</t>
        </is>
      </c>
      <c r="B25" t="inlineStr">
        <is>
          <t>SW-DAMPER-031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0" t="n">
        <v>1</v>
      </c>
      <c r="H25" s="16">
        <f>'00_TONG_HOP_BAO_GIA'!G32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1 đôi bạc đỡ 2 bên thân</t>
        </is>
      </c>
    </row>
    <row r="26">
      <c r="A26" t="inlineStr">
        <is>
          <t>SW-DAMPER-031-ACTUATOR</t>
        </is>
      </c>
      <c r="B26" t="inlineStr">
        <is>
          <t>SW-DAMPER-031</t>
        </is>
      </c>
      <c r="C26" t="inlineStr">
        <is>
          <t>Động cơ chặn lửa ON/OFF KLB (Swin V6006FS500S EI90) 5Nm</t>
        </is>
      </c>
      <c r="D26" t="inlineStr">
        <is>
          <t>ĐỘNG_CƠ_VÀ_CẢM_BIẾN</t>
        </is>
      </c>
      <c r="E26" t="inlineStr">
        <is>
          <t>MAT-ACTUATOR-KLB-V6006FS500S</t>
        </is>
      </c>
      <c r="F26" t="inlineStr">
        <is>
          <t>Cái</t>
        </is>
      </c>
      <c r="G26" s="20" t="n">
        <v>1</v>
      </c>
      <c r="H26" s="16">
        <f>'00_TONG_HOP_BAO_GIA'!G32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Động cơ lò xo phản hồi MFD (1 bộ)</t>
        </is>
      </c>
    </row>
    <row r="27">
      <c r="A27" t="inlineStr">
        <is>
          <t>SW-DAMPER-031-FB10-BODY</t>
        </is>
      </c>
      <c r="B27" t="inlineStr">
        <is>
          <t>SW-DAMPER-031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0" t="n">
        <v>1.357606621129366</v>
      </c>
      <c r="H27" s="16">
        <f>'00_TONG_HOP_BAO_GIA'!G32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Bọc 2 lớp tấm 10mm quanh thân L=300mm</t>
        </is>
      </c>
    </row>
    <row r="28">
      <c r="A28" t="inlineStr">
        <is>
          <t>SW-DAMPER-031-FB20-BLADE</t>
        </is>
      </c>
      <c r="B28" t="inlineStr">
        <is>
          <t>SW-DAMPER-031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0" t="n">
        <v>0.2514086335424752</v>
      </c>
      <c r="H28" s="16">
        <f>'00_TONG_HOP_BAO_GIA'!G32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Lõi cánh tấm 20mm (Cánh đơn 500x400mm)</t>
        </is>
      </c>
    </row>
    <row r="29">
      <c r="A29" t="inlineStr">
        <is>
          <t>SW-DAMPER-031-FB10-BLADE</t>
        </is>
      </c>
      <c r="B29" t="inlineStr">
        <is>
          <t>SW-DAMPER-031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0" t="n">
        <v>0.5028172670849503</v>
      </c>
      <c r="H29" s="16">
        <f>'00_TONG_HOP_BAO_GIA'!G32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Ốp 2 mặt cánh tấm 10mm (Cánh đơn 500x400mm)</t>
        </is>
      </c>
    </row>
    <row r="30">
      <c r="A30" t="inlineStr">
        <is>
          <t>SW-DAMPER-031-SPRING-BOX</t>
        </is>
      </c>
      <c r="B30" t="inlineStr">
        <is>
          <t>SW-DAMPER-031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0" t="n">
        <v>1</v>
      </c>
      <c r="H30" s="16">
        <f>'00_TONG_HOP_BAO_GIA'!G32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Hộp lò xo cơ cấu đóng sập (1 bộ)</t>
        </is>
      </c>
    </row>
    <row r="31">
      <c r="A31" t="inlineStr">
        <is>
          <t>SW-DAMPER-031-SILICON-BOLT</t>
        </is>
      </c>
      <c r="B31" t="inlineStr">
        <is>
          <t>SW-DAMPER-031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0" t="n">
        <v>1</v>
      </c>
      <c r="H31" s="16">
        <f>'00_TONG_HOP_BAO_GIA'!G32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Keo silicon chống cháy &amp; phụ kiện lắp ghép (1 bộ)</t>
        </is>
      </c>
    </row>
    <row r="32">
      <c r="A32" t="inlineStr">
        <is>
          <t>SW-DAMPER-032-BODY</t>
        </is>
      </c>
      <c r="B32" t="inlineStr">
        <is>
          <t>SW-DAMPER-032</t>
        </is>
      </c>
      <c r="C32" t="inlineStr">
        <is>
          <t>Thân vỏ van MFD bích C30/TDF (1.15mm)</t>
        </is>
      </c>
      <c r="D32" t="inlineStr">
        <is>
          <t>TÔN_CUỘN_MẠ_KẼM</t>
        </is>
      </c>
      <c r="E32" t="inlineStr">
        <is>
          <t>MAT-STEEL-PN-1.15</t>
        </is>
      </c>
      <c r="F32" t="inlineStr">
        <is>
          <t>kg</t>
        </is>
      </c>
      <c r="G32" s="20" t="n">
        <v>7.054810726999267</v>
      </c>
      <c r="H32" s="16">
        <f>'00_TONG_HOP_BAO_GIA'!G33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Kích thước vỏ 800x300x200mm</t>
        </is>
      </c>
    </row>
    <row r="33">
      <c r="A33" t="inlineStr">
        <is>
          <t>SW-DAMPER-032-BLADE</t>
        </is>
      </c>
      <c r="B33" t="inlineStr">
        <is>
          <t>SW-DAMPER-032</t>
        </is>
      </c>
      <c r="C33" t="inlineStr">
        <is>
          <t>Lá cánh / Tôn tấm bọc van (1 cánh)</t>
        </is>
      </c>
      <c r="D33" t="inlineStr">
        <is>
          <t>TÔN_CUỘN_MẠ_KẼM</t>
        </is>
      </c>
      <c r="E33" t="inlineStr">
        <is>
          <t>MAT-STEEL-PN-1.15</t>
        </is>
      </c>
      <c r="F33" t="inlineStr">
        <is>
          <t>kg</t>
        </is>
      </c>
      <c r="G33" s="20" t="n">
        <v>5.332434411941999</v>
      </c>
      <c r="H33" s="16">
        <f>'00_TONG_HOP_BAO_GIA'!G33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Tôn bọc cánh &amp; thân (1 cánh/modul)</t>
        </is>
      </c>
    </row>
    <row r="34">
      <c r="A34" t="inlineStr">
        <is>
          <t>SW-DAMPER-032-AXLE</t>
        </is>
      </c>
      <c r="B34" t="inlineStr">
        <is>
          <t>SW-DAMPER-032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20" t="n">
        <v>1.05831570069928</v>
      </c>
      <c r="H34" s="16">
        <f>'00_TONG_HOP_BAO_GIA'!G33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1 trục dài 860mm</t>
        </is>
      </c>
    </row>
    <row r="35">
      <c r="A35" t="inlineStr">
        <is>
          <t>SW-DAMPER-032-BEARING</t>
        </is>
      </c>
      <c r="B35" t="inlineStr">
        <is>
          <t>SW-DAMPER-032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20" t="n">
        <v>1</v>
      </c>
      <c r="H35" s="16">
        <f>'00_TONG_HOP_BAO_GIA'!G33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1 đôi bạc đỡ 2 bên thân</t>
        </is>
      </c>
    </row>
    <row r="36">
      <c r="A36" t="inlineStr">
        <is>
          <t>SW-DAMPER-032-ACTUATOR</t>
        </is>
      </c>
      <c r="B36" t="inlineStr">
        <is>
          <t>SW-DAMPER-032</t>
        </is>
      </c>
      <c r="C36" t="inlineStr">
        <is>
          <t>Động cơ chặn lửa ON/OFF KLB (Swin V6006FS500S EI90) 5Nm</t>
        </is>
      </c>
      <c r="D36" t="inlineStr">
        <is>
          <t>ĐỘNG_CƠ_VÀ_CẢM_BIẾN</t>
        </is>
      </c>
      <c r="E36" t="inlineStr">
        <is>
          <t>MAT-ACTUATOR-KLB-V6006FS500S</t>
        </is>
      </c>
      <c r="F36" t="inlineStr">
        <is>
          <t>Cái</t>
        </is>
      </c>
      <c r="G36" s="20" t="n">
        <v>1</v>
      </c>
      <c r="H36" s="16">
        <f>'00_TONG_HOP_BAO_GIA'!G33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Động cơ lò xo phản hồi MFD (1 bộ)</t>
        </is>
      </c>
    </row>
    <row r="37">
      <c r="A37" t="inlineStr">
        <is>
          <t>SW-DAMPER-032-FB10-BODY</t>
        </is>
      </c>
      <c r="B37" t="inlineStr">
        <is>
          <t>SW-DAMPER-032</t>
        </is>
      </c>
      <c r="C37" t="inlineStr">
        <is>
          <t>Tấm chống cháy dày 10mm bọc thân van FD/MFD (2 lớp)</t>
        </is>
      </c>
      <c r="D37" t="inlineStr">
        <is>
          <t>VẬT_LIỆU_CÁCH_NHIỆT</t>
        </is>
      </c>
      <c r="E37" t="inlineStr">
        <is>
          <t>MAT-FIREBOARD-10MM-BODY</t>
        </is>
      </c>
      <c r="F37" t="inlineStr">
        <is>
          <t>m2</t>
        </is>
      </c>
      <c r="G37" s="20" t="n">
        <v>1.624391540608197</v>
      </c>
      <c r="H37" s="16">
        <f>'00_TONG_HOP_BAO_GIA'!G33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Bọc 2 lớp tấm 10mm quanh thân L=300mm</t>
        </is>
      </c>
    </row>
    <row r="38">
      <c r="A38" t="inlineStr">
        <is>
          <t>SW-DAMPER-032-FB20-BLADE</t>
        </is>
      </c>
      <c r="B38" t="inlineStr">
        <is>
          <t>SW-DAMPER-032</t>
        </is>
      </c>
      <c r="C38" t="inlineStr">
        <is>
          <t>Tấm chống cháy dày 20mm làm lõi cánh van FD/MFD</t>
        </is>
      </c>
      <c r="D38" t="inlineStr">
        <is>
          <t>VẬT_LIỆU_CÁCH_NHIỆT</t>
        </is>
      </c>
      <c r="E38" t="inlineStr">
        <is>
          <t>MAT-FIREBOARD-20MM-BLADE</t>
        </is>
      </c>
      <c r="F38" t="inlineStr">
        <is>
          <t>m2</t>
        </is>
      </c>
      <c r="G38" s="20" t="n">
        <v>0.2953439164742177</v>
      </c>
      <c r="H38" s="16">
        <f>'00_TONG_HOP_BAO_GIA'!G33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Lõi cánh tấm 20mm (Cánh đơn 800x300mm)</t>
        </is>
      </c>
    </row>
    <row r="39">
      <c r="A39" t="inlineStr">
        <is>
          <t>SW-DAMPER-032-FB10-BLADE</t>
        </is>
      </c>
      <c r="B39" t="inlineStr">
        <is>
          <t>SW-DAMPER-032</t>
        </is>
      </c>
      <c r="C39" t="inlineStr">
        <is>
          <t>Tấm chống cháy dày 10mm ốp 2 mặt cánh van FD/MFD</t>
        </is>
      </c>
      <c r="D39" t="inlineStr">
        <is>
          <t>VẬT_LIỆU_CÁCH_NHIỆT</t>
        </is>
      </c>
      <c r="E39" t="inlineStr">
        <is>
          <t>MAT-FIREBOARD-10MM-BLADE</t>
        </is>
      </c>
      <c r="F39" t="inlineStr">
        <is>
          <t>m2</t>
        </is>
      </c>
      <c r="G39" s="20" t="n">
        <v>0.5906878329484354</v>
      </c>
      <c r="H39" s="16">
        <f>'00_TONG_HOP_BAO_GIA'!G33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Ốp 2 mặt cánh tấm 10mm (Cánh đơn 800x300mm)</t>
        </is>
      </c>
    </row>
    <row r="40">
      <c r="A40" t="inlineStr">
        <is>
          <t>SW-DAMPER-032-SPRING-BOX</t>
        </is>
      </c>
      <c r="B40" t="inlineStr">
        <is>
          <t>SW-DAMPER-032</t>
        </is>
      </c>
      <c r="C40" t="inlineStr">
        <is>
          <t>Hộp lò xo van chặn lửa FD/MFD</t>
        </is>
      </c>
      <c r="D40" t="inlineStr">
        <is>
          <t>PHỤ_KIỆN_VAN</t>
        </is>
      </c>
      <c r="E40" t="inlineStr">
        <is>
          <t>MAT-DAMPER-HOP-LO-XO</t>
        </is>
      </c>
      <c r="F40" t="inlineStr">
        <is>
          <t>Bộ</t>
        </is>
      </c>
      <c r="G40" s="20" t="n">
        <v>1</v>
      </c>
      <c r="H40" s="16">
        <f>'00_TONG_HOP_BAO_GIA'!G33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Hộp lò xo cơ cấu đóng sập (1 bộ)</t>
        </is>
      </c>
    </row>
    <row r="41">
      <c r="A41" t="inlineStr">
        <is>
          <t>SW-DAMPER-032-SILICON-BOLT</t>
        </is>
      </c>
      <c r="B41" t="inlineStr">
        <is>
          <t>SW-DAMPER-032</t>
        </is>
      </c>
      <c r="C41" t="inlineStr">
        <is>
          <t>Silicon chống cháy + bu lông, ốc vít van FD/MFD</t>
        </is>
      </c>
      <c r="D41" t="inlineStr">
        <is>
          <t>PHỤ_KIỆN_VAN</t>
        </is>
      </c>
      <c r="E41" t="inlineStr">
        <is>
          <t>MAT-DAMPER-SILICON-BULONG-VIT</t>
        </is>
      </c>
      <c r="F41" t="inlineStr">
        <is>
          <t>Bộ</t>
        </is>
      </c>
      <c r="G41" s="20" t="n">
        <v>1</v>
      </c>
      <c r="H41" s="16">
        <f>'00_TONG_HOP_BAO_GIA'!G33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Keo silicon chống cháy &amp; phụ kiện lắp ghép (1 bộ)</t>
        </is>
      </c>
    </row>
    <row r="42">
      <c r="A42" t="inlineStr">
        <is>
          <t>SW-DAMPER-033-BODY</t>
        </is>
      </c>
      <c r="B42" t="inlineStr">
        <is>
          <t>SW-DAMPER-033</t>
        </is>
      </c>
      <c r="C42" t="inlineStr">
        <is>
          <t>Thân vỏ van MFD bích C30/TDF (1.15mm)</t>
        </is>
      </c>
      <c r="D42" t="inlineStr">
        <is>
          <t>TÔN_CUỘN_MẠ_KẼM</t>
        </is>
      </c>
      <c r="E42" t="inlineStr">
        <is>
          <t>MAT-STEEL-PN-1.15</t>
        </is>
      </c>
      <c r="F42" t="inlineStr">
        <is>
          <t>kg</t>
        </is>
      </c>
      <c r="G42" s="20" t="n">
        <v>7.641768063072973</v>
      </c>
      <c r="H42" s="16">
        <f>'00_TONG_HOP_BAO_GIA'!G34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Kích thước vỏ 900x300x200mm</t>
        </is>
      </c>
    </row>
    <row r="43">
      <c r="A43" t="inlineStr">
        <is>
          <t>SW-DAMPER-033-BLADE</t>
        </is>
      </c>
      <c r="B43" t="inlineStr">
        <is>
          <t>SW-DAMPER-033</t>
        </is>
      </c>
      <c r="C43" t="inlineStr">
        <is>
          <t>Lá cánh / Tôn tấm bọc van (1 cánh)</t>
        </is>
      </c>
      <c r="D43" t="inlineStr">
        <is>
          <t>TÔN_CUỘN_MẠ_KẼM</t>
        </is>
      </c>
      <c r="E43" t="inlineStr">
        <is>
          <t>MAT-STEEL-PN-1.15</t>
        </is>
      </c>
      <c r="F43" t="inlineStr">
        <is>
          <t>kg</t>
        </is>
      </c>
      <c r="G43" s="20" t="n">
        <v>5.965470775232609</v>
      </c>
      <c r="H43" s="16">
        <f>'00_TONG_HOP_BAO_GIA'!G34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Tôn bọc cánh &amp; thân (1 cánh/modul)</t>
        </is>
      </c>
    </row>
    <row r="44">
      <c r="A44" t="inlineStr">
        <is>
          <t>SW-DAMPER-033-AXLE</t>
        </is>
      </c>
      <c r="B44" t="inlineStr">
        <is>
          <t>SW-DAMPER-033</t>
        </is>
      </c>
      <c r="C44" t="inlineStr">
        <is>
          <t>Trục Sus 201 D10</t>
        </is>
      </c>
      <c r="D44" t="inlineStr">
        <is>
          <t>PHỤ_KIỆN_VAN</t>
        </is>
      </c>
      <c r="E44" t="inlineStr">
        <is>
          <t>MAT-DAMPER-TRUC-SUS-201-D10</t>
        </is>
      </c>
      <c r="F44" t="inlineStr">
        <is>
          <t>m</t>
        </is>
      </c>
      <c r="G44" s="20" t="n">
        <v>1.174775007276799</v>
      </c>
      <c r="H44" s="16">
        <f>'00_TONG_HOP_BAO_GIA'!G34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1 trục dài 960mm</t>
        </is>
      </c>
    </row>
    <row r="45">
      <c r="A45" t="inlineStr">
        <is>
          <t>SW-DAMPER-033-BEARING</t>
        </is>
      </c>
      <c r="B45" t="inlineStr">
        <is>
          <t>SW-DAMPER-033</t>
        </is>
      </c>
      <c r="C45" t="inlineStr">
        <is>
          <t>Bạc đồng D10</t>
        </is>
      </c>
      <c r="D45" t="inlineStr">
        <is>
          <t>PHỤ_KIỆN_VAN</t>
        </is>
      </c>
      <c r="E45" t="inlineStr">
        <is>
          <t>MAT-DAMPER-BAC-DONG-D10</t>
        </is>
      </c>
      <c r="F45" t="inlineStr">
        <is>
          <t>Đôi</t>
        </is>
      </c>
      <c r="G45" s="20" t="n">
        <v>1</v>
      </c>
      <c r="H45" s="16">
        <f>'00_TONG_HOP_BAO_GIA'!G34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1 đôi bạc đỡ 2 bên thân</t>
        </is>
      </c>
    </row>
    <row r="46">
      <c r="A46" t="inlineStr">
        <is>
          <t>SW-DAMPER-033-ACTUATOR</t>
        </is>
      </c>
      <c r="B46" t="inlineStr">
        <is>
          <t>SW-DAMPER-033</t>
        </is>
      </c>
      <c r="C46" t="inlineStr">
        <is>
          <t>Động cơ chặn lửa ON/OFF KLB (Swin V6006FS500S EI90) 5Nm</t>
        </is>
      </c>
      <c r="D46" t="inlineStr">
        <is>
          <t>ĐỘNG_CƠ_VÀ_CẢM_BIẾN</t>
        </is>
      </c>
      <c r="E46" t="inlineStr">
        <is>
          <t>MAT-ACTUATOR-KLB-V6006FS500S</t>
        </is>
      </c>
      <c r="F46" t="inlineStr">
        <is>
          <t>Cái</t>
        </is>
      </c>
      <c r="G46" s="20" t="n">
        <v>1</v>
      </c>
      <c r="H46" s="16">
        <f>'00_TONG_HOP_BAO_GIA'!G34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Động cơ lò xo phản hồi MFD (1 bộ)</t>
        </is>
      </c>
    </row>
    <row r="47">
      <c r="A47" t="inlineStr">
        <is>
          <t>SW-DAMPER-033-FB10-BODY</t>
        </is>
      </c>
      <c r="B47" t="inlineStr">
        <is>
          <t>SW-DAMPER-033</t>
        </is>
      </c>
      <c r="C47" t="inlineStr">
        <is>
          <t>Tấm chống cháy dày 10mm bọc thân van FD/MFD (2 lớp)</t>
        </is>
      </c>
      <c r="D47" t="inlineStr">
        <is>
          <t>VẬT_LIỆU_CÁCH_NHIỆT</t>
        </is>
      </c>
      <c r="E47" t="inlineStr">
        <is>
          <t>MAT-FIREBOARD-10MM-BODY</t>
        </is>
      </c>
      <c r="F47" t="inlineStr">
        <is>
          <t>m2</t>
        </is>
      </c>
      <c r="G47" s="20" t="n">
        <v>1.762162510915199</v>
      </c>
      <c r="H47" s="16">
        <f>'00_TONG_HOP_BAO_GIA'!G34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Bọc 2 lớp tấm 10mm quanh thân L=300mm</t>
        </is>
      </c>
    </row>
    <row r="48">
      <c r="A48" t="inlineStr">
        <is>
          <t>SW-DAMPER-033-FB20-BLADE</t>
        </is>
      </c>
      <c r="B48" t="inlineStr">
        <is>
          <t>SW-DAMPER-033</t>
        </is>
      </c>
      <c r="C48" t="inlineStr">
        <is>
          <t>Tấm chống cháy dày 20mm làm lõi cánh van FD/MFD</t>
        </is>
      </c>
      <c r="D48" t="inlineStr">
        <is>
          <t>VẬT_LIỆU_CÁCH_NHIỆT</t>
        </is>
      </c>
      <c r="E48" t="inlineStr">
        <is>
          <t>MAT-FIREBOARD-20MM-BLADE</t>
        </is>
      </c>
      <c r="F48" t="inlineStr">
        <is>
          <t>m2</t>
        </is>
      </c>
      <c r="G48" s="20" t="n">
        <v>0.3304054707965998</v>
      </c>
      <c r="H48" s="16">
        <f>'00_TONG_HOP_BAO_GIA'!G34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Lõi cánh tấm 20mm (Cánh đơn 900x300mm)</t>
        </is>
      </c>
    </row>
    <row r="49">
      <c r="A49" t="inlineStr">
        <is>
          <t>SW-DAMPER-033-FB10-BLADE</t>
        </is>
      </c>
      <c r="B49" t="inlineStr">
        <is>
          <t>SW-DAMPER-033</t>
        </is>
      </c>
      <c r="C49" t="inlineStr">
        <is>
          <t>Tấm chống cháy dày 10mm ốp 2 mặt cánh van FD/MFD</t>
        </is>
      </c>
      <c r="D49" t="inlineStr">
        <is>
          <t>VẬT_LIỆU_CÁCH_NHIỆT</t>
        </is>
      </c>
      <c r="E49" t="inlineStr">
        <is>
          <t>MAT-FIREBOARD-10MM-BLADE</t>
        </is>
      </c>
      <c r="F49" t="inlineStr">
        <is>
          <t>m2</t>
        </is>
      </c>
      <c r="G49" s="20" t="n">
        <v>0.6608109415931996</v>
      </c>
      <c r="H49" s="16">
        <f>'00_TONG_HOP_BAO_GIA'!G34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Ốp 2 mặt cánh tấm 10mm (Cánh đơn 900x300mm)</t>
        </is>
      </c>
    </row>
    <row r="50">
      <c r="A50" t="inlineStr">
        <is>
          <t>SW-DAMPER-033-SPRING-BOX</t>
        </is>
      </c>
      <c r="B50" t="inlineStr">
        <is>
          <t>SW-DAMPER-033</t>
        </is>
      </c>
      <c r="C50" t="inlineStr">
        <is>
          <t>Hộp lò xo van chặn lửa FD/MFD</t>
        </is>
      </c>
      <c r="D50" t="inlineStr">
        <is>
          <t>PHỤ_KIỆN_VAN</t>
        </is>
      </c>
      <c r="E50" t="inlineStr">
        <is>
          <t>MAT-DAMPER-HOP-LO-XO</t>
        </is>
      </c>
      <c r="F50" t="inlineStr">
        <is>
          <t>Bộ</t>
        </is>
      </c>
      <c r="G50" s="20" t="n">
        <v>1</v>
      </c>
      <c r="H50" s="16">
        <f>'00_TONG_HOP_BAO_GIA'!G34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Hộp lò xo cơ cấu đóng sập (1 bộ)</t>
        </is>
      </c>
    </row>
    <row r="51">
      <c r="A51" t="inlineStr">
        <is>
          <t>SW-DAMPER-033-SILICON-BOLT</t>
        </is>
      </c>
      <c r="B51" t="inlineStr">
        <is>
          <t>SW-DAMPER-033</t>
        </is>
      </c>
      <c r="C51" t="inlineStr">
        <is>
          <t>Silicon chống cháy + bu lông, ốc vít van FD/MFD</t>
        </is>
      </c>
      <c r="D51" t="inlineStr">
        <is>
          <t>PHỤ_KIỆN_VAN</t>
        </is>
      </c>
      <c r="E51" t="inlineStr">
        <is>
          <t>MAT-DAMPER-SILICON-BULONG-VIT</t>
        </is>
      </c>
      <c r="F51" t="inlineStr">
        <is>
          <t>Bộ</t>
        </is>
      </c>
      <c r="G51" s="20" t="n">
        <v>1</v>
      </c>
      <c r="H51" s="16">
        <f>'00_TONG_HOP_BAO_GIA'!G34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Keo silicon chống cháy &amp; phụ kiện lắp ghép (1 bộ)</t>
        </is>
      </c>
    </row>
    <row r="52">
      <c r="A52" t="inlineStr">
        <is>
          <t>SW-DAMPER-034-BODY</t>
        </is>
      </c>
      <c r="B52" t="inlineStr">
        <is>
          <t>SW-DAMPER-034</t>
        </is>
      </c>
      <c r="C52" t="inlineStr">
        <is>
          <t>Thân vỏ van MFD bích C30/TDF (1.15mm)</t>
        </is>
      </c>
      <c r="D52" t="inlineStr">
        <is>
          <t>TÔN_CUỘN_MẠ_KẼM</t>
        </is>
      </c>
      <c r="E52" t="inlineStr">
        <is>
          <t>MAT-STEEL-PN-1.15</t>
        </is>
      </c>
      <c r="F52" t="inlineStr">
        <is>
          <t>kg</t>
        </is>
      </c>
      <c r="G52" s="20" t="n">
        <v>24.97330852661932</v>
      </c>
      <c r="H52" s="16">
        <f>'00_TONG_HOP_BAO_GIA'!G35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Kích thước vỏ 1500x1000x200mm (2 modul 1500x500mm)</t>
        </is>
      </c>
    </row>
    <row r="53">
      <c r="A53" t="inlineStr">
        <is>
          <t>SW-DAMPER-034-BLADE</t>
        </is>
      </c>
      <c r="B53" t="inlineStr">
        <is>
          <t>SW-DAMPER-034</t>
        </is>
      </c>
      <c r="C53" t="inlineStr">
        <is>
          <t>Lá cánh / Tôn tấm bọc van (2 cánh)</t>
        </is>
      </c>
      <c r="D53" t="inlineStr">
        <is>
          <t>TÔN_CUỘN_MẠ_KẼM</t>
        </is>
      </c>
      <c r="E53" t="inlineStr">
        <is>
          <t>MAT-STEEL-PN-1.15</t>
        </is>
      </c>
      <c r="F53" t="inlineStr">
        <is>
          <t>kg</t>
        </is>
      </c>
      <c r="G53" s="20" t="n">
        <v>32.70641275946792</v>
      </c>
      <c r="H53" s="16">
        <f>'00_TONG_HOP_BAO_GIA'!G35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Tôn bọc cánh &amp; thân (1 cánh/modul (2 modul 1500x500mm))</t>
        </is>
      </c>
    </row>
    <row r="54">
      <c r="A54" t="inlineStr">
        <is>
          <t>SW-DAMPER-034-AXLE</t>
        </is>
      </c>
      <c r="B54" t="inlineStr">
        <is>
          <t>SW-DAMPER-034</t>
        </is>
      </c>
      <c r="C54" t="inlineStr">
        <is>
          <t>Trục Sus 201 D10</t>
        </is>
      </c>
      <c r="D54" t="inlineStr">
        <is>
          <t>PHỤ_KIỆN_VAN</t>
        </is>
      </c>
      <c r="E54" t="inlineStr">
        <is>
          <t>MAT-DAMPER-TRUC-SUS-201-D10</t>
        </is>
      </c>
      <c r="F54" t="inlineStr">
        <is>
          <t>m</t>
        </is>
      </c>
      <c r="G54" s="20" t="n">
        <v>3.767894685111785</v>
      </c>
      <c r="H54" s="16">
        <f>'00_TONG_HOP_BAO_GIA'!G35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2 trục dài 1560mm</t>
        </is>
      </c>
    </row>
    <row r="55">
      <c r="A55" t="inlineStr">
        <is>
          <t>SW-DAMPER-034-BEARING</t>
        </is>
      </c>
      <c r="B55" t="inlineStr">
        <is>
          <t>SW-DAMPER-034</t>
        </is>
      </c>
      <c r="C55" t="inlineStr">
        <is>
          <t>Bạc đồng D10</t>
        </is>
      </c>
      <c r="D55" t="inlineStr">
        <is>
          <t>PHỤ_KIỆN_VAN</t>
        </is>
      </c>
      <c r="E55" t="inlineStr">
        <is>
          <t>MAT-DAMPER-BAC-DONG-D10</t>
        </is>
      </c>
      <c r="F55" t="inlineStr">
        <is>
          <t>Đôi</t>
        </is>
      </c>
      <c r="G55" s="20" t="n">
        <v>2</v>
      </c>
      <c r="H55" s="16">
        <f>'00_TONG_HOP_BAO_GIA'!G35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2 đôi bạc đỡ 2 bên thân</t>
        </is>
      </c>
    </row>
    <row r="56">
      <c r="A56" t="inlineStr">
        <is>
          <t>SW-DAMPER-034-ACTUATOR</t>
        </is>
      </c>
      <c r="B56" t="inlineStr">
        <is>
          <t>SW-DAMPER-034</t>
        </is>
      </c>
      <c r="C56" t="inlineStr">
        <is>
          <t>Động cơ chặn lửa ON/OFF KLB (Swin V6006FS500S EI90) 5Nm</t>
        </is>
      </c>
      <c r="D56" t="inlineStr">
        <is>
          <t>ĐỘNG_CƠ_VÀ_CẢM_BIẾN</t>
        </is>
      </c>
      <c r="E56" t="inlineStr">
        <is>
          <t>MAT-ACTUATOR-KLB-V6006FS500S</t>
        </is>
      </c>
      <c r="F56" t="inlineStr">
        <is>
          <t>Cái</t>
        </is>
      </c>
      <c r="G56" s="20" t="n">
        <v>2</v>
      </c>
      <c r="H56" s="16">
        <f>'00_TONG_HOP_BAO_GIA'!G35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Động cơ lò xo phản hồi MFD (2 bộ (2 modul 1500x500mm))</t>
        </is>
      </c>
    </row>
    <row r="57">
      <c r="A57" t="inlineStr">
        <is>
          <t>SW-DAMPER-034-FB10-BODY</t>
        </is>
      </c>
      <c r="B57" t="inlineStr">
        <is>
          <t>SW-DAMPER-034</t>
        </is>
      </c>
      <c r="C57" t="inlineStr">
        <is>
          <t>Tấm chống cháy dày 10mm bọc thân van FD/MFD (2 lớp)</t>
        </is>
      </c>
      <c r="D57" t="inlineStr">
        <is>
          <t>VẬT_LIỆU_CÁCH_NHIỆT</t>
        </is>
      </c>
      <c r="E57" t="inlineStr">
        <is>
          <t>MAT-FIREBOARD-10MM-BODY</t>
        </is>
      </c>
      <c r="F57" t="inlineStr">
        <is>
          <t>m2</t>
        </is>
      </c>
      <c r="G57" s="20" t="n">
        <v>5.79676105401813</v>
      </c>
      <c r="H57" s="16">
        <f>'00_TONG_HOP_BAO_GIA'!G35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Bọc 2 lớp tấm 10mm quanh thân L=300mm (2 modul 1500x500mm)</t>
        </is>
      </c>
    </row>
    <row r="58">
      <c r="A58" t="inlineStr">
        <is>
          <t>SW-DAMPER-034-FB20-BLADE</t>
        </is>
      </c>
      <c r="B58" t="inlineStr">
        <is>
          <t>SW-DAMPER-034</t>
        </is>
      </c>
      <c r="C58" t="inlineStr">
        <is>
          <t>Tấm chống cháy dày 20mm làm lõi cánh van FD/MFD</t>
        </is>
      </c>
      <c r="D58" t="inlineStr">
        <is>
          <t>VẬT_LIỆU_CÁCH_NHIỆT</t>
        </is>
      </c>
      <c r="E58" t="inlineStr">
        <is>
          <t>MAT-FIREBOARD-20MM-BLADE</t>
        </is>
      </c>
      <c r="F58" t="inlineStr">
        <is>
          <t>m2</t>
        </is>
      </c>
      <c r="G58" s="20" t="n">
        <v>1.811487829380666</v>
      </c>
      <c r="H58" s="16">
        <f>'00_TONG_HOP_BAO_GIA'!G35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Lõi cánh tấm 20mm (Cánh đơn 1500x500mm (2 modul 1500x500mm))</t>
        </is>
      </c>
    </row>
    <row r="59">
      <c r="A59" t="inlineStr">
        <is>
          <t>SW-DAMPER-034-FB10-BLADE</t>
        </is>
      </c>
      <c r="B59" t="inlineStr">
        <is>
          <t>SW-DAMPER-034</t>
        </is>
      </c>
      <c r="C59" t="inlineStr">
        <is>
          <t>Tấm chống cháy dày 10mm ốp 2 mặt cánh van FD/MFD</t>
        </is>
      </c>
      <c r="D59" t="inlineStr">
        <is>
          <t>VẬT_LIỆU_CÁCH_NHIỆT</t>
        </is>
      </c>
      <c r="E59" t="inlineStr">
        <is>
          <t>MAT-FIREBOARD-10MM-BLADE</t>
        </is>
      </c>
      <c r="F59" t="inlineStr">
        <is>
          <t>m2</t>
        </is>
      </c>
      <c r="G59" s="20" t="n">
        <v>3.622975658761331</v>
      </c>
      <c r="H59" s="16">
        <f>'00_TONG_HOP_BAO_GIA'!G35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Ốp 2 mặt cánh tấm 10mm (Cánh đơn 1500x500mm (2 modul 1500x500mm))</t>
        </is>
      </c>
    </row>
    <row r="60">
      <c r="A60" t="inlineStr">
        <is>
          <t>SW-DAMPER-034-SPRING-BOX</t>
        </is>
      </c>
      <c r="B60" t="inlineStr">
        <is>
          <t>SW-DAMPER-034</t>
        </is>
      </c>
      <c r="C60" t="inlineStr">
        <is>
          <t>Hộp lò xo van chặn lửa FD/MFD</t>
        </is>
      </c>
      <c r="D60" t="inlineStr">
        <is>
          <t>PHỤ_KIỆN_VAN</t>
        </is>
      </c>
      <c r="E60" t="inlineStr">
        <is>
          <t>MAT-DAMPER-HOP-LO-XO</t>
        </is>
      </c>
      <c r="F60" t="inlineStr">
        <is>
          <t>Bộ</t>
        </is>
      </c>
      <c r="G60" s="20" t="n">
        <v>2</v>
      </c>
      <c r="H60" s="16">
        <f>'00_TONG_HOP_BAO_GIA'!G35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Hộp lò xo cơ cấu đóng sập (2 bộ)</t>
        </is>
      </c>
    </row>
    <row r="61">
      <c r="A61" t="inlineStr">
        <is>
          <t>SW-DAMPER-034-SILICON-BOLT</t>
        </is>
      </c>
      <c r="B61" t="inlineStr">
        <is>
          <t>SW-DAMPER-034</t>
        </is>
      </c>
      <c r="C61" t="inlineStr">
        <is>
          <t>Silicon chống cháy + bu lông, ốc vít van FD/MFD</t>
        </is>
      </c>
      <c r="D61" t="inlineStr">
        <is>
          <t>PHỤ_KIỆN_VAN</t>
        </is>
      </c>
      <c r="E61" t="inlineStr">
        <is>
          <t>MAT-DAMPER-SILICON-BULONG-VIT</t>
        </is>
      </c>
      <c r="F61" t="inlineStr">
        <is>
          <t>Bộ</t>
        </is>
      </c>
      <c r="G61" s="20" t="n">
        <v>2</v>
      </c>
      <c r="H61" s="16">
        <f>'00_TONG_HOP_BAO_GIA'!G35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Keo silicon chống cháy &amp; phụ kiện lắp ghép (2 bộ)</t>
        </is>
      </c>
    </row>
    <row r="62">
      <c r="A62" t="inlineStr">
        <is>
          <t>SW-DAMPER-035-BODY</t>
        </is>
      </c>
      <c r="B62" t="inlineStr">
        <is>
          <t>SW-DAMPER-035</t>
        </is>
      </c>
      <c r="C62" t="inlineStr">
        <is>
          <t>Thân vỏ van MFD bích C30/TDF (1.15mm)</t>
        </is>
      </c>
      <c r="D62" t="inlineStr">
        <is>
          <t>TÔN_CUỘN_MẠ_KẼM</t>
        </is>
      </c>
      <c r="E62" t="inlineStr">
        <is>
          <t>MAT-STEEL-PN-1.15</t>
        </is>
      </c>
      <c r="F62" t="inlineStr">
        <is>
          <t>kg</t>
        </is>
      </c>
      <c r="G62" s="20" t="n">
        <v>40.50791291021071</v>
      </c>
      <c r="H62" s="16">
        <f>'00_TONG_HOP_BAO_GIA'!G36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Kích thước vỏ 2000x1200x200mm (4 modul 1000x600mm)</t>
        </is>
      </c>
    </row>
    <row r="63">
      <c r="A63" t="inlineStr">
        <is>
          <t>SW-DAMPER-035-BLADE</t>
        </is>
      </c>
      <c r="B63" t="inlineStr">
        <is>
          <t>SW-DAMPER-035</t>
        </is>
      </c>
      <c r="C63" t="inlineStr">
        <is>
          <t>Lá cánh / Tôn tấm bọc van (4 cánh)</t>
        </is>
      </c>
      <c r="D63" t="inlineStr">
        <is>
          <t>TÔN_CUỘN_MẠ_KẼM</t>
        </is>
      </c>
      <c r="E63" t="inlineStr">
        <is>
          <t>MAT-STEEL-PN-1.15</t>
        </is>
      </c>
      <c r="F63" t="inlineStr">
        <is>
          <t>kg</t>
        </is>
      </c>
      <c r="G63" s="20" t="n">
        <v>52.92039050259417</v>
      </c>
      <c r="H63" s="16">
        <f>'00_TONG_HOP_BAO_GIA'!G36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Tôn bọc cánh &amp; thân (1 cánh/modul (4 modul 1000x600mm))</t>
        </is>
      </c>
    </row>
    <row r="64">
      <c r="A64" t="inlineStr">
        <is>
          <t>SW-DAMPER-035-AXLE</t>
        </is>
      </c>
      <c r="B64" t="inlineStr">
        <is>
          <t>SW-DAMPER-035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20" t="n">
        <v>5.178216000438461</v>
      </c>
      <c r="H64" s="16">
        <f>'00_TONG_HOP_BAO_GIA'!G36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4 trục dài 1060mm</t>
        </is>
      </c>
    </row>
    <row r="65">
      <c r="A65" t="inlineStr">
        <is>
          <t>SW-DAMPER-035-BEARING</t>
        </is>
      </c>
      <c r="B65" t="inlineStr">
        <is>
          <t>SW-DAMPER-035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20" t="n">
        <v>4</v>
      </c>
      <c r="H65" s="16">
        <f>'00_TONG_HOP_BAO_GIA'!G36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4 đôi bạc đỡ 2 bên thân</t>
        </is>
      </c>
    </row>
    <row r="66">
      <c r="A66" t="inlineStr">
        <is>
          <t>SW-DAMPER-035-ACTUATOR</t>
        </is>
      </c>
      <c r="B66" t="inlineStr">
        <is>
          <t>SW-DAMPER-035</t>
        </is>
      </c>
      <c r="C66" t="inlineStr">
        <is>
          <t>Động cơ chặn lửa ON/OFF KLB (Swin V6006FS500S EI90) 5Nm</t>
        </is>
      </c>
      <c r="D66" t="inlineStr">
        <is>
          <t>ĐỘNG_CƠ_VÀ_CẢM_BIẾN</t>
        </is>
      </c>
      <c r="E66" t="inlineStr">
        <is>
          <t>MAT-ACTUATOR-KLB-V6006FS500S</t>
        </is>
      </c>
      <c r="F66" t="inlineStr">
        <is>
          <t>Cái</t>
        </is>
      </c>
      <c r="G66" s="20" t="n">
        <v>4</v>
      </c>
      <c r="H66" s="16">
        <f>'00_TONG_HOP_BAO_GIA'!G36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Động cơ lò xo phản hồi MFD (4 bộ (4 modul 1000x600mm))</t>
        </is>
      </c>
    </row>
    <row r="67">
      <c r="A67" t="inlineStr">
        <is>
          <t>SW-DAMPER-035-FB10-BODY</t>
        </is>
      </c>
      <c r="B67" t="inlineStr">
        <is>
          <t>SW-DAMPER-035</t>
        </is>
      </c>
      <c r="C67" t="inlineStr">
        <is>
          <t>Tấm chống cháy dày 10mm bọc thân van FD/MFD (2 lớp)</t>
        </is>
      </c>
      <c r="D67" t="inlineStr">
        <is>
          <t>VẬT_LIỆU_CÁCH_NHIỆT</t>
        </is>
      </c>
      <c r="E67" t="inlineStr">
        <is>
          <t>MAT-FIREBOARD-10MM-BODY</t>
        </is>
      </c>
      <c r="F67" t="inlineStr">
        <is>
          <t>m2</t>
        </is>
      </c>
      <c r="G67" s="20" t="n">
        <v>9.37941011400174</v>
      </c>
      <c r="H67" s="16">
        <f>'00_TONG_HOP_BAO_GIA'!G36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Bọc 2 lớp tấm 10mm quanh thân L=300mm (4 modul 1000x600mm)</t>
        </is>
      </c>
    </row>
    <row r="68">
      <c r="A68" t="inlineStr">
        <is>
          <t>SW-DAMPER-035-FB20-BLADE</t>
        </is>
      </c>
      <c r="B68" t="inlineStr">
        <is>
          <t>SW-DAMPER-035</t>
        </is>
      </c>
      <c r="C68" t="inlineStr">
        <is>
          <t>Tấm chống cháy dày 20mm làm lõi cánh van FD/MFD</t>
        </is>
      </c>
      <c r="D68" t="inlineStr">
        <is>
          <t>VẬT_LIỆU_CÁCH_NHIỆT</t>
        </is>
      </c>
      <c r="E68" t="inlineStr">
        <is>
          <t>MAT-FIREBOARD-20MM-BLADE</t>
        </is>
      </c>
      <c r="F68" t="inlineStr">
        <is>
          <t>m2</t>
        </is>
      </c>
      <c r="G68" s="20" t="n">
        <v>2.931065660625543</v>
      </c>
      <c r="H68" s="16">
        <f>'00_TONG_HOP_BAO_GIA'!G36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Lõi cánh tấm 20mm (Cánh đơn 1000x600mm (4 modul 1000x600mm))</t>
        </is>
      </c>
    </row>
    <row r="69">
      <c r="A69" t="inlineStr">
        <is>
          <t>SW-DAMPER-035-FB10-BLADE</t>
        </is>
      </c>
      <c r="B69" t="inlineStr">
        <is>
          <t>SW-DAMPER-035</t>
        </is>
      </c>
      <c r="C69" t="inlineStr">
        <is>
          <t>Tấm chống cháy dày 10mm ốp 2 mặt cánh van FD/MFD</t>
        </is>
      </c>
      <c r="D69" t="inlineStr">
        <is>
          <t>VẬT_LIỆU_CÁCH_NHIỆT</t>
        </is>
      </c>
      <c r="E69" t="inlineStr">
        <is>
          <t>MAT-FIREBOARD-10MM-BLADE</t>
        </is>
      </c>
      <c r="F69" t="inlineStr">
        <is>
          <t>m2</t>
        </is>
      </c>
      <c r="G69" s="20" t="n">
        <v>5.862131321251087</v>
      </c>
      <c r="H69" s="16">
        <f>'00_TONG_HOP_BAO_GIA'!G36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Ốp 2 mặt cánh tấm 10mm (Cánh đơn 1000x600mm (4 modul 1000x600mm))</t>
        </is>
      </c>
    </row>
    <row r="70">
      <c r="A70" t="inlineStr">
        <is>
          <t>SW-DAMPER-035-SPRING-BOX</t>
        </is>
      </c>
      <c r="B70" t="inlineStr">
        <is>
          <t>SW-DAMPER-035</t>
        </is>
      </c>
      <c r="C70" t="inlineStr">
        <is>
          <t>Hộp lò xo van chặn lửa FD/MFD</t>
        </is>
      </c>
      <c r="D70" t="inlineStr">
        <is>
          <t>PHỤ_KIỆN_VAN</t>
        </is>
      </c>
      <c r="E70" t="inlineStr">
        <is>
          <t>MAT-DAMPER-HOP-LO-XO</t>
        </is>
      </c>
      <c r="F70" t="inlineStr">
        <is>
          <t>Bộ</t>
        </is>
      </c>
      <c r="G70" s="20" t="n">
        <v>4</v>
      </c>
      <c r="H70" s="16">
        <f>'00_TONG_HOP_BAO_GIA'!G36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Hộp lò xo cơ cấu đóng sập (4 bộ)</t>
        </is>
      </c>
    </row>
    <row r="71">
      <c r="A71" t="inlineStr">
        <is>
          <t>SW-DAMPER-035-SILICON-BOLT</t>
        </is>
      </c>
      <c r="B71" t="inlineStr">
        <is>
          <t>SW-DAMPER-035</t>
        </is>
      </c>
      <c r="C71" t="inlineStr">
        <is>
          <t>Silicon chống cháy + bu lông, ốc vít van FD/MFD</t>
        </is>
      </c>
      <c r="D71" t="inlineStr">
        <is>
          <t>PHỤ_KIỆN_VAN</t>
        </is>
      </c>
      <c r="E71" t="inlineStr">
        <is>
          <t>MAT-DAMPER-SILICON-BULONG-VIT</t>
        </is>
      </c>
      <c r="F71" t="inlineStr">
        <is>
          <t>Bộ</t>
        </is>
      </c>
      <c r="G71" s="20" t="n">
        <v>4</v>
      </c>
      <c r="H71" s="16">
        <f>'00_TONG_HOP_BAO_GIA'!G36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Keo silicon chống cháy &amp; phụ kiện lắp ghép (4 bộ)</t>
        </is>
      </c>
    </row>
    <row r="72">
      <c r="A72" t="inlineStr">
        <is>
          <t>SW-DAMPER-036-BODY</t>
        </is>
      </c>
      <c r="B72" t="inlineStr">
        <is>
          <t>SW-DAMPER-036</t>
        </is>
      </c>
      <c r="C72" t="inlineStr">
        <is>
          <t>Thân vỏ van FD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20" t="n">
        <v>3.028002114614096</v>
      </c>
      <c r="H72" s="16">
        <f>'00_TONG_HOP_BAO_GIA'!G37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Kích thước vỏ 300x200x200mm</t>
        </is>
      </c>
    </row>
    <row r="73">
      <c r="A73" t="inlineStr">
        <is>
          <t>SW-DAMPER-036-BLADE</t>
        </is>
      </c>
      <c r="B73" t="inlineStr">
        <is>
          <t>SW-DAMPER-036</t>
        </is>
      </c>
      <c r="C73" t="inlineStr">
        <is>
          <t>Lá cánh / Tôn tấm bọc van (1 cánh)</t>
        </is>
      </c>
      <c r="D73" t="inlineStr">
        <is>
          <t>TÔN_CUỘN_MẠ_KẼM</t>
        </is>
      </c>
      <c r="E73" t="inlineStr">
        <is>
          <t>MAT-STEEL-PN-1.15</t>
        </is>
      </c>
      <c r="F73" t="inlineStr">
        <is>
          <t>kg</t>
        </is>
      </c>
      <c r="G73" s="20" t="n">
        <v>1.23239809304603</v>
      </c>
      <c r="H73" s="16">
        <f>'00_TONG_HOP_BAO_GIA'!G37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Tôn bọc cánh &amp; thân (1 cánh/modul)</t>
        </is>
      </c>
    </row>
    <row r="74">
      <c r="A74" t="inlineStr">
        <is>
          <t>SW-DAMPER-036-AXLE</t>
        </is>
      </c>
      <c r="B74" t="inlineStr">
        <is>
          <t>SW-DAMPER-036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20" t="n">
        <v>0.4095479677804587</v>
      </c>
      <c r="H74" s="16">
        <f>'00_TONG_HOP_BAO_GIA'!G37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1 trục dài 360mm</t>
        </is>
      </c>
    </row>
    <row r="75">
      <c r="A75" t="inlineStr">
        <is>
          <t>SW-DAMPER-036-BEARING</t>
        </is>
      </c>
      <c r="B75" t="inlineStr">
        <is>
          <t>SW-DAMPER-036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20" t="n">
        <v>1</v>
      </c>
      <c r="H75" s="16">
        <f>'00_TONG_HOP_BAO_GIA'!G37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1 đôi bạc đỡ 2 bên thân</t>
        </is>
      </c>
    </row>
    <row r="76">
      <c r="A76" t="inlineStr">
        <is>
          <t>SW-DAMPER-036-FUSE</t>
        </is>
      </c>
      <c r="B76" t="inlineStr">
        <is>
          <t>SW-DAMPER-036</t>
        </is>
      </c>
      <c r="C76" t="inlineStr">
        <is>
          <t>Cầu chì nhiệt nóng chảy 70°C/74°C (Elsie/USA)</t>
        </is>
      </c>
      <c r="D76" t="inlineStr">
        <is>
          <t>PHỤ_KIỆN_VAN</t>
        </is>
      </c>
      <c r="E76" t="inlineStr">
        <is>
          <t>MAT-DAMPER-CAU-CHI-USA-1-400X400</t>
        </is>
      </c>
      <c r="F76" t="inlineStr">
        <is>
          <t>Cái</t>
        </is>
      </c>
      <c r="G76" s="20" t="n">
        <v>1</v>
      </c>
      <c r="H76" s="16">
        <f>'00_TONG_HOP_BAO_GIA'!G37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Cầu chì kiểm định PCCC (1 cái)</t>
        </is>
      </c>
    </row>
    <row r="77">
      <c r="A77" t="inlineStr">
        <is>
          <t>SW-DAMPER-036-FB10-BODY</t>
        </is>
      </c>
      <c r="B77" t="inlineStr">
        <is>
          <t>SW-DAMPER-036</t>
        </is>
      </c>
      <c r="C77" t="inlineStr">
        <is>
          <t>Tấm chống cháy dày 10mm bọc thân van FD/MFD (2 lớp)</t>
        </is>
      </c>
      <c r="D77" t="inlineStr">
        <is>
          <t>VẬT_LIỆU_CÁCH_NHIỆT</t>
        </is>
      </c>
      <c r="E77" t="inlineStr">
        <is>
          <t>MAT-FIREBOARD-10MM-BODY</t>
        </is>
      </c>
      <c r="F77" t="inlineStr">
        <is>
          <t>m2</t>
        </is>
      </c>
      <c r="G77" s="20" t="n">
        <v>0.6825799463007645</v>
      </c>
      <c r="H77" s="16">
        <f>'00_TONG_HOP_BAO_GIA'!G37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Bọc 2 lớp tấm 10mm quanh thân L=300mm</t>
        </is>
      </c>
    </row>
    <row r="78">
      <c r="A78" t="inlineStr">
        <is>
          <t>SW-DAMPER-036-FB20-BLADE</t>
        </is>
      </c>
      <c r="B78" t="inlineStr">
        <is>
          <t>SW-DAMPER-036</t>
        </is>
      </c>
      <c r="C78" t="inlineStr">
        <is>
          <t>Tấm chống cháy dày 20mm làm lõi cánh van FD/MFD</t>
        </is>
      </c>
      <c r="D78" t="inlineStr">
        <is>
          <t>VẬT_LIỆU_CÁCH_NHIỆT</t>
        </is>
      </c>
      <c r="E78" t="inlineStr">
        <is>
          <t>MAT-FIREBOARD-20MM-BLADE</t>
        </is>
      </c>
      <c r="F78" t="inlineStr">
        <is>
          <t>m2</t>
        </is>
      </c>
      <c r="G78" s="20" t="n">
        <v>0.06825799463007645</v>
      </c>
      <c r="H78" s="16">
        <f>'00_TONG_HOP_BAO_GIA'!G37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Lõi cánh tấm 20mm (Cánh đơn 300x200mm)</t>
        </is>
      </c>
    </row>
    <row r="79">
      <c r="A79" t="inlineStr">
        <is>
          <t>SW-DAMPER-036-FB10-BLADE</t>
        </is>
      </c>
      <c r="B79" t="inlineStr">
        <is>
          <t>SW-DAMPER-036</t>
        </is>
      </c>
      <c r="C79" t="inlineStr">
        <is>
          <t>Tấm chống cháy dày 10mm ốp 2 mặt cánh van FD/MFD</t>
        </is>
      </c>
      <c r="D79" t="inlineStr">
        <is>
          <t>VẬT_LIỆU_CÁCH_NHIỆT</t>
        </is>
      </c>
      <c r="E79" t="inlineStr">
        <is>
          <t>MAT-FIREBOARD-10MM-BLADE</t>
        </is>
      </c>
      <c r="F79" t="inlineStr">
        <is>
          <t>m2</t>
        </is>
      </c>
      <c r="G79" s="20" t="n">
        <v>0.1365159892601529</v>
      </c>
      <c r="H79" s="16">
        <f>'00_TONG_HOP_BAO_GIA'!G37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Ốp 2 mặt cánh tấm 10mm (Cánh đơn 300x200mm)</t>
        </is>
      </c>
    </row>
    <row r="80">
      <c r="A80" t="inlineStr">
        <is>
          <t>SW-DAMPER-036-SPRING-BOX</t>
        </is>
      </c>
      <c r="B80" t="inlineStr">
        <is>
          <t>SW-DAMPER-036</t>
        </is>
      </c>
      <c r="C80" t="inlineStr">
        <is>
          <t>Hộp lò xo van chặn lửa FD/MFD</t>
        </is>
      </c>
      <c r="D80" t="inlineStr">
        <is>
          <t>PHỤ_KIỆN_VAN</t>
        </is>
      </c>
      <c r="E80" t="inlineStr">
        <is>
          <t>MAT-DAMPER-HOP-LO-XO</t>
        </is>
      </c>
      <c r="F80" t="inlineStr">
        <is>
          <t>Bộ</t>
        </is>
      </c>
      <c r="G80" s="20" t="n">
        <v>1</v>
      </c>
      <c r="H80" s="16">
        <f>'00_TONG_HOP_BAO_GIA'!G37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Hộp lò xo cơ cấu đóng sập (1 bộ)</t>
        </is>
      </c>
    </row>
    <row r="81">
      <c r="A81" t="inlineStr">
        <is>
          <t>SW-DAMPER-036-SILICON-BOLT</t>
        </is>
      </c>
      <c r="B81" t="inlineStr">
        <is>
          <t>SW-DAMPER-036</t>
        </is>
      </c>
      <c r="C81" t="inlineStr">
        <is>
          <t>Silicon chống cháy + bu lông, ốc vít van FD/MFD</t>
        </is>
      </c>
      <c r="D81" t="inlineStr">
        <is>
          <t>PHỤ_KIỆN_VAN</t>
        </is>
      </c>
      <c r="E81" t="inlineStr">
        <is>
          <t>MAT-DAMPER-SILICON-BULONG-VIT</t>
        </is>
      </c>
      <c r="F81" t="inlineStr">
        <is>
          <t>Bộ</t>
        </is>
      </c>
      <c r="G81" s="20" t="n">
        <v>1</v>
      </c>
      <c r="H81" s="16">
        <f>'00_TONG_HOP_BAO_GIA'!G37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Keo silicon chống cháy &amp; phụ kiện lắp ghép (1 bộ)</t>
        </is>
      </c>
    </row>
    <row r="82">
      <c r="A82" t="inlineStr">
        <is>
          <t>SW-DAMPER-037-BODY</t>
        </is>
      </c>
      <c r="B82" t="inlineStr">
        <is>
          <t>SW-DAMPER-037</t>
        </is>
      </c>
      <c r="C82" t="inlineStr">
        <is>
          <t>Thân vỏ van FD bích C30/TDF (1.15mm)</t>
        </is>
      </c>
      <c r="D82" t="inlineStr">
        <is>
          <t>TÔN_CUỘN_MẠ_KẼM</t>
        </is>
      </c>
      <c r="E82" t="inlineStr">
        <is>
          <t>MAT-STEEL-PN-1.15</t>
        </is>
      </c>
      <c r="F82" t="inlineStr">
        <is>
          <t>kg</t>
        </is>
      </c>
      <c r="G82" s="20" t="n">
        <v>9.038057416817658</v>
      </c>
      <c r="H82" s="16">
        <f>'00_TONG_HOP_BAO_GIA'!G38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Kích thước vỏ 1000x500x200mm</t>
        </is>
      </c>
    </row>
    <row r="83">
      <c r="A83" t="inlineStr">
        <is>
          <t>SW-DAMPER-037-BLADE</t>
        </is>
      </c>
      <c r="B83" t="inlineStr">
        <is>
          <t>SW-DAMPER-037</t>
        </is>
      </c>
      <c r="C83" t="inlineStr">
        <is>
          <t>Lá cánh / Tôn tấm bọc van (1 cánh)</t>
        </is>
      </c>
      <c r="D83" t="inlineStr">
        <is>
          <t>TÔN_CUỘN_MẠ_KẼM</t>
        </is>
      </c>
      <c r="E83" t="inlineStr">
        <is>
          <t>MAT-STEEL-PN-1.15</t>
        </is>
      </c>
      <c r="F83" t="inlineStr">
        <is>
          <t>kg</t>
        </is>
      </c>
      <c r="G83" s="20" t="n">
        <v>10.48693193262979</v>
      </c>
      <c r="H83" s="16">
        <f>'00_TONG_HOP_BAO_GIA'!G38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Tôn bọc cánh &amp; thân (1 cánh/modul)</t>
        </is>
      </c>
    </row>
    <row r="84">
      <c r="A84" t="inlineStr">
        <is>
          <t>SW-DAMPER-037-AXLE</t>
        </is>
      </c>
      <c r="B84" t="inlineStr">
        <is>
          <t>SW-DAMPER-037</t>
        </is>
      </c>
      <c r="C84" t="inlineStr">
        <is>
          <t>Trục Sus 201 D10</t>
        </is>
      </c>
      <c r="D84" t="inlineStr">
        <is>
          <t>PHỤ_KIỆN_VAN</t>
        </is>
      </c>
      <c r="E84" t="inlineStr">
        <is>
          <t>MAT-DAMPER-TRUC-SUS-201-D10</t>
        </is>
      </c>
      <c r="F84" t="inlineStr">
        <is>
          <t>m</t>
        </is>
      </c>
      <c r="G84" s="20" t="n">
        <v>1.231365034459992</v>
      </c>
      <c r="H84" s="16">
        <f>'00_TONG_HOP_BAO_GIA'!G38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1 trục dài 1060mm</t>
        </is>
      </c>
    </row>
    <row r="85">
      <c r="A85" t="inlineStr">
        <is>
          <t>SW-DAMPER-037-BEARING</t>
        </is>
      </c>
      <c r="B85" t="inlineStr">
        <is>
          <t>SW-DAMPER-037</t>
        </is>
      </c>
      <c r="C85" t="inlineStr">
        <is>
          <t>Bạc đồng D10</t>
        </is>
      </c>
      <c r="D85" t="inlineStr">
        <is>
          <t>PHỤ_KIỆN_VAN</t>
        </is>
      </c>
      <c r="E85" t="inlineStr">
        <is>
          <t>MAT-DAMPER-BAC-DONG-D10</t>
        </is>
      </c>
      <c r="F85" t="inlineStr">
        <is>
          <t>Đôi</t>
        </is>
      </c>
      <c r="G85" s="20" t="n">
        <v>1</v>
      </c>
      <c r="H85" s="16">
        <f>'00_TONG_HOP_BAO_GIA'!G38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1 đôi bạc đỡ 2 bên thân</t>
        </is>
      </c>
    </row>
    <row r="86">
      <c r="A86" t="inlineStr">
        <is>
          <t>SW-DAMPER-037-FUSE</t>
        </is>
      </c>
      <c r="B86" t="inlineStr">
        <is>
          <t>SW-DAMPER-037</t>
        </is>
      </c>
      <c r="C86" t="inlineStr">
        <is>
          <t>Cầu chì nhiệt nóng chảy 70°C/74°C (Elsie/USA)</t>
        </is>
      </c>
      <c r="D86" t="inlineStr">
        <is>
          <t>PHỤ_KIỆN_VAN</t>
        </is>
      </c>
      <c r="E86" t="inlineStr">
        <is>
          <t>MAT-DAMPER-CAU-CHI-USA-2-400X400</t>
        </is>
      </c>
      <c r="F86" t="inlineStr">
        <is>
          <t>Cái</t>
        </is>
      </c>
      <c r="G86" s="20" t="n">
        <v>1</v>
      </c>
      <c r="H86" s="16">
        <f>'00_TONG_HOP_BAO_GIA'!G38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Cầu chì kiểm định PCCC (1 cái)</t>
        </is>
      </c>
    </row>
    <row r="87">
      <c r="A87" t="inlineStr">
        <is>
          <t>SW-DAMPER-037-FB10-BODY</t>
        </is>
      </c>
      <c r="B87" t="inlineStr">
        <is>
          <t>SW-DAMPER-037</t>
        </is>
      </c>
      <c r="C87" t="inlineStr">
        <is>
          <t>Tấm chống cháy dày 10mm bọc thân van FD/MFD (2 lớp)</t>
        </is>
      </c>
      <c r="D87" t="inlineStr">
        <is>
          <t>VẬT_LIỆU_CÁCH_NHIỆT</t>
        </is>
      </c>
      <c r="E87" t="inlineStr">
        <is>
          <t>MAT-FIREBOARD-10MM-BODY</t>
        </is>
      </c>
      <c r="F87" t="inlineStr">
        <is>
          <t>m2</t>
        </is>
      </c>
      <c r="G87" s="20" t="n">
        <v>2.090997228328288</v>
      </c>
      <c r="H87" s="16">
        <f>'00_TONG_HOP_BAO_GIA'!G38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Bọc 2 lớp tấm 10mm quanh thân L=300mm</t>
        </is>
      </c>
    </row>
    <row r="88">
      <c r="A88" t="inlineStr">
        <is>
          <t>SW-DAMPER-037-FB20-BLADE</t>
        </is>
      </c>
      <c r="B88" t="inlineStr">
        <is>
          <t>SW-DAMPER-037</t>
        </is>
      </c>
      <c r="C88" t="inlineStr">
        <is>
          <t>Tấm chống cháy dày 20mm làm lõi cánh van FD/MFD</t>
        </is>
      </c>
      <c r="D88" t="inlineStr">
        <is>
          <t>VẬT_LIỆU_CÁCH_NHIỆT</t>
        </is>
      </c>
      <c r="E88" t="inlineStr">
        <is>
          <t>MAT-FIREBOARD-20MM-BLADE</t>
        </is>
      </c>
      <c r="F88" t="inlineStr">
        <is>
          <t>m2</t>
        </is>
      </c>
      <c r="G88" s="20" t="n">
        <v>0.5808325634245245</v>
      </c>
      <c r="H88" s="16">
        <f>'00_TONG_HOP_BAO_GIA'!G38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Lõi cánh tấm 20mm (Cánh đơn 1000x500mm)</t>
        </is>
      </c>
    </row>
    <row r="89">
      <c r="A89" t="inlineStr">
        <is>
          <t>SW-DAMPER-037-FB10-BLADE</t>
        </is>
      </c>
      <c r="B89" t="inlineStr">
        <is>
          <t>SW-DAMPER-037</t>
        </is>
      </c>
      <c r="C89" t="inlineStr">
        <is>
          <t>Tấm chống cháy dày 10mm ốp 2 mặt cánh van FD/MFD</t>
        </is>
      </c>
      <c r="D89" t="inlineStr">
        <is>
          <t>VẬT_LIỆU_CÁCH_NHIỆT</t>
        </is>
      </c>
      <c r="E89" t="inlineStr">
        <is>
          <t>MAT-FIREBOARD-10MM-BLADE</t>
        </is>
      </c>
      <c r="F89" t="inlineStr">
        <is>
          <t>m2</t>
        </is>
      </c>
      <c r="G89" s="20" t="n">
        <v>1.161665126849049</v>
      </c>
      <c r="H89" s="16">
        <f>'00_TONG_HOP_BAO_GIA'!G38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Ốp 2 mặt cánh tấm 10mm (Cánh đơn 1000x500mm)</t>
        </is>
      </c>
    </row>
    <row r="90">
      <c r="A90" t="inlineStr">
        <is>
          <t>SW-DAMPER-037-SPRING-BOX</t>
        </is>
      </c>
      <c r="B90" t="inlineStr">
        <is>
          <t>SW-DAMPER-037</t>
        </is>
      </c>
      <c r="C90" t="inlineStr">
        <is>
          <t>Hộp lò xo van chặn lửa FD/MFD</t>
        </is>
      </c>
      <c r="D90" t="inlineStr">
        <is>
          <t>PHỤ_KIỆN_VAN</t>
        </is>
      </c>
      <c r="E90" t="inlineStr">
        <is>
          <t>MAT-DAMPER-HOP-LO-XO</t>
        </is>
      </c>
      <c r="F90" t="inlineStr">
        <is>
          <t>Bộ</t>
        </is>
      </c>
      <c r="G90" s="20" t="n">
        <v>1</v>
      </c>
      <c r="H90" s="16">
        <f>'00_TONG_HOP_BAO_GIA'!G38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Hộp lò xo cơ cấu đóng sập (1 bộ)</t>
        </is>
      </c>
    </row>
    <row r="91">
      <c r="A91" t="inlineStr">
        <is>
          <t>SW-DAMPER-037-SILICON-BOLT</t>
        </is>
      </c>
      <c r="B91" t="inlineStr">
        <is>
          <t>SW-DAMPER-037</t>
        </is>
      </c>
      <c r="C91" t="inlineStr">
        <is>
          <t>Silicon chống cháy + bu lông, ốc vít van FD/MFD</t>
        </is>
      </c>
      <c r="D91" t="inlineStr">
        <is>
          <t>PHỤ_KIỆN_VAN</t>
        </is>
      </c>
      <c r="E91" t="inlineStr">
        <is>
          <t>MAT-DAMPER-SILICON-BULONG-VIT</t>
        </is>
      </c>
      <c r="F91" t="inlineStr">
        <is>
          <t>Bộ</t>
        </is>
      </c>
      <c r="G91" s="20" t="n">
        <v>1</v>
      </c>
      <c r="H91" s="16">
        <f>'00_TONG_HOP_BAO_GIA'!G38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Keo silicon chống cháy &amp; phụ kiện lắp ghép (1 bộ)</t>
        </is>
      </c>
    </row>
    <row r="92">
      <c r="A92" t="inlineStr">
        <is>
          <t>SW-DAMPER-038-BODY</t>
        </is>
      </c>
      <c r="B92" t="inlineStr">
        <is>
          <t>SW-DAMPER-038</t>
        </is>
      </c>
      <c r="C92" t="inlineStr">
        <is>
          <t>Thân vỏ van FD bích C30/TDF (1.15mm)</t>
        </is>
      </c>
      <c r="D92" t="inlineStr">
        <is>
          <t>TÔN_CUỘN_MẠ_KẼM</t>
        </is>
      </c>
      <c r="E92" t="inlineStr">
        <is>
          <t>MAT-STEEL-PN-1.15</t>
        </is>
      </c>
      <c r="F92" t="inlineStr">
        <is>
          <t>kg</t>
        </is>
      </c>
      <c r="G92" s="20" t="n">
        <v>12.22884948735937</v>
      </c>
      <c r="H92" s="16">
        <f>'00_TONG_HOP_BAO_GIA'!G39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Kích thước vỏ 1200x800x200mm</t>
        </is>
      </c>
    </row>
    <row r="93">
      <c r="A93" t="inlineStr">
        <is>
          <t>SW-DAMPER-038-BLADE</t>
        </is>
      </c>
      <c r="B93" t="inlineStr">
        <is>
          <t>SW-DAMPER-038</t>
        </is>
      </c>
      <c r="C93" t="inlineStr">
        <is>
          <t>Lá cánh / Tôn tấm bọc van (1 cánh)</t>
        </is>
      </c>
      <c r="D93" t="inlineStr">
        <is>
          <t>TÔN_CUỘN_MẠ_KẼM</t>
        </is>
      </c>
      <c r="E93" t="inlineStr">
        <is>
          <t>MAT-STEEL-PN-1.15</t>
        </is>
      </c>
      <c r="F93" t="inlineStr">
        <is>
          <t>kg</t>
        </is>
      </c>
      <c r="G93" s="20" t="n">
        <v>20.49993103858242</v>
      </c>
      <c r="H93" s="16">
        <f>'00_TONG_HOP_BAO_GIA'!G39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Tôn bọc cánh &amp; thân (1 cánh/modul)</t>
        </is>
      </c>
    </row>
    <row r="94">
      <c r="A94" t="inlineStr">
        <is>
          <t>SW-DAMPER-038-AXLE</t>
        </is>
      </c>
      <c r="B94" t="inlineStr">
        <is>
          <t>SW-DAMPER-038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20" t="n">
        <v>1.490233148055355</v>
      </c>
      <c r="H94" s="16">
        <f>'00_TONG_HOP_BAO_GIA'!G39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1 trục dài 1260mm</t>
        </is>
      </c>
    </row>
    <row r="95">
      <c r="A95" t="inlineStr">
        <is>
          <t>SW-DAMPER-038-BEARING</t>
        </is>
      </c>
      <c r="B95" t="inlineStr">
        <is>
          <t>SW-DAMPER-038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20" t="n">
        <v>1</v>
      </c>
      <c r="H95" s="16">
        <f>'00_TONG_HOP_BAO_GIA'!G39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1 đôi bạc đỡ 2 bên thân</t>
        </is>
      </c>
    </row>
    <row r="96">
      <c r="A96" t="inlineStr">
        <is>
          <t>SW-DAMPER-038-FUSE</t>
        </is>
      </c>
      <c r="B96" t="inlineStr">
        <is>
          <t>SW-DAMPER-038</t>
        </is>
      </c>
      <c r="C96" t="inlineStr">
        <is>
          <t>Cầu chì nhiệt nóng chảy 70°C/74°C (Elsie/USA)</t>
        </is>
      </c>
      <c r="D96" t="inlineStr">
        <is>
          <t>PHỤ_KIỆN_VAN</t>
        </is>
      </c>
      <c r="E96" t="inlineStr">
        <is>
          <t>MAT-DAMPER-CAU-CHI-USA-2-400X400</t>
        </is>
      </c>
      <c r="F96" t="inlineStr">
        <is>
          <t>Cái</t>
        </is>
      </c>
      <c r="G96" s="20" t="n">
        <v>1</v>
      </c>
      <c r="H96" s="16">
        <f>'00_TONG_HOP_BAO_GIA'!G39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Cầu chì kiểm định PCCC (1 cái)</t>
        </is>
      </c>
    </row>
    <row r="97">
      <c r="A97" t="inlineStr">
        <is>
          <t>SW-DAMPER-038-FB10-BODY</t>
        </is>
      </c>
      <c r="B97" t="inlineStr">
        <is>
          <t>SW-DAMPER-038</t>
        </is>
      </c>
      <c r="C97" t="inlineStr">
        <is>
          <t>Tấm chống cháy dày 10mm bọc thân van FD/MFD (2 lớp)</t>
        </is>
      </c>
      <c r="D97" t="inlineStr">
        <is>
          <t>VẬT_LIỆU_CÁCH_NHIỆT</t>
        </is>
      </c>
      <c r="E97" t="inlineStr">
        <is>
          <t>MAT-FIREBOARD-10MM-BODY</t>
        </is>
      </c>
      <c r="F97" t="inlineStr">
        <is>
          <t>m2</t>
        </is>
      </c>
      <c r="G97" s="20" t="n">
        <v>2.838539329629248</v>
      </c>
      <c r="H97" s="16">
        <f>'00_TONG_HOP_BAO_GIA'!G39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Bọc 2 lớp tấm 10mm quanh thân L=300mm</t>
        </is>
      </c>
    </row>
    <row r="98">
      <c r="A98" t="inlineStr">
        <is>
          <t>SW-DAMPER-038-FB20-BLADE</t>
        </is>
      </c>
      <c r="B98" t="inlineStr">
        <is>
          <t>SW-DAMPER-038</t>
        </is>
      </c>
      <c r="C98" t="inlineStr">
        <is>
          <t>Tấm chống cháy dày 20mm làm lõi cánh van FD/MFD</t>
        </is>
      </c>
      <c r="D98" t="inlineStr">
        <is>
          <t>VẬT_LIỆU_CÁCH_NHIỆT</t>
        </is>
      </c>
      <c r="E98" t="inlineStr">
        <is>
          <t>MAT-FIREBOARD-20MM-BLADE</t>
        </is>
      </c>
      <c r="F98" t="inlineStr">
        <is>
          <t>m2</t>
        </is>
      </c>
      <c r="G98" s="20" t="n">
        <v>1.135415731851699</v>
      </c>
      <c r="H98" s="16">
        <f>'00_TONG_HOP_BAO_GIA'!G39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Lõi cánh tấm 20mm (Cánh đơn 1200x800mm)</t>
        </is>
      </c>
    </row>
    <row r="99">
      <c r="A99" t="inlineStr">
        <is>
          <t>SW-DAMPER-038-FB10-BLADE</t>
        </is>
      </c>
      <c r="B99" t="inlineStr">
        <is>
          <t>SW-DAMPER-038</t>
        </is>
      </c>
      <c r="C99" t="inlineStr">
        <is>
          <t>Tấm chống cháy dày 10mm ốp 2 mặt cánh van FD/MFD</t>
        </is>
      </c>
      <c r="D99" t="inlineStr">
        <is>
          <t>VẬT_LIỆU_CÁCH_NHIỆT</t>
        </is>
      </c>
      <c r="E99" t="inlineStr">
        <is>
          <t>MAT-FIREBOARD-10MM-BLADE</t>
        </is>
      </c>
      <c r="F99" t="inlineStr">
        <is>
          <t>m2</t>
        </is>
      </c>
      <c r="G99" s="20" t="n">
        <v>2.270831463703398</v>
      </c>
      <c r="H99" s="16">
        <f>'00_TONG_HOP_BAO_GIA'!G39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Ốp 2 mặt cánh tấm 10mm (Cánh đơn 1200x800mm)</t>
        </is>
      </c>
    </row>
    <row r="100">
      <c r="A100" t="inlineStr">
        <is>
          <t>SW-DAMPER-038-SPRING-BOX</t>
        </is>
      </c>
      <c r="B100" t="inlineStr">
        <is>
          <t>SW-DAMPER-038</t>
        </is>
      </c>
      <c r="C100" t="inlineStr">
        <is>
          <t>Hộp lò xo van chặn lửa FD/MFD</t>
        </is>
      </c>
      <c r="D100" t="inlineStr">
        <is>
          <t>PHỤ_KIỆN_VAN</t>
        </is>
      </c>
      <c r="E100" t="inlineStr">
        <is>
          <t>MAT-DAMPER-HOP-LO-XO</t>
        </is>
      </c>
      <c r="F100" t="inlineStr">
        <is>
          <t>Bộ</t>
        </is>
      </c>
      <c r="G100" s="20" t="n">
        <v>1</v>
      </c>
      <c r="H100" s="16">
        <f>'00_TONG_HOP_BAO_GIA'!G39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Hộp lò xo cơ cấu đóng sập (1 bộ)</t>
        </is>
      </c>
    </row>
    <row r="101">
      <c r="A101" t="inlineStr">
        <is>
          <t>SW-DAMPER-038-SILICON-BOLT</t>
        </is>
      </c>
      <c r="B101" t="inlineStr">
        <is>
          <t>SW-DAMPER-038</t>
        </is>
      </c>
      <c r="C101" t="inlineStr">
        <is>
          <t>Silicon chống cháy + bu lông, ốc vít van FD/MFD</t>
        </is>
      </c>
      <c r="D101" t="inlineStr">
        <is>
          <t>PHỤ_KIỆN_VAN</t>
        </is>
      </c>
      <c r="E101" t="inlineStr">
        <is>
          <t>MAT-DAMPER-SILICON-BULONG-VIT</t>
        </is>
      </c>
      <c r="F101" t="inlineStr">
        <is>
          <t>Bộ</t>
        </is>
      </c>
      <c r="G101" s="20" t="n">
        <v>1</v>
      </c>
      <c r="H101" s="16">
        <f>'00_TONG_HOP_BAO_GIA'!G39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Keo silicon chống cháy &amp; phụ kiện lắp ghép (1 bộ)</t>
        </is>
      </c>
    </row>
    <row r="102">
      <c r="A102" t="inlineStr">
        <is>
          <t>SW-DAMPER-039-BODY</t>
        </is>
      </c>
      <c r="B102" t="inlineStr">
        <is>
          <t>SW-DAMPER-039</t>
        </is>
      </c>
      <c r="C102" t="inlineStr">
        <is>
          <t>Thân vỏ van FD bích C30/TDF (1.15mm)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0" t="n">
        <v>18.23620545372798</v>
      </c>
      <c r="H102" s="16">
        <f>'00_TONG_HOP_BAO_GIA'!G40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Kích thước vỏ 1600x700x200mm (2 modul 800x700mm)</t>
        </is>
      </c>
    </row>
    <row r="103">
      <c r="A103" t="inlineStr">
        <is>
          <t>SW-DAMPER-039-BLADE</t>
        </is>
      </c>
      <c r="B103" t="inlineStr">
        <is>
          <t>SW-DAMPER-039</t>
        </is>
      </c>
      <c r="C103" t="inlineStr">
        <is>
          <t>Lá cánh / Tôn tấm bọc van (2 cánh)</t>
        </is>
      </c>
      <c r="D103" t="inlineStr">
        <is>
          <t>TÔN_CUỘN_MẠ_KẼM</t>
        </is>
      </c>
      <c r="E103" t="inlineStr">
        <is>
          <t>MAT-STEEL-PN-1.15</t>
        </is>
      </c>
      <c r="F103" t="inlineStr">
        <is>
          <t>kg</t>
        </is>
      </c>
      <c r="G103" s="20" t="n">
        <v>23.69877251946455</v>
      </c>
      <c r="H103" s="16">
        <f>'00_TONG_HOP_BAO_GIA'!G40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Tôn bọc cánh &amp; thân (1 cánh/modul (2 modul 800x700mm))</t>
        </is>
      </c>
    </row>
    <row r="104">
      <c r="A104" t="inlineStr">
        <is>
          <t>SW-DAMPER-039-AXLE</t>
        </is>
      </c>
      <c r="B104" t="inlineStr">
        <is>
          <t>SW-DAMPER-039</t>
        </is>
      </c>
      <c r="C104" t="inlineStr">
        <is>
          <t>Trục Sus 201 D10</t>
        </is>
      </c>
      <c r="D104" t="inlineStr">
        <is>
          <t>PHỤ_KIỆN_VAN</t>
        </is>
      </c>
      <c r="E104" t="inlineStr">
        <is>
          <t>MAT-DAMPER-TRUC-SUS-201-D10</t>
        </is>
      </c>
      <c r="F104" t="inlineStr">
        <is>
          <t>m</t>
        </is>
      </c>
      <c r="G104" s="20" t="n">
        <v>2.015759817891712</v>
      </c>
      <c r="H104" s="16">
        <f>'00_TONG_HOP_BAO_GIA'!G40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2 trục dài 860mm</t>
        </is>
      </c>
    </row>
    <row r="105">
      <c r="A105" t="inlineStr">
        <is>
          <t>SW-DAMPER-039-BEARING</t>
        </is>
      </c>
      <c r="B105" t="inlineStr">
        <is>
          <t>SW-DAMPER-039</t>
        </is>
      </c>
      <c r="C105" t="inlineStr">
        <is>
          <t>Bạc đồng D10</t>
        </is>
      </c>
      <c r="D105" t="inlineStr">
        <is>
          <t>PHỤ_KIỆN_VAN</t>
        </is>
      </c>
      <c r="E105" t="inlineStr">
        <is>
          <t>MAT-DAMPER-BAC-DONG-D10</t>
        </is>
      </c>
      <c r="F105" t="inlineStr">
        <is>
          <t>Đôi</t>
        </is>
      </c>
      <c r="G105" s="20" t="n">
        <v>2</v>
      </c>
      <c r="H105" s="16">
        <f>'00_TONG_HOP_BAO_GIA'!G40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2 đôi bạc đỡ 2 bên thân</t>
        </is>
      </c>
    </row>
    <row r="106">
      <c r="A106" t="inlineStr">
        <is>
          <t>SW-DAMPER-039-FUSE</t>
        </is>
      </c>
      <c r="B106" t="inlineStr">
        <is>
          <t>SW-DAMPER-039</t>
        </is>
      </c>
      <c r="C106" t="inlineStr">
        <is>
          <t>Cầu chì nhiệt nóng chảy 70°C/74°C (Elsie/USA)</t>
        </is>
      </c>
      <c r="D106" t="inlineStr">
        <is>
          <t>PHỤ_KIỆN_VAN</t>
        </is>
      </c>
      <c r="E106" t="inlineStr">
        <is>
          <t>MAT-DAMPER-CAU-CHI-USA-2-400X400</t>
        </is>
      </c>
      <c r="F106" t="inlineStr">
        <is>
          <t>Cái</t>
        </is>
      </c>
      <c r="G106" s="20" t="n">
        <v>2</v>
      </c>
      <c r="H106" s="16">
        <f>'00_TONG_HOP_BAO_GIA'!G40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Cầu chì kiểm định PCCC (2 cái)</t>
        </is>
      </c>
    </row>
    <row r="107">
      <c r="A107" t="inlineStr">
        <is>
          <t>SW-DAMPER-039-FB10-BODY</t>
        </is>
      </c>
      <c r="B107" t="inlineStr">
        <is>
          <t>SW-DAMPER-039</t>
        </is>
      </c>
      <c r="C107" t="inlineStr">
        <is>
          <t>Tấm chống cháy dày 10mm bọc thân van FD/MFD (2 lớp)</t>
        </is>
      </c>
      <c r="D107" t="inlineStr">
        <is>
          <t>VẬT_LIỆU_CÁCH_NHIỆT</t>
        </is>
      </c>
      <c r="E107" t="inlineStr">
        <is>
          <t>MAT-FIREBOARD-10MM-BODY</t>
        </is>
      </c>
      <c r="F107" t="inlineStr">
        <is>
          <t>m2</t>
        </is>
      </c>
      <c r="G107" s="20" t="n">
        <v>4.219032176982653</v>
      </c>
      <c r="H107" s="16">
        <f>'00_TONG_HOP_BAO_GIA'!G40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Bọc 2 lớp tấm 10mm quanh thân L=300mm (2 modul 800x700mm)</t>
        </is>
      </c>
    </row>
    <row r="108">
      <c r="A108" t="inlineStr">
        <is>
          <t>SW-DAMPER-039-FB20-BLADE</t>
        </is>
      </c>
      <c r="B108" t="inlineStr">
        <is>
          <t>SW-DAMPER-039</t>
        </is>
      </c>
      <c r="C108" t="inlineStr">
        <is>
          <t>Tấm chống cháy dày 20mm làm lõi cánh van FD/MFD</t>
        </is>
      </c>
      <c r="D108" t="inlineStr">
        <is>
          <t>VẬT_LIỆU_CÁCH_NHIỆT</t>
        </is>
      </c>
      <c r="E108" t="inlineStr">
        <is>
          <t>MAT-FIREBOARD-20MM-BLADE</t>
        </is>
      </c>
      <c r="F108" t="inlineStr">
        <is>
          <t>m2</t>
        </is>
      </c>
      <c r="G108" s="20" t="n">
        <v>1.312587788394603</v>
      </c>
      <c r="H108" s="16">
        <f>'00_TONG_HOP_BAO_GIA'!G40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Lõi cánh tấm 20mm (Cánh đơn 800x700mm (2 modul 800x700mm))</t>
        </is>
      </c>
    </row>
    <row r="109">
      <c r="A109" t="inlineStr">
        <is>
          <t>SW-DAMPER-039-FB10-BLADE</t>
        </is>
      </c>
      <c r="B109" t="inlineStr">
        <is>
          <t>SW-DAMPER-039</t>
        </is>
      </c>
      <c r="C109" t="inlineStr">
        <is>
          <t>Tấm chống cháy dày 10mm ốp 2 mặt cánh van FD/MFD</t>
        </is>
      </c>
      <c r="D109" t="inlineStr">
        <is>
          <t>VẬT_LIỆU_CÁCH_NHIỆT</t>
        </is>
      </c>
      <c r="E109" t="inlineStr">
        <is>
          <t>MAT-FIREBOARD-10MM-BLADE</t>
        </is>
      </c>
      <c r="F109" t="inlineStr">
        <is>
          <t>m2</t>
        </is>
      </c>
      <c r="G109" s="20" t="n">
        <v>2.625175576789206</v>
      </c>
      <c r="H109" s="16">
        <f>'00_TONG_HOP_BAO_GIA'!G40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Ốp 2 mặt cánh tấm 10mm (Cánh đơn 800x700mm (2 modul 800x700mm))</t>
        </is>
      </c>
    </row>
    <row r="110">
      <c r="A110" t="inlineStr">
        <is>
          <t>SW-DAMPER-039-SPRING-BOX</t>
        </is>
      </c>
      <c r="B110" t="inlineStr">
        <is>
          <t>SW-DAMPER-039</t>
        </is>
      </c>
      <c r="C110" t="inlineStr">
        <is>
          <t>Hộp lò xo van chặn lửa FD/MFD</t>
        </is>
      </c>
      <c r="D110" t="inlineStr">
        <is>
          <t>PHỤ_KIỆN_VAN</t>
        </is>
      </c>
      <c r="E110" t="inlineStr">
        <is>
          <t>MAT-DAMPER-HOP-LO-XO</t>
        </is>
      </c>
      <c r="F110" t="inlineStr">
        <is>
          <t>Bộ</t>
        </is>
      </c>
      <c r="G110" s="20" t="n">
        <v>2</v>
      </c>
      <c r="H110" s="16">
        <f>'00_TONG_HOP_BAO_GIA'!G40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Hộp lò xo cơ cấu đóng sập (2 bộ)</t>
        </is>
      </c>
    </row>
    <row r="111">
      <c r="A111" t="inlineStr">
        <is>
          <t>SW-DAMPER-039-SILICON-BOLT</t>
        </is>
      </c>
      <c r="B111" t="inlineStr">
        <is>
          <t>SW-DAMPER-039</t>
        </is>
      </c>
      <c r="C111" t="inlineStr">
        <is>
          <t>Silicon chống cháy + bu lông, ốc vít van FD/MFD</t>
        </is>
      </c>
      <c r="D111" t="inlineStr">
        <is>
          <t>PHỤ_KIỆN_VAN</t>
        </is>
      </c>
      <c r="E111" t="inlineStr">
        <is>
          <t>MAT-DAMPER-SILICON-BULONG-VIT</t>
        </is>
      </c>
      <c r="F111" t="inlineStr">
        <is>
          <t>Bộ</t>
        </is>
      </c>
      <c r="G111" s="20" t="n">
        <v>2</v>
      </c>
      <c r="H111" s="16">
        <f>'00_TONG_HOP_BAO_GIA'!G40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Keo silicon chống cháy &amp; phụ kiện lắp ghép (2 bộ)</t>
        </is>
      </c>
    </row>
    <row r="112">
      <c r="A112" t="inlineStr">
        <is>
          <t>SW-DAMPER-040-BODY</t>
        </is>
      </c>
      <c r="B112" t="inlineStr">
        <is>
          <t>SW-DAMPER-040</t>
        </is>
      </c>
      <c r="C112" t="inlineStr">
        <is>
          <t>Thân vỏ van NRD bích C30/TDF (0.75mm)</t>
        </is>
      </c>
      <c r="D112" t="inlineStr">
        <is>
          <t>TÔN_CUỘN_MẠ_KẼM</t>
        </is>
      </c>
      <c r="E112" t="inlineStr">
        <is>
          <t>MAT-STEEL-PN-0.75</t>
        </is>
      </c>
      <c r="F112" t="inlineStr">
        <is>
          <t>kg</t>
        </is>
      </c>
      <c r="G112" s="20" t="n">
        <v>0.2568626583096471</v>
      </c>
      <c r="H112" s="16">
        <f>'00_TONG_HOP_BAO_GIA'!G41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Kích thước vỏ 300x200x210mm</t>
        </is>
      </c>
    </row>
    <row r="113">
      <c r="A113" t="inlineStr">
        <is>
          <t>SW-DAMPER-040-BLADE</t>
        </is>
      </c>
      <c r="B113" t="inlineStr">
        <is>
          <t>SW-DAMPER-040</t>
        </is>
      </c>
      <c r="C113" t="inlineStr">
        <is>
          <t>Lá cánh / Tôn tấm bọc van (2 cánh)</t>
        </is>
      </c>
      <c r="D113" t="inlineStr">
        <is>
          <t>TÔN_CUỘN_MẠ_KẼM</t>
        </is>
      </c>
      <c r="E113" t="inlineStr">
        <is>
          <t>MAT-STEEL-PN-0.75</t>
        </is>
      </c>
      <c r="F113" t="inlineStr">
        <is>
          <t>kg</t>
        </is>
      </c>
      <c r="G113" s="20" t="n">
        <v>0.06532456930323832</v>
      </c>
      <c r="H113" s="16">
        <f>'00_TONG_HOP_BAO_GIA'!G41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2 cánh cao 120mm</t>
        </is>
      </c>
    </row>
    <row r="114">
      <c r="A114" t="inlineStr">
        <is>
          <t>SW-DAMPER-040-AXLE</t>
        </is>
      </c>
      <c r="B114" t="inlineStr">
        <is>
          <t>SW-DAMPER-040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20" t="n">
        <v>0.1027358171003198</v>
      </c>
      <c r="H114" s="16">
        <f>'00_TONG_HOP_BAO_GIA'!G41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2 trục dài 360mm</t>
        </is>
      </c>
    </row>
    <row r="115">
      <c r="A115" t="inlineStr">
        <is>
          <t>SW-DAMPER-040-BEARING</t>
        </is>
      </c>
      <c r="B115" t="inlineStr">
        <is>
          <t>SW-DAMPER-040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20" t="n">
        <v>2</v>
      </c>
      <c r="H115" s="16">
        <f>'00_TONG_HOP_BAO_GIA'!G41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2 đôi bạc đỡ 2 bên thân</t>
        </is>
      </c>
    </row>
    <row r="116">
      <c r="A116" t="inlineStr">
        <is>
          <t>SW-DAMPER-040-GEAR</t>
        </is>
      </c>
      <c r="B116" t="inlineStr">
        <is>
          <t>SW-DAMPER-040</t>
        </is>
      </c>
      <c r="C116" t="inlineStr">
        <is>
          <t>Bánh răng van nhôm</t>
        </is>
      </c>
      <c r="D116" t="inlineStr">
        <is>
          <t>PHỤ_KIỆN_VAN</t>
        </is>
      </c>
      <c r="E116" t="inlineStr">
        <is>
          <t>MAT-DAMPER-BANH-RANG-VAN-NHOM</t>
        </is>
      </c>
      <c r="F116" t="inlineStr">
        <is>
          <t>Bộ</t>
        </is>
      </c>
      <c r="G116" s="20" t="n">
        <v>1</v>
      </c>
      <c r="H116" s="16">
        <f>'00_TONG_HOP_BAO_GIA'!G41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Cơ cấu liên động cánh (1 bộ)</t>
        </is>
      </c>
    </row>
    <row r="117">
      <c r="A117" t="inlineStr">
        <is>
          <t>SW-DAMPER-040-ECCENTRIC</t>
        </is>
      </c>
      <c r="B117" t="inlineStr">
        <is>
          <t>SW-DAMPER-040</t>
        </is>
      </c>
      <c r="C117" t="inlineStr">
        <is>
          <t>Cơ cấu lệch tâm / Lò xo đóng mở (NRD)</t>
        </is>
      </c>
      <c r="D117" t="inlineStr">
        <is>
          <t>PHỤ_KIỆN_VAN</t>
        </is>
      </c>
      <c r="E117" t="inlineStr">
        <is>
          <t>ECCENTRIC_SHAFT</t>
        </is>
      </c>
      <c r="F117" t="inlineStr">
        <is>
          <t>Bộ</t>
        </is>
      </c>
      <c r="G117" s="20" t="n">
        <v>1</v>
      </c>
      <c r="H117" s="16">
        <f>'00_TONG_HOP_BAO_GIA'!G41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Cơ cấu đóng mở một chiều</t>
        </is>
      </c>
    </row>
    <row r="118">
      <c r="A118" t="inlineStr">
        <is>
          <t>SW-DAMPER-041-BODY</t>
        </is>
      </c>
      <c r="B118" t="inlineStr">
        <is>
          <t>SW-DAMPER-041</t>
        </is>
      </c>
      <c r="C118" t="inlineStr">
        <is>
          <t>Thân vỏ van NRD bích C30/TDF (0.75mm)</t>
        </is>
      </c>
      <c r="D118" t="inlineStr">
        <is>
          <t>TÔN_CUỘN_MẠ_KẼM</t>
        </is>
      </c>
      <c r="E118" t="inlineStr">
        <is>
          <t>MAT-STEEL-PN-0.75</t>
        </is>
      </c>
      <c r="F118" t="inlineStr">
        <is>
          <t>kg</t>
        </is>
      </c>
      <c r="G118" s="20" t="n">
        <v>2.438898903459506</v>
      </c>
      <c r="H118" s="16">
        <f>'00_TONG_HOP_BAO_GIA'!G42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Kích thước vỏ 800x300x210mm</t>
        </is>
      </c>
    </row>
    <row r="119">
      <c r="A119" t="inlineStr">
        <is>
          <t>SW-DAMPER-041-BLADE</t>
        </is>
      </c>
      <c r="B119" t="inlineStr">
        <is>
          <t>SW-DAMPER-041</t>
        </is>
      </c>
      <c r="C119" t="inlineStr">
        <is>
          <t>Lá cánh / Tôn tấm bọc van (2 cánh)</t>
        </is>
      </c>
      <c r="D119" t="inlineStr">
        <is>
          <t>TÔN_CUỘN_MẠ_KẼM</t>
        </is>
      </c>
      <c r="E119" t="inlineStr">
        <is>
          <t>MAT-STEEL-PN-0.75</t>
        </is>
      </c>
      <c r="F119" t="inlineStr">
        <is>
          <t>kg</t>
        </is>
      </c>
      <c r="G119" s="20" t="n">
        <v>1.087905341776398</v>
      </c>
      <c r="H119" s="16">
        <f>'00_TONG_HOP_BAO_GIA'!G42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2 cánh cao 170mm</t>
        </is>
      </c>
    </row>
    <row r="120">
      <c r="A120" t="inlineStr">
        <is>
          <t>SW-DAMPER-041-AXLE</t>
        </is>
      </c>
      <c r="B120" t="inlineStr">
        <is>
          <t>SW-DAMPER-041</t>
        </is>
      </c>
      <c r="C120" t="inlineStr">
        <is>
          <t>Trục Sus 201 D10</t>
        </is>
      </c>
      <c r="D120" t="inlineStr">
        <is>
          <t>PHỤ_KIỆN_VAN</t>
        </is>
      </c>
      <c r="E120" t="inlineStr">
        <is>
          <t>MAT-DAMPER-TRUC-SUS-201-D10</t>
        </is>
      </c>
      <c r="F120" t="inlineStr">
        <is>
          <t>m</t>
        </is>
      </c>
      <c r="G120" s="20" t="n">
        <v>1.081922061168355</v>
      </c>
      <c r="H120" s="16">
        <f>'00_TONG_HOP_BAO_GIA'!G42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2 trục dài 860mm</t>
        </is>
      </c>
    </row>
    <row r="121">
      <c r="A121" t="inlineStr">
        <is>
          <t>SW-DAMPER-041-BEARING</t>
        </is>
      </c>
      <c r="B121" t="inlineStr">
        <is>
          <t>SW-DAMPER-041</t>
        </is>
      </c>
      <c r="C121" t="inlineStr">
        <is>
          <t>Bạc đồng D10</t>
        </is>
      </c>
      <c r="D121" t="inlineStr">
        <is>
          <t>PHỤ_KIỆN_VAN</t>
        </is>
      </c>
      <c r="E121" t="inlineStr">
        <is>
          <t>MAT-DAMPER-BAC-DONG-D10</t>
        </is>
      </c>
      <c r="F121" t="inlineStr">
        <is>
          <t>Đôi</t>
        </is>
      </c>
      <c r="G121" s="20" t="n">
        <v>2</v>
      </c>
      <c r="H121" s="16">
        <f>'00_TONG_HOP_BAO_GIA'!G42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2 đôi bạc đỡ 2 bên thân</t>
        </is>
      </c>
    </row>
    <row r="122">
      <c r="A122" t="inlineStr">
        <is>
          <t>SW-DAMPER-041-GEAR</t>
        </is>
      </c>
      <c r="B122" t="inlineStr">
        <is>
          <t>SW-DAMPER-041</t>
        </is>
      </c>
      <c r="C122" t="inlineStr">
        <is>
          <t>Bánh răng van nhôm</t>
        </is>
      </c>
      <c r="D122" t="inlineStr">
        <is>
          <t>PHỤ_KIỆN_VAN</t>
        </is>
      </c>
      <c r="E122" t="inlineStr">
        <is>
          <t>MAT-DAMPER-BANH-RANG-VAN-NHOM</t>
        </is>
      </c>
      <c r="F122" t="inlineStr">
        <is>
          <t>Bộ</t>
        </is>
      </c>
      <c r="G122" s="20" t="n">
        <v>1</v>
      </c>
      <c r="H122" s="16">
        <f>'00_TONG_HOP_BAO_GIA'!G42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Cơ cấu liên động cánh (1 bộ)</t>
        </is>
      </c>
    </row>
    <row r="123">
      <c r="A123" t="inlineStr">
        <is>
          <t>SW-DAMPER-041-ECCENTRIC</t>
        </is>
      </c>
      <c r="B123" t="inlineStr">
        <is>
          <t>SW-DAMPER-041</t>
        </is>
      </c>
      <c r="C123" t="inlineStr">
        <is>
          <t>Cơ cấu lệch tâm / Lò xo đóng mở (NRD)</t>
        </is>
      </c>
      <c r="D123" t="inlineStr">
        <is>
          <t>PHỤ_KIỆN_VAN</t>
        </is>
      </c>
      <c r="E123" t="inlineStr">
        <is>
          <t>ECCENTRIC_SHAFT</t>
        </is>
      </c>
      <c r="F123" t="inlineStr">
        <is>
          <t>Bộ</t>
        </is>
      </c>
      <c r="G123" s="20" t="n">
        <v>1</v>
      </c>
      <c r="H123" s="16">
        <f>'00_TONG_HOP_BAO_GIA'!G42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Cơ cấu đóng mở một chiều</t>
        </is>
      </c>
    </row>
    <row r="124">
      <c r="A124" t="inlineStr">
        <is>
          <t>SW-DAMPER-042-BODY</t>
        </is>
      </c>
      <c r="B124" t="inlineStr">
        <is>
          <t>SW-DAMPER-042</t>
        </is>
      </c>
      <c r="C124" t="inlineStr">
        <is>
          <t>Thân vỏ van NRD bích C30/TDF (0.75mm)</t>
        </is>
      </c>
      <c r="D124" t="inlineStr">
        <is>
          <t>TÔN_CUỘN_MẠ_KẼM</t>
        </is>
      </c>
      <c r="E124" t="inlineStr">
        <is>
          <t>MAT-STEEL-PN-0.75</t>
        </is>
      </c>
      <c r="F124" t="inlineStr">
        <is>
          <t>kg</t>
        </is>
      </c>
      <c r="G124" s="20" t="n">
        <v>2.686629932294251</v>
      </c>
      <c r="H124" s="16">
        <f>'00_TONG_HOP_BAO_GIA'!G43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Kích thước vỏ 900x300x210mm</t>
        </is>
      </c>
    </row>
    <row r="125">
      <c r="A125" t="inlineStr">
        <is>
          <t>SW-DAMPER-042-BLADE</t>
        </is>
      </c>
      <c r="B125" t="inlineStr">
        <is>
          <t>SW-DAMPER-042</t>
        </is>
      </c>
      <c r="C125" t="inlineStr">
        <is>
          <t>Lá cánh / Tôn tấm bọc van (2 cánh)</t>
        </is>
      </c>
      <c r="D125" t="inlineStr">
        <is>
          <t>TÔN_CUỘN_MẠ_KẼM</t>
        </is>
      </c>
      <c r="E125" t="inlineStr">
        <is>
          <t>MAT-STEEL-PN-0.75</t>
        </is>
      </c>
      <c r="F125" t="inlineStr">
        <is>
          <t>kg</t>
        </is>
      </c>
      <c r="G125" s="20" t="n">
        <v>1.237701377306518</v>
      </c>
      <c r="H125" s="16">
        <f>'00_TONG_HOP_BAO_GIA'!G43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2 cánh cao 170mm</t>
        </is>
      </c>
    </row>
    <row r="126">
      <c r="A126" t="inlineStr">
        <is>
          <t>SW-DAMPER-042-AXLE</t>
        </is>
      </c>
      <c r="B126" t="inlineStr">
        <is>
          <t>SW-DAMPER-042</t>
        </is>
      </c>
      <c r="C126" t="inlineStr">
        <is>
          <t>Trục Sus 201 D10</t>
        </is>
      </c>
      <c r="D126" t="inlineStr">
        <is>
          <t>PHỤ_KIỆN_VAN</t>
        </is>
      </c>
      <c r="E126" t="inlineStr">
        <is>
          <t>MAT-DAMPER-TRUC-SUS-201-D10</t>
        </is>
      </c>
      <c r="F126" t="inlineStr">
        <is>
          <t>m</t>
        </is>
      </c>
      <c r="G126" s="20" t="n">
        <v>1.221352430012892</v>
      </c>
      <c r="H126" s="16">
        <f>'00_TONG_HOP_BAO_GIA'!G43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2 trục dài 960mm</t>
        </is>
      </c>
    </row>
    <row r="127">
      <c r="A127" t="inlineStr">
        <is>
          <t>SW-DAMPER-042-BEARING</t>
        </is>
      </c>
      <c r="B127" t="inlineStr">
        <is>
          <t>SW-DAMPER-042</t>
        </is>
      </c>
      <c r="C127" t="inlineStr">
        <is>
          <t>Bạc đồng D10</t>
        </is>
      </c>
      <c r="D127" t="inlineStr">
        <is>
          <t>PHỤ_KIỆN_VAN</t>
        </is>
      </c>
      <c r="E127" t="inlineStr">
        <is>
          <t>MAT-DAMPER-BAC-DONG-D10</t>
        </is>
      </c>
      <c r="F127" t="inlineStr">
        <is>
          <t>Đôi</t>
        </is>
      </c>
      <c r="G127" s="20" t="n">
        <v>2</v>
      </c>
      <c r="H127" s="16">
        <f>'00_TONG_HOP_BAO_GIA'!G43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2 đôi bạc đỡ 2 bên thân</t>
        </is>
      </c>
    </row>
    <row r="128">
      <c r="A128" t="inlineStr">
        <is>
          <t>SW-DAMPER-042-GEAR</t>
        </is>
      </c>
      <c r="B128" t="inlineStr">
        <is>
          <t>SW-DAMPER-042</t>
        </is>
      </c>
      <c r="C128" t="inlineStr">
        <is>
          <t>Bánh răng van nhôm</t>
        </is>
      </c>
      <c r="D128" t="inlineStr">
        <is>
          <t>PHỤ_KIỆN_VAN</t>
        </is>
      </c>
      <c r="E128" t="inlineStr">
        <is>
          <t>MAT-DAMPER-BANH-RANG-VAN-NHOM</t>
        </is>
      </c>
      <c r="F128" t="inlineStr">
        <is>
          <t>Bộ</t>
        </is>
      </c>
      <c r="G128" s="20" t="n">
        <v>1</v>
      </c>
      <c r="H128" s="16">
        <f>'00_TONG_HOP_BAO_GIA'!G43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Cơ cấu liên động cánh (1 bộ)</t>
        </is>
      </c>
    </row>
    <row r="129">
      <c r="A129" t="inlineStr">
        <is>
          <t>SW-DAMPER-042-ECCENTRIC</t>
        </is>
      </c>
      <c r="B129" t="inlineStr">
        <is>
          <t>SW-DAMPER-042</t>
        </is>
      </c>
      <c r="C129" t="inlineStr">
        <is>
          <t>Cơ cấu lệch tâm / Lò xo đóng mở (NRD)</t>
        </is>
      </c>
      <c r="D129" t="inlineStr">
        <is>
          <t>PHỤ_KIỆN_VAN</t>
        </is>
      </c>
      <c r="E129" t="inlineStr">
        <is>
          <t>ECCENTRIC_SHAFT</t>
        </is>
      </c>
      <c r="F129" t="inlineStr">
        <is>
          <t>Bộ</t>
        </is>
      </c>
      <c r="G129" s="20" t="n">
        <v>1</v>
      </c>
      <c r="H129" s="16">
        <f>'00_TONG_HOP_BAO_GIA'!G43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Cơ cấu đóng mở một chiều</t>
        </is>
      </c>
    </row>
    <row r="130">
      <c r="A130" t="inlineStr">
        <is>
          <t>SW-DAMPER-043-BODY</t>
        </is>
      </c>
      <c r="B130" t="inlineStr">
        <is>
          <t>SW-DAMPER-043</t>
        </is>
      </c>
      <c r="C130" t="inlineStr">
        <is>
          <t>Thân vỏ van NRD bích C30/TDF (1.15mm)</t>
        </is>
      </c>
      <c r="D130" t="inlineStr">
        <is>
          <t>TÔN_CUỘN_MẠ_KẼM</t>
        </is>
      </c>
      <c r="E130" t="inlineStr">
        <is>
          <t>MAT-STEEL-PN-1.15</t>
        </is>
      </c>
      <c r="F130" t="inlineStr">
        <is>
          <t>kg</t>
        </is>
      </c>
      <c r="G130" s="20" t="n">
        <v>10.70995167952644</v>
      </c>
      <c r="H130" s="16">
        <f>'00_TONG_HOP_BAO_GIA'!G44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Kích thước vỏ 1000x500x210mm</t>
        </is>
      </c>
    </row>
    <row r="131">
      <c r="A131" t="inlineStr">
        <is>
          <t>SW-DAMPER-043-BLADE</t>
        </is>
      </c>
      <c r="B131" t="inlineStr">
        <is>
          <t>SW-DAMPER-043</t>
        </is>
      </c>
      <c r="C131" t="inlineStr">
        <is>
          <t>Lá cánh / Tôn tấm bọc van (3 cánh)</t>
        </is>
      </c>
      <c r="D131" t="inlineStr">
        <is>
          <t>TÔN_CUỘN_MẠ_KẼM</t>
        </is>
      </c>
      <c r="E131" t="inlineStr">
        <is>
          <t>MAT-STEEL-PN-0.75</t>
        </is>
      </c>
      <c r="F131" t="inlineStr">
        <is>
          <t>kg</t>
        </is>
      </c>
      <c r="G131" s="20" t="n">
        <v>4.726523297600751</v>
      </c>
      <c r="H131" s="16">
        <f>'00_TONG_HOP_BAO_GIA'!G44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3 cánh cao 187mm</t>
        </is>
      </c>
    </row>
    <row r="132">
      <c r="A132" t="inlineStr">
        <is>
          <t>SW-DAMPER-043-AXLE</t>
        </is>
      </c>
      <c r="B132" t="inlineStr">
        <is>
          <t>SW-DAMPER-043</t>
        </is>
      </c>
      <c r="C132" t="inlineStr">
        <is>
          <t>Trục Sus 201 D10</t>
        </is>
      </c>
      <c r="D132" t="inlineStr">
        <is>
          <t>PHỤ_KIỆN_VAN</t>
        </is>
      </c>
      <c r="E132" t="inlineStr">
        <is>
          <t>MAT-DAMPER-TRUC-SUS-201-D10</t>
        </is>
      </c>
      <c r="F132" t="inlineStr">
        <is>
          <t>m</t>
        </is>
      </c>
      <c r="G132" s="20" t="n">
        <v>4.221105630924406</v>
      </c>
      <c r="H132" s="16">
        <f>'00_TONG_HOP_BAO_GIA'!G44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3 trục dài 1060mm</t>
        </is>
      </c>
    </row>
    <row r="133">
      <c r="A133" t="inlineStr">
        <is>
          <t>SW-DAMPER-043-BEARING</t>
        </is>
      </c>
      <c r="B133" t="inlineStr">
        <is>
          <t>SW-DAMPER-043</t>
        </is>
      </c>
      <c r="C133" t="inlineStr">
        <is>
          <t>Bạc đồng D10</t>
        </is>
      </c>
      <c r="D133" t="inlineStr">
        <is>
          <t>PHỤ_KIỆN_VAN</t>
        </is>
      </c>
      <c r="E133" t="inlineStr">
        <is>
          <t>MAT-DAMPER-BAC-DONG-D10</t>
        </is>
      </c>
      <c r="F133" t="inlineStr">
        <is>
          <t>Đôi</t>
        </is>
      </c>
      <c r="G133" s="20" t="n">
        <v>3</v>
      </c>
      <c r="H133" s="16">
        <f>'00_TONG_HOP_BAO_GIA'!G44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3 đôi bạc đỡ 2 bên thân</t>
        </is>
      </c>
    </row>
    <row r="134">
      <c r="A134" t="inlineStr">
        <is>
          <t>SW-DAMPER-043-GEAR</t>
        </is>
      </c>
      <c r="B134" t="inlineStr">
        <is>
          <t>SW-DAMPER-043</t>
        </is>
      </c>
      <c r="C134" t="inlineStr">
        <is>
          <t>Bánh răng van nhôm</t>
        </is>
      </c>
      <c r="D134" t="inlineStr">
        <is>
          <t>PHỤ_KIỆN_VAN</t>
        </is>
      </c>
      <c r="E134" t="inlineStr">
        <is>
          <t>MAT-DAMPER-BANH-RANG-VAN-NHOM</t>
        </is>
      </c>
      <c r="F134" t="inlineStr">
        <is>
          <t>Bộ</t>
        </is>
      </c>
      <c r="G134" s="20" t="n">
        <v>1</v>
      </c>
      <c r="H134" s="16">
        <f>'00_TONG_HOP_BAO_GIA'!G44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Cơ cấu liên động cánh (1 bộ)</t>
        </is>
      </c>
    </row>
    <row r="135">
      <c r="A135" t="inlineStr">
        <is>
          <t>SW-DAMPER-043-ECCENTRIC</t>
        </is>
      </c>
      <c r="B135" t="inlineStr">
        <is>
          <t>SW-DAMPER-043</t>
        </is>
      </c>
      <c r="C135" t="inlineStr">
        <is>
          <t>Cơ cấu lệch tâm / Lò xo đóng mở (NRD)</t>
        </is>
      </c>
      <c r="D135" t="inlineStr">
        <is>
          <t>PHỤ_KIỆN_VAN</t>
        </is>
      </c>
      <c r="E135" t="inlineStr">
        <is>
          <t>ECCENTRIC_SHAFT</t>
        </is>
      </c>
      <c r="F135" t="inlineStr">
        <is>
          <t>Bộ</t>
        </is>
      </c>
      <c r="G135" s="20" t="n">
        <v>1</v>
      </c>
      <c r="H135" s="16">
        <f>'00_TONG_HOP_BAO_GIA'!G44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Cơ cấu đóng mở một chiều</t>
        </is>
      </c>
    </row>
    <row r="136">
      <c r="A136" t="inlineStr">
        <is>
          <t>SW-DAMPER-044-BODY</t>
        </is>
      </c>
      <c r="B136" t="inlineStr">
        <is>
          <t>SW-DAMPER-044</t>
        </is>
      </c>
      <c r="C136" t="inlineStr">
        <is>
          <t>Thân vỏ van NRD bích C30/TDF (1.15mm)</t>
        </is>
      </c>
      <c r="D136" t="inlineStr">
        <is>
          <t>TÔN_CUỘN_MẠ_KẼM</t>
        </is>
      </c>
      <c r="E136" t="inlineStr">
        <is>
          <t>MAT-STEEL-PN-1.15</t>
        </is>
      </c>
      <c r="F136" t="inlineStr">
        <is>
          <t>kg</t>
        </is>
      </c>
      <c r="G136" s="20" t="n">
        <v>11.6179790648199</v>
      </c>
      <c r="H136" s="16">
        <f>'00_TONG_HOP_BAO_GIA'!G45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Kích thước vỏ 1200x800x210mm</t>
        </is>
      </c>
    </row>
    <row r="137">
      <c r="A137" t="inlineStr">
        <is>
          <t>SW-DAMPER-044-BLADE</t>
        </is>
      </c>
      <c r="B137" t="inlineStr">
        <is>
          <t>SW-DAMPER-044</t>
        </is>
      </c>
      <c r="C137" t="inlineStr">
        <is>
          <t>Lá cánh / Tôn tấm bọc van (5 cánh)</t>
        </is>
      </c>
      <c r="D137" t="inlineStr">
        <is>
          <t>TÔN_CUỘN_MẠ_KẼM</t>
        </is>
      </c>
      <c r="E137" t="inlineStr">
        <is>
          <t>MAT-STEEL-PN-0.75</t>
        </is>
      </c>
      <c r="F137" t="inlineStr">
        <is>
          <t>kg</t>
        </is>
      </c>
      <c r="G137" s="20" t="n">
        <v>7.440683439125784</v>
      </c>
      <c r="H137" s="16">
        <f>'00_TONG_HOP_BAO_GIA'!G45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5 cánh cao 180mm</t>
        </is>
      </c>
    </row>
    <row r="138">
      <c r="A138" t="inlineStr">
        <is>
          <t>SW-DAMPER-044-AXLE</t>
        </is>
      </c>
      <c r="B138" t="inlineStr">
        <is>
          <t>SW-DAMPER-044</t>
        </is>
      </c>
      <c r="C138" t="inlineStr">
        <is>
          <t>Trục Sus 201 D10</t>
        </is>
      </c>
      <c r="D138" t="inlineStr">
        <is>
          <t>PHỤ_KIỆN_VAN</t>
        </is>
      </c>
      <c r="E138" t="inlineStr">
        <is>
          <t>MAT-DAMPER-TRUC-SUS-201-D10</t>
        </is>
      </c>
      <c r="F138" t="inlineStr">
        <is>
          <t>m</t>
        </is>
      </c>
      <c r="G138" s="20" t="n">
        <v>6.826136152903002</v>
      </c>
      <c r="H138" s="16">
        <f>'00_TONG_HOP_BAO_GIA'!G45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5 trục dài 1260mm</t>
        </is>
      </c>
    </row>
    <row r="139">
      <c r="A139" t="inlineStr">
        <is>
          <t>SW-DAMPER-044-BEARING</t>
        </is>
      </c>
      <c r="B139" t="inlineStr">
        <is>
          <t>SW-DAMPER-044</t>
        </is>
      </c>
      <c r="C139" t="inlineStr">
        <is>
          <t>Bạc đồng D10</t>
        </is>
      </c>
      <c r="D139" t="inlineStr">
        <is>
          <t>PHỤ_KIỆN_VAN</t>
        </is>
      </c>
      <c r="E139" t="inlineStr">
        <is>
          <t>MAT-DAMPER-BAC-DONG-D10</t>
        </is>
      </c>
      <c r="F139" t="inlineStr">
        <is>
          <t>Đôi</t>
        </is>
      </c>
      <c r="G139" s="20" t="n">
        <v>5</v>
      </c>
      <c r="H139" s="16">
        <f>'00_TONG_HOP_BAO_GIA'!G45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5 đôi bạc đỡ 2 bên thân</t>
        </is>
      </c>
    </row>
    <row r="140">
      <c r="A140" t="inlineStr">
        <is>
          <t>SW-DAMPER-044-GEAR</t>
        </is>
      </c>
      <c r="B140" t="inlineStr">
        <is>
          <t>SW-DAMPER-044</t>
        </is>
      </c>
      <c r="C140" t="inlineStr">
        <is>
          <t>Bánh răng van nhôm</t>
        </is>
      </c>
      <c r="D140" t="inlineStr">
        <is>
          <t>PHỤ_KIỆN_VAN</t>
        </is>
      </c>
      <c r="E140" t="inlineStr">
        <is>
          <t>MAT-DAMPER-BANH-RANG-VAN-NHOM</t>
        </is>
      </c>
      <c r="F140" t="inlineStr">
        <is>
          <t>Bộ</t>
        </is>
      </c>
      <c r="G140" s="20" t="n">
        <v>1</v>
      </c>
      <c r="H140" s="16">
        <f>'00_TONG_HOP_BAO_GIA'!G45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Cơ cấu liên động cánh (1 bộ)</t>
        </is>
      </c>
    </row>
    <row r="141">
      <c r="A141" t="inlineStr">
        <is>
          <t>SW-DAMPER-044-ECCENTRIC</t>
        </is>
      </c>
      <c r="B141" t="inlineStr">
        <is>
          <t>SW-DAMPER-044</t>
        </is>
      </c>
      <c r="C141" t="inlineStr">
        <is>
          <t>Cơ cấu lệch tâm / Lò xo đóng mở (NRD)</t>
        </is>
      </c>
      <c r="D141" t="inlineStr">
        <is>
          <t>PHỤ_KIỆN_VAN</t>
        </is>
      </c>
      <c r="E141" t="inlineStr">
        <is>
          <t>ECCENTRIC_SHAFT</t>
        </is>
      </c>
      <c r="F141" t="inlineStr">
        <is>
          <t>Bộ</t>
        </is>
      </c>
      <c r="G141" s="20" t="n">
        <v>1</v>
      </c>
      <c r="H141" s="16">
        <f>'00_TONG_HOP_BAO_GIA'!G45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Cơ cấu đóng mở một chiều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PHÂN LOẠI</t>
        </is>
      </c>
      <c r="D1" s="15" t="inlineStr">
        <is>
          <t>TÊN VẬT TƯ</t>
        </is>
      </c>
      <c r="E1" s="15" t="inlineStr">
        <is>
          <t>ĐVT</t>
        </is>
      </c>
      <c r="F1" s="15" t="inlineStr">
        <is>
          <t>BAREM KỸ THUẬT</t>
        </is>
      </c>
      <c r="G1" s="15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TÊN VẬT TƯ</t>
        </is>
      </c>
      <c r="D1" s="15" t="inlineStr">
        <is>
          <t>PHÂN LOẠI</t>
        </is>
      </c>
      <c r="E1" s="15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6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6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6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6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6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6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6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6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6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6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6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6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6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6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6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6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6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6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6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6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6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6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6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6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6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6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6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6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6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6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6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6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6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6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6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6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6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6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6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6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6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6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6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6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6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6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6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6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6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6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6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6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6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6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6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6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6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6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6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6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6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6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6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6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6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6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6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6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6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6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6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6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6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6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6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6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6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6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6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6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6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6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6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6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6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6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6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6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6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6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6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6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6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6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6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6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6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6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6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6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6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6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6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6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6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6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6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6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6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6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6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6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6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6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6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6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6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6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6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6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6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6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6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6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6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6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6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6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6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6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6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6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6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6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6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6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6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6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6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6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6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6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6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6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6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6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6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6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6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6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6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6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6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6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6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6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6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6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6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6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6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6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6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6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6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6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6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6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6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6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6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6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6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6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6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6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6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6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6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6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6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6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6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6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6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6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6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6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6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6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6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6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6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6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6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6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6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6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6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6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6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6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6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6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6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2026-10-19T04:37:23Z</dcterms:created>
  <dcterms:modified xsi:type="dcterms:W3CDTF">2026-10-19T04:37:23Z</dcterms:modified>
</cp:coreProperties>
</file>
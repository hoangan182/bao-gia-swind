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4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n"/>
      <c r="B14" s="7" t="inlineStr">
        <is>
          <t>Hạng mục: HỆ THỐNG ĐIỀU ÁP VÀ HÚT KHÓI - KHỐI A1+A2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A. HỆ THỐNG TĂNG ÁP THANG BỘ VÀ SẢNH THANG MÁY HẦM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7" t="inlineStr">
        <is>
          <t>Thiết bị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7" t="inlineStr">
        <is>
          <t>Quạt tạo áp, động cơ cấp "H" chịu nhiệt độ tối đa 300°C trong 2h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8" t="n"/>
      <c r="B18" s="9" t="inlineStr">
        <is>
          <t>Quạt tạo áp: PAF-B2.01
- Hướng trục, nối ống gió.
- Lưu lượng: 2600L/s@350Pa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cái</t>
        </is>
      </c>
      <c r="M18" s="10" t="n">
        <v>1</v>
      </c>
      <c r="N18" s="11" t="n"/>
      <c r="O18" s="11" t="n"/>
      <c r="P18" s="9" t="n"/>
    </row>
    <row r="19">
      <c r="A19" s="8" t="n"/>
      <c r="B19" s="9" t="inlineStr">
        <is>
          <t>Quạt tạo áp: PAF-B1.01
- Hướng trục, nối ống gió.
- Lưu lượng: 3400L/s@300Pa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inlineStr">
        <is>
          <t>cái</t>
        </is>
      </c>
      <c r="M19" s="10" t="n">
        <v>1</v>
      </c>
      <c r="N19" s="11" t="n"/>
      <c r="O19" s="11" t="n"/>
      <c r="P19" s="9" t="n"/>
    </row>
    <row r="20">
      <c r="A20" s="8" t="n"/>
      <c r="B20" s="9" t="inlineStr">
        <is>
          <t>Quạt tạo áp: PAF-B1.02
- Hướng trục, nối ống gió.
- Lưu lượng: 4300L/s@300Pa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inlineStr">
        <is>
          <t>Cái</t>
        </is>
      </c>
      <c r="M20" s="10" t="n">
        <v>1</v>
      </c>
      <c r="N20" s="11" t="n"/>
      <c r="O20" s="11" t="n"/>
      <c r="P20" s="9" t="n"/>
    </row>
    <row r="21">
      <c r="A21" s="8" t="n"/>
      <c r="B21" s="9" t="inlineStr">
        <is>
          <t>Quạt tạo áp: PAF-B1.03
- Hướng trục, nối ống gió.
- Lưu lượng: 3400L/s@300Pa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Cái</t>
        </is>
      </c>
      <c r="M21" s="10" t="n">
        <v>1</v>
      </c>
      <c r="N21" s="11" t="n"/>
      <c r="O21" s="11" t="n"/>
      <c r="P21" s="9" t="n"/>
    </row>
    <row r="22">
      <c r="A22" s="8" t="n"/>
      <c r="B22" s="9" t="inlineStr">
        <is>
          <t>Quạt tạo áp: PAF-B1.04
- Hướng trục, nối ống gió.
- Lưu lượng: 3400L/s@300Pa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inlineStr">
        <is>
          <t>Cái</t>
        </is>
      </c>
      <c r="M22" s="10" t="n">
        <v>1</v>
      </c>
      <c r="N22" s="11" t="n"/>
      <c r="O22" s="11" t="n"/>
      <c r="P22" s="9" t="n"/>
    </row>
    <row r="23">
      <c r="A23" s="8" t="n"/>
      <c r="B23" s="9" t="inlineStr">
        <is>
          <t>Quạt tạo áp: PAF-A1-1F.01
- Hướng trục, nối ống gió.
- Lưu lượng: 3200L/s@300Pa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Cái</t>
        </is>
      </c>
      <c r="M23" s="10" t="n">
        <v>1</v>
      </c>
      <c r="N23" s="11" t="n"/>
      <c r="O23" s="11" t="n"/>
      <c r="P23" s="9" t="n"/>
    </row>
    <row r="24">
      <c r="A24" s="8" t="n"/>
      <c r="B24" s="9" t="inlineStr">
        <is>
          <t>Quạt tạo áp: PAF-A1-1F.02
- Hướng trục, nối ống gió.
- Lưu lượng: 4150L/s@300Pa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inlineStr">
        <is>
          <t>Cái</t>
        </is>
      </c>
      <c r="M24" s="10" t="n">
        <v>1</v>
      </c>
      <c r="N24" s="11" t="n"/>
      <c r="O24" s="11" t="n"/>
      <c r="P24" s="9" t="n"/>
    </row>
    <row r="25">
      <c r="A25" s="8" t="n"/>
      <c r="B25" s="9" t="inlineStr">
        <is>
          <t>Quạt tạo áp: PAF-A1-1F.03
- Hướng trục, nối ống gió.
- Lưu lượng: 1050L/s@300Pa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inlineStr">
        <is>
          <t>Cái</t>
        </is>
      </c>
      <c r="M25" s="10" t="n">
        <v>1</v>
      </c>
      <c r="N25" s="11" t="n"/>
      <c r="O25" s="11" t="n"/>
      <c r="P25" s="9" t="n"/>
    </row>
    <row r="26">
      <c r="A26" s="8" t="n"/>
      <c r="B26" s="9" t="inlineStr">
        <is>
          <t>Quạt tạo áp: PAF-A2-1F.01
- Hướng trục, nối ống gió.
- Lưu lượng: 4300L/s@300Pa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inlineStr">
        <is>
          <t>Cái</t>
        </is>
      </c>
      <c r="M26" s="10" t="n">
        <v>1</v>
      </c>
      <c r="N26" s="11" t="n"/>
      <c r="O26" s="11" t="n"/>
      <c r="P26" s="9" t="n"/>
    </row>
    <row r="27">
      <c r="A27" s="8" t="n"/>
      <c r="B27" s="9" t="inlineStr">
        <is>
          <t>Quạt tạo áp: PAF-A2-1F.02
- Hướng trục, nối ống gió.
- Lưu lượng: 5100L/s@300Pa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inlineStr">
        <is>
          <t>Cái</t>
        </is>
      </c>
      <c r="M27" s="10" t="n">
        <v>1</v>
      </c>
      <c r="N27" s="11" t="n"/>
      <c r="O27" s="11" t="n"/>
      <c r="P27" s="9" t="n"/>
    </row>
    <row r="28">
      <c r="A28" s="8" t="n"/>
      <c r="B28" s="9" t="inlineStr">
        <is>
          <t>Quạt tạo áp: PAF-A2-1F.03
- Hướng trục, nối ống gió.
- Lưu lượng: 3400L/s@300Pa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inlineStr">
        <is>
          <t>Cái</t>
        </is>
      </c>
      <c r="M28" s="10" t="n">
        <v>1</v>
      </c>
      <c r="N28" s="11" t="n"/>
      <c r="O28" s="11" t="n"/>
      <c r="P28" s="9" t="n"/>
    </row>
    <row r="29">
      <c r="A29" s="8" t="n"/>
      <c r="B29" s="9" t="inlineStr">
        <is>
          <t>Quạt tạo áp: PAF-A2-1F.04
- Hướng trục, nối ống gió.
- Lưu lượng: 1050L/s@300Pa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inlineStr">
        <is>
          <t>Cái</t>
        </is>
      </c>
      <c r="M29" s="10" t="n">
        <v>1</v>
      </c>
      <c r="N29" s="11" t="n"/>
      <c r="O29" s="11" t="n"/>
      <c r="P29" s="9" t="n"/>
    </row>
    <row r="30">
      <c r="A30" s="8" t="n"/>
      <c r="B30" s="9" t="inlineStr">
        <is>
          <t>Lò xo chống rung cho quạt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inlineStr">
        <is>
          <t>Cái</t>
        </is>
      </c>
      <c r="M30" s="10" t="n">
        <v>48</v>
      </c>
      <c r="N30" s="11" t="n"/>
      <c r="O30" s="11" t="n"/>
      <c r="P30" s="9" t="n"/>
    </row>
    <row r="31">
      <c r="A31" s="8" t="n"/>
      <c r="B31" s="9" t="inlineStr">
        <is>
          <t>Vật tư phụ lắp đặt thiết bị (simili chống cháy, U...)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inlineStr">
        <is>
          <t>Lô</t>
        </is>
      </c>
      <c r="M31" s="10" t="n">
        <v>1</v>
      </c>
      <c r="N31" s="11" t="n"/>
      <c r="O31" s="11" t="n"/>
      <c r="P31" s="9" t="n"/>
    </row>
    <row r="32">
      <c r="A32" s="6" t="n"/>
      <c r="B32" s="7" t="inlineStr">
        <is>
          <t>II. Vật tư đường ống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8" t="n"/>
      <c r="B33" s="9" t="inlineStr">
        <is>
          <t>Bộ cảm biến khói, loại gắn trên ống gió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inlineStr">
        <is>
          <t>cái</t>
        </is>
      </c>
      <c r="M33" s="10" t="n">
        <v>7</v>
      </c>
      <c r="N33" s="11" t="n"/>
      <c r="O33" s="11" t="n"/>
      <c r="P33" s="9" t="n"/>
    </row>
    <row r="34">
      <c r="A34" s="8" t="n"/>
      <c r="B34" s="9" t="inlineStr">
        <is>
          <t>Van một chiều NRD 500x500</t>
        </is>
      </c>
      <c r="C34" s="8" t="inlineStr">
        <is>
          <t>NRD</t>
        </is>
      </c>
      <c r="D34" s="8" t="inlineStr">
        <is>
          <t>SWIND</t>
        </is>
      </c>
      <c r="E34" s="8" t="n">
        <v>500</v>
      </c>
      <c r="F34" s="8" t="n">
        <v>500</v>
      </c>
      <c r="G34" s="8" t="n"/>
      <c r="H34" s="8" t="n"/>
      <c r="I34" s="8" t="n"/>
      <c r="J34" s="8" t="n">
        <v>200</v>
      </c>
      <c r="K34" s="12" t="n">
        <v>0.95</v>
      </c>
      <c r="L34" s="8" t="inlineStr">
        <is>
          <t>cái</t>
        </is>
      </c>
      <c r="M34" s="10" t="n">
        <v>2</v>
      </c>
      <c r="N34" s="10">
        <f>ROUND('00_TONG_HOP_BAO_GIA'!Q2, 0)</f>
        <v/>
      </c>
      <c r="O34" s="10">
        <f>ROUNDUP(N34*M34, -2)</f>
        <v/>
      </c>
      <c r="P34" s="9" t="inlineStr">
        <is>
          <t>Van 1 chiều tôn mạ kẽm</t>
        </is>
      </c>
    </row>
    <row r="35">
      <c r="A35" s="8" t="n"/>
      <c r="B35" s="9" t="inlineStr">
        <is>
          <t>Van một chiều NRD 600x500</t>
        </is>
      </c>
      <c r="C35" s="8" t="inlineStr">
        <is>
          <t>NRD</t>
        </is>
      </c>
      <c r="D35" s="8" t="inlineStr">
        <is>
          <t>SWIND</t>
        </is>
      </c>
      <c r="E35" s="8" t="n">
        <v>600</v>
      </c>
      <c r="F35" s="8" t="n">
        <v>500</v>
      </c>
      <c r="G35" s="8" t="n"/>
      <c r="H35" s="8" t="n"/>
      <c r="I35" s="8" t="n"/>
      <c r="J35" s="8" t="n">
        <v>200</v>
      </c>
      <c r="K35" s="12" t="n">
        <v>0.95</v>
      </c>
      <c r="L35" s="8" t="inlineStr">
        <is>
          <t>cái</t>
        </is>
      </c>
      <c r="M35" s="10" t="n">
        <v>1</v>
      </c>
      <c r="N35" s="10">
        <f>ROUND('00_TONG_HOP_BAO_GIA'!Q3, 0)</f>
        <v/>
      </c>
      <c r="O35" s="10">
        <f>ROUNDUP(N35*M35, -2)</f>
        <v/>
      </c>
      <c r="P35" s="9" t="inlineStr">
        <is>
          <t>Van 1 chiều tôn mạ kẽm</t>
        </is>
      </c>
    </row>
    <row r="36">
      <c r="A36" s="8" t="n"/>
      <c r="B36" s="9" t="inlineStr">
        <is>
          <t>Van một chiều NRD 900x300</t>
        </is>
      </c>
      <c r="C36" s="8" t="inlineStr">
        <is>
          <t>NRD</t>
        </is>
      </c>
      <c r="D36" s="8" t="inlineStr">
        <is>
          <t>SWIND</t>
        </is>
      </c>
      <c r="E36" s="8" t="n">
        <v>900</v>
      </c>
      <c r="F36" s="8" t="n">
        <v>300</v>
      </c>
      <c r="G36" s="8" t="n"/>
      <c r="H36" s="8" t="n"/>
      <c r="I36" s="8" t="n"/>
      <c r="J36" s="8" t="n">
        <v>200</v>
      </c>
      <c r="K36" s="12" t="n">
        <v>0.75</v>
      </c>
      <c r="L36" s="8" t="inlineStr">
        <is>
          <t>cái</t>
        </is>
      </c>
      <c r="M36" s="10" t="n">
        <v>1</v>
      </c>
      <c r="N36" s="10">
        <f>ROUND('00_TONG_HOP_BAO_GIA'!Q4, 0)</f>
        <v/>
      </c>
      <c r="O36" s="10">
        <f>ROUNDUP(N36*M36, -2)</f>
        <v/>
      </c>
      <c r="P36" s="9" t="inlineStr">
        <is>
          <t>Van 1 chiều tôn mạ kẽm</t>
        </is>
      </c>
    </row>
    <row r="37">
      <c r="A37" s="8" t="n"/>
      <c r="B37" s="9" t="inlineStr">
        <is>
          <t>Van xả áp PRD 1100x400</t>
        </is>
      </c>
      <c r="C37" s="8" t="inlineStr">
        <is>
          <t>PRD</t>
        </is>
      </c>
      <c r="D37" s="8" t="inlineStr">
        <is>
          <t>SWIND</t>
        </is>
      </c>
      <c r="E37" s="8" t="n">
        <v>1100</v>
      </c>
      <c r="F37" s="8" t="n">
        <v>400</v>
      </c>
      <c r="G37" s="8" t="n"/>
      <c r="H37" s="8" t="n"/>
      <c r="I37" s="8" t="n"/>
      <c r="J37" s="8" t="n">
        <v>200</v>
      </c>
      <c r="K37" s="12" t="n">
        <v>1.15</v>
      </c>
      <c r="L37" s="8" t="inlineStr">
        <is>
          <t>cái</t>
        </is>
      </c>
      <c r="M37" s="10" t="n">
        <v>8</v>
      </c>
      <c r="N37" s="10">
        <f>ROUND('00_TONG_HOP_BAO_GIA'!Q5, 0)</f>
        <v/>
      </c>
      <c r="O37" s="10">
        <f>ROUNDUP(N37*M37, -2)</f>
        <v/>
      </c>
      <c r="P37" s="9" t="inlineStr">
        <is>
          <t>Van xả áp đối trọng tôn mạ kẽm</t>
        </is>
      </c>
    </row>
    <row r="38">
      <c r="A38" s="6" t="n"/>
      <c r="B38" s="7" t="inlineStr">
        <is>
          <t>Van chặn lửa MFD, EI60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8" t="n"/>
      <c r="B39" s="9" t="inlineStr">
        <is>
          <t>Van chặn lửa MFD, EI60 MFD 400x250</t>
        </is>
      </c>
      <c r="C39" s="8" t="inlineStr">
        <is>
          <t>SWIND-1.03-MFD-EI90</t>
        </is>
      </c>
      <c r="D39" s="8" t="inlineStr">
        <is>
          <t>SWIND</t>
        </is>
      </c>
      <c r="E39" s="8" t="n">
        <v>400</v>
      </c>
      <c r="F39" s="8" t="n">
        <v>250</v>
      </c>
      <c r="G39" s="8" t="n"/>
      <c r="H39" s="8" t="n"/>
      <c r="I39" s="8" t="n"/>
      <c r="J39" s="8" t="n">
        <v>200</v>
      </c>
      <c r="K39" s="12" t="n">
        <v>1.15</v>
      </c>
      <c r="L39" s="8" t="inlineStr">
        <is>
          <t>cửa</t>
        </is>
      </c>
      <c r="M39" s="10" t="n">
        <v>3</v>
      </c>
      <c r="N39" s="10">
        <f>ROUND('00_TONG_HOP_BAO_GIA'!Q6, 0)</f>
        <v/>
      </c>
      <c r="O39" s="10">
        <f>ROUNDUP(N39*M39, -2)</f>
        <v/>
      </c>
      <c r="P39" s="9" t="inlineStr">
        <is>
          <t>- Van ngăn cháy động cơ - Tiêu chuẩn EI 90
- 2 đầu bích TDC - Gắn kèm động cơ ON-OFF 5Nm, Hãng KLB
- Sản xuất theo BCTN số 4651/VLXD-TBMT</t>
        </is>
      </c>
    </row>
    <row r="40">
      <c r="A40" s="8" t="n"/>
      <c r="B40" s="9" t="inlineStr">
        <is>
          <t>Van chặn lửa MFD, EI60 MFD 500x500</t>
        </is>
      </c>
      <c r="C40" s="8" t="inlineStr">
        <is>
          <t>SWIND-1.03-MFD-EI90</t>
        </is>
      </c>
      <c r="D40" s="8" t="inlineStr">
        <is>
          <t>SWIND</t>
        </is>
      </c>
      <c r="E40" s="8" t="n">
        <v>500</v>
      </c>
      <c r="F40" s="8" t="n">
        <v>500</v>
      </c>
      <c r="G40" s="8" t="n"/>
      <c r="H40" s="8" t="n"/>
      <c r="I40" s="8" t="n"/>
      <c r="J40" s="8" t="n">
        <v>200</v>
      </c>
      <c r="K40" s="12" t="n">
        <v>1.15</v>
      </c>
      <c r="L40" s="8" t="inlineStr">
        <is>
          <t>cái</t>
        </is>
      </c>
      <c r="M40" s="10" t="n">
        <v>5</v>
      </c>
      <c r="N40" s="10">
        <f>ROUND('00_TONG_HOP_BAO_GIA'!Q7, 0)</f>
        <v/>
      </c>
      <c r="O40" s="10">
        <f>ROUNDUP(N40*M40, -2)</f>
        <v/>
      </c>
      <c r="P40" s="9" t="inlineStr">
        <is>
          <t>- Van ngăn cháy động cơ - Tiêu chuẩn EI 90
- 2 đầu bích TDC - Gắn kèm động cơ ON-OFF 5Nm, Hãng KLB
- Sản xuất theo BCTN số 4651/VLXD-TBMT</t>
        </is>
      </c>
    </row>
    <row r="41">
      <c r="A41" s="8" t="n"/>
      <c r="B41" s="9" t="inlineStr">
        <is>
          <t>Van chặn lửa MFD, EI60 MFD 600x500</t>
        </is>
      </c>
      <c r="C41" s="8" t="inlineStr">
        <is>
          <t>SWIND-1.03-MFD-EI90</t>
        </is>
      </c>
      <c r="D41" s="8" t="inlineStr">
        <is>
          <t>SWIND</t>
        </is>
      </c>
      <c r="E41" s="8" t="n">
        <v>600</v>
      </c>
      <c r="F41" s="8" t="n">
        <v>500</v>
      </c>
      <c r="G41" s="8" t="n"/>
      <c r="H41" s="8" t="n"/>
      <c r="I41" s="8" t="n"/>
      <c r="J41" s="8" t="n">
        <v>200</v>
      </c>
      <c r="K41" s="12" t="n">
        <v>1.15</v>
      </c>
      <c r="L41" s="8" t="inlineStr">
        <is>
          <t>cái</t>
        </is>
      </c>
      <c r="M41" s="10" t="n">
        <v>2</v>
      </c>
      <c r="N41" s="10">
        <f>ROUND('00_TONG_HOP_BAO_GIA'!Q8, 0)</f>
        <v/>
      </c>
      <c r="O41" s="10">
        <f>ROUNDUP(N41*M41, -2)</f>
        <v/>
      </c>
      <c r="P41" s="9" t="inlineStr">
        <is>
          <t>- Van ngăn cháy động cơ - Tiêu chuẩn EI 90
- 2 đầu bích TDC - Gắn kèm động cơ ON-OFF 5Nm, Hãng KLB
- Sản xuất theo BCTN số 4651/VLXD-TBMT</t>
        </is>
      </c>
    </row>
    <row r="42">
      <c r="A42" s="8" t="n"/>
      <c r="B42" s="9" t="inlineStr">
        <is>
          <t>Van chặn lửa MFD, EI60 MFD 900x300</t>
        </is>
      </c>
      <c r="C42" s="8" t="inlineStr">
        <is>
          <t>SWIND-1.03-MFD-EI90</t>
        </is>
      </c>
      <c r="D42" s="8" t="inlineStr">
        <is>
          <t>SWIND</t>
        </is>
      </c>
      <c r="E42" s="8" t="n">
        <v>900</v>
      </c>
      <c r="F42" s="8" t="n">
        <v>300</v>
      </c>
      <c r="G42" s="8" t="n"/>
      <c r="H42" s="8" t="n"/>
      <c r="I42" s="8" t="n"/>
      <c r="J42" s="8" t="n">
        <v>200</v>
      </c>
      <c r="K42" s="12" t="n">
        <v>1.15</v>
      </c>
      <c r="L42" s="8" t="inlineStr">
        <is>
          <t>cái</t>
        </is>
      </c>
      <c r="M42" s="10" t="n">
        <v>3</v>
      </c>
      <c r="N42" s="10">
        <f>ROUND('00_TONG_HOP_BAO_GIA'!Q9, 0)</f>
        <v/>
      </c>
      <c r="O42" s="10">
        <f>ROUNDUP(N42*M42, -2)</f>
        <v/>
      </c>
      <c r="P42" s="9" t="inlineStr">
        <is>
          <t>- Van ngăn cháy động cơ - Tiêu chuẩn EI 90
- 2 đầu bích TDC - Gắn kèm động cơ ON-OFF 5Nm, Hãng KLB
- Sản xuất theo BCTN số 4651/VLXD-TBMT</t>
        </is>
      </c>
    </row>
    <row r="43">
      <c r="A43" s="6" t="n"/>
      <c r="B43" s="7" t="inlineStr">
        <is>
          <t>Louver lấy gió tươi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8" t="n"/>
      <c r="B44" s="9" t="inlineStr">
        <is>
          <t>Louver lấy gió tươi FAL + LCCT 1900x500</t>
        </is>
      </c>
      <c r="C44" s="8" t="inlineStr">
        <is>
          <t>WL+N</t>
        </is>
      </c>
      <c r="D44" s="8" t="inlineStr">
        <is>
          <t>SWIND</t>
        </is>
      </c>
      <c r="E44" s="8" t="n">
        <v>1900</v>
      </c>
      <c r="F44" s="8" t="n">
        <v>500</v>
      </c>
      <c r="G44" s="8" t="n">
        <v>1850</v>
      </c>
      <c r="H44" s="8" t="n">
        <v>450</v>
      </c>
      <c r="I44" s="8" t="n"/>
      <c r="J44" s="8" t="n"/>
      <c r="K44" s="8" t="n"/>
      <c r="L44" s="8" t="inlineStr">
        <is>
          <t>cái</t>
        </is>
      </c>
      <c r="M44" s="10" t="n">
        <v>4</v>
      </c>
      <c r="N44" s="10">
        <f>ROUND('00_TONG_HOP_BAO_GIA'!Q10, 0)</f>
        <v/>
      </c>
      <c r="O44" s="10">
        <f>ROUNDUP(N44*M44, -2)</f>
        <v/>
      </c>
      <c r="P44" s="9" t="inlineStr">
        <is>
          <t>Louver nan Z ngoài trời kèm lưới chắn côn trùng Inox 304</t>
        </is>
      </c>
    </row>
    <row r="45">
      <c r="A45" s="6" t="n"/>
      <c r="B45" s="7" t="inlineStr">
        <is>
          <t>Miệng gió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8" t="n"/>
      <c r="B46" s="9" t="inlineStr">
        <is>
          <t>Miệng gió xả áp PAG 1150x550</t>
        </is>
      </c>
      <c r="C46" s="8" t="inlineStr">
        <is>
          <t>SDG</t>
        </is>
      </c>
      <c r="D46" s="8" t="inlineStr">
        <is>
          <t>SWIND</t>
        </is>
      </c>
      <c r="E46" s="8" t="n">
        <v>1150</v>
      </c>
      <c r="F46" s="8" t="n">
        <v>550</v>
      </c>
      <c r="G46" s="8" t="n">
        <v>1100</v>
      </c>
      <c r="H46" s="8" t="n">
        <v>500</v>
      </c>
      <c r="I46" s="8" t="n"/>
      <c r="J46" s="8" t="n"/>
      <c r="K46" s="8" t="n"/>
      <c r="L46" s="8" t="inlineStr">
        <is>
          <t>Cái</t>
        </is>
      </c>
      <c r="M46" s="10" t="n">
        <v>27</v>
      </c>
      <c r="N46" s="10">
        <f>ROUND('00_TONG_HOP_BAO_GIA'!Q11, 0)</f>
        <v/>
      </c>
      <c r="O46" s="10">
        <f>ROUNDUP(N46*M46, -2)</f>
        <v/>
      </c>
      <c r="P46" s="9" t="inlineStr">
        <is>
          <t>Cửa nan bầu dục 1 lớp</t>
        </is>
      </c>
    </row>
    <row r="47">
      <c r="A47" s="8" t="n"/>
      <c r="B47" s="9" t="inlineStr">
        <is>
          <t>Miệng gió tạo áp PAG 600x300 + OBD
Kèm box gió</t>
        </is>
      </c>
      <c r="C47" s="8" t="inlineStr">
        <is>
          <t>SDG+O</t>
        </is>
      </c>
      <c r="D47" s="8" t="inlineStr">
        <is>
          <t>SWIND</t>
        </is>
      </c>
      <c r="E47" s="8" t="n">
        <v>600</v>
      </c>
      <c r="F47" s="8" t="n">
        <v>300</v>
      </c>
      <c r="G47" s="8" t="n">
        <v>550</v>
      </c>
      <c r="H47" s="8" t="n">
        <v>250</v>
      </c>
      <c r="I47" s="8" t="n"/>
      <c r="J47" s="8" t="n"/>
      <c r="K47" s="8" t="n"/>
      <c r="L47" s="8" t="inlineStr">
        <is>
          <t>cái</t>
        </is>
      </c>
      <c r="M47" s="10" t="n">
        <v>6</v>
      </c>
      <c r="N47" s="10">
        <f>ROUND('00_TONG_HOP_BAO_GIA'!Q12, 0)</f>
        <v/>
      </c>
      <c r="O47" s="10">
        <f>ROUNDUP(N47*M47, -2)</f>
        <v/>
      </c>
      <c r="P47" s="9" t="inlineStr">
        <is>
          <t>Cửa nan thẳng bầu dục kèm van OBD (tăng áp / hút khói). Không tính box do nhà thầu tự thi công</t>
        </is>
      </c>
    </row>
    <row r="48">
      <c r="A48" s="8" t="n"/>
      <c r="B48" s="9" t="inlineStr">
        <is>
          <t>Miệng gió tạo áp PAG 800x350 + OBD
Kèm box gió</t>
        </is>
      </c>
      <c r="C48" s="8" t="inlineStr">
        <is>
          <t>SDG+O</t>
        </is>
      </c>
      <c r="D48" s="8" t="inlineStr">
        <is>
          <t>SWIND</t>
        </is>
      </c>
      <c r="E48" s="8" t="n">
        <v>800</v>
      </c>
      <c r="F48" s="8" t="n">
        <v>350</v>
      </c>
      <c r="G48" s="8" t="n">
        <v>750</v>
      </c>
      <c r="H48" s="8" t="n">
        <v>300</v>
      </c>
      <c r="I48" s="8" t="n"/>
      <c r="J48" s="8" t="n"/>
      <c r="K48" s="8" t="n"/>
      <c r="L48" s="8" t="inlineStr">
        <is>
          <t>cái</t>
        </is>
      </c>
      <c r="M48" s="10" t="n">
        <v>2</v>
      </c>
      <c r="N48" s="10">
        <f>ROUND('00_TONG_HOP_BAO_GIA'!Q13, 0)</f>
        <v/>
      </c>
      <c r="O48" s="10">
        <f>ROUNDUP(N48*M48, -2)</f>
        <v/>
      </c>
      <c r="P48" s="9" t="inlineStr">
        <is>
          <t>Cửa nan thẳng bầu dục kèm van OBD (tăng áp / hút khói). Không tính box do nhà thầu tự thi công</t>
        </is>
      </c>
    </row>
    <row r="49">
      <c r="A49" s="8" t="n"/>
      <c r="B49" s="9" t="inlineStr">
        <is>
          <t>Miệng gió tạo áp SAG 250x250 + OBD
Kèm box gió</t>
        </is>
      </c>
      <c r="C49" s="8" t="inlineStr">
        <is>
          <t>SDG+O</t>
        </is>
      </c>
      <c r="D49" s="8" t="inlineStr">
        <is>
          <t>SWIND</t>
        </is>
      </c>
      <c r="E49" s="8" t="n">
        <v>250</v>
      </c>
      <c r="F49" s="8" t="n">
        <v>250</v>
      </c>
      <c r="G49" s="8" t="n">
        <v>200</v>
      </c>
      <c r="H49" s="8" t="n">
        <v>200</v>
      </c>
      <c r="I49" s="8" t="n"/>
      <c r="J49" s="8" t="n"/>
      <c r="K49" s="8" t="n"/>
      <c r="L49" s="8" t="inlineStr">
        <is>
          <t>cái</t>
        </is>
      </c>
      <c r="M49" s="10" t="n">
        <v>6</v>
      </c>
      <c r="N49" s="10">
        <f>ROUND('00_TONG_HOP_BAO_GIA'!Q14, 0)</f>
        <v/>
      </c>
      <c r="O49" s="10">
        <f>ROUNDUP(N49*M49, -2)</f>
        <v/>
      </c>
      <c r="P49" s="9" t="inlineStr">
        <is>
          <t>Cửa nan thẳng bầu dục kèm van OBD (tăng áp / hút khói). Không tính box do nhà thầu tự thi công</t>
        </is>
      </c>
    </row>
    <row r="50">
      <c r="A50" s="8" t="n"/>
      <c r="B50" s="9" t="inlineStr">
        <is>
          <t>Miệng gió tạo áp SAG 1000x500 + OBD
Kèm box gió</t>
        </is>
      </c>
      <c r="C50" s="8" t="inlineStr">
        <is>
          <t>SDG+O</t>
        </is>
      </c>
      <c r="D50" s="8" t="inlineStr">
        <is>
          <t>SWIND</t>
        </is>
      </c>
      <c r="E50" s="8" t="n">
        <v>1000</v>
      </c>
      <c r="F50" s="8" t="n">
        <v>500</v>
      </c>
      <c r="G50" s="8" t="n">
        <v>950</v>
      </c>
      <c r="H50" s="8" t="n">
        <v>450</v>
      </c>
      <c r="I50" s="8" t="n"/>
      <c r="J50" s="8" t="n"/>
      <c r="K50" s="8" t="n"/>
      <c r="L50" s="8" t="inlineStr">
        <is>
          <t>cái</t>
        </is>
      </c>
      <c r="M50" s="10" t="n">
        <v>18</v>
      </c>
      <c r="N50" s="10">
        <f>ROUND('00_TONG_HOP_BAO_GIA'!Q15, 0)</f>
        <v/>
      </c>
      <c r="O50" s="10">
        <f>ROUNDUP(N50*M50, -2)</f>
        <v/>
      </c>
      <c r="P50" s="9" t="inlineStr">
        <is>
          <t>Cửa nan thẳng bầu dục kèm van OBD (tăng áp / hút khói). Không tính box do nhà thầu tự thi công</t>
        </is>
      </c>
    </row>
    <row r="51">
      <c r="A51" s="8" t="n"/>
      <c r="B51" s="9" t="inlineStr">
        <is>
          <t>Miệng gió tạo áp SAG 1150x550 + OBD
Kèm box gió</t>
        </is>
      </c>
      <c r="C51" s="8" t="inlineStr">
        <is>
          <t>SDG+O</t>
        </is>
      </c>
      <c r="D51" s="8" t="inlineStr">
        <is>
          <t>SWIND</t>
        </is>
      </c>
      <c r="E51" s="8" t="n">
        <v>1150</v>
      </c>
      <c r="F51" s="8" t="n">
        <v>550</v>
      </c>
      <c r="G51" s="8" t="n">
        <v>1100</v>
      </c>
      <c r="H51" s="8" t="n">
        <v>500</v>
      </c>
      <c r="I51" s="8" t="n"/>
      <c r="J51" s="8" t="n"/>
      <c r="K51" s="8" t="n"/>
      <c r="L51" s="8" t="inlineStr">
        <is>
          <t>cái</t>
        </is>
      </c>
      <c r="M51" s="10" t="n">
        <v>11</v>
      </c>
      <c r="N51" s="10">
        <f>ROUND('00_TONG_HOP_BAO_GIA'!Q16, 0)</f>
        <v/>
      </c>
      <c r="O51" s="10">
        <f>ROUNDUP(N51*M51, -2)</f>
        <v/>
      </c>
      <c r="P51" s="9" t="inlineStr">
        <is>
          <t>Cửa nan thẳng bầu dục kèm van OBD (tăng áp / hút khói). Không tính box do nhà thầu tự thi công</t>
        </is>
      </c>
    </row>
    <row r="52">
      <c r="A52" s="6" t="n"/>
      <c r="B52" s="7" t="inlineStr">
        <is>
          <t>Hộp chống cháy EI45 cho quạt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8" t="n"/>
      <c r="B53" s="9" t="inlineStr">
        <is>
          <t>Hộp chống cháy EI45 cho quạt DxRxC=1200x1200x1000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inlineStr">
        <is>
          <t>cái</t>
        </is>
      </c>
      <c r="M53" s="10" t="n">
        <v>7</v>
      </c>
      <c r="N53" s="11" t="n"/>
      <c r="O53" s="11" t="n"/>
      <c r="P53" s="9" t="n"/>
    </row>
    <row r="54">
      <c r="A54" s="6" t="n"/>
      <c r="B54" s="7" t="inlineStr">
        <is>
          <t>Ống gió chống cháy EI60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8" t="n"/>
      <c r="B55" s="9" t="inlineStr">
        <is>
          <t>Ống gió chống cháy EI60 400x250, tole dày 0.75mm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inlineStr">
        <is>
          <t>m</t>
        </is>
      </c>
      <c r="M55" s="10" t="n">
        <v>67</v>
      </c>
      <c r="N55" s="11" t="n"/>
      <c r="O55" s="11" t="n"/>
      <c r="P55" s="9" t="n"/>
    </row>
    <row r="56">
      <c r="A56" s="8" t="n"/>
      <c r="B56" s="9" t="inlineStr">
        <is>
          <t>Ống gió chống cháy EI60 500x500, tole dày 0.75mm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inlineStr">
        <is>
          <t>m</t>
        </is>
      </c>
      <c r="M56" s="10" t="n">
        <v>33</v>
      </c>
      <c r="N56" s="11" t="n"/>
      <c r="O56" s="11" t="n"/>
      <c r="P56" s="9" t="n"/>
    </row>
    <row r="57">
      <c r="A57" s="8" t="n"/>
      <c r="B57" s="9" t="inlineStr">
        <is>
          <t>Ống gió chống cháy EI60 600x300, tole dày 0.75mm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inlineStr">
        <is>
          <t>m</t>
        </is>
      </c>
      <c r="M57" s="10" t="n">
        <v>63</v>
      </c>
      <c r="N57" s="11" t="n"/>
      <c r="O57" s="11" t="n"/>
      <c r="P57" s="9" t="n"/>
    </row>
    <row r="58">
      <c r="A58" s="8" t="n"/>
      <c r="B58" s="9" t="inlineStr">
        <is>
          <t>Ống gió chống cháy EI60 600x500, tole dày 0.75mm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inlineStr">
        <is>
          <t>m</t>
        </is>
      </c>
      <c r="M58" s="10" t="n">
        <v>56</v>
      </c>
      <c r="N58" s="11" t="n"/>
      <c r="O58" s="11" t="n"/>
      <c r="P58" s="9" t="n"/>
    </row>
    <row r="59">
      <c r="A59" s="8" t="n"/>
      <c r="B59" s="9" t="inlineStr">
        <is>
          <t>Ống gió chống cháy EI60 900x300, tole dày 0.75mm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inlineStr">
        <is>
          <t>m</t>
        </is>
      </c>
      <c r="M59" s="10" t="n">
        <v>39</v>
      </c>
      <c r="N59" s="11" t="n"/>
      <c r="O59" s="11" t="n"/>
      <c r="P59" s="9" t="n"/>
    </row>
    <row r="60">
      <c r="A60" s="6" t="n"/>
      <c r="B60" s="7" t="inlineStr">
        <is>
          <t>Ống gió chống cháy EI30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</row>
    <row r="61">
      <c r="A61" s="8" t="n"/>
      <c r="B61" s="9" t="inlineStr">
        <is>
          <t>Ống gió chống cháy EI30 400x400, tole dày 0.75mm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inlineStr">
        <is>
          <t>m</t>
        </is>
      </c>
      <c r="M61" s="10" t="n">
        <v>28.14181942</v>
      </c>
      <c r="N61" s="11" t="n"/>
      <c r="O61" s="11" t="n"/>
      <c r="P61" s="9" t="n"/>
    </row>
    <row r="62">
      <c r="A62" s="8" t="n"/>
      <c r="B62" s="9" t="inlineStr">
        <is>
          <t>Ống gió chống cháy EI30 500x500, tole dày 0.75mm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inlineStr">
        <is>
          <t>m</t>
        </is>
      </c>
      <c r="M62" s="10" t="n">
        <v>23.67333881</v>
      </c>
      <c r="N62" s="11" t="n"/>
      <c r="O62" s="11" t="n"/>
      <c r="P62" s="9" t="n"/>
    </row>
    <row r="63">
      <c r="A63" s="8" t="n"/>
      <c r="B63" s="9" t="inlineStr">
        <is>
          <t>Ống gió chống cháy EI30 600x500, tole dày 0.75mm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inlineStr">
        <is>
          <t>m</t>
        </is>
      </c>
      <c r="M63" s="10" t="n">
        <v>17.93374132</v>
      </c>
      <c r="N63" s="11" t="n"/>
      <c r="O63" s="11" t="n"/>
      <c r="P63" s="9" t="n"/>
    </row>
    <row r="64">
      <c r="A64" s="8" t="n"/>
      <c r="B64" s="9" t="inlineStr">
        <is>
          <t>Ống gió chống cháy EI30 900x300, tole dày 0.75mm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inlineStr">
        <is>
          <t>m</t>
        </is>
      </c>
      <c r="M64" s="10" t="n">
        <v>21.78485254</v>
      </c>
      <c r="N64" s="11" t="n"/>
      <c r="O64" s="11" t="n"/>
      <c r="P64" s="9" t="n"/>
    </row>
    <row r="65">
      <c r="A65" s="8" t="n"/>
      <c r="B65" s="9" t="inlineStr">
        <is>
          <t>Phụ kiện lắp đặt ống gió (giảm, gót dày, chuyển vuông tròn...)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inlineStr">
        <is>
          <t>Lô</t>
        </is>
      </c>
      <c r="M65" s="10" t="n">
        <v>1</v>
      </c>
      <c r="N65" s="11" t="n"/>
      <c r="O65" s="11" t="n"/>
      <c r="P65" s="9" t="n"/>
    </row>
    <row r="66">
      <c r="A66" s="8" t="n"/>
      <c r="B66" s="9" t="inlineStr">
        <is>
          <t>Vật tư phụ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inlineStr">
        <is>
          <t>Lô</t>
        </is>
      </c>
      <c r="M66" s="10" t="n">
        <v>1</v>
      </c>
      <c r="N66" s="11" t="n"/>
      <c r="O66" s="11" t="n"/>
      <c r="P66" s="9" t="n"/>
    </row>
    <row r="67">
      <c r="A67" s="6" t="n"/>
      <c r="B67" s="7" t="inlineStr">
        <is>
          <t>Cáp điện điều khiển thiết bị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8" t="n"/>
      <c r="B68" s="9" t="inlineStr">
        <is>
          <t>2Cx1.5mm2 Cu/pvc/Fr (dây chống cháy)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inlineStr">
        <is>
          <t>m</t>
        </is>
      </c>
      <c r="M68" s="10" t="n">
        <v>2338.6</v>
      </c>
      <c r="N68" s="11" t="n"/>
      <c r="O68" s="11" t="n"/>
      <c r="P68" s="9" t="n"/>
    </row>
    <row r="69">
      <c r="A69" s="8" t="n"/>
      <c r="B69" s="9" t="inlineStr">
        <is>
          <t>Ống PVC DN 25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inlineStr">
        <is>
          <t>m</t>
        </is>
      </c>
      <c r="M69" s="10" t="n">
        <v>1169.3</v>
      </c>
      <c r="N69" s="11" t="n"/>
      <c r="O69" s="11" t="n"/>
      <c r="P69" s="9" t="n"/>
    </row>
    <row r="70">
      <c r="A70" s="8" t="n"/>
      <c r="B70" s="9" t="inlineStr">
        <is>
          <t>Vật tư phụ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inlineStr">
        <is>
          <t>lô</t>
        </is>
      </c>
      <c r="M70" s="10" t="n">
        <v>1</v>
      </c>
      <c r="N70" s="11" t="n"/>
      <c r="O70" s="11" t="n"/>
      <c r="P70" s="9" t="n"/>
    </row>
    <row r="71">
      <c r="A71" s="6" t="n"/>
      <c r="B71" s="7" t="inlineStr">
        <is>
          <t>B. HỆ THỐNG THÔNG GIÓ TẦNG HẦM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</row>
    <row r="72">
      <c r="A72" s="6" t="n"/>
      <c r="B72" s="7" t="inlineStr">
        <is>
          <t>I. Thiết bị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6" t="n"/>
      <c r="B73" s="7" t="inlineStr">
        <is>
          <t>Quạt hút khói hầm (loại 2 tốc độ), động cơ cấp "H" chịu nhiệt độ tối đa 300°C trong 2h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A74" s="8" t="n"/>
      <c r="B74" s="9" t="inlineStr">
        <is>
          <t>Quạt hút khói: SEF-B3-Z1.01~02
- Hướng trục, nối ống gió, loại 2 tốc độ. 
- Lưu lượng: 6100/9150L/s@350/788Pa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inlineStr">
        <is>
          <t>cái</t>
        </is>
      </c>
      <c r="M74" s="10" t="n">
        <v>2</v>
      </c>
      <c r="N74" s="11" t="n"/>
      <c r="O74" s="11" t="n"/>
      <c r="P74" s="9" t="n"/>
    </row>
    <row r="75">
      <c r="A75" s="8" t="n"/>
      <c r="B75" s="9" t="inlineStr">
        <is>
          <t>Quạt hút khói: SEF-B3-Z2.01~02
- Hướng trục, nối ống gió, loại 2 tốc độ. 
- Lưu lượng: 4500/6700L/s@350/795Pa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inlineStr">
        <is>
          <t>Cái</t>
        </is>
      </c>
      <c r="M75" s="10" t="n">
        <v>2</v>
      </c>
      <c r="N75" s="11" t="n"/>
      <c r="O75" s="11" t="n"/>
      <c r="P75" s="9" t="n"/>
    </row>
    <row r="76">
      <c r="A76" s="8" t="n"/>
      <c r="B76" s="9" t="inlineStr">
        <is>
          <t>Quạt hút khói: SEF-B3-Z3.01~02
- Hướng trục, nối ống gió, loại 2 tốc độ. 
- Lưu lượng: 3850/5800L/s@320/795Pa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inlineStr">
        <is>
          <t>Cái</t>
        </is>
      </c>
      <c r="M76" s="10" t="n">
        <v>2</v>
      </c>
      <c r="N76" s="11" t="n"/>
      <c r="O76" s="11" t="n"/>
      <c r="P76" s="9" t="n"/>
    </row>
    <row r="77">
      <c r="A77" s="8" t="n"/>
      <c r="B77" s="9" t="inlineStr">
        <is>
          <t>Quạt hút khói: SEF-B3-Z4.01~02
- Hướng trục, nối ống gió, loại 2 tốc độ. 
- Lưu lượng: 4600/6900L/s@350/789Pa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inlineStr">
        <is>
          <t>Cái</t>
        </is>
      </c>
      <c r="M77" s="10" t="n">
        <v>2</v>
      </c>
      <c r="N77" s="11" t="n"/>
      <c r="O77" s="11" t="n"/>
      <c r="P77" s="9" t="n"/>
    </row>
    <row r="78">
      <c r="A78" s="8" t="n"/>
      <c r="B78" s="9" t="inlineStr">
        <is>
          <t>Quạt hút khói: SEF-B3-Z5.01~02
- Hướng trục, nối ống gió, loại 2 tốc độ. 
- Lưu lượng: 6300/9400L/s@350/789Pa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inlineStr">
        <is>
          <t>Cái</t>
        </is>
      </c>
      <c r="M78" s="10" t="n">
        <v>2</v>
      </c>
      <c r="N78" s="11" t="n"/>
      <c r="O78" s="11" t="n"/>
      <c r="P78" s="9" t="n"/>
    </row>
    <row r="79">
      <c r="A79" s="8" t="n"/>
      <c r="B79" s="9" t="inlineStr">
        <is>
          <t>Quạt hút khói: SEF-B2-Z1.01~02
- Hướng trục, nối ống gió, loại 2 tốc độ. 
- Lưu lượng: 4900/7300L/s@350/788Pa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inlineStr">
        <is>
          <t>Cái</t>
        </is>
      </c>
      <c r="M79" s="10" t="n">
        <v>2</v>
      </c>
      <c r="N79" s="11" t="n"/>
      <c r="O79" s="11" t="n"/>
      <c r="P79" s="9" t="n"/>
    </row>
    <row r="80">
      <c r="A80" s="8" t="n"/>
      <c r="B80" s="9" t="inlineStr">
        <is>
          <t>Quạt hút khói: SEF-B2-Z2.01~02
- Hướng trục, nối ống gió, loại 2 tốc độ. 
- Lưu lượng: 5500/8300L/s@350/795Pa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inlineStr">
        <is>
          <t>Cái</t>
        </is>
      </c>
      <c r="M80" s="10" t="n">
        <v>2</v>
      </c>
      <c r="N80" s="11" t="n"/>
      <c r="O80" s="11" t="n"/>
      <c r="P80" s="9" t="n"/>
    </row>
    <row r="81">
      <c r="A81" s="8" t="n"/>
      <c r="B81" s="9" t="inlineStr">
        <is>
          <t>Quạt hút khói: SEF-B2-Z3.01~02
- Hướng trục, nối ống gió, loại 2 tốc độ. 
- Lưu lượng: 7100/10600L/s@350/795Pa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inlineStr">
        <is>
          <t>Cái</t>
        </is>
      </c>
      <c r="M81" s="10" t="n">
        <v>2</v>
      </c>
      <c r="N81" s="11" t="n"/>
      <c r="O81" s="11" t="n"/>
      <c r="P81" s="9" t="n"/>
    </row>
    <row r="82">
      <c r="A82" s="8" t="n"/>
      <c r="B82" s="9" t="inlineStr">
        <is>
          <t>Quạt hút khói: SEF-B2-Z4.01~02
- Hướng trục, nối ống gió, loại 2 tốc độ. 
- Lưu lượng: 8000/12000L/s@350/789Pa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inlineStr">
        <is>
          <t>Cái</t>
        </is>
      </c>
      <c r="M82" s="10" t="n">
        <v>2</v>
      </c>
      <c r="N82" s="11" t="n"/>
      <c r="O82" s="11" t="n"/>
      <c r="P82" s="9" t="n"/>
    </row>
    <row r="83">
      <c r="A83" s="8" t="n"/>
      <c r="B83" s="9" t="inlineStr">
        <is>
          <t>Quạt hút khói: SEF-B2-Z5.01~02
- Hướng trục, nối ống gió, loại 2 tốc độ. 
- Lưu lượng: 7600/11300L/s@350/777Pa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inlineStr">
        <is>
          <t>Cái</t>
        </is>
      </c>
      <c r="M83" s="10" t="n">
        <v>2</v>
      </c>
      <c r="N83" s="11" t="n"/>
      <c r="O83" s="11" t="n"/>
      <c r="P83" s="9" t="n"/>
    </row>
    <row r="84">
      <c r="A84" s="8" t="n"/>
      <c r="B84" s="9" t="inlineStr">
        <is>
          <t>Quạt hút khói: SEF-B1-Z1.01~02
- Hướng trục, nối ống gió, loại 2 tốc độ. 
- Lưu lượng: 5400/8100L/s@350/788Pa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inlineStr">
        <is>
          <t>Cái</t>
        </is>
      </c>
      <c r="M84" s="10" t="n">
        <v>2</v>
      </c>
      <c r="N84" s="11" t="n"/>
      <c r="O84" s="11" t="n"/>
      <c r="P84" s="9" t="n"/>
    </row>
    <row r="85">
      <c r="A85" s="8" t="n"/>
      <c r="B85" s="9" t="inlineStr">
        <is>
          <t>Quạt hút khói: SEF-B1-Z2.01~02
- Hướng trục, nối ống gió, loại 2 tốc độ. 
- Lưu lượng: 5000/7500L/s@350/788Pa</t>
        </is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inlineStr">
        <is>
          <t>Cái</t>
        </is>
      </c>
      <c r="M85" s="10" t="n">
        <v>2</v>
      </c>
      <c r="N85" s="11" t="n"/>
      <c r="O85" s="11" t="n"/>
      <c r="P85" s="9" t="n"/>
    </row>
    <row r="86">
      <c r="A86" s="8" t="n"/>
      <c r="B86" s="9" t="inlineStr">
        <is>
          <t>Quạt hút khói: SEF-B1-Z3.01~02
- Hướng trục, nối ống gió, loại 2 tốc độ. 
- Lưu lượng: 6700/10100L/s@350/795Pa</t>
        </is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inlineStr">
        <is>
          <t>Cái</t>
        </is>
      </c>
      <c r="M86" s="10" t="n">
        <v>2</v>
      </c>
      <c r="N86" s="11" t="n"/>
      <c r="O86" s="11" t="n"/>
      <c r="P86" s="9" t="n"/>
    </row>
    <row r="87">
      <c r="A87" s="8" t="n"/>
      <c r="B87" s="9" t="inlineStr">
        <is>
          <t>Quạt hút khói: SEF-B1-Z4.01~02
- Hướng trục, nối ống gió, loại 2 tốc độ. 
- Lưu lượng: 6500/9800L/s@350/789Pa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inlineStr">
        <is>
          <t>Cái</t>
        </is>
      </c>
      <c r="M87" s="10" t="n">
        <v>2</v>
      </c>
      <c r="N87" s="11" t="n"/>
      <c r="O87" s="11" t="n"/>
      <c r="P87" s="9" t="n"/>
    </row>
    <row r="88">
      <c r="A88" s="8" t="n"/>
      <c r="B88" s="9" t="inlineStr">
        <is>
          <t>Quạt hút khói: SEF-B1-Z5.01~02
- Hướng trục, nối ống gió, loại 2 tốc độ. 
- Lưu lượng: 6000/9000L/s@350/788Pa</t>
        </is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inlineStr">
        <is>
          <t>Cái</t>
        </is>
      </c>
      <c r="M88" s="10" t="n">
        <v>2</v>
      </c>
      <c r="N88" s="11" t="n"/>
      <c r="O88" s="11" t="n"/>
      <c r="P88" s="9" t="n"/>
    </row>
    <row r="89">
      <c r="A89" s="6" t="n"/>
      <c r="B89" s="7" t="inlineStr">
        <is>
          <t>Quạt bù khí &amp; cấp gió tươi hầm, động cơ cấp "H" chịu nhiệt độ tối đa 300°C trong 2h</t>
        </is>
      </c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A90" s="8" t="n"/>
      <c r="B90" s="9" t="inlineStr">
        <is>
          <t>Quạt cấp gió: SFAF-B3-Z1.01~2
- Hướng trục, nối ống gió
- Lưu lượng: 3900L/s@350Pa</t>
        </is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inlineStr">
        <is>
          <t>Cái</t>
        </is>
      </c>
      <c r="M90" s="10" t="n">
        <v>2</v>
      </c>
      <c r="N90" s="11" t="n"/>
      <c r="O90" s="11" t="n"/>
      <c r="P90" s="9" t="n"/>
    </row>
    <row r="91">
      <c r="A91" s="8" t="n"/>
      <c r="B91" s="9" t="inlineStr">
        <is>
          <t>Quạt cấp gió: SFAF-B3-Z2.01~2
- Hướng trục, nối ống gió
- Lưu lượng: 4300L/s@350Pa</t>
        </is>
      </c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inlineStr">
        <is>
          <t>Cái</t>
        </is>
      </c>
      <c r="M91" s="10" t="n">
        <v>2</v>
      </c>
      <c r="N91" s="11" t="n"/>
      <c r="O91" s="11" t="n"/>
      <c r="P91" s="9" t="n"/>
    </row>
    <row r="92">
      <c r="A92" s="8" t="n"/>
      <c r="B92" s="9" t="inlineStr">
        <is>
          <t>Quạt cấp gió: SFAF-B3-Z3.01~2
- Hướng trục, nối ống gió
- Lưu lượng: 2500L/s@350Pa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inlineStr">
        <is>
          <t>Cái</t>
        </is>
      </c>
      <c r="M92" s="10" t="n">
        <v>2</v>
      </c>
      <c r="N92" s="11" t="n"/>
      <c r="O92" s="11" t="n"/>
      <c r="P92" s="9" t="n"/>
    </row>
    <row r="93">
      <c r="A93" s="8" t="n"/>
      <c r="B93" s="9" t="inlineStr">
        <is>
          <t>Quạt cấp gió: SFAF-B3-Z4.01~2
- Hướng trục, nối ống gió
- Lưu lượng: 4400L/s@350Pa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inlineStr">
        <is>
          <t>Cái</t>
        </is>
      </c>
      <c r="M93" s="10" t="n">
        <v>2</v>
      </c>
      <c r="N93" s="11" t="n"/>
      <c r="O93" s="11" t="n"/>
      <c r="P93" s="9" t="n"/>
    </row>
    <row r="94">
      <c r="A94" s="8" t="n"/>
      <c r="B94" s="9" t="inlineStr">
        <is>
          <t>Quạt cấp gió: SFAF-B3-Z5.01~2
- Hướng trục, nối ống gió
- Lưu lượng: 4000L/s@350Pa</t>
        </is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inlineStr">
        <is>
          <t>Cái</t>
        </is>
      </c>
      <c r="M94" s="10" t="n">
        <v>2</v>
      </c>
      <c r="N94" s="11" t="n"/>
      <c r="O94" s="11" t="n"/>
      <c r="P94" s="9" t="n"/>
    </row>
    <row r="95">
      <c r="A95" s="8" t="n"/>
      <c r="B95" s="9" t="inlineStr">
        <is>
          <t>Quạt cấp gió: SFAF-B2-Z1.01~2
- Hướng trục, nối ống gió
- Lưu lượng: 4700L/s@350Pa</t>
        </is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inlineStr">
        <is>
          <t>Cái</t>
        </is>
      </c>
      <c r="M95" s="10" t="n">
        <v>2</v>
      </c>
      <c r="N95" s="11" t="n"/>
      <c r="O95" s="11" t="n"/>
      <c r="P95" s="9" t="n"/>
    </row>
    <row r="96">
      <c r="A96" s="8" t="n"/>
      <c r="B96" s="9" t="inlineStr">
        <is>
          <t>Quạt cấp gió: SFAF-B2-Z2.01~2
- Hướng trục, nối ống gió
- Lưu lượng: 6300L/s@350Pa</t>
        </is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inlineStr">
        <is>
          <t>Cái</t>
        </is>
      </c>
      <c r="M96" s="10" t="n">
        <v>2</v>
      </c>
      <c r="N96" s="11" t="n"/>
      <c r="O96" s="11" t="n"/>
      <c r="P96" s="9" t="n"/>
    </row>
    <row r="97">
      <c r="A97" s="8" t="n"/>
      <c r="B97" s="9" t="inlineStr">
        <is>
          <t>Quạt cấp gió: SFAF-B2-Z3.01~2
- Hướng trục, nối ống gió
- Lưu lượng: 4500L/s@350Pa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inlineStr">
        <is>
          <t>Cái</t>
        </is>
      </c>
      <c r="M97" s="10" t="n">
        <v>2</v>
      </c>
      <c r="N97" s="11" t="n"/>
      <c r="O97" s="11" t="n"/>
      <c r="P97" s="9" t="n"/>
    </row>
    <row r="98">
      <c r="A98" s="8" t="n"/>
      <c r="B98" s="9" t="inlineStr">
        <is>
          <t>Quạt cấp gió: SFAF-B2-Z4.01~2
- Hướng trục, nối ống gió
- Lưu lượng: 5100L/s@350Pa</t>
        </is>
      </c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inlineStr">
        <is>
          <t>Cái</t>
        </is>
      </c>
      <c r="M98" s="10" t="n">
        <v>2</v>
      </c>
      <c r="N98" s="11" t="n"/>
      <c r="O98" s="11" t="n"/>
      <c r="P98" s="9" t="n"/>
    </row>
    <row r="99">
      <c r="A99" s="8" t="n"/>
      <c r="B99" s="9" t="inlineStr">
        <is>
          <t>Quạt cấp gió: SFAF-B2-Z5.01~2
- Hướng trục, nối ống gió
- Lưu lượng: 4800L/s@350Pa</t>
        </is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inlineStr">
        <is>
          <t>Cái</t>
        </is>
      </c>
      <c r="M99" s="10" t="n">
        <v>2</v>
      </c>
      <c r="N99" s="11" t="n"/>
      <c r="O99" s="11" t="n"/>
      <c r="P99" s="9" t="n"/>
    </row>
    <row r="100">
      <c r="A100" s="8" t="n"/>
      <c r="B100" s="9" t="inlineStr">
        <is>
          <t>Quạt cấp gió: SFAF-B1-Z1.01~2
- Hướng trục, nối ống gió
- Lưu lượng: 5200L/s@350Pa</t>
        </is>
      </c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inlineStr">
        <is>
          <t>Cái</t>
        </is>
      </c>
      <c r="M100" s="10" t="n">
        <v>2</v>
      </c>
      <c r="N100" s="11" t="n"/>
      <c r="O100" s="11" t="n"/>
      <c r="P100" s="9" t="n"/>
    </row>
    <row r="101">
      <c r="A101" s="8" t="n"/>
      <c r="B101" s="9" t="inlineStr">
        <is>
          <t>Quạt cấp gió: SFAF-B1-Z2.01~2
- Hướng trục, nối ống gió
- Lưu lượng: 4800L/s@350Pa</t>
        </is>
      </c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inlineStr">
        <is>
          <t>Cái</t>
        </is>
      </c>
      <c r="M101" s="10" t="n">
        <v>2</v>
      </c>
      <c r="N101" s="11" t="n"/>
      <c r="O101" s="11" t="n"/>
      <c r="P101" s="9" t="n"/>
    </row>
    <row r="102">
      <c r="A102" s="8" t="n"/>
      <c r="B102" s="9" t="inlineStr">
        <is>
          <t>Quạt cấp gió: SFAF-B1-Z3.01~2
- Hướng trục, nối ống gió
- Lưu lượng: 4300L/s@350Pa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inlineStr">
        <is>
          <t>Cái</t>
        </is>
      </c>
      <c r="M102" s="10" t="n">
        <v>2</v>
      </c>
      <c r="N102" s="11" t="n"/>
      <c r="O102" s="11" t="n"/>
      <c r="P102" s="9" t="n"/>
    </row>
    <row r="103">
      <c r="A103" s="8" t="n"/>
      <c r="B103" s="9" t="inlineStr">
        <is>
          <t>Quạt cấp gió: SFAF-B1-Z4.01~2
- Hướng trục, nối ống gió
- Lưu lượng: 4200L/s@350Pa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inlineStr">
        <is>
          <t>Cái</t>
        </is>
      </c>
      <c r="M103" s="10" t="n">
        <v>2</v>
      </c>
      <c r="N103" s="11" t="n"/>
      <c r="O103" s="11" t="n"/>
      <c r="P103" s="9" t="n"/>
    </row>
    <row r="104">
      <c r="A104" s="8" t="n"/>
      <c r="B104" s="9" t="inlineStr">
        <is>
          <t>Quạt cấp gió: SFAF-B1-Z5.01~2
- Hướng trục, nối ống gió
- Lưu lượng: 5800L/s@350Pa</t>
        </is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inlineStr">
        <is>
          <t>Cái</t>
        </is>
      </c>
      <c r="M104" s="10" t="n">
        <v>2</v>
      </c>
      <c r="N104" s="11" t="n"/>
      <c r="O104" s="11" t="n"/>
      <c r="P104" s="9" t="n"/>
    </row>
    <row r="105">
      <c r="A105" s="6" t="n"/>
      <c r="B105" s="7" t="inlineStr">
        <is>
          <t>Quạt cấp gió tươi hầm</t>
        </is>
      </c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</row>
    <row r="106">
      <c r="A106" s="8" t="n"/>
      <c r="B106" s="9" t="inlineStr">
        <is>
          <t>Quạt cấp gió: SFAF-B3-Z1.03
- Hướng trục, nối ống gió
- Lưu lượng: 3900L/s@350Pa</t>
        </is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inlineStr">
        <is>
          <t>Cái</t>
        </is>
      </c>
      <c r="M106" s="10" t="n">
        <v>1</v>
      </c>
      <c r="N106" s="11" t="n"/>
      <c r="O106" s="11" t="n"/>
      <c r="P106" s="9" t="n"/>
    </row>
    <row r="107">
      <c r="A107" s="8" t="n"/>
      <c r="B107" s="9" t="inlineStr">
        <is>
          <t>Quạt cấp gió: SFAF-B3-Z2.03
- Hướng trục, nối ống gió
- Lưu lượng: 4300L/s@350Pa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inlineStr">
        <is>
          <t>Cái</t>
        </is>
      </c>
      <c r="M107" s="10" t="n">
        <v>1</v>
      </c>
      <c r="N107" s="11" t="n"/>
      <c r="O107" s="11" t="n"/>
      <c r="P107" s="9" t="n"/>
    </row>
    <row r="108">
      <c r="A108" s="8" t="n"/>
      <c r="B108" s="9" t="inlineStr">
        <is>
          <t>Quạt cấp gió: SFAF-B3-Z3.03
- Hướng trục, nối ống gió
- Lưu lượng: 2500L/s@350Pa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inlineStr">
        <is>
          <t>Cái</t>
        </is>
      </c>
      <c r="M108" s="10" t="n">
        <v>1</v>
      </c>
      <c r="N108" s="11" t="n"/>
      <c r="O108" s="11" t="n"/>
      <c r="P108" s="9" t="n"/>
    </row>
    <row r="109">
      <c r="A109" s="8" t="n"/>
      <c r="B109" s="9" t="inlineStr">
        <is>
          <t>Quạt cấp gió: SFAF-B3-Z4.03
- Hướng trục, nối ống gió
- Lưu lượng: 4400L/s@350Pa</t>
        </is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inlineStr">
        <is>
          <t>Cái</t>
        </is>
      </c>
      <c r="M109" s="10" t="n">
        <v>1</v>
      </c>
      <c r="N109" s="11" t="n"/>
      <c r="O109" s="11" t="n"/>
      <c r="P109" s="9" t="n"/>
    </row>
    <row r="110">
      <c r="A110" s="8" t="n"/>
      <c r="B110" s="9" t="inlineStr">
        <is>
          <t>Quạt cấp gió: SFAF-B3-Z5.03
- Hướng trục, nối ống gió
- Lưu lượng: 4000L/s@350Pa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inlineStr">
        <is>
          <t>Cái</t>
        </is>
      </c>
      <c r="M110" s="10" t="n">
        <v>1</v>
      </c>
      <c r="N110" s="11" t="n"/>
      <c r="O110" s="11" t="n"/>
      <c r="P110" s="9" t="n"/>
    </row>
    <row r="111">
      <c r="A111" s="8" t="n"/>
      <c r="B111" s="9" t="inlineStr">
        <is>
          <t>Quạt cấp gió: SFAF-B2-Z1.03
- Hướng trục, nối ống gió
- Lưu lượng: 4700L/s@350Pa</t>
        </is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inlineStr">
        <is>
          <t>Cái</t>
        </is>
      </c>
      <c r="M111" s="10" t="n">
        <v>1</v>
      </c>
      <c r="N111" s="11" t="n"/>
      <c r="O111" s="11" t="n"/>
      <c r="P111" s="9" t="n"/>
    </row>
    <row r="112">
      <c r="A112" s="8" t="n"/>
      <c r="B112" s="9" t="inlineStr">
        <is>
          <t>Quạt cấp gió: SFAF-B2-Z2.03
- Hướng trục, nối ống gió
- Lưu lượng: 6300L/s@350Pa</t>
        </is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inlineStr">
        <is>
          <t>Cái</t>
        </is>
      </c>
      <c r="M112" s="10" t="n">
        <v>1</v>
      </c>
      <c r="N112" s="11" t="n"/>
      <c r="O112" s="11" t="n"/>
      <c r="P112" s="9" t="n"/>
    </row>
    <row r="113">
      <c r="A113" s="8" t="n"/>
      <c r="B113" s="9" t="inlineStr">
        <is>
          <t>Quạt cấp gió: SFAF-B2-Z3.03
- Hướng trục, nối ống gió
- Lưu lượng: 4500L/s@350Pa</t>
        </is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inlineStr">
        <is>
          <t>Cái</t>
        </is>
      </c>
      <c r="M113" s="10" t="n">
        <v>1</v>
      </c>
      <c r="N113" s="11" t="n"/>
      <c r="O113" s="11" t="n"/>
      <c r="P113" s="9" t="n"/>
    </row>
    <row r="114">
      <c r="A114" s="8" t="n"/>
      <c r="B114" s="9" t="inlineStr">
        <is>
          <t>Quạt cấp gió: SFAF-B2-Z4.03
- Hướng trục, nối ống gió
- Lưu lượng: 5100L/s@350Pa</t>
        </is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inlineStr">
        <is>
          <t>Cái</t>
        </is>
      </c>
      <c r="M114" s="10" t="n">
        <v>1</v>
      </c>
      <c r="N114" s="11" t="n"/>
      <c r="O114" s="11" t="n"/>
      <c r="P114" s="9" t="n"/>
    </row>
    <row r="115">
      <c r="A115" s="8" t="n"/>
      <c r="B115" s="9" t="inlineStr">
        <is>
          <t>Quạt cấp gió: SFAF-B2-Z5.03
- Hướng trục, nối ống gió
- Lưu lượng: 4800L/s@350Pa</t>
        </is>
      </c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inlineStr">
        <is>
          <t>Cái</t>
        </is>
      </c>
      <c r="M115" s="10" t="n">
        <v>1</v>
      </c>
      <c r="N115" s="11" t="n"/>
      <c r="O115" s="11" t="n"/>
      <c r="P115" s="9" t="n"/>
    </row>
    <row r="116">
      <c r="A116" s="8" t="n"/>
      <c r="B116" s="9" t="inlineStr">
        <is>
          <t>Quạt cấp gió: SFAF-B1-Z1.03
- Hướng trục, nối ống gió
- Lưu lượng: 5200L/s@350Pa</t>
        </is>
      </c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inlineStr">
        <is>
          <t>Cái</t>
        </is>
      </c>
      <c r="M116" s="10" t="n">
        <v>1</v>
      </c>
      <c r="N116" s="11" t="n"/>
      <c r="O116" s="11" t="n"/>
      <c r="P116" s="9" t="n"/>
    </row>
    <row r="117">
      <c r="A117" s="8" t="n"/>
      <c r="B117" s="9" t="inlineStr">
        <is>
          <t>Quạt cấp gió: SFAF-B1-Z2.03
- Hướng trục, nối ống gió
- Lưu lượng: 4800L/s@350Pa</t>
        </is>
      </c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inlineStr">
        <is>
          <t>Cái</t>
        </is>
      </c>
      <c r="M117" s="10" t="n">
        <v>1</v>
      </c>
      <c r="N117" s="11" t="n"/>
      <c r="O117" s="11" t="n"/>
      <c r="P117" s="9" t="n"/>
    </row>
    <row r="118">
      <c r="A118" s="8" t="n"/>
      <c r="B118" s="9" t="inlineStr">
        <is>
          <t>Quạt cấp gió: SFAF-B1-Z3.03
- Hướng trục, nối ống gió
- Lưu lượng: 4300L/s@350Pa</t>
        </is>
      </c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inlineStr">
        <is>
          <t>Cái</t>
        </is>
      </c>
      <c r="M118" s="10" t="n">
        <v>1</v>
      </c>
      <c r="N118" s="11" t="n"/>
      <c r="O118" s="11" t="n"/>
      <c r="P118" s="9" t="n"/>
    </row>
    <row r="119">
      <c r="A119" s="8" t="n"/>
      <c r="B119" s="9" t="inlineStr">
        <is>
          <t>Quạt cấp gió: SFAF-B1-Z4.03
- Hướng trục, nối ống gió
- Lưu lượng: 4200L/s@350Pa</t>
        </is>
      </c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inlineStr">
        <is>
          <t>Cái</t>
        </is>
      </c>
      <c r="M119" s="10" t="n">
        <v>1</v>
      </c>
      <c r="N119" s="11" t="n"/>
      <c r="O119" s="11" t="n"/>
      <c r="P119" s="9" t="n"/>
    </row>
    <row r="120">
      <c r="A120" s="8" t="n"/>
      <c r="B120" s="9" t="inlineStr">
        <is>
          <t>Quạt cấp gió: SFAF-B1-Z5.03
- Hướng trục, nối ống gió
- Lưu lượng: 5800L/s@350Pa</t>
        </is>
      </c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inlineStr">
        <is>
          <t>Cái</t>
        </is>
      </c>
      <c r="M120" s="10" t="n">
        <v>1</v>
      </c>
      <c r="N120" s="11" t="n"/>
      <c r="O120" s="11" t="n"/>
      <c r="P120" s="9" t="n"/>
    </row>
    <row r="121">
      <c r="A121" s="8" t="n"/>
      <c r="B121" s="9" t="inlineStr">
        <is>
          <t>Lò xo chống rung cho quạt</t>
        </is>
      </c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inlineStr">
        <is>
          <t>Cái</t>
        </is>
      </c>
      <c r="M121" s="10" t="n">
        <v>300</v>
      </c>
      <c r="N121" s="11" t="n"/>
      <c r="O121" s="11" t="n"/>
      <c r="P121" s="9" t="n"/>
    </row>
    <row r="122">
      <c r="A122" s="8" t="n"/>
      <c r="B122" s="9" t="inlineStr">
        <is>
          <t>Vật tư phụ lắp đặt thiết bị</t>
        </is>
      </c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inlineStr">
        <is>
          <t>Lô</t>
        </is>
      </c>
      <c r="M122" s="10" t="n">
        <v>1</v>
      </c>
      <c r="N122" s="11" t="n"/>
      <c r="O122" s="11" t="n"/>
      <c r="P122" s="9" t="n"/>
    </row>
    <row r="123">
      <c r="A123" s="6" t="n"/>
      <c r="B123" s="7" t="inlineStr">
        <is>
          <t>Vật tư đường ống hút khói, cấp khí tươi (Tầng Hầm)</t>
        </is>
      </c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</row>
    <row r="124">
      <c r="A124" s="6" t="n"/>
      <c r="B124" s="7" t="inlineStr">
        <is>
          <t>Miệng gió thải khói tầng hầm</t>
        </is>
      </c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</row>
    <row r="125">
      <c r="A125" s="8" t="n"/>
      <c r="B125" s="9" t="inlineStr">
        <is>
          <t>Miệng gió thải khói tầng hầm SEG + OBD : 800x400
Kèm box gió</t>
        </is>
      </c>
      <c r="C125" s="8" t="inlineStr">
        <is>
          <t>SDG+O</t>
        </is>
      </c>
      <c r="D125" s="8" t="inlineStr">
        <is>
          <t>SWIND</t>
        </is>
      </c>
      <c r="E125" s="8" t="n">
        <v>800</v>
      </c>
      <c r="F125" s="8" t="n">
        <v>400</v>
      </c>
      <c r="G125" s="8" t="n">
        <v>750</v>
      </c>
      <c r="H125" s="8" t="n">
        <v>350</v>
      </c>
      <c r="I125" s="8" t="n"/>
      <c r="J125" s="8" t="n"/>
      <c r="K125" s="8" t="n"/>
      <c r="L125" s="8" t="inlineStr">
        <is>
          <t>Cái</t>
        </is>
      </c>
      <c r="M125" s="10" t="n">
        <v>354</v>
      </c>
      <c r="N125" s="10">
        <f>ROUND('00_TONG_HOP_BAO_GIA'!Q17, 0)</f>
        <v/>
      </c>
      <c r="O125" s="10">
        <f>ROUNDUP(N125*M125, -2)</f>
        <v/>
      </c>
      <c r="P125" s="9" t="inlineStr">
        <is>
          <t>Cửa nan thẳng bầu dục kèm van OBD (tăng áp / hút khói). Không tính box do nhà thầu tự thi công</t>
        </is>
      </c>
    </row>
    <row r="126">
      <c r="A126" s="6" t="n"/>
      <c r="B126" s="7" t="inlineStr">
        <is>
          <t>Miệng cấp gió tươi &amp; cấp khí bù tầng hầm</t>
        </is>
      </c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</row>
    <row r="127">
      <c r="A127" s="8" t="n"/>
      <c r="B127" s="9" t="inlineStr">
        <is>
          <t>Miệng gió cấp FAG 800x400 + OBD
Kèm box gió</t>
        </is>
      </c>
      <c r="C127" s="8" t="inlineStr">
        <is>
          <t>SDG+O</t>
        </is>
      </c>
      <c r="D127" s="8" t="inlineStr">
        <is>
          <t>SWIND</t>
        </is>
      </c>
      <c r="E127" s="8" t="n">
        <v>800</v>
      </c>
      <c r="F127" s="8" t="n">
        <v>400</v>
      </c>
      <c r="G127" s="8" t="n">
        <v>750</v>
      </c>
      <c r="H127" s="8" t="n">
        <v>350</v>
      </c>
      <c r="I127" s="8" t="n"/>
      <c r="J127" s="8" t="n"/>
      <c r="K127" s="8" t="n"/>
      <c r="L127" s="8" t="inlineStr">
        <is>
          <t>Cái</t>
        </is>
      </c>
      <c r="M127" s="10" t="n">
        <v>375</v>
      </c>
      <c r="N127" s="10">
        <f>ROUND('00_TONG_HOP_BAO_GIA'!Q18, 0)</f>
        <v/>
      </c>
      <c r="O127" s="10">
        <f>ROUNDUP(N127*M127, -2)</f>
        <v/>
      </c>
      <c r="P127" s="9" t="inlineStr">
        <is>
          <t>Cửa nan bầu dục 1 lớp kèm van OBD. Không tính box do nhà thầu tự thi công</t>
        </is>
      </c>
    </row>
    <row r="128">
      <c r="A128" s="8" t="n"/>
      <c r="B128" s="9" t="inlineStr">
        <is>
          <t>Miệng gió cấp khí bù 1200x1000</t>
        </is>
      </c>
      <c r="C128" s="8" t="inlineStr">
        <is>
          <t>WL</t>
        </is>
      </c>
      <c r="D128" s="8" t="inlineStr">
        <is>
          <t>SWIND</t>
        </is>
      </c>
      <c r="E128" s="8" t="n">
        <v>1200</v>
      </c>
      <c r="F128" s="8" t="n">
        <v>1000</v>
      </c>
      <c r="G128" s="8" t="n">
        <v>1150</v>
      </c>
      <c r="H128" s="8" t="n">
        <v>950</v>
      </c>
      <c r="I128" s="8" t="n"/>
      <c r="J128" s="8" t="n"/>
      <c r="K128" s="8" t="n"/>
      <c r="L128" s="8" t="inlineStr">
        <is>
          <t>Cái</t>
        </is>
      </c>
      <c r="M128" s="10" t="n">
        <v>1</v>
      </c>
      <c r="N128" s="10">
        <f>ROUND('00_TONG_HOP_BAO_GIA'!Q19, 0)</f>
        <v/>
      </c>
      <c r="O128" s="10">
        <f>ROUNDUP(N128*M128, -2)</f>
        <v/>
      </c>
      <c r="P128" s="9" t="inlineStr">
        <is>
          <t>Louver nan Z ngoài trời</t>
        </is>
      </c>
    </row>
    <row r="129">
      <c r="A129" s="8" t="n"/>
      <c r="B129" s="9" t="inlineStr">
        <is>
          <t>Miệng gió cấp khí bù 1700x1000</t>
        </is>
      </c>
      <c r="C129" s="8" t="inlineStr">
        <is>
          <t>WL</t>
        </is>
      </c>
      <c r="D129" s="8" t="inlineStr">
        <is>
          <t>SWIND</t>
        </is>
      </c>
      <c r="E129" s="8" t="n">
        <v>1700</v>
      </c>
      <c r="F129" s="8" t="n">
        <v>1000</v>
      </c>
      <c r="G129" s="8" t="n">
        <v>1650</v>
      </c>
      <c r="H129" s="8" t="n">
        <v>950</v>
      </c>
      <c r="I129" s="8" t="n"/>
      <c r="J129" s="8" t="n"/>
      <c r="K129" s="8" t="n"/>
      <c r="L129" s="8" t="inlineStr">
        <is>
          <t>Cái</t>
        </is>
      </c>
      <c r="M129" s="10" t="n">
        <v>1</v>
      </c>
      <c r="N129" s="10">
        <f>ROUND('00_TONG_HOP_BAO_GIA'!Q20, 0)</f>
        <v/>
      </c>
      <c r="O129" s="10">
        <f>ROUNDUP(N129*M129, -2)</f>
        <v/>
      </c>
      <c r="P129" s="9" t="inlineStr">
        <is>
          <t>Louver nan Z ngoài trời</t>
        </is>
      </c>
    </row>
    <row r="130">
      <c r="A130" s="8" t="n"/>
      <c r="B130" s="9" t="inlineStr">
        <is>
          <t>Miệng gió cấp khí bù 1750x1200</t>
        </is>
      </c>
      <c r="C130" s="8" t="inlineStr">
        <is>
          <t>WL</t>
        </is>
      </c>
      <c r="D130" s="8" t="inlineStr">
        <is>
          <t>SWIND</t>
        </is>
      </c>
      <c r="E130" s="8" t="n">
        <v>1750</v>
      </c>
      <c r="F130" s="8" t="n">
        <v>1200</v>
      </c>
      <c r="G130" s="8" t="n">
        <v>1700</v>
      </c>
      <c r="H130" s="8" t="n">
        <v>1150</v>
      </c>
      <c r="I130" s="8" t="n"/>
      <c r="J130" s="8" t="n"/>
      <c r="K130" s="8" t="n"/>
      <c r="L130" s="8" t="inlineStr">
        <is>
          <t>Cái</t>
        </is>
      </c>
      <c r="M130" s="10" t="n">
        <v>1</v>
      </c>
      <c r="N130" s="10">
        <f>ROUND('00_TONG_HOP_BAO_GIA'!Q21, 0)</f>
        <v/>
      </c>
      <c r="O130" s="10">
        <f>ROUNDUP(N130*M130, -2)</f>
        <v/>
      </c>
      <c r="P130" s="9" t="inlineStr">
        <is>
          <t>Louver nan Z ngoài trời</t>
        </is>
      </c>
    </row>
    <row r="131">
      <c r="A131" s="8" t="n"/>
      <c r="B131" s="9" t="inlineStr">
        <is>
          <t>Miệng gió cấp khí bù 1800x1000</t>
        </is>
      </c>
      <c r="C131" s="8" t="inlineStr">
        <is>
          <t>WL</t>
        </is>
      </c>
      <c r="D131" s="8" t="inlineStr">
        <is>
          <t>SWIND</t>
        </is>
      </c>
      <c r="E131" s="8" t="n">
        <v>1800</v>
      </c>
      <c r="F131" s="8" t="n">
        <v>1000</v>
      </c>
      <c r="G131" s="8" t="n">
        <v>1750</v>
      </c>
      <c r="H131" s="8" t="n">
        <v>950</v>
      </c>
      <c r="I131" s="8" t="n"/>
      <c r="J131" s="8" t="n"/>
      <c r="K131" s="8" t="n"/>
      <c r="L131" s="8" t="inlineStr">
        <is>
          <t>Cái</t>
        </is>
      </c>
      <c r="M131" s="10" t="n">
        <v>2</v>
      </c>
      <c r="N131" s="10">
        <f>ROUND('00_TONG_HOP_BAO_GIA'!Q22, 0)</f>
        <v/>
      </c>
      <c r="O131" s="10">
        <f>ROUNDUP(N131*M131, -2)</f>
        <v/>
      </c>
      <c r="P131" s="9" t="inlineStr">
        <is>
          <t>Louver nan Z ngoài trời</t>
        </is>
      </c>
    </row>
    <row r="132">
      <c r="A132" s="8" t="n"/>
      <c r="B132" s="9" t="inlineStr">
        <is>
          <t>Miệng gió cấp khí bù 1800x1200</t>
        </is>
      </c>
      <c r="C132" s="8" t="inlineStr">
        <is>
          <t>WL</t>
        </is>
      </c>
      <c r="D132" s="8" t="inlineStr">
        <is>
          <t>SWIND</t>
        </is>
      </c>
      <c r="E132" s="8" t="n">
        <v>1800</v>
      </c>
      <c r="F132" s="8" t="n">
        <v>1200</v>
      </c>
      <c r="G132" s="8" t="n">
        <v>1750</v>
      </c>
      <c r="H132" s="8" t="n">
        <v>1150</v>
      </c>
      <c r="I132" s="8" t="n"/>
      <c r="J132" s="8" t="n"/>
      <c r="K132" s="8" t="n"/>
      <c r="L132" s="8" t="inlineStr">
        <is>
          <t>Cái</t>
        </is>
      </c>
      <c r="M132" s="10" t="n">
        <v>2</v>
      </c>
      <c r="N132" s="10">
        <f>ROUND('00_TONG_HOP_BAO_GIA'!Q23, 0)</f>
        <v/>
      </c>
      <c r="O132" s="10">
        <f>ROUNDUP(N132*M132, -2)</f>
        <v/>
      </c>
      <c r="P132" s="9" t="inlineStr">
        <is>
          <t>Louver nan Z ngoài trời</t>
        </is>
      </c>
    </row>
    <row r="133">
      <c r="A133" s="8" t="n"/>
      <c r="B133" s="9" t="inlineStr">
        <is>
          <t>Miệng gió cấp khí bù 1900x1000</t>
        </is>
      </c>
      <c r="C133" s="8" t="inlineStr">
        <is>
          <t>WL</t>
        </is>
      </c>
      <c r="D133" s="8" t="inlineStr">
        <is>
          <t>SWIND</t>
        </is>
      </c>
      <c r="E133" s="8" t="n">
        <v>1900</v>
      </c>
      <c r="F133" s="8" t="n">
        <v>1000</v>
      </c>
      <c r="G133" s="8" t="n">
        <v>1850</v>
      </c>
      <c r="H133" s="8" t="n">
        <v>950</v>
      </c>
      <c r="I133" s="8" t="n"/>
      <c r="J133" s="8" t="n"/>
      <c r="K133" s="8" t="n"/>
      <c r="L133" s="8" t="inlineStr">
        <is>
          <t>Cái</t>
        </is>
      </c>
      <c r="M133" s="10" t="n">
        <v>2</v>
      </c>
      <c r="N133" s="10">
        <f>ROUND('00_TONG_HOP_BAO_GIA'!Q24, 0)</f>
        <v/>
      </c>
      <c r="O133" s="10">
        <f>ROUNDUP(N133*M133, -2)</f>
        <v/>
      </c>
      <c r="P133" s="9" t="inlineStr">
        <is>
          <t>Louver nan Z ngoài trời</t>
        </is>
      </c>
    </row>
    <row r="134">
      <c r="A134" s="8" t="n"/>
      <c r="B134" s="9" t="inlineStr">
        <is>
          <t>Miệng gió cấp khí bù 2000x1000</t>
        </is>
      </c>
      <c r="C134" s="8" t="inlineStr">
        <is>
          <t>WL</t>
        </is>
      </c>
      <c r="D134" s="8" t="inlineStr">
        <is>
          <t>SWIND</t>
        </is>
      </c>
      <c r="E134" s="8" t="n">
        <v>2000</v>
      </c>
      <c r="F134" s="8" t="n">
        <v>1000</v>
      </c>
      <c r="G134" s="8" t="n">
        <v>1950</v>
      </c>
      <c r="H134" s="8" t="n">
        <v>950</v>
      </c>
      <c r="I134" s="8" t="n"/>
      <c r="J134" s="8" t="n"/>
      <c r="K134" s="8" t="n"/>
      <c r="L134" s="8" t="inlineStr">
        <is>
          <t>Cái</t>
        </is>
      </c>
      <c r="M134" s="10" t="n">
        <v>1</v>
      </c>
      <c r="N134" s="10">
        <f>ROUND('00_TONG_HOP_BAO_GIA'!Q25, 0)</f>
        <v/>
      </c>
      <c r="O134" s="10">
        <f>ROUNDUP(N134*M134, -2)</f>
        <v/>
      </c>
      <c r="P134" s="9" t="inlineStr">
        <is>
          <t>Louver nan Z ngoài trời</t>
        </is>
      </c>
    </row>
    <row r="135">
      <c r="A135" s="8" t="n"/>
      <c r="B135" s="9" t="inlineStr">
        <is>
          <t>Miệng gió cấp khí bù 2100x1000</t>
        </is>
      </c>
      <c r="C135" s="8" t="inlineStr">
        <is>
          <t>WL</t>
        </is>
      </c>
      <c r="D135" s="8" t="inlineStr">
        <is>
          <t>SWIND</t>
        </is>
      </c>
      <c r="E135" s="8" t="n">
        <v>2100</v>
      </c>
      <c r="F135" s="8" t="n">
        <v>1000</v>
      </c>
      <c r="G135" s="8" t="n">
        <v>2050</v>
      </c>
      <c r="H135" s="8" t="n">
        <v>950</v>
      </c>
      <c r="I135" s="8" t="n"/>
      <c r="J135" s="8" t="n"/>
      <c r="K135" s="8" t="n"/>
      <c r="L135" s="8" t="inlineStr">
        <is>
          <t>Cái</t>
        </is>
      </c>
      <c r="M135" s="10" t="n">
        <v>2</v>
      </c>
      <c r="N135" s="10">
        <f>ROUND('00_TONG_HOP_BAO_GIA'!Q26, 0)</f>
        <v/>
      </c>
      <c r="O135" s="10">
        <f>ROUNDUP(N135*M135, -2)</f>
        <v/>
      </c>
      <c r="P135" s="9" t="inlineStr">
        <is>
          <t>Louver nan Z ngoài trời</t>
        </is>
      </c>
    </row>
    <row r="136">
      <c r="A136" s="8" t="n"/>
      <c r="B136" s="9" t="inlineStr">
        <is>
          <t>Miệng gió cấp khí bù 2200x1000</t>
        </is>
      </c>
      <c r="C136" s="8" t="inlineStr">
        <is>
          <t>WL</t>
        </is>
      </c>
      <c r="D136" s="8" t="inlineStr">
        <is>
          <t>SWIND</t>
        </is>
      </c>
      <c r="E136" s="8" t="n">
        <v>2200</v>
      </c>
      <c r="F136" s="8" t="n">
        <v>1000</v>
      </c>
      <c r="G136" s="8" t="n">
        <v>2150</v>
      </c>
      <c r="H136" s="8" t="n">
        <v>950</v>
      </c>
      <c r="I136" s="8" t="n"/>
      <c r="J136" s="8" t="n"/>
      <c r="K136" s="8" t="n"/>
      <c r="L136" s="8" t="inlineStr">
        <is>
          <t>Cái</t>
        </is>
      </c>
      <c r="M136" s="10" t="n">
        <v>3</v>
      </c>
      <c r="N136" s="10">
        <f>ROUND('00_TONG_HOP_BAO_GIA'!Q27, 0)</f>
        <v/>
      </c>
      <c r="O136" s="10">
        <f>ROUNDUP(N136*M136, -2)</f>
        <v/>
      </c>
      <c r="P136" s="9" t="inlineStr">
        <is>
          <t>Louver nan Z ngoài trời</t>
        </is>
      </c>
    </row>
    <row r="137">
      <c r="A137" s="8" t="n"/>
      <c r="B137" s="9" t="inlineStr">
        <is>
          <t>Miệng gió cấp khí bù 2200x1200</t>
        </is>
      </c>
      <c r="C137" s="8" t="inlineStr">
        <is>
          <t>WL</t>
        </is>
      </c>
      <c r="D137" s="8" t="inlineStr">
        <is>
          <t>SWIND</t>
        </is>
      </c>
      <c r="E137" s="8" t="n">
        <v>2200</v>
      </c>
      <c r="F137" s="8" t="n">
        <v>1200</v>
      </c>
      <c r="G137" s="8" t="n">
        <v>2150</v>
      </c>
      <c r="H137" s="8" t="n">
        <v>1150</v>
      </c>
      <c r="I137" s="8" t="n"/>
      <c r="J137" s="8" t="n"/>
      <c r="K137" s="8" t="n"/>
      <c r="L137" s="8" t="inlineStr">
        <is>
          <t>Cái</t>
        </is>
      </c>
      <c r="M137" s="10" t="n">
        <v>1</v>
      </c>
      <c r="N137" s="10">
        <f>ROUND('00_TONG_HOP_BAO_GIA'!Q28, 0)</f>
        <v/>
      </c>
      <c r="O137" s="10">
        <f>ROUNDUP(N137*M137, -2)</f>
        <v/>
      </c>
      <c r="P137" s="9" t="inlineStr">
        <is>
          <t>Louver nan Z ngoài trời</t>
        </is>
      </c>
    </row>
    <row r="138">
      <c r="A138" s="6" t="n"/>
      <c r="B138" s="7" t="inlineStr">
        <is>
          <t>Louver thải gió</t>
        </is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</row>
    <row r="139">
      <c r="A139" s="8" t="n"/>
      <c r="B139" s="9" t="inlineStr">
        <is>
          <t>Louver thải gió EAL + LCCT 1000x4000</t>
        </is>
      </c>
      <c r="C139" s="8" t="inlineStr">
        <is>
          <t>WL+N</t>
        </is>
      </c>
      <c r="D139" s="8" t="inlineStr">
        <is>
          <t>SWIND</t>
        </is>
      </c>
      <c r="E139" s="8" t="n">
        <v>1000</v>
      </c>
      <c r="F139" s="8" t="n">
        <v>4000</v>
      </c>
      <c r="G139" s="8" t="n">
        <v>950</v>
      </c>
      <c r="H139" s="8" t="n">
        <v>3950</v>
      </c>
      <c r="I139" s="8" t="n"/>
      <c r="J139" s="8" t="n"/>
      <c r="K139" s="8" t="n"/>
      <c r="L139" s="8" t="inlineStr">
        <is>
          <t>Cái</t>
        </is>
      </c>
      <c r="M139" s="10" t="n">
        <v>1</v>
      </c>
      <c r="N139" s="10">
        <f>ROUND('00_TONG_HOP_BAO_GIA'!Q29, 0)</f>
        <v/>
      </c>
      <c r="O139" s="10">
        <f>ROUNDUP(N139*M139, -2)</f>
        <v/>
      </c>
      <c r="P139" s="9" t="inlineStr">
        <is>
          <t>Louver nan Z ngoài trời kèm lưới chắn côn trùng Inox 304</t>
        </is>
      </c>
    </row>
    <row r="140">
      <c r="A140" s="8" t="n"/>
      <c r="B140" s="9" t="inlineStr">
        <is>
          <t>Louver thải gió EAL + LCCT 1550x2200</t>
        </is>
      </c>
      <c r="C140" s="8" t="inlineStr">
        <is>
          <t>WL+N</t>
        </is>
      </c>
      <c r="D140" s="8" t="inlineStr">
        <is>
          <t>SWIND</t>
        </is>
      </c>
      <c r="E140" s="8" t="n">
        <v>1550</v>
      </c>
      <c r="F140" s="8" t="n">
        <v>2200</v>
      </c>
      <c r="G140" s="8" t="n">
        <v>1500</v>
      </c>
      <c r="H140" s="8" t="n">
        <v>2150</v>
      </c>
      <c r="I140" s="8" t="n"/>
      <c r="J140" s="8" t="n"/>
      <c r="K140" s="8" t="n"/>
      <c r="L140" s="8" t="inlineStr">
        <is>
          <t>Cái</t>
        </is>
      </c>
      <c r="M140" s="10" t="n">
        <v>2</v>
      </c>
      <c r="N140" s="10">
        <f>ROUND('00_TONG_HOP_BAO_GIA'!Q30, 0)</f>
        <v/>
      </c>
      <c r="O140" s="10">
        <f>ROUNDUP(N140*M140, -2)</f>
        <v/>
      </c>
      <c r="P140" s="9" t="inlineStr">
        <is>
          <t>Louver nan Z ngoài trời kèm lưới chắn côn trùng Inox 304</t>
        </is>
      </c>
    </row>
    <row r="141">
      <c r="A141" s="8" t="n"/>
      <c r="B141" s="9" t="inlineStr">
        <is>
          <t>Louver thải gió EAL + LCCT 1700x2100</t>
        </is>
      </c>
      <c r="C141" s="8" t="inlineStr">
        <is>
          <t>WL+N</t>
        </is>
      </c>
      <c r="D141" s="8" t="inlineStr">
        <is>
          <t>SWIND</t>
        </is>
      </c>
      <c r="E141" s="8" t="n">
        <v>1700</v>
      </c>
      <c r="F141" s="8" t="n">
        <v>2100</v>
      </c>
      <c r="G141" s="8" t="n">
        <v>1650</v>
      </c>
      <c r="H141" s="8" t="n">
        <v>2050</v>
      </c>
      <c r="I141" s="8" t="n"/>
      <c r="J141" s="8" t="n"/>
      <c r="K141" s="8" t="n"/>
      <c r="L141" s="8" t="inlineStr">
        <is>
          <t>Cái</t>
        </is>
      </c>
      <c r="M141" s="10" t="n">
        <v>3</v>
      </c>
      <c r="N141" s="10">
        <f>ROUND('00_TONG_HOP_BAO_GIA'!Q31, 0)</f>
        <v/>
      </c>
      <c r="O141" s="10">
        <f>ROUNDUP(N141*M141, -2)</f>
        <v/>
      </c>
      <c r="P141" s="9" t="inlineStr">
        <is>
          <t>Louver nan Z ngoài trời kèm lưới chắn côn trùng Inox 304</t>
        </is>
      </c>
    </row>
    <row r="142">
      <c r="A142" s="8" t="n"/>
      <c r="B142" s="9" t="inlineStr">
        <is>
          <t>Louver thải gió EAL + LCCT 2000x2100</t>
        </is>
      </c>
      <c r="C142" s="8" t="inlineStr">
        <is>
          <t>WL+N</t>
        </is>
      </c>
      <c r="D142" s="8" t="inlineStr">
        <is>
          <t>SWIND</t>
        </is>
      </c>
      <c r="E142" s="8" t="n">
        <v>2000</v>
      </c>
      <c r="F142" s="8" t="n">
        <v>2100</v>
      </c>
      <c r="G142" s="8" t="n">
        <v>1950</v>
      </c>
      <c r="H142" s="8" t="n">
        <v>2050</v>
      </c>
      <c r="I142" s="8" t="n"/>
      <c r="J142" s="8" t="n"/>
      <c r="K142" s="8" t="n"/>
      <c r="L142" s="8" t="inlineStr">
        <is>
          <t>Cái</t>
        </is>
      </c>
      <c r="M142" s="10" t="n">
        <v>2</v>
      </c>
      <c r="N142" s="10">
        <f>ROUND('00_TONG_HOP_BAO_GIA'!Q32, 0)</f>
        <v/>
      </c>
      <c r="O142" s="10">
        <f>ROUNDUP(N142*M142, -2)</f>
        <v/>
      </c>
      <c r="P142" s="9" t="inlineStr">
        <is>
          <t>Louver nan Z ngoài trời kèm lưới chắn côn trùng Inox 304</t>
        </is>
      </c>
    </row>
    <row r="143">
      <c r="A143" s="8" t="n"/>
      <c r="B143" s="9" t="inlineStr">
        <is>
          <t>Louver thải gió EAL + LCCT 2500x2100</t>
        </is>
      </c>
      <c r="C143" s="8" t="inlineStr">
        <is>
          <t>WL+N</t>
        </is>
      </c>
      <c r="D143" s="8" t="inlineStr">
        <is>
          <t>SWIND</t>
        </is>
      </c>
      <c r="E143" s="8" t="n">
        <v>2500</v>
      </c>
      <c r="F143" s="8" t="n">
        <v>2100</v>
      </c>
      <c r="G143" s="8" t="n">
        <v>2450</v>
      </c>
      <c r="H143" s="8" t="n">
        <v>2050</v>
      </c>
      <c r="I143" s="8" t="n"/>
      <c r="J143" s="8" t="n"/>
      <c r="K143" s="8" t="n"/>
      <c r="L143" s="8" t="inlineStr">
        <is>
          <t>Cái</t>
        </is>
      </c>
      <c r="M143" s="10" t="n">
        <v>2</v>
      </c>
      <c r="N143" s="10">
        <f>ROUND('00_TONG_HOP_BAO_GIA'!Q33, 0)</f>
        <v/>
      </c>
      <c r="O143" s="10">
        <f>ROUNDUP(N143*M143, -2)</f>
        <v/>
      </c>
      <c r="P143" s="9" t="inlineStr">
        <is>
          <t>Louver nan Z ngoài trời kèm lưới chắn côn trùng Inox 304</t>
        </is>
      </c>
    </row>
    <row r="144">
      <c r="A144" s="8" t="n"/>
      <c r="B144" s="9" t="inlineStr">
        <is>
          <t>Louver thải gió EAL + LCCT 2600x4000</t>
        </is>
      </c>
      <c r="C144" s="8" t="inlineStr">
        <is>
          <t>WL+N</t>
        </is>
      </c>
      <c r="D144" s="8" t="inlineStr">
        <is>
          <t>SWIND</t>
        </is>
      </c>
      <c r="E144" s="8" t="n">
        <v>2600</v>
      </c>
      <c r="F144" s="8" t="n">
        <v>4000</v>
      </c>
      <c r="G144" s="8" t="n">
        <v>2550</v>
      </c>
      <c r="H144" s="8" t="n">
        <v>3950</v>
      </c>
      <c r="I144" s="8" t="n"/>
      <c r="J144" s="8" t="n"/>
      <c r="K144" s="8" t="n"/>
      <c r="L144" s="8" t="inlineStr">
        <is>
          <t>Cái</t>
        </is>
      </c>
      <c r="M144" s="10" t="n">
        <v>1</v>
      </c>
      <c r="N144" s="10">
        <f>ROUND('00_TONG_HOP_BAO_GIA'!Q34, 0)</f>
        <v/>
      </c>
      <c r="O144" s="10">
        <f>ROUNDUP(N144*M144, -2)</f>
        <v/>
      </c>
      <c r="P144" s="9" t="inlineStr">
        <is>
          <t>Louver nan Z ngoài trời kèm lưới chắn côn trùng Inox 304</t>
        </is>
      </c>
    </row>
    <row r="145">
      <c r="A145" s="8" t="n"/>
      <c r="B145" s="9" t="inlineStr">
        <is>
          <t>Louver thải gió EAL + LCCT 3000x4000</t>
        </is>
      </c>
      <c r="C145" s="8" t="inlineStr">
        <is>
          <t>WL+N</t>
        </is>
      </c>
      <c r="D145" s="8" t="inlineStr">
        <is>
          <t>SWIND</t>
        </is>
      </c>
      <c r="E145" s="8" t="n">
        <v>3000</v>
      </c>
      <c r="F145" s="8" t="n">
        <v>4000</v>
      </c>
      <c r="G145" s="8" t="n">
        <v>2950</v>
      </c>
      <c r="H145" s="8" t="n">
        <v>3950</v>
      </c>
      <c r="I145" s="8" t="n"/>
      <c r="J145" s="8" t="n"/>
      <c r="K145" s="8" t="n"/>
      <c r="L145" s="8" t="inlineStr">
        <is>
          <t>Cái</t>
        </is>
      </c>
      <c r="M145" s="10" t="n">
        <v>1</v>
      </c>
      <c r="N145" s="10">
        <f>ROUND('00_TONG_HOP_BAO_GIA'!Q35, 0)</f>
        <v/>
      </c>
      <c r="O145" s="10">
        <f>ROUNDUP(N145*M145, -2)</f>
        <v/>
      </c>
      <c r="P145" s="9" t="inlineStr">
        <is>
          <t>Louver nan Z ngoài trời kèm lưới chắn côn trùng Inox 304</t>
        </is>
      </c>
    </row>
    <row r="146">
      <c r="A146" s="8" t="n"/>
      <c r="B146" s="9" t="inlineStr">
        <is>
          <t>Louver thải gió EAL + LCCT 4100x2200</t>
        </is>
      </c>
      <c r="C146" s="8" t="inlineStr">
        <is>
          <t>WL+N</t>
        </is>
      </c>
      <c r="D146" s="8" t="inlineStr">
        <is>
          <t>SWIND</t>
        </is>
      </c>
      <c r="E146" s="8" t="n">
        <v>4100</v>
      </c>
      <c r="F146" s="8" t="n">
        <v>2200</v>
      </c>
      <c r="G146" s="8" t="n">
        <v>4050</v>
      </c>
      <c r="H146" s="8" t="n">
        <v>2150</v>
      </c>
      <c r="I146" s="8" t="n"/>
      <c r="J146" s="8" t="n"/>
      <c r="K146" s="8" t="n"/>
      <c r="L146" s="8" t="inlineStr">
        <is>
          <t>Cái</t>
        </is>
      </c>
      <c r="M146" s="10" t="n">
        <v>1</v>
      </c>
      <c r="N146" s="10">
        <f>ROUND('00_TONG_HOP_BAO_GIA'!Q36, 0)</f>
        <v/>
      </c>
      <c r="O146" s="10">
        <f>ROUNDUP(N146*M146, -2)</f>
        <v/>
      </c>
      <c r="P146" s="9" t="inlineStr">
        <is>
          <t>Louver nan Z ngoài trời kèm lưới chắn côn trùng Inox 304</t>
        </is>
      </c>
    </row>
    <row r="147">
      <c r="A147" s="6" t="n"/>
      <c r="B147" s="7" t="inlineStr">
        <is>
          <t>Louver lấy gió tươi</t>
        </is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8" t="n"/>
      <c r="B148" s="9" t="inlineStr">
        <is>
          <t>Louver lấy gió tươi FAL + LCCT 1100x2800</t>
        </is>
      </c>
      <c r="C148" s="8" t="inlineStr">
        <is>
          <t>WL+N</t>
        </is>
      </c>
      <c r="D148" s="8" t="inlineStr">
        <is>
          <t>SWIND</t>
        </is>
      </c>
      <c r="E148" s="8" t="n">
        <v>1100</v>
      </c>
      <c r="F148" s="8" t="n">
        <v>2800</v>
      </c>
      <c r="G148" s="8" t="n">
        <v>1050</v>
      </c>
      <c r="H148" s="8" t="n">
        <v>2750</v>
      </c>
      <c r="I148" s="8" t="n"/>
      <c r="J148" s="8" t="n"/>
      <c r="K148" s="8" t="n"/>
      <c r="L148" s="8" t="inlineStr">
        <is>
          <t>Cái</t>
        </is>
      </c>
      <c r="M148" s="10" t="n">
        <v>1</v>
      </c>
      <c r="N148" s="10">
        <f>ROUND('00_TONG_HOP_BAO_GIA'!Q37, 0)</f>
        <v/>
      </c>
      <c r="O148" s="10">
        <f>ROUNDUP(N148*M148, -2)</f>
        <v/>
      </c>
      <c r="P148" s="9" t="inlineStr">
        <is>
          <t>Louver nan Z ngoài trời kèm lưới chắn côn trùng Inox 304</t>
        </is>
      </c>
    </row>
    <row r="149">
      <c r="A149" s="8" t="n"/>
      <c r="B149" s="9" t="inlineStr">
        <is>
          <t>Louver lấy gió tươi FAL + LCCT 1300x2400</t>
        </is>
      </c>
      <c r="C149" s="8" t="inlineStr">
        <is>
          <t>WL+N</t>
        </is>
      </c>
      <c r="D149" s="8" t="inlineStr">
        <is>
          <t>SWIND</t>
        </is>
      </c>
      <c r="E149" s="8" t="n">
        <v>1300</v>
      </c>
      <c r="F149" s="8" t="n">
        <v>2400</v>
      </c>
      <c r="G149" s="8" t="n">
        <v>1250</v>
      </c>
      <c r="H149" s="8" t="n">
        <v>2350</v>
      </c>
      <c r="I149" s="8" t="n"/>
      <c r="J149" s="8" t="n"/>
      <c r="K149" s="8" t="n"/>
      <c r="L149" s="8" t="inlineStr">
        <is>
          <t>Cái</t>
        </is>
      </c>
      <c r="M149" s="10" t="n">
        <v>4</v>
      </c>
      <c r="N149" s="10">
        <f>ROUND('00_TONG_HOP_BAO_GIA'!Q38, 0)</f>
        <v/>
      </c>
      <c r="O149" s="10">
        <f>ROUNDUP(N149*M149, -2)</f>
        <v/>
      </c>
      <c r="P149" s="9" t="inlineStr">
        <is>
          <t>Louver nan Z ngoài trời kèm lưới chắn côn trùng Inox 304</t>
        </is>
      </c>
    </row>
    <row r="150">
      <c r="A150" s="8" t="n"/>
      <c r="B150" s="9" t="inlineStr">
        <is>
          <t>Louver lấy gió tươi FAL + LCCT 3500x1200</t>
        </is>
      </c>
      <c r="C150" s="8" t="inlineStr">
        <is>
          <t>WL+N</t>
        </is>
      </c>
      <c r="D150" s="8" t="inlineStr">
        <is>
          <t>SWIND</t>
        </is>
      </c>
      <c r="E150" s="8" t="n">
        <v>3500</v>
      </c>
      <c r="F150" s="8" t="n">
        <v>1200</v>
      </c>
      <c r="G150" s="8" t="n">
        <v>3450</v>
      </c>
      <c r="H150" s="8" t="n">
        <v>1150</v>
      </c>
      <c r="I150" s="8" t="n"/>
      <c r="J150" s="8" t="n"/>
      <c r="K150" s="8" t="n"/>
      <c r="L150" s="8" t="inlineStr">
        <is>
          <t>Cái</t>
        </is>
      </c>
      <c r="M150" s="10" t="n">
        <v>1</v>
      </c>
      <c r="N150" s="10">
        <f>ROUND('00_TONG_HOP_BAO_GIA'!Q39, 0)</f>
        <v/>
      </c>
      <c r="O150" s="10">
        <f>ROUNDUP(N150*M150, -2)</f>
        <v/>
      </c>
      <c r="P150" s="9" t="inlineStr">
        <is>
          <t>Louver nan Z ngoài trời kèm lưới chắn côn trùng Inox 304</t>
        </is>
      </c>
    </row>
    <row r="151">
      <c r="A151" s="8" t="n"/>
      <c r="B151" s="9" t="inlineStr">
        <is>
          <t>Louver lấy gió tươi FAL + LCCT 3500x2800</t>
        </is>
      </c>
      <c r="C151" s="8" t="inlineStr">
        <is>
          <t>WL+N</t>
        </is>
      </c>
      <c r="D151" s="8" t="inlineStr">
        <is>
          <t>SWIND</t>
        </is>
      </c>
      <c r="E151" s="8" t="n">
        <v>3500</v>
      </c>
      <c r="F151" s="8" t="n">
        <v>2800</v>
      </c>
      <c r="G151" s="8" t="n">
        <v>3450</v>
      </c>
      <c r="H151" s="8" t="n">
        <v>2750</v>
      </c>
      <c r="I151" s="8" t="n"/>
      <c r="J151" s="8" t="n"/>
      <c r="K151" s="8" t="n"/>
      <c r="L151" s="8" t="inlineStr">
        <is>
          <t>Cái</t>
        </is>
      </c>
      <c r="M151" s="10" t="n">
        <v>1</v>
      </c>
      <c r="N151" s="10">
        <f>ROUND('00_TONG_HOP_BAO_GIA'!Q40, 0)</f>
        <v/>
      </c>
      <c r="O151" s="10">
        <f>ROUNDUP(N151*M151, -2)</f>
        <v/>
      </c>
      <c r="P151" s="9" t="inlineStr">
        <is>
          <t>Louver nan Z ngoài trời kèm lưới chắn côn trùng Inox 304</t>
        </is>
      </c>
    </row>
    <row r="152">
      <c r="A152" s="8" t="n"/>
      <c r="B152" s="9" t="inlineStr">
        <is>
          <t>Louver lấy gió tươi FAL + LCCT 3700x2400</t>
        </is>
      </c>
      <c r="C152" s="8" t="inlineStr">
        <is>
          <t>WL+N</t>
        </is>
      </c>
      <c r="D152" s="8" t="inlineStr">
        <is>
          <t>SWIND</t>
        </is>
      </c>
      <c r="E152" s="8" t="n">
        <v>3700</v>
      </c>
      <c r="F152" s="8" t="n">
        <v>2400</v>
      </c>
      <c r="G152" s="8" t="n">
        <v>3650</v>
      </c>
      <c r="H152" s="8" t="n">
        <v>2350</v>
      </c>
      <c r="I152" s="8" t="n"/>
      <c r="J152" s="8" t="n"/>
      <c r="K152" s="8" t="n"/>
      <c r="L152" s="8" t="inlineStr">
        <is>
          <t>Cái</t>
        </is>
      </c>
      <c r="M152" s="10" t="n">
        <v>2</v>
      </c>
      <c r="N152" s="10">
        <f>ROUND('00_TONG_HOP_BAO_GIA'!Q41, 0)</f>
        <v/>
      </c>
      <c r="O152" s="10">
        <f>ROUNDUP(N152*M152, -2)</f>
        <v/>
      </c>
      <c r="P152" s="9" t="inlineStr">
        <is>
          <t>Louver nan Z ngoài trời kèm lưới chắn côn trùng Inox 304</t>
        </is>
      </c>
    </row>
    <row r="153">
      <c r="A153" s="8" t="n"/>
      <c r="B153" s="9" t="inlineStr">
        <is>
          <t>Louver lấy gió tươi FAL + LCCT 3900x2800</t>
        </is>
      </c>
      <c r="C153" s="8" t="inlineStr">
        <is>
          <t>WL+N</t>
        </is>
      </c>
      <c r="D153" s="8" t="inlineStr">
        <is>
          <t>SWIND</t>
        </is>
      </c>
      <c r="E153" s="8" t="n">
        <v>3900</v>
      </c>
      <c r="F153" s="8" t="n">
        <v>2800</v>
      </c>
      <c r="G153" s="8" t="n">
        <v>3850</v>
      </c>
      <c r="H153" s="8" t="n">
        <v>2750</v>
      </c>
      <c r="I153" s="8" t="n"/>
      <c r="J153" s="8" t="n"/>
      <c r="K153" s="8" t="n"/>
      <c r="L153" s="8" t="inlineStr">
        <is>
          <t>Cái</t>
        </is>
      </c>
      <c r="M153" s="10" t="n">
        <v>1</v>
      </c>
      <c r="N153" s="10">
        <f>ROUND('00_TONG_HOP_BAO_GIA'!Q42, 0)</f>
        <v/>
      </c>
      <c r="O153" s="10">
        <f>ROUNDUP(N153*M153, -2)</f>
        <v/>
      </c>
      <c r="P153" s="9" t="inlineStr">
        <is>
          <t>Louver nan Z ngoài trời kèm lưới chắn côn trùng Inox 304</t>
        </is>
      </c>
    </row>
    <row r="154">
      <c r="A154" s="8" t="n"/>
      <c r="B154" s="9" t="inlineStr">
        <is>
          <t>Louver lấy gió tươi FAL + LCCT 4800x2400</t>
        </is>
      </c>
      <c r="C154" s="8" t="inlineStr">
        <is>
          <t>WL+N</t>
        </is>
      </c>
      <c r="D154" s="8" t="inlineStr">
        <is>
          <t>SWIND</t>
        </is>
      </c>
      <c r="E154" s="8" t="n">
        <v>4800</v>
      </c>
      <c r="F154" s="8" t="n">
        <v>2400</v>
      </c>
      <c r="G154" s="8" t="n">
        <v>4750</v>
      </c>
      <c r="H154" s="8" t="n">
        <v>2350</v>
      </c>
      <c r="I154" s="8" t="n"/>
      <c r="J154" s="8" t="n"/>
      <c r="K154" s="8" t="n"/>
      <c r="L154" s="8" t="inlineStr">
        <is>
          <t>Cái</t>
        </is>
      </c>
      <c r="M154" s="10" t="n">
        <v>1</v>
      </c>
      <c r="N154" s="10">
        <f>ROUND('00_TONG_HOP_BAO_GIA'!Q43, 0)</f>
        <v/>
      </c>
      <c r="O154" s="10">
        <f>ROUNDUP(N154*M154, -2)</f>
        <v/>
      </c>
      <c r="P154" s="9" t="inlineStr">
        <is>
          <t>Louver nan Z ngoài trời kèm lưới chắn côn trùng Inox 304</t>
        </is>
      </c>
    </row>
    <row r="155">
      <c r="A155" s="6" t="n"/>
      <c r="B155" s="7" t="inlineStr">
        <is>
          <t>Van gió</t>
        </is>
      </c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</row>
    <row r="156">
      <c r="A156" s="8" t="n"/>
      <c r="B156" s="9" t="inlineStr">
        <is>
          <t>Van một chiều NRD 1000x350</t>
        </is>
      </c>
      <c r="C156" s="8" t="inlineStr">
        <is>
          <t>NRD</t>
        </is>
      </c>
      <c r="D156" s="8" t="inlineStr">
        <is>
          <t>SWIND</t>
        </is>
      </c>
      <c r="E156" s="8" t="n">
        <v>1000</v>
      </c>
      <c r="F156" s="8" t="n">
        <v>350</v>
      </c>
      <c r="G156" s="8" t="n"/>
      <c r="H156" s="8" t="n"/>
      <c r="I156" s="8" t="n"/>
      <c r="J156" s="8" t="n">
        <v>200</v>
      </c>
      <c r="K156" s="12" t="n">
        <v>1.15</v>
      </c>
      <c r="L156" s="8" t="inlineStr">
        <is>
          <t>Cái</t>
        </is>
      </c>
      <c r="M156" s="10" t="n">
        <v>3</v>
      </c>
      <c r="N156" s="10">
        <f>ROUND('00_TONG_HOP_BAO_GIA'!Q44, 0)</f>
        <v/>
      </c>
      <c r="O156" s="10">
        <f>ROUNDUP(N156*M156, -2)</f>
        <v/>
      </c>
      <c r="P156" s="9" t="inlineStr">
        <is>
          <t>Van 1 chiều tôn mạ kẽm</t>
        </is>
      </c>
    </row>
    <row r="157">
      <c r="A157" s="8" t="n"/>
      <c r="B157" s="9" t="inlineStr">
        <is>
          <t>Van một chiều NRD 1050x500</t>
        </is>
      </c>
      <c r="C157" s="8" t="inlineStr">
        <is>
          <t>NRD</t>
        </is>
      </c>
      <c r="D157" s="8" t="inlineStr">
        <is>
          <t>SWIND</t>
        </is>
      </c>
      <c r="E157" s="8" t="n">
        <v>1050</v>
      </c>
      <c r="F157" s="8" t="n">
        <v>500</v>
      </c>
      <c r="G157" s="8" t="n"/>
      <c r="H157" s="8" t="n"/>
      <c r="I157" s="8" t="n"/>
      <c r="J157" s="8" t="n">
        <v>200</v>
      </c>
      <c r="K157" s="12" t="n">
        <v>1.15</v>
      </c>
      <c r="L157" s="8" t="inlineStr">
        <is>
          <t>Cái</t>
        </is>
      </c>
      <c r="M157" s="10" t="n">
        <v>6</v>
      </c>
      <c r="N157" s="10">
        <f>ROUND('00_TONG_HOP_BAO_GIA'!Q45, 0)</f>
        <v/>
      </c>
      <c r="O157" s="10">
        <f>ROUNDUP(N157*M157, -2)</f>
        <v/>
      </c>
      <c r="P157" s="9" t="inlineStr">
        <is>
          <t>Van 1 chiều tôn mạ kẽm</t>
        </is>
      </c>
    </row>
    <row r="158">
      <c r="A158" s="8" t="n"/>
      <c r="B158" s="9" t="inlineStr">
        <is>
          <t>Van một chiều NRD 1050x550</t>
        </is>
      </c>
      <c r="C158" s="8" t="inlineStr">
        <is>
          <t>NRD</t>
        </is>
      </c>
      <c r="D158" s="8" t="inlineStr">
        <is>
          <t>SWIND</t>
        </is>
      </c>
      <c r="E158" s="8" t="n">
        <v>1050</v>
      </c>
      <c r="F158" s="8" t="n">
        <v>550</v>
      </c>
      <c r="G158" s="8" t="n"/>
      <c r="H158" s="8" t="n"/>
      <c r="I158" s="8" t="n"/>
      <c r="J158" s="8" t="n">
        <v>200</v>
      </c>
      <c r="K158" s="12" t="n">
        <v>1.15</v>
      </c>
      <c r="L158" s="8" t="inlineStr">
        <is>
          <t>Cái</t>
        </is>
      </c>
      <c r="M158" s="10" t="n">
        <v>6</v>
      </c>
      <c r="N158" s="10">
        <f>ROUND('00_TONG_HOP_BAO_GIA'!Q46, 0)</f>
        <v/>
      </c>
      <c r="O158" s="10">
        <f>ROUNDUP(N158*M158, -2)</f>
        <v/>
      </c>
      <c r="P158" s="9" t="inlineStr">
        <is>
          <t>Van 1 chiều tôn mạ kẽm</t>
        </is>
      </c>
    </row>
    <row r="159">
      <c r="A159" s="8" t="n"/>
      <c r="B159" s="9" t="inlineStr">
        <is>
          <t>Van một chiều NRD 1100x450</t>
        </is>
      </c>
      <c r="C159" s="8" t="inlineStr">
        <is>
          <t>NRD</t>
        </is>
      </c>
      <c r="D159" s="8" t="inlineStr">
        <is>
          <t>SWIND</t>
        </is>
      </c>
      <c r="E159" s="8" t="n">
        <v>1100</v>
      </c>
      <c r="F159" s="8" t="n">
        <v>450</v>
      </c>
      <c r="G159" s="8" t="n"/>
      <c r="H159" s="8" t="n"/>
      <c r="I159" s="8" t="n"/>
      <c r="J159" s="8" t="n">
        <v>200</v>
      </c>
      <c r="K159" s="12" t="n">
        <v>1.15</v>
      </c>
      <c r="L159" s="8" t="inlineStr">
        <is>
          <t>Cái</t>
        </is>
      </c>
      <c r="M159" s="10" t="n">
        <v>3</v>
      </c>
      <c r="N159" s="10">
        <f>ROUND('00_TONG_HOP_BAO_GIA'!Q47, 0)</f>
        <v/>
      </c>
      <c r="O159" s="10">
        <f>ROUNDUP(N159*M159, -2)</f>
        <v/>
      </c>
      <c r="P159" s="9" t="inlineStr">
        <is>
          <t>Van 1 chiều tôn mạ kẽm</t>
        </is>
      </c>
    </row>
    <row r="160">
      <c r="A160" s="8" t="n"/>
      <c r="B160" s="9" t="inlineStr">
        <is>
          <t>Van một chiều NRD 1100x500</t>
        </is>
      </c>
      <c r="C160" s="8" t="inlineStr">
        <is>
          <t>NRD</t>
        </is>
      </c>
      <c r="D160" s="8" t="inlineStr">
        <is>
          <t>SWIND</t>
        </is>
      </c>
      <c r="E160" s="8" t="n">
        <v>1100</v>
      </c>
      <c r="F160" s="8" t="n">
        <v>500</v>
      </c>
      <c r="G160" s="8" t="n"/>
      <c r="H160" s="8" t="n"/>
      <c r="I160" s="8" t="n"/>
      <c r="J160" s="8" t="n">
        <v>200</v>
      </c>
      <c r="K160" s="12" t="n">
        <v>1.15</v>
      </c>
      <c r="L160" s="8" t="inlineStr">
        <is>
          <t>Cái</t>
        </is>
      </c>
      <c r="M160" s="10" t="n">
        <v>21</v>
      </c>
      <c r="N160" s="10">
        <f>ROUND('00_TONG_HOP_BAO_GIA'!Q48, 0)</f>
        <v/>
      </c>
      <c r="O160" s="10">
        <f>ROUNDUP(N160*M160, -2)</f>
        <v/>
      </c>
      <c r="P160" s="9" t="inlineStr">
        <is>
          <t>Van 1 chiều tôn mạ kẽm</t>
        </is>
      </c>
    </row>
    <row r="161">
      <c r="A161" s="8" t="n"/>
      <c r="B161" s="9" t="inlineStr">
        <is>
          <t>Van một chiều NRD 1100x550</t>
        </is>
      </c>
      <c r="C161" s="8" t="inlineStr">
        <is>
          <t>NRD</t>
        </is>
      </c>
      <c r="D161" s="8" t="inlineStr">
        <is>
          <t>SWIND</t>
        </is>
      </c>
      <c r="E161" s="8" t="n">
        <v>1100</v>
      </c>
      <c r="F161" s="8" t="n">
        <v>550</v>
      </c>
      <c r="G161" s="8" t="n"/>
      <c r="H161" s="8" t="n"/>
      <c r="I161" s="8" t="n"/>
      <c r="J161" s="8" t="n">
        <v>200</v>
      </c>
      <c r="K161" s="12" t="n">
        <v>1.15</v>
      </c>
      <c r="L161" s="8" t="inlineStr">
        <is>
          <t>Cái</t>
        </is>
      </c>
      <c r="M161" s="10" t="n">
        <v>6</v>
      </c>
      <c r="N161" s="10">
        <f>ROUND('00_TONG_HOP_BAO_GIA'!Q49, 0)</f>
        <v/>
      </c>
      <c r="O161" s="10">
        <f>ROUNDUP(N161*M161, -2)</f>
        <v/>
      </c>
      <c r="P161" s="9" t="inlineStr">
        <is>
          <t>Van 1 chiều tôn mạ kẽm</t>
        </is>
      </c>
    </row>
    <row r="162">
      <c r="A162" s="8" t="n"/>
      <c r="B162" s="9" t="inlineStr">
        <is>
          <t>Van một chiều NRD 1100x600</t>
        </is>
      </c>
      <c r="C162" s="8" t="inlineStr">
        <is>
          <t>NRD</t>
        </is>
      </c>
      <c r="D162" s="8" t="inlineStr">
        <is>
          <t>SWIND</t>
        </is>
      </c>
      <c r="E162" s="8" t="n">
        <v>1100</v>
      </c>
      <c r="F162" s="8" t="n">
        <v>600</v>
      </c>
      <c r="G162" s="8" t="n"/>
      <c r="H162" s="8" t="n"/>
      <c r="I162" s="8" t="n"/>
      <c r="J162" s="8" t="n">
        <v>200</v>
      </c>
      <c r="K162" s="12" t="n">
        <v>1.15</v>
      </c>
      <c r="L162" s="8" t="inlineStr">
        <is>
          <t>Cái</t>
        </is>
      </c>
      <c r="M162" s="10" t="n">
        <v>3</v>
      </c>
      <c r="N162" s="10">
        <f>ROUND('00_TONG_HOP_BAO_GIA'!Q50, 0)</f>
        <v/>
      </c>
      <c r="O162" s="10">
        <f>ROUNDUP(N162*M162, -2)</f>
        <v/>
      </c>
      <c r="P162" s="9" t="inlineStr">
        <is>
          <t>Van 1 chiều tôn mạ kẽm</t>
        </is>
      </c>
    </row>
    <row r="163">
      <c r="A163" s="8" t="n"/>
      <c r="B163" s="9" t="inlineStr">
        <is>
          <t>Van một chiều NRD 1200x400</t>
        </is>
      </c>
      <c r="C163" s="8" t="inlineStr">
        <is>
          <t>NRD</t>
        </is>
      </c>
      <c r="D163" s="8" t="inlineStr">
        <is>
          <t>SWIND</t>
        </is>
      </c>
      <c r="E163" s="8" t="n">
        <v>1200</v>
      </c>
      <c r="F163" s="8" t="n">
        <v>400</v>
      </c>
      <c r="G163" s="8" t="n"/>
      <c r="H163" s="8" t="n"/>
      <c r="I163" s="8" t="n"/>
      <c r="J163" s="8" t="n">
        <v>200</v>
      </c>
      <c r="K163" s="12" t="n">
        <v>1.15</v>
      </c>
      <c r="L163" s="8" t="inlineStr">
        <is>
          <t>Cái</t>
        </is>
      </c>
      <c r="M163" s="10" t="n">
        <v>2</v>
      </c>
      <c r="N163" s="10">
        <f>ROUND('00_TONG_HOP_BAO_GIA'!Q51, 0)</f>
        <v/>
      </c>
      <c r="O163" s="10">
        <f>ROUNDUP(N163*M163, -2)</f>
        <v/>
      </c>
      <c r="P163" s="9" t="inlineStr">
        <is>
          <t>Van 1 chiều tôn mạ kẽm</t>
        </is>
      </c>
    </row>
    <row r="164">
      <c r="A164" s="8" t="n"/>
      <c r="B164" s="9" t="inlineStr">
        <is>
          <t>Van một chiều NRD 1200x450</t>
        </is>
      </c>
      <c r="C164" s="8" t="inlineStr">
        <is>
          <t>NRD</t>
        </is>
      </c>
      <c r="D164" s="8" t="inlineStr">
        <is>
          <t>SWIND</t>
        </is>
      </c>
      <c r="E164" s="8" t="n">
        <v>1200</v>
      </c>
      <c r="F164" s="8" t="n">
        <v>450</v>
      </c>
      <c r="G164" s="8" t="n"/>
      <c r="H164" s="8" t="n"/>
      <c r="I164" s="8" t="n"/>
      <c r="J164" s="8" t="n">
        <v>200</v>
      </c>
      <c r="K164" s="12" t="n">
        <v>1.15</v>
      </c>
      <c r="L164" s="8" t="inlineStr">
        <is>
          <t>Cái</t>
        </is>
      </c>
      <c r="M164" s="10" t="n">
        <v>4</v>
      </c>
      <c r="N164" s="10">
        <f>ROUND('00_TONG_HOP_BAO_GIA'!Q52, 0)</f>
        <v/>
      </c>
      <c r="O164" s="10">
        <f>ROUNDUP(N164*M164, -2)</f>
        <v/>
      </c>
      <c r="P164" s="9" t="inlineStr">
        <is>
          <t>Van 1 chiều tôn mạ kẽm</t>
        </is>
      </c>
    </row>
    <row r="165">
      <c r="A165" s="8" t="n"/>
      <c r="B165" s="9" t="inlineStr">
        <is>
          <t>Van một chiều NRD 1200x500</t>
        </is>
      </c>
      <c r="C165" s="8" t="inlineStr">
        <is>
          <t>NRD</t>
        </is>
      </c>
      <c r="D165" s="8" t="inlineStr">
        <is>
          <t>SWIND</t>
        </is>
      </c>
      <c r="E165" s="8" t="n">
        <v>1200</v>
      </c>
      <c r="F165" s="8" t="n">
        <v>500</v>
      </c>
      <c r="G165" s="8" t="n"/>
      <c r="H165" s="8" t="n"/>
      <c r="I165" s="8" t="n"/>
      <c r="J165" s="8" t="n">
        <v>200</v>
      </c>
      <c r="K165" s="12" t="n">
        <v>1.15</v>
      </c>
      <c r="L165" s="8" t="inlineStr">
        <is>
          <t>Cái</t>
        </is>
      </c>
      <c r="M165" s="10" t="n">
        <v>3</v>
      </c>
      <c r="N165" s="10">
        <f>ROUND('00_TONG_HOP_BAO_GIA'!Q53, 0)</f>
        <v/>
      </c>
      <c r="O165" s="10">
        <f>ROUNDUP(N165*M165, -2)</f>
        <v/>
      </c>
      <c r="P165" s="9" t="inlineStr">
        <is>
          <t>Van 1 chiều tôn mạ kẽm</t>
        </is>
      </c>
    </row>
    <row r="166">
      <c r="A166" s="8" t="n"/>
      <c r="B166" s="9" t="inlineStr">
        <is>
          <t>Van một chiều NRD 1200x550</t>
        </is>
      </c>
      <c r="C166" s="8" t="inlineStr">
        <is>
          <t>NRD</t>
        </is>
      </c>
      <c r="D166" s="8" t="inlineStr">
        <is>
          <t>SWIND</t>
        </is>
      </c>
      <c r="E166" s="8" t="n">
        <v>1200</v>
      </c>
      <c r="F166" s="8" t="n">
        <v>550</v>
      </c>
      <c r="G166" s="8" t="n"/>
      <c r="H166" s="8" t="n"/>
      <c r="I166" s="8" t="n"/>
      <c r="J166" s="8" t="n">
        <v>200</v>
      </c>
      <c r="K166" s="12" t="n">
        <v>1.15</v>
      </c>
      <c r="L166" s="8" t="inlineStr">
        <is>
          <t>Cái</t>
        </is>
      </c>
      <c r="M166" s="10" t="n">
        <v>3</v>
      </c>
      <c r="N166" s="10">
        <f>ROUND('00_TONG_HOP_BAO_GIA'!Q54, 0)</f>
        <v/>
      </c>
      <c r="O166" s="10">
        <f>ROUNDUP(N166*M166, -2)</f>
        <v/>
      </c>
      <c r="P166" s="9" t="inlineStr">
        <is>
          <t>Van 1 chiều tôn mạ kẽm</t>
        </is>
      </c>
    </row>
    <row r="167">
      <c r="A167" s="8" t="n"/>
      <c r="B167" s="9" t="inlineStr">
        <is>
          <t>Van một chiều NRD 1200x600</t>
        </is>
      </c>
      <c r="C167" s="8" t="inlineStr">
        <is>
          <t>NRD</t>
        </is>
      </c>
      <c r="D167" s="8" t="inlineStr">
        <is>
          <t>SWIND</t>
        </is>
      </c>
      <c r="E167" s="8" t="n">
        <v>1200</v>
      </c>
      <c r="F167" s="8" t="n">
        <v>600</v>
      </c>
      <c r="G167" s="8" t="n"/>
      <c r="H167" s="8" t="n"/>
      <c r="I167" s="8" t="n"/>
      <c r="J167" s="8" t="n">
        <v>200</v>
      </c>
      <c r="K167" s="12" t="n">
        <v>1.15</v>
      </c>
      <c r="L167" s="8" t="inlineStr">
        <is>
          <t>Cái</t>
        </is>
      </c>
      <c r="M167" s="10" t="n">
        <v>4</v>
      </c>
      <c r="N167" s="10">
        <f>ROUND('00_TONG_HOP_BAO_GIA'!Q55, 0)</f>
        <v/>
      </c>
      <c r="O167" s="10">
        <f>ROUNDUP(N167*M167, -2)</f>
        <v/>
      </c>
      <c r="P167" s="9" t="inlineStr">
        <is>
          <t>Van 1 chiều tôn mạ kẽm</t>
        </is>
      </c>
    </row>
    <row r="168">
      <c r="A168" s="8" t="n"/>
      <c r="B168" s="9" t="inlineStr">
        <is>
          <t>Van một chiều NRD 1250x500</t>
        </is>
      </c>
      <c r="C168" s="8" t="inlineStr">
        <is>
          <t>NRD</t>
        </is>
      </c>
      <c r="D168" s="8" t="inlineStr">
        <is>
          <t>SWIND</t>
        </is>
      </c>
      <c r="E168" s="8" t="n">
        <v>1250</v>
      </c>
      <c r="F168" s="8" t="n">
        <v>500</v>
      </c>
      <c r="G168" s="8" t="n"/>
      <c r="H168" s="8" t="n"/>
      <c r="I168" s="8" t="n"/>
      <c r="J168" s="8" t="n">
        <v>200</v>
      </c>
      <c r="K168" s="12" t="n">
        <v>1.15</v>
      </c>
      <c r="L168" s="8" t="inlineStr">
        <is>
          <t>Cái</t>
        </is>
      </c>
      <c r="M168" s="10" t="n">
        <v>3</v>
      </c>
      <c r="N168" s="10">
        <f>ROUND('00_TONG_HOP_BAO_GIA'!Q56, 0)</f>
        <v/>
      </c>
      <c r="O168" s="10">
        <f>ROUNDUP(N168*M168, -2)</f>
        <v/>
      </c>
      <c r="P168" s="9" t="inlineStr">
        <is>
          <t>Van 1 chiều tôn mạ kẽm</t>
        </is>
      </c>
    </row>
    <row r="169">
      <c r="A169" s="8" t="n"/>
      <c r="B169" s="9" t="inlineStr">
        <is>
          <t>Van một chiều NRD 1300x400</t>
        </is>
      </c>
      <c r="C169" s="8" t="inlineStr">
        <is>
          <t>NRD</t>
        </is>
      </c>
      <c r="D169" s="8" t="inlineStr">
        <is>
          <t>SWIND</t>
        </is>
      </c>
      <c r="E169" s="8" t="n">
        <v>1300</v>
      </c>
      <c r="F169" s="8" t="n">
        <v>400</v>
      </c>
      <c r="G169" s="8" t="n"/>
      <c r="H169" s="8" t="n"/>
      <c r="I169" s="8" t="n"/>
      <c r="J169" s="8" t="n">
        <v>200</v>
      </c>
      <c r="K169" s="12" t="n">
        <v>1.15</v>
      </c>
      <c r="L169" s="8" t="inlineStr">
        <is>
          <t>Cái</t>
        </is>
      </c>
      <c r="M169" s="10" t="n">
        <v>2</v>
      </c>
      <c r="N169" s="10">
        <f>ROUND('00_TONG_HOP_BAO_GIA'!Q57, 0)</f>
        <v/>
      </c>
      <c r="O169" s="10">
        <f>ROUNDUP(N169*M169, -2)</f>
        <v/>
      </c>
      <c r="P169" s="9" t="inlineStr">
        <is>
          <t>Van 1 chiều tôn mạ kẽm</t>
        </is>
      </c>
    </row>
    <row r="170">
      <c r="A170" s="8" t="n"/>
      <c r="B170" s="9" t="inlineStr">
        <is>
          <t>Van một chiều NRD 1300x500</t>
        </is>
      </c>
      <c r="C170" s="8" t="inlineStr">
        <is>
          <t>NRD</t>
        </is>
      </c>
      <c r="D170" s="8" t="inlineStr">
        <is>
          <t>SWIND</t>
        </is>
      </c>
      <c r="E170" s="8" t="n">
        <v>1300</v>
      </c>
      <c r="F170" s="8" t="n">
        <v>500</v>
      </c>
      <c r="G170" s="8" t="n"/>
      <c r="H170" s="8" t="n"/>
      <c r="I170" s="8" t="n"/>
      <c r="J170" s="8" t="n">
        <v>200</v>
      </c>
      <c r="K170" s="12" t="n">
        <v>1.15</v>
      </c>
      <c r="L170" s="8" t="inlineStr">
        <is>
          <t>Cái</t>
        </is>
      </c>
      <c r="M170" s="10" t="n">
        <v>3</v>
      </c>
      <c r="N170" s="10">
        <f>ROUND('00_TONG_HOP_BAO_GIA'!Q58, 0)</f>
        <v/>
      </c>
      <c r="O170" s="10">
        <f>ROUNDUP(N170*M170, -2)</f>
        <v/>
      </c>
      <c r="P170" s="9" t="inlineStr">
        <is>
          <t>Van 1 chiều tôn mạ kẽm</t>
        </is>
      </c>
    </row>
    <row r="171">
      <c r="A171" s="8" t="n"/>
      <c r="B171" s="9" t="inlineStr">
        <is>
          <t>Van một chiều NRD 1300x600</t>
        </is>
      </c>
      <c r="C171" s="8" t="inlineStr">
        <is>
          <t>NRD</t>
        </is>
      </c>
      <c r="D171" s="8" t="inlineStr">
        <is>
          <t>SWIND</t>
        </is>
      </c>
      <c r="E171" s="8" t="n">
        <v>1300</v>
      </c>
      <c r="F171" s="8" t="n">
        <v>600</v>
      </c>
      <c r="G171" s="8" t="n"/>
      <c r="H171" s="8" t="n"/>
      <c r="I171" s="8" t="n"/>
      <c r="J171" s="8" t="n">
        <v>200</v>
      </c>
      <c r="K171" s="12" t="n">
        <v>1.15</v>
      </c>
      <c r="L171" s="8" t="inlineStr">
        <is>
          <t>Cái</t>
        </is>
      </c>
      <c r="M171" s="10" t="n">
        <v>2</v>
      </c>
      <c r="N171" s="10">
        <f>ROUND('00_TONG_HOP_BAO_GIA'!Q59, 0)</f>
        <v/>
      </c>
      <c r="O171" s="10">
        <f>ROUNDUP(N171*M171, -2)</f>
        <v/>
      </c>
      <c r="P171" s="9" t="inlineStr">
        <is>
          <t>Van 1 chiều tôn mạ kẽm</t>
        </is>
      </c>
    </row>
    <row r="172">
      <c r="A172" s="8" t="n"/>
      <c r="B172" s="9" t="inlineStr">
        <is>
          <t>Van một chiều NRD 1300x650</t>
        </is>
      </c>
      <c r="C172" s="8" t="inlineStr">
        <is>
          <t>NRD</t>
        </is>
      </c>
      <c r="D172" s="8" t="inlineStr">
        <is>
          <t>SWIND</t>
        </is>
      </c>
      <c r="E172" s="8" t="n">
        <v>1300</v>
      </c>
      <c r="F172" s="8" t="n">
        <v>650</v>
      </c>
      <c r="G172" s="8" t="n"/>
      <c r="H172" s="8" t="n"/>
      <c r="I172" s="8" t="n"/>
      <c r="J172" s="8" t="n">
        <v>200</v>
      </c>
      <c r="K172" s="12" t="n">
        <v>1.15</v>
      </c>
      <c r="L172" s="8" t="inlineStr">
        <is>
          <t>Cái</t>
        </is>
      </c>
      <c r="M172" s="10" t="n">
        <v>2</v>
      </c>
      <c r="N172" s="10">
        <f>ROUND('00_TONG_HOP_BAO_GIA'!Q60, 0)</f>
        <v/>
      </c>
      <c r="O172" s="10">
        <f>ROUNDUP(N172*M172, -2)</f>
        <v/>
      </c>
      <c r="P172" s="9" t="inlineStr">
        <is>
          <t>Van 1 chiều tôn mạ kẽm</t>
        </is>
      </c>
    </row>
    <row r="173">
      <c r="A173" s="8" t="n"/>
      <c r="B173" s="9" t="inlineStr">
        <is>
          <t>Van một chiều NRD 1350x550</t>
        </is>
      </c>
      <c r="C173" s="8" t="inlineStr">
        <is>
          <t>NRD</t>
        </is>
      </c>
      <c r="D173" s="8" t="inlineStr">
        <is>
          <t>SWIND</t>
        </is>
      </c>
      <c r="E173" s="8" t="n">
        <v>1350</v>
      </c>
      <c r="F173" s="8" t="n">
        <v>550</v>
      </c>
      <c r="G173" s="8" t="n"/>
      <c r="H173" s="8" t="n"/>
      <c r="I173" s="8" t="n"/>
      <c r="J173" s="8" t="n">
        <v>200</v>
      </c>
      <c r="K173" s="12" t="n">
        <v>1.15</v>
      </c>
      <c r="L173" s="8" t="inlineStr">
        <is>
          <t>Cái</t>
        </is>
      </c>
      <c r="M173" s="10" t="n">
        <v>2</v>
      </c>
      <c r="N173" s="10">
        <f>ROUND('00_TONG_HOP_BAO_GIA'!Q61, 0)</f>
        <v/>
      </c>
      <c r="O173" s="10">
        <f>ROUNDUP(N173*M173, -2)</f>
        <v/>
      </c>
      <c r="P173" s="9" t="inlineStr">
        <is>
          <t>Van 1 chiều tôn mạ kẽm</t>
        </is>
      </c>
    </row>
    <row r="174">
      <c r="A174" s="8" t="n"/>
      <c r="B174" s="9" t="inlineStr">
        <is>
          <t>Van một chiều NRD 1350x600</t>
        </is>
      </c>
      <c r="C174" s="8" t="inlineStr">
        <is>
          <t>NRD</t>
        </is>
      </c>
      <c r="D174" s="8" t="inlineStr">
        <is>
          <t>SWIND</t>
        </is>
      </c>
      <c r="E174" s="8" t="n">
        <v>1350</v>
      </c>
      <c r="F174" s="8" t="n">
        <v>600</v>
      </c>
      <c r="G174" s="8" t="n"/>
      <c r="H174" s="8" t="n"/>
      <c r="I174" s="8" t="n"/>
      <c r="J174" s="8" t="n">
        <v>200</v>
      </c>
      <c r="K174" s="12" t="n">
        <v>1.15</v>
      </c>
      <c r="L174" s="8" t="inlineStr">
        <is>
          <t>Cái</t>
        </is>
      </c>
      <c r="M174" s="10" t="n">
        <v>4</v>
      </c>
      <c r="N174" s="10">
        <f>ROUND('00_TONG_HOP_BAO_GIA'!Q62, 0)</f>
        <v/>
      </c>
      <c r="O174" s="10">
        <f>ROUNDUP(N174*M174, -2)</f>
        <v/>
      </c>
      <c r="P174" s="9" t="inlineStr">
        <is>
          <t>Van 1 chiều tôn mạ kẽm</t>
        </is>
      </c>
    </row>
    <row r="175">
      <c r="A175" s="6" t="n"/>
      <c r="B175" s="7" t="inlineStr">
        <is>
          <t>Van chặn lửa MFD, EI30</t>
        </is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</row>
    <row r="176">
      <c r="A176" s="8" t="n"/>
      <c r="B176" s="9" t="inlineStr">
        <is>
          <t>Van chặn lửa MFD, EI30 MFD 4000x1000</t>
        </is>
      </c>
      <c r="C176" s="8" t="inlineStr">
        <is>
          <t>SWIND-1.03-MFD-EI90</t>
        </is>
      </c>
      <c r="D176" s="8" t="inlineStr">
        <is>
          <t>SWIND</t>
        </is>
      </c>
      <c r="E176" s="8" t="n">
        <v>4000</v>
      </c>
      <c r="F176" s="8" t="n">
        <v>1000</v>
      </c>
      <c r="G176" s="8" t="n">
        <v>1000</v>
      </c>
      <c r="H176" s="8" t="n">
        <v>500</v>
      </c>
      <c r="I176" s="8" t="n">
        <v>8</v>
      </c>
      <c r="J176" s="8" t="n">
        <v>200</v>
      </c>
      <c r="K176" s="12" t="n">
        <v>1.15</v>
      </c>
      <c r="L176" s="8" t="inlineStr">
        <is>
          <t>Cái</t>
        </is>
      </c>
      <c r="M176" s="10" t="n">
        <v>1</v>
      </c>
      <c r="N176" s="10">
        <f>ROUND('00_TONG_HOP_BAO_GIA'!Q63, 0)</f>
        <v/>
      </c>
      <c r="O176" s="10">
        <f>ROUNDUP(N176*M176, -2)</f>
        <v/>
      </c>
      <c r="P176" s="9" t="inlineStr">
        <is>
          <t>- Van ngăn cháy động cơ - Tiêu chuẩn EI 90
- 2 đầu bích TDC - Gắn kèm động cơ ON-OFF 5Nm, Hãng KLB
- Sản xuất theo BCTN số 4651/VLXD-TBMT
- Chia 8 modul khi sản xuất</t>
        </is>
      </c>
    </row>
    <row r="177">
      <c r="A177" s="6" t="n"/>
      <c r="B177" s="7" t="inlineStr">
        <is>
          <t>Van chặn lửa MFD, EI60</t>
        </is>
      </c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</row>
    <row r="178">
      <c r="A178" s="8" t="n"/>
      <c r="B178" s="9" t="inlineStr">
        <is>
          <t>Van chặn lửa MFD, EI60 MFD 700x300</t>
        </is>
      </c>
      <c r="C178" s="8" t="inlineStr">
        <is>
          <t>SWIND-1.03-MFD-EI90</t>
        </is>
      </c>
      <c r="D178" s="8" t="inlineStr">
        <is>
          <t>SWIND</t>
        </is>
      </c>
      <c r="E178" s="8" t="n">
        <v>700</v>
      </c>
      <c r="F178" s="8" t="n">
        <v>300</v>
      </c>
      <c r="G178" s="8" t="n"/>
      <c r="H178" s="8" t="n"/>
      <c r="I178" s="8" t="n"/>
      <c r="J178" s="8" t="n">
        <v>200</v>
      </c>
      <c r="K178" s="12" t="n">
        <v>1.15</v>
      </c>
      <c r="L178" s="8" t="inlineStr">
        <is>
          <t>Cái</t>
        </is>
      </c>
      <c r="M178" s="10" t="n">
        <v>2</v>
      </c>
      <c r="N178" s="10">
        <f>ROUND('00_TONG_HOP_BAO_GIA'!Q64, 0)</f>
        <v/>
      </c>
      <c r="O178" s="10">
        <f>ROUNDUP(N178*M178, -2)</f>
        <v/>
      </c>
      <c r="P178" s="9" t="inlineStr">
        <is>
          <t>- Van ngăn cháy động cơ - Tiêu chuẩn EI 90
- 2 đầu bích TDC - Gắn kèm động cơ ON-OFF 5Nm, Hãng KLB
- Sản xuất theo BCTN số 4651/VLXD-TBMT</t>
        </is>
      </c>
    </row>
    <row r="179">
      <c r="A179" s="8" t="n"/>
      <c r="B179" s="9" t="inlineStr">
        <is>
          <t>Van chặn lửa MFD, EI60 MFD 800x350</t>
        </is>
      </c>
      <c r="C179" s="8" t="inlineStr">
        <is>
          <t>SWIND-1.03-MFD-EI90</t>
        </is>
      </c>
      <c r="D179" s="8" t="inlineStr">
        <is>
          <t>SWIND</t>
        </is>
      </c>
      <c r="E179" s="8" t="n">
        <v>800</v>
      </c>
      <c r="F179" s="8" t="n">
        <v>350</v>
      </c>
      <c r="G179" s="8" t="n"/>
      <c r="H179" s="8" t="n"/>
      <c r="I179" s="8" t="n"/>
      <c r="J179" s="8" t="n">
        <v>200</v>
      </c>
      <c r="K179" s="12" t="n">
        <v>1.15</v>
      </c>
      <c r="L179" s="8" t="inlineStr">
        <is>
          <t>Cái</t>
        </is>
      </c>
      <c r="M179" s="10" t="n">
        <v>4</v>
      </c>
      <c r="N179" s="10">
        <f>ROUND('00_TONG_HOP_BAO_GIA'!Q65, 0)</f>
        <v/>
      </c>
      <c r="O179" s="10">
        <f>ROUNDUP(N179*M179, -2)</f>
        <v/>
      </c>
      <c r="P179" s="9" t="inlineStr">
        <is>
          <t>- Van ngăn cháy động cơ - Tiêu chuẩn EI 90
- 2 đầu bích TDC - Gắn kèm động cơ ON-OFF 5Nm, Hãng KLB
- Sản xuất theo BCTN số 4651/VLXD-TBMT</t>
        </is>
      </c>
    </row>
    <row r="180">
      <c r="A180" s="8" t="n"/>
      <c r="B180" s="9" t="inlineStr">
        <is>
          <t>Van chặn lửa MFD, EI60 MFD 1000x350</t>
        </is>
      </c>
      <c r="C180" s="8" t="inlineStr">
        <is>
          <t>SWIND-1.03-MFD-EI90</t>
        </is>
      </c>
      <c r="D180" s="8" t="inlineStr">
        <is>
          <t>SWIND</t>
        </is>
      </c>
      <c r="E180" s="8" t="n">
        <v>1000</v>
      </c>
      <c r="F180" s="8" t="n">
        <v>350</v>
      </c>
      <c r="G180" s="8" t="n"/>
      <c r="H180" s="8" t="n"/>
      <c r="I180" s="8" t="n"/>
      <c r="J180" s="8" t="n">
        <v>200</v>
      </c>
      <c r="K180" s="12" t="n">
        <v>1.15</v>
      </c>
      <c r="L180" s="8" t="inlineStr">
        <is>
          <t>Cái</t>
        </is>
      </c>
      <c r="M180" s="10" t="n">
        <v>5</v>
      </c>
      <c r="N180" s="10">
        <f>ROUND('00_TONG_HOP_BAO_GIA'!Q66, 0)</f>
        <v/>
      </c>
      <c r="O180" s="10">
        <f>ROUNDUP(N180*M180, -2)</f>
        <v/>
      </c>
      <c r="P180" s="9" t="inlineStr">
        <is>
          <t>- Van ngăn cháy động cơ - Tiêu chuẩn EI 90
- 2 đầu bích TDC - Gắn kèm động cơ ON-OFF 5Nm, Hãng KLB
- Sản xuất theo BCTN số 4651/VLXD-TBMT</t>
        </is>
      </c>
    </row>
    <row r="181">
      <c r="A181" s="8" t="n"/>
      <c r="B181" s="9" t="inlineStr">
        <is>
          <t>Van chặn lửa MFD, EI60 MFD 1050x300</t>
        </is>
      </c>
      <c r="C181" s="8" t="inlineStr">
        <is>
          <t>SWIND-1.03-MFD-EI90</t>
        </is>
      </c>
      <c r="D181" s="8" t="inlineStr">
        <is>
          <t>SWIND</t>
        </is>
      </c>
      <c r="E181" s="8" t="n">
        <v>1050</v>
      </c>
      <c r="F181" s="8" t="n">
        <v>300</v>
      </c>
      <c r="G181" s="8" t="n"/>
      <c r="H181" s="8" t="n"/>
      <c r="I181" s="8" t="n"/>
      <c r="J181" s="8" t="n">
        <v>200</v>
      </c>
      <c r="K181" s="12" t="n">
        <v>1.15</v>
      </c>
      <c r="L181" s="8" t="inlineStr">
        <is>
          <t>Cái</t>
        </is>
      </c>
      <c r="M181" s="10" t="n">
        <v>4</v>
      </c>
      <c r="N181" s="10">
        <f>ROUND('00_TONG_HOP_BAO_GIA'!Q67, 0)</f>
        <v/>
      </c>
      <c r="O181" s="10">
        <f>ROUNDUP(N181*M181, -2)</f>
        <v/>
      </c>
      <c r="P181" s="9" t="inlineStr">
        <is>
          <t>- Van ngăn cháy động cơ - Tiêu chuẩn EI 90
- 2 đầu bích TDC - Gắn kèm động cơ ON-OFF 5Nm, Hãng KLB
- Sản xuất theo BCTN số 4651/VLXD-TBMT</t>
        </is>
      </c>
    </row>
    <row r="182">
      <c r="A182" s="8" t="n"/>
      <c r="B182" s="9" t="inlineStr">
        <is>
          <t>Van chặn lửa MFD, EI60 MFD 1050x350</t>
        </is>
      </c>
      <c r="C182" s="8" t="inlineStr">
        <is>
          <t>SWIND-1.03-MFD-EI90</t>
        </is>
      </c>
      <c r="D182" s="8" t="inlineStr">
        <is>
          <t>SWIND</t>
        </is>
      </c>
      <c r="E182" s="8" t="n">
        <v>1050</v>
      </c>
      <c r="F182" s="8" t="n">
        <v>350</v>
      </c>
      <c r="G182" s="8" t="n"/>
      <c r="H182" s="8" t="n"/>
      <c r="I182" s="8" t="n"/>
      <c r="J182" s="8" t="n">
        <v>200</v>
      </c>
      <c r="K182" s="12" t="n">
        <v>1.15</v>
      </c>
      <c r="L182" s="8" t="inlineStr">
        <is>
          <t>Cái</t>
        </is>
      </c>
      <c r="M182" s="10" t="n">
        <v>2</v>
      </c>
      <c r="N182" s="10">
        <f>ROUND('00_TONG_HOP_BAO_GIA'!Q68, 0)</f>
        <v/>
      </c>
      <c r="O182" s="10">
        <f>ROUNDUP(N182*M182, -2)</f>
        <v/>
      </c>
      <c r="P182" s="9" t="inlineStr">
        <is>
          <t>- Van ngăn cháy động cơ - Tiêu chuẩn EI 90
- 2 đầu bích TDC - Gắn kèm động cơ ON-OFF 5Nm, Hãng KLB
- Sản xuất theo BCTN số 4651/VLXD-TBMT</t>
        </is>
      </c>
    </row>
    <row r="183">
      <c r="A183" s="8" t="n"/>
      <c r="B183" s="9" t="inlineStr">
        <is>
          <t>Van chặn lửa MFD, EI60 MFD 1050x400</t>
        </is>
      </c>
      <c r="C183" s="8" t="inlineStr">
        <is>
          <t>SWIND-1.03-MFD-EI90</t>
        </is>
      </c>
      <c r="D183" s="8" t="inlineStr">
        <is>
          <t>SWIND</t>
        </is>
      </c>
      <c r="E183" s="8" t="n">
        <v>1050</v>
      </c>
      <c r="F183" s="8" t="n">
        <v>400</v>
      </c>
      <c r="G183" s="8" t="n"/>
      <c r="H183" s="8" t="n"/>
      <c r="I183" s="8" t="n"/>
      <c r="J183" s="8" t="n">
        <v>200</v>
      </c>
      <c r="K183" s="12" t="n">
        <v>1.15</v>
      </c>
      <c r="L183" s="8" t="inlineStr">
        <is>
          <t>Cái</t>
        </is>
      </c>
      <c r="M183" s="10" t="n">
        <v>2</v>
      </c>
      <c r="N183" s="10">
        <f>ROUND('00_TONG_HOP_BAO_GIA'!Q69, 0)</f>
        <v/>
      </c>
      <c r="O183" s="10">
        <f>ROUNDUP(N183*M183, -2)</f>
        <v/>
      </c>
      <c r="P183" s="9" t="inlineStr">
        <is>
          <t>- Van ngăn cháy động cơ - Tiêu chuẩn EI 90
- 2 đầu bích TDC - Gắn kèm động cơ ON-OFF 5Nm, Hãng KLB
- Sản xuất theo BCTN số 4651/VLXD-TBMT</t>
        </is>
      </c>
    </row>
    <row r="184">
      <c r="A184" s="8" t="n"/>
      <c r="B184" s="9" t="inlineStr">
        <is>
          <t>Van chặn lửa MFD, EI60 MFD 1050x500</t>
        </is>
      </c>
      <c r="C184" s="8" t="inlineStr">
        <is>
          <t>SWIND-1.03-MFD-EI90</t>
        </is>
      </c>
      <c r="D184" s="8" t="inlineStr">
        <is>
          <t>SWIND</t>
        </is>
      </c>
      <c r="E184" s="8" t="n">
        <v>1050</v>
      </c>
      <c r="F184" s="8" t="n">
        <v>500</v>
      </c>
      <c r="G184" s="8" t="n"/>
      <c r="H184" s="8" t="n"/>
      <c r="I184" s="8" t="n"/>
      <c r="J184" s="8" t="n">
        <v>200</v>
      </c>
      <c r="K184" s="12" t="n">
        <v>1.15</v>
      </c>
      <c r="L184" s="8" t="inlineStr">
        <is>
          <t>Cái</t>
        </is>
      </c>
      <c r="M184" s="10" t="n">
        <v>10</v>
      </c>
      <c r="N184" s="10">
        <f>ROUND('00_TONG_HOP_BAO_GIA'!Q70, 0)</f>
        <v/>
      </c>
      <c r="O184" s="10">
        <f>ROUNDUP(N184*M184, -2)</f>
        <v/>
      </c>
      <c r="P184" s="9" t="inlineStr">
        <is>
          <t>- Van ngăn cháy động cơ - Tiêu chuẩn EI 90
- 2 đầu bích TDC - Gắn kèm động cơ ON-OFF 5Nm, Hãng KLB
- Sản xuất theo BCTN số 4651/VLXD-TBMT</t>
        </is>
      </c>
    </row>
    <row r="185">
      <c r="A185" s="8" t="n"/>
      <c r="B185" s="9" t="inlineStr">
        <is>
          <t>Van chặn lửa MFD, EI60 MFD 1050x550</t>
        </is>
      </c>
      <c r="C185" s="8" t="inlineStr">
        <is>
          <t>SWIND-1.03-MFD-EI90</t>
        </is>
      </c>
      <c r="D185" s="8" t="inlineStr">
        <is>
          <t>SWIND</t>
        </is>
      </c>
      <c r="E185" s="8" t="n">
        <v>1050</v>
      </c>
      <c r="F185" s="8" t="n">
        <v>550</v>
      </c>
      <c r="G185" s="8" t="n"/>
      <c r="H185" s="8" t="n"/>
      <c r="I185" s="8" t="n"/>
      <c r="J185" s="8" t="n">
        <v>200</v>
      </c>
      <c r="K185" s="12" t="n">
        <v>1.15</v>
      </c>
      <c r="L185" s="8" t="inlineStr">
        <is>
          <t>Cái</t>
        </is>
      </c>
      <c r="M185" s="10" t="n">
        <v>10</v>
      </c>
      <c r="N185" s="10">
        <f>ROUND('00_TONG_HOP_BAO_GIA'!Q71, 0)</f>
        <v/>
      </c>
      <c r="O185" s="10">
        <f>ROUNDUP(N185*M185, -2)</f>
        <v/>
      </c>
      <c r="P185" s="9" t="inlineStr">
        <is>
          <t>- Van ngăn cháy động cơ - Tiêu chuẩn EI 90
- 2 đầu bích TDC - Gắn kèm động cơ ON-OFF 5Nm, Hãng KLB
- Sản xuất theo BCTN số 4651/VLXD-TBMT</t>
        </is>
      </c>
    </row>
    <row r="186">
      <c r="A186" s="8" t="n"/>
      <c r="B186" s="9" t="inlineStr">
        <is>
          <t>Van chặn lửa MFD, EI60 MFD 1100x300</t>
        </is>
      </c>
      <c r="C186" s="8" t="inlineStr">
        <is>
          <t>SWIND-1.03-MFD-EI90</t>
        </is>
      </c>
      <c r="D186" s="8" t="inlineStr">
        <is>
          <t>SWIND</t>
        </is>
      </c>
      <c r="E186" s="8" t="n">
        <v>1100</v>
      </c>
      <c r="F186" s="8" t="n">
        <v>300</v>
      </c>
      <c r="G186" s="8" t="n"/>
      <c r="H186" s="8" t="n"/>
      <c r="I186" s="8" t="n"/>
      <c r="J186" s="8" t="n">
        <v>200</v>
      </c>
      <c r="K186" s="12" t="n">
        <v>1.15</v>
      </c>
      <c r="L186" s="8" t="inlineStr">
        <is>
          <t>Cái</t>
        </is>
      </c>
      <c r="M186" s="10" t="n">
        <v>10</v>
      </c>
      <c r="N186" s="10">
        <f>ROUND('00_TONG_HOP_BAO_GIA'!Q72, 0)</f>
        <v/>
      </c>
      <c r="O186" s="10">
        <f>ROUNDUP(N186*M186, -2)</f>
        <v/>
      </c>
      <c r="P186" s="9" t="inlineStr">
        <is>
          <t>- Van ngăn cháy động cơ - Tiêu chuẩn EI 90
- 2 đầu bích TDC - Gắn kèm động cơ ON-OFF 5Nm, Hãng KLB
- Sản xuất theo BCTN số 4651/VLXD-TBMT</t>
        </is>
      </c>
    </row>
    <row r="187">
      <c r="A187" s="8" t="n"/>
      <c r="B187" s="9" t="inlineStr">
        <is>
          <t>Van chặn lửa MFD, EI60 MFD 1100x350</t>
        </is>
      </c>
      <c r="C187" s="8" t="inlineStr">
        <is>
          <t>SWIND-1.03-MFD-EI90</t>
        </is>
      </c>
      <c r="D187" s="8" t="inlineStr">
        <is>
          <t>SWIND</t>
        </is>
      </c>
      <c r="E187" s="8" t="n">
        <v>1100</v>
      </c>
      <c r="F187" s="8" t="n">
        <v>350</v>
      </c>
      <c r="G187" s="8" t="n"/>
      <c r="H187" s="8" t="n"/>
      <c r="I187" s="8" t="n"/>
      <c r="J187" s="8" t="n">
        <v>200</v>
      </c>
      <c r="K187" s="12" t="n">
        <v>1.15</v>
      </c>
      <c r="L187" s="8" t="inlineStr">
        <is>
          <t>Cái</t>
        </is>
      </c>
      <c r="M187" s="10" t="n">
        <v>6</v>
      </c>
      <c r="N187" s="10">
        <f>ROUND('00_TONG_HOP_BAO_GIA'!Q73, 0)</f>
        <v/>
      </c>
      <c r="O187" s="10">
        <f>ROUNDUP(N187*M187, -2)</f>
        <v/>
      </c>
      <c r="P187" s="9" t="inlineStr">
        <is>
          <t>- Van ngăn cháy động cơ - Tiêu chuẩn EI 90
- 2 đầu bích TDC - Gắn kèm động cơ ON-OFF 5Nm, Hãng KLB
- Sản xuất theo BCTN số 4651/VLXD-TBMT</t>
        </is>
      </c>
    </row>
    <row r="188">
      <c r="A188" s="8" t="n"/>
      <c r="B188" s="9" t="inlineStr">
        <is>
          <t>Van chặn lửa MFD, EI60 MFD 1100x450</t>
        </is>
      </c>
      <c r="C188" s="8" t="inlineStr">
        <is>
          <t>SWIND-1.03-MFD-EI90</t>
        </is>
      </c>
      <c r="D188" s="8" t="inlineStr">
        <is>
          <t>SWIND</t>
        </is>
      </c>
      <c r="E188" s="8" t="n">
        <v>1100</v>
      </c>
      <c r="F188" s="8" t="n">
        <v>450</v>
      </c>
      <c r="G188" s="8" t="n"/>
      <c r="H188" s="8" t="n"/>
      <c r="I188" s="8" t="n"/>
      <c r="J188" s="8" t="n">
        <v>200</v>
      </c>
      <c r="K188" s="12" t="n">
        <v>1.15</v>
      </c>
      <c r="L188" s="8" t="inlineStr">
        <is>
          <t>Cái</t>
        </is>
      </c>
      <c r="M188" s="10" t="n">
        <v>5</v>
      </c>
      <c r="N188" s="10">
        <f>ROUND('00_TONG_HOP_BAO_GIA'!Q74, 0)</f>
        <v/>
      </c>
      <c r="O188" s="10">
        <f>ROUNDUP(N188*M188, -2)</f>
        <v/>
      </c>
      <c r="P188" s="9" t="inlineStr">
        <is>
          <t>- Van ngăn cháy động cơ - Tiêu chuẩn EI 90
- 2 đầu bích TDC - Gắn kèm động cơ ON-OFF 5Nm, Hãng KLB
- Sản xuất theo BCTN số 4651/VLXD-TBMT</t>
        </is>
      </c>
    </row>
    <row r="189">
      <c r="A189" s="8" t="n"/>
      <c r="B189" s="9" t="inlineStr">
        <is>
          <t>Van chặn lửa MFD, EI60 MFD 1100x500</t>
        </is>
      </c>
      <c r="C189" s="8" t="inlineStr">
        <is>
          <t>SWIND-1.03-MFD-EI90</t>
        </is>
      </c>
      <c r="D189" s="8" t="inlineStr">
        <is>
          <t>SWIND</t>
        </is>
      </c>
      <c r="E189" s="8" t="n">
        <v>1100</v>
      </c>
      <c r="F189" s="8" t="n">
        <v>500</v>
      </c>
      <c r="G189" s="8" t="n"/>
      <c r="H189" s="8" t="n"/>
      <c r="I189" s="8" t="n"/>
      <c r="J189" s="8" t="n">
        <v>200</v>
      </c>
      <c r="K189" s="12" t="n">
        <v>1.15</v>
      </c>
      <c r="L189" s="8" t="inlineStr">
        <is>
          <t>Cái</t>
        </is>
      </c>
      <c r="M189" s="10" t="n">
        <v>38</v>
      </c>
      <c r="N189" s="10">
        <f>ROUND('00_TONG_HOP_BAO_GIA'!Q75, 0)</f>
        <v/>
      </c>
      <c r="O189" s="10">
        <f>ROUNDUP(N189*M189, -2)</f>
        <v/>
      </c>
      <c r="P189" s="9" t="inlineStr">
        <is>
          <t>- Van ngăn cháy động cơ - Tiêu chuẩn EI 90
- 2 đầu bích TDC - Gắn kèm động cơ ON-OFF 5Nm, Hãng KLB
- Sản xuất theo BCTN số 4651/VLXD-TBMT</t>
        </is>
      </c>
    </row>
    <row r="190">
      <c r="A190" s="8" t="n"/>
      <c r="B190" s="9" t="inlineStr">
        <is>
          <t>Van chặn lửa MFD, EI60 MFD 1100x550</t>
        </is>
      </c>
      <c r="C190" s="8" t="inlineStr">
        <is>
          <t>SWIND-1.03-MFD-EI90</t>
        </is>
      </c>
      <c r="D190" s="8" t="inlineStr">
        <is>
          <t>SWIND</t>
        </is>
      </c>
      <c r="E190" s="8" t="n">
        <v>1100</v>
      </c>
      <c r="F190" s="8" t="n">
        <v>550</v>
      </c>
      <c r="G190" s="8" t="n"/>
      <c r="H190" s="8" t="n"/>
      <c r="I190" s="8" t="n"/>
      <c r="J190" s="8" t="n">
        <v>200</v>
      </c>
      <c r="K190" s="12" t="n">
        <v>1.15</v>
      </c>
      <c r="L190" s="8" t="inlineStr">
        <is>
          <t>Cái</t>
        </is>
      </c>
      <c r="M190" s="10" t="n">
        <v>10</v>
      </c>
      <c r="N190" s="10">
        <f>ROUND('00_TONG_HOP_BAO_GIA'!Q76, 0)</f>
        <v/>
      </c>
      <c r="O190" s="10">
        <f>ROUNDUP(N190*M190, -2)</f>
        <v/>
      </c>
      <c r="P190" s="9" t="inlineStr">
        <is>
          <t>- Van ngăn cháy động cơ - Tiêu chuẩn EI 90
- 2 đầu bích TDC - Gắn kèm động cơ ON-OFF 5Nm, Hãng KLB
- Sản xuất theo BCTN số 4651/VLXD-TBMT</t>
        </is>
      </c>
    </row>
    <row r="191">
      <c r="A191" s="8" t="n"/>
      <c r="B191" s="9" t="inlineStr">
        <is>
          <t>Van chặn lửa MFD, EI60 MFD 1100x600</t>
        </is>
      </c>
      <c r="C191" s="8" t="inlineStr">
        <is>
          <t>SWIND-1.03-MFD-EI90</t>
        </is>
      </c>
      <c r="D191" s="8" t="inlineStr">
        <is>
          <t>SWIND</t>
        </is>
      </c>
      <c r="E191" s="8" t="n">
        <v>1100</v>
      </c>
      <c r="F191" s="8" t="n">
        <v>600</v>
      </c>
      <c r="G191" s="8" t="n"/>
      <c r="H191" s="8" t="n"/>
      <c r="I191" s="8" t="n"/>
      <c r="J191" s="8" t="n">
        <v>200</v>
      </c>
      <c r="K191" s="12" t="n">
        <v>1.15</v>
      </c>
      <c r="L191" s="8" t="inlineStr">
        <is>
          <t>Cái</t>
        </is>
      </c>
      <c r="M191" s="10" t="n">
        <v>6</v>
      </c>
      <c r="N191" s="10">
        <f>ROUND('00_TONG_HOP_BAO_GIA'!Q77, 0)</f>
        <v/>
      </c>
      <c r="O191" s="10">
        <f>ROUNDUP(N191*M191, -2)</f>
        <v/>
      </c>
      <c r="P191" s="9" t="inlineStr">
        <is>
          <t>- Van ngăn cháy động cơ - Tiêu chuẩn EI 90
- 2 đầu bích TDC - Gắn kèm động cơ ON-OFF 5Nm, Hãng KLB
- Sản xuất theo BCTN số 4651/VLXD-TBMT</t>
        </is>
      </c>
    </row>
    <row r="192">
      <c r="A192" s="8" t="n"/>
      <c r="B192" s="9" t="inlineStr">
        <is>
          <t>Van chặn lửa MFD, EI60 MFD 1200x400</t>
        </is>
      </c>
      <c r="C192" s="8" t="inlineStr">
        <is>
          <t>SWIND-1.03-MFD-EI90</t>
        </is>
      </c>
      <c r="D192" s="8" t="inlineStr">
        <is>
          <t>SWIND</t>
        </is>
      </c>
      <c r="E192" s="8" t="n">
        <v>1200</v>
      </c>
      <c r="F192" s="8" t="n">
        <v>400</v>
      </c>
      <c r="G192" s="8" t="n"/>
      <c r="H192" s="8" t="n"/>
      <c r="I192" s="8" t="n"/>
      <c r="J192" s="8" t="n">
        <v>200</v>
      </c>
      <c r="K192" s="12" t="n">
        <v>1.15</v>
      </c>
      <c r="L192" s="8" t="inlineStr">
        <is>
          <t>Cái</t>
        </is>
      </c>
      <c r="M192" s="10" t="n">
        <v>4</v>
      </c>
      <c r="N192" s="10">
        <f>ROUND('00_TONG_HOP_BAO_GIA'!Q78, 0)</f>
        <v/>
      </c>
      <c r="O192" s="10">
        <f>ROUNDUP(N192*M192, -2)</f>
        <v/>
      </c>
      <c r="P192" s="9" t="inlineStr">
        <is>
          <t>- Van ngăn cháy động cơ - Tiêu chuẩn EI 90
- 2 đầu bích TDC - Gắn kèm động cơ ON-OFF 5Nm, Hãng KLB
- Sản xuất theo BCTN số 4651/VLXD-TBMT</t>
        </is>
      </c>
    </row>
    <row r="193">
      <c r="A193" s="8" t="n"/>
      <c r="B193" s="9" t="inlineStr">
        <is>
          <t>Van chặn lửa MFD, EI60 MFD 1200x450</t>
        </is>
      </c>
      <c r="C193" s="8" t="inlineStr">
        <is>
          <t>SWIND-1.03-MFD-EI90</t>
        </is>
      </c>
      <c r="D193" s="8" t="inlineStr">
        <is>
          <t>SWIND</t>
        </is>
      </c>
      <c r="E193" s="8" t="n">
        <v>1200</v>
      </c>
      <c r="F193" s="8" t="n">
        <v>450</v>
      </c>
      <c r="G193" s="8" t="n"/>
      <c r="H193" s="8" t="n"/>
      <c r="I193" s="8" t="n"/>
      <c r="J193" s="8" t="n">
        <v>200</v>
      </c>
      <c r="K193" s="12" t="n">
        <v>1.15</v>
      </c>
      <c r="L193" s="8" t="inlineStr">
        <is>
          <t>Cái</t>
        </is>
      </c>
      <c r="M193" s="10" t="n">
        <v>6</v>
      </c>
      <c r="N193" s="10">
        <f>ROUND('00_TONG_HOP_BAO_GIA'!Q79, 0)</f>
        <v/>
      </c>
      <c r="O193" s="10">
        <f>ROUNDUP(N193*M193, -2)</f>
        <v/>
      </c>
      <c r="P193" s="9" t="inlineStr">
        <is>
          <t>- Van ngăn cháy động cơ - Tiêu chuẩn EI 90
- 2 đầu bích TDC - Gắn kèm động cơ ON-OFF 5Nm, Hãng KLB
- Sản xuất theo BCTN số 4651/VLXD-TBMT</t>
        </is>
      </c>
    </row>
    <row r="194">
      <c r="A194" s="8" t="n"/>
      <c r="B194" s="9" t="inlineStr">
        <is>
          <t>Van chặn lửa MFD, EI60 MFD 1200x500</t>
        </is>
      </c>
      <c r="C194" s="8" t="inlineStr">
        <is>
          <t>SWIND-1.03-MFD-EI90</t>
        </is>
      </c>
      <c r="D194" s="8" t="inlineStr">
        <is>
          <t>SWIND</t>
        </is>
      </c>
      <c r="E194" s="8" t="n">
        <v>1200</v>
      </c>
      <c r="F194" s="8" t="n">
        <v>500</v>
      </c>
      <c r="G194" s="8" t="n"/>
      <c r="H194" s="8" t="n"/>
      <c r="I194" s="8" t="n"/>
      <c r="J194" s="8" t="n">
        <v>200</v>
      </c>
      <c r="K194" s="12" t="n">
        <v>1.15</v>
      </c>
      <c r="L194" s="8" t="inlineStr">
        <is>
          <t>Cái</t>
        </is>
      </c>
      <c r="M194" s="10" t="n">
        <v>6</v>
      </c>
      <c r="N194" s="10">
        <f>ROUND('00_TONG_HOP_BAO_GIA'!Q80, 0)</f>
        <v/>
      </c>
      <c r="O194" s="10">
        <f>ROUNDUP(N194*M194, -2)</f>
        <v/>
      </c>
      <c r="P194" s="9" t="inlineStr">
        <is>
          <t>- Van ngăn cháy động cơ - Tiêu chuẩn EI 90
- 2 đầu bích TDC - Gắn kèm động cơ ON-OFF 5Nm, Hãng KLB
- Sản xuất theo BCTN số 4651/VLXD-TBMT</t>
        </is>
      </c>
    </row>
    <row r="195">
      <c r="A195" s="8" t="n"/>
      <c r="B195" s="9" t="inlineStr">
        <is>
          <t>Van chặn lửa MFD, EI60 MFD 1200x550</t>
        </is>
      </c>
      <c r="C195" s="8" t="inlineStr">
        <is>
          <t>SWIND-1.03-MFD-EI90</t>
        </is>
      </c>
      <c r="D195" s="8" t="inlineStr">
        <is>
          <t>SWIND</t>
        </is>
      </c>
      <c r="E195" s="8" t="n">
        <v>1200</v>
      </c>
      <c r="F195" s="8" t="n">
        <v>550</v>
      </c>
      <c r="G195" s="8" t="n"/>
      <c r="H195" s="8" t="n"/>
      <c r="I195" s="8" t="n"/>
      <c r="J195" s="8" t="n">
        <v>200</v>
      </c>
      <c r="K195" s="12" t="n">
        <v>1.15</v>
      </c>
      <c r="L195" s="8" t="inlineStr">
        <is>
          <t>Cái</t>
        </is>
      </c>
      <c r="M195" s="10" t="n">
        <v>6</v>
      </c>
      <c r="N195" s="10">
        <f>ROUND('00_TONG_HOP_BAO_GIA'!Q81, 0)</f>
        <v/>
      </c>
      <c r="O195" s="10">
        <f>ROUNDUP(N195*M195, -2)</f>
        <v/>
      </c>
      <c r="P195" s="9" t="inlineStr">
        <is>
          <t>- Van ngăn cháy động cơ - Tiêu chuẩn EI 90
- 2 đầu bích TDC - Gắn kèm động cơ ON-OFF 5Nm, Hãng KLB
- Sản xuất theo BCTN số 4651/VLXD-TBMT</t>
        </is>
      </c>
    </row>
    <row r="196">
      <c r="A196" s="8" t="n"/>
      <c r="B196" s="9" t="inlineStr">
        <is>
          <t>Van chặn lửa MFD, EI60 MFD 1200x600</t>
        </is>
      </c>
      <c r="C196" s="8" t="inlineStr">
        <is>
          <t>SWIND-1.03-MFD-EI90</t>
        </is>
      </c>
      <c r="D196" s="8" t="inlineStr">
        <is>
          <t>SWIND</t>
        </is>
      </c>
      <c r="E196" s="8" t="n">
        <v>1200</v>
      </c>
      <c r="F196" s="8" t="n">
        <v>600</v>
      </c>
      <c r="G196" s="8" t="n"/>
      <c r="H196" s="8" t="n"/>
      <c r="I196" s="8" t="n"/>
      <c r="J196" s="8" t="n">
        <v>200</v>
      </c>
      <c r="K196" s="12" t="n">
        <v>1.15</v>
      </c>
      <c r="L196" s="8" t="inlineStr">
        <is>
          <t>Cái</t>
        </is>
      </c>
      <c r="M196" s="10" t="n">
        <v>8</v>
      </c>
      <c r="N196" s="10">
        <f>ROUND('00_TONG_HOP_BAO_GIA'!Q82, 0)</f>
        <v/>
      </c>
      <c r="O196" s="10">
        <f>ROUNDUP(N196*M196, -2)</f>
        <v/>
      </c>
      <c r="P196" s="9" t="inlineStr">
        <is>
          <t>- Van ngăn cháy động cơ - Tiêu chuẩn EI 90
- 2 đầu bích TDC - Gắn kèm động cơ ON-OFF 5Nm, Hãng KLB
- Sản xuất theo BCTN số 4651/VLXD-TBMT</t>
        </is>
      </c>
    </row>
    <row r="197">
      <c r="A197" s="8" t="n"/>
      <c r="B197" s="9" t="inlineStr">
        <is>
          <t>Van chặn lửa MFD, EI60 MFD 1250x500</t>
        </is>
      </c>
      <c r="C197" s="8" t="inlineStr">
        <is>
          <t>SWIND-1.03-MFD-EI90</t>
        </is>
      </c>
      <c r="D197" s="8" t="inlineStr">
        <is>
          <t>SWIND</t>
        </is>
      </c>
      <c r="E197" s="8" t="n">
        <v>1250</v>
      </c>
      <c r="F197" s="8" t="n">
        <v>500</v>
      </c>
      <c r="G197" s="8" t="n"/>
      <c r="H197" s="8" t="n"/>
      <c r="I197" s="8" t="n"/>
      <c r="J197" s="8" t="n">
        <v>200</v>
      </c>
      <c r="K197" s="12" t="n">
        <v>1.15</v>
      </c>
      <c r="L197" s="8" t="inlineStr">
        <is>
          <t>Cái</t>
        </is>
      </c>
      <c r="M197" s="10" t="n">
        <v>6</v>
      </c>
      <c r="N197" s="10">
        <f>ROUND('00_TONG_HOP_BAO_GIA'!Q83, 0)</f>
        <v/>
      </c>
      <c r="O197" s="10">
        <f>ROUNDUP(N197*M197, -2)</f>
        <v/>
      </c>
      <c r="P197" s="9" t="inlineStr">
        <is>
          <t>- Van ngăn cháy động cơ - Tiêu chuẩn EI 90
- 2 đầu bích TDC - Gắn kèm động cơ ON-OFF 5Nm, Hãng KLB
- Sản xuất theo BCTN số 4651/VLXD-TBMT</t>
        </is>
      </c>
    </row>
    <row r="198">
      <c r="A198" s="8" t="n"/>
      <c r="B198" s="9" t="inlineStr">
        <is>
          <t>Van chặn lửa MFD, EI60 MFD 1300x400</t>
        </is>
      </c>
      <c r="C198" s="8" t="inlineStr">
        <is>
          <t>SWIND-1.03-MFD-EI90</t>
        </is>
      </c>
      <c r="D198" s="8" t="inlineStr">
        <is>
          <t>SWIND</t>
        </is>
      </c>
      <c r="E198" s="8" t="n">
        <v>1300</v>
      </c>
      <c r="F198" s="8" t="n">
        <v>400</v>
      </c>
      <c r="G198" s="8" t="n"/>
      <c r="H198" s="8" t="n"/>
      <c r="I198" s="8" t="n"/>
      <c r="J198" s="8" t="n">
        <v>200</v>
      </c>
      <c r="K198" s="12" t="n">
        <v>1.15</v>
      </c>
      <c r="L198" s="8" t="inlineStr">
        <is>
          <t>Cái</t>
        </is>
      </c>
      <c r="M198" s="10" t="n">
        <v>4</v>
      </c>
      <c r="N198" s="10">
        <f>ROUND('00_TONG_HOP_BAO_GIA'!Q84, 0)</f>
        <v/>
      </c>
      <c r="O198" s="10">
        <f>ROUNDUP(N198*M198, -2)</f>
        <v/>
      </c>
      <c r="P198" s="9" t="inlineStr">
        <is>
          <t>- Van ngăn cháy động cơ - Tiêu chuẩn EI 90
- 2 đầu bích TDC - Gắn kèm động cơ ON-OFF 5Nm, Hãng KLB
- Sản xuất theo BCTN số 4651/VLXD-TBMT</t>
        </is>
      </c>
    </row>
    <row r="199">
      <c r="A199" s="8" t="n"/>
      <c r="B199" s="9" t="inlineStr">
        <is>
          <t>Van chặn lửa MFD, EI60 MFD 1300x500</t>
        </is>
      </c>
      <c r="C199" s="8" t="inlineStr">
        <is>
          <t>SWIND-1.03-MFD-EI90</t>
        </is>
      </c>
      <c r="D199" s="8" t="inlineStr">
        <is>
          <t>SWIND</t>
        </is>
      </c>
      <c r="E199" s="8" t="n">
        <v>1300</v>
      </c>
      <c r="F199" s="8" t="n">
        <v>500</v>
      </c>
      <c r="G199" s="8" t="n"/>
      <c r="H199" s="8" t="n"/>
      <c r="I199" s="8" t="n"/>
      <c r="J199" s="8" t="n">
        <v>200</v>
      </c>
      <c r="K199" s="12" t="n">
        <v>1.15</v>
      </c>
      <c r="L199" s="8" t="inlineStr">
        <is>
          <t>Cái</t>
        </is>
      </c>
      <c r="M199" s="10" t="n">
        <v>5</v>
      </c>
      <c r="N199" s="10">
        <f>ROUND('00_TONG_HOP_BAO_GIA'!Q85, 0)</f>
        <v/>
      </c>
      <c r="O199" s="10">
        <f>ROUNDUP(N199*M199, -2)</f>
        <v/>
      </c>
      <c r="P199" s="9" t="inlineStr">
        <is>
          <t>- Van ngăn cháy động cơ - Tiêu chuẩn EI 90
- 2 đầu bích TDC - Gắn kèm động cơ ON-OFF 5Nm, Hãng KLB
- Sản xuất theo BCTN số 4651/VLXD-TBMT</t>
        </is>
      </c>
    </row>
    <row r="200">
      <c r="A200" s="8" t="n"/>
      <c r="B200" s="9" t="inlineStr">
        <is>
          <t>Van chặn lửa MFD, EI60 MFD 1300x600</t>
        </is>
      </c>
      <c r="C200" s="8" t="inlineStr">
        <is>
          <t>SWIND-1.03-MFD-EI90</t>
        </is>
      </c>
      <c r="D200" s="8" t="inlineStr">
        <is>
          <t>SWIND</t>
        </is>
      </c>
      <c r="E200" s="8" t="n">
        <v>1300</v>
      </c>
      <c r="F200" s="8" t="n">
        <v>600</v>
      </c>
      <c r="G200" s="8" t="n"/>
      <c r="H200" s="8" t="n"/>
      <c r="I200" s="8" t="n"/>
      <c r="J200" s="8" t="n">
        <v>200</v>
      </c>
      <c r="K200" s="12" t="n">
        <v>1.15</v>
      </c>
      <c r="L200" s="8" t="inlineStr">
        <is>
          <t>Cái</t>
        </is>
      </c>
      <c r="M200" s="10" t="n">
        <v>4</v>
      </c>
      <c r="N200" s="10">
        <f>ROUND('00_TONG_HOP_BAO_GIA'!Q86, 0)</f>
        <v/>
      </c>
      <c r="O200" s="10">
        <f>ROUNDUP(N200*M200, -2)</f>
        <v/>
      </c>
      <c r="P200" s="9" t="inlineStr">
        <is>
          <t>- Van ngăn cháy động cơ - Tiêu chuẩn EI 90
- 2 đầu bích TDC - Gắn kèm động cơ ON-OFF 5Nm, Hãng KLB
- Sản xuất theo BCTN số 4651/VLXD-TBMT</t>
        </is>
      </c>
    </row>
    <row r="201">
      <c r="A201" s="8" t="n"/>
      <c r="B201" s="9" t="inlineStr">
        <is>
          <t>Van chặn lửa MFD, EI60 MFD 1300x650</t>
        </is>
      </c>
      <c r="C201" s="8" t="inlineStr">
        <is>
          <t>SWIND-1.03-MFD-EI90</t>
        </is>
      </c>
      <c r="D201" s="8" t="inlineStr">
        <is>
          <t>SWIND</t>
        </is>
      </c>
      <c r="E201" s="8" t="n">
        <v>1300</v>
      </c>
      <c r="F201" s="8" t="n">
        <v>650</v>
      </c>
      <c r="G201" s="8" t="n"/>
      <c r="H201" s="8" t="n"/>
      <c r="I201" s="8" t="n"/>
      <c r="J201" s="8" t="n">
        <v>200</v>
      </c>
      <c r="K201" s="12" t="n">
        <v>1.15</v>
      </c>
      <c r="L201" s="8" t="inlineStr">
        <is>
          <t>Cái</t>
        </is>
      </c>
      <c r="M201" s="10" t="n">
        <v>6</v>
      </c>
      <c r="N201" s="10">
        <f>ROUND('00_TONG_HOP_BAO_GIA'!Q87, 0)</f>
        <v/>
      </c>
      <c r="O201" s="10">
        <f>ROUNDUP(N201*M201, -2)</f>
        <v/>
      </c>
      <c r="P201" s="9" t="inlineStr">
        <is>
          <t>- Van ngăn cháy động cơ - Tiêu chuẩn EI 90
- 2 đầu bích TDC - Gắn kèm động cơ ON-OFF 5Nm, Hãng KLB
- Sản xuất theo BCTN số 4651/VLXD-TBMT</t>
        </is>
      </c>
    </row>
    <row r="202">
      <c r="A202" s="8" t="n"/>
      <c r="B202" s="9" t="inlineStr">
        <is>
          <t>Van chặn lửa MFD, EI60 MFD 1350x550</t>
        </is>
      </c>
      <c r="C202" s="8" t="inlineStr">
        <is>
          <t>SWIND-1.03-MFD-EI90</t>
        </is>
      </c>
      <c r="D202" s="8" t="inlineStr">
        <is>
          <t>SWIND</t>
        </is>
      </c>
      <c r="E202" s="8" t="n">
        <v>1350</v>
      </c>
      <c r="F202" s="8" t="n">
        <v>550</v>
      </c>
      <c r="G202" s="8" t="n"/>
      <c r="H202" s="8" t="n"/>
      <c r="I202" s="8" t="n"/>
      <c r="J202" s="8" t="n">
        <v>200</v>
      </c>
      <c r="K202" s="12" t="n">
        <v>1.15</v>
      </c>
      <c r="L202" s="8" t="inlineStr">
        <is>
          <t>Cái</t>
        </is>
      </c>
      <c r="M202" s="10" t="n">
        <v>4</v>
      </c>
      <c r="N202" s="10">
        <f>ROUND('00_TONG_HOP_BAO_GIA'!Q88, 0)</f>
        <v/>
      </c>
      <c r="O202" s="10">
        <f>ROUNDUP(N202*M202, -2)</f>
        <v/>
      </c>
      <c r="P202" s="9" t="inlineStr">
        <is>
          <t>- Van ngăn cháy động cơ - Tiêu chuẩn EI 90
- 2 đầu bích TDC - Gắn kèm động cơ ON-OFF 5Nm, Hãng KLB
- Sản xuất theo BCTN số 4651/VLXD-TBMT</t>
        </is>
      </c>
    </row>
    <row r="203">
      <c r="A203" s="8" t="n"/>
      <c r="B203" s="9" t="inlineStr">
        <is>
          <t>Van chặn lửa MFD, EI60 MFD 1350x600</t>
        </is>
      </c>
      <c r="C203" s="8" t="inlineStr">
        <is>
          <t>SWIND-1.03-MFD-EI90</t>
        </is>
      </c>
      <c r="D203" s="8" t="inlineStr">
        <is>
          <t>SWIND</t>
        </is>
      </c>
      <c r="E203" s="8" t="n">
        <v>1350</v>
      </c>
      <c r="F203" s="8" t="n">
        <v>600</v>
      </c>
      <c r="G203" s="8" t="n"/>
      <c r="H203" s="8" t="n"/>
      <c r="I203" s="8" t="n"/>
      <c r="J203" s="8" t="n">
        <v>200</v>
      </c>
      <c r="K203" s="12" t="n">
        <v>1.15</v>
      </c>
      <c r="L203" s="8" t="inlineStr">
        <is>
          <t>Cái</t>
        </is>
      </c>
      <c r="M203" s="10" t="n">
        <v>8</v>
      </c>
      <c r="N203" s="10">
        <f>ROUND('00_TONG_HOP_BAO_GIA'!Q89, 0)</f>
        <v/>
      </c>
      <c r="O203" s="10">
        <f>ROUNDUP(N203*M203, -2)</f>
        <v/>
      </c>
      <c r="P203" s="9" t="inlineStr">
        <is>
          <t>- Van ngăn cháy động cơ - Tiêu chuẩn EI 90
- 2 đầu bích TDC - Gắn kèm động cơ ON-OFF 5Nm, Hãng KLB
- Sản xuất theo BCTN số 4651/VLXD-TBMT</t>
        </is>
      </c>
    </row>
    <row r="204">
      <c r="A204" s="6" t="n"/>
      <c r="B204" s="7" t="inlineStr">
        <is>
          <t>Đường ống hút khói &amp; cấp gió tươi hầm</t>
        </is>
      </c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</row>
    <row r="205">
      <c r="A205" s="6" t="n"/>
      <c r="B205" s="7" t="inlineStr">
        <is>
          <t>Ống gió chống cháy EI60</t>
        </is>
      </c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</row>
    <row r="206">
      <c r="A206" s="8" t="n"/>
      <c r="B206" s="9" t="inlineStr">
        <is>
          <t>Ống gió chống cháy EI60 400x300, tole dày 0.75mm</t>
        </is>
      </c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inlineStr">
        <is>
          <t>m</t>
        </is>
      </c>
      <c r="M206" s="10" t="n">
        <v>564</v>
      </c>
      <c r="N206" s="11" t="n"/>
      <c r="O206" s="11" t="n"/>
      <c r="P206" s="9" t="n"/>
    </row>
    <row r="207">
      <c r="A207" s="8" t="n"/>
      <c r="B207" s="9" t="inlineStr">
        <is>
          <t>Ống gió chống cháy EI60 500x350, tole dày 0.75mm</t>
        </is>
      </c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inlineStr">
        <is>
          <t>m</t>
        </is>
      </c>
      <c r="M207" s="10" t="n">
        <v>142</v>
      </c>
      <c r="N207" s="11" t="n"/>
      <c r="O207" s="11" t="n"/>
      <c r="P207" s="9" t="n"/>
    </row>
    <row r="208">
      <c r="A208" s="8" t="n"/>
      <c r="B208" s="9" t="inlineStr">
        <is>
          <t>Ống gió chống cháy EI60 600x300, tole dày 0.75mm</t>
        </is>
      </c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inlineStr">
        <is>
          <t>m</t>
        </is>
      </c>
      <c r="M208" s="10" t="n">
        <v>65</v>
      </c>
      <c r="N208" s="11" t="n"/>
      <c r="O208" s="11" t="n"/>
      <c r="P208" s="9" t="n"/>
    </row>
    <row r="209">
      <c r="A209" s="8" t="n"/>
      <c r="B209" s="9" t="inlineStr">
        <is>
          <t>Ống gió chống cháy EI60 650x300, tole dày 0.75mm</t>
        </is>
      </c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inlineStr">
        <is>
          <t>m</t>
        </is>
      </c>
      <c r="M209" s="10" t="n">
        <v>402</v>
      </c>
      <c r="N209" s="11" t="n"/>
      <c r="O209" s="11" t="n"/>
      <c r="P209" s="9" t="n"/>
    </row>
    <row r="210">
      <c r="A210" s="8" t="n"/>
      <c r="B210" s="9" t="inlineStr">
        <is>
          <t>Ống gió chống cháy EI60 700x300, tole dày 0.75mm</t>
        </is>
      </c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inlineStr">
        <is>
          <t>m</t>
        </is>
      </c>
      <c r="M210" s="10" t="n">
        <v>10</v>
      </c>
      <c r="N210" s="11" t="n"/>
      <c r="O210" s="11" t="n"/>
      <c r="P210" s="9" t="n"/>
    </row>
    <row r="211">
      <c r="A211" s="8" t="n"/>
      <c r="B211" s="9" t="inlineStr">
        <is>
          <t>Ống gió chống cháy EI60 700x350, tole dày 0.75mm</t>
        </is>
      </c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inlineStr">
        <is>
          <t>m</t>
        </is>
      </c>
      <c r="M211" s="10" t="n">
        <v>404</v>
      </c>
      <c r="N211" s="11" t="n"/>
      <c r="O211" s="11" t="n"/>
      <c r="P211" s="9" t="n"/>
    </row>
    <row r="212">
      <c r="A212" s="8" t="n"/>
      <c r="B212" s="9" t="inlineStr">
        <is>
          <t>Ống gió chống cháy EI60 700x450, tole dày 0.75mm</t>
        </is>
      </c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inlineStr">
        <is>
          <t>m</t>
        </is>
      </c>
      <c r="M212" s="10" t="n">
        <v>7</v>
      </c>
      <c r="N212" s="11" t="n"/>
      <c r="O212" s="11" t="n"/>
      <c r="P212" s="9" t="n"/>
    </row>
    <row r="213">
      <c r="A213" s="8" t="n"/>
      <c r="B213" s="9" t="inlineStr">
        <is>
          <t>Ống gió chống cháy EI60 800x350, tole dày 0.75mm</t>
        </is>
      </c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inlineStr">
        <is>
          <t>m</t>
        </is>
      </c>
      <c r="M213" s="10" t="n">
        <v>27</v>
      </c>
      <c r="N213" s="11" t="n"/>
      <c r="O213" s="11" t="n"/>
      <c r="P213" s="9" t="n"/>
    </row>
    <row r="214">
      <c r="A214" s="8" t="n"/>
      <c r="B214" s="9" t="inlineStr">
        <is>
          <t>Ống gió chống cháy EI60 800x400, tole dày 0.75mm</t>
        </is>
      </c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inlineStr">
        <is>
          <t>m</t>
        </is>
      </c>
      <c r="M214" s="10" t="n">
        <v>16</v>
      </c>
      <c r="N214" s="11" t="n"/>
      <c r="O214" s="11" t="n"/>
      <c r="P214" s="9" t="n"/>
    </row>
    <row r="215">
      <c r="A215" s="8" t="n"/>
      <c r="B215" s="9" t="inlineStr">
        <is>
          <t>Ống gió chống cháy EI60 900x350, tole dày 0.75mm</t>
        </is>
      </c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inlineStr">
        <is>
          <t>m</t>
        </is>
      </c>
      <c r="M215" s="10" t="n">
        <v>293</v>
      </c>
      <c r="N215" s="11" t="n"/>
      <c r="O215" s="11" t="n"/>
      <c r="P215" s="9" t="n"/>
    </row>
    <row r="216">
      <c r="A216" s="8" t="n"/>
      <c r="B216" s="9" t="inlineStr">
        <is>
          <t>Ống gió chống cháy EI60 900x400, tole dày 0.75mm</t>
        </is>
      </c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inlineStr">
        <is>
          <t>m</t>
        </is>
      </c>
      <c r="M216" s="10" t="n">
        <v>122</v>
      </c>
      <c r="N216" s="11" t="n"/>
      <c r="O216" s="11" t="n"/>
      <c r="P216" s="9" t="n"/>
    </row>
    <row r="217">
      <c r="A217" s="8" t="n"/>
      <c r="B217" s="9" t="inlineStr">
        <is>
          <t>Ống gió chống cháy EI60 900x450, tole dày 0.75mm</t>
        </is>
      </c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inlineStr">
        <is>
          <t>m</t>
        </is>
      </c>
      <c r="M217" s="10" t="n">
        <v>45</v>
      </c>
      <c r="N217" s="11" t="n"/>
      <c r="O217" s="11" t="n"/>
      <c r="P217" s="9" t="n"/>
    </row>
    <row r="218">
      <c r="A218" s="8" t="n"/>
      <c r="B218" s="9" t="inlineStr">
        <is>
          <t>Ống gió chống cháy EI60 900x500, tole dày 0.75mm</t>
        </is>
      </c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inlineStr">
        <is>
          <t>m</t>
        </is>
      </c>
      <c r="M218" s="10" t="n">
        <v>43</v>
      </c>
      <c r="N218" s="11" t="n"/>
      <c r="O218" s="11" t="n"/>
      <c r="P218" s="9" t="n"/>
    </row>
    <row r="219">
      <c r="A219" s="8" t="n"/>
      <c r="B219" s="9" t="inlineStr">
        <is>
          <t>Ống gió chống cháy EI60 950x400, tole dày 0.75mm</t>
        </is>
      </c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inlineStr">
        <is>
          <t>m</t>
        </is>
      </c>
      <c r="M219" s="10" t="n">
        <v>17</v>
      </c>
      <c r="N219" s="11" t="n"/>
      <c r="O219" s="11" t="n"/>
      <c r="P219" s="9" t="n"/>
    </row>
    <row r="220">
      <c r="A220" s="8" t="n"/>
      <c r="B220" s="9" t="inlineStr">
        <is>
          <t>Ống gió chống cháy EI60 950x500, tole dày 0.75mm</t>
        </is>
      </c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inlineStr">
        <is>
          <t>m</t>
        </is>
      </c>
      <c r="M220" s="10" t="n">
        <v>9</v>
      </c>
      <c r="N220" s="11" t="n"/>
      <c r="O220" s="11" t="n"/>
      <c r="P220" s="9" t="n"/>
    </row>
    <row r="221">
      <c r="A221" s="8" t="n"/>
      <c r="B221" s="9" t="inlineStr">
        <is>
          <t>Ống gió chống cháy EI60 1000x350, tole dày 0.75mm</t>
        </is>
      </c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inlineStr">
        <is>
          <t>m</t>
        </is>
      </c>
      <c r="M221" s="10" t="n">
        <v>58</v>
      </c>
      <c r="N221" s="11" t="n"/>
      <c r="O221" s="11" t="n"/>
      <c r="P221" s="9" t="n"/>
    </row>
    <row r="222">
      <c r="A222" s="8" t="n"/>
      <c r="B222" s="9" t="inlineStr">
        <is>
          <t>Ống gió chống cháy EI60 1000x400, tole dày 0.75mm</t>
        </is>
      </c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inlineStr">
        <is>
          <t>m</t>
        </is>
      </c>
      <c r="M222" s="10" t="n">
        <v>71</v>
      </c>
      <c r="N222" s="11" t="n"/>
      <c r="O222" s="11" t="n"/>
      <c r="P222" s="9" t="n"/>
    </row>
    <row r="223">
      <c r="A223" s="8" t="n"/>
      <c r="B223" s="9" t="inlineStr">
        <is>
          <t>Ống gió chống cháy EI60 1000x450, tole dày 0.75mm</t>
        </is>
      </c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inlineStr">
        <is>
          <t>m</t>
        </is>
      </c>
      <c r="M223" s="10" t="n">
        <v>175</v>
      </c>
      <c r="N223" s="11" t="n"/>
      <c r="O223" s="11" t="n"/>
      <c r="P223" s="9" t="n"/>
    </row>
    <row r="224">
      <c r="A224" s="8" t="n"/>
      <c r="B224" s="9" t="inlineStr">
        <is>
          <t>Ống gió chống cháy EI60 1000x500, tole dày 0.75mm</t>
        </is>
      </c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inlineStr">
        <is>
          <t>m</t>
        </is>
      </c>
      <c r="M224" s="10" t="n">
        <v>79</v>
      </c>
      <c r="N224" s="11" t="n"/>
      <c r="O224" s="11" t="n"/>
      <c r="P224" s="9" t="n"/>
    </row>
    <row r="225">
      <c r="A225" s="8" t="n"/>
      <c r="B225" s="9" t="inlineStr">
        <is>
          <t>Ống gió chống cháy EI60 1050x300, tole dày 0.75mm</t>
        </is>
      </c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inlineStr">
        <is>
          <t>m</t>
        </is>
      </c>
      <c r="M225" s="10" t="n">
        <v>27</v>
      </c>
      <c r="N225" s="11" t="n"/>
      <c r="O225" s="11" t="n"/>
      <c r="P225" s="9" t="n"/>
    </row>
    <row r="226">
      <c r="A226" s="8" t="n"/>
      <c r="B226" s="9" t="inlineStr">
        <is>
          <t>Ống gió chống cháy EI60 1050x350, tole dày 0.75mm</t>
        </is>
      </c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inlineStr">
        <is>
          <t>m</t>
        </is>
      </c>
      <c r="M226" s="10" t="n">
        <v>16</v>
      </c>
      <c r="N226" s="11" t="n"/>
      <c r="O226" s="11" t="n"/>
      <c r="P226" s="9" t="n"/>
    </row>
    <row r="227">
      <c r="A227" s="8" t="n"/>
      <c r="B227" s="9" t="inlineStr">
        <is>
          <t>Ống gió chống cháy EI60 1050x400, tole dày 0.75mm</t>
        </is>
      </c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inlineStr">
        <is>
          <t>m</t>
        </is>
      </c>
      <c r="M227" s="10" t="n">
        <v>16</v>
      </c>
      <c r="N227" s="11" t="n"/>
      <c r="O227" s="11" t="n"/>
      <c r="P227" s="9" t="n"/>
    </row>
    <row r="228">
      <c r="A228" s="8" t="n"/>
      <c r="B228" s="9" t="inlineStr">
        <is>
          <t>Ống gió chống cháy EI60 1050x500, tole dày 0.75mm</t>
        </is>
      </c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inlineStr">
        <is>
          <t>m</t>
        </is>
      </c>
      <c r="M228" s="10" t="n">
        <v>77</v>
      </c>
      <c r="N228" s="11" t="n"/>
      <c r="O228" s="11" t="n"/>
      <c r="P228" s="9" t="n"/>
    </row>
    <row r="229">
      <c r="A229" s="8" t="n"/>
      <c r="B229" s="9" t="inlineStr">
        <is>
          <t>Ống gió chống cháy EI60 1050x550, tole dày 0.75mm</t>
        </is>
      </c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inlineStr">
        <is>
          <t>m</t>
        </is>
      </c>
      <c r="M229" s="10" t="n">
        <v>28</v>
      </c>
      <c r="N229" s="11" t="n"/>
      <c r="O229" s="11" t="n"/>
      <c r="P229" s="9" t="n"/>
    </row>
    <row r="230">
      <c r="A230" s="8" t="n"/>
      <c r="B230" s="9" t="inlineStr">
        <is>
          <t>Ống gió chống cháy EI60 1050x600, tole dày 0.75mm</t>
        </is>
      </c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inlineStr">
        <is>
          <t>m</t>
        </is>
      </c>
      <c r="M230" s="10" t="n">
        <v>28</v>
      </c>
      <c r="N230" s="11" t="n"/>
      <c r="O230" s="11" t="n"/>
      <c r="P230" s="9" t="n"/>
    </row>
    <row r="231">
      <c r="A231" s="8" t="n"/>
      <c r="B231" s="9" t="inlineStr">
        <is>
          <t>Ống gió chống cháy EI60 1100x300, tole dày 0.75mm</t>
        </is>
      </c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inlineStr">
        <is>
          <t>m</t>
        </is>
      </c>
      <c r="M231" s="10" t="n">
        <v>48</v>
      </c>
      <c r="N231" s="11" t="n"/>
      <c r="O231" s="11" t="n"/>
      <c r="P231" s="9" t="n"/>
    </row>
    <row r="232">
      <c r="A232" s="8" t="n"/>
      <c r="B232" s="9" t="inlineStr">
        <is>
          <t>Ống gió chống cháy EI60 1100x350, tole dày 0.75mm</t>
        </is>
      </c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inlineStr">
        <is>
          <t>m</t>
        </is>
      </c>
      <c r="M232" s="10" t="n">
        <v>37</v>
      </c>
      <c r="N232" s="11" t="n"/>
      <c r="O232" s="11" t="n"/>
      <c r="P232" s="9" t="n"/>
    </row>
    <row r="233">
      <c r="A233" s="8" t="n"/>
      <c r="B233" s="9" t="inlineStr">
        <is>
          <t>Ống gió chống cháy EI60 1100x400, tole dày 0.75mm</t>
        </is>
      </c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inlineStr">
        <is>
          <t>m</t>
        </is>
      </c>
      <c r="M233" s="10" t="n">
        <v>9</v>
      </c>
      <c r="N233" s="11" t="n"/>
      <c r="O233" s="11" t="n"/>
      <c r="P233" s="9" t="n"/>
    </row>
    <row r="234">
      <c r="A234" s="8" t="n"/>
      <c r="B234" s="9" t="inlineStr">
        <is>
          <t>Ống gió chống cháy EI60 1100x450, tole dày 0.75mm</t>
        </is>
      </c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inlineStr">
        <is>
          <t>m</t>
        </is>
      </c>
      <c r="M234" s="10" t="n">
        <v>132</v>
      </c>
      <c r="N234" s="11" t="n"/>
      <c r="O234" s="11" t="n"/>
      <c r="P234" s="9" t="n"/>
    </row>
    <row r="235">
      <c r="A235" s="8" t="n"/>
      <c r="B235" s="9" t="inlineStr">
        <is>
          <t>Ống gió chống cháy EI60 1100x500, tole dày 0.75mm</t>
        </is>
      </c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inlineStr">
        <is>
          <t>m</t>
        </is>
      </c>
      <c r="M235" s="10" t="n">
        <v>511</v>
      </c>
      <c r="N235" s="11" t="n"/>
      <c r="O235" s="11" t="n"/>
      <c r="P235" s="9" t="n"/>
    </row>
    <row r="236">
      <c r="A236" s="8" t="n"/>
      <c r="B236" s="9" t="inlineStr">
        <is>
          <t>Ống gió chống cháy EI60 1100x550, tole dày 0.75mm</t>
        </is>
      </c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inlineStr">
        <is>
          <t>m</t>
        </is>
      </c>
      <c r="M236" s="10" t="n">
        <v>108</v>
      </c>
      <c r="N236" s="11" t="n"/>
      <c r="O236" s="11" t="n"/>
      <c r="P236" s="9" t="n"/>
    </row>
    <row r="237">
      <c r="A237" s="8" t="n"/>
      <c r="B237" s="9" t="inlineStr">
        <is>
          <t>Ống gió chống cháy EI60 1100x600, tole dày 0.75mm</t>
        </is>
      </c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inlineStr">
        <is>
          <t>m</t>
        </is>
      </c>
      <c r="M237" s="10" t="n">
        <v>92</v>
      </c>
      <c r="N237" s="11" t="n"/>
      <c r="O237" s="11" t="n"/>
      <c r="P237" s="9" t="n"/>
    </row>
    <row r="238">
      <c r="A238" s="8" t="n"/>
      <c r="B238" s="9" t="inlineStr">
        <is>
          <t>Ống gió chống cháy EI60 1150x600, tole dày 0.75mm</t>
        </is>
      </c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inlineStr">
        <is>
          <t>m</t>
        </is>
      </c>
      <c r="M238" s="10" t="n">
        <v>18</v>
      </c>
      <c r="N238" s="11" t="n"/>
      <c r="O238" s="11" t="n"/>
      <c r="P238" s="9" t="n"/>
    </row>
    <row r="239">
      <c r="A239" s="8" t="n"/>
      <c r="B239" s="9" t="inlineStr">
        <is>
          <t>Ống gió chống cháy EI60 1200x350, tole dày 0.75mm</t>
        </is>
      </c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inlineStr">
        <is>
          <t>m</t>
        </is>
      </c>
      <c r="M239" s="10" t="n">
        <v>8</v>
      </c>
      <c r="N239" s="11" t="n"/>
      <c r="O239" s="11" t="n"/>
      <c r="P239" s="9" t="n"/>
    </row>
    <row r="240">
      <c r="A240" s="8" t="n"/>
      <c r="B240" s="9" t="inlineStr">
        <is>
          <t>Ống gió chống cháy EI60 1200x400, tole dày 0.75mm</t>
        </is>
      </c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inlineStr">
        <is>
          <t>m</t>
        </is>
      </c>
      <c r="M240" s="10" t="n">
        <v>20</v>
      </c>
      <c r="N240" s="11" t="n"/>
      <c r="O240" s="11" t="n"/>
      <c r="P240" s="9" t="n"/>
    </row>
    <row r="241">
      <c r="A241" s="8" t="n"/>
      <c r="B241" s="9" t="inlineStr">
        <is>
          <t>Ống gió chống cháy EI60 1200x450, tole dày 0.75mm</t>
        </is>
      </c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inlineStr">
        <is>
          <t>m</t>
        </is>
      </c>
      <c r="M241" s="10" t="n">
        <v>40</v>
      </c>
      <c r="N241" s="11" t="n"/>
      <c r="O241" s="11" t="n"/>
      <c r="P241" s="9" t="n"/>
    </row>
    <row r="242">
      <c r="A242" s="8" t="n"/>
      <c r="B242" s="9" t="inlineStr">
        <is>
          <t>Ống gió chống cháy EI60 1200x500, tole dày 0.75mm</t>
        </is>
      </c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inlineStr">
        <is>
          <t>m</t>
        </is>
      </c>
      <c r="M242" s="10" t="n">
        <v>100</v>
      </c>
      <c r="N242" s="11" t="n"/>
      <c r="O242" s="11" t="n"/>
      <c r="P242" s="9" t="n"/>
    </row>
    <row r="243">
      <c r="A243" s="8" t="n"/>
      <c r="B243" s="9" t="inlineStr">
        <is>
          <t>Ống gió chống cháy EI60 1200x550, tole dày 0.75mm</t>
        </is>
      </c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inlineStr">
        <is>
          <t>m</t>
        </is>
      </c>
      <c r="M243" s="10" t="n">
        <v>108</v>
      </c>
      <c r="N243" s="11" t="n"/>
      <c r="O243" s="11" t="n"/>
      <c r="P243" s="9" t="n"/>
    </row>
    <row r="244">
      <c r="A244" s="8" t="n"/>
      <c r="B244" s="9" t="inlineStr">
        <is>
          <t>Ống gió chống cháy EI60 1200x600, tole dày 0.75mm</t>
        </is>
      </c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inlineStr">
        <is>
          <t>m</t>
        </is>
      </c>
      <c r="M244" s="10" t="n">
        <v>123</v>
      </c>
      <c r="N244" s="11" t="n"/>
      <c r="O244" s="11" t="n"/>
      <c r="P244" s="9" t="n"/>
    </row>
    <row r="245">
      <c r="A245" s="8" t="n"/>
      <c r="B245" s="9" t="inlineStr">
        <is>
          <t>Ống gió chống cháy EI60 1200x650, tole dày 0.75mm</t>
        </is>
      </c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inlineStr">
        <is>
          <t>m</t>
        </is>
      </c>
      <c r="M245" s="10" t="n">
        <v>3</v>
      </c>
      <c r="N245" s="11" t="n"/>
      <c r="O245" s="11" t="n"/>
      <c r="P245" s="9" t="n"/>
    </row>
    <row r="246">
      <c r="A246" s="8" t="n"/>
      <c r="B246" s="9" t="inlineStr">
        <is>
          <t>Ống gió chống cháy EI60 1200x800, tole dày 0.75mm</t>
        </is>
      </c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inlineStr">
        <is>
          <t>m</t>
        </is>
      </c>
      <c r="M246" s="10" t="n">
        <v>4</v>
      </c>
      <c r="N246" s="11" t="n"/>
      <c r="O246" s="11" t="n"/>
      <c r="P246" s="9" t="n"/>
    </row>
    <row r="247">
      <c r="A247" s="8" t="n"/>
      <c r="B247" s="9" t="inlineStr">
        <is>
          <t>Ống gió chống cháy EI60 1250x500, tole dày 0.75mm</t>
        </is>
      </c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inlineStr">
        <is>
          <t>m</t>
        </is>
      </c>
      <c r="M247" s="10" t="n">
        <v>53</v>
      </c>
      <c r="N247" s="11" t="n"/>
      <c r="O247" s="11" t="n"/>
      <c r="P247" s="9" t="n"/>
    </row>
    <row r="248">
      <c r="A248" s="8" t="n"/>
      <c r="B248" s="9" t="inlineStr">
        <is>
          <t>Ống gió chống cháy EI60 1300x400, tole dày 0.75mm</t>
        </is>
      </c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inlineStr">
        <is>
          <t>m</t>
        </is>
      </c>
      <c r="M248" s="10" t="n">
        <v>34</v>
      </c>
      <c r="N248" s="11" t="n"/>
      <c r="O248" s="11" t="n"/>
      <c r="P248" s="9" t="n"/>
    </row>
    <row r="249">
      <c r="A249" s="8" t="n"/>
      <c r="B249" s="9" t="inlineStr">
        <is>
          <t>Ống gió chống cháy EI60 1300x500, tole dày 0.75mm</t>
        </is>
      </c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inlineStr">
        <is>
          <t>m</t>
        </is>
      </c>
      <c r="M249" s="10" t="n">
        <v>35</v>
      </c>
      <c r="N249" s="11" t="n"/>
      <c r="O249" s="11" t="n"/>
      <c r="P249" s="9" t="n"/>
    </row>
    <row r="250">
      <c r="A250" s="8" t="n"/>
      <c r="B250" s="9" t="inlineStr">
        <is>
          <t>Ống gió chống cháy EI60 1300x550, tole dày 0.75mm</t>
        </is>
      </c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inlineStr">
        <is>
          <t>m</t>
        </is>
      </c>
      <c r="M250" s="10" t="n">
        <v>22</v>
      </c>
      <c r="N250" s="11" t="n"/>
      <c r="O250" s="11" t="n"/>
      <c r="P250" s="9" t="n"/>
    </row>
    <row r="251">
      <c r="A251" s="8" t="n"/>
      <c r="B251" s="9" t="inlineStr">
        <is>
          <t>Ống gió chống cháy EI60 1300x600, tole dày 0.75mm</t>
        </is>
      </c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inlineStr">
        <is>
          <t>m</t>
        </is>
      </c>
      <c r="M251" s="10" t="n">
        <v>56</v>
      </c>
      <c r="N251" s="11" t="n"/>
      <c r="O251" s="11" t="n"/>
      <c r="P251" s="9" t="n"/>
    </row>
    <row r="252">
      <c r="A252" s="8" t="n"/>
      <c r="B252" s="9" t="inlineStr">
        <is>
          <t>Ống gió chống cháy EI60 1300x650, tole dày 0.75mm</t>
        </is>
      </c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inlineStr">
        <is>
          <t>m</t>
        </is>
      </c>
      <c r="M252" s="10" t="n">
        <v>34</v>
      </c>
      <c r="N252" s="11" t="n"/>
      <c r="O252" s="11" t="n"/>
      <c r="P252" s="9" t="n"/>
    </row>
    <row r="253">
      <c r="A253" s="8" t="n"/>
      <c r="B253" s="9" t="inlineStr">
        <is>
          <t>Ống gió chống cháy EI60 1350x550, tole dày 0.75mm</t>
        </is>
      </c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inlineStr">
        <is>
          <t>m</t>
        </is>
      </c>
      <c r="M253" s="10" t="n">
        <v>34</v>
      </c>
      <c r="N253" s="11" t="n"/>
      <c r="O253" s="11" t="n"/>
      <c r="P253" s="9" t="n"/>
    </row>
    <row r="254">
      <c r="A254" s="8" t="n"/>
      <c r="B254" s="9" t="inlineStr">
        <is>
          <t>Ống gió chống cháy EI60 1350x600, tole dày 0.75mm</t>
        </is>
      </c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inlineStr">
        <is>
          <t>m</t>
        </is>
      </c>
      <c r="M254" s="10" t="n">
        <v>50</v>
      </c>
      <c r="N254" s="11" t="n"/>
      <c r="O254" s="11" t="n"/>
      <c r="P254" s="9" t="n"/>
    </row>
    <row r="255">
      <c r="A255" s="8" t="n"/>
      <c r="B255" s="9" t="inlineStr">
        <is>
          <t>Ống gió chống cháy EI60 1400x800, tole dày 0.75mm</t>
        </is>
      </c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inlineStr">
        <is>
          <t>m</t>
        </is>
      </c>
      <c r="M255" s="10" t="n">
        <v>6</v>
      </c>
      <c r="N255" s="11" t="n"/>
      <c r="O255" s="11" t="n"/>
      <c r="P255" s="9" t="n"/>
    </row>
    <row r="256">
      <c r="A256" s="8" t="n"/>
      <c r="B256" s="9" t="inlineStr">
        <is>
          <t>Ống gió chống cháy EI60 1500x700, tole dày 0.75mm</t>
        </is>
      </c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inlineStr">
        <is>
          <t>m</t>
        </is>
      </c>
      <c r="M256" s="10" t="n">
        <v>4</v>
      </c>
      <c r="N256" s="11" t="n"/>
      <c r="O256" s="11" t="n"/>
      <c r="P256" s="9" t="n"/>
    </row>
    <row r="257">
      <c r="A257" s="8" t="n"/>
      <c r="B257" s="9" t="inlineStr">
        <is>
          <t>Ống gió chống cháy EI60 1500x900, tole dày 0.75mm</t>
        </is>
      </c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inlineStr">
        <is>
          <t>m</t>
        </is>
      </c>
      <c r="M257" s="10" t="n">
        <v>14</v>
      </c>
      <c r="N257" s="11" t="n"/>
      <c r="O257" s="11" t="n"/>
      <c r="P257" s="9" t="n"/>
    </row>
    <row r="258">
      <c r="A258" s="8" t="n"/>
      <c r="B258" s="9" t="inlineStr">
        <is>
          <t>Phụ kiện lắp đặt ống gió (giảm, gót dày, chuyển vuông tròn...)</t>
        </is>
      </c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inlineStr">
        <is>
          <t>Lô</t>
        </is>
      </c>
      <c r="M258" s="10" t="n">
        <v>1</v>
      </c>
      <c r="N258" s="11" t="n"/>
      <c r="O258" s="11" t="n"/>
      <c r="P258" s="9" t="n"/>
    </row>
    <row r="259">
      <c r="A259" s="6" t="n"/>
      <c r="B259" s="7" t="inlineStr">
        <is>
          <t>Lắp đặt ống gió tole tráng kẽm, dày 0.57mm</t>
        </is>
      </c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</row>
    <row r="260">
      <c r="A260" s="8" t="n"/>
      <c r="B260" s="9" t="inlineStr">
        <is>
          <t>Lắp đặt ống gió tole tráng kẽm, dày 0.57mm 400x300</t>
        </is>
      </c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inlineStr">
        <is>
          <t>m</t>
        </is>
      </c>
      <c r="M260" s="10" t="n">
        <v>472</v>
      </c>
      <c r="N260" s="11" t="n"/>
      <c r="O260" s="11" t="n"/>
      <c r="P260" s="9" t="n"/>
    </row>
    <row r="261">
      <c r="A261" s="8" t="n"/>
      <c r="B261" s="9" t="inlineStr">
        <is>
          <t>Phụ kiện lắp đặt ống gió (giảm, gót dày, chuyển vuông tròn...)</t>
        </is>
      </c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inlineStr">
        <is>
          <t>Lô</t>
        </is>
      </c>
      <c r="M261" s="10" t="n">
        <v>1</v>
      </c>
      <c r="N261" s="11" t="n"/>
      <c r="O261" s="11" t="n"/>
      <c r="P261" s="9" t="n"/>
    </row>
    <row r="262">
      <c r="A262" s="6" t="n"/>
      <c r="B262" s="7" t="inlineStr">
        <is>
          <t>Lắp đặt ống gió tole tráng kẽm, dày 0.75mm</t>
        </is>
      </c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</row>
    <row r="263">
      <c r="A263" s="8" t="n"/>
      <c r="B263" s="9" t="inlineStr">
        <is>
          <t>Lắp đặt ống gió tole tráng kẽm, dày 0.75mm 600x200</t>
        </is>
      </c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inlineStr">
        <is>
          <t>m</t>
        </is>
      </c>
      <c r="M263" s="10" t="n">
        <v>123</v>
      </c>
      <c r="N263" s="11" t="n"/>
      <c r="O263" s="11" t="n"/>
      <c r="P263" s="9" t="n"/>
    </row>
    <row r="264">
      <c r="A264" s="8" t="n"/>
      <c r="B264" s="9" t="inlineStr">
        <is>
          <t>Lắp đặt ống gió tole tráng kẽm, dày 0.75mm 600x300</t>
        </is>
      </c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inlineStr">
        <is>
          <t>m</t>
        </is>
      </c>
      <c r="M264" s="10" t="n">
        <v>272</v>
      </c>
      <c r="N264" s="11" t="n"/>
      <c r="O264" s="11" t="n"/>
      <c r="P264" s="9" t="n"/>
    </row>
    <row r="265">
      <c r="A265" s="8" t="n"/>
      <c r="B265" s="9" t="inlineStr">
        <is>
          <t>Lắp đặt ống gió tole tráng kẽm, dày 0.75mm 600x350</t>
        </is>
      </c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inlineStr">
        <is>
          <t>m</t>
        </is>
      </c>
      <c r="M265" s="10" t="n">
        <v>269</v>
      </c>
      <c r="N265" s="11" t="n"/>
      <c r="O265" s="11" t="n"/>
      <c r="P265" s="9" t="n"/>
    </row>
    <row r="266">
      <c r="A266" s="8" t="n"/>
      <c r="B266" s="9" t="inlineStr">
        <is>
          <t>Lắp đặt ống gió tole tráng kẽm, dày 0.75mm 700x350</t>
        </is>
      </c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inlineStr">
        <is>
          <t>m</t>
        </is>
      </c>
      <c r="M266" s="10" t="n">
        <v>354</v>
      </c>
      <c r="N266" s="11" t="n"/>
      <c r="O266" s="11" t="n"/>
      <c r="P266" s="9" t="n"/>
    </row>
    <row r="267">
      <c r="A267" s="8" t="n"/>
      <c r="B267" s="9" t="inlineStr">
        <is>
          <t>Lắp đặt ống gió tole tráng kẽm, dày 0.75mm 800x350</t>
        </is>
      </c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inlineStr">
        <is>
          <t>m</t>
        </is>
      </c>
      <c r="M267" s="10" t="n">
        <v>143</v>
      </c>
      <c r="N267" s="11" t="n"/>
      <c r="O267" s="11" t="n"/>
      <c r="P267" s="9" t="n"/>
    </row>
    <row r="268">
      <c r="A268" s="8" t="n"/>
      <c r="B268" s="9" t="inlineStr">
        <is>
          <t>Lắp đặt ống gió tole tráng kẽm, dày 0.75mm 800x400</t>
        </is>
      </c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inlineStr">
        <is>
          <t>m</t>
        </is>
      </c>
      <c r="M268" s="10" t="n">
        <v>258</v>
      </c>
      <c r="N268" s="11" t="n"/>
      <c r="O268" s="11" t="n"/>
      <c r="P268" s="9" t="n"/>
    </row>
    <row r="269">
      <c r="A269" s="8" t="n"/>
      <c r="B269" s="9" t="inlineStr">
        <is>
          <t>Lắp đặt ống gió tole tráng kẽm, dày 0.75mm 850x350</t>
        </is>
      </c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inlineStr">
        <is>
          <t>m</t>
        </is>
      </c>
      <c r="M269" s="10" t="n">
        <v>25</v>
      </c>
      <c r="N269" s="11" t="n"/>
      <c r="O269" s="11" t="n"/>
      <c r="P269" s="9" t="n"/>
    </row>
    <row r="270">
      <c r="A270" s="8" t="n"/>
      <c r="B270" s="9" t="inlineStr">
        <is>
          <t>Lắp đặt ống gió tole tráng kẽm, dày 0.75mm 900x350</t>
        </is>
      </c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inlineStr">
        <is>
          <t>m</t>
        </is>
      </c>
      <c r="M270" s="10" t="n">
        <v>18</v>
      </c>
      <c r="N270" s="11" t="n"/>
      <c r="O270" s="11" t="n"/>
      <c r="P270" s="9" t="n"/>
    </row>
    <row r="271">
      <c r="A271" s="8" t="n"/>
      <c r="B271" s="9" t="inlineStr">
        <is>
          <t>Lắp đặt ống gió tole tráng kẽm, dày 0.75mm 900x400</t>
        </is>
      </c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inlineStr">
        <is>
          <t>m</t>
        </is>
      </c>
      <c r="M271" s="10" t="n">
        <v>57</v>
      </c>
      <c r="N271" s="11" t="n"/>
      <c r="O271" s="11" t="n"/>
      <c r="P271" s="9" t="n"/>
    </row>
    <row r="272">
      <c r="A272" s="8" t="n"/>
      <c r="B272" s="9" t="inlineStr">
        <is>
          <t>Lắp đặt ống gió tole tráng kẽm, dày 0.75mm 950x400</t>
        </is>
      </c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inlineStr">
        <is>
          <t>m</t>
        </is>
      </c>
      <c r="M272" s="10" t="n">
        <v>198</v>
      </c>
      <c r="N272" s="11" t="n"/>
      <c r="O272" s="11" t="n"/>
      <c r="P272" s="9" t="n"/>
    </row>
    <row r="273">
      <c r="A273" s="8" t="n"/>
      <c r="B273" s="9" t="inlineStr">
        <is>
          <t>Phụ kiện lắp đặt ống gió (giảm, gót dày, chuyển vuông tròn...)</t>
        </is>
      </c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inlineStr">
        <is>
          <t>Lô</t>
        </is>
      </c>
      <c r="M273" s="10" t="n">
        <v>1</v>
      </c>
      <c r="N273" s="11" t="n"/>
      <c r="O273" s="11" t="n"/>
      <c r="P273" s="9" t="n"/>
    </row>
    <row r="274">
      <c r="A274" s="6" t="n"/>
      <c r="B274" s="7" t="inlineStr">
        <is>
          <t>Lắp đặt ống gió tole tráng kẽm, dày 0.95mm</t>
        </is>
      </c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</row>
    <row r="275">
      <c r="A275" s="8" t="n"/>
      <c r="B275" s="9" t="inlineStr">
        <is>
          <t>Lắp đặt ống gió tole tráng kẽm, dày 0.95mm 1000x350</t>
        </is>
      </c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inlineStr">
        <is>
          <t>m</t>
        </is>
      </c>
      <c r="M275" s="10" t="n">
        <v>93</v>
      </c>
      <c r="N275" s="11" t="n"/>
      <c r="O275" s="11" t="n"/>
      <c r="P275" s="9" t="n"/>
    </row>
    <row r="276">
      <c r="A276" s="8" t="n"/>
      <c r="B276" s="9" t="inlineStr">
        <is>
          <t>Lắp đặt ống gió tole tráng kẽm, dày 0.95mm 1000x400</t>
        </is>
      </c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inlineStr">
        <is>
          <t>m</t>
        </is>
      </c>
      <c r="M276" s="10" t="n">
        <v>122</v>
      </c>
      <c r="N276" s="11" t="n"/>
      <c r="O276" s="11" t="n"/>
      <c r="P276" s="9" t="n"/>
    </row>
    <row r="277">
      <c r="A277" s="8" t="n"/>
      <c r="B277" s="9" t="inlineStr">
        <is>
          <t>Lắp đặt ống gió tole tráng kẽm, dày 0.95mm 1050x400</t>
        </is>
      </c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inlineStr">
        <is>
          <t>m</t>
        </is>
      </c>
      <c r="M277" s="10" t="n">
        <v>184</v>
      </c>
      <c r="N277" s="11" t="n"/>
      <c r="O277" s="11" t="n"/>
      <c r="P277" s="9" t="n"/>
    </row>
    <row r="278">
      <c r="A278" s="8" t="n"/>
      <c r="B278" s="9" t="inlineStr">
        <is>
          <t>Lắp đặt ống gió tole tráng kẽm, dày 0.95mm 1050x450</t>
        </is>
      </c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inlineStr">
        <is>
          <t>m</t>
        </is>
      </c>
      <c r="M278" s="10" t="n">
        <v>259</v>
      </c>
      <c r="N278" s="11" t="n"/>
      <c r="O278" s="11" t="n"/>
      <c r="P278" s="9" t="n"/>
    </row>
    <row r="279">
      <c r="A279" s="8" t="n"/>
      <c r="B279" s="9" t="inlineStr">
        <is>
          <t>Lắp đặt ống gió tole tráng kẽm, dày 0.95mm 1050x500</t>
        </is>
      </c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inlineStr">
        <is>
          <t>m</t>
        </is>
      </c>
      <c r="M279" s="10" t="n">
        <v>234</v>
      </c>
      <c r="N279" s="11" t="n"/>
      <c r="O279" s="11" t="n"/>
      <c r="P279" s="9" t="n"/>
    </row>
    <row r="280">
      <c r="A280" s="8" t="n"/>
      <c r="B280" s="9" t="inlineStr">
        <is>
          <t>Lắp đặt ống gió tole tráng kẽm, dày 0.95mm 1050x550</t>
        </is>
      </c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inlineStr">
        <is>
          <t>m</t>
        </is>
      </c>
      <c r="M280" s="10" t="n">
        <v>28</v>
      </c>
      <c r="N280" s="11" t="n"/>
      <c r="O280" s="11" t="n"/>
      <c r="P280" s="9" t="n"/>
    </row>
    <row r="281">
      <c r="A281" s="8" t="n"/>
      <c r="B281" s="9" t="inlineStr">
        <is>
          <t>Lắp đặt ống gió tole tráng kẽm, dày 0.95mm 1050x600</t>
        </is>
      </c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inlineStr">
        <is>
          <t>m</t>
        </is>
      </c>
      <c r="M281" s="10" t="n">
        <v>31</v>
      </c>
      <c r="N281" s="11" t="n"/>
      <c r="O281" s="11" t="n"/>
      <c r="P281" s="9" t="n"/>
    </row>
    <row r="282">
      <c r="A282" s="8" t="n"/>
      <c r="B282" s="9" t="inlineStr">
        <is>
          <t>Lắp đặt ống gió tole tráng kẽm, dày 0.95mm 1100x400</t>
        </is>
      </c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inlineStr">
        <is>
          <t>m</t>
        </is>
      </c>
      <c r="M282" s="10" t="n">
        <v>107</v>
      </c>
      <c r="N282" s="11" t="n"/>
      <c r="O282" s="11" t="n"/>
      <c r="P282" s="9" t="n"/>
    </row>
    <row r="283">
      <c r="A283" s="8" t="n"/>
      <c r="B283" s="9" t="inlineStr">
        <is>
          <t>Lắp đặt ống gió tole tráng kẽm, dày 0.95mm 1100x450</t>
        </is>
      </c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inlineStr">
        <is>
          <t>m</t>
        </is>
      </c>
      <c r="M283" s="10" t="n">
        <v>143</v>
      </c>
      <c r="N283" s="11" t="n"/>
      <c r="O283" s="11" t="n"/>
      <c r="P283" s="9" t="n"/>
    </row>
    <row r="284">
      <c r="A284" s="8" t="n"/>
      <c r="B284" s="9" t="inlineStr">
        <is>
          <t>Lắp đặt ống gió tole tráng kẽm, dày 0.95mm 1100x500</t>
        </is>
      </c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inlineStr">
        <is>
          <t>m</t>
        </is>
      </c>
      <c r="M284" s="10" t="n">
        <v>241</v>
      </c>
      <c r="N284" s="11" t="n"/>
      <c r="O284" s="11" t="n"/>
      <c r="P284" s="9" t="n"/>
    </row>
    <row r="285">
      <c r="A285" s="8" t="n"/>
      <c r="B285" s="9" t="inlineStr">
        <is>
          <t>Lắp đặt ống gió tole tráng kẽm, dày 0.95mm 1100x550</t>
        </is>
      </c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inlineStr">
        <is>
          <t>m</t>
        </is>
      </c>
      <c r="M285" s="10" t="n">
        <v>174</v>
      </c>
      <c r="N285" s="11" t="n"/>
      <c r="O285" s="11" t="n"/>
      <c r="P285" s="9" t="n"/>
    </row>
    <row r="286">
      <c r="A286" s="8" t="n"/>
      <c r="B286" s="9" t="inlineStr">
        <is>
          <t>Lắp đặt ống gió tole tráng kẽm, dày 0.95mm 1150x400</t>
        </is>
      </c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inlineStr">
        <is>
          <t>m</t>
        </is>
      </c>
      <c r="M286" s="10" t="n">
        <v>57</v>
      </c>
      <c r="N286" s="11" t="n"/>
      <c r="O286" s="11" t="n"/>
      <c r="P286" s="9" t="n"/>
    </row>
    <row r="287">
      <c r="A287" s="8" t="n"/>
      <c r="B287" s="9" t="inlineStr">
        <is>
          <t>Lắp đặt ống gió tole tráng kẽm, dày 0.95mm 1200x400</t>
        </is>
      </c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inlineStr">
        <is>
          <t>m</t>
        </is>
      </c>
      <c r="M287" s="10" t="n">
        <v>20</v>
      </c>
      <c r="N287" s="11" t="n"/>
      <c r="O287" s="11" t="n"/>
      <c r="P287" s="9" t="n"/>
    </row>
    <row r="288">
      <c r="A288" s="8" t="n"/>
      <c r="B288" s="9" t="inlineStr">
        <is>
          <t>Lắp đặt ống gió tole tráng kẽm, dày 0.95mm 1200x450</t>
        </is>
      </c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inlineStr">
        <is>
          <t>m</t>
        </is>
      </c>
      <c r="M288" s="10" t="n">
        <v>83</v>
      </c>
      <c r="N288" s="11" t="n"/>
      <c r="O288" s="11" t="n"/>
      <c r="P288" s="9" t="n"/>
    </row>
    <row r="289">
      <c r="A289" s="8" t="n"/>
      <c r="B289" s="9" t="inlineStr">
        <is>
          <t>Lắp đặt ống gió tole tráng kẽm, dày 0.95mm 1300x400</t>
        </is>
      </c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inlineStr">
        <is>
          <t>m</t>
        </is>
      </c>
      <c r="M289" s="10" t="n">
        <v>11</v>
      </c>
      <c r="N289" s="11" t="n"/>
      <c r="O289" s="11" t="n"/>
      <c r="P289" s="9" t="n"/>
    </row>
    <row r="290">
      <c r="A290" s="8" t="n"/>
      <c r="B290" s="9" t="inlineStr">
        <is>
          <t>Lắp đặt ống gió tole tráng kẽm, dày 0.95mm 1300x450</t>
        </is>
      </c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inlineStr">
        <is>
          <t>m</t>
        </is>
      </c>
      <c r="M290" s="10" t="n">
        <v>11</v>
      </c>
      <c r="N290" s="11" t="n"/>
      <c r="O290" s="11" t="n"/>
      <c r="P290" s="9" t="n"/>
    </row>
    <row r="291">
      <c r="A291" s="8" t="n"/>
      <c r="B291" s="9" t="inlineStr">
        <is>
          <t>Lắp đặt ống gió tole tráng kẽm, dày 0.95mm 1300x500</t>
        </is>
      </c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inlineStr">
        <is>
          <t>m</t>
        </is>
      </c>
      <c r="M291" s="10" t="n">
        <v>60</v>
      </c>
      <c r="N291" s="11" t="n"/>
      <c r="O291" s="11" t="n"/>
      <c r="P291" s="9" t="n"/>
    </row>
    <row r="292">
      <c r="A292" s="8" t="n"/>
      <c r="B292" s="9" t="inlineStr">
        <is>
          <t>Phụ kiện lắp đặt ống gió (giảm, gót dày, chuyển vuông tròn...)</t>
        </is>
      </c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inlineStr">
        <is>
          <t>Lô</t>
        </is>
      </c>
      <c r="M292" s="10" t="n">
        <v>1</v>
      </c>
      <c r="N292" s="11" t="n"/>
      <c r="O292" s="11" t="n"/>
      <c r="P292" s="9" t="n"/>
    </row>
    <row r="293">
      <c r="A293" s="8" t="n"/>
      <c r="B293" s="9" t="inlineStr">
        <is>
          <t>Vật tư phụ</t>
        </is>
      </c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inlineStr">
        <is>
          <t>Lô</t>
        </is>
      </c>
      <c r="M293" s="10" t="n">
        <v>1</v>
      </c>
      <c r="N293" s="11" t="n"/>
      <c r="O293" s="11" t="n"/>
      <c r="P293" s="9" t="n"/>
    </row>
    <row r="294">
      <c r="A294" s="6" t="n"/>
      <c r="B294" s="7" t="inlineStr">
        <is>
          <t>Cáp điện điều khiển thiết bị</t>
        </is>
      </c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</row>
    <row r="295">
      <c r="A295" s="8" t="n"/>
      <c r="B295" s="9" t="inlineStr">
        <is>
          <t>2Cx1.5mm2 Cu/pvc/Fr (dây chống cháy)</t>
        </is>
      </c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inlineStr">
        <is>
          <t>m</t>
        </is>
      </c>
      <c r="M295" s="10" t="n">
        <v>5786</v>
      </c>
      <c r="N295" s="11" t="n"/>
      <c r="O295" s="11" t="n"/>
      <c r="P295" s="9" t="n"/>
    </row>
    <row r="296">
      <c r="A296" s="8" t="n"/>
      <c r="B296" s="9" t="inlineStr">
        <is>
          <t>Ống PVC DN 25</t>
        </is>
      </c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inlineStr">
        <is>
          <t>m</t>
        </is>
      </c>
      <c r="M296" s="10" t="n">
        <v>2893</v>
      </c>
      <c r="N296" s="11" t="n"/>
      <c r="O296" s="11" t="n"/>
      <c r="P296" s="9" t="n"/>
    </row>
    <row r="297">
      <c r="A297" s="8" t="n"/>
      <c r="B297" s="9" t="inlineStr">
        <is>
          <t>Vật tư phụ</t>
        </is>
      </c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inlineStr">
        <is>
          <t>lô</t>
        </is>
      </c>
      <c r="M297" s="10" t="n">
        <v>1</v>
      </c>
      <c r="N297" s="11" t="n"/>
      <c r="O297" s="11" t="n"/>
      <c r="P297" s="9" t="n"/>
    </row>
    <row r="298">
      <c r="A298" s="6" t="n"/>
      <c r="B298" s="7" t="inlineStr">
        <is>
          <t>C. HT HÚT KHÓI HÀNH LANG CÁC TẦNG</t>
        </is>
      </c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</row>
    <row r="299">
      <c r="A299" s="6" t="n"/>
      <c r="B299" s="7" t="inlineStr">
        <is>
          <t>Thiết bị</t>
        </is>
      </c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</row>
    <row r="300">
      <c r="A300" s="8" t="n"/>
      <c r="B300" s="9" t="inlineStr">
        <is>
          <t>Quạt hút khói: SEF-A1-RF.01,02,03
- Ly tâm, nối ống gió.
- Lưu lượng: 3500l/s@550Pa</t>
        </is>
      </c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inlineStr">
        <is>
          <t>Cái</t>
        </is>
      </c>
      <c r="M300" s="10" t="n">
        <v>3</v>
      </c>
      <c r="N300" s="11" t="n"/>
      <c r="O300" s="11" t="n"/>
      <c r="P300" s="9" t="n"/>
    </row>
    <row r="301">
      <c r="A301" s="8" t="n"/>
      <c r="B301" s="9" t="inlineStr">
        <is>
          <t>Quạt hút khói: SEF-A1-RF.04,05,06
- Ly tâm, nối ống gió.
- Lưu lượng: 3300l/s@550Pa</t>
        </is>
      </c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inlineStr">
        <is>
          <t>Cái</t>
        </is>
      </c>
      <c r="M301" s="10" t="n">
        <v>3</v>
      </c>
      <c r="N301" s="11" t="n"/>
      <c r="O301" s="11" t="n"/>
      <c r="P301" s="9" t="n"/>
    </row>
    <row r="302">
      <c r="A302" s="8" t="n"/>
      <c r="B302" s="9" t="inlineStr">
        <is>
          <t>Quạt hút khói: SEF-A1-RF.07,08,09
- Ly tâm, nối ống gió.
- Lưu lượng: 2800l/s@550Pa</t>
        </is>
      </c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inlineStr">
        <is>
          <t>Cái</t>
        </is>
      </c>
      <c r="M302" s="10" t="n">
        <v>3</v>
      </c>
      <c r="N302" s="11" t="n"/>
      <c r="O302" s="11" t="n"/>
      <c r="P302" s="9" t="n"/>
    </row>
    <row r="303">
      <c r="A303" s="8" t="n"/>
      <c r="B303" s="9" t="inlineStr">
        <is>
          <t>Quạt hút khói: SEF-A2-RF.01,02,03
- Ly tâm, nối ống gió.
- Lưu lượng: 3500l/s@550Pa</t>
        </is>
      </c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inlineStr">
        <is>
          <t>Cái</t>
        </is>
      </c>
      <c r="M303" s="10" t="n">
        <v>3</v>
      </c>
      <c r="N303" s="11" t="n"/>
      <c r="O303" s="11" t="n"/>
      <c r="P303" s="9" t="n"/>
    </row>
    <row r="304">
      <c r="A304" s="8" t="n"/>
      <c r="B304" s="9" t="inlineStr">
        <is>
          <t>Quạt hút khói: SEF-A2-RF.04,05,06
- Ly tâm, nối ống gió.
- Lưu lượng: 3300l/s@550Pa</t>
        </is>
      </c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inlineStr">
        <is>
          <t>Cái</t>
        </is>
      </c>
      <c r="M304" s="10" t="n">
        <v>3</v>
      </c>
      <c r="N304" s="11" t="n"/>
      <c r="O304" s="11" t="n"/>
      <c r="P304" s="9" t="n"/>
    </row>
    <row r="305">
      <c r="A305" s="8" t="n"/>
      <c r="B305" s="9" t="inlineStr">
        <is>
          <t>Quạt hút khói: SEF-A2-RF.07,08,09
- Ly tâm, nối ống gió.
- Lưu lượng: 2800l/s@550Pa</t>
        </is>
      </c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inlineStr">
        <is>
          <t>Cái</t>
        </is>
      </c>
      <c r="M305" s="10" t="n">
        <v>3</v>
      </c>
      <c r="N305" s="11" t="n"/>
      <c r="O305" s="11" t="n"/>
      <c r="P305" s="9" t="n"/>
    </row>
    <row r="306">
      <c r="A306" s="8" t="n"/>
      <c r="B306" s="9" t="inlineStr">
        <is>
          <t>Quạt cấp khí bù: SFAF-A2-2F.02
- Hướng trục, nối ống gió.
- Lưu lượng: 1400L/s@250Pa</t>
        </is>
      </c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inlineStr">
        <is>
          <t>Cái</t>
        </is>
      </c>
      <c r="M306" s="10" t="n">
        <v>1</v>
      </c>
      <c r="N306" s="11" t="n"/>
      <c r="O306" s="11" t="n"/>
      <c r="P306" s="9" t="n"/>
    </row>
    <row r="307">
      <c r="A307" s="8" t="n"/>
      <c r="B307" s="9" t="inlineStr">
        <is>
          <t>Lò xo chống rung cho quạt</t>
        </is>
      </c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inlineStr">
        <is>
          <t>Cái</t>
        </is>
      </c>
      <c r="M307" s="10" t="n">
        <v>84</v>
      </c>
      <c r="N307" s="11" t="n"/>
      <c r="O307" s="11" t="n"/>
      <c r="P307" s="9" t="n"/>
    </row>
    <row r="308">
      <c r="A308" s="8" t="n"/>
      <c r="B308" s="9" t="inlineStr">
        <is>
          <t>Vật tư phụ lắp đặt thiết bị</t>
        </is>
      </c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inlineStr">
        <is>
          <t>Lô</t>
        </is>
      </c>
      <c r="M308" s="10" t="n">
        <v>1</v>
      </c>
      <c r="N308" s="11" t="n"/>
      <c r="O308" s="11" t="n"/>
      <c r="P308" s="9" t="n"/>
    </row>
    <row r="309">
      <c r="A309" s="6" t="n"/>
      <c r="B309" s="7" t="inlineStr">
        <is>
          <t>Vật tư đường ống hệ hút khói, cấp khí bù hành lang (Tầng 1 tới Tầng Sân thượng)</t>
        </is>
      </c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</row>
    <row r="310">
      <c r="A310" s="8" t="n"/>
      <c r="B310" s="9" t="inlineStr">
        <is>
          <t>Bộ cảm biến khói, loại gắn trên ống gió</t>
        </is>
      </c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inlineStr">
        <is>
          <t>Cái</t>
        </is>
      </c>
      <c r="M310" s="10" t="n">
        <v>3</v>
      </c>
      <c r="N310" s="11" t="n"/>
      <c r="O310" s="11" t="n"/>
      <c r="P310" s="9" t="n"/>
    </row>
    <row r="311">
      <c r="A311" s="6" t="n"/>
      <c r="B311" s="7" t="inlineStr">
        <is>
          <t>Miệng gió hút khói, bù gió</t>
        </is>
      </c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</row>
    <row r="312">
      <c r="A312" s="8" t="n"/>
      <c r="B312" s="9" t="inlineStr">
        <is>
          <t>Miệng gió hút khói: SEG 800x400 + OBD
Kèm box gió</t>
        </is>
      </c>
      <c r="C312" s="8" t="inlineStr">
        <is>
          <t>SDG+O</t>
        </is>
      </c>
      <c r="D312" s="8" t="inlineStr">
        <is>
          <t>SWIND</t>
        </is>
      </c>
      <c r="E312" s="8" t="n">
        <v>800</v>
      </c>
      <c r="F312" s="8" t="n">
        <v>400</v>
      </c>
      <c r="G312" s="8" t="n">
        <v>750</v>
      </c>
      <c r="H312" s="8" t="n">
        <v>350</v>
      </c>
      <c r="I312" s="8" t="n"/>
      <c r="J312" s="8" t="n"/>
      <c r="K312" s="8" t="n"/>
      <c r="L312" s="8" t="inlineStr">
        <is>
          <t>Bộ</t>
        </is>
      </c>
      <c r="M312" s="10" t="n">
        <v>666</v>
      </c>
      <c r="N312" s="10">
        <f>ROUND('00_TONG_HOP_BAO_GIA'!Q90, 0)</f>
        <v/>
      </c>
      <c r="O312" s="10">
        <f>ROUNDUP(N312*M312, -2)</f>
        <v/>
      </c>
      <c r="P312" s="9" t="inlineStr">
        <is>
          <t>Cửa nan thẳng bầu dục kèm van OBD (tăng áp / hút khói). Không tính box do nhà thầu tự thi công</t>
        </is>
      </c>
    </row>
    <row r="313">
      <c r="A313" s="8" t="n"/>
      <c r="B313" s="9" t="inlineStr">
        <is>
          <t>Miệng cấp khí bù: FAG 800x400
Kèm box gió</t>
        </is>
      </c>
      <c r="C313" s="8" t="inlineStr">
        <is>
          <t>SDG</t>
        </is>
      </c>
      <c r="D313" s="8" t="inlineStr">
        <is>
          <t>SWIND</t>
        </is>
      </c>
      <c r="E313" s="8" t="n">
        <v>800</v>
      </c>
      <c r="F313" s="8" t="n">
        <v>400</v>
      </c>
      <c r="G313" s="8" t="n">
        <v>750</v>
      </c>
      <c r="H313" s="8" t="n">
        <v>350</v>
      </c>
      <c r="I313" s="8" t="n"/>
      <c r="J313" s="8" t="n"/>
      <c r="K313" s="8" t="n"/>
      <c r="L313" s="8" t="inlineStr">
        <is>
          <t>Bộ</t>
        </is>
      </c>
      <c r="M313" s="10" t="n">
        <v>2</v>
      </c>
      <c r="N313" s="10">
        <f>ROUND('00_TONG_HOP_BAO_GIA'!Q91, 0)</f>
        <v/>
      </c>
      <c r="O313" s="10">
        <f>ROUNDUP(N313*M313, -2)</f>
        <v/>
      </c>
      <c r="P313" s="9" t="inlineStr">
        <is>
          <t>Cửa nan bầu dục 1 lớp. Không tính box do nhà thầu tự thi công</t>
        </is>
      </c>
    </row>
    <row r="314">
      <c r="A314" s="8" t="n"/>
      <c r="B314" s="9" t="inlineStr">
        <is>
          <t>Miệng cấp khí bù: FAG 700x500
Kèm box gió</t>
        </is>
      </c>
      <c r="C314" s="8" t="inlineStr">
        <is>
          <t>SDG</t>
        </is>
      </c>
      <c r="D314" s="8" t="inlineStr">
        <is>
          <t>SWIND</t>
        </is>
      </c>
      <c r="E314" s="8" t="n">
        <v>700</v>
      </c>
      <c r="F314" s="8" t="n">
        <v>500</v>
      </c>
      <c r="G314" s="8" t="n">
        <v>650</v>
      </c>
      <c r="H314" s="8" t="n">
        <v>450</v>
      </c>
      <c r="I314" s="8" t="n"/>
      <c r="J314" s="8" t="n"/>
      <c r="K314" s="8" t="n"/>
      <c r="L314" s="8" t="inlineStr">
        <is>
          <t>Bộ</t>
        </is>
      </c>
      <c r="M314" s="10" t="n">
        <v>1</v>
      </c>
      <c r="N314" s="10">
        <f>ROUND('00_TONG_HOP_BAO_GIA'!Q92, 0)</f>
        <v/>
      </c>
      <c r="O314" s="10">
        <f>ROUNDUP(N314*M314, -2)</f>
        <v/>
      </c>
      <c r="P314" s="9" t="inlineStr">
        <is>
          <t>Cửa nan bầu dục 1 lớp. Không tính box do nhà thầu tự thi công</t>
        </is>
      </c>
    </row>
    <row r="315">
      <c r="A315" s="6" t="n"/>
      <c r="B315" s="7" t="inlineStr">
        <is>
          <t>Miệng cấp khí bù cơ chế tự nhiên</t>
        </is>
      </c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</row>
    <row r="316">
      <c r="A316" s="8" t="n"/>
      <c r="B316" s="9" t="inlineStr">
        <is>
          <t>Miệng cấp khí bù cơ chế tự nhiên FAG 1200x300</t>
        </is>
      </c>
      <c r="C316" s="8" t="inlineStr">
        <is>
          <t>SDG</t>
        </is>
      </c>
      <c r="D316" s="8" t="inlineStr">
        <is>
          <t>SWIND</t>
        </is>
      </c>
      <c r="E316" s="8" t="n">
        <v>1200</v>
      </c>
      <c r="F316" s="8" t="n">
        <v>300</v>
      </c>
      <c r="G316" s="8" t="n">
        <v>1150</v>
      </c>
      <c r="H316" s="8" t="n">
        <v>250</v>
      </c>
      <c r="I316" s="8" t="n"/>
      <c r="J316" s="8" t="n"/>
      <c r="K316" s="8" t="n"/>
      <c r="L316" s="8" t="inlineStr">
        <is>
          <t>Bộ</t>
        </is>
      </c>
      <c r="M316" s="10" t="n">
        <v>330</v>
      </c>
      <c r="N316" s="10">
        <f>ROUND('00_TONG_HOP_BAO_GIA'!Q93, 0)</f>
        <v/>
      </c>
      <c r="O316" s="10">
        <f>ROUNDUP(N316*M316, -2)</f>
        <v/>
      </c>
      <c r="P316" s="9" t="inlineStr">
        <is>
          <t>Cửa nan bầu dục 1 lớp</t>
        </is>
      </c>
    </row>
    <row r="317">
      <c r="A317" s="6" t="n"/>
      <c r="B317" s="7" t="inlineStr">
        <is>
          <t>Van chặn lửa điện từ MDF, EI30</t>
        </is>
      </c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</row>
    <row r="318">
      <c r="A318" s="8" t="n"/>
      <c r="B318" s="9" t="inlineStr">
        <is>
          <t>Van MFD 800x300</t>
        </is>
      </c>
      <c r="C318" s="8" t="inlineStr">
        <is>
          <t>SWIND-1.03-MFD-EI90</t>
        </is>
      </c>
      <c r="D318" s="8" t="inlineStr">
        <is>
          <t>SWIND</t>
        </is>
      </c>
      <c r="E318" s="8" t="n">
        <v>800</v>
      </c>
      <c r="F318" s="8" t="n">
        <v>300</v>
      </c>
      <c r="G318" s="8" t="n"/>
      <c r="H318" s="8" t="n"/>
      <c r="I318" s="8" t="n"/>
      <c r="J318" s="8" t="n">
        <v>200</v>
      </c>
      <c r="K318" s="12" t="n">
        <v>1.15</v>
      </c>
      <c r="L318" s="8" t="inlineStr">
        <is>
          <t>Bộ</t>
        </is>
      </c>
      <c r="M318" s="10" t="n">
        <v>396</v>
      </c>
      <c r="N318" s="10">
        <f>ROUND('00_TONG_HOP_BAO_GIA'!Q94, 0)</f>
        <v/>
      </c>
      <c r="O318" s="10">
        <f>ROUNDUP(N318*M318, -2)</f>
        <v/>
      </c>
      <c r="P318" s="9" t="inlineStr">
        <is>
          <t>- Van ngăn cháy động cơ - Tiêu chuẩn EI 90
- 2 đầu bích TDC - Gắn kèm động cơ ON-OFF 5Nm, Hãng KLB
- Sản xuất theo BCTN số 4651/VLXD-TBMT</t>
        </is>
      </c>
    </row>
    <row r="319">
      <c r="A319" s="8" t="n"/>
      <c r="B319" s="9" t="inlineStr">
        <is>
          <t>Van MFD 800x400</t>
        </is>
      </c>
      <c r="C319" s="8" t="inlineStr">
        <is>
          <t>SWIND-1.03-MFD-EI90</t>
        </is>
      </c>
      <c r="D319" s="8" t="inlineStr">
        <is>
          <t>SWIND</t>
        </is>
      </c>
      <c r="E319" s="8" t="n">
        <v>800</v>
      </c>
      <c r="F319" s="8" t="n">
        <v>400</v>
      </c>
      <c r="G319" s="8" t="n"/>
      <c r="H319" s="8" t="n"/>
      <c r="I319" s="8" t="n"/>
      <c r="J319" s="8" t="n">
        <v>200</v>
      </c>
      <c r="K319" s="12" t="n">
        <v>1.15</v>
      </c>
      <c r="L319" s="8" t="inlineStr">
        <is>
          <t>Bộ</t>
        </is>
      </c>
      <c r="M319" s="10" t="n">
        <v>135</v>
      </c>
      <c r="N319" s="10">
        <f>ROUND('00_TONG_HOP_BAO_GIA'!Q95, 0)</f>
        <v/>
      </c>
      <c r="O319" s="10">
        <f>ROUNDUP(N319*M319, -2)</f>
        <v/>
      </c>
      <c r="P319" s="9" t="inlineStr">
        <is>
          <t>- Van ngăn cháy động cơ - Tiêu chuẩn EI 90
- 2 đầu bích TDC - Gắn kèm động cơ ON-OFF 5Nm, Hãng KLB
- Sản xuất theo BCTN số 4651/VLXD-TBMT</t>
        </is>
      </c>
    </row>
    <row r="320">
      <c r="A320" s="6" t="n"/>
      <c r="B320" s="7" t="inlineStr">
        <is>
          <t>Louver cấp khí tươi</t>
        </is>
      </c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</row>
    <row r="321">
      <c r="A321" s="8" t="n"/>
      <c r="B321" s="9" t="inlineStr">
        <is>
          <t>Louver cấp khí tươi FAL + LCCT 1100x300
Kèm box gió</t>
        </is>
      </c>
      <c r="C321" s="8" t="inlineStr">
        <is>
          <t>WL+N</t>
        </is>
      </c>
      <c r="D321" s="8" t="inlineStr">
        <is>
          <t>SWIND</t>
        </is>
      </c>
      <c r="E321" s="8" t="n">
        <v>1100</v>
      </c>
      <c r="F321" s="8" t="n">
        <v>300</v>
      </c>
      <c r="G321" s="8" t="n">
        <v>1050</v>
      </c>
      <c r="H321" s="8" t="n">
        <v>250</v>
      </c>
      <c r="I321" s="8" t="n"/>
      <c r="J321" s="8" t="n"/>
      <c r="K321" s="8" t="n"/>
      <c r="L321" s="8" t="inlineStr">
        <is>
          <t>Bộ</t>
        </is>
      </c>
      <c r="M321" s="10" t="n">
        <v>2</v>
      </c>
      <c r="N321" s="10">
        <f>ROUND('00_TONG_HOP_BAO_GIA'!Q96, 0)</f>
        <v/>
      </c>
      <c r="O321" s="10">
        <f>ROUNDUP(N321*M321, -2)</f>
        <v/>
      </c>
      <c r="P321" s="9" t="inlineStr">
        <is>
          <t>Louver nan Z ngoài trời kèm lưới chắn côn trùng Inox 304. Không tính box do nhà thầu tự thi công</t>
        </is>
      </c>
    </row>
    <row r="322">
      <c r="A322" s="8" t="n"/>
      <c r="B322" s="9" t="inlineStr">
        <is>
          <t>Louver cấp khí tươi FAL + LCCT 1200x400
Kèm box gió</t>
        </is>
      </c>
      <c r="C322" s="8" t="inlineStr">
        <is>
          <t>WL+N</t>
        </is>
      </c>
      <c r="D322" s="8" t="inlineStr">
        <is>
          <t>SWIND</t>
        </is>
      </c>
      <c r="E322" s="8" t="n">
        <v>1200</v>
      </c>
      <c r="F322" s="8" t="n">
        <v>400</v>
      </c>
      <c r="G322" s="8" t="n">
        <v>1150</v>
      </c>
      <c r="H322" s="8" t="n">
        <v>350</v>
      </c>
      <c r="I322" s="8" t="n"/>
      <c r="J322" s="8" t="n"/>
      <c r="K322" s="8" t="n"/>
      <c r="L322" s="8" t="inlineStr">
        <is>
          <t>Bộ</t>
        </is>
      </c>
      <c r="M322" s="10" t="n">
        <v>1</v>
      </c>
      <c r="N322" s="10">
        <f>ROUND('00_TONG_HOP_BAO_GIA'!Q97, 0)</f>
        <v/>
      </c>
      <c r="O322" s="10">
        <f>ROUNDUP(N322*M322, -2)</f>
        <v/>
      </c>
      <c r="P322" s="9" t="inlineStr">
        <is>
          <t>Louver nan Z ngoài trời kèm lưới chắn côn trùng Inox 304. Không tính box do nhà thầu tự thi công</t>
        </is>
      </c>
    </row>
    <row r="323">
      <c r="A323" s="6" t="n"/>
      <c r="B323" s="7" t="inlineStr">
        <is>
          <t>Lưới chắn côn trùng</t>
        </is>
      </c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</row>
    <row r="324">
      <c r="A324" s="8" t="n"/>
      <c r="B324" s="9" t="inlineStr">
        <is>
          <t>Lưới chắn côn trùng LCCT 600x600</t>
        </is>
      </c>
      <c r="C324" s="8" t="inlineStr">
        <is>
          <t>LCCT</t>
        </is>
      </c>
      <c r="D324" s="8" t="inlineStr">
        <is>
          <t>SWIND</t>
        </is>
      </c>
      <c r="E324" s="8" t="n">
        <v>600</v>
      </c>
      <c r="F324" s="8" t="n">
        <v>600</v>
      </c>
      <c r="G324" s="8" t="n"/>
      <c r="H324" s="8" t="n"/>
      <c r="I324" s="8" t="n"/>
      <c r="J324" s="8" t="n"/>
      <c r="K324" s="8" t="n"/>
      <c r="L324" s="8" t="inlineStr">
        <is>
          <t>Cái</t>
        </is>
      </c>
      <c r="M324" s="10" t="n">
        <v>18</v>
      </c>
      <c r="N324" s="10">
        <f>ROUND('00_TONG_HOP_BAO_GIA'!Q98, 0)</f>
        <v/>
      </c>
      <c r="O324" s="10">
        <f>ROUNDUP(N324*M324, -2)</f>
        <v/>
      </c>
      <c r="P324" s="9" t="inlineStr">
        <is>
          <t>Lưới chắn côn trùng</t>
        </is>
      </c>
    </row>
    <row r="325">
      <c r="A325" s="6" t="n"/>
      <c r="B325" s="7" t="inlineStr">
        <is>
          <t>Ống gió chống cháy EI30</t>
        </is>
      </c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</row>
    <row r="326">
      <c r="A326" s="8" t="n"/>
      <c r="B326" s="9" t="inlineStr">
        <is>
          <t>Ống gió chống cháy EI30 500x300, tole dày 0.75mm</t>
        </is>
      </c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inlineStr">
        <is>
          <t>m</t>
        </is>
      </c>
      <c r="M326" s="10" t="n">
        <v>15</v>
      </c>
      <c r="N326" s="11" t="n"/>
      <c r="O326" s="11" t="n"/>
      <c r="P326" s="9" t="n"/>
    </row>
    <row r="327">
      <c r="A327" s="8" t="n"/>
      <c r="B327" s="9" t="inlineStr">
        <is>
          <t>Ống gió chống cháy EI30 600x250, tole dày 0.75mm</t>
        </is>
      </c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inlineStr">
        <is>
          <t>m</t>
        </is>
      </c>
      <c r="M327" s="10" t="n">
        <v>3686</v>
      </c>
      <c r="N327" s="11" t="n"/>
      <c r="O327" s="11" t="n"/>
      <c r="P327" s="9" t="n"/>
    </row>
    <row r="328">
      <c r="A328" s="8" t="n"/>
      <c r="B328" s="9" t="inlineStr">
        <is>
          <t>Ống gió chống cháy EI30 600x300, tole dày 0.75mm</t>
        </is>
      </c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inlineStr">
        <is>
          <t>m</t>
        </is>
      </c>
      <c r="M328" s="10" t="n">
        <v>18</v>
      </c>
      <c r="N328" s="11" t="n"/>
      <c r="O328" s="11" t="n"/>
      <c r="P328" s="9" t="n"/>
    </row>
    <row r="329">
      <c r="A329" s="8" t="n"/>
      <c r="B329" s="9" t="inlineStr">
        <is>
          <t>Ống gió chống cháy EI30 800x300, tole dày 0.75mm</t>
        </is>
      </c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inlineStr">
        <is>
          <t>m</t>
        </is>
      </c>
      <c r="M329" s="10" t="n">
        <v>3803</v>
      </c>
      <c r="N329" s="11" t="n"/>
      <c r="O329" s="11" t="n"/>
      <c r="P329" s="9" t="n"/>
    </row>
    <row r="330">
      <c r="A330" s="8" t="n"/>
      <c r="B330" s="9" t="inlineStr">
        <is>
          <t>Ống gió chống cháy EI30 800x400, tole dày 0.75mm</t>
        </is>
      </c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inlineStr">
        <is>
          <t>m</t>
        </is>
      </c>
      <c r="M330" s="10" t="n">
        <v>280</v>
      </c>
      <c r="N330" s="11" t="n"/>
      <c r="O330" s="11" t="n"/>
      <c r="P330" s="9" t="n"/>
    </row>
    <row r="331">
      <c r="A331" s="8" t="n"/>
      <c r="B331" s="9" t="inlineStr">
        <is>
          <t>Phụ kiện lắp đặt ống gió (giảm, gót dày, chuyển vuông tròn...)</t>
        </is>
      </c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inlineStr">
        <is>
          <t>Lô</t>
        </is>
      </c>
      <c r="M331" s="10" t="n">
        <v>1</v>
      </c>
      <c r="N331" s="11" t="n"/>
      <c r="O331" s="11" t="n"/>
      <c r="P331" s="9" t="n"/>
    </row>
    <row r="332">
      <c r="A332" s="6" t="n"/>
      <c r="B332" s="7" t="inlineStr">
        <is>
          <t>Ống gió tráng kẽm dày 0.75mm</t>
        </is>
      </c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</row>
    <row r="333">
      <c r="A333" s="8" t="n"/>
      <c r="B333" s="9" t="inlineStr">
        <is>
          <t>Ống gió tráng kẽm dày 0.75mm 800x400, dày 0.6mm</t>
        </is>
      </c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inlineStr">
        <is>
          <t>m</t>
        </is>
      </c>
      <c r="M333" s="10" t="n">
        <v>1265</v>
      </c>
      <c r="N333" s="11" t="n"/>
      <c r="O333" s="11" t="n"/>
      <c r="P333" s="9" t="n"/>
    </row>
    <row r="334">
      <c r="A334" s="8" t="n"/>
      <c r="B334" s="9" t="inlineStr">
        <is>
          <t>Phụ kiện lắp đặt ống gió (giảm, gót dày, chuyển vuông tròn...)</t>
        </is>
      </c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inlineStr">
        <is>
          <t>Lô</t>
        </is>
      </c>
      <c r="M334" s="10" t="n">
        <v>1</v>
      </c>
      <c r="N334" s="11" t="n"/>
      <c r="O334" s="11" t="n"/>
      <c r="P334" s="9" t="n"/>
    </row>
    <row r="335">
      <c r="A335" s="8" t="n"/>
      <c r="B335" s="9" t="inlineStr">
        <is>
          <t>Vật tư phụ</t>
        </is>
      </c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inlineStr">
        <is>
          <t>Lộ</t>
        </is>
      </c>
      <c r="M335" s="10" t="n">
        <v>1</v>
      </c>
      <c r="N335" s="11" t="n"/>
      <c r="O335" s="11" t="n"/>
      <c r="P335" s="9" t="n"/>
    </row>
    <row r="336">
      <c r="A336" s="6" t="n"/>
      <c r="B336" s="7" t="inlineStr">
        <is>
          <t>Cáp điện điều khiển thiết bị</t>
        </is>
      </c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</row>
    <row r="337">
      <c r="A337" s="8" t="n"/>
      <c r="B337" s="9" t="inlineStr">
        <is>
          <t>2Cx1.5mm2 Cu/pvc/Fr (dây chống cháy)</t>
        </is>
      </c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inlineStr">
        <is>
          <t>m</t>
        </is>
      </c>
      <c r="M337" s="10" t="n">
        <v>3881.9</v>
      </c>
      <c r="N337" s="11" t="n"/>
      <c r="O337" s="11" t="n"/>
      <c r="P337" s="9" t="n"/>
    </row>
    <row r="338">
      <c r="A338" s="8" t="n"/>
      <c r="B338" s="9" t="inlineStr">
        <is>
          <t>Ống PVC DN 25</t>
        </is>
      </c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inlineStr">
        <is>
          <t>m</t>
        </is>
      </c>
      <c r="M338" s="10" t="n">
        <v>1940.95</v>
      </c>
      <c r="N338" s="11" t="n"/>
      <c r="O338" s="11" t="n"/>
      <c r="P338" s="9" t="n"/>
    </row>
    <row r="339">
      <c r="A339" s="8" t="n"/>
      <c r="B339" s="9" t="inlineStr">
        <is>
          <t>Vật tư phụ</t>
        </is>
      </c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inlineStr">
        <is>
          <t>lô</t>
        </is>
      </c>
      <c r="M339" s="10" t="n">
        <v>1</v>
      </c>
      <c r="N339" s="11" t="n"/>
      <c r="O339" s="11" t="n"/>
      <c r="P339" s="9" t="n"/>
    </row>
    <row r="340">
      <c r="A340" s="6" t="n"/>
      <c r="B340" s="7" t="inlineStr">
        <is>
          <t>D. HT HÚT KHÓI GIAN PHÒNG</t>
        </is>
      </c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</row>
    <row r="341">
      <c r="A341" s="6" t="n"/>
      <c r="B341" s="7" t="inlineStr">
        <is>
          <t>Thiết bị</t>
        </is>
      </c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</row>
    <row r="342">
      <c r="A342" s="8" t="n"/>
      <c r="B342" s="9" t="inlineStr">
        <is>
          <t>Quạt hút khói: SEF-A1-1F-SH2.01, 02
- Hướng trục, nối ống gió.
- Lưu lượng: 9700L/s@500Pa</t>
        </is>
      </c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inlineStr">
        <is>
          <t>Cái</t>
        </is>
      </c>
      <c r="M342" s="10" t="n">
        <v>2</v>
      </c>
      <c r="N342" s="11" t="n"/>
      <c r="O342" s="11" t="n"/>
      <c r="P342" s="9" t="n"/>
    </row>
    <row r="343">
      <c r="A343" s="8" t="n"/>
      <c r="B343" s="9" t="inlineStr">
        <is>
          <t>Quạt cấp khí bù: SFAF-A1-1F-SH2.01
- Hướng trục, nối ống gió.
- Lưu lượng: 8500L/s@250Pa</t>
        </is>
      </c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inlineStr">
        <is>
          <t>Cái</t>
        </is>
      </c>
      <c r="M343" s="10" t="n">
        <v>1</v>
      </c>
      <c r="N343" s="11" t="n"/>
      <c r="O343" s="11" t="n"/>
      <c r="P343" s="9" t="n"/>
    </row>
    <row r="344">
      <c r="A344" s="8" t="n"/>
      <c r="B344" s="9" t="inlineStr">
        <is>
          <t>Quạt hút khói: SEF-A1-1F-SH1
- Hướng trục, nối ống gió.
- Lưu lượng: 6650L/s@350Pa</t>
        </is>
      </c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inlineStr">
        <is>
          <t>Cái</t>
        </is>
      </c>
      <c r="M344" s="10" t="n">
        <v>1</v>
      </c>
      <c r="N344" s="11" t="n"/>
      <c r="O344" s="11" t="n"/>
      <c r="P344" s="9" t="n"/>
    </row>
    <row r="345">
      <c r="A345" s="8" t="n"/>
      <c r="B345" s="9" t="inlineStr">
        <is>
          <t>Quạt cấp khí bù: SFAF-A1-1F-SH1
- Hướng trục, nối ống gió.
- Lưu lượng: 2900L/s@250Pa</t>
        </is>
      </c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inlineStr">
        <is>
          <t>Cái</t>
        </is>
      </c>
      <c r="M345" s="10" t="n">
        <v>1</v>
      </c>
      <c r="N345" s="11" t="n"/>
      <c r="O345" s="11" t="n"/>
      <c r="P345" s="9" t="n"/>
    </row>
    <row r="346">
      <c r="A346" s="8" t="n"/>
      <c r="B346" s="9" t="inlineStr">
        <is>
          <t>Quạt hút khói: SEF-A1-2F-SHCD 1
- Hướng trục, nối ống gió.
- Lưu lượng: 2500L/s@350Pa</t>
        </is>
      </c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inlineStr">
        <is>
          <t>Cái</t>
        </is>
      </c>
      <c r="M346" s="10" t="n">
        <v>1</v>
      </c>
      <c r="N346" s="11" t="n"/>
      <c r="O346" s="11" t="n"/>
      <c r="P346" s="9" t="n"/>
    </row>
    <row r="347">
      <c r="A347" s="8" t="n"/>
      <c r="B347" s="9" t="inlineStr">
        <is>
          <t>Quạt cấp khí bù: SFAF-A1-2F-SHCD 1
- Hướng trục, nối ống gió.
- Lưu lượng: 1100L/s@250Pa</t>
        </is>
      </c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inlineStr">
        <is>
          <t>Cái</t>
        </is>
      </c>
      <c r="M347" s="10" t="n">
        <v>1</v>
      </c>
      <c r="N347" s="11" t="n"/>
      <c r="O347" s="11" t="n"/>
      <c r="P347" s="9" t="n"/>
    </row>
    <row r="348">
      <c r="A348" s="8" t="n"/>
      <c r="B348" s="9" t="inlineStr">
        <is>
          <t>Quạt hút khói: SEF-A1-2F-SHCD 5
- Hướng trục, nối ống gió.
- Lưu lượng: 2500L/s@350Pa</t>
        </is>
      </c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inlineStr">
        <is>
          <t>Cái</t>
        </is>
      </c>
      <c r="M348" s="10" t="n">
        <v>1</v>
      </c>
      <c r="N348" s="11" t="n"/>
      <c r="O348" s="11" t="n"/>
      <c r="P348" s="9" t="n"/>
    </row>
    <row r="349">
      <c r="A349" s="8" t="n"/>
      <c r="B349" s="9" t="inlineStr">
        <is>
          <t>Quạt cấp khí bù: SFAF-A1-2F-SHCD 5
- Hướng trục, nối ống gió.
- Lưu lượng: 1100L/s@250Pa</t>
        </is>
      </c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inlineStr">
        <is>
          <t>Cái</t>
        </is>
      </c>
      <c r="M349" s="10" t="n">
        <v>1</v>
      </c>
      <c r="N349" s="11" t="n"/>
      <c r="O349" s="11" t="n"/>
      <c r="P349" s="9" t="n"/>
    </row>
    <row r="350">
      <c r="A350" s="8" t="n"/>
      <c r="B350" s="9" t="inlineStr">
        <is>
          <t>Quạt hút khói: SEF-A2-2F-GYM
- Hướng trục, nối ống gió.
- Lưu lượng: 4200L/s@400Pa</t>
        </is>
      </c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inlineStr">
        <is>
          <t>Cái</t>
        </is>
      </c>
      <c r="M350" s="10" t="n">
        <v>1</v>
      </c>
      <c r="N350" s="11" t="n"/>
      <c r="O350" s="11" t="n"/>
      <c r="P350" s="9" t="n"/>
    </row>
    <row r="351">
      <c r="A351" s="8" t="n"/>
      <c r="B351" s="9" t="inlineStr">
        <is>
          <t>Quạt cấp khí bù: SFAF-A2-2F-GYM
- Hướng trục, nối ống gió.
- Lưu lượng: 1900L/s@250Pa</t>
        </is>
      </c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inlineStr">
        <is>
          <t>Cái</t>
        </is>
      </c>
      <c r="M351" s="10" t="n">
        <v>1</v>
      </c>
      <c r="N351" s="11" t="n"/>
      <c r="O351" s="11" t="n"/>
      <c r="P351" s="9" t="n"/>
    </row>
    <row r="352">
      <c r="A352" s="8" t="n"/>
      <c r="B352" s="9" t="inlineStr">
        <is>
          <t>Quạt hút khói: SEF-A2-2F-02
- Hướng trục, nối ống gió.
- Lưu lượng: 3100L/s@450Pa</t>
        </is>
      </c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inlineStr">
        <is>
          <t>Cái</t>
        </is>
      </c>
      <c r="M352" s="10" t="n">
        <v>1</v>
      </c>
      <c r="N352" s="11" t="n"/>
      <c r="O352" s="11" t="n"/>
      <c r="P352" s="9" t="n"/>
    </row>
    <row r="353">
      <c r="A353" s="8" t="n"/>
      <c r="B353" s="9" t="inlineStr">
        <is>
          <t>Quạt cấp khí bù: SFAF-A2-2F-03
- Hướng trục, nối ống gió.
- Lưu lượng: 1400L/s@250Pa</t>
        </is>
      </c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inlineStr">
        <is>
          <t>Cái</t>
        </is>
      </c>
      <c r="M353" s="10" t="n">
        <v>1</v>
      </c>
      <c r="N353" s="11" t="n"/>
      <c r="O353" s="11" t="n"/>
      <c r="P353" s="9" t="n"/>
    </row>
    <row r="354">
      <c r="A354" s="8" t="n"/>
      <c r="B354" s="9" t="inlineStr">
        <is>
          <t>Quạt hút khói: SEF-A2-2F-01
- Hướng trục, nối ống gió.
- Lưu lượng: 2500L/s@350Pa</t>
        </is>
      </c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inlineStr">
        <is>
          <t>Cái</t>
        </is>
      </c>
      <c r="M354" s="10" t="n">
        <v>1</v>
      </c>
      <c r="N354" s="11" t="n"/>
      <c r="O354" s="11" t="n"/>
      <c r="P354" s="9" t="n"/>
    </row>
    <row r="355">
      <c r="A355" s="8" t="n"/>
      <c r="B355" s="9" t="inlineStr">
        <is>
          <t>Quạt cấp khí bù: SFAF-A2-2F-01
- Hướng trục, nối ống gió.
- Lưu lượng: 1100L/s@250Pa</t>
        </is>
      </c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inlineStr">
        <is>
          <t>Cái</t>
        </is>
      </c>
      <c r="M355" s="10" t="n">
        <v>1</v>
      </c>
      <c r="N355" s="11" t="n"/>
      <c r="O355" s="11" t="n"/>
      <c r="P355" s="9" t="n"/>
    </row>
    <row r="356">
      <c r="A356" s="8" t="n"/>
      <c r="B356" s="9" t="inlineStr">
        <is>
          <t>Lò xo chống rung cho quạt</t>
        </is>
      </c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inlineStr">
        <is>
          <t>Cái</t>
        </is>
      </c>
      <c r="M356" s="10" t="n">
        <v>60</v>
      </c>
      <c r="N356" s="11" t="n"/>
      <c r="O356" s="11" t="n"/>
      <c r="P356" s="9" t="n"/>
    </row>
    <row r="357">
      <c r="A357" s="8" t="n"/>
      <c r="B357" s="9" t="inlineStr">
        <is>
          <t>Vật tư phụ lắp đặt thiết bị</t>
        </is>
      </c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inlineStr">
        <is>
          <t>Lô</t>
        </is>
      </c>
      <c r="M357" s="10" t="n">
        <v>1</v>
      </c>
      <c r="N357" s="11" t="n"/>
      <c r="O357" s="11" t="n"/>
      <c r="P357" s="9" t="n"/>
    </row>
    <row r="358">
      <c r="A358" s="6" t="n"/>
      <c r="B358" s="7" t="inlineStr">
        <is>
          <t>Vật tư đường ống</t>
        </is>
      </c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</row>
    <row r="359">
      <c r="A359" s="8" t="n"/>
      <c r="B359" s="9" t="inlineStr">
        <is>
          <t>Bộ cảm biến khói, loại gắn trên ống gió</t>
        </is>
      </c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inlineStr">
        <is>
          <t>bộ</t>
        </is>
      </c>
      <c r="M359" s="10" t="n">
        <v>7</v>
      </c>
      <c r="N359" s="11" t="n"/>
      <c r="O359" s="11" t="n"/>
      <c r="P359" s="9" t="n"/>
    </row>
    <row r="360">
      <c r="A360" s="6" t="n"/>
      <c r="B360" s="7" t="inlineStr">
        <is>
          <t>Miệng gió hút khói</t>
        </is>
      </c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</row>
    <row r="361">
      <c r="A361" s="8" t="n"/>
      <c r="B361" s="9" t="inlineStr">
        <is>
          <t>Miệng gió hút khói: SEG 1000x500 + OBD
Kèm box gió</t>
        </is>
      </c>
      <c r="C361" s="8" t="inlineStr">
        <is>
          <t>SDG+O</t>
        </is>
      </c>
      <c r="D361" s="8" t="inlineStr">
        <is>
          <t>SWIND</t>
        </is>
      </c>
      <c r="E361" s="8" t="n">
        <v>1000</v>
      </c>
      <c r="F361" s="8" t="n">
        <v>500</v>
      </c>
      <c r="G361" s="8" t="n">
        <v>950</v>
      </c>
      <c r="H361" s="8" t="n">
        <v>450</v>
      </c>
      <c r="I361" s="8" t="n"/>
      <c r="J361" s="8" t="n"/>
      <c r="K361" s="8" t="n"/>
      <c r="L361" s="8" t="inlineStr">
        <is>
          <t>Cái</t>
        </is>
      </c>
      <c r="M361" s="10" t="n">
        <v>13</v>
      </c>
      <c r="N361" s="10">
        <f>ROUND('00_TONG_HOP_BAO_GIA'!Q99, 0)</f>
        <v/>
      </c>
      <c r="O361" s="10">
        <f>ROUNDUP(N361*M361, -2)</f>
        <v/>
      </c>
      <c r="P361" s="9" t="inlineStr">
        <is>
          <t>Cửa nan thẳng bầu dục kèm van OBD (tăng áp / hút khói). Không tính box do nhà thầu tự thi công</t>
        </is>
      </c>
    </row>
    <row r="362">
      <c r="A362" s="8" t="n"/>
      <c r="B362" s="9" t="inlineStr">
        <is>
          <t>Miệng gió hút khói: SEG 900x500 + OBD
Kèm box gió</t>
        </is>
      </c>
      <c r="C362" s="8" t="inlineStr">
        <is>
          <t>SDG+O</t>
        </is>
      </c>
      <c r="D362" s="8" t="inlineStr">
        <is>
          <t>SWIND</t>
        </is>
      </c>
      <c r="E362" s="8" t="n">
        <v>900</v>
      </c>
      <c r="F362" s="8" t="n">
        <v>500</v>
      </c>
      <c r="G362" s="8" t="n">
        <v>850</v>
      </c>
      <c r="H362" s="8" t="n">
        <v>450</v>
      </c>
      <c r="I362" s="8" t="n"/>
      <c r="J362" s="8" t="n"/>
      <c r="K362" s="8" t="n"/>
      <c r="L362" s="8" t="inlineStr">
        <is>
          <t>Cái</t>
        </is>
      </c>
      <c r="M362" s="10" t="n">
        <v>6</v>
      </c>
      <c r="N362" s="10">
        <f>ROUND('00_TONG_HOP_BAO_GIA'!Q100, 0)</f>
        <v/>
      </c>
      <c r="O362" s="10">
        <f>ROUNDUP(N362*M362, -2)</f>
        <v/>
      </c>
      <c r="P362" s="9" t="inlineStr">
        <is>
          <t>Cửa nan thẳng bầu dục kèm van OBD (tăng áp / hút khói). Không tính box do nhà thầu tự thi công</t>
        </is>
      </c>
    </row>
    <row r="363">
      <c r="A363" s="8" t="n"/>
      <c r="B363" s="9" t="inlineStr">
        <is>
          <t>Miệng gió hút khói: SEG 800x400 + OBD
Kèm box gió</t>
        </is>
      </c>
      <c r="C363" s="8" t="inlineStr">
        <is>
          <t>SDG+O</t>
        </is>
      </c>
      <c r="D363" s="8" t="inlineStr">
        <is>
          <t>SWIND</t>
        </is>
      </c>
      <c r="E363" s="8" t="n">
        <v>800</v>
      </c>
      <c r="F363" s="8" t="n">
        <v>400</v>
      </c>
      <c r="G363" s="8" t="n">
        <v>750</v>
      </c>
      <c r="H363" s="8" t="n">
        <v>350</v>
      </c>
      <c r="I363" s="8" t="n"/>
      <c r="J363" s="8" t="n"/>
      <c r="K363" s="8" t="n"/>
      <c r="L363" s="8" t="inlineStr">
        <is>
          <t>Cái</t>
        </is>
      </c>
      <c r="M363" s="10" t="n">
        <v>2</v>
      </c>
      <c r="N363" s="10">
        <f>ROUND('00_TONG_HOP_BAO_GIA'!Q101, 0)</f>
        <v/>
      </c>
      <c r="O363" s="10">
        <f>ROUNDUP(N363*M363, -2)</f>
        <v/>
      </c>
      <c r="P363" s="9" t="inlineStr">
        <is>
          <t>Cửa nan thẳng bầu dục kèm van OBD (tăng áp / hút khói). Không tính box do nhà thầu tự thi công</t>
        </is>
      </c>
    </row>
    <row r="364">
      <c r="A364" s="6" t="n"/>
      <c r="B364" s="7" t="inlineStr">
        <is>
          <t>Louver thải khói</t>
        </is>
      </c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</row>
    <row r="365">
      <c r="A365" s="8" t="n"/>
      <c r="B365" s="9" t="inlineStr">
        <is>
          <t>Louver thải khói EAL + LCCT 1000x300</t>
        </is>
      </c>
      <c r="C365" s="8" t="inlineStr">
        <is>
          <t>WL+N</t>
        </is>
      </c>
      <c r="D365" s="8" t="inlineStr">
        <is>
          <t>SWIND</t>
        </is>
      </c>
      <c r="E365" s="8" t="n">
        <v>1000</v>
      </c>
      <c r="F365" s="8" t="n">
        <v>300</v>
      </c>
      <c r="G365" s="8" t="n">
        <v>950</v>
      </c>
      <c r="H365" s="8" t="n">
        <v>250</v>
      </c>
      <c r="I365" s="8" t="n"/>
      <c r="J365" s="8" t="n"/>
      <c r="K365" s="8" t="n"/>
      <c r="L365" s="8" t="inlineStr">
        <is>
          <t>Cái</t>
        </is>
      </c>
      <c r="M365" s="10" t="n">
        <v>3</v>
      </c>
      <c r="N365" s="10">
        <f>ROUND('00_TONG_HOP_BAO_GIA'!Q102, 0)</f>
        <v/>
      </c>
      <c r="O365" s="10">
        <f>ROUNDUP(N365*M365, -2)</f>
        <v/>
      </c>
      <c r="P365" s="9" t="inlineStr">
        <is>
          <t>Louver nan Z ngoài trời kèm lưới chắn côn trùng Inox 304</t>
        </is>
      </c>
    </row>
    <row r="366">
      <c r="A366" s="8" t="n"/>
      <c r="B366" s="9" t="inlineStr">
        <is>
          <t>Louver thải khói EAL + LCCT 1000x700</t>
        </is>
      </c>
      <c r="C366" s="8" t="inlineStr">
        <is>
          <t>WL+N</t>
        </is>
      </c>
      <c r="D366" s="8" t="inlineStr">
        <is>
          <t>SWIND</t>
        </is>
      </c>
      <c r="E366" s="8" t="n">
        <v>1000</v>
      </c>
      <c r="F366" s="8" t="n">
        <v>700</v>
      </c>
      <c r="G366" s="8" t="n">
        <v>950</v>
      </c>
      <c r="H366" s="8" t="n">
        <v>650</v>
      </c>
      <c r="I366" s="8" t="n"/>
      <c r="J366" s="8" t="n"/>
      <c r="K366" s="8" t="n"/>
      <c r="L366" s="8" t="inlineStr">
        <is>
          <t>Cái</t>
        </is>
      </c>
      <c r="M366" s="10" t="n">
        <v>1</v>
      </c>
      <c r="N366" s="10">
        <f>ROUND('00_TONG_HOP_BAO_GIA'!Q103, 0)</f>
        <v/>
      </c>
      <c r="O366" s="10">
        <f>ROUNDUP(N366*M366, -2)</f>
        <v/>
      </c>
      <c r="P366" s="9" t="inlineStr">
        <is>
          <t>Louver nan Z ngoài trời kèm lưới chắn côn trùng Inox 304</t>
        </is>
      </c>
    </row>
    <row r="367">
      <c r="A367" s="8" t="n"/>
      <c r="B367" s="9" t="inlineStr">
        <is>
          <t>Louver thải khói EAL + LCCT 1200x350</t>
        </is>
      </c>
      <c r="C367" s="8" t="inlineStr">
        <is>
          <t>WL+N</t>
        </is>
      </c>
      <c r="D367" s="8" t="inlineStr">
        <is>
          <t>SWIND</t>
        </is>
      </c>
      <c r="E367" s="8" t="n">
        <v>1200</v>
      </c>
      <c r="F367" s="8" t="n">
        <v>350</v>
      </c>
      <c r="G367" s="8" t="n">
        <v>1150</v>
      </c>
      <c r="H367" s="8" t="n">
        <v>300</v>
      </c>
      <c r="I367" s="8" t="n"/>
      <c r="J367" s="8" t="n"/>
      <c r="K367" s="8" t="n"/>
      <c r="L367" s="8" t="inlineStr">
        <is>
          <t>Cái</t>
        </is>
      </c>
      <c r="M367" s="10" t="n">
        <v>1</v>
      </c>
      <c r="N367" s="10">
        <f>ROUND('00_TONG_HOP_BAO_GIA'!Q104, 0)</f>
        <v/>
      </c>
      <c r="O367" s="10">
        <f>ROUNDUP(N367*M367, -2)</f>
        <v/>
      </c>
      <c r="P367" s="9" t="inlineStr">
        <is>
          <t>Louver nan Z ngoài trời kèm lưới chắn côn trùng Inox 304</t>
        </is>
      </c>
    </row>
    <row r="368">
      <c r="A368" s="8" t="n"/>
      <c r="B368" s="9" t="inlineStr">
        <is>
          <t>Louver thải khói EAL + LCCT 1200x400</t>
        </is>
      </c>
      <c r="C368" s="8" t="inlineStr">
        <is>
          <t>WL+N</t>
        </is>
      </c>
      <c r="D368" s="8" t="inlineStr">
        <is>
          <t>SWIND</t>
        </is>
      </c>
      <c r="E368" s="8" t="n">
        <v>1200</v>
      </c>
      <c r="F368" s="8" t="n">
        <v>400</v>
      </c>
      <c r="G368" s="8" t="n">
        <v>1150</v>
      </c>
      <c r="H368" s="8" t="n">
        <v>350</v>
      </c>
      <c r="I368" s="8" t="n"/>
      <c r="J368" s="8" t="n"/>
      <c r="K368" s="8" t="n"/>
      <c r="L368" s="8" t="inlineStr">
        <is>
          <t>Cái</t>
        </is>
      </c>
      <c r="M368" s="10" t="n">
        <v>1</v>
      </c>
      <c r="N368" s="10">
        <f>ROUND('00_TONG_HOP_BAO_GIA'!Q105, 0)</f>
        <v/>
      </c>
      <c r="O368" s="10">
        <f>ROUNDUP(N368*M368, -2)</f>
        <v/>
      </c>
      <c r="P368" s="9" t="inlineStr">
        <is>
          <t>Louver nan Z ngoài trời kèm lưới chắn côn trùng Inox 304</t>
        </is>
      </c>
    </row>
    <row r="369">
      <c r="A369" s="8" t="n"/>
      <c r="B369" s="9" t="inlineStr">
        <is>
          <t>Louver thải khói EAL + LCCT 2500x500</t>
        </is>
      </c>
      <c r="C369" s="8" t="inlineStr">
        <is>
          <t>WL+N</t>
        </is>
      </c>
      <c r="D369" s="8" t="inlineStr">
        <is>
          <t>SWIND</t>
        </is>
      </c>
      <c r="E369" s="8" t="n">
        <v>2500</v>
      </c>
      <c r="F369" s="8" t="n">
        <v>500</v>
      </c>
      <c r="G369" s="8" t="n">
        <v>2450</v>
      </c>
      <c r="H369" s="8" t="n">
        <v>450</v>
      </c>
      <c r="I369" s="8" t="n"/>
      <c r="J369" s="8" t="n"/>
      <c r="K369" s="8" t="n"/>
      <c r="L369" s="8" t="inlineStr">
        <is>
          <t>Cái</t>
        </is>
      </c>
      <c r="M369" s="10" t="n">
        <v>1</v>
      </c>
      <c r="N369" s="10">
        <f>ROUND('00_TONG_HOP_BAO_GIA'!Q106, 0)</f>
        <v/>
      </c>
      <c r="O369" s="10">
        <f>ROUNDUP(N369*M369, -2)</f>
        <v/>
      </c>
      <c r="P369" s="9" t="inlineStr">
        <is>
          <t>Louver nan Z ngoài trời kèm lưới chắn côn trùng Inox 304</t>
        </is>
      </c>
    </row>
    <row r="370">
      <c r="A370" s="6" t="n"/>
      <c r="B370" s="7" t="inlineStr">
        <is>
          <t>Louver cấp khí tươi</t>
        </is>
      </c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</row>
    <row r="371">
      <c r="A371" s="8" t="n"/>
      <c r="B371" s="9" t="inlineStr">
        <is>
          <t>Louver cấp khí tươi FAL + LCCT 800x300</t>
        </is>
      </c>
      <c r="C371" s="8" t="inlineStr">
        <is>
          <t>WL+N</t>
        </is>
      </c>
      <c r="D371" s="8" t="inlineStr">
        <is>
          <t>SWIND</t>
        </is>
      </c>
      <c r="E371" s="8" t="n">
        <v>800</v>
      </c>
      <c r="F371" s="8" t="n">
        <v>300</v>
      </c>
      <c r="G371" s="8" t="n">
        <v>750</v>
      </c>
      <c r="H371" s="8" t="n">
        <v>250</v>
      </c>
      <c r="I371" s="8" t="n"/>
      <c r="J371" s="8" t="n"/>
      <c r="K371" s="8" t="n"/>
      <c r="L371" s="8" t="inlineStr">
        <is>
          <t>Cái</t>
        </is>
      </c>
      <c r="M371" s="10" t="n">
        <v>3</v>
      </c>
      <c r="N371" s="10">
        <f>ROUND('00_TONG_HOP_BAO_GIA'!Q107, 0)</f>
        <v/>
      </c>
      <c r="O371" s="10">
        <f>ROUNDUP(N371*M371, -2)</f>
        <v/>
      </c>
      <c r="P371" s="9" t="inlineStr">
        <is>
          <t>Louver nan Z ngoài trời kèm lưới chắn côn trùng Inox 304</t>
        </is>
      </c>
    </row>
    <row r="372">
      <c r="A372" s="8" t="n"/>
      <c r="B372" s="9" t="inlineStr">
        <is>
          <t>Louver cấp khí tươi FAL + LCCT 1000x400</t>
        </is>
      </c>
      <c r="C372" s="8" t="inlineStr">
        <is>
          <t>WL+N</t>
        </is>
      </c>
      <c r="D372" s="8" t="inlineStr">
        <is>
          <t>SWIND</t>
        </is>
      </c>
      <c r="E372" s="8" t="n">
        <v>1000</v>
      </c>
      <c r="F372" s="8" t="n">
        <v>400</v>
      </c>
      <c r="G372" s="8" t="n">
        <v>950</v>
      </c>
      <c r="H372" s="8" t="n">
        <v>350</v>
      </c>
      <c r="I372" s="8" t="n"/>
      <c r="J372" s="8" t="n"/>
      <c r="K372" s="8" t="n"/>
      <c r="L372" s="8" t="inlineStr">
        <is>
          <t>Cái</t>
        </is>
      </c>
      <c r="M372" s="10" t="n">
        <v>1</v>
      </c>
      <c r="N372" s="10">
        <f>ROUND('00_TONG_HOP_BAO_GIA'!Q108, 0)</f>
        <v/>
      </c>
      <c r="O372" s="10">
        <f>ROUNDUP(N372*M372, -2)</f>
        <v/>
      </c>
      <c r="P372" s="9" t="inlineStr">
        <is>
          <t>Louver nan Z ngoài trời kèm lưới chắn côn trùng Inox 304</t>
        </is>
      </c>
    </row>
    <row r="373">
      <c r="A373" s="8" t="n"/>
      <c r="B373" s="9" t="inlineStr">
        <is>
          <t>Louver cấp khí tươi FAL + LCCT 1100x300</t>
        </is>
      </c>
      <c r="C373" s="8" t="inlineStr">
        <is>
          <t>WL+N</t>
        </is>
      </c>
      <c r="D373" s="8" t="inlineStr">
        <is>
          <t>SWIND</t>
        </is>
      </c>
      <c r="E373" s="8" t="n">
        <v>1100</v>
      </c>
      <c r="F373" s="8" t="n">
        <v>300</v>
      </c>
      <c r="G373" s="8" t="n">
        <v>1050</v>
      </c>
      <c r="H373" s="8" t="n">
        <v>250</v>
      </c>
      <c r="I373" s="8" t="n"/>
      <c r="J373" s="8" t="n"/>
      <c r="K373" s="8" t="n"/>
      <c r="L373" s="8" t="inlineStr">
        <is>
          <t>Cái</t>
        </is>
      </c>
      <c r="M373" s="10" t="n">
        <v>1</v>
      </c>
      <c r="N373" s="10">
        <f>ROUND('00_TONG_HOP_BAO_GIA'!Q109, 0)</f>
        <v/>
      </c>
      <c r="O373" s="10">
        <f>ROUNDUP(N373*M373, -2)</f>
        <v/>
      </c>
      <c r="P373" s="9" t="inlineStr">
        <is>
          <t>Louver nan Z ngoài trời kèm lưới chắn côn trùng Inox 304</t>
        </is>
      </c>
    </row>
    <row r="374">
      <c r="A374" s="8" t="n"/>
      <c r="B374" s="9" t="inlineStr">
        <is>
          <t>Louver cấp khí tươi FAL + LCCT 3500x500</t>
        </is>
      </c>
      <c r="C374" s="8" t="inlineStr">
        <is>
          <t>WL+N</t>
        </is>
      </c>
      <c r="D374" s="8" t="inlineStr">
        <is>
          <t>SWIND</t>
        </is>
      </c>
      <c r="E374" s="8" t="n">
        <v>3500</v>
      </c>
      <c r="F374" s="8" t="n">
        <v>500</v>
      </c>
      <c r="G374" s="8" t="n">
        <v>3450</v>
      </c>
      <c r="H374" s="8" t="n">
        <v>450</v>
      </c>
      <c r="I374" s="8" t="n"/>
      <c r="J374" s="8" t="n"/>
      <c r="K374" s="8" t="n"/>
      <c r="L374" s="8" t="inlineStr">
        <is>
          <t>Cái</t>
        </is>
      </c>
      <c r="M374" s="10" t="n">
        <v>1</v>
      </c>
      <c r="N374" s="10">
        <f>ROUND('00_TONG_HOP_BAO_GIA'!Q110, 0)</f>
        <v/>
      </c>
      <c r="O374" s="10">
        <f>ROUNDUP(N374*M374, -2)</f>
        <v/>
      </c>
      <c r="P374" s="9" t="inlineStr">
        <is>
          <t>Louver nan Z ngoài trời kèm lưới chắn côn trùng Inox 304</t>
        </is>
      </c>
    </row>
    <row r="375">
      <c r="A375" s="8" t="n"/>
      <c r="B375" s="9" t="inlineStr">
        <is>
          <t>Louver cấp khí tươi FAL + LCCT 3500x700</t>
        </is>
      </c>
      <c r="C375" s="8" t="inlineStr">
        <is>
          <t>WL+N</t>
        </is>
      </c>
      <c r="D375" s="8" t="inlineStr">
        <is>
          <t>SWIND</t>
        </is>
      </c>
      <c r="E375" s="8" t="n">
        <v>3500</v>
      </c>
      <c r="F375" s="8" t="n">
        <v>700</v>
      </c>
      <c r="G375" s="8" t="n">
        <v>3450</v>
      </c>
      <c r="H375" s="8" t="n">
        <v>650</v>
      </c>
      <c r="I375" s="8" t="n"/>
      <c r="J375" s="8" t="n"/>
      <c r="K375" s="8" t="n"/>
      <c r="L375" s="8" t="inlineStr">
        <is>
          <t>Cái</t>
        </is>
      </c>
      <c r="M375" s="10" t="n">
        <v>1</v>
      </c>
      <c r="N375" s="10">
        <f>ROUND('00_TONG_HOP_BAO_GIA'!Q111, 0)</f>
        <v/>
      </c>
      <c r="O375" s="10">
        <f>ROUNDUP(N375*M375, -2)</f>
        <v/>
      </c>
      <c r="P375" s="9" t="inlineStr">
        <is>
          <t>Louver nan Z ngoài trời kèm lưới chắn côn trùng Inox 304</t>
        </is>
      </c>
    </row>
    <row r="376">
      <c r="A376" s="6" t="n"/>
      <c r="B376" s="7" t="inlineStr">
        <is>
          <t>Miệng gió cấp khí bù</t>
        </is>
      </c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</row>
    <row r="377">
      <c r="A377" s="8" t="n"/>
      <c r="B377" s="9" t="inlineStr">
        <is>
          <t>Miệng gió cấp khí bù FAG 800x300</t>
        </is>
      </c>
      <c r="C377" s="8" t="inlineStr">
        <is>
          <t>SDG</t>
        </is>
      </c>
      <c r="D377" s="8" t="inlineStr">
        <is>
          <t>SWIND</t>
        </is>
      </c>
      <c r="E377" s="8" t="n">
        <v>800</v>
      </c>
      <c r="F377" s="8" t="n">
        <v>300</v>
      </c>
      <c r="G377" s="8" t="n">
        <v>750</v>
      </c>
      <c r="H377" s="8" t="n">
        <v>250</v>
      </c>
      <c r="I377" s="8" t="n"/>
      <c r="J377" s="8" t="n"/>
      <c r="K377" s="8" t="n"/>
      <c r="L377" s="8" t="inlineStr">
        <is>
          <t>Cái</t>
        </is>
      </c>
      <c r="M377" s="10" t="n">
        <v>3</v>
      </c>
      <c r="N377" s="10">
        <f>ROUND('00_TONG_HOP_BAO_GIA'!Q112, 0)</f>
        <v/>
      </c>
      <c r="O377" s="10">
        <f>ROUNDUP(N377*M377, -2)</f>
        <v/>
      </c>
      <c r="P377" s="9" t="inlineStr">
        <is>
          <t>Cửa nan bầu dục 1 lớp</t>
        </is>
      </c>
    </row>
    <row r="378">
      <c r="A378" s="8" t="n"/>
      <c r="B378" s="9" t="inlineStr">
        <is>
          <t>Miệng gió cấp khí bù FAG 800x400</t>
        </is>
      </c>
      <c r="C378" s="8" t="inlineStr">
        <is>
          <t>SDG</t>
        </is>
      </c>
      <c r="D378" s="8" t="inlineStr">
        <is>
          <t>SWIND</t>
        </is>
      </c>
      <c r="E378" s="8" t="n">
        <v>800</v>
      </c>
      <c r="F378" s="8" t="n">
        <v>400</v>
      </c>
      <c r="G378" s="8" t="n">
        <v>750</v>
      </c>
      <c r="H378" s="8" t="n">
        <v>350</v>
      </c>
      <c r="I378" s="8" t="n"/>
      <c r="J378" s="8" t="n"/>
      <c r="K378" s="8" t="n"/>
      <c r="L378" s="8" t="inlineStr">
        <is>
          <t>Cái</t>
        </is>
      </c>
      <c r="M378" s="10" t="n">
        <v>1</v>
      </c>
      <c r="N378" s="10">
        <f>ROUND('00_TONG_HOP_BAO_GIA'!Q113, 0)</f>
        <v/>
      </c>
      <c r="O378" s="10">
        <f>ROUNDUP(N378*M378, -2)</f>
        <v/>
      </c>
      <c r="P378" s="9" t="inlineStr">
        <is>
          <t>Cửa nan bầu dục 1 lớp</t>
        </is>
      </c>
    </row>
    <row r="379">
      <c r="A379" s="8" t="n"/>
      <c r="B379" s="9" t="inlineStr">
        <is>
          <t>Miệng gió cấp khí bù FAG 800x500</t>
        </is>
      </c>
      <c r="C379" s="8" t="inlineStr">
        <is>
          <t>SDG</t>
        </is>
      </c>
      <c r="D379" s="8" t="inlineStr">
        <is>
          <t>SWIND</t>
        </is>
      </c>
      <c r="E379" s="8" t="n">
        <v>800</v>
      </c>
      <c r="F379" s="8" t="n">
        <v>500</v>
      </c>
      <c r="G379" s="8" t="n">
        <v>750</v>
      </c>
      <c r="H379" s="8" t="n">
        <v>450</v>
      </c>
      <c r="I379" s="8" t="n"/>
      <c r="J379" s="8" t="n"/>
      <c r="K379" s="8" t="n"/>
      <c r="L379" s="8" t="inlineStr">
        <is>
          <t>Cái</t>
        </is>
      </c>
      <c r="M379" s="10" t="n">
        <v>1</v>
      </c>
      <c r="N379" s="10">
        <f>ROUND('00_TONG_HOP_BAO_GIA'!Q114, 0)</f>
        <v/>
      </c>
      <c r="O379" s="10">
        <f>ROUNDUP(N379*M379, -2)</f>
        <v/>
      </c>
      <c r="P379" s="9" t="inlineStr">
        <is>
          <t>Cửa nan bầu dục 1 lớp</t>
        </is>
      </c>
    </row>
    <row r="380">
      <c r="A380" s="8" t="n"/>
      <c r="B380" s="9" t="inlineStr">
        <is>
          <t>Miệng gió cấp khí bù FAG 1200x500</t>
        </is>
      </c>
      <c r="C380" s="8" t="inlineStr">
        <is>
          <t>SDG</t>
        </is>
      </c>
      <c r="D380" s="8" t="inlineStr">
        <is>
          <t>SWIND</t>
        </is>
      </c>
      <c r="E380" s="8" t="n">
        <v>1200</v>
      </c>
      <c r="F380" s="8" t="n">
        <v>500</v>
      </c>
      <c r="G380" s="8" t="n">
        <v>1150</v>
      </c>
      <c r="H380" s="8" t="n">
        <v>450</v>
      </c>
      <c r="I380" s="8" t="n"/>
      <c r="J380" s="8" t="n"/>
      <c r="K380" s="8" t="n"/>
      <c r="L380" s="8" t="inlineStr">
        <is>
          <t>Cái</t>
        </is>
      </c>
      <c r="M380" s="10" t="n">
        <v>1</v>
      </c>
      <c r="N380" s="10">
        <f>ROUND('00_TONG_HOP_BAO_GIA'!Q115, 0)</f>
        <v/>
      </c>
      <c r="O380" s="10">
        <f>ROUNDUP(N380*M380, -2)</f>
        <v/>
      </c>
      <c r="P380" s="9" t="inlineStr">
        <is>
          <t>Cửa nan bầu dục 1 lớp</t>
        </is>
      </c>
    </row>
    <row r="381">
      <c r="A381" s="8" t="n"/>
      <c r="B381" s="9" t="inlineStr">
        <is>
          <t>Miệng gió cấp khí bù FAG 3500x700</t>
        </is>
      </c>
      <c r="C381" s="8" t="inlineStr">
        <is>
          <t>SDG</t>
        </is>
      </c>
      <c r="D381" s="8" t="inlineStr">
        <is>
          <t>SWIND</t>
        </is>
      </c>
      <c r="E381" s="8" t="n">
        <v>3500</v>
      </c>
      <c r="F381" s="8" t="n">
        <v>700</v>
      </c>
      <c r="G381" s="8" t="n">
        <v>3450</v>
      </c>
      <c r="H381" s="8" t="n">
        <v>650</v>
      </c>
      <c r="I381" s="8" t="n"/>
      <c r="J381" s="8" t="n"/>
      <c r="K381" s="8" t="n"/>
      <c r="L381" s="8" t="inlineStr">
        <is>
          <t>Cái</t>
        </is>
      </c>
      <c r="M381" s="10" t="n">
        <v>1</v>
      </c>
      <c r="N381" s="10">
        <f>ROUND('00_TONG_HOP_BAO_GIA'!Q116, 0)</f>
        <v/>
      </c>
      <c r="O381" s="10">
        <f>ROUNDUP(N381*M381, -2)</f>
        <v/>
      </c>
      <c r="P381" s="9" t="inlineStr">
        <is>
          <t>Cửa nan bầu dục 1 lớp</t>
        </is>
      </c>
    </row>
    <row r="382">
      <c r="A382" s="6" t="n"/>
      <c r="B382" s="7" t="inlineStr">
        <is>
          <t>Hộp chống cháy EI45 cho quạt</t>
        </is>
      </c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</row>
    <row r="383">
      <c r="A383" s="8" t="n"/>
      <c r="B383" s="9" t="inlineStr">
        <is>
          <t>Hộp chống cháy EI45 cho quạt DxRxC=1200x1200x1000</t>
        </is>
      </c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inlineStr">
        <is>
          <t>Cái</t>
        </is>
      </c>
      <c r="M383" s="10" t="n">
        <v>15</v>
      </c>
      <c r="N383" s="11" t="n"/>
      <c r="O383" s="11" t="n"/>
      <c r="P383" s="9" t="n"/>
    </row>
    <row r="384">
      <c r="A384" s="6" t="n"/>
      <c r="B384" s="7" t="inlineStr">
        <is>
          <t>Ống gió chống cháy EI30</t>
        </is>
      </c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</row>
    <row r="385">
      <c r="A385" s="8" t="n"/>
      <c r="B385" s="9" t="inlineStr">
        <is>
          <t>Ống gió chống cháy EI30 500x200, tole dày 0.75mm</t>
        </is>
      </c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inlineStr">
        <is>
          <t>m</t>
        </is>
      </c>
      <c r="M385" s="10" t="n">
        <v>22</v>
      </c>
      <c r="N385" s="11" t="n"/>
      <c r="O385" s="11" t="n"/>
      <c r="P385" s="9" t="n"/>
    </row>
    <row r="386">
      <c r="A386" s="8" t="n"/>
      <c r="B386" s="9" t="inlineStr">
        <is>
          <t>Ống gió chống cháy EI30 600x250, tole dày 0.75mm</t>
        </is>
      </c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inlineStr">
        <is>
          <t>m</t>
        </is>
      </c>
      <c r="M386" s="10" t="n">
        <v>33</v>
      </c>
      <c r="N386" s="11" t="n"/>
      <c r="O386" s="11" t="n"/>
      <c r="P386" s="9" t="n"/>
    </row>
    <row r="387">
      <c r="A387" s="8" t="n"/>
      <c r="B387" s="9" t="inlineStr">
        <is>
          <t>Ống gió chống cháy EI30 600x300, tole dày 0.75mm</t>
        </is>
      </c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inlineStr">
        <is>
          <t>m</t>
        </is>
      </c>
      <c r="M387" s="10" t="n">
        <v>7</v>
      </c>
      <c r="N387" s="11" t="n"/>
      <c r="O387" s="11" t="n"/>
      <c r="P387" s="9" t="n"/>
    </row>
    <row r="388">
      <c r="A388" s="8" t="n"/>
      <c r="B388" s="9" t="inlineStr">
        <is>
          <t>Ống gió chống cháy EI30 700x250, tole dày 0.75mm</t>
        </is>
      </c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inlineStr">
        <is>
          <t>m</t>
        </is>
      </c>
      <c r="M388" s="10" t="n">
        <v>14</v>
      </c>
      <c r="N388" s="11" t="n"/>
      <c r="O388" s="11" t="n"/>
      <c r="P388" s="9" t="n"/>
    </row>
    <row r="389">
      <c r="A389" s="8" t="n"/>
      <c r="B389" s="9" t="inlineStr">
        <is>
          <t>Ống gió chống cháy EI30 750x300, tole dày 0.75mm</t>
        </is>
      </c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inlineStr">
        <is>
          <t>m</t>
        </is>
      </c>
      <c r="M389" s="10" t="n">
        <v>93</v>
      </c>
      <c r="N389" s="11" t="n"/>
      <c r="O389" s="11" t="n"/>
      <c r="P389" s="9" t="n"/>
    </row>
    <row r="390">
      <c r="A390" s="8" t="n"/>
      <c r="B390" s="9" t="inlineStr">
        <is>
          <t>Ống gió chống cháy EI30 900x300, tole dày 0.75mm</t>
        </is>
      </c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inlineStr">
        <is>
          <t>m</t>
        </is>
      </c>
      <c r="M390" s="10" t="n">
        <v>48</v>
      </c>
      <c r="N390" s="11" t="n"/>
      <c r="O390" s="11" t="n"/>
      <c r="P390" s="9" t="n"/>
    </row>
    <row r="391">
      <c r="A391" s="8" t="n"/>
      <c r="B391" s="9" t="inlineStr">
        <is>
          <t>Ống gió chống cháy EI30 950x400, tole dày 0.75mm</t>
        </is>
      </c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inlineStr">
        <is>
          <t>m</t>
        </is>
      </c>
      <c r="M391" s="10" t="n">
        <v>57</v>
      </c>
      <c r="N391" s="11" t="n"/>
      <c r="O391" s="11" t="n"/>
      <c r="P391" s="9" t="n"/>
    </row>
    <row r="392">
      <c r="A392" s="8" t="n"/>
      <c r="B392" s="9" t="inlineStr">
        <is>
          <t>Ống gió chống cháy EI30 1100x350, tole dày 0.75mm</t>
        </is>
      </c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inlineStr">
        <is>
          <t>m</t>
        </is>
      </c>
      <c r="M392" s="10" t="n">
        <v>14</v>
      </c>
      <c r="N392" s="11" t="n"/>
      <c r="O392" s="11" t="n"/>
      <c r="P392" s="9" t="n"/>
    </row>
    <row r="393">
      <c r="A393" s="8" t="n"/>
      <c r="B393" s="9" t="inlineStr">
        <is>
          <t>Ống gió chống cháy EI30 1200x500, tole dày 0.75mm</t>
        </is>
      </c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inlineStr">
        <is>
          <t>m</t>
        </is>
      </c>
      <c r="M393" s="10" t="n">
        <v>7</v>
      </c>
      <c r="N393" s="11" t="n"/>
      <c r="O393" s="11" t="n"/>
      <c r="P393" s="9" t="n"/>
    </row>
    <row r="394">
      <c r="A394" s="8" t="n"/>
      <c r="B394" s="9" t="inlineStr">
        <is>
          <t>Ống gió chống cháy EI30 1300x400, tole dày 0.75mm</t>
        </is>
      </c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inlineStr">
        <is>
          <t>m</t>
        </is>
      </c>
      <c r="M394" s="10" t="n">
        <v>42</v>
      </c>
      <c r="N394" s="11" t="n"/>
      <c r="O394" s="11" t="n"/>
      <c r="P394" s="9" t="n"/>
    </row>
    <row r="395">
      <c r="A395" s="8" t="n"/>
      <c r="B395" s="9" t="inlineStr">
        <is>
          <t>Ống gió chống cháy EI30 1300x500, tole dày 0.75mm</t>
        </is>
      </c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inlineStr">
        <is>
          <t>m</t>
        </is>
      </c>
      <c r="M395" s="10" t="n">
        <v>42</v>
      </c>
      <c r="N395" s="11" t="n"/>
      <c r="O395" s="11" t="n"/>
      <c r="P395" s="9" t="n"/>
    </row>
    <row r="396">
      <c r="A396" s="8" t="n"/>
      <c r="B396" s="9" t="inlineStr">
        <is>
          <t>Phụ kiện lắp đặt ống gió (giảm, gót dày, chuyển vuông tròn...)</t>
        </is>
      </c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inlineStr">
        <is>
          <t>Lộ</t>
        </is>
      </c>
      <c r="M396" s="10" t="n">
        <v>1</v>
      </c>
      <c r="N396" s="11" t="n"/>
      <c r="O396" s="11" t="n"/>
      <c r="P396" s="9" t="n"/>
    </row>
    <row r="397">
      <c r="A397" s="8" t="n"/>
      <c r="B397" s="9" t="inlineStr">
        <is>
          <t>Vật tư phụ</t>
        </is>
      </c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inlineStr">
        <is>
          <t>Lộ</t>
        </is>
      </c>
      <c r="M397" s="10" t="n">
        <v>1</v>
      </c>
      <c r="N397" s="11" t="n"/>
      <c r="O397" s="11" t="n"/>
      <c r="P397" s="9" t="n"/>
    </row>
    <row r="398">
      <c r="A398" s="6" t="n"/>
      <c r="B398" s="7" t="inlineStr">
        <is>
          <t>Cáp điện điều khiển thiết bị</t>
        </is>
      </c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</row>
    <row r="399">
      <c r="A399" s="8" t="n"/>
      <c r="B399" s="9" t="inlineStr">
        <is>
          <t>2Cx1.5mm2 Cu/pvc/Fr (dây chống cháy)</t>
        </is>
      </c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inlineStr">
        <is>
          <t>m</t>
        </is>
      </c>
      <c r="M399" s="10" t="n">
        <v>1457.5</v>
      </c>
      <c r="N399" s="11" t="n"/>
      <c r="O399" s="11" t="n"/>
      <c r="P399" s="9" t="n"/>
    </row>
    <row r="400">
      <c r="A400" s="8" t="n"/>
      <c r="B400" s="9" t="inlineStr">
        <is>
          <t>Ống PVC DN 25</t>
        </is>
      </c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inlineStr">
        <is>
          <t>m</t>
        </is>
      </c>
      <c r="M400" s="10" t="n">
        <v>728.75</v>
      </c>
      <c r="N400" s="11" t="n"/>
      <c r="O400" s="11" t="n"/>
      <c r="P400" s="9" t="n"/>
    </row>
    <row r="401">
      <c r="A401" s="8" t="n"/>
      <c r="B401" s="9" t="inlineStr">
        <is>
          <t>Vật tư phụ</t>
        </is>
      </c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inlineStr">
        <is>
          <t>lô</t>
        </is>
      </c>
      <c r="M401" s="10" t="n">
        <v>1</v>
      </c>
      <c r="N401" s="11" t="n"/>
      <c r="O401" s="11" t="n"/>
      <c r="P401" s="9" t="n"/>
    </row>
    <row r="402">
      <c r="A402" s="6" t="n"/>
      <c r="B402" s="7" t="inlineStr">
        <is>
          <t>E. TẠO ÁP PHÒNG ĐỆM THANG BỘ, TMCC, BUỒNG THANG BỘ</t>
        </is>
      </c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</row>
    <row r="403">
      <c r="A403" s="6" t="n"/>
      <c r="B403" s="7" t="inlineStr">
        <is>
          <t>Thiết bị</t>
        </is>
      </c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</row>
    <row r="404">
      <c r="A404" s="8" t="n"/>
      <c r="B404" s="9" t="inlineStr">
        <is>
          <t>Quạt tạo áp: PAF-A1-21F.01, 02
- Ly tâm, nối ống gió.
- Lưu lượng: 2400L/s@250Pa</t>
        </is>
      </c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inlineStr">
        <is>
          <t>cái</t>
        </is>
      </c>
      <c r="M404" s="10" t="n">
        <v>2</v>
      </c>
      <c r="N404" s="11" t="n"/>
      <c r="O404" s="11" t="n"/>
      <c r="P404" s="9" t="n"/>
    </row>
    <row r="405">
      <c r="A405" s="8" t="n"/>
      <c r="B405" s="9" t="inlineStr">
        <is>
          <t>Quạt tạo áp: PAF-A1-RF.01
- Ly tâm, nối ống gió.
- Lưu lượng: 5850L/s@950Pa</t>
        </is>
      </c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inlineStr">
        <is>
          <t>cái</t>
        </is>
      </c>
      <c r="M405" s="10" t="n">
        <v>1</v>
      </c>
      <c r="N405" s="11" t="n"/>
      <c r="O405" s="11" t="n"/>
      <c r="P405" s="9" t="n"/>
    </row>
    <row r="406">
      <c r="A406" s="8" t="n"/>
      <c r="B406" s="9" t="inlineStr">
        <is>
          <t>Quạt tạo áp: PAF-A1-RF.02, 03, 04
- Ly tâm, nối ống gió.
- Lưu lượng: 10000L/s@950Pa</t>
        </is>
      </c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inlineStr">
        <is>
          <t>Cái</t>
        </is>
      </c>
      <c r="M406" s="10" t="n">
        <v>3</v>
      </c>
      <c r="N406" s="11" t="n"/>
      <c r="O406" s="11" t="n"/>
      <c r="P406" s="9" t="n"/>
    </row>
    <row r="407">
      <c r="A407" s="8" t="n"/>
      <c r="B407" s="9" t="inlineStr">
        <is>
          <t>Quạt tạo áp: PAF-A1-RF.05
- Ly tâm, nối ống gió.
- Lưu lượng: 8450L/s@550Pa</t>
        </is>
      </c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inlineStr">
        <is>
          <t>Cái</t>
        </is>
      </c>
      <c r="M407" s="10" t="n">
        <v>1</v>
      </c>
      <c r="N407" s="11" t="n"/>
      <c r="O407" s="11" t="n"/>
      <c r="P407" s="9" t="n"/>
    </row>
    <row r="408">
      <c r="A408" s="8" t="n"/>
      <c r="B408" s="9" t="inlineStr">
        <is>
          <t>Quạt tạo áp: PAF-A1-RF.06, 07, 08
- Ly tâm, nối ống gió.
- Lưu lượng: 23700L/s@550Pa</t>
        </is>
      </c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inlineStr">
        <is>
          <t>Cái</t>
        </is>
      </c>
      <c r="M408" s="10" t="n">
        <v>3</v>
      </c>
      <c r="N408" s="11" t="n"/>
      <c r="O408" s="11" t="n"/>
      <c r="P408" s="9" t="n"/>
    </row>
    <row r="409">
      <c r="A409" s="8" t="n"/>
      <c r="B409" s="9" t="inlineStr">
        <is>
          <t>Quạt tạo áp: PAF-A1-RF.09
- Ly tâm, nối ống gió.
- Lưu lượng: 15800L/s@550Pa</t>
        </is>
      </c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inlineStr">
        <is>
          <t>Cái</t>
        </is>
      </c>
      <c r="M409" s="10" t="n">
        <v>1</v>
      </c>
      <c r="N409" s="11" t="n"/>
      <c r="O409" s="11" t="n"/>
      <c r="P409" s="9" t="n"/>
    </row>
    <row r="410">
      <c r="A410" s="8" t="n"/>
      <c r="B410" s="9" t="inlineStr">
        <is>
          <t>Quạt tạo áp: PAF-A2-RF.01
- Ly tâm, nối ống gió.
- Lưu lượng: 5850L/s@950Pa</t>
        </is>
      </c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inlineStr">
        <is>
          <t>Cái</t>
        </is>
      </c>
      <c r="M410" s="10" t="n">
        <v>1</v>
      </c>
      <c r="N410" s="11" t="n"/>
      <c r="O410" s="11" t="n"/>
      <c r="P410" s="9" t="n"/>
    </row>
    <row r="411">
      <c r="A411" s="8" t="n"/>
      <c r="B411" s="9" t="inlineStr">
        <is>
          <t>Quạt tạo áp: PAF-A2-RF.02, 03, 04
- Ly tâm, nối ống gió.
- Lưu lượng: 10000L/s@950Pa</t>
        </is>
      </c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inlineStr">
        <is>
          <t>Cái</t>
        </is>
      </c>
      <c r="M411" s="10" t="n">
        <v>3</v>
      </c>
      <c r="N411" s="11" t="n"/>
      <c r="O411" s="11" t="n"/>
      <c r="P411" s="9" t="n"/>
    </row>
    <row r="412">
      <c r="A412" s="8" t="n"/>
      <c r="B412" s="9" t="inlineStr">
        <is>
          <t>Quạt tạo áp: PAF-A2-RF.05
- Ly tâm, nối ống gió.
- Lưu lượng: 8450L/s@550Pa</t>
        </is>
      </c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inlineStr">
        <is>
          <t>Cái</t>
        </is>
      </c>
      <c r="M412" s="10" t="n">
        <v>1</v>
      </c>
      <c r="N412" s="11" t="n"/>
      <c r="O412" s="11" t="n"/>
      <c r="P412" s="9" t="n"/>
    </row>
    <row r="413">
      <c r="A413" s="8" t="n"/>
      <c r="B413" s="9" t="inlineStr">
        <is>
          <t>Quạt tạo áp: PAF-A2-RF.06, 07, 08
- Ly tâm, nối ống gió.
- Lưu lượng: 23700L/s@550Pa</t>
        </is>
      </c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inlineStr">
        <is>
          <t>Cái</t>
        </is>
      </c>
      <c r="M413" s="10" t="n">
        <v>3</v>
      </c>
      <c r="N413" s="11" t="n"/>
      <c r="O413" s="11" t="n"/>
      <c r="P413" s="9" t="n"/>
    </row>
    <row r="414">
      <c r="A414" s="8" t="n"/>
      <c r="B414" s="9" t="inlineStr">
        <is>
          <t>Quạt tạo áp: PAF-A2-RF.09
- Ly tâm, nối ống gió.
- Lưu lượng: 15800L/s@550Pa</t>
        </is>
      </c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inlineStr">
        <is>
          <t>Cái</t>
        </is>
      </c>
      <c r="M414" s="10" t="n">
        <v>1</v>
      </c>
      <c r="N414" s="11" t="n"/>
      <c r="O414" s="11" t="n"/>
      <c r="P414" s="9" t="n"/>
    </row>
    <row r="415">
      <c r="A415" s="8" t="n"/>
      <c r="B415" s="9" t="inlineStr">
        <is>
          <t>Lò xo chống rung cho quạt</t>
        </is>
      </c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inlineStr">
        <is>
          <t>Cái</t>
        </is>
      </c>
      <c r="M415" s="10" t="n">
        <v>80</v>
      </c>
      <c r="N415" s="11" t="n"/>
      <c r="O415" s="11" t="n"/>
      <c r="P415" s="9" t="n"/>
    </row>
    <row r="416">
      <c r="A416" s="8" t="n"/>
      <c r="B416" s="9" t="inlineStr">
        <is>
          <t>Vật tư phụ lắp đặt thiết bị</t>
        </is>
      </c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inlineStr">
        <is>
          <t>Lô</t>
        </is>
      </c>
      <c r="M416" s="10" t="n">
        <v>1</v>
      </c>
      <c r="N416" s="11" t="n"/>
      <c r="O416" s="11" t="n"/>
      <c r="P416" s="9" t="n"/>
    </row>
    <row r="417">
      <c r="A417" s="6" t="n"/>
      <c r="B417" s="7" t="inlineStr">
        <is>
          <t>Vật tư đường ống</t>
        </is>
      </c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</row>
    <row r="418">
      <c r="A418" s="8" t="n"/>
      <c r="B418" s="9" t="inlineStr">
        <is>
          <t>Bộ cảm biến khói, loại gắn trên ống gió</t>
        </is>
      </c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inlineStr">
        <is>
          <t>Bộ</t>
        </is>
      </c>
      <c r="M418" s="10" t="n">
        <v>20</v>
      </c>
      <c r="N418" s="11" t="n"/>
      <c r="O418" s="11" t="n"/>
      <c r="P418" s="9" t="n"/>
    </row>
    <row r="419">
      <c r="A419" s="6" t="n"/>
      <c r="B419" s="7" t="inlineStr">
        <is>
          <t>Van xả áp</t>
        </is>
      </c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</row>
    <row r="420">
      <c r="A420" s="8" t="n"/>
      <c r="B420" s="9" t="inlineStr">
        <is>
          <t>Van xả áp loại dùng đối trọng PRD 1100x400</t>
        </is>
      </c>
      <c r="C420" s="8" t="inlineStr">
        <is>
          <t>PRD</t>
        </is>
      </c>
      <c r="D420" s="8" t="inlineStr">
        <is>
          <t>SWIND</t>
        </is>
      </c>
      <c r="E420" s="8" t="n">
        <v>1100</v>
      </c>
      <c r="F420" s="8" t="n">
        <v>400</v>
      </c>
      <c r="G420" s="8" t="n"/>
      <c r="H420" s="8" t="n"/>
      <c r="I420" s="8" t="n"/>
      <c r="J420" s="8" t="n">
        <v>200</v>
      </c>
      <c r="K420" s="12" t="n">
        <v>1.15</v>
      </c>
      <c r="L420" s="8" t="inlineStr">
        <is>
          <t>cái</t>
        </is>
      </c>
      <c r="M420" s="10" t="n">
        <v>12</v>
      </c>
      <c r="N420" s="10">
        <f>ROUND('00_TONG_HOP_BAO_GIA'!Q117, 0)</f>
        <v/>
      </c>
      <c r="O420" s="10">
        <f>ROUNDUP(N420*M420, -2)</f>
        <v/>
      </c>
      <c r="P420" s="9" t="inlineStr">
        <is>
          <t>Van xả áp đối trọng tôn mạ kẽm</t>
        </is>
      </c>
    </row>
    <row r="421">
      <c r="A421" s="8" t="n"/>
      <c r="B421" s="9" t="inlineStr">
        <is>
          <t>Van xả áp loại dùng đối trọng PRD 900x500</t>
        </is>
      </c>
      <c r="C421" s="8" t="inlineStr">
        <is>
          <t>PRD</t>
        </is>
      </c>
      <c r="D421" s="8" t="inlineStr">
        <is>
          <t>SWIND</t>
        </is>
      </c>
      <c r="E421" s="8" t="n">
        <v>900</v>
      </c>
      <c r="F421" s="8" t="n">
        <v>500</v>
      </c>
      <c r="G421" s="8" t="n"/>
      <c r="H421" s="8" t="n"/>
      <c r="I421" s="8" t="n"/>
      <c r="J421" s="8" t="n">
        <v>200</v>
      </c>
      <c r="K421" s="12" t="n">
        <v>0.95</v>
      </c>
      <c r="L421" s="8" t="inlineStr">
        <is>
          <t>cái</t>
        </is>
      </c>
      <c r="M421" s="10" t="n">
        <v>2</v>
      </c>
      <c r="N421" s="10">
        <f>ROUND('00_TONG_HOP_BAO_GIA'!Q118, 0)</f>
        <v/>
      </c>
      <c r="O421" s="10">
        <f>ROUNDUP(N421*M421, -2)</f>
        <v/>
      </c>
      <c r="P421" s="9" t="inlineStr">
        <is>
          <t>Van xả áp đối trọng tôn mạ kẽm</t>
        </is>
      </c>
    </row>
    <row r="422">
      <c r="A422" s="8" t="n"/>
      <c r="B422" s="9" t="inlineStr">
        <is>
          <t>Van xả áp loại dùng đối trọng PRD 800x400</t>
        </is>
      </c>
      <c r="C422" s="8" t="inlineStr">
        <is>
          <t>PRD</t>
        </is>
      </c>
      <c r="D422" s="8" t="inlineStr">
        <is>
          <t>SWIND</t>
        </is>
      </c>
      <c r="E422" s="8" t="n">
        <v>800</v>
      </c>
      <c r="F422" s="8" t="n">
        <v>400</v>
      </c>
      <c r="G422" s="8" t="n"/>
      <c r="H422" s="8" t="n"/>
      <c r="I422" s="8" t="n"/>
      <c r="J422" s="8" t="n">
        <v>200</v>
      </c>
      <c r="K422" s="12" t="n">
        <v>0.75</v>
      </c>
      <c r="L422" s="8" t="inlineStr">
        <is>
          <t>Cái</t>
        </is>
      </c>
      <c r="M422" s="10" t="n">
        <v>4</v>
      </c>
      <c r="N422" s="10">
        <f>ROUND('00_TONG_HOP_BAO_GIA'!Q119, 0)</f>
        <v/>
      </c>
      <c r="O422" s="10">
        <f>ROUNDUP(N422*M422, -2)</f>
        <v/>
      </c>
      <c r="P422" s="9" t="inlineStr">
        <is>
          <t>Van xả áp đối trọng tôn mạ kẽm</t>
        </is>
      </c>
    </row>
    <row r="423">
      <c r="A423" s="8" t="n"/>
      <c r="B423" s="9" t="inlineStr">
        <is>
          <t>Van xả áp loại dùng đối trọng PRD 600x300</t>
        </is>
      </c>
      <c r="C423" s="8" t="inlineStr">
        <is>
          <t>PRD</t>
        </is>
      </c>
      <c r="D423" s="8" t="inlineStr">
        <is>
          <t>SWIND</t>
        </is>
      </c>
      <c r="E423" s="8" t="n">
        <v>600</v>
      </c>
      <c r="F423" s="8" t="n">
        <v>300</v>
      </c>
      <c r="G423" s="8" t="n"/>
      <c r="H423" s="8" t="n"/>
      <c r="I423" s="8" t="n"/>
      <c r="J423" s="8" t="n">
        <v>200</v>
      </c>
      <c r="K423" s="12" t="n">
        <v>0.75</v>
      </c>
      <c r="L423" s="8" t="inlineStr">
        <is>
          <t>Cái</t>
        </is>
      </c>
      <c r="M423" s="10" t="n">
        <v>2</v>
      </c>
      <c r="N423" s="10">
        <f>ROUND('00_TONG_HOP_BAO_GIA'!Q120, 0)</f>
        <v/>
      </c>
      <c r="O423" s="10">
        <f>ROUNDUP(N423*M423, -2)</f>
        <v/>
      </c>
      <c r="P423" s="9" t="inlineStr">
        <is>
          <t>Van xả áp đối trọng tôn mạ kẽm</t>
        </is>
      </c>
    </row>
    <row r="424">
      <c r="A424" s="6" t="n"/>
      <c r="B424" s="7" t="inlineStr">
        <is>
          <t>Miệng gió</t>
        </is>
      </c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</row>
    <row r="425">
      <c r="A425" s="8" t="n"/>
      <c r="B425" s="9" t="inlineStr">
        <is>
          <t>Miệng gió tạo áp PAG 250x250 + OBD
Kèm box gió</t>
        </is>
      </c>
      <c r="C425" s="8" t="inlineStr">
        <is>
          <t>SDG+O</t>
        </is>
      </c>
      <c r="D425" s="8" t="inlineStr">
        <is>
          <t>SWIND</t>
        </is>
      </c>
      <c r="E425" s="8" t="n">
        <v>250</v>
      </c>
      <c r="F425" s="8" t="n">
        <v>250</v>
      </c>
      <c r="G425" s="8" t="n">
        <v>200</v>
      </c>
      <c r="H425" s="8" t="n">
        <v>200</v>
      </c>
      <c r="I425" s="8" t="n"/>
      <c r="J425" s="8" t="n"/>
      <c r="K425" s="8" t="n"/>
      <c r="L425" s="8" t="inlineStr">
        <is>
          <t>Cái</t>
        </is>
      </c>
      <c r="M425" s="10" t="n">
        <v>140</v>
      </c>
      <c r="N425" s="10">
        <f>ROUND('00_TONG_HOP_BAO_GIA'!Q121, 0)</f>
        <v/>
      </c>
      <c r="O425" s="10">
        <f>ROUNDUP(N425*M425, -2)</f>
        <v/>
      </c>
      <c r="P425" s="9" t="inlineStr">
        <is>
          <t>Cửa nan thẳng bầu dục kèm van OBD (tăng áp / hút khói). Không tính box do nhà thầu tự thi công</t>
        </is>
      </c>
    </row>
    <row r="426">
      <c r="A426" s="8" t="n"/>
      <c r="B426" s="9" t="inlineStr">
        <is>
          <t>Miệng gió xả áp PAG 200x200
Kèm box gió</t>
        </is>
      </c>
      <c r="C426" s="8" t="inlineStr">
        <is>
          <t>SDG</t>
        </is>
      </c>
      <c r="D426" s="8" t="inlineStr">
        <is>
          <t>SWIND</t>
        </is>
      </c>
      <c r="E426" s="8" t="n">
        <v>200</v>
      </c>
      <c r="F426" s="8" t="n">
        <v>200</v>
      </c>
      <c r="G426" s="8" t="n">
        <v>150</v>
      </c>
      <c r="H426" s="8" t="n">
        <v>150</v>
      </c>
      <c r="I426" s="8" t="n"/>
      <c r="J426" s="8" t="n"/>
      <c r="K426" s="8" t="n"/>
      <c r="L426" s="8" t="inlineStr">
        <is>
          <t>Cái</t>
        </is>
      </c>
      <c r="M426" s="10" t="n">
        <v>72</v>
      </c>
      <c r="N426" s="10">
        <f>ROUND('00_TONG_HOP_BAO_GIA'!Q122, 0)</f>
        <v/>
      </c>
      <c r="O426" s="10">
        <f>ROUNDUP(N426*M426, -2)</f>
        <v/>
      </c>
      <c r="P426" s="9" t="inlineStr">
        <is>
          <t>Cửa nan bầu dục 1 lớp. Không tính box do nhà thầu tự thi công</t>
        </is>
      </c>
    </row>
    <row r="427">
      <c r="A427" s="8" t="n"/>
      <c r="B427" s="9" t="inlineStr">
        <is>
          <t>Miệng gió xả áp PAG 1100x400
Kèm box gió</t>
        </is>
      </c>
      <c r="C427" s="8" t="inlineStr">
        <is>
          <t>SDG</t>
        </is>
      </c>
      <c r="D427" s="8" t="inlineStr">
        <is>
          <t>SWIND</t>
        </is>
      </c>
      <c r="E427" s="8" t="n">
        <v>1100</v>
      </c>
      <c r="F427" s="8" t="n">
        <v>400</v>
      </c>
      <c r="G427" s="8" t="n">
        <v>1050</v>
      </c>
      <c r="H427" s="8" t="n">
        <v>350</v>
      </c>
      <c r="I427" s="8" t="n"/>
      <c r="J427" s="8" t="n"/>
      <c r="K427" s="8" t="n"/>
      <c r="L427" s="8" t="inlineStr">
        <is>
          <t>Cái</t>
        </is>
      </c>
      <c r="M427" s="10" t="n">
        <v>204</v>
      </c>
      <c r="N427" s="10">
        <f>ROUND('00_TONG_HOP_BAO_GIA'!Q123, 0)</f>
        <v/>
      </c>
      <c r="O427" s="10">
        <f>ROUNDUP(N427*M427, -2)</f>
        <v/>
      </c>
      <c r="P427" s="9" t="inlineStr">
        <is>
          <t>Cửa nan bầu dục 1 lớp. Không tính box do nhà thầu tự thi công</t>
        </is>
      </c>
    </row>
    <row r="428">
      <c r="A428" s="8" t="n"/>
      <c r="B428" s="9" t="inlineStr">
        <is>
          <t>Miệng gió tạo áp PAG 400x400 + OBD
Kèm box gió</t>
        </is>
      </c>
      <c r="C428" s="8" t="inlineStr">
        <is>
          <t>SDG+O</t>
        </is>
      </c>
      <c r="D428" s="8" t="inlineStr">
        <is>
          <t>SWIND</t>
        </is>
      </c>
      <c r="E428" s="8" t="n">
        <v>400</v>
      </c>
      <c r="F428" s="8" t="n">
        <v>400</v>
      </c>
      <c r="G428" s="8" t="n">
        <v>350</v>
      </c>
      <c r="H428" s="8" t="n">
        <v>350</v>
      </c>
      <c r="I428" s="8" t="n"/>
      <c r="J428" s="8" t="n"/>
      <c r="K428" s="8" t="n"/>
      <c r="L428" s="8" t="inlineStr">
        <is>
          <t>Cái</t>
        </is>
      </c>
      <c r="M428" s="10" t="n">
        <v>204</v>
      </c>
      <c r="N428" s="10">
        <f>ROUND('00_TONG_HOP_BAO_GIA'!Q124, 0)</f>
        <v/>
      </c>
      <c r="O428" s="10">
        <f>ROUNDUP(N428*M428, -2)</f>
        <v/>
      </c>
      <c r="P428" s="9" t="inlineStr">
        <is>
          <t>Cửa nan thẳng bầu dục kèm van OBD (tăng áp / hút khói). Không tính box do nhà thầu tự thi công</t>
        </is>
      </c>
    </row>
    <row r="429">
      <c r="A429" s="8" t="n"/>
      <c r="B429" s="9" t="inlineStr">
        <is>
          <t>Miệng gió xả áp PAG 1000x500
Kèm box gió</t>
        </is>
      </c>
      <c r="C429" s="8" t="inlineStr">
        <is>
          <t>SDG</t>
        </is>
      </c>
      <c r="D429" s="8" t="inlineStr">
        <is>
          <t>SWIND</t>
        </is>
      </c>
      <c r="E429" s="8" t="n">
        <v>1000</v>
      </c>
      <c r="F429" s="8" t="n">
        <v>500</v>
      </c>
      <c r="G429" s="8" t="n">
        <v>950</v>
      </c>
      <c r="H429" s="8" t="n">
        <v>450</v>
      </c>
      <c r="I429" s="8" t="n"/>
      <c r="J429" s="8" t="n"/>
      <c r="K429" s="8" t="n"/>
      <c r="L429" s="8" t="inlineStr">
        <is>
          <t>cái</t>
        </is>
      </c>
      <c r="M429" s="10" t="n">
        <v>2</v>
      </c>
      <c r="N429" s="10">
        <f>ROUND('00_TONG_HOP_BAO_GIA'!Q125, 0)</f>
        <v/>
      </c>
      <c r="O429" s="10">
        <f>ROUNDUP(N429*M429, -2)</f>
        <v/>
      </c>
      <c r="P429" s="9" t="inlineStr">
        <is>
          <t>Cửa nan bầu dục 1 lớp. Không tính box do nhà thầu tự thi công</t>
        </is>
      </c>
    </row>
    <row r="430">
      <c r="A430" s="6" t="n"/>
      <c r="B430" s="7" t="inlineStr">
        <is>
          <t>Louver</t>
        </is>
      </c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</row>
    <row r="431">
      <c r="A431" s="8" t="n"/>
      <c r="B431" s="9" t="inlineStr">
        <is>
          <t>FAL + LCCT 1300x500</t>
        </is>
      </c>
      <c r="C431" s="8" t="inlineStr">
        <is>
          <t>WL+N</t>
        </is>
      </c>
      <c r="D431" s="8" t="inlineStr">
        <is>
          <t>SWIND</t>
        </is>
      </c>
      <c r="E431" s="8" t="n">
        <v>1300</v>
      </c>
      <c r="F431" s="8" t="n">
        <v>500</v>
      </c>
      <c r="G431" s="8" t="n">
        <v>1250</v>
      </c>
      <c r="H431" s="8" t="n">
        <v>450</v>
      </c>
      <c r="I431" s="8" t="n"/>
      <c r="J431" s="8" t="n"/>
      <c r="K431" s="8" t="n"/>
      <c r="L431" s="8" t="inlineStr">
        <is>
          <t>cửa</t>
        </is>
      </c>
      <c r="M431" s="10" t="n">
        <v>2</v>
      </c>
      <c r="N431" s="10">
        <f>ROUND('00_TONG_HOP_BAO_GIA'!Q126, 0)</f>
        <v/>
      </c>
      <c r="O431" s="10">
        <f>ROUNDUP(N431*M431, -2)</f>
        <v/>
      </c>
      <c r="P431" s="9" t="inlineStr">
        <is>
          <t>Louver nan Z ngoài trời kèm lưới chắn côn trùng Inox 304</t>
        </is>
      </c>
    </row>
    <row r="432">
      <c r="A432" s="6" t="n"/>
      <c r="B432" s="7" t="inlineStr">
        <is>
          <t>Lưới chắn côn trùng</t>
        </is>
      </c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</row>
    <row r="433">
      <c r="A433" s="8" t="n"/>
      <c r="B433" s="9" t="inlineStr">
        <is>
          <t>LCCT D800</t>
        </is>
      </c>
      <c r="C433" s="8" t="inlineStr">
        <is>
          <t>LCCT</t>
        </is>
      </c>
      <c r="D433" s="8" t="inlineStr">
        <is>
          <t>SWIND</t>
        </is>
      </c>
      <c r="E433" s="8" t="inlineStr">
        <is>
          <t>Ø</t>
        </is>
      </c>
      <c r="F433" s="8" t="n">
        <v>800</v>
      </c>
      <c r="G433" s="8" t="n"/>
      <c r="H433" s="8" t="n"/>
      <c r="I433" s="8" t="n"/>
      <c r="J433" s="8" t="n"/>
      <c r="K433" s="8" t="n"/>
      <c r="L433" s="8" t="inlineStr">
        <is>
          <t>Cái</t>
        </is>
      </c>
      <c r="M433" s="10" t="n">
        <v>2</v>
      </c>
      <c r="N433" s="10">
        <f>ROUND('00_TONG_HOP_BAO_GIA'!Q127, 0)</f>
        <v/>
      </c>
      <c r="O433" s="10">
        <f>ROUNDUP(N433*M433, -2)</f>
        <v/>
      </c>
      <c r="P433" s="9" t="inlineStr">
        <is>
          <t>Lưới chắn côn trùng</t>
        </is>
      </c>
    </row>
    <row r="434">
      <c r="A434" s="8" t="n"/>
      <c r="B434" s="9" t="inlineStr">
        <is>
          <t>LCCT D980</t>
        </is>
      </c>
      <c r="C434" s="8" t="inlineStr">
        <is>
          <t>LCCT</t>
        </is>
      </c>
      <c r="D434" s="8" t="inlineStr">
        <is>
          <t>SWIND</t>
        </is>
      </c>
      <c r="E434" s="8" t="inlineStr">
        <is>
          <t>Ø</t>
        </is>
      </c>
      <c r="F434" s="8" t="n">
        <v>980</v>
      </c>
      <c r="G434" s="8" t="n"/>
      <c r="H434" s="8" t="n"/>
      <c r="I434" s="8" t="n"/>
      <c r="J434" s="8" t="n"/>
      <c r="K434" s="8" t="n"/>
      <c r="L434" s="8" t="inlineStr">
        <is>
          <t>Cái</t>
        </is>
      </c>
      <c r="M434" s="10" t="n">
        <v>16</v>
      </c>
      <c r="N434" s="10">
        <f>ROUND('00_TONG_HOP_BAO_GIA'!Q128, 0)</f>
        <v/>
      </c>
      <c r="O434" s="10">
        <f>ROUNDUP(N434*M434, -2)</f>
        <v/>
      </c>
      <c r="P434" s="9" t="inlineStr">
        <is>
          <t>Lưới chắn côn trùng</t>
        </is>
      </c>
    </row>
    <row r="435">
      <c r="A435" s="6" t="n"/>
      <c r="B435" s="7" t="inlineStr">
        <is>
          <t>Ống gió chống cháy EI30</t>
        </is>
      </c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</row>
    <row r="436">
      <c r="A436" s="8" t="n"/>
      <c r="B436" s="9" t="inlineStr">
        <is>
          <t>Ống gió chống cháy EI30 800x300, tole dày 0.75mm</t>
        </is>
      </c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inlineStr">
        <is>
          <t>m</t>
        </is>
      </c>
      <c r="M436" s="10" t="n">
        <v>26</v>
      </c>
      <c r="N436" s="11" t="n"/>
      <c r="O436" s="11" t="n"/>
      <c r="P436" s="9" t="n"/>
    </row>
    <row r="437">
      <c r="A437" s="6" t="n"/>
      <c r="B437" s="7" t="inlineStr">
        <is>
          <t>Ống gió tráng kẽm</t>
        </is>
      </c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</row>
    <row r="438">
      <c r="A438" s="8" t="n"/>
      <c r="B438" s="9" t="inlineStr">
        <is>
          <t>Ống gió tráng kẽm 400x400, dày 0.57mm</t>
        </is>
      </c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inlineStr">
        <is>
          <t>m</t>
        </is>
      </c>
      <c r="M438" s="10" t="n">
        <v>23</v>
      </c>
      <c r="N438" s="11" t="n"/>
      <c r="O438" s="11" t="n"/>
      <c r="P438" s="9" t="n"/>
    </row>
    <row r="439">
      <c r="A439" s="8" t="n"/>
      <c r="B439" s="9" t="inlineStr">
        <is>
          <t>Ống gió tráng kẽm 700x700, dày 0.75mm</t>
        </is>
      </c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inlineStr">
        <is>
          <t>m</t>
        </is>
      </c>
      <c r="M439" s="10" t="n">
        <v>87</v>
      </c>
      <c r="N439" s="11" t="n"/>
      <c r="O439" s="11" t="n"/>
      <c r="P439" s="9" t="n"/>
    </row>
    <row r="440">
      <c r="A440" s="8" t="n"/>
      <c r="B440" s="9" t="inlineStr">
        <is>
          <t>Ống gió tráng kẽm 800x600, dày 0.75mm</t>
        </is>
      </c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inlineStr">
        <is>
          <t>m</t>
        </is>
      </c>
      <c r="M440" s="10" t="n">
        <v>17</v>
      </c>
      <c r="N440" s="11" t="n"/>
      <c r="O440" s="11" t="n"/>
      <c r="P440" s="9" t="n"/>
    </row>
    <row r="441">
      <c r="A441" s="8" t="n"/>
      <c r="B441" s="9" t="inlineStr">
        <is>
          <t>Ống gió tráng kẽm 800x700, dày 0.75mm</t>
        </is>
      </c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inlineStr">
        <is>
          <t>m</t>
        </is>
      </c>
      <c r="M441" s="10" t="n">
        <v>14</v>
      </c>
      <c r="N441" s="11" t="n"/>
      <c r="O441" s="11" t="n"/>
      <c r="P441" s="9" t="n"/>
    </row>
    <row r="442">
      <c r="A442" s="8" t="n"/>
      <c r="B442" s="9" t="inlineStr">
        <is>
          <t>Ống gió tráng kẽm 900x600, dày 0.75mm</t>
        </is>
      </c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inlineStr">
        <is>
          <t>m</t>
        </is>
      </c>
      <c r="M442" s="10" t="n">
        <v>12</v>
      </c>
      <c r="N442" s="11" t="n"/>
      <c r="O442" s="11" t="n"/>
      <c r="P442" s="9" t="n"/>
    </row>
    <row r="443">
      <c r="A443" s="8" t="n"/>
      <c r="B443" s="9" t="inlineStr">
        <is>
          <t>Ống gió tráng kẽm 1200x600, dày 0.95mm</t>
        </is>
      </c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inlineStr">
        <is>
          <t>m</t>
        </is>
      </c>
      <c r="M443" s="10" t="n">
        <v>22</v>
      </c>
      <c r="N443" s="11" t="n"/>
      <c r="O443" s="11" t="n"/>
      <c r="P443" s="9" t="n"/>
    </row>
    <row r="444">
      <c r="A444" s="8" t="n"/>
      <c r="B444" s="9" t="inlineStr">
        <is>
          <t>Ống gió tráng kẽm 1000x1000, dày 0.95mm</t>
        </is>
      </c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inlineStr">
        <is>
          <t>m</t>
        </is>
      </c>
      <c r="M444" s="10" t="n">
        <v>8</v>
      </c>
      <c r="N444" s="11" t="n"/>
      <c r="O444" s="11" t="n"/>
      <c r="P444" s="9" t="n"/>
    </row>
    <row r="445">
      <c r="A445" s="8" t="n"/>
      <c r="B445" s="9" t="inlineStr">
        <is>
          <t>Ống gió tráng kẽm 1200x1200, dày 0.95mm</t>
        </is>
      </c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inlineStr">
        <is>
          <t>m</t>
        </is>
      </c>
      <c r="M445" s="10" t="n">
        <v>33</v>
      </c>
      <c r="N445" s="11" t="n"/>
      <c r="O445" s="11" t="n"/>
      <c r="P445" s="9" t="n"/>
    </row>
    <row r="446">
      <c r="A446" s="8" t="n"/>
      <c r="B446" s="9" t="inlineStr">
        <is>
          <t>Phụ kiện lắp đặt ống gió (giảm, gót dày, chuyển vuông tròn...)</t>
        </is>
      </c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inlineStr">
        <is>
          <t>Lộ</t>
        </is>
      </c>
      <c r="M446" s="10" t="n">
        <v>1</v>
      </c>
      <c r="N446" s="11" t="n"/>
      <c r="O446" s="11" t="n"/>
      <c r="P446" s="9" t="n"/>
    </row>
    <row r="447">
      <c r="A447" s="8" t="n"/>
      <c r="B447" s="9" t="inlineStr">
        <is>
          <t>Vật tư phụ</t>
        </is>
      </c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inlineStr">
        <is>
          <t>Lộ</t>
        </is>
      </c>
      <c r="M447" s="10" t="n">
        <v>1</v>
      </c>
      <c r="N447" s="11" t="n"/>
      <c r="O447" s="11" t="n"/>
      <c r="P447" s="9" t="n"/>
    </row>
    <row r="448">
      <c r="A448" s="6" t="n"/>
      <c r="B448" s="7" t="inlineStr">
        <is>
          <t>Cáp điện điều khiển thiết bị</t>
        </is>
      </c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</row>
    <row r="449">
      <c r="A449" s="8" t="n"/>
      <c r="B449" s="9" t="inlineStr">
        <is>
          <t>2Cx1.5mm2 Cu/pvc/Fr (dây chống cháy)</t>
        </is>
      </c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inlineStr">
        <is>
          <t>m</t>
        </is>
      </c>
      <c r="M449" s="10" t="n">
        <v>6305.2</v>
      </c>
      <c r="N449" s="11" t="n"/>
      <c r="O449" s="11" t="n"/>
      <c r="P449" s="9" t="n"/>
    </row>
    <row r="450">
      <c r="A450" s="8" t="n"/>
      <c r="B450" s="9" t="inlineStr">
        <is>
          <t>Ống PVC DN 25</t>
        </is>
      </c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inlineStr">
        <is>
          <t>m</t>
        </is>
      </c>
      <c r="M450" s="10" t="n">
        <v>3152.6</v>
      </c>
      <c r="N450" s="11" t="n"/>
      <c r="O450" s="11" t="n"/>
      <c r="P450" s="9" t="n"/>
    </row>
    <row r="451">
      <c r="A451" s="8" t="n"/>
      <c r="B451" s="9" t="inlineStr">
        <is>
          <t>Vật tư phụ</t>
        </is>
      </c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inlineStr">
        <is>
          <t>lô</t>
        </is>
      </c>
      <c r="M451" s="10" t="n">
        <v>1</v>
      </c>
      <c r="N451" s="11" t="n"/>
      <c r="O451" s="11" t="n"/>
      <c r="P451" s="9" t="n"/>
    </row>
    <row r="452">
      <c r="A452" s="6" t="n"/>
      <c r="B452" s="7" t="inlineStr">
        <is>
          <t>F. HỆ THỐNG CẢNH BÁO KHÍ CO TẦNG HẦM</t>
        </is>
      </c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</row>
    <row r="453">
      <c r="A453" s="8" t="n"/>
      <c r="B453" s="9" t="inlineStr">
        <is>
          <t>Cảm biến khí CO</t>
        </is>
      </c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inlineStr">
        <is>
          <t>bộ</t>
        </is>
      </c>
      <c r="M453" s="10" t="n">
        <v>96</v>
      </c>
      <c r="N453" s="11" t="n"/>
      <c r="O453" s="11" t="n"/>
      <c r="P453" s="9" t="n"/>
    </row>
    <row r="454">
      <c r="A454" s="8" t="n"/>
      <c r="B454" s="9" t="inlineStr">
        <is>
          <t>Dây tín hiệu 2Cx1.5mm2</t>
        </is>
      </c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inlineStr">
        <is>
          <t>m</t>
        </is>
      </c>
      <c r="M454" s="10" t="n">
        <v>2887.5</v>
      </c>
      <c r="N454" s="11" t="n"/>
      <c r="O454" s="11" t="n"/>
      <c r="P454" s="9" t="n"/>
    </row>
    <row r="455">
      <c r="A455" s="8" t="n"/>
      <c r="B455" s="9" t="inlineStr">
        <is>
          <t>Ống PVC DN 25</t>
        </is>
      </c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inlineStr">
        <is>
          <t>m</t>
        </is>
      </c>
      <c r="M455" s="10" t="n">
        <v>2887.5</v>
      </c>
      <c r="N455" s="11" t="n"/>
      <c r="O455" s="11" t="n"/>
      <c r="P455" s="9" t="n"/>
    </row>
    <row r="456">
      <c r="A456" s="8" t="n"/>
      <c r="B456" s="9" t="inlineStr">
        <is>
          <t>Vật tư phụ hệ điện</t>
        </is>
      </c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inlineStr">
        <is>
          <t>Lô</t>
        </is>
      </c>
      <c r="M456" s="10" t="n">
        <v>1</v>
      </c>
      <c r="N456" s="11" t="n"/>
      <c r="O456" s="11" t="n"/>
      <c r="P456" s="9" t="n"/>
    </row>
    <row r="457">
      <c r="A457" s="6" t="n"/>
      <c r="B457" s="7" t="inlineStr">
        <is>
          <t>G. HỆ THỐNG THÔNG GIÓ PHÒNG RÁC TẦNG</t>
        </is>
      </c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</row>
    <row r="458">
      <c r="A458" s="6" t="n"/>
      <c r="B458" s="7" t="inlineStr">
        <is>
          <t>Thiết bị</t>
        </is>
      </c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</row>
    <row r="459">
      <c r="A459" s="8" t="n"/>
      <c r="B459" s="9" t="inlineStr">
        <is>
          <t>Quạt thông gió: EAF-A1-RAC-RF.01
- Ly tâm, nối ống gió.
- Lưu lượng: 2200L/s@700Pa</t>
        </is>
      </c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inlineStr">
        <is>
          <t>cái</t>
        </is>
      </c>
      <c r="M459" s="10" t="n">
        <v>1</v>
      </c>
      <c r="N459" s="11" t="n"/>
      <c r="O459" s="11" t="n"/>
      <c r="P459" s="9" t="n"/>
    </row>
    <row r="460">
      <c r="A460" s="8" t="n"/>
      <c r="B460" s="9" t="inlineStr">
        <is>
          <t>Quạt thông gió: EAF-A2-RAC-RF.01
- Ly tâm, nối ống gió.
- Lưu lượng: 2200L/s@700Pa</t>
        </is>
      </c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inlineStr">
        <is>
          <t>Cái</t>
        </is>
      </c>
      <c r="M460" s="10" t="n">
        <v>1</v>
      </c>
      <c r="N460" s="11" t="n"/>
      <c r="O460" s="11" t="n"/>
      <c r="P460" s="9" t="n"/>
    </row>
    <row r="461">
      <c r="A461" s="8" t="n"/>
      <c r="B461" s="9" t="inlineStr">
        <is>
          <t>Lò xo chống rung cho quạt</t>
        </is>
      </c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inlineStr">
        <is>
          <t>Cái</t>
        </is>
      </c>
      <c r="M461" s="10" t="n">
        <v>8</v>
      </c>
      <c r="N461" s="11" t="n"/>
      <c r="O461" s="11" t="n"/>
      <c r="P461" s="9" t="n"/>
    </row>
    <row r="462">
      <c r="A462" s="8" t="n"/>
      <c r="B462" s="9" t="inlineStr">
        <is>
          <t>Vật tư phụ lắp đặt thiết bị</t>
        </is>
      </c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inlineStr">
        <is>
          <t>Lô</t>
        </is>
      </c>
      <c r="M462" s="10" t="n">
        <v>1</v>
      </c>
      <c r="N462" s="11" t="n"/>
      <c r="O462" s="11" t="n"/>
      <c r="P462" s="9" t="n"/>
    </row>
    <row r="463">
      <c r="A463" s="6" t="n"/>
      <c r="B463" s="7" t="inlineStr">
        <is>
          <t>Vật tư đường ống</t>
        </is>
      </c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</row>
    <row r="464">
      <c r="A464" s="6" t="n"/>
      <c r="B464" s="7" t="inlineStr">
        <is>
          <t>Van chặn lửa, EI30</t>
        </is>
      </c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</row>
    <row r="465">
      <c r="A465" s="8" t="n"/>
      <c r="B465" s="9" t="inlineStr">
        <is>
          <t>Van chặn lửa, EI30 FD 150x150</t>
        </is>
      </c>
      <c r="C465" s="8" t="inlineStr">
        <is>
          <t>SWIND-2.01- E-FD-EI120</t>
        </is>
      </c>
      <c r="D465" s="8" t="inlineStr">
        <is>
          <t>SWIND</t>
        </is>
      </c>
      <c r="E465" s="8" t="n">
        <v>150</v>
      </c>
      <c r="F465" s="8" t="n">
        <v>150</v>
      </c>
      <c r="G465" s="8" t="n"/>
      <c r="H465" s="8" t="n"/>
      <c r="I465" s="8" t="n"/>
      <c r="J465" s="8" t="n">
        <v>200</v>
      </c>
      <c r="K465" s="12" t="n">
        <v>1.15</v>
      </c>
      <c r="L465" s="8" t="inlineStr">
        <is>
          <t>Cái</t>
        </is>
      </c>
      <c r="M465" s="10" t="n">
        <v>76</v>
      </c>
      <c r="N465" s="10">
        <f>ROUND('00_TONG_HOP_BAO_GIA'!Q129, 0)</f>
        <v/>
      </c>
      <c r="O465" s="10">
        <f>ROUNDUP(N465*M465, -2)</f>
        <v/>
      </c>
      <c r="P465" s="9" t="inlineStr">
        <is>
          <t>- Van chặn lửa cầu chì - Tiêu chuẩn EI 120
- 2 đầu bích TDC - gắn cầu chì 70-74 độ C
- Sản xuất theo BCTN số: 4761/VLXD-TBMT</t>
        </is>
      </c>
    </row>
    <row r="466">
      <c r="A466" s="6" t="n"/>
      <c r="B466" s="7" t="inlineStr">
        <is>
          <t>Van điều chỉnh lưu lượng</t>
        </is>
      </c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</row>
    <row r="467">
      <c r="A467" s="8" t="n"/>
      <c r="B467" s="9" t="inlineStr">
        <is>
          <t>Van điều chỉnh lưu lượng VCD 150x150</t>
        </is>
      </c>
      <c r="C467" s="8" t="inlineStr">
        <is>
          <t>VCD</t>
        </is>
      </c>
      <c r="D467" s="8" t="inlineStr">
        <is>
          <t>SWIND</t>
        </is>
      </c>
      <c r="E467" s="8" t="n">
        <v>150</v>
      </c>
      <c r="F467" s="8" t="n">
        <v>150</v>
      </c>
      <c r="G467" s="8" t="n"/>
      <c r="H467" s="8" t="n"/>
      <c r="I467" s="8" t="n"/>
      <c r="J467" s="8" t="n">
        <v>200</v>
      </c>
      <c r="K467" s="12" t="n">
        <v>0.75</v>
      </c>
      <c r="L467" s="8" t="inlineStr">
        <is>
          <t>Cái</t>
        </is>
      </c>
      <c r="M467" s="10" t="n">
        <v>76</v>
      </c>
      <c r="N467" s="10">
        <f>ROUND('00_TONG_HOP_BAO_GIA'!Q130, 0)</f>
        <v/>
      </c>
      <c r="O467" s="10">
        <f>ROUNDUP(N467*M467, -2)</f>
        <v/>
      </c>
      <c r="P467" s="9" t="inlineStr">
        <is>
          <t>Van điều chỉnh lưu lượng tay gạt tôn mạ kẽm</t>
        </is>
      </c>
    </row>
    <row r="468">
      <c r="A468" s="6" t="n"/>
      <c r="B468" s="7" t="inlineStr">
        <is>
          <t>Miệng gió</t>
        </is>
      </c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</row>
    <row r="469">
      <c r="A469" s="8" t="n"/>
      <c r="B469" s="9" t="inlineStr">
        <is>
          <t>Miệng gió tạo áp EAG 150x150 + OBD
Kèm box gió</t>
        </is>
      </c>
      <c r="C469" s="8" t="inlineStr">
        <is>
          <t>SDG+O</t>
        </is>
      </c>
      <c r="D469" s="8" t="inlineStr">
        <is>
          <t>SWIND</t>
        </is>
      </c>
      <c r="E469" s="8" t="n">
        <v>150</v>
      </c>
      <c r="F469" s="8" t="n">
        <v>150</v>
      </c>
      <c r="G469" s="8" t="n">
        <v>100</v>
      </c>
      <c r="H469" s="8" t="n">
        <v>100</v>
      </c>
      <c r="I469" s="8" t="n"/>
      <c r="J469" s="8" t="n"/>
      <c r="K469" s="8" t="n"/>
      <c r="L469" s="8" t="inlineStr">
        <is>
          <t>Cái</t>
        </is>
      </c>
      <c r="M469" s="10" t="n">
        <v>152</v>
      </c>
      <c r="N469" s="10">
        <f>ROUND('00_TONG_HOP_BAO_GIA'!Q131, 0)</f>
        <v/>
      </c>
      <c r="O469" s="10">
        <f>ROUNDUP(N469*M469, -2)</f>
        <v/>
      </c>
      <c r="P469" s="9" t="inlineStr">
        <is>
          <t>Cửa nan thẳng bầu dục kèm van OBD (tăng áp / hút khói). Không tính box do nhà thầu tự thi công</t>
        </is>
      </c>
    </row>
    <row r="470">
      <c r="A470" s="6" t="n"/>
      <c r="B470" s="7" t="inlineStr">
        <is>
          <t>Lưới chắn côn trùng</t>
        </is>
      </c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</row>
    <row r="471">
      <c r="A471" s="8" t="n"/>
      <c r="B471" s="9" t="inlineStr">
        <is>
          <t>LCCT 700x300</t>
        </is>
      </c>
      <c r="C471" s="8" t="inlineStr">
        <is>
          <t>LCCT</t>
        </is>
      </c>
      <c r="D471" s="8" t="inlineStr">
        <is>
          <t>SWIND</t>
        </is>
      </c>
      <c r="E471" s="8" t="n">
        <v>700</v>
      </c>
      <c r="F471" s="8" t="n">
        <v>300</v>
      </c>
      <c r="G471" s="8" t="n"/>
      <c r="H471" s="8" t="n"/>
      <c r="I471" s="8" t="n"/>
      <c r="J471" s="8" t="n"/>
      <c r="K471" s="8" t="n"/>
      <c r="L471" s="8" t="inlineStr">
        <is>
          <t>Cái</t>
        </is>
      </c>
      <c r="M471" s="10" t="n">
        <v>2</v>
      </c>
      <c r="N471" s="10">
        <f>ROUND('00_TONG_HOP_BAO_GIA'!Q132, 0)</f>
        <v/>
      </c>
      <c r="O471" s="10">
        <f>ROUNDUP(N471*M471, -2)</f>
        <v/>
      </c>
      <c r="P471" s="9" t="inlineStr">
        <is>
          <t>Lưới chắn côn trùng</t>
        </is>
      </c>
    </row>
    <row r="472">
      <c r="A472" s="6" t="n"/>
      <c r="B472" s="7" t="inlineStr">
        <is>
          <t>Ống gió tráng kẽm</t>
        </is>
      </c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</row>
    <row r="473">
      <c r="A473" s="8" t="n"/>
      <c r="B473" s="9" t="inlineStr">
        <is>
          <t>Ống gió tráng kẽm 150x150, dày 0.57mm</t>
        </is>
      </c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inlineStr">
        <is>
          <t>m</t>
        </is>
      </c>
      <c r="M473" s="10" t="n">
        <v>239</v>
      </c>
      <c r="N473" s="11" t="n"/>
      <c r="O473" s="11" t="n"/>
      <c r="P473" s="9" t="n"/>
    </row>
    <row r="474">
      <c r="A474" s="8" t="n"/>
      <c r="B474" s="9" t="inlineStr">
        <is>
          <t>Ống gió tráng kẽm 650x300, dày 0.75mm</t>
        </is>
      </c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inlineStr">
        <is>
          <t>m</t>
        </is>
      </c>
      <c r="M474" s="10" t="n">
        <v>320</v>
      </c>
      <c r="N474" s="11" t="n"/>
      <c r="O474" s="11" t="n"/>
      <c r="P474" s="9" t="n"/>
    </row>
    <row r="475">
      <c r="A475" s="8" t="n"/>
      <c r="B475" s="9" t="inlineStr">
        <is>
          <t>Phụ kiện lắp đặt ống gió (giảm, gót dày, chuyển vuông tròn...)</t>
        </is>
      </c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inlineStr">
        <is>
          <t>Lộ</t>
        </is>
      </c>
      <c r="M475" s="10" t="n">
        <v>1</v>
      </c>
      <c r="N475" s="11" t="n"/>
      <c r="O475" s="11" t="n"/>
      <c r="P475" s="9" t="n"/>
    </row>
    <row r="476">
      <c r="A476" s="8" t="n"/>
      <c r="B476" s="9" t="inlineStr">
        <is>
          <t>Vật tư phụ</t>
        </is>
      </c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inlineStr">
        <is>
          <t>Lộ</t>
        </is>
      </c>
      <c r="M476" s="10" t="n">
        <v>1</v>
      </c>
      <c r="N476" s="11" t="n"/>
      <c r="O476" s="11" t="n"/>
      <c r="P476" s="9" t="n"/>
    </row>
    <row r="477">
      <c r="A477" s="6" t="n"/>
      <c r="B477" s="7" t="inlineStr">
        <is>
          <t>CHI PHÍ KHÁC</t>
        </is>
      </c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</row>
    <row r="478">
      <c r="A478" s="8" t="n"/>
      <c r="B478" s="9" t="inlineStr">
        <is>
          <t>Chi phí thí nghiệm thiết bị PCCC</t>
        </is>
      </c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inlineStr">
        <is>
          <t>Lô</t>
        </is>
      </c>
      <c r="M478" s="10" t="n">
        <v>1</v>
      </c>
      <c r="N478" s="11" t="n"/>
      <c r="O478" s="11" t="n"/>
      <c r="P478" s="9" t="n"/>
    </row>
    <row r="479">
      <c r="A479" s="8" t="n"/>
      <c r="B479" s="9" t="inlineStr">
        <is>
          <t>Chi phí Fill chống cháy lan: Rock wool, foam, silicon chống cháy…</t>
        </is>
      </c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inlineStr">
        <is>
          <t>Lô</t>
        </is>
      </c>
      <c r="M479" s="10" t="n">
        <v>1</v>
      </c>
      <c r="N479" s="11" t="n"/>
      <c r="O479" s="11" t="n"/>
      <c r="P479" s="9" t="n"/>
    </row>
    <row r="480">
      <c r="A480" s="8" t="n"/>
      <c r="B480" s="9" t="inlineStr">
        <is>
          <t>Chi phí T&amp;C hệ thống</t>
        </is>
      </c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inlineStr">
        <is>
          <t>Lô</t>
        </is>
      </c>
      <c r="M480" s="10" t="n">
        <v>1</v>
      </c>
      <c r="N480" s="11" t="n"/>
      <c r="O480" s="11" t="n"/>
      <c r="P480" s="9" t="n"/>
    </row>
    <row r="482">
      <c r="B482" s="13" t="inlineStr">
        <is>
          <t>TỔNG CỘNG (CHƯA BAO GỒM VAT):</t>
        </is>
      </c>
      <c r="O482" s="14">
        <f>SUBTOTAL(9,O14:O480)</f>
        <v/>
      </c>
    </row>
    <row r="483">
      <c r="B483" s="13" t="inlineStr">
        <is>
          <t>THUẾ GTGT (VAT 8%):</t>
        </is>
      </c>
      <c r="O483" s="14">
        <f>ROUND(O482*0.08, 0)</f>
        <v/>
      </c>
    </row>
    <row r="484">
      <c r="B484" s="13" t="inlineStr">
        <is>
          <t>TỔNG CỘNG THANH TOÁN (ĐÃ GỒM VAT 8%):</t>
        </is>
      </c>
      <c r="O484" s="14">
        <f>O482+O483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5" t="inlineStr">
        <is>
          <t>STT</t>
        </is>
      </c>
      <c r="B1" s="15" t="inlineStr">
        <is>
          <t>ITEM_ID</t>
        </is>
      </c>
      <c r="C1" s="15" t="inlineStr">
        <is>
          <t>PHÂN NHÓM</t>
        </is>
      </c>
      <c r="D1" s="15" t="inlineStr">
        <is>
          <t>TÊN SẢN PHẨM</t>
        </is>
      </c>
      <c r="E1" s="15" t="inlineStr">
        <is>
          <t>QUY CÁCH (WxH)</t>
        </is>
      </c>
      <c r="F1" s="15" t="inlineStr">
        <is>
          <t>ĐVT</t>
        </is>
      </c>
      <c r="G1" s="15" t="inlineStr">
        <is>
          <t>SỐ LƯỢNG</t>
        </is>
      </c>
      <c r="H1" s="15" t="inlineStr">
        <is>
          <t>CP VẬT TƯ ỐNG</t>
        </is>
      </c>
      <c r="I1" s="15" t="inlineStr">
        <is>
          <t>CP VẬT TƯ CỬA</t>
        </is>
      </c>
      <c r="J1" s="15" t="inlineStr">
        <is>
          <t>CP VẬT TƯ VAN</t>
        </is>
      </c>
      <c r="K1" s="15" t="inlineStr">
        <is>
          <t>TỔNG CP VẬT TƯ</t>
        </is>
      </c>
      <c r="L1" s="15" t="inlineStr">
        <is>
          <t>NHÂN CÔNG (25%)</t>
        </is>
      </c>
      <c r="M1" s="15" t="inlineStr">
        <is>
          <t>CP XƯỞNG (10%)</t>
        </is>
      </c>
      <c r="N1" s="15" t="inlineStr">
        <is>
          <t>TỔNG GIÁ VỐN</t>
        </is>
      </c>
      <c r="O1" s="15" t="inlineStr">
        <is>
          <t>GIÁ VỐN / ĐVT</t>
        </is>
      </c>
      <c r="P1" s="15" t="inlineStr">
        <is>
          <t>MARGIN (%)</t>
        </is>
      </c>
      <c r="Q1" s="15" t="inlineStr">
        <is>
          <t>ĐƠN GIÁ BÁN</t>
        </is>
      </c>
      <c r="R1" s="15" t="inlineStr">
        <is>
          <t>THÀNH TIỀN (VNĐ)</t>
        </is>
      </c>
      <c r="S1" s="15" t="inlineStr">
        <is>
          <t>GHI CHÚ</t>
        </is>
      </c>
    </row>
    <row r="2">
      <c r="A2" t="n">
        <v>1</v>
      </c>
      <c r="B2" t="inlineStr">
        <is>
          <t>SW-DAMPER-001</t>
        </is>
      </c>
      <c r="C2" t="inlineStr">
        <is>
          <t>VAN GIÓ</t>
        </is>
      </c>
      <c r="D2" t="inlineStr">
        <is>
          <t>Vật tư đường ống Van một chiều NRD 500x500</t>
        </is>
      </c>
      <c r="E2" t="inlineStr">
        <is>
          <t>500x500</t>
        </is>
      </c>
      <c r="F2" t="inlineStr">
        <is>
          <t>cái</t>
        </is>
      </c>
      <c r="G2" s="16" t="n">
        <v>2</v>
      </c>
      <c r="H2" s="16">
        <f>SUMIF('01_BOC_TACH_ONG'!$B$2:$B$5000, B2, '01_BOC_TACH_ONG'!$K$2:$K$5000)</f>
        <v/>
      </c>
      <c r="I2" s="16">
        <f>SUMIF('02_BOC_TACH_CUA'!$B$2:$B$5000, B2, '02_BOC_TACH_CUA'!$K$2:$K$5000)</f>
        <v/>
      </c>
      <c r="J2" s="16">
        <f>SUMIF('03_BOC_TACH_VAN'!$B$2:$B$5000, B2, '03_BOC_TACH_VAN'!$K$2:$K$5000)</f>
        <v/>
      </c>
      <c r="K2" s="16">
        <f>SUM(H2:J2)</f>
        <v/>
      </c>
      <c r="L2" s="16">
        <f>(K2-SUMIFS('03_BOC_TACH_VAN'!$K$2:$K$5000, '03_BOC_TACH_VAN'!$B$2:$B$5000, B2, '03_BOC_TACH_VAN'!$D$2:$D$5000, "ĐỘNG_CƠ_VÀ_CẢM_BIẾN"))*0.25</f>
        <v/>
      </c>
      <c r="M2" s="16">
        <f>(K2-SUMIFS('03_BOC_TACH_VAN'!$K$2:$K$5000, '03_BOC_TACH_VAN'!$B$2:$B$5000, B2, '03_BOC_TACH_VAN'!$D$2:$D$5000, "ĐỘNG_CƠ_VÀ_CẢM_BIẾN"))*0.10</f>
        <v/>
      </c>
      <c r="N2" s="16">
        <f>K2+L2+M2</f>
        <v/>
      </c>
      <c r="O2" s="16">
        <f>IF(G2&gt;0, N2/G2, 0)</f>
        <v/>
      </c>
      <c r="P2" s="17" t="n">
        <v>0.18</v>
      </c>
      <c r="Q2" s="16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6">
        <f>G2*Q2</f>
        <v/>
      </c>
      <c r="S2" t="inlineStr">
        <is>
          <t>Van 1 chiều tôn mạ kẽm</t>
        </is>
      </c>
    </row>
    <row r="3">
      <c r="A3" t="n">
        <v>2</v>
      </c>
      <c r="B3" t="inlineStr">
        <is>
          <t>SW-DAMPER-002</t>
        </is>
      </c>
      <c r="C3" t="inlineStr">
        <is>
          <t>VAN GIÓ</t>
        </is>
      </c>
      <c r="D3" t="inlineStr">
        <is>
          <t>Vật tư đường ống Van một chiều NRD 600x500</t>
        </is>
      </c>
      <c r="E3" t="inlineStr">
        <is>
          <t>600x500</t>
        </is>
      </c>
      <c r="F3" t="inlineStr">
        <is>
          <t>cái</t>
        </is>
      </c>
      <c r="G3" s="16" t="n">
        <v>1</v>
      </c>
      <c r="H3" s="16">
        <f>SUMIF('01_BOC_TACH_ONG'!$B$2:$B$5000, B3, '01_BOC_TACH_ONG'!$K$2:$K$5000)</f>
        <v/>
      </c>
      <c r="I3" s="16">
        <f>SUMIF('02_BOC_TACH_CUA'!$B$2:$B$5000, B3, '02_BOC_TACH_CUA'!$K$2:$K$5000)</f>
        <v/>
      </c>
      <c r="J3" s="16">
        <f>SUMIF('03_BOC_TACH_VAN'!$B$2:$B$5000, B3, '03_BOC_TACH_VAN'!$K$2:$K$5000)</f>
        <v/>
      </c>
      <c r="K3" s="16">
        <f>SUM(H3:J3)</f>
        <v/>
      </c>
      <c r="L3" s="16">
        <f>(K3-SUMIFS('03_BOC_TACH_VAN'!$K$2:$K$5000, '03_BOC_TACH_VAN'!$B$2:$B$5000, B3, '03_BOC_TACH_VAN'!$D$2:$D$5000, "ĐỘNG_CƠ_VÀ_CẢM_BIẾN"))*0.25</f>
        <v/>
      </c>
      <c r="M3" s="16">
        <f>(K3-SUMIFS('03_BOC_TACH_VAN'!$K$2:$K$5000, '03_BOC_TACH_VAN'!$B$2:$B$5000, B3, '03_BOC_TACH_VAN'!$D$2:$D$5000, "ĐỘNG_CƠ_VÀ_CẢM_BIẾN"))*0.10</f>
        <v/>
      </c>
      <c r="N3" s="16">
        <f>K3+L3+M3</f>
        <v/>
      </c>
      <c r="O3" s="16">
        <f>IF(G3&gt;0, N3/G3, 0)</f>
        <v/>
      </c>
      <c r="P3" s="17" t="n">
        <v>0.18</v>
      </c>
      <c r="Q3" s="16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6">
        <f>G3*Q3</f>
        <v/>
      </c>
      <c r="S3" t="inlineStr">
        <is>
          <t>Van 1 chiều tôn mạ kẽm</t>
        </is>
      </c>
    </row>
    <row r="4">
      <c r="A4" t="n">
        <v>3</v>
      </c>
      <c r="B4" t="inlineStr">
        <is>
          <t>SW-DAMPER-003</t>
        </is>
      </c>
      <c r="C4" t="inlineStr">
        <is>
          <t>VAN GIÓ</t>
        </is>
      </c>
      <c r="D4" t="inlineStr">
        <is>
          <t>Vật tư đường ống Van một chiều NRD 900x300</t>
        </is>
      </c>
      <c r="E4" t="inlineStr">
        <is>
          <t>900x300</t>
        </is>
      </c>
      <c r="F4" t="inlineStr">
        <is>
          <t>cái</t>
        </is>
      </c>
      <c r="G4" s="16" t="n">
        <v>1</v>
      </c>
      <c r="H4" s="16">
        <f>SUMIF('01_BOC_TACH_ONG'!$B$2:$B$5000, B4, '01_BOC_TACH_ONG'!$K$2:$K$5000)</f>
        <v/>
      </c>
      <c r="I4" s="16">
        <f>SUMIF('02_BOC_TACH_CUA'!$B$2:$B$5000, B4, '02_BOC_TACH_CUA'!$K$2:$K$5000)</f>
        <v/>
      </c>
      <c r="J4" s="16">
        <f>SUMIF('03_BOC_TACH_VAN'!$B$2:$B$5000, B4, '03_BOC_TACH_VAN'!$K$2:$K$5000)</f>
        <v/>
      </c>
      <c r="K4" s="16">
        <f>SUM(H4:J4)</f>
        <v/>
      </c>
      <c r="L4" s="16">
        <f>(K4-SUMIFS('03_BOC_TACH_VAN'!$K$2:$K$5000, '03_BOC_TACH_VAN'!$B$2:$B$5000, B4, '03_BOC_TACH_VAN'!$D$2:$D$5000, "ĐỘNG_CƠ_VÀ_CẢM_BIẾN"))*0.25</f>
        <v/>
      </c>
      <c r="M4" s="16">
        <f>(K4-SUMIFS('03_BOC_TACH_VAN'!$K$2:$K$5000, '03_BOC_TACH_VAN'!$B$2:$B$5000, B4, '03_BOC_TACH_VAN'!$D$2:$D$5000, "ĐỘNG_CƠ_VÀ_CẢM_BIẾN"))*0.10</f>
        <v/>
      </c>
      <c r="N4" s="16">
        <f>K4+L4+M4</f>
        <v/>
      </c>
      <c r="O4" s="16">
        <f>IF(G4&gt;0, N4/G4, 0)</f>
        <v/>
      </c>
      <c r="P4" s="17" t="n">
        <v>0.18</v>
      </c>
      <c r="Q4" s="16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6">
        <f>G4*Q4</f>
        <v/>
      </c>
      <c r="S4" t="inlineStr">
        <is>
          <t>Van 1 chiều tôn mạ kẽm</t>
        </is>
      </c>
    </row>
    <row r="5">
      <c r="A5" t="n">
        <v>4</v>
      </c>
      <c r="B5" t="inlineStr">
        <is>
          <t>SW-DAMPER-004</t>
        </is>
      </c>
      <c r="C5" t="inlineStr">
        <is>
          <t>VAN GIÓ</t>
        </is>
      </c>
      <c r="D5" t="inlineStr">
        <is>
          <t>Vật tư đường ống Van xả áp PRD 1100x400</t>
        </is>
      </c>
      <c r="E5" t="inlineStr">
        <is>
          <t>1100x400</t>
        </is>
      </c>
      <c r="F5" t="inlineStr">
        <is>
          <t>cái</t>
        </is>
      </c>
      <c r="G5" s="16" t="n">
        <v>8</v>
      </c>
      <c r="H5" s="16">
        <f>SUMIF('01_BOC_TACH_ONG'!$B$2:$B$5000, B5, '01_BOC_TACH_ONG'!$K$2:$K$5000)</f>
        <v/>
      </c>
      <c r="I5" s="16">
        <f>SUMIF('02_BOC_TACH_CUA'!$B$2:$B$5000, B5, '02_BOC_TACH_CUA'!$K$2:$K$5000)</f>
        <v/>
      </c>
      <c r="J5" s="16">
        <f>SUMIF('03_BOC_TACH_VAN'!$B$2:$B$5000, B5, '03_BOC_TACH_VAN'!$K$2:$K$5000)</f>
        <v/>
      </c>
      <c r="K5" s="16">
        <f>SUM(H5:J5)</f>
        <v/>
      </c>
      <c r="L5" s="16">
        <f>(K5-SUMIFS('03_BOC_TACH_VAN'!$K$2:$K$5000, '03_BOC_TACH_VAN'!$B$2:$B$5000, B5, '03_BOC_TACH_VAN'!$D$2:$D$5000, "ĐỘNG_CƠ_VÀ_CẢM_BIẾN"))*0.25</f>
        <v/>
      </c>
      <c r="M5" s="16">
        <f>(K5-SUMIFS('03_BOC_TACH_VAN'!$K$2:$K$5000, '03_BOC_TACH_VAN'!$B$2:$B$5000, B5, '03_BOC_TACH_VAN'!$D$2:$D$5000, "ĐỘNG_CƠ_VÀ_CẢM_BIẾN"))*0.10</f>
        <v/>
      </c>
      <c r="N5" s="16">
        <f>K5+L5+M5</f>
        <v/>
      </c>
      <c r="O5" s="16">
        <f>IF(G5&gt;0, N5/G5, 0)</f>
        <v/>
      </c>
      <c r="P5" s="17" t="n">
        <v>0.18</v>
      </c>
      <c r="Q5" s="16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6">
        <f>G5*Q5</f>
        <v/>
      </c>
      <c r="S5" t="inlineStr">
        <is>
          <t>Van xả áp đối trọng tôn mạ kẽm</t>
        </is>
      </c>
    </row>
    <row r="6">
      <c r="A6" t="n">
        <v>5</v>
      </c>
      <c r="B6" t="inlineStr">
        <is>
          <t>SW-DAMPER-005</t>
        </is>
      </c>
      <c r="C6" t="inlineStr">
        <is>
          <t>VAN GIÓ</t>
        </is>
      </c>
      <c r="D6" t="inlineStr">
        <is>
          <t>Van chặn lửa MFD, EI60 MFD 400x250</t>
        </is>
      </c>
      <c r="E6" t="inlineStr">
        <is>
          <t>400x250</t>
        </is>
      </c>
      <c r="F6" t="inlineStr">
        <is>
          <t>cửa</t>
        </is>
      </c>
      <c r="G6" s="16" t="n">
        <v>3</v>
      </c>
      <c r="H6" s="16">
        <f>SUMIF('01_BOC_TACH_ONG'!$B$2:$B$5000, B6, '01_BOC_TACH_ONG'!$K$2:$K$5000)</f>
        <v/>
      </c>
      <c r="I6" s="16">
        <f>SUMIF('02_BOC_TACH_CUA'!$B$2:$B$5000, B6, '02_BOC_TACH_CUA'!$K$2:$K$5000)</f>
        <v/>
      </c>
      <c r="J6" s="16">
        <f>SUMIF('03_BOC_TACH_VAN'!$B$2:$B$5000, B6, '03_BOC_TACH_VAN'!$K$2:$K$5000)</f>
        <v/>
      </c>
      <c r="K6" s="16">
        <f>SUM(H6:J6)</f>
        <v/>
      </c>
      <c r="L6" s="16">
        <f>(K6-SUMIFS('03_BOC_TACH_VAN'!$K$2:$K$5000, '03_BOC_TACH_VAN'!$B$2:$B$5000, B6, '03_BOC_TACH_VAN'!$D$2:$D$5000, "ĐỘNG_CƠ_VÀ_CẢM_BIẾN"))*0.25</f>
        <v/>
      </c>
      <c r="M6" s="16">
        <f>(K6-SUMIFS('03_BOC_TACH_VAN'!$K$2:$K$5000, '03_BOC_TACH_VAN'!$B$2:$B$5000, B6, '03_BOC_TACH_VAN'!$D$2:$D$5000, "ĐỘNG_CƠ_VÀ_CẢM_BIẾN"))*0.10</f>
        <v/>
      </c>
      <c r="N6" s="16">
        <f>K6+L6+M6</f>
        <v/>
      </c>
      <c r="O6" s="16">
        <f>IF(G6&gt;0, N6/G6, 0)</f>
        <v/>
      </c>
      <c r="P6" s="17" t="n">
        <v>0.18</v>
      </c>
      <c r="Q6" s="16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6">
        <f>G6*Q6</f>
        <v/>
      </c>
      <c r="S6" t="inlineStr">
        <is>
          <t>- Van ngăn cháy động cơ - Tiêu chuẩn EI 90
- 2 đầu bích TDC - Gắn kèm động cơ ON-OFF 5Nm, Hãng KLB
- Sản xuất theo BCTN số 4651/VLXD-TBMT</t>
        </is>
      </c>
    </row>
    <row r="7">
      <c r="A7" t="n">
        <v>6</v>
      </c>
      <c r="B7" t="inlineStr">
        <is>
          <t>SW-DAMPER-006</t>
        </is>
      </c>
      <c r="C7" t="inlineStr">
        <is>
          <t>VAN GIÓ</t>
        </is>
      </c>
      <c r="D7" t="inlineStr">
        <is>
          <t>Van chặn lửa MFD, EI60 MFD 500x500</t>
        </is>
      </c>
      <c r="E7" t="inlineStr">
        <is>
          <t>500x500</t>
        </is>
      </c>
      <c r="F7" t="inlineStr">
        <is>
          <t>cái</t>
        </is>
      </c>
      <c r="G7" s="16" t="n">
        <v>5</v>
      </c>
      <c r="H7" s="16">
        <f>SUMIF('01_BOC_TACH_ONG'!$B$2:$B$5000, B7, '01_BOC_TACH_ONG'!$K$2:$K$5000)</f>
        <v/>
      </c>
      <c r="I7" s="16">
        <f>SUMIF('02_BOC_TACH_CUA'!$B$2:$B$5000, B7, '02_BOC_TACH_CUA'!$K$2:$K$5000)</f>
        <v/>
      </c>
      <c r="J7" s="16">
        <f>SUMIF('03_BOC_TACH_VAN'!$B$2:$B$5000, B7, '03_BOC_TACH_VAN'!$K$2:$K$5000)</f>
        <v/>
      </c>
      <c r="K7" s="16">
        <f>SUM(H7:J7)</f>
        <v/>
      </c>
      <c r="L7" s="16">
        <f>(K7-SUMIFS('03_BOC_TACH_VAN'!$K$2:$K$5000, '03_BOC_TACH_VAN'!$B$2:$B$5000, B7, '03_BOC_TACH_VAN'!$D$2:$D$5000, "ĐỘNG_CƠ_VÀ_CẢM_BIẾN"))*0.25</f>
        <v/>
      </c>
      <c r="M7" s="16">
        <f>(K7-SUMIFS('03_BOC_TACH_VAN'!$K$2:$K$5000, '03_BOC_TACH_VAN'!$B$2:$B$5000, B7, '03_BOC_TACH_VAN'!$D$2:$D$5000, "ĐỘNG_CƠ_VÀ_CẢM_BIẾN"))*0.10</f>
        <v/>
      </c>
      <c r="N7" s="16">
        <f>K7+L7+M7</f>
        <v/>
      </c>
      <c r="O7" s="16">
        <f>IF(G7&gt;0, N7/G7, 0)</f>
        <v/>
      </c>
      <c r="P7" s="17" t="n">
        <v>0.18</v>
      </c>
      <c r="Q7" s="16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6">
        <f>G7*Q7</f>
        <v/>
      </c>
      <c r="S7" t="inlineStr">
        <is>
          <t>- Van ngăn cháy động cơ - Tiêu chuẩn EI 90
- 2 đầu bích TDC - Gắn kèm động cơ ON-OFF 5Nm, Hãng KLB
- Sản xuất theo BCTN số 4651/VLXD-TBMT</t>
        </is>
      </c>
    </row>
    <row r="8">
      <c r="A8" t="n">
        <v>7</v>
      </c>
      <c r="B8" t="inlineStr">
        <is>
          <t>SW-DAMPER-007</t>
        </is>
      </c>
      <c r="C8" t="inlineStr">
        <is>
          <t>VAN GIÓ</t>
        </is>
      </c>
      <c r="D8" t="inlineStr">
        <is>
          <t>Van chặn lửa MFD, EI60 MFD 600x500</t>
        </is>
      </c>
      <c r="E8" t="inlineStr">
        <is>
          <t>600x500</t>
        </is>
      </c>
      <c r="F8" t="inlineStr">
        <is>
          <t>cái</t>
        </is>
      </c>
      <c r="G8" s="16" t="n">
        <v>2</v>
      </c>
      <c r="H8" s="16">
        <f>SUMIF('01_BOC_TACH_ONG'!$B$2:$B$5000, B8, '01_BOC_TACH_ONG'!$K$2:$K$5000)</f>
        <v/>
      </c>
      <c r="I8" s="16">
        <f>SUMIF('02_BOC_TACH_CUA'!$B$2:$B$5000, B8, '02_BOC_TACH_CUA'!$K$2:$K$5000)</f>
        <v/>
      </c>
      <c r="J8" s="16">
        <f>SUMIF('03_BOC_TACH_VAN'!$B$2:$B$5000, B8, '03_BOC_TACH_VAN'!$K$2:$K$5000)</f>
        <v/>
      </c>
      <c r="K8" s="16">
        <f>SUM(H8:J8)</f>
        <v/>
      </c>
      <c r="L8" s="16">
        <f>(K8-SUMIFS('03_BOC_TACH_VAN'!$K$2:$K$5000, '03_BOC_TACH_VAN'!$B$2:$B$5000, B8, '03_BOC_TACH_VAN'!$D$2:$D$5000, "ĐỘNG_CƠ_VÀ_CẢM_BIẾN"))*0.25</f>
        <v/>
      </c>
      <c r="M8" s="16">
        <f>(K8-SUMIFS('03_BOC_TACH_VAN'!$K$2:$K$5000, '03_BOC_TACH_VAN'!$B$2:$B$5000, B8, '03_BOC_TACH_VAN'!$D$2:$D$5000, "ĐỘNG_CƠ_VÀ_CẢM_BIẾN"))*0.10</f>
        <v/>
      </c>
      <c r="N8" s="16">
        <f>K8+L8+M8</f>
        <v/>
      </c>
      <c r="O8" s="16">
        <f>IF(G8&gt;0, N8/G8, 0)</f>
        <v/>
      </c>
      <c r="P8" s="17" t="n">
        <v>0.18</v>
      </c>
      <c r="Q8" s="16">
        <f>IF(G8&gt;0, ((N8-SUMIFS('03_BOC_TACH_VAN'!$K$2:$K$5000, '03_BOC_TACH_VAN'!$B$2:$B$5000, B8, '03_BOC_TACH_VAN'!$D$2:$D$5000, "ĐỘNG_CƠ_VÀ_CẢM_BIẾN"))*(1+P8)+SUMIFS('03_BOC_TACH_VAN'!$K$2:$K$5000, '03_BOC_TACH_VAN'!$B$2:$B$5000, B8, '03_BOC_TACH_VAN'!$D$2:$D$5000, "ĐỘNG_CƠ_VÀ_CẢM_BIẾN"))/G8, 0)</f>
        <v/>
      </c>
      <c r="R8" s="16">
        <f>G8*Q8</f>
        <v/>
      </c>
      <c r="S8" t="inlineStr">
        <is>
          <t>- Van ngăn cháy động cơ - Tiêu chuẩn EI 90
- 2 đầu bích TDC - Gắn kèm động cơ ON-OFF 5Nm, Hãng KLB
- Sản xuất theo BCTN số 4651/VLXD-TBMT</t>
        </is>
      </c>
    </row>
    <row r="9">
      <c r="A9" t="n">
        <v>8</v>
      </c>
      <c r="B9" t="inlineStr">
        <is>
          <t>SW-DAMPER-008</t>
        </is>
      </c>
      <c r="C9" t="inlineStr">
        <is>
          <t>VAN GIÓ</t>
        </is>
      </c>
      <c r="D9" t="inlineStr">
        <is>
          <t>Van chặn lửa MFD, EI60 MFD 900x300</t>
        </is>
      </c>
      <c r="E9" t="inlineStr">
        <is>
          <t>900x300</t>
        </is>
      </c>
      <c r="F9" t="inlineStr">
        <is>
          <t>cái</t>
        </is>
      </c>
      <c r="G9" s="16" t="n">
        <v>3</v>
      </c>
      <c r="H9" s="16">
        <f>SUMIF('01_BOC_TACH_ONG'!$B$2:$B$5000, B9, '01_BOC_TACH_ONG'!$K$2:$K$5000)</f>
        <v/>
      </c>
      <c r="I9" s="16">
        <f>SUMIF('02_BOC_TACH_CUA'!$B$2:$B$5000, B9, '02_BOC_TACH_CUA'!$K$2:$K$5000)</f>
        <v/>
      </c>
      <c r="J9" s="16">
        <f>SUMIF('03_BOC_TACH_VAN'!$B$2:$B$5000, B9, '03_BOC_TACH_VAN'!$K$2:$K$5000)</f>
        <v/>
      </c>
      <c r="K9" s="16">
        <f>SUM(H9:J9)</f>
        <v/>
      </c>
      <c r="L9" s="16">
        <f>(K9-SUMIFS('03_BOC_TACH_VAN'!$K$2:$K$5000, '03_BOC_TACH_VAN'!$B$2:$B$5000, B9, '03_BOC_TACH_VAN'!$D$2:$D$5000, "ĐỘNG_CƠ_VÀ_CẢM_BIẾN"))*0.25</f>
        <v/>
      </c>
      <c r="M9" s="16">
        <f>(K9-SUMIFS('03_BOC_TACH_VAN'!$K$2:$K$5000, '03_BOC_TACH_VAN'!$B$2:$B$5000, B9, '03_BOC_TACH_VAN'!$D$2:$D$5000, "ĐỘNG_CƠ_VÀ_CẢM_BIẾN"))*0.10</f>
        <v/>
      </c>
      <c r="N9" s="16">
        <f>K9+L9+M9</f>
        <v/>
      </c>
      <c r="O9" s="16">
        <f>IF(G9&gt;0, N9/G9, 0)</f>
        <v/>
      </c>
      <c r="P9" s="17" t="n">
        <v>0.18</v>
      </c>
      <c r="Q9" s="16">
        <f>IF(G9&gt;0, ((N9-SUMIFS('03_BOC_TACH_VAN'!$K$2:$K$5000, '03_BOC_TACH_VAN'!$B$2:$B$5000, B9, '03_BOC_TACH_VAN'!$D$2:$D$5000, "ĐỘNG_CƠ_VÀ_CẢM_BIẾN"))*(1+P9)+SUMIFS('03_BOC_TACH_VAN'!$K$2:$K$5000, '03_BOC_TACH_VAN'!$B$2:$B$5000, B9, '03_BOC_TACH_VAN'!$D$2:$D$5000, "ĐỘNG_CƠ_VÀ_CẢM_BIẾN"))/G9, 0)</f>
        <v/>
      </c>
      <c r="R9" s="16">
        <f>G9*Q9</f>
        <v/>
      </c>
      <c r="S9" t="inlineStr">
        <is>
          <t>- Van ngăn cháy động cơ - Tiêu chuẩn EI 90
- 2 đầu bích TDC - Gắn kèm động cơ ON-OFF 5Nm, Hãng KLB
- Sản xuất theo BCTN số 4651/VLXD-TBMT</t>
        </is>
      </c>
    </row>
    <row r="10">
      <c r="A10" t="n">
        <v>9</v>
      </c>
      <c r="B10" t="inlineStr">
        <is>
          <t>SW-DIFF-009</t>
        </is>
      </c>
      <c r="C10" t="inlineStr">
        <is>
          <t>CỬA GIÓ</t>
        </is>
      </c>
      <c r="D10" t="inlineStr">
        <is>
          <t>Louver lấy gió tươi FAL + LCCT 1900x500</t>
        </is>
      </c>
      <c r="E10" t="inlineStr">
        <is>
          <t>1900x500</t>
        </is>
      </c>
      <c r="F10" t="inlineStr">
        <is>
          <t>cái</t>
        </is>
      </c>
      <c r="G10" s="16" t="n">
        <v>4</v>
      </c>
      <c r="H10" s="16">
        <f>SUMIF('01_BOC_TACH_ONG'!$B$2:$B$5000, B10, '01_BOC_TACH_ONG'!$K$2:$K$5000)</f>
        <v/>
      </c>
      <c r="I10" s="16">
        <f>SUMIF('02_BOC_TACH_CUA'!$B$2:$B$5000, B10, '02_BOC_TACH_CUA'!$K$2:$K$5000)</f>
        <v/>
      </c>
      <c r="J10" s="16">
        <f>SUMIF('03_BOC_TACH_VAN'!$B$2:$B$5000, B10, '03_BOC_TACH_VAN'!$K$2:$K$5000)</f>
        <v/>
      </c>
      <c r="K10" s="16">
        <f>SUM(H10:J10)</f>
        <v/>
      </c>
      <c r="L10" s="16">
        <f>(K10-SUMIFS('03_BOC_TACH_VAN'!$K$2:$K$5000, '03_BOC_TACH_VAN'!$B$2:$B$5000, B10, '03_BOC_TACH_VAN'!$D$2:$D$5000, "ĐỘNG_CƠ_VÀ_CẢM_BIẾN"))*0.25</f>
        <v/>
      </c>
      <c r="M10" s="16">
        <f>(K10-SUMIFS('03_BOC_TACH_VAN'!$K$2:$K$5000, '03_BOC_TACH_VAN'!$B$2:$B$5000, B10, '03_BOC_TACH_VAN'!$D$2:$D$5000, "ĐỘNG_CƠ_VÀ_CẢM_BIẾN"))*0.10</f>
        <v/>
      </c>
      <c r="N10" s="16">
        <f>K10+L10+M10</f>
        <v/>
      </c>
      <c r="O10" s="16">
        <f>IF(G10&gt;0, N10/G10, 0)</f>
        <v/>
      </c>
      <c r="P10" s="17" t="n">
        <v>0.18</v>
      </c>
      <c r="Q10" s="16">
        <f>IF(G10&gt;0, ((N10-SUMIFS('03_BOC_TACH_VAN'!$K$2:$K$5000, '03_BOC_TACH_VAN'!$B$2:$B$5000, B10, '03_BOC_TACH_VAN'!$D$2:$D$5000, "ĐỘNG_CƠ_VÀ_CẢM_BIẾN"))*(1+P10)+SUMIFS('03_BOC_TACH_VAN'!$K$2:$K$5000, '03_BOC_TACH_VAN'!$B$2:$B$5000, B10, '03_BOC_TACH_VAN'!$D$2:$D$5000, "ĐỘNG_CƠ_VÀ_CẢM_BIẾN"))/G10, 0)</f>
        <v/>
      </c>
      <c r="R10" s="16">
        <f>G10*Q10</f>
        <v/>
      </c>
      <c r="S10" t="inlineStr">
        <is>
          <t>Louver nan Z ngoài trời kèm lưới chắn côn trùng Inox 304</t>
        </is>
      </c>
    </row>
    <row r="11">
      <c r="A11" t="n">
        <v>10</v>
      </c>
      <c r="B11" t="inlineStr">
        <is>
          <t>SW-DIFF-010</t>
        </is>
      </c>
      <c r="C11" t="inlineStr">
        <is>
          <t>CỬA GIÓ</t>
        </is>
      </c>
      <c r="D11" t="inlineStr">
        <is>
          <t>Miệng gió xả áp PAG 1150x550</t>
        </is>
      </c>
      <c r="E11" t="inlineStr">
        <is>
          <t>1150x550</t>
        </is>
      </c>
      <c r="F11" t="inlineStr">
        <is>
          <t>Cái</t>
        </is>
      </c>
      <c r="G11" s="16" t="n">
        <v>27</v>
      </c>
      <c r="H11" s="16">
        <f>SUMIF('01_BOC_TACH_ONG'!$B$2:$B$5000, B11, '01_BOC_TACH_ONG'!$K$2:$K$5000)</f>
        <v/>
      </c>
      <c r="I11" s="16">
        <f>SUMIF('02_BOC_TACH_CUA'!$B$2:$B$5000, B11, '02_BOC_TACH_CUA'!$K$2:$K$5000)</f>
        <v/>
      </c>
      <c r="J11" s="16">
        <f>SUMIF('03_BOC_TACH_VAN'!$B$2:$B$5000, B11, '03_BOC_TACH_VAN'!$K$2:$K$5000)</f>
        <v/>
      </c>
      <c r="K11" s="16">
        <f>SUM(H11:J11)</f>
        <v/>
      </c>
      <c r="L11" s="16">
        <f>(K11-SUMIFS('03_BOC_TACH_VAN'!$K$2:$K$5000, '03_BOC_TACH_VAN'!$B$2:$B$5000, B11, '03_BOC_TACH_VAN'!$D$2:$D$5000, "ĐỘNG_CƠ_VÀ_CẢM_BIẾN"))*0.25</f>
        <v/>
      </c>
      <c r="M11" s="16">
        <f>(K11-SUMIFS('03_BOC_TACH_VAN'!$K$2:$K$5000, '03_BOC_TACH_VAN'!$B$2:$B$5000, B11, '03_BOC_TACH_VAN'!$D$2:$D$5000, "ĐỘNG_CƠ_VÀ_CẢM_BIẾN"))*0.10</f>
        <v/>
      </c>
      <c r="N11" s="16">
        <f>K11+L11+M11</f>
        <v/>
      </c>
      <c r="O11" s="16">
        <f>IF(G11&gt;0, N11/G11, 0)</f>
        <v/>
      </c>
      <c r="P11" s="17" t="n">
        <v>0.18</v>
      </c>
      <c r="Q11" s="16">
        <f>IF(G11&gt;0, ((N11-SUMIFS('03_BOC_TACH_VAN'!$K$2:$K$5000, '03_BOC_TACH_VAN'!$B$2:$B$5000, B11, '03_BOC_TACH_VAN'!$D$2:$D$5000, "ĐỘNG_CƠ_VÀ_CẢM_BIẾN"))*(1+P11)+SUMIFS('03_BOC_TACH_VAN'!$K$2:$K$5000, '03_BOC_TACH_VAN'!$B$2:$B$5000, B11, '03_BOC_TACH_VAN'!$D$2:$D$5000, "ĐỘNG_CƠ_VÀ_CẢM_BIẾN"))/G11, 0)</f>
        <v/>
      </c>
      <c r="R11" s="16">
        <f>G11*Q11</f>
        <v/>
      </c>
      <c r="S11" t="inlineStr">
        <is>
          <t>Cửa nan bầu dục 1 lớp</t>
        </is>
      </c>
    </row>
    <row r="12">
      <c r="A12" t="n">
        <v>11</v>
      </c>
      <c r="B12" t="inlineStr">
        <is>
          <t>SW-DIFF-011</t>
        </is>
      </c>
      <c r="C12" t="inlineStr">
        <is>
          <t>CỬA GIÓ</t>
        </is>
      </c>
      <c r="D12" t="inlineStr">
        <is>
          <t>Miệng gió tạo áp PAG 600x300 + OBD
Kèm box gió</t>
        </is>
      </c>
      <c r="E12" t="inlineStr">
        <is>
          <t>600x300</t>
        </is>
      </c>
      <c r="F12" t="inlineStr">
        <is>
          <t>cái</t>
        </is>
      </c>
      <c r="G12" s="16" t="n">
        <v>6</v>
      </c>
      <c r="H12" s="16">
        <f>SUMIF('01_BOC_TACH_ONG'!$B$2:$B$5000, B12, '01_BOC_TACH_ONG'!$K$2:$K$5000)</f>
        <v/>
      </c>
      <c r="I12" s="16">
        <f>SUMIF('02_BOC_TACH_CUA'!$B$2:$B$5000, B12, '02_BOC_TACH_CUA'!$K$2:$K$5000)</f>
        <v/>
      </c>
      <c r="J12" s="16">
        <f>SUMIF('03_BOC_TACH_VAN'!$B$2:$B$5000, B12, '03_BOC_TACH_VAN'!$K$2:$K$5000)</f>
        <v/>
      </c>
      <c r="K12" s="16">
        <f>SUM(H12:J12)</f>
        <v/>
      </c>
      <c r="L12" s="16">
        <f>(K12-SUMIFS('03_BOC_TACH_VAN'!$K$2:$K$5000, '03_BOC_TACH_VAN'!$B$2:$B$5000, B12, '03_BOC_TACH_VAN'!$D$2:$D$5000, "ĐỘNG_CƠ_VÀ_CẢM_BIẾN"))*0.25</f>
        <v/>
      </c>
      <c r="M12" s="16">
        <f>(K12-SUMIFS('03_BOC_TACH_VAN'!$K$2:$K$5000, '03_BOC_TACH_VAN'!$B$2:$B$5000, B12, '03_BOC_TACH_VAN'!$D$2:$D$5000, "ĐỘNG_CƠ_VÀ_CẢM_BIẾN"))*0.10</f>
        <v/>
      </c>
      <c r="N12" s="16">
        <f>K12+L12+M12</f>
        <v/>
      </c>
      <c r="O12" s="16">
        <f>IF(G12&gt;0, N12/G12, 0)</f>
        <v/>
      </c>
      <c r="P12" s="17" t="n">
        <v>0.18</v>
      </c>
      <c r="Q12" s="16">
        <f>IF(G12&gt;0, ((N12-SUMIFS('03_BOC_TACH_VAN'!$K$2:$K$5000, '03_BOC_TACH_VAN'!$B$2:$B$5000, B12, '03_BOC_TACH_VAN'!$D$2:$D$5000, "ĐỘNG_CƠ_VÀ_CẢM_BIẾN"))*(1+P12)+SUMIFS('03_BOC_TACH_VAN'!$K$2:$K$5000, '03_BOC_TACH_VAN'!$B$2:$B$5000, B12, '03_BOC_TACH_VAN'!$D$2:$D$5000, "ĐỘNG_CƠ_VÀ_CẢM_BIẾN"))/G12, 0)</f>
        <v/>
      </c>
      <c r="R12" s="16">
        <f>G12*Q12</f>
        <v/>
      </c>
      <c r="S12" t="inlineStr">
        <is>
          <t>Cửa nan thẳng bầu dục kèm van OBD (tăng áp / hút khói). Không tính box do nhà thầu tự thi công</t>
        </is>
      </c>
    </row>
    <row r="13">
      <c r="A13" t="n">
        <v>12</v>
      </c>
      <c r="B13" t="inlineStr">
        <is>
          <t>SW-DIFF-012</t>
        </is>
      </c>
      <c r="C13" t="inlineStr">
        <is>
          <t>CỬA GIÓ</t>
        </is>
      </c>
      <c r="D13" t="inlineStr">
        <is>
          <t>Miệng gió tạo áp PAG 800x350 + OBD
Kèm box gió</t>
        </is>
      </c>
      <c r="E13" t="inlineStr">
        <is>
          <t>800x350</t>
        </is>
      </c>
      <c r="F13" t="inlineStr">
        <is>
          <t>cái</t>
        </is>
      </c>
      <c r="G13" s="16" t="n">
        <v>2</v>
      </c>
      <c r="H13" s="16">
        <f>SUMIF('01_BOC_TACH_ONG'!$B$2:$B$5000, B13, '01_BOC_TACH_ONG'!$K$2:$K$5000)</f>
        <v/>
      </c>
      <c r="I13" s="16">
        <f>SUMIF('02_BOC_TACH_CUA'!$B$2:$B$5000, B13, '02_BOC_TACH_CUA'!$K$2:$K$5000)</f>
        <v/>
      </c>
      <c r="J13" s="16">
        <f>SUMIF('03_BOC_TACH_VAN'!$B$2:$B$5000, B13, '03_BOC_TACH_VAN'!$K$2:$K$5000)</f>
        <v/>
      </c>
      <c r="K13" s="16">
        <f>SUM(H13:J13)</f>
        <v/>
      </c>
      <c r="L13" s="16">
        <f>(K13-SUMIFS('03_BOC_TACH_VAN'!$K$2:$K$5000, '03_BOC_TACH_VAN'!$B$2:$B$5000, B13, '03_BOC_TACH_VAN'!$D$2:$D$5000, "ĐỘNG_CƠ_VÀ_CẢM_BIẾN"))*0.25</f>
        <v/>
      </c>
      <c r="M13" s="16">
        <f>(K13-SUMIFS('03_BOC_TACH_VAN'!$K$2:$K$5000, '03_BOC_TACH_VAN'!$B$2:$B$5000, B13, '03_BOC_TACH_VAN'!$D$2:$D$5000, "ĐỘNG_CƠ_VÀ_CẢM_BIẾN"))*0.10</f>
        <v/>
      </c>
      <c r="N13" s="16">
        <f>K13+L13+M13</f>
        <v/>
      </c>
      <c r="O13" s="16">
        <f>IF(G13&gt;0, N13/G13, 0)</f>
        <v/>
      </c>
      <c r="P13" s="17" t="n">
        <v>0.18</v>
      </c>
      <c r="Q13" s="16">
        <f>IF(G13&gt;0, ((N13-SUMIFS('03_BOC_TACH_VAN'!$K$2:$K$5000, '03_BOC_TACH_VAN'!$B$2:$B$5000, B13, '03_BOC_TACH_VAN'!$D$2:$D$5000, "ĐỘNG_CƠ_VÀ_CẢM_BIẾN"))*(1+P13)+SUMIFS('03_BOC_TACH_VAN'!$K$2:$K$5000, '03_BOC_TACH_VAN'!$B$2:$B$5000, B13, '03_BOC_TACH_VAN'!$D$2:$D$5000, "ĐỘNG_CƠ_VÀ_CẢM_BIẾN"))/G13, 0)</f>
        <v/>
      </c>
      <c r="R13" s="16">
        <f>G13*Q13</f>
        <v/>
      </c>
      <c r="S13" t="inlineStr">
        <is>
          <t>Cửa nan thẳng bầu dục kèm van OBD (tăng áp / hút khói). Không tính box do nhà thầu tự thi công</t>
        </is>
      </c>
    </row>
    <row r="14">
      <c r="A14" t="n">
        <v>13</v>
      </c>
      <c r="B14" t="inlineStr">
        <is>
          <t>SW-DIFF-013</t>
        </is>
      </c>
      <c r="C14" t="inlineStr">
        <is>
          <t>CỬA GIÓ</t>
        </is>
      </c>
      <c r="D14" t="inlineStr">
        <is>
          <t>Miệng gió tạo áp SAG 250x250 + OBD
Kèm box gió</t>
        </is>
      </c>
      <c r="E14" t="inlineStr">
        <is>
          <t>250x250</t>
        </is>
      </c>
      <c r="F14" t="inlineStr">
        <is>
          <t>cái</t>
        </is>
      </c>
      <c r="G14" s="16" t="n">
        <v>6</v>
      </c>
      <c r="H14" s="16">
        <f>SUMIF('01_BOC_TACH_ONG'!$B$2:$B$5000, B14, '01_BOC_TACH_ONG'!$K$2:$K$5000)</f>
        <v/>
      </c>
      <c r="I14" s="16">
        <f>SUMIF('02_BOC_TACH_CUA'!$B$2:$B$5000, B14, '02_BOC_TACH_CUA'!$K$2:$K$5000)</f>
        <v/>
      </c>
      <c r="J14" s="16">
        <f>SUMIF('03_BOC_TACH_VAN'!$B$2:$B$5000, B14, '03_BOC_TACH_VAN'!$K$2:$K$5000)</f>
        <v/>
      </c>
      <c r="K14" s="16">
        <f>SUM(H14:J14)</f>
        <v/>
      </c>
      <c r="L14" s="16">
        <f>(K14-SUMIFS('03_BOC_TACH_VAN'!$K$2:$K$5000, '03_BOC_TACH_VAN'!$B$2:$B$5000, B14, '03_BOC_TACH_VAN'!$D$2:$D$5000, "ĐỘNG_CƠ_VÀ_CẢM_BIẾN"))*0.25</f>
        <v/>
      </c>
      <c r="M14" s="16">
        <f>(K14-SUMIFS('03_BOC_TACH_VAN'!$K$2:$K$5000, '03_BOC_TACH_VAN'!$B$2:$B$5000, B14, '03_BOC_TACH_VAN'!$D$2:$D$5000, "ĐỘNG_CƠ_VÀ_CẢM_BIẾN"))*0.10</f>
        <v/>
      </c>
      <c r="N14" s="16">
        <f>K14+L14+M14</f>
        <v/>
      </c>
      <c r="O14" s="16">
        <f>IF(G14&gt;0, N14/G14, 0)</f>
        <v/>
      </c>
      <c r="P14" s="17" t="n">
        <v>0.18</v>
      </c>
      <c r="Q14" s="16">
        <f>IF(G14&gt;0, ((N14-SUMIFS('03_BOC_TACH_VAN'!$K$2:$K$5000, '03_BOC_TACH_VAN'!$B$2:$B$5000, B14, '03_BOC_TACH_VAN'!$D$2:$D$5000, "ĐỘNG_CƠ_VÀ_CẢM_BIẾN"))*(1+P14)+SUMIFS('03_BOC_TACH_VAN'!$K$2:$K$5000, '03_BOC_TACH_VAN'!$B$2:$B$5000, B14, '03_BOC_TACH_VAN'!$D$2:$D$5000, "ĐỘNG_CƠ_VÀ_CẢM_BIẾN"))/G14, 0)</f>
        <v/>
      </c>
      <c r="R14" s="16">
        <f>G14*Q14</f>
        <v/>
      </c>
      <c r="S14" t="inlineStr">
        <is>
          <t>Cửa nan thẳng bầu dục kèm van OBD (tăng áp / hút khói). Không tính box do nhà thầu tự thi công</t>
        </is>
      </c>
    </row>
    <row r="15">
      <c r="A15" t="n">
        <v>14</v>
      </c>
      <c r="B15" t="inlineStr">
        <is>
          <t>SW-DIFF-014</t>
        </is>
      </c>
      <c r="C15" t="inlineStr">
        <is>
          <t>CỬA GIÓ</t>
        </is>
      </c>
      <c r="D15" t="inlineStr">
        <is>
          <t>Miệng gió tạo áp SAG 1000x500 + OBD
Kèm box gió</t>
        </is>
      </c>
      <c r="E15" t="inlineStr">
        <is>
          <t>1000x500</t>
        </is>
      </c>
      <c r="F15" t="inlineStr">
        <is>
          <t>cái</t>
        </is>
      </c>
      <c r="G15" s="16" t="n">
        <v>18</v>
      </c>
      <c r="H15" s="16">
        <f>SUMIF('01_BOC_TACH_ONG'!$B$2:$B$5000, B15, '01_BOC_TACH_ONG'!$K$2:$K$5000)</f>
        <v/>
      </c>
      <c r="I15" s="16">
        <f>SUMIF('02_BOC_TACH_CUA'!$B$2:$B$5000, B15, '02_BOC_TACH_CUA'!$K$2:$K$5000)</f>
        <v/>
      </c>
      <c r="J15" s="16">
        <f>SUMIF('03_BOC_TACH_VAN'!$B$2:$B$5000, B15, '03_BOC_TACH_VAN'!$K$2:$K$5000)</f>
        <v/>
      </c>
      <c r="K15" s="16">
        <f>SUM(H15:J15)</f>
        <v/>
      </c>
      <c r="L15" s="16">
        <f>(K15-SUMIFS('03_BOC_TACH_VAN'!$K$2:$K$5000, '03_BOC_TACH_VAN'!$B$2:$B$5000, B15, '03_BOC_TACH_VAN'!$D$2:$D$5000, "ĐỘNG_CƠ_VÀ_CẢM_BIẾN"))*0.25</f>
        <v/>
      </c>
      <c r="M15" s="16">
        <f>(K15-SUMIFS('03_BOC_TACH_VAN'!$K$2:$K$5000, '03_BOC_TACH_VAN'!$B$2:$B$5000, B15, '03_BOC_TACH_VAN'!$D$2:$D$5000, "ĐỘNG_CƠ_VÀ_CẢM_BIẾN"))*0.10</f>
        <v/>
      </c>
      <c r="N15" s="16">
        <f>K15+L15+M15</f>
        <v/>
      </c>
      <c r="O15" s="16">
        <f>IF(G15&gt;0, N15/G15, 0)</f>
        <v/>
      </c>
      <c r="P15" s="17" t="n">
        <v>0.18</v>
      </c>
      <c r="Q15" s="16">
        <f>IF(G15&gt;0, ((N15-SUMIFS('03_BOC_TACH_VAN'!$K$2:$K$5000, '03_BOC_TACH_VAN'!$B$2:$B$5000, B15, '03_BOC_TACH_VAN'!$D$2:$D$5000, "ĐỘNG_CƠ_VÀ_CẢM_BIẾN"))*(1+P15)+SUMIFS('03_BOC_TACH_VAN'!$K$2:$K$5000, '03_BOC_TACH_VAN'!$B$2:$B$5000, B15, '03_BOC_TACH_VAN'!$D$2:$D$5000, "ĐỘNG_CƠ_VÀ_CẢM_BIẾN"))/G15, 0)</f>
        <v/>
      </c>
      <c r="R15" s="16">
        <f>G15*Q15</f>
        <v/>
      </c>
      <c r="S15" t="inlineStr">
        <is>
          <t>Cửa nan thẳng bầu dục kèm van OBD (tăng áp / hút khói). Không tính box do nhà thầu tự thi công</t>
        </is>
      </c>
    </row>
    <row r="16">
      <c r="A16" t="n">
        <v>15</v>
      </c>
      <c r="B16" t="inlineStr">
        <is>
          <t>SW-DIFF-015</t>
        </is>
      </c>
      <c r="C16" t="inlineStr">
        <is>
          <t>CỬA GIÓ</t>
        </is>
      </c>
      <c r="D16" t="inlineStr">
        <is>
          <t>Miệng gió tạo áp SAG 1150x550 + OBD
Kèm box gió</t>
        </is>
      </c>
      <c r="E16" t="inlineStr">
        <is>
          <t>1150x550</t>
        </is>
      </c>
      <c r="F16" t="inlineStr">
        <is>
          <t>cái</t>
        </is>
      </c>
      <c r="G16" s="16" t="n">
        <v>11</v>
      </c>
      <c r="H16" s="16">
        <f>SUMIF('01_BOC_TACH_ONG'!$B$2:$B$5000, B16, '01_BOC_TACH_ONG'!$K$2:$K$5000)</f>
        <v/>
      </c>
      <c r="I16" s="16">
        <f>SUMIF('02_BOC_TACH_CUA'!$B$2:$B$5000, B16, '02_BOC_TACH_CUA'!$K$2:$K$5000)</f>
        <v/>
      </c>
      <c r="J16" s="16">
        <f>SUMIF('03_BOC_TACH_VAN'!$B$2:$B$5000, B16, '03_BOC_TACH_VAN'!$K$2:$K$5000)</f>
        <v/>
      </c>
      <c r="K16" s="16">
        <f>SUM(H16:J16)</f>
        <v/>
      </c>
      <c r="L16" s="16">
        <f>(K16-SUMIFS('03_BOC_TACH_VAN'!$K$2:$K$5000, '03_BOC_TACH_VAN'!$B$2:$B$5000, B16, '03_BOC_TACH_VAN'!$D$2:$D$5000, "ĐỘNG_CƠ_VÀ_CẢM_BIẾN"))*0.25</f>
        <v/>
      </c>
      <c r="M16" s="16">
        <f>(K16-SUMIFS('03_BOC_TACH_VAN'!$K$2:$K$5000, '03_BOC_TACH_VAN'!$B$2:$B$5000, B16, '03_BOC_TACH_VAN'!$D$2:$D$5000, "ĐỘNG_CƠ_VÀ_CẢM_BIẾN"))*0.10</f>
        <v/>
      </c>
      <c r="N16" s="16">
        <f>K16+L16+M16</f>
        <v/>
      </c>
      <c r="O16" s="16">
        <f>IF(G16&gt;0, N16/G16, 0)</f>
        <v/>
      </c>
      <c r="P16" s="17" t="n">
        <v>0.18</v>
      </c>
      <c r="Q16" s="16">
        <f>IF(G16&gt;0, ((N16-SUMIFS('03_BOC_TACH_VAN'!$K$2:$K$5000, '03_BOC_TACH_VAN'!$B$2:$B$5000, B16, '03_BOC_TACH_VAN'!$D$2:$D$5000, "ĐỘNG_CƠ_VÀ_CẢM_BIẾN"))*(1+P16)+SUMIFS('03_BOC_TACH_VAN'!$K$2:$K$5000, '03_BOC_TACH_VAN'!$B$2:$B$5000, B16, '03_BOC_TACH_VAN'!$D$2:$D$5000, "ĐỘNG_CƠ_VÀ_CẢM_BIẾN"))/G16, 0)</f>
        <v/>
      </c>
      <c r="R16" s="16">
        <f>G16*Q16</f>
        <v/>
      </c>
      <c r="S16" t="inlineStr">
        <is>
          <t>Cửa nan thẳng bầu dục kèm van OBD (tăng áp / hút khói). Không tính box do nhà thầu tự thi công</t>
        </is>
      </c>
    </row>
    <row r="17">
      <c r="A17" t="n">
        <v>16</v>
      </c>
      <c r="B17" t="inlineStr">
        <is>
          <t>SW-DIFF-016</t>
        </is>
      </c>
      <c r="C17" t="inlineStr">
        <is>
          <t>CỬA GIÓ</t>
        </is>
      </c>
      <c r="D17" t="inlineStr">
        <is>
          <t>Miệng gió thải khói tầng hầm SEG + OBD : 800x400
Kèm box gió</t>
        </is>
      </c>
      <c r="E17" t="inlineStr">
        <is>
          <t>800x400</t>
        </is>
      </c>
      <c r="F17" t="inlineStr">
        <is>
          <t>Cái</t>
        </is>
      </c>
      <c r="G17" s="16" t="n">
        <v>354</v>
      </c>
      <c r="H17" s="16">
        <f>SUMIF('01_BOC_TACH_ONG'!$B$2:$B$5000, B17, '01_BOC_TACH_ONG'!$K$2:$K$5000)</f>
        <v/>
      </c>
      <c r="I17" s="16">
        <f>SUMIF('02_BOC_TACH_CUA'!$B$2:$B$5000, B17, '02_BOC_TACH_CUA'!$K$2:$K$5000)</f>
        <v/>
      </c>
      <c r="J17" s="16">
        <f>SUMIF('03_BOC_TACH_VAN'!$B$2:$B$5000, B17, '03_BOC_TACH_VAN'!$K$2:$K$5000)</f>
        <v/>
      </c>
      <c r="K17" s="16">
        <f>SUM(H17:J17)</f>
        <v/>
      </c>
      <c r="L17" s="16">
        <f>(K17-SUMIFS('03_BOC_TACH_VAN'!$K$2:$K$5000, '03_BOC_TACH_VAN'!$B$2:$B$5000, B17, '03_BOC_TACH_VAN'!$D$2:$D$5000, "ĐỘNG_CƠ_VÀ_CẢM_BIẾN"))*0.25</f>
        <v/>
      </c>
      <c r="M17" s="16">
        <f>(K17-SUMIFS('03_BOC_TACH_VAN'!$K$2:$K$5000, '03_BOC_TACH_VAN'!$B$2:$B$5000, B17, '03_BOC_TACH_VAN'!$D$2:$D$5000, "ĐỘNG_CƠ_VÀ_CẢM_BIẾN"))*0.10</f>
        <v/>
      </c>
      <c r="N17" s="16">
        <f>K17+L17+M17</f>
        <v/>
      </c>
      <c r="O17" s="16">
        <f>IF(G17&gt;0, N17/G17, 0)</f>
        <v/>
      </c>
      <c r="P17" s="17" t="n">
        <v>0.18</v>
      </c>
      <c r="Q17" s="16">
        <f>IF(G17&gt;0, ((N17-SUMIFS('03_BOC_TACH_VAN'!$K$2:$K$5000, '03_BOC_TACH_VAN'!$B$2:$B$5000, B17, '03_BOC_TACH_VAN'!$D$2:$D$5000, "ĐỘNG_CƠ_VÀ_CẢM_BIẾN"))*(1+P17)+SUMIFS('03_BOC_TACH_VAN'!$K$2:$K$5000, '03_BOC_TACH_VAN'!$B$2:$B$5000, B17, '03_BOC_TACH_VAN'!$D$2:$D$5000, "ĐỘNG_CƠ_VÀ_CẢM_BIẾN"))/G17, 0)</f>
        <v/>
      </c>
      <c r="R17" s="16">
        <f>G17*Q17</f>
        <v/>
      </c>
      <c r="S17" t="inlineStr">
        <is>
          <t>Cửa nan thẳng bầu dục kèm van OBD (tăng áp / hút khói). Không tính box do nhà thầu tự thi công</t>
        </is>
      </c>
    </row>
    <row r="18">
      <c r="A18" t="n">
        <v>17</v>
      </c>
      <c r="B18" t="inlineStr">
        <is>
          <t>SW-DIFF-017</t>
        </is>
      </c>
      <c r="C18" t="inlineStr">
        <is>
          <t>CỬA GIÓ</t>
        </is>
      </c>
      <c r="D18" t="inlineStr">
        <is>
          <t>Miệng cấp gió tươi &amp; cấp khí bù tầng hầm Miệng gió cấp FAG 800x400 + OBD
Kèm box gió</t>
        </is>
      </c>
      <c r="E18" t="inlineStr">
        <is>
          <t>800x400</t>
        </is>
      </c>
      <c r="F18" t="inlineStr">
        <is>
          <t>Cái</t>
        </is>
      </c>
      <c r="G18" s="16" t="n">
        <v>375</v>
      </c>
      <c r="H18" s="16">
        <f>SUMIF('01_BOC_TACH_ONG'!$B$2:$B$5000, B18, '01_BOC_TACH_ONG'!$K$2:$K$5000)</f>
        <v/>
      </c>
      <c r="I18" s="16">
        <f>SUMIF('02_BOC_TACH_CUA'!$B$2:$B$5000, B18, '02_BOC_TACH_CUA'!$K$2:$K$5000)</f>
        <v/>
      </c>
      <c r="J18" s="16">
        <f>SUMIF('03_BOC_TACH_VAN'!$B$2:$B$5000, B18, '03_BOC_TACH_VAN'!$K$2:$K$5000)</f>
        <v/>
      </c>
      <c r="K18" s="16">
        <f>SUM(H18:J18)</f>
        <v/>
      </c>
      <c r="L18" s="16">
        <f>(K18-SUMIFS('03_BOC_TACH_VAN'!$K$2:$K$5000, '03_BOC_TACH_VAN'!$B$2:$B$5000, B18, '03_BOC_TACH_VAN'!$D$2:$D$5000, "ĐỘNG_CƠ_VÀ_CẢM_BIẾN"))*0.25</f>
        <v/>
      </c>
      <c r="M18" s="16">
        <f>(K18-SUMIFS('03_BOC_TACH_VAN'!$K$2:$K$5000, '03_BOC_TACH_VAN'!$B$2:$B$5000, B18, '03_BOC_TACH_VAN'!$D$2:$D$5000, "ĐỘNG_CƠ_VÀ_CẢM_BIẾN"))*0.10</f>
        <v/>
      </c>
      <c r="N18" s="16">
        <f>K18+L18+M18</f>
        <v/>
      </c>
      <c r="O18" s="16">
        <f>IF(G18&gt;0, N18/G18, 0)</f>
        <v/>
      </c>
      <c r="P18" s="17" t="n">
        <v>0.18</v>
      </c>
      <c r="Q18" s="16">
        <f>IF(G18&gt;0, ((N18-SUMIFS('03_BOC_TACH_VAN'!$K$2:$K$5000, '03_BOC_TACH_VAN'!$B$2:$B$5000, B18, '03_BOC_TACH_VAN'!$D$2:$D$5000, "ĐỘNG_CƠ_VÀ_CẢM_BIẾN"))*(1+P18)+SUMIFS('03_BOC_TACH_VAN'!$K$2:$K$5000, '03_BOC_TACH_VAN'!$B$2:$B$5000, B18, '03_BOC_TACH_VAN'!$D$2:$D$5000, "ĐỘNG_CƠ_VÀ_CẢM_BIẾN"))/G18, 0)</f>
        <v/>
      </c>
      <c r="R18" s="16">
        <f>G18*Q18</f>
        <v/>
      </c>
      <c r="S18" t="inlineStr">
        <is>
          <t>Cửa nan bầu dục 1 lớp kèm van OBD. Không tính box do nhà thầu tự thi công</t>
        </is>
      </c>
    </row>
    <row r="19">
      <c r="A19" t="n">
        <v>18</v>
      </c>
      <c r="B19" t="inlineStr">
        <is>
          <t>SW-DIFF-018</t>
        </is>
      </c>
      <c r="C19" t="inlineStr">
        <is>
          <t>CỬA GIÓ</t>
        </is>
      </c>
      <c r="D19" t="inlineStr">
        <is>
          <t>Miệng cấp gió tươi &amp; cấp khí bù tầng hầm Miệng gió cấp khí bù 1200x1000</t>
        </is>
      </c>
      <c r="E19" t="inlineStr">
        <is>
          <t>1200x1000</t>
        </is>
      </c>
      <c r="F19" t="inlineStr">
        <is>
          <t>Cái</t>
        </is>
      </c>
      <c r="G19" s="16" t="n">
        <v>1</v>
      </c>
      <c r="H19" s="16">
        <f>SUMIF('01_BOC_TACH_ONG'!$B$2:$B$5000, B19, '01_BOC_TACH_ONG'!$K$2:$K$5000)</f>
        <v/>
      </c>
      <c r="I19" s="16">
        <f>SUMIF('02_BOC_TACH_CUA'!$B$2:$B$5000, B19, '02_BOC_TACH_CUA'!$K$2:$K$5000)</f>
        <v/>
      </c>
      <c r="J19" s="16">
        <f>SUMIF('03_BOC_TACH_VAN'!$B$2:$B$5000, B19, '03_BOC_TACH_VAN'!$K$2:$K$5000)</f>
        <v/>
      </c>
      <c r="K19" s="16">
        <f>SUM(H19:J19)</f>
        <v/>
      </c>
      <c r="L19" s="16">
        <f>(K19-SUMIFS('03_BOC_TACH_VAN'!$K$2:$K$5000, '03_BOC_TACH_VAN'!$B$2:$B$5000, B19, '03_BOC_TACH_VAN'!$D$2:$D$5000, "ĐỘNG_CƠ_VÀ_CẢM_BIẾN"))*0.25</f>
        <v/>
      </c>
      <c r="M19" s="16">
        <f>(K19-SUMIFS('03_BOC_TACH_VAN'!$K$2:$K$5000, '03_BOC_TACH_VAN'!$B$2:$B$5000, B19, '03_BOC_TACH_VAN'!$D$2:$D$5000, "ĐỘNG_CƠ_VÀ_CẢM_BIẾN"))*0.10</f>
        <v/>
      </c>
      <c r="N19" s="16">
        <f>K19+L19+M19</f>
        <v/>
      </c>
      <c r="O19" s="16">
        <f>IF(G19&gt;0, N19/G19, 0)</f>
        <v/>
      </c>
      <c r="P19" s="17" t="n">
        <v>0.18</v>
      </c>
      <c r="Q19" s="16">
        <f>IF(G19&gt;0, ((N19-SUMIFS('03_BOC_TACH_VAN'!$K$2:$K$5000, '03_BOC_TACH_VAN'!$B$2:$B$5000, B19, '03_BOC_TACH_VAN'!$D$2:$D$5000, "ĐỘNG_CƠ_VÀ_CẢM_BIẾN"))*(1+P19)+SUMIFS('03_BOC_TACH_VAN'!$K$2:$K$5000, '03_BOC_TACH_VAN'!$B$2:$B$5000, B19, '03_BOC_TACH_VAN'!$D$2:$D$5000, "ĐỘNG_CƠ_VÀ_CẢM_BIẾN"))/G19, 0)</f>
        <v/>
      </c>
      <c r="R19" s="16">
        <f>G19*Q19</f>
        <v/>
      </c>
      <c r="S19" t="inlineStr">
        <is>
          <t>Louver nan Z ngoài trời</t>
        </is>
      </c>
    </row>
    <row r="20">
      <c r="A20" t="n">
        <v>19</v>
      </c>
      <c r="B20" t="inlineStr">
        <is>
          <t>SW-DIFF-019</t>
        </is>
      </c>
      <c r="C20" t="inlineStr">
        <is>
          <t>CỬA GIÓ</t>
        </is>
      </c>
      <c r="D20" t="inlineStr">
        <is>
          <t>Miệng cấp gió tươi &amp; cấp khí bù tầng hầm Miệng gió cấp khí bù 1700x1000</t>
        </is>
      </c>
      <c r="E20" t="inlineStr">
        <is>
          <t>1700x1000</t>
        </is>
      </c>
      <c r="F20" t="inlineStr">
        <is>
          <t>Cái</t>
        </is>
      </c>
      <c r="G20" s="16" t="n">
        <v>1</v>
      </c>
      <c r="H20" s="16">
        <f>SUMIF('01_BOC_TACH_ONG'!$B$2:$B$5000, B20, '01_BOC_TACH_ONG'!$K$2:$K$5000)</f>
        <v/>
      </c>
      <c r="I20" s="16">
        <f>SUMIF('02_BOC_TACH_CUA'!$B$2:$B$5000, B20, '02_BOC_TACH_CUA'!$K$2:$K$5000)</f>
        <v/>
      </c>
      <c r="J20" s="16">
        <f>SUMIF('03_BOC_TACH_VAN'!$B$2:$B$5000, B20, '03_BOC_TACH_VAN'!$K$2:$K$5000)</f>
        <v/>
      </c>
      <c r="K20" s="16">
        <f>SUM(H20:J20)</f>
        <v/>
      </c>
      <c r="L20" s="16">
        <f>(K20-SUMIFS('03_BOC_TACH_VAN'!$K$2:$K$5000, '03_BOC_TACH_VAN'!$B$2:$B$5000, B20, '03_BOC_TACH_VAN'!$D$2:$D$5000, "ĐỘNG_CƠ_VÀ_CẢM_BIẾN"))*0.25</f>
        <v/>
      </c>
      <c r="M20" s="16">
        <f>(K20-SUMIFS('03_BOC_TACH_VAN'!$K$2:$K$5000, '03_BOC_TACH_VAN'!$B$2:$B$5000, B20, '03_BOC_TACH_VAN'!$D$2:$D$5000, "ĐỘNG_CƠ_VÀ_CẢM_BIẾN"))*0.10</f>
        <v/>
      </c>
      <c r="N20" s="16">
        <f>K20+L20+M20</f>
        <v/>
      </c>
      <c r="O20" s="16">
        <f>IF(G20&gt;0, N20/G20, 0)</f>
        <v/>
      </c>
      <c r="P20" s="17" t="n">
        <v>0.18</v>
      </c>
      <c r="Q20" s="16">
        <f>IF(G20&gt;0, ((N20-SUMIFS('03_BOC_TACH_VAN'!$K$2:$K$5000, '03_BOC_TACH_VAN'!$B$2:$B$5000, B20, '03_BOC_TACH_VAN'!$D$2:$D$5000, "ĐỘNG_CƠ_VÀ_CẢM_BIẾN"))*(1+P20)+SUMIFS('03_BOC_TACH_VAN'!$K$2:$K$5000, '03_BOC_TACH_VAN'!$B$2:$B$5000, B20, '03_BOC_TACH_VAN'!$D$2:$D$5000, "ĐỘNG_CƠ_VÀ_CẢM_BIẾN"))/G20, 0)</f>
        <v/>
      </c>
      <c r="R20" s="16">
        <f>G20*Q20</f>
        <v/>
      </c>
      <c r="S20" t="inlineStr">
        <is>
          <t>Louver nan Z ngoài trời</t>
        </is>
      </c>
    </row>
    <row r="21">
      <c r="A21" t="n">
        <v>20</v>
      </c>
      <c r="B21" t="inlineStr">
        <is>
          <t>SW-DIFF-020</t>
        </is>
      </c>
      <c r="C21" t="inlineStr">
        <is>
          <t>CỬA GIÓ</t>
        </is>
      </c>
      <c r="D21" t="inlineStr">
        <is>
          <t>Miệng cấp gió tươi &amp; cấp khí bù tầng hầm Miệng gió cấp khí bù 1750x1200</t>
        </is>
      </c>
      <c r="E21" t="inlineStr">
        <is>
          <t>1750x1200</t>
        </is>
      </c>
      <c r="F21" t="inlineStr">
        <is>
          <t>Cái</t>
        </is>
      </c>
      <c r="G21" s="16" t="n">
        <v>1</v>
      </c>
      <c r="H21" s="16">
        <f>SUMIF('01_BOC_TACH_ONG'!$B$2:$B$5000, B21, '01_BOC_TACH_ONG'!$K$2:$K$5000)</f>
        <v/>
      </c>
      <c r="I21" s="16">
        <f>SUMIF('02_BOC_TACH_CUA'!$B$2:$B$5000, B21, '02_BOC_TACH_CUA'!$K$2:$K$5000)</f>
        <v/>
      </c>
      <c r="J21" s="16">
        <f>SUMIF('03_BOC_TACH_VAN'!$B$2:$B$5000, B21, '03_BOC_TACH_VAN'!$K$2:$K$5000)</f>
        <v/>
      </c>
      <c r="K21" s="16">
        <f>SUM(H21:J21)</f>
        <v/>
      </c>
      <c r="L21" s="16">
        <f>(K21-SUMIFS('03_BOC_TACH_VAN'!$K$2:$K$5000, '03_BOC_TACH_VAN'!$B$2:$B$5000, B21, '03_BOC_TACH_VAN'!$D$2:$D$5000, "ĐỘNG_CƠ_VÀ_CẢM_BIẾN"))*0.25</f>
        <v/>
      </c>
      <c r="M21" s="16">
        <f>(K21-SUMIFS('03_BOC_TACH_VAN'!$K$2:$K$5000, '03_BOC_TACH_VAN'!$B$2:$B$5000, B21, '03_BOC_TACH_VAN'!$D$2:$D$5000, "ĐỘNG_CƠ_VÀ_CẢM_BIẾN"))*0.10</f>
        <v/>
      </c>
      <c r="N21" s="16">
        <f>K21+L21+M21</f>
        <v/>
      </c>
      <c r="O21" s="16">
        <f>IF(G21&gt;0, N21/G21, 0)</f>
        <v/>
      </c>
      <c r="P21" s="17" t="n">
        <v>0.18</v>
      </c>
      <c r="Q21" s="16">
        <f>IF(G21&gt;0, ((N21-SUMIFS('03_BOC_TACH_VAN'!$K$2:$K$5000, '03_BOC_TACH_VAN'!$B$2:$B$5000, B21, '03_BOC_TACH_VAN'!$D$2:$D$5000, "ĐỘNG_CƠ_VÀ_CẢM_BIẾN"))*(1+P21)+SUMIFS('03_BOC_TACH_VAN'!$K$2:$K$5000, '03_BOC_TACH_VAN'!$B$2:$B$5000, B21, '03_BOC_TACH_VAN'!$D$2:$D$5000, "ĐỘNG_CƠ_VÀ_CẢM_BIẾN"))/G21, 0)</f>
        <v/>
      </c>
      <c r="R21" s="16">
        <f>G21*Q21</f>
        <v/>
      </c>
      <c r="S21" t="inlineStr">
        <is>
          <t>Louver nan Z ngoài trời</t>
        </is>
      </c>
    </row>
    <row r="22">
      <c r="A22" t="n">
        <v>21</v>
      </c>
      <c r="B22" t="inlineStr">
        <is>
          <t>SW-DIFF-021</t>
        </is>
      </c>
      <c r="C22" t="inlineStr">
        <is>
          <t>CỬA GIÓ</t>
        </is>
      </c>
      <c r="D22" t="inlineStr">
        <is>
          <t>Miệng cấp gió tươi &amp; cấp khí bù tầng hầm Miệng gió cấp khí bù 1800x1000</t>
        </is>
      </c>
      <c r="E22" t="inlineStr">
        <is>
          <t>1800x1000</t>
        </is>
      </c>
      <c r="F22" t="inlineStr">
        <is>
          <t>Cái</t>
        </is>
      </c>
      <c r="G22" s="16" t="n">
        <v>2</v>
      </c>
      <c r="H22" s="16">
        <f>SUMIF('01_BOC_TACH_ONG'!$B$2:$B$5000, B22, '01_BOC_TACH_ONG'!$K$2:$K$5000)</f>
        <v/>
      </c>
      <c r="I22" s="16">
        <f>SUMIF('02_BOC_TACH_CUA'!$B$2:$B$5000, B22, '02_BOC_TACH_CUA'!$K$2:$K$5000)</f>
        <v/>
      </c>
      <c r="J22" s="16">
        <f>SUMIF('03_BOC_TACH_VAN'!$B$2:$B$5000, B22, '03_BOC_TACH_VAN'!$K$2:$K$5000)</f>
        <v/>
      </c>
      <c r="K22" s="16">
        <f>SUM(H22:J22)</f>
        <v/>
      </c>
      <c r="L22" s="16">
        <f>(K22-SUMIFS('03_BOC_TACH_VAN'!$K$2:$K$5000, '03_BOC_TACH_VAN'!$B$2:$B$5000, B22, '03_BOC_TACH_VAN'!$D$2:$D$5000, "ĐỘNG_CƠ_VÀ_CẢM_BIẾN"))*0.25</f>
        <v/>
      </c>
      <c r="M22" s="16">
        <f>(K22-SUMIFS('03_BOC_TACH_VAN'!$K$2:$K$5000, '03_BOC_TACH_VAN'!$B$2:$B$5000, B22, '03_BOC_TACH_VAN'!$D$2:$D$5000, "ĐỘNG_CƠ_VÀ_CẢM_BIẾN"))*0.10</f>
        <v/>
      </c>
      <c r="N22" s="16">
        <f>K22+L22+M22</f>
        <v/>
      </c>
      <c r="O22" s="16">
        <f>IF(G22&gt;0, N22/G22, 0)</f>
        <v/>
      </c>
      <c r="P22" s="17" t="n">
        <v>0.18</v>
      </c>
      <c r="Q22" s="16">
        <f>IF(G22&gt;0, ((N22-SUMIFS('03_BOC_TACH_VAN'!$K$2:$K$5000, '03_BOC_TACH_VAN'!$B$2:$B$5000, B22, '03_BOC_TACH_VAN'!$D$2:$D$5000, "ĐỘNG_CƠ_VÀ_CẢM_BIẾN"))*(1+P22)+SUMIFS('03_BOC_TACH_VAN'!$K$2:$K$5000, '03_BOC_TACH_VAN'!$B$2:$B$5000, B22, '03_BOC_TACH_VAN'!$D$2:$D$5000, "ĐỘNG_CƠ_VÀ_CẢM_BIẾN"))/G22, 0)</f>
        <v/>
      </c>
      <c r="R22" s="16">
        <f>G22*Q22</f>
        <v/>
      </c>
      <c r="S22" t="inlineStr">
        <is>
          <t>Louver nan Z ngoài trời</t>
        </is>
      </c>
    </row>
    <row r="23">
      <c r="A23" t="n">
        <v>22</v>
      </c>
      <c r="B23" t="inlineStr">
        <is>
          <t>SW-DIFF-022</t>
        </is>
      </c>
      <c r="C23" t="inlineStr">
        <is>
          <t>CỬA GIÓ</t>
        </is>
      </c>
      <c r="D23" t="inlineStr">
        <is>
          <t>Miệng cấp gió tươi &amp; cấp khí bù tầng hầm Miệng gió cấp khí bù 1800x1200</t>
        </is>
      </c>
      <c r="E23" t="inlineStr">
        <is>
          <t>1800x1200</t>
        </is>
      </c>
      <c r="F23" t="inlineStr">
        <is>
          <t>Cái</t>
        </is>
      </c>
      <c r="G23" s="16" t="n">
        <v>2</v>
      </c>
      <c r="H23" s="16">
        <f>SUMIF('01_BOC_TACH_ONG'!$B$2:$B$5000, B23, '01_BOC_TACH_ONG'!$K$2:$K$5000)</f>
        <v/>
      </c>
      <c r="I23" s="16">
        <f>SUMIF('02_BOC_TACH_CUA'!$B$2:$B$5000, B23, '02_BOC_TACH_CUA'!$K$2:$K$5000)</f>
        <v/>
      </c>
      <c r="J23" s="16">
        <f>SUMIF('03_BOC_TACH_VAN'!$B$2:$B$5000, B23, '03_BOC_TACH_VAN'!$K$2:$K$5000)</f>
        <v/>
      </c>
      <c r="K23" s="16">
        <f>SUM(H23:J23)</f>
        <v/>
      </c>
      <c r="L23" s="16">
        <f>(K23-SUMIFS('03_BOC_TACH_VAN'!$K$2:$K$5000, '03_BOC_TACH_VAN'!$B$2:$B$5000, B23, '03_BOC_TACH_VAN'!$D$2:$D$5000, "ĐỘNG_CƠ_VÀ_CẢM_BIẾN"))*0.25</f>
        <v/>
      </c>
      <c r="M23" s="16">
        <f>(K23-SUMIFS('03_BOC_TACH_VAN'!$K$2:$K$5000, '03_BOC_TACH_VAN'!$B$2:$B$5000, B23, '03_BOC_TACH_VAN'!$D$2:$D$5000, "ĐỘNG_CƠ_VÀ_CẢM_BIẾN"))*0.10</f>
        <v/>
      </c>
      <c r="N23" s="16">
        <f>K23+L23+M23</f>
        <v/>
      </c>
      <c r="O23" s="16">
        <f>IF(G23&gt;0, N23/G23, 0)</f>
        <v/>
      </c>
      <c r="P23" s="17" t="n">
        <v>0.18</v>
      </c>
      <c r="Q23" s="16">
        <f>IF(G23&gt;0, ((N23-SUMIFS('03_BOC_TACH_VAN'!$K$2:$K$5000, '03_BOC_TACH_VAN'!$B$2:$B$5000, B23, '03_BOC_TACH_VAN'!$D$2:$D$5000, "ĐỘNG_CƠ_VÀ_CẢM_BIẾN"))*(1+P23)+SUMIFS('03_BOC_TACH_VAN'!$K$2:$K$5000, '03_BOC_TACH_VAN'!$B$2:$B$5000, B23, '03_BOC_TACH_VAN'!$D$2:$D$5000, "ĐỘNG_CƠ_VÀ_CẢM_BIẾN"))/G23, 0)</f>
        <v/>
      </c>
      <c r="R23" s="16">
        <f>G23*Q23</f>
        <v/>
      </c>
      <c r="S23" t="inlineStr">
        <is>
          <t>Louver nan Z ngoài trời</t>
        </is>
      </c>
    </row>
    <row r="24">
      <c r="A24" t="n">
        <v>23</v>
      </c>
      <c r="B24" t="inlineStr">
        <is>
          <t>SW-DIFF-023</t>
        </is>
      </c>
      <c r="C24" t="inlineStr">
        <is>
          <t>CỬA GIÓ</t>
        </is>
      </c>
      <c r="D24" t="inlineStr">
        <is>
          <t>Miệng cấp gió tươi &amp; cấp khí bù tầng hầm Miệng gió cấp khí bù 1900x1000</t>
        </is>
      </c>
      <c r="E24" t="inlineStr">
        <is>
          <t>1900x1000</t>
        </is>
      </c>
      <c r="F24" t="inlineStr">
        <is>
          <t>Cái</t>
        </is>
      </c>
      <c r="G24" s="16" t="n">
        <v>2</v>
      </c>
      <c r="H24" s="16">
        <f>SUMIF('01_BOC_TACH_ONG'!$B$2:$B$5000, B24, '01_BOC_TACH_ONG'!$K$2:$K$5000)</f>
        <v/>
      </c>
      <c r="I24" s="16">
        <f>SUMIF('02_BOC_TACH_CUA'!$B$2:$B$5000, B24, '02_BOC_TACH_CUA'!$K$2:$K$5000)</f>
        <v/>
      </c>
      <c r="J24" s="16">
        <f>SUMIF('03_BOC_TACH_VAN'!$B$2:$B$5000, B24, '03_BOC_TACH_VAN'!$K$2:$K$5000)</f>
        <v/>
      </c>
      <c r="K24" s="16">
        <f>SUM(H24:J24)</f>
        <v/>
      </c>
      <c r="L24" s="16">
        <f>(K24-SUMIFS('03_BOC_TACH_VAN'!$K$2:$K$5000, '03_BOC_TACH_VAN'!$B$2:$B$5000, B24, '03_BOC_TACH_VAN'!$D$2:$D$5000, "ĐỘNG_CƠ_VÀ_CẢM_BIẾN"))*0.25</f>
        <v/>
      </c>
      <c r="M24" s="16">
        <f>(K24-SUMIFS('03_BOC_TACH_VAN'!$K$2:$K$5000, '03_BOC_TACH_VAN'!$B$2:$B$5000, B24, '03_BOC_TACH_VAN'!$D$2:$D$5000, "ĐỘNG_CƠ_VÀ_CẢM_BIẾN"))*0.10</f>
        <v/>
      </c>
      <c r="N24" s="16">
        <f>K24+L24+M24</f>
        <v/>
      </c>
      <c r="O24" s="16">
        <f>IF(G24&gt;0, N24/G24, 0)</f>
        <v/>
      </c>
      <c r="P24" s="17" t="n">
        <v>0.18</v>
      </c>
      <c r="Q24" s="16">
        <f>IF(G24&gt;0, ((N24-SUMIFS('03_BOC_TACH_VAN'!$K$2:$K$5000, '03_BOC_TACH_VAN'!$B$2:$B$5000, B24, '03_BOC_TACH_VAN'!$D$2:$D$5000, "ĐỘNG_CƠ_VÀ_CẢM_BIẾN"))*(1+P24)+SUMIFS('03_BOC_TACH_VAN'!$K$2:$K$5000, '03_BOC_TACH_VAN'!$B$2:$B$5000, B24, '03_BOC_TACH_VAN'!$D$2:$D$5000, "ĐỘNG_CƠ_VÀ_CẢM_BIẾN"))/G24, 0)</f>
        <v/>
      </c>
      <c r="R24" s="16">
        <f>G24*Q24</f>
        <v/>
      </c>
      <c r="S24" t="inlineStr">
        <is>
          <t>Louver nan Z ngoài trời</t>
        </is>
      </c>
    </row>
    <row r="25">
      <c r="A25" t="n">
        <v>24</v>
      </c>
      <c r="B25" t="inlineStr">
        <is>
          <t>SW-DIFF-024</t>
        </is>
      </c>
      <c r="C25" t="inlineStr">
        <is>
          <t>CỬA GIÓ</t>
        </is>
      </c>
      <c r="D25" t="inlineStr">
        <is>
          <t>Miệng cấp gió tươi &amp; cấp khí bù tầng hầm Miệng gió cấp khí bù 2000x1000</t>
        </is>
      </c>
      <c r="E25" t="inlineStr">
        <is>
          <t>2000x1000</t>
        </is>
      </c>
      <c r="F25" t="inlineStr">
        <is>
          <t>Cái</t>
        </is>
      </c>
      <c r="G25" s="16" t="n">
        <v>1</v>
      </c>
      <c r="H25" s="16">
        <f>SUMIF('01_BOC_TACH_ONG'!$B$2:$B$5000, B25, '01_BOC_TACH_ONG'!$K$2:$K$5000)</f>
        <v/>
      </c>
      <c r="I25" s="16">
        <f>SUMIF('02_BOC_TACH_CUA'!$B$2:$B$5000, B25, '02_BOC_TACH_CUA'!$K$2:$K$5000)</f>
        <v/>
      </c>
      <c r="J25" s="16">
        <f>SUMIF('03_BOC_TACH_VAN'!$B$2:$B$5000, B25, '03_BOC_TACH_VAN'!$K$2:$K$5000)</f>
        <v/>
      </c>
      <c r="K25" s="16">
        <f>SUM(H25:J25)</f>
        <v/>
      </c>
      <c r="L25" s="16">
        <f>(K25-SUMIFS('03_BOC_TACH_VAN'!$K$2:$K$5000, '03_BOC_TACH_VAN'!$B$2:$B$5000, B25, '03_BOC_TACH_VAN'!$D$2:$D$5000, "ĐỘNG_CƠ_VÀ_CẢM_BIẾN"))*0.25</f>
        <v/>
      </c>
      <c r="M25" s="16">
        <f>(K25-SUMIFS('03_BOC_TACH_VAN'!$K$2:$K$5000, '03_BOC_TACH_VAN'!$B$2:$B$5000, B25, '03_BOC_TACH_VAN'!$D$2:$D$5000, "ĐỘNG_CƠ_VÀ_CẢM_BIẾN"))*0.10</f>
        <v/>
      </c>
      <c r="N25" s="16">
        <f>K25+L25+M25</f>
        <v/>
      </c>
      <c r="O25" s="16">
        <f>IF(G25&gt;0, N25/G25, 0)</f>
        <v/>
      </c>
      <c r="P25" s="17" t="n">
        <v>0.18</v>
      </c>
      <c r="Q25" s="16">
        <f>IF(G25&gt;0, ((N25-SUMIFS('03_BOC_TACH_VAN'!$K$2:$K$5000, '03_BOC_TACH_VAN'!$B$2:$B$5000, B25, '03_BOC_TACH_VAN'!$D$2:$D$5000, "ĐỘNG_CƠ_VÀ_CẢM_BIẾN"))*(1+P25)+SUMIFS('03_BOC_TACH_VAN'!$K$2:$K$5000, '03_BOC_TACH_VAN'!$B$2:$B$5000, B25, '03_BOC_TACH_VAN'!$D$2:$D$5000, "ĐỘNG_CƠ_VÀ_CẢM_BIẾN"))/G25, 0)</f>
        <v/>
      </c>
      <c r="R25" s="16">
        <f>G25*Q25</f>
        <v/>
      </c>
      <c r="S25" t="inlineStr">
        <is>
          <t>Louver nan Z ngoài trời</t>
        </is>
      </c>
    </row>
    <row r="26">
      <c r="A26" t="n">
        <v>25</v>
      </c>
      <c r="B26" t="inlineStr">
        <is>
          <t>SW-DIFF-025</t>
        </is>
      </c>
      <c r="C26" t="inlineStr">
        <is>
          <t>CỬA GIÓ</t>
        </is>
      </c>
      <c r="D26" t="inlineStr">
        <is>
          <t>Miệng cấp gió tươi &amp; cấp khí bù tầng hầm Miệng gió cấp khí bù 2100x1000</t>
        </is>
      </c>
      <c r="E26" t="inlineStr">
        <is>
          <t>2100x1000</t>
        </is>
      </c>
      <c r="F26" t="inlineStr">
        <is>
          <t>Cái</t>
        </is>
      </c>
      <c r="G26" s="16" t="n">
        <v>2</v>
      </c>
      <c r="H26" s="16">
        <f>SUMIF('01_BOC_TACH_ONG'!$B$2:$B$5000, B26, '01_BOC_TACH_ONG'!$K$2:$K$5000)</f>
        <v/>
      </c>
      <c r="I26" s="16">
        <f>SUMIF('02_BOC_TACH_CUA'!$B$2:$B$5000, B26, '02_BOC_TACH_CUA'!$K$2:$K$5000)</f>
        <v/>
      </c>
      <c r="J26" s="16">
        <f>SUMIF('03_BOC_TACH_VAN'!$B$2:$B$5000, B26, '03_BOC_TACH_VAN'!$K$2:$K$5000)</f>
        <v/>
      </c>
      <c r="K26" s="16">
        <f>SUM(H26:J26)</f>
        <v/>
      </c>
      <c r="L26" s="16">
        <f>(K26-SUMIFS('03_BOC_TACH_VAN'!$K$2:$K$5000, '03_BOC_TACH_VAN'!$B$2:$B$5000, B26, '03_BOC_TACH_VAN'!$D$2:$D$5000, "ĐỘNG_CƠ_VÀ_CẢM_BIẾN"))*0.25</f>
        <v/>
      </c>
      <c r="M26" s="16">
        <f>(K26-SUMIFS('03_BOC_TACH_VAN'!$K$2:$K$5000, '03_BOC_TACH_VAN'!$B$2:$B$5000, B26, '03_BOC_TACH_VAN'!$D$2:$D$5000, "ĐỘNG_CƠ_VÀ_CẢM_BIẾN"))*0.10</f>
        <v/>
      </c>
      <c r="N26" s="16">
        <f>K26+L26+M26</f>
        <v/>
      </c>
      <c r="O26" s="16">
        <f>IF(G26&gt;0, N26/G26, 0)</f>
        <v/>
      </c>
      <c r="P26" s="17" t="n">
        <v>0.18</v>
      </c>
      <c r="Q26" s="16">
        <f>IF(G26&gt;0, ((N26-SUMIFS('03_BOC_TACH_VAN'!$K$2:$K$5000, '03_BOC_TACH_VAN'!$B$2:$B$5000, B26, '03_BOC_TACH_VAN'!$D$2:$D$5000, "ĐỘNG_CƠ_VÀ_CẢM_BIẾN"))*(1+P26)+SUMIFS('03_BOC_TACH_VAN'!$K$2:$K$5000, '03_BOC_TACH_VAN'!$B$2:$B$5000, B26, '03_BOC_TACH_VAN'!$D$2:$D$5000, "ĐỘNG_CƠ_VÀ_CẢM_BIẾN"))/G26, 0)</f>
        <v/>
      </c>
      <c r="R26" s="16">
        <f>G26*Q26</f>
        <v/>
      </c>
      <c r="S26" t="inlineStr">
        <is>
          <t>Louver nan Z ngoài trời</t>
        </is>
      </c>
    </row>
    <row r="27">
      <c r="A27" t="n">
        <v>26</v>
      </c>
      <c r="B27" t="inlineStr">
        <is>
          <t>SW-DIFF-026</t>
        </is>
      </c>
      <c r="C27" t="inlineStr">
        <is>
          <t>CỬA GIÓ</t>
        </is>
      </c>
      <c r="D27" t="inlineStr">
        <is>
          <t>Miệng cấp gió tươi &amp; cấp khí bù tầng hầm Miệng gió cấp khí bù 2200x1000</t>
        </is>
      </c>
      <c r="E27" t="inlineStr">
        <is>
          <t>2200x1000</t>
        </is>
      </c>
      <c r="F27" t="inlineStr">
        <is>
          <t>Cái</t>
        </is>
      </c>
      <c r="G27" s="16" t="n">
        <v>3</v>
      </c>
      <c r="H27" s="16">
        <f>SUMIF('01_BOC_TACH_ONG'!$B$2:$B$5000, B27, '01_BOC_TACH_ONG'!$K$2:$K$5000)</f>
        <v/>
      </c>
      <c r="I27" s="16">
        <f>SUMIF('02_BOC_TACH_CUA'!$B$2:$B$5000, B27, '02_BOC_TACH_CUA'!$K$2:$K$5000)</f>
        <v/>
      </c>
      <c r="J27" s="16">
        <f>SUMIF('03_BOC_TACH_VAN'!$B$2:$B$5000, B27, '03_BOC_TACH_VAN'!$K$2:$K$5000)</f>
        <v/>
      </c>
      <c r="K27" s="16">
        <f>SUM(H27:J27)</f>
        <v/>
      </c>
      <c r="L27" s="16">
        <f>(K27-SUMIFS('03_BOC_TACH_VAN'!$K$2:$K$5000, '03_BOC_TACH_VAN'!$B$2:$B$5000, B27, '03_BOC_TACH_VAN'!$D$2:$D$5000, "ĐỘNG_CƠ_VÀ_CẢM_BIẾN"))*0.25</f>
        <v/>
      </c>
      <c r="M27" s="16">
        <f>(K27-SUMIFS('03_BOC_TACH_VAN'!$K$2:$K$5000, '03_BOC_TACH_VAN'!$B$2:$B$5000, B27, '03_BOC_TACH_VAN'!$D$2:$D$5000, "ĐỘNG_CƠ_VÀ_CẢM_BIẾN"))*0.10</f>
        <v/>
      </c>
      <c r="N27" s="16">
        <f>K27+L27+M27</f>
        <v/>
      </c>
      <c r="O27" s="16">
        <f>IF(G27&gt;0, N27/G27, 0)</f>
        <v/>
      </c>
      <c r="P27" s="17" t="n">
        <v>0.18</v>
      </c>
      <c r="Q27" s="16">
        <f>IF(G27&gt;0, ((N27-SUMIFS('03_BOC_TACH_VAN'!$K$2:$K$5000, '03_BOC_TACH_VAN'!$B$2:$B$5000, B27, '03_BOC_TACH_VAN'!$D$2:$D$5000, "ĐỘNG_CƠ_VÀ_CẢM_BIẾN"))*(1+P27)+SUMIFS('03_BOC_TACH_VAN'!$K$2:$K$5000, '03_BOC_TACH_VAN'!$B$2:$B$5000, B27, '03_BOC_TACH_VAN'!$D$2:$D$5000, "ĐỘNG_CƠ_VÀ_CẢM_BIẾN"))/G27, 0)</f>
        <v/>
      </c>
      <c r="R27" s="16">
        <f>G27*Q27</f>
        <v/>
      </c>
      <c r="S27" t="inlineStr">
        <is>
          <t>Louver nan Z ngoài trời</t>
        </is>
      </c>
    </row>
    <row r="28">
      <c r="A28" t="n">
        <v>27</v>
      </c>
      <c r="B28" t="inlineStr">
        <is>
          <t>SW-DIFF-027</t>
        </is>
      </c>
      <c r="C28" t="inlineStr">
        <is>
          <t>CỬA GIÓ</t>
        </is>
      </c>
      <c r="D28" t="inlineStr">
        <is>
          <t>Miệng cấp gió tươi &amp; cấp khí bù tầng hầm Miệng gió cấp khí bù 2200x1200</t>
        </is>
      </c>
      <c r="E28" t="inlineStr">
        <is>
          <t>2200x1200</t>
        </is>
      </c>
      <c r="F28" t="inlineStr">
        <is>
          <t>Cái</t>
        </is>
      </c>
      <c r="G28" s="16" t="n">
        <v>1</v>
      </c>
      <c r="H28" s="16">
        <f>SUMIF('01_BOC_TACH_ONG'!$B$2:$B$5000, B28, '01_BOC_TACH_ONG'!$K$2:$K$5000)</f>
        <v/>
      </c>
      <c r="I28" s="16">
        <f>SUMIF('02_BOC_TACH_CUA'!$B$2:$B$5000, B28, '02_BOC_TACH_CUA'!$K$2:$K$5000)</f>
        <v/>
      </c>
      <c r="J28" s="16">
        <f>SUMIF('03_BOC_TACH_VAN'!$B$2:$B$5000, B28, '03_BOC_TACH_VAN'!$K$2:$K$5000)</f>
        <v/>
      </c>
      <c r="K28" s="16">
        <f>SUM(H28:J28)</f>
        <v/>
      </c>
      <c r="L28" s="16">
        <f>(K28-SUMIFS('03_BOC_TACH_VAN'!$K$2:$K$5000, '03_BOC_TACH_VAN'!$B$2:$B$5000, B28, '03_BOC_TACH_VAN'!$D$2:$D$5000, "ĐỘNG_CƠ_VÀ_CẢM_BIẾN"))*0.25</f>
        <v/>
      </c>
      <c r="M28" s="16">
        <f>(K28-SUMIFS('03_BOC_TACH_VAN'!$K$2:$K$5000, '03_BOC_TACH_VAN'!$B$2:$B$5000, B28, '03_BOC_TACH_VAN'!$D$2:$D$5000, "ĐỘNG_CƠ_VÀ_CẢM_BIẾN"))*0.10</f>
        <v/>
      </c>
      <c r="N28" s="16">
        <f>K28+L28+M28</f>
        <v/>
      </c>
      <c r="O28" s="16">
        <f>IF(G28&gt;0, N28/G28, 0)</f>
        <v/>
      </c>
      <c r="P28" s="17" t="n">
        <v>0.18</v>
      </c>
      <c r="Q28" s="16">
        <f>IF(G28&gt;0, ((N28-SUMIFS('03_BOC_TACH_VAN'!$K$2:$K$5000, '03_BOC_TACH_VAN'!$B$2:$B$5000, B28, '03_BOC_TACH_VAN'!$D$2:$D$5000, "ĐỘNG_CƠ_VÀ_CẢM_BIẾN"))*(1+P28)+SUMIFS('03_BOC_TACH_VAN'!$K$2:$K$5000, '03_BOC_TACH_VAN'!$B$2:$B$5000, B28, '03_BOC_TACH_VAN'!$D$2:$D$5000, "ĐỘNG_CƠ_VÀ_CẢM_BIẾN"))/G28, 0)</f>
        <v/>
      </c>
      <c r="R28" s="16">
        <f>G28*Q28</f>
        <v/>
      </c>
      <c r="S28" t="inlineStr">
        <is>
          <t>Louver nan Z ngoài trời</t>
        </is>
      </c>
    </row>
    <row r="29">
      <c r="A29" t="n">
        <v>28</v>
      </c>
      <c r="B29" t="inlineStr">
        <is>
          <t>SW-DIFF-028</t>
        </is>
      </c>
      <c r="C29" t="inlineStr">
        <is>
          <t>CỬA GIÓ</t>
        </is>
      </c>
      <c r="D29" t="inlineStr">
        <is>
          <t>Louver thải gió EAL + LCCT 1000x4000</t>
        </is>
      </c>
      <c r="E29" t="inlineStr">
        <is>
          <t>1000x4000</t>
        </is>
      </c>
      <c r="F29" t="inlineStr">
        <is>
          <t>Cái</t>
        </is>
      </c>
      <c r="G29" s="16" t="n">
        <v>1</v>
      </c>
      <c r="H29" s="16">
        <f>SUMIF('01_BOC_TACH_ONG'!$B$2:$B$5000, B29, '01_BOC_TACH_ONG'!$K$2:$K$5000)</f>
        <v/>
      </c>
      <c r="I29" s="16">
        <f>SUMIF('02_BOC_TACH_CUA'!$B$2:$B$5000, B29, '02_BOC_TACH_CUA'!$K$2:$K$5000)</f>
        <v/>
      </c>
      <c r="J29" s="16">
        <f>SUMIF('03_BOC_TACH_VAN'!$B$2:$B$5000, B29, '03_BOC_TACH_VAN'!$K$2:$K$5000)</f>
        <v/>
      </c>
      <c r="K29" s="16">
        <f>SUM(H29:J29)</f>
        <v/>
      </c>
      <c r="L29" s="16">
        <f>(K29-SUMIFS('03_BOC_TACH_VAN'!$K$2:$K$5000, '03_BOC_TACH_VAN'!$B$2:$B$5000, B29, '03_BOC_TACH_VAN'!$D$2:$D$5000, "ĐỘNG_CƠ_VÀ_CẢM_BIẾN"))*0.25</f>
        <v/>
      </c>
      <c r="M29" s="16">
        <f>(K29-SUMIFS('03_BOC_TACH_VAN'!$K$2:$K$5000, '03_BOC_TACH_VAN'!$B$2:$B$5000, B29, '03_BOC_TACH_VAN'!$D$2:$D$5000, "ĐỘNG_CƠ_VÀ_CẢM_BIẾN"))*0.10</f>
        <v/>
      </c>
      <c r="N29" s="16">
        <f>K29+L29+M29</f>
        <v/>
      </c>
      <c r="O29" s="16">
        <f>IF(G29&gt;0, N29/G29, 0)</f>
        <v/>
      </c>
      <c r="P29" s="17" t="n">
        <v>0.18</v>
      </c>
      <c r="Q29" s="16">
        <f>IF(G29&gt;0, ((N29-SUMIFS('03_BOC_TACH_VAN'!$K$2:$K$5000, '03_BOC_TACH_VAN'!$B$2:$B$5000, B29, '03_BOC_TACH_VAN'!$D$2:$D$5000, "ĐỘNG_CƠ_VÀ_CẢM_BIẾN"))*(1+P29)+SUMIFS('03_BOC_TACH_VAN'!$K$2:$K$5000, '03_BOC_TACH_VAN'!$B$2:$B$5000, B29, '03_BOC_TACH_VAN'!$D$2:$D$5000, "ĐỘNG_CƠ_VÀ_CẢM_BIẾN"))/G29, 0)</f>
        <v/>
      </c>
      <c r="R29" s="16">
        <f>G29*Q29</f>
        <v/>
      </c>
      <c r="S29" t="inlineStr">
        <is>
          <t>Louver nan Z ngoài trời kèm lưới chắn côn trùng Inox 304</t>
        </is>
      </c>
    </row>
    <row r="30">
      <c r="A30" t="n">
        <v>29</v>
      </c>
      <c r="B30" t="inlineStr">
        <is>
          <t>SW-DIFF-029</t>
        </is>
      </c>
      <c r="C30" t="inlineStr">
        <is>
          <t>CỬA GIÓ</t>
        </is>
      </c>
      <c r="D30" t="inlineStr">
        <is>
          <t>Louver thải gió EAL + LCCT 1550x2200</t>
        </is>
      </c>
      <c r="E30" t="inlineStr">
        <is>
          <t>1550x2200</t>
        </is>
      </c>
      <c r="F30" t="inlineStr">
        <is>
          <t>Cái</t>
        </is>
      </c>
      <c r="G30" s="16" t="n">
        <v>2</v>
      </c>
      <c r="H30" s="16">
        <f>SUMIF('01_BOC_TACH_ONG'!$B$2:$B$5000, B30, '01_BOC_TACH_ONG'!$K$2:$K$5000)</f>
        <v/>
      </c>
      <c r="I30" s="16">
        <f>SUMIF('02_BOC_TACH_CUA'!$B$2:$B$5000, B30, '02_BOC_TACH_CUA'!$K$2:$K$5000)</f>
        <v/>
      </c>
      <c r="J30" s="16">
        <f>SUMIF('03_BOC_TACH_VAN'!$B$2:$B$5000, B30, '03_BOC_TACH_VAN'!$K$2:$K$5000)</f>
        <v/>
      </c>
      <c r="K30" s="16">
        <f>SUM(H30:J30)</f>
        <v/>
      </c>
      <c r="L30" s="16">
        <f>(K30-SUMIFS('03_BOC_TACH_VAN'!$K$2:$K$5000, '03_BOC_TACH_VAN'!$B$2:$B$5000, B30, '03_BOC_TACH_VAN'!$D$2:$D$5000, "ĐỘNG_CƠ_VÀ_CẢM_BIẾN"))*0.25</f>
        <v/>
      </c>
      <c r="M30" s="16">
        <f>(K30-SUMIFS('03_BOC_TACH_VAN'!$K$2:$K$5000, '03_BOC_TACH_VAN'!$B$2:$B$5000, B30, '03_BOC_TACH_VAN'!$D$2:$D$5000, "ĐỘNG_CƠ_VÀ_CẢM_BIẾN"))*0.10</f>
        <v/>
      </c>
      <c r="N30" s="16">
        <f>K30+L30+M30</f>
        <v/>
      </c>
      <c r="O30" s="16">
        <f>IF(G30&gt;0, N30/G30, 0)</f>
        <v/>
      </c>
      <c r="P30" s="17" t="n">
        <v>0.18</v>
      </c>
      <c r="Q30" s="16">
        <f>IF(G30&gt;0, ((N30-SUMIFS('03_BOC_TACH_VAN'!$K$2:$K$5000, '03_BOC_TACH_VAN'!$B$2:$B$5000, B30, '03_BOC_TACH_VAN'!$D$2:$D$5000, "ĐỘNG_CƠ_VÀ_CẢM_BIẾN"))*(1+P30)+SUMIFS('03_BOC_TACH_VAN'!$K$2:$K$5000, '03_BOC_TACH_VAN'!$B$2:$B$5000, B30, '03_BOC_TACH_VAN'!$D$2:$D$5000, "ĐỘNG_CƠ_VÀ_CẢM_BIẾN"))/G30, 0)</f>
        <v/>
      </c>
      <c r="R30" s="16">
        <f>G30*Q30</f>
        <v/>
      </c>
      <c r="S30" t="inlineStr">
        <is>
          <t>Louver nan Z ngoài trời kèm lưới chắn côn trùng Inox 304</t>
        </is>
      </c>
    </row>
    <row r="31">
      <c r="A31" t="n">
        <v>30</v>
      </c>
      <c r="B31" t="inlineStr">
        <is>
          <t>SW-DIFF-030</t>
        </is>
      </c>
      <c r="C31" t="inlineStr">
        <is>
          <t>CỬA GIÓ</t>
        </is>
      </c>
      <c r="D31" t="inlineStr">
        <is>
          <t>Louver thải gió EAL + LCCT 1700x2100</t>
        </is>
      </c>
      <c r="E31" t="inlineStr">
        <is>
          <t>1700x2100</t>
        </is>
      </c>
      <c r="F31" t="inlineStr">
        <is>
          <t>Cái</t>
        </is>
      </c>
      <c r="G31" s="16" t="n">
        <v>3</v>
      </c>
      <c r="H31" s="16">
        <f>SUMIF('01_BOC_TACH_ONG'!$B$2:$B$5000, B31, '01_BOC_TACH_ONG'!$K$2:$K$5000)</f>
        <v/>
      </c>
      <c r="I31" s="16">
        <f>SUMIF('02_BOC_TACH_CUA'!$B$2:$B$5000, B31, '02_BOC_TACH_CUA'!$K$2:$K$5000)</f>
        <v/>
      </c>
      <c r="J31" s="16">
        <f>SUMIF('03_BOC_TACH_VAN'!$B$2:$B$5000, B31, '03_BOC_TACH_VAN'!$K$2:$K$5000)</f>
        <v/>
      </c>
      <c r="K31" s="16">
        <f>SUM(H31:J31)</f>
        <v/>
      </c>
      <c r="L31" s="16">
        <f>(K31-SUMIFS('03_BOC_TACH_VAN'!$K$2:$K$5000, '03_BOC_TACH_VAN'!$B$2:$B$5000, B31, '03_BOC_TACH_VAN'!$D$2:$D$5000, "ĐỘNG_CƠ_VÀ_CẢM_BIẾN"))*0.25</f>
        <v/>
      </c>
      <c r="M31" s="16">
        <f>(K31-SUMIFS('03_BOC_TACH_VAN'!$K$2:$K$5000, '03_BOC_TACH_VAN'!$B$2:$B$5000, B31, '03_BOC_TACH_VAN'!$D$2:$D$5000, "ĐỘNG_CƠ_VÀ_CẢM_BIẾN"))*0.10</f>
        <v/>
      </c>
      <c r="N31" s="16">
        <f>K31+L31+M31</f>
        <v/>
      </c>
      <c r="O31" s="16">
        <f>IF(G31&gt;0, N31/G31, 0)</f>
        <v/>
      </c>
      <c r="P31" s="17" t="n">
        <v>0.18</v>
      </c>
      <c r="Q31" s="16">
        <f>IF(G31&gt;0, ((N31-SUMIFS('03_BOC_TACH_VAN'!$K$2:$K$5000, '03_BOC_TACH_VAN'!$B$2:$B$5000, B31, '03_BOC_TACH_VAN'!$D$2:$D$5000, "ĐỘNG_CƠ_VÀ_CẢM_BIẾN"))*(1+P31)+SUMIFS('03_BOC_TACH_VAN'!$K$2:$K$5000, '03_BOC_TACH_VAN'!$B$2:$B$5000, B31, '03_BOC_TACH_VAN'!$D$2:$D$5000, "ĐỘNG_CƠ_VÀ_CẢM_BIẾN"))/G31, 0)</f>
        <v/>
      </c>
      <c r="R31" s="16">
        <f>G31*Q31</f>
        <v/>
      </c>
      <c r="S31" t="inlineStr">
        <is>
          <t>Louver nan Z ngoài trời kèm lưới chắn côn trùng Inox 304</t>
        </is>
      </c>
    </row>
    <row r="32">
      <c r="A32" t="n">
        <v>31</v>
      </c>
      <c r="B32" t="inlineStr">
        <is>
          <t>SW-DIFF-031</t>
        </is>
      </c>
      <c r="C32" t="inlineStr">
        <is>
          <t>CỬA GIÓ</t>
        </is>
      </c>
      <c r="D32" t="inlineStr">
        <is>
          <t>Louver thải gió EAL + LCCT 2000x2100</t>
        </is>
      </c>
      <c r="E32" t="inlineStr">
        <is>
          <t>2000x2100</t>
        </is>
      </c>
      <c r="F32" t="inlineStr">
        <is>
          <t>Cái</t>
        </is>
      </c>
      <c r="G32" s="16" t="n">
        <v>2</v>
      </c>
      <c r="H32" s="16">
        <f>SUMIF('01_BOC_TACH_ONG'!$B$2:$B$5000, B32, '01_BOC_TACH_ONG'!$K$2:$K$5000)</f>
        <v/>
      </c>
      <c r="I32" s="16">
        <f>SUMIF('02_BOC_TACH_CUA'!$B$2:$B$5000, B32, '02_BOC_TACH_CUA'!$K$2:$K$5000)</f>
        <v/>
      </c>
      <c r="J32" s="16">
        <f>SUMIF('03_BOC_TACH_VAN'!$B$2:$B$5000, B32, '03_BOC_TACH_VAN'!$K$2:$K$5000)</f>
        <v/>
      </c>
      <c r="K32" s="16">
        <f>SUM(H32:J32)</f>
        <v/>
      </c>
      <c r="L32" s="16">
        <f>(K32-SUMIFS('03_BOC_TACH_VAN'!$K$2:$K$5000, '03_BOC_TACH_VAN'!$B$2:$B$5000, B32, '03_BOC_TACH_VAN'!$D$2:$D$5000, "ĐỘNG_CƠ_VÀ_CẢM_BIẾN"))*0.25</f>
        <v/>
      </c>
      <c r="M32" s="16">
        <f>(K32-SUMIFS('03_BOC_TACH_VAN'!$K$2:$K$5000, '03_BOC_TACH_VAN'!$B$2:$B$5000, B32, '03_BOC_TACH_VAN'!$D$2:$D$5000, "ĐỘNG_CƠ_VÀ_CẢM_BIẾN"))*0.10</f>
        <v/>
      </c>
      <c r="N32" s="16">
        <f>K32+L32+M32</f>
        <v/>
      </c>
      <c r="O32" s="16">
        <f>IF(G32&gt;0, N32/G32, 0)</f>
        <v/>
      </c>
      <c r="P32" s="17" t="n">
        <v>0.18</v>
      </c>
      <c r="Q32" s="16">
        <f>IF(G32&gt;0, ((N32-SUMIFS('03_BOC_TACH_VAN'!$K$2:$K$5000, '03_BOC_TACH_VAN'!$B$2:$B$5000, B32, '03_BOC_TACH_VAN'!$D$2:$D$5000, "ĐỘNG_CƠ_VÀ_CẢM_BIẾN"))*(1+P32)+SUMIFS('03_BOC_TACH_VAN'!$K$2:$K$5000, '03_BOC_TACH_VAN'!$B$2:$B$5000, B32, '03_BOC_TACH_VAN'!$D$2:$D$5000, "ĐỘNG_CƠ_VÀ_CẢM_BIẾN"))/G32, 0)</f>
        <v/>
      </c>
      <c r="R32" s="16">
        <f>G32*Q32</f>
        <v/>
      </c>
      <c r="S32" t="inlineStr">
        <is>
          <t>Louver nan Z ngoài trời kèm lưới chắn côn trùng Inox 304</t>
        </is>
      </c>
    </row>
    <row r="33">
      <c r="A33" t="n">
        <v>32</v>
      </c>
      <c r="B33" t="inlineStr">
        <is>
          <t>SW-DIFF-032</t>
        </is>
      </c>
      <c r="C33" t="inlineStr">
        <is>
          <t>CỬA GIÓ</t>
        </is>
      </c>
      <c r="D33" t="inlineStr">
        <is>
          <t>Louver thải gió EAL + LCCT 2500x2100</t>
        </is>
      </c>
      <c r="E33" t="inlineStr">
        <is>
          <t>2500x2100</t>
        </is>
      </c>
      <c r="F33" t="inlineStr">
        <is>
          <t>Cái</t>
        </is>
      </c>
      <c r="G33" s="16" t="n">
        <v>2</v>
      </c>
      <c r="H33" s="16">
        <f>SUMIF('01_BOC_TACH_ONG'!$B$2:$B$5000, B33, '01_BOC_TACH_ONG'!$K$2:$K$5000)</f>
        <v/>
      </c>
      <c r="I33" s="16">
        <f>SUMIF('02_BOC_TACH_CUA'!$B$2:$B$5000, B33, '02_BOC_TACH_CUA'!$K$2:$K$5000)</f>
        <v/>
      </c>
      <c r="J33" s="16">
        <f>SUMIF('03_BOC_TACH_VAN'!$B$2:$B$5000, B33, '03_BOC_TACH_VAN'!$K$2:$K$5000)</f>
        <v/>
      </c>
      <c r="K33" s="16">
        <f>SUM(H33:J33)</f>
        <v/>
      </c>
      <c r="L33" s="16">
        <f>(K33-SUMIFS('03_BOC_TACH_VAN'!$K$2:$K$5000, '03_BOC_TACH_VAN'!$B$2:$B$5000, B33, '03_BOC_TACH_VAN'!$D$2:$D$5000, "ĐỘNG_CƠ_VÀ_CẢM_BIẾN"))*0.25</f>
        <v/>
      </c>
      <c r="M33" s="16">
        <f>(K33-SUMIFS('03_BOC_TACH_VAN'!$K$2:$K$5000, '03_BOC_TACH_VAN'!$B$2:$B$5000, B33, '03_BOC_TACH_VAN'!$D$2:$D$5000, "ĐỘNG_CƠ_VÀ_CẢM_BIẾN"))*0.10</f>
        <v/>
      </c>
      <c r="N33" s="16">
        <f>K33+L33+M33</f>
        <v/>
      </c>
      <c r="O33" s="16">
        <f>IF(G33&gt;0, N33/G33, 0)</f>
        <v/>
      </c>
      <c r="P33" s="17" t="n">
        <v>0.18</v>
      </c>
      <c r="Q33" s="16">
        <f>IF(G33&gt;0, ((N33-SUMIFS('03_BOC_TACH_VAN'!$K$2:$K$5000, '03_BOC_TACH_VAN'!$B$2:$B$5000, B33, '03_BOC_TACH_VAN'!$D$2:$D$5000, "ĐỘNG_CƠ_VÀ_CẢM_BIẾN"))*(1+P33)+SUMIFS('03_BOC_TACH_VAN'!$K$2:$K$5000, '03_BOC_TACH_VAN'!$B$2:$B$5000, B33, '03_BOC_TACH_VAN'!$D$2:$D$5000, "ĐỘNG_CƠ_VÀ_CẢM_BIẾN"))/G33, 0)</f>
        <v/>
      </c>
      <c r="R33" s="16">
        <f>G33*Q33</f>
        <v/>
      </c>
      <c r="S33" t="inlineStr">
        <is>
          <t>Louver nan Z ngoài trời kèm lưới chắn côn trùng Inox 304</t>
        </is>
      </c>
    </row>
    <row r="34">
      <c r="A34" t="n">
        <v>33</v>
      </c>
      <c r="B34" t="inlineStr">
        <is>
          <t>SW-DIFF-033</t>
        </is>
      </c>
      <c r="C34" t="inlineStr">
        <is>
          <t>CỬA GIÓ</t>
        </is>
      </c>
      <c r="D34" t="inlineStr">
        <is>
          <t>Louver thải gió EAL + LCCT 2600x4000</t>
        </is>
      </c>
      <c r="E34" t="inlineStr">
        <is>
          <t>2600x4000</t>
        </is>
      </c>
      <c r="F34" t="inlineStr">
        <is>
          <t>Cái</t>
        </is>
      </c>
      <c r="G34" s="16" t="n">
        <v>1</v>
      </c>
      <c r="H34" s="16">
        <f>SUMIF('01_BOC_TACH_ONG'!$B$2:$B$5000, B34, '01_BOC_TACH_ONG'!$K$2:$K$5000)</f>
        <v/>
      </c>
      <c r="I34" s="16">
        <f>SUMIF('02_BOC_TACH_CUA'!$B$2:$B$5000, B34, '02_BOC_TACH_CUA'!$K$2:$K$5000)</f>
        <v/>
      </c>
      <c r="J34" s="16">
        <f>SUMIF('03_BOC_TACH_VAN'!$B$2:$B$5000, B34, '03_BOC_TACH_VAN'!$K$2:$K$5000)</f>
        <v/>
      </c>
      <c r="K34" s="16">
        <f>SUM(H34:J34)</f>
        <v/>
      </c>
      <c r="L34" s="16">
        <f>(K34-SUMIFS('03_BOC_TACH_VAN'!$K$2:$K$5000, '03_BOC_TACH_VAN'!$B$2:$B$5000, B34, '03_BOC_TACH_VAN'!$D$2:$D$5000, "ĐỘNG_CƠ_VÀ_CẢM_BIẾN"))*0.25</f>
        <v/>
      </c>
      <c r="M34" s="16">
        <f>(K34-SUMIFS('03_BOC_TACH_VAN'!$K$2:$K$5000, '03_BOC_TACH_VAN'!$B$2:$B$5000, B34, '03_BOC_TACH_VAN'!$D$2:$D$5000, "ĐỘNG_CƠ_VÀ_CẢM_BIẾN"))*0.10</f>
        <v/>
      </c>
      <c r="N34" s="16">
        <f>K34+L34+M34</f>
        <v/>
      </c>
      <c r="O34" s="16">
        <f>IF(G34&gt;0, N34/G34, 0)</f>
        <v/>
      </c>
      <c r="P34" s="17" t="n">
        <v>0.18</v>
      </c>
      <c r="Q34" s="16">
        <f>IF(G34&gt;0, ((N34-SUMIFS('03_BOC_TACH_VAN'!$K$2:$K$5000, '03_BOC_TACH_VAN'!$B$2:$B$5000, B34, '03_BOC_TACH_VAN'!$D$2:$D$5000, "ĐỘNG_CƠ_VÀ_CẢM_BIẾN"))*(1+P34)+SUMIFS('03_BOC_TACH_VAN'!$K$2:$K$5000, '03_BOC_TACH_VAN'!$B$2:$B$5000, B34, '03_BOC_TACH_VAN'!$D$2:$D$5000, "ĐỘNG_CƠ_VÀ_CẢM_BIẾN"))/G34, 0)</f>
        <v/>
      </c>
      <c r="R34" s="16">
        <f>G34*Q34</f>
        <v/>
      </c>
      <c r="S34" t="inlineStr">
        <is>
          <t>Louver nan Z ngoài trời kèm lưới chắn côn trùng Inox 304</t>
        </is>
      </c>
    </row>
    <row r="35">
      <c r="A35" t="n">
        <v>34</v>
      </c>
      <c r="B35" t="inlineStr">
        <is>
          <t>SW-DIFF-034</t>
        </is>
      </c>
      <c r="C35" t="inlineStr">
        <is>
          <t>CỬA GIÓ</t>
        </is>
      </c>
      <c r="D35" t="inlineStr">
        <is>
          <t>Louver thải gió EAL + LCCT 3000x4000</t>
        </is>
      </c>
      <c r="E35" t="inlineStr">
        <is>
          <t>3000x4000</t>
        </is>
      </c>
      <c r="F35" t="inlineStr">
        <is>
          <t>Cái</t>
        </is>
      </c>
      <c r="G35" s="16" t="n">
        <v>1</v>
      </c>
      <c r="H35" s="16">
        <f>SUMIF('01_BOC_TACH_ONG'!$B$2:$B$5000, B35, '01_BOC_TACH_ONG'!$K$2:$K$5000)</f>
        <v/>
      </c>
      <c r="I35" s="16">
        <f>SUMIF('02_BOC_TACH_CUA'!$B$2:$B$5000, B35, '02_BOC_TACH_CUA'!$K$2:$K$5000)</f>
        <v/>
      </c>
      <c r="J35" s="16">
        <f>SUMIF('03_BOC_TACH_VAN'!$B$2:$B$5000, B35, '03_BOC_TACH_VAN'!$K$2:$K$5000)</f>
        <v/>
      </c>
      <c r="K35" s="16">
        <f>SUM(H35:J35)</f>
        <v/>
      </c>
      <c r="L35" s="16">
        <f>(K35-SUMIFS('03_BOC_TACH_VAN'!$K$2:$K$5000, '03_BOC_TACH_VAN'!$B$2:$B$5000, B35, '03_BOC_TACH_VAN'!$D$2:$D$5000, "ĐỘNG_CƠ_VÀ_CẢM_BIẾN"))*0.25</f>
        <v/>
      </c>
      <c r="M35" s="16">
        <f>(K35-SUMIFS('03_BOC_TACH_VAN'!$K$2:$K$5000, '03_BOC_TACH_VAN'!$B$2:$B$5000, B35, '03_BOC_TACH_VAN'!$D$2:$D$5000, "ĐỘNG_CƠ_VÀ_CẢM_BIẾN"))*0.10</f>
        <v/>
      </c>
      <c r="N35" s="16">
        <f>K35+L35+M35</f>
        <v/>
      </c>
      <c r="O35" s="16">
        <f>IF(G35&gt;0, N35/G35, 0)</f>
        <v/>
      </c>
      <c r="P35" s="17" t="n">
        <v>0.18</v>
      </c>
      <c r="Q35" s="16">
        <f>IF(G35&gt;0, ((N35-SUMIFS('03_BOC_TACH_VAN'!$K$2:$K$5000, '03_BOC_TACH_VAN'!$B$2:$B$5000, B35, '03_BOC_TACH_VAN'!$D$2:$D$5000, "ĐỘNG_CƠ_VÀ_CẢM_BIẾN"))*(1+P35)+SUMIFS('03_BOC_TACH_VAN'!$K$2:$K$5000, '03_BOC_TACH_VAN'!$B$2:$B$5000, B35, '03_BOC_TACH_VAN'!$D$2:$D$5000, "ĐỘNG_CƠ_VÀ_CẢM_BIẾN"))/G35, 0)</f>
        <v/>
      </c>
      <c r="R35" s="16">
        <f>G35*Q35</f>
        <v/>
      </c>
      <c r="S35" t="inlineStr">
        <is>
          <t>Louver nan Z ngoài trời kèm lưới chắn côn trùng Inox 304</t>
        </is>
      </c>
    </row>
    <row r="36">
      <c r="A36" t="n">
        <v>35</v>
      </c>
      <c r="B36" t="inlineStr">
        <is>
          <t>SW-DIFF-035</t>
        </is>
      </c>
      <c r="C36" t="inlineStr">
        <is>
          <t>CỬA GIÓ</t>
        </is>
      </c>
      <c r="D36" t="inlineStr">
        <is>
          <t>Louver thải gió EAL + LCCT 4100x2200</t>
        </is>
      </c>
      <c r="E36" t="inlineStr">
        <is>
          <t>4100x2200</t>
        </is>
      </c>
      <c r="F36" t="inlineStr">
        <is>
          <t>Cái</t>
        </is>
      </c>
      <c r="G36" s="16" t="n">
        <v>1</v>
      </c>
      <c r="H36" s="16">
        <f>SUMIF('01_BOC_TACH_ONG'!$B$2:$B$5000, B36, '01_BOC_TACH_ONG'!$K$2:$K$5000)</f>
        <v/>
      </c>
      <c r="I36" s="16">
        <f>SUMIF('02_BOC_TACH_CUA'!$B$2:$B$5000, B36, '02_BOC_TACH_CUA'!$K$2:$K$5000)</f>
        <v/>
      </c>
      <c r="J36" s="16">
        <f>SUMIF('03_BOC_TACH_VAN'!$B$2:$B$5000, B36, '03_BOC_TACH_VAN'!$K$2:$K$5000)</f>
        <v/>
      </c>
      <c r="K36" s="16">
        <f>SUM(H36:J36)</f>
        <v/>
      </c>
      <c r="L36" s="16">
        <f>(K36-SUMIFS('03_BOC_TACH_VAN'!$K$2:$K$5000, '03_BOC_TACH_VAN'!$B$2:$B$5000, B36, '03_BOC_TACH_VAN'!$D$2:$D$5000, "ĐỘNG_CƠ_VÀ_CẢM_BIẾN"))*0.25</f>
        <v/>
      </c>
      <c r="M36" s="16">
        <f>(K36-SUMIFS('03_BOC_TACH_VAN'!$K$2:$K$5000, '03_BOC_TACH_VAN'!$B$2:$B$5000, B36, '03_BOC_TACH_VAN'!$D$2:$D$5000, "ĐỘNG_CƠ_VÀ_CẢM_BIẾN"))*0.10</f>
        <v/>
      </c>
      <c r="N36" s="16">
        <f>K36+L36+M36</f>
        <v/>
      </c>
      <c r="O36" s="16">
        <f>IF(G36&gt;0, N36/G36, 0)</f>
        <v/>
      </c>
      <c r="P36" s="17" t="n">
        <v>0.18</v>
      </c>
      <c r="Q36" s="16">
        <f>IF(G36&gt;0, ((N36-SUMIFS('03_BOC_TACH_VAN'!$K$2:$K$5000, '03_BOC_TACH_VAN'!$B$2:$B$5000, B36, '03_BOC_TACH_VAN'!$D$2:$D$5000, "ĐỘNG_CƠ_VÀ_CẢM_BIẾN"))*(1+P36)+SUMIFS('03_BOC_TACH_VAN'!$K$2:$K$5000, '03_BOC_TACH_VAN'!$B$2:$B$5000, B36, '03_BOC_TACH_VAN'!$D$2:$D$5000, "ĐỘNG_CƠ_VÀ_CẢM_BIẾN"))/G36, 0)</f>
        <v/>
      </c>
      <c r="R36" s="16">
        <f>G36*Q36</f>
        <v/>
      </c>
      <c r="S36" t="inlineStr">
        <is>
          <t>Louver nan Z ngoài trời kèm lưới chắn côn trùng Inox 304</t>
        </is>
      </c>
    </row>
    <row r="37">
      <c r="A37" t="n">
        <v>36</v>
      </c>
      <c r="B37" t="inlineStr">
        <is>
          <t>SW-DIFF-036</t>
        </is>
      </c>
      <c r="C37" t="inlineStr">
        <is>
          <t>CỬA GIÓ</t>
        </is>
      </c>
      <c r="D37" t="inlineStr">
        <is>
          <t>Louver lấy gió tươi FAL + LCCT 1100x2800</t>
        </is>
      </c>
      <c r="E37" t="inlineStr">
        <is>
          <t>1100x2800</t>
        </is>
      </c>
      <c r="F37" t="inlineStr">
        <is>
          <t>Cái</t>
        </is>
      </c>
      <c r="G37" s="16" t="n">
        <v>1</v>
      </c>
      <c r="H37" s="16">
        <f>SUMIF('01_BOC_TACH_ONG'!$B$2:$B$5000, B37, '01_BOC_TACH_ONG'!$K$2:$K$5000)</f>
        <v/>
      </c>
      <c r="I37" s="16">
        <f>SUMIF('02_BOC_TACH_CUA'!$B$2:$B$5000, B37, '02_BOC_TACH_CUA'!$K$2:$K$5000)</f>
        <v/>
      </c>
      <c r="J37" s="16">
        <f>SUMIF('03_BOC_TACH_VAN'!$B$2:$B$5000, B37, '03_BOC_TACH_VAN'!$K$2:$K$5000)</f>
        <v/>
      </c>
      <c r="K37" s="16">
        <f>SUM(H37:J37)</f>
        <v/>
      </c>
      <c r="L37" s="16">
        <f>(K37-SUMIFS('03_BOC_TACH_VAN'!$K$2:$K$5000, '03_BOC_TACH_VAN'!$B$2:$B$5000, B37, '03_BOC_TACH_VAN'!$D$2:$D$5000, "ĐỘNG_CƠ_VÀ_CẢM_BIẾN"))*0.25</f>
        <v/>
      </c>
      <c r="M37" s="16">
        <f>(K37-SUMIFS('03_BOC_TACH_VAN'!$K$2:$K$5000, '03_BOC_TACH_VAN'!$B$2:$B$5000, B37, '03_BOC_TACH_VAN'!$D$2:$D$5000, "ĐỘNG_CƠ_VÀ_CẢM_BIẾN"))*0.10</f>
        <v/>
      </c>
      <c r="N37" s="16">
        <f>K37+L37+M37</f>
        <v/>
      </c>
      <c r="O37" s="16">
        <f>IF(G37&gt;0, N37/G37, 0)</f>
        <v/>
      </c>
      <c r="P37" s="17" t="n">
        <v>0.18</v>
      </c>
      <c r="Q37" s="16">
        <f>IF(G37&gt;0, ((N37-SUMIFS('03_BOC_TACH_VAN'!$K$2:$K$5000, '03_BOC_TACH_VAN'!$B$2:$B$5000, B37, '03_BOC_TACH_VAN'!$D$2:$D$5000, "ĐỘNG_CƠ_VÀ_CẢM_BIẾN"))*(1+P37)+SUMIFS('03_BOC_TACH_VAN'!$K$2:$K$5000, '03_BOC_TACH_VAN'!$B$2:$B$5000, B37, '03_BOC_TACH_VAN'!$D$2:$D$5000, "ĐỘNG_CƠ_VÀ_CẢM_BIẾN"))/G37, 0)</f>
        <v/>
      </c>
      <c r="R37" s="16">
        <f>G37*Q37</f>
        <v/>
      </c>
      <c r="S37" t="inlineStr">
        <is>
          <t>Louver nan Z ngoài trời kèm lưới chắn côn trùng Inox 304</t>
        </is>
      </c>
    </row>
    <row r="38">
      <c r="A38" t="n">
        <v>37</v>
      </c>
      <c r="B38" t="inlineStr">
        <is>
          <t>SW-DIFF-037</t>
        </is>
      </c>
      <c r="C38" t="inlineStr">
        <is>
          <t>CỬA GIÓ</t>
        </is>
      </c>
      <c r="D38" t="inlineStr">
        <is>
          <t>Louver lấy gió tươi FAL + LCCT 1300x2400</t>
        </is>
      </c>
      <c r="E38" t="inlineStr">
        <is>
          <t>1300x2400</t>
        </is>
      </c>
      <c r="F38" t="inlineStr">
        <is>
          <t>Cái</t>
        </is>
      </c>
      <c r="G38" s="16" t="n">
        <v>4</v>
      </c>
      <c r="H38" s="16">
        <f>SUMIF('01_BOC_TACH_ONG'!$B$2:$B$5000, B38, '01_BOC_TACH_ONG'!$K$2:$K$5000)</f>
        <v/>
      </c>
      <c r="I38" s="16">
        <f>SUMIF('02_BOC_TACH_CUA'!$B$2:$B$5000, B38, '02_BOC_TACH_CUA'!$K$2:$K$5000)</f>
        <v/>
      </c>
      <c r="J38" s="16">
        <f>SUMIF('03_BOC_TACH_VAN'!$B$2:$B$5000, B38, '03_BOC_TACH_VAN'!$K$2:$K$5000)</f>
        <v/>
      </c>
      <c r="K38" s="16">
        <f>SUM(H38:J38)</f>
        <v/>
      </c>
      <c r="L38" s="16">
        <f>(K38-SUMIFS('03_BOC_TACH_VAN'!$K$2:$K$5000, '03_BOC_TACH_VAN'!$B$2:$B$5000, B38, '03_BOC_TACH_VAN'!$D$2:$D$5000, "ĐỘNG_CƠ_VÀ_CẢM_BIẾN"))*0.25</f>
        <v/>
      </c>
      <c r="M38" s="16">
        <f>(K38-SUMIFS('03_BOC_TACH_VAN'!$K$2:$K$5000, '03_BOC_TACH_VAN'!$B$2:$B$5000, B38, '03_BOC_TACH_VAN'!$D$2:$D$5000, "ĐỘNG_CƠ_VÀ_CẢM_BIẾN"))*0.10</f>
        <v/>
      </c>
      <c r="N38" s="16">
        <f>K38+L38+M38</f>
        <v/>
      </c>
      <c r="O38" s="16">
        <f>IF(G38&gt;0, N38/G38, 0)</f>
        <v/>
      </c>
      <c r="P38" s="17" t="n">
        <v>0.18</v>
      </c>
      <c r="Q38" s="16">
        <f>IF(G38&gt;0, ((N38-SUMIFS('03_BOC_TACH_VAN'!$K$2:$K$5000, '03_BOC_TACH_VAN'!$B$2:$B$5000, B38, '03_BOC_TACH_VAN'!$D$2:$D$5000, "ĐỘNG_CƠ_VÀ_CẢM_BIẾN"))*(1+P38)+SUMIFS('03_BOC_TACH_VAN'!$K$2:$K$5000, '03_BOC_TACH_VAN'!$B$2:$B$5000, B38, '03_BOC_TACH_VAN'!$D$2:$D$5000, "ĐỘNG_CƠ_VÀ_CẢM_BIẾN"))/G38, 0)</f>
        <v/>
      </c>
      <c r="R38" s="16">
        <f>G38*Q38</f>
        <v/>
      </c>
      <c r="S38" t="inlineStr">
        <is>
          <t>Louver nan Z ngoài trời kèm lưới chắn côn trùng Inox 304</t>
        </is>
      </c>
    </row>
    <row r="39">
      <c r="A39" t="n">
        <v>38</v>
      </c>
      <c r="B39" t="inlineStr">
        <is>
          <t>SW-DIFF-038</t>
        </is>
      </c>
      <c r="C39" t="inlineStr">
        <is>
          <t>CỬA GIÓ</t>
        </is>
      </c>
      <c r="D39" t="inlineStr">
        <is>
          <t>Louver lấy gió tươi FAL + LCCT 3500x1200</t>
        </is>
      </c>
      <c r="E39" t="inlineStr">
        <is>
          <t>3500x1200</t>
        </is>
      </c>
      <c r="F39" t="inlineStr">
        <is>
          <t>Cái</t>
        </is>
      </c>
      <c r="G39" s="16" t="n">
        <v>1</v>
      </c>
      <c r="H39" s="16">
        <f>SUMIF('01_BOC_TACH_ONG'!$B$2:$B$5000, B39, '01_BOC_TACH_ONG'!$K$2:$K$5000)</f>
        <v/>
      </c>
      <c r="I39" s="16">
        <f>SUMIF('02_BOC_TACH_CUA'!$B$2:$B$5000, B39, '02_BOC_TACH_CUA'!$K$2:$K$5000)</f>
        <v/>
      </c>
      <c r="J39" s="16">
        <f>SUMIF('03_BOC_TACH_VAN'!$B$2:$B$5000, B39, '03_BOC_TACH_VAN'!$K$2:$K$5000)</f>
        <v/>
      </c>
      <c r="K39" s="16">
        <f>SUM(H39:J39)</f>
        <v/>
      </c>
      <c r="L39" s="16">
        <f>(K39-SUMIFS('03_BOC_TACH_VAN'!$K$2:$K$5000, '03_BOC_TACH_VAN'!$B$2:$B$5000, B39, '03_BOC_TACH_VAN'!$D$2:$D$5000, "ĐỘNG_CƠ_VÀ_CẢM_BIẾN"))*0.25</f>
        <v/>
      </c>
      <c r="M39" s="16">
        <f>(K39-SUMIFS('03_BOC_TACH_VAN'!$K$2:$K$5000, '03_BOC_TACH_VAN'!$B$2:$B$5000, B39, '03_BOC_TACH_VAN'!$D$2:$D$5000, "ĐỘNG_CƠ_VÀ_CẢM_BIẾN"))*0.10</f>
        <v/>
      </c>
      <c r="N39" s="16">
        <f>K39+L39+M39</f>
        <v/>
      </c>
      <c r="O39" s="16">
        <f>IF(G39&gt;0, N39/G39, 0)</f>
        <v/>
      </c>
      <c r="P39" s="17" t="n">
        <v>0.18</v>
      </c>
      <c r="Q39" s="16">
        <f>IF(G39&gt;0, ((N39-SUMIFS('03_BOC_TACH_VAN'!$K$2:$K$5000, '03_BOC_TACH_VAN'!$B$2:$B$5000, B39, '03_BOC_TACH_VAN'!$D$2:$D$5000, "ĐỘNG_CƠ_VÀ_CẢM_BIẾN"))*(1+P39)+SUMIFS('03_BOC_TACH_VAN'!$K$2:$K$5000, '03_BOC_TACH_VAN'!$B$2:$B$5000, B39, '03_BOC_TACH_VAN'!$D$2:$D$5000, "ĐỘNG_CƠ_VÀ_CẢM_BIẾN"))/G39, 0)</f>
        <v/>
      </c>
      <c r="R39" s="16">
        <f>G39*Q39</f>
        <v/>
      </c>
      <c r="S39" t="inlineStr">
        <is>
          <t>Louver nan Z ngoài trời kèm lưới chắn côn trùng Inox 304</t>
        </is>
      </c>
    </row>
    <row r="40">
      <c r="A40" t="n">
        <v>39</v>
      </c>
      <c r="B40" t="inlineStr">
        <is>
          <t>SW-DIFF-039</t>
        </is>
      </c>
      <c r="C40" t="inlineStr">
        <is>
          <t>CỬA GIÓ</t>
        </is>
      </c>
      <c r="D40" t="inlineStr">
        <is>
          <t>Louver lấy gió tươi FAL + LCCT 3500x2800</t>
        </is>
      </c>
      <c r="E40" t="inlineStr">
        <is>
          <t>3500x2800</t>
        </is>
      </c>
      <c r="F40" t="inlineStr">
        <is>
          <t>Cái</t>
        </is>
      </c>
      <c r="G40" s="16" t="n">
        <v>1</v>
      </c>
      <c r="H40" s="16">
        <f>SUMIF('01_BOC_TACH_ONG'!$B$2:$B$5000, B40, '01_BOC_TACH_ONG'!$K$2:$K$5000)</f>
        <v/>
      </c>
      <c r="I40" s="16">
        <f>SUMIF('02_BOC_TACH_CUA'!$B$2:$B$5000, B40, '02_BOC_TACH_CUA'!$K$2:$K$5000)</f>
        <v/>
      </c>
      <c r="J40" s="16">
        <f>SUMIF('03_BOC_TACH_VAN'!$B$2:$B$5000, B40, '03_BOC_TACH_VAN'!$K$2:$K$5000)</f>
        <v/>
      </c>
      <c r="K40" s="16">
        <f>SUM(H40:J40)</f>
        <v/>
      </c>
      <c r="L40" s="16">
        <f>(K40-SUMIFS('03_BOC_TACH_VAN'!$K$2:$K$5000, '03_BOC_TACH_VAN'!$B$2:$B$5000, B40, '03_BOC_TACH_VAN'!$D$2:$D$5000, "ĐỘNG_CƠ_VÀ_CẢM_BIẾN"))*0.25</f>
        <v/>
      </c>
      <c r="M40" s="16">
        <f>(K40-SUMIFS('03_BOC_TACH_VAN'!$K$2:$K$5000, '03_BOC_TACH_VAN'!$B$2:$B$5000, B40, '03_BOC_TACH_VAN'!$D$2:$D$5000, "ĐỘNG_CƠ_VÀ_CẢM_BIẾN"))*0.10</f>
        <v/>
      </c>
      <c r="N40" s="16">
        <f>K40+L40+M40</f>
        <v/>
      </c>
      <c r="O40" s="16">
        <f>IF(G40&gt;0, N40/G40, 0)</f>
        <v/>
      </c>
      <c r="P40" s="17" t="n">
        <v>0.18</v>
      </c>
      <c r="Q40" s="16">
        <f>IF(G40&gt;0, ((N40-SUMIFS('03_BOC_TACH_VAN'!$K$2:$K$5000, '03_BOC_TACH_VAN'!$B$2:$B$5000, B40, '03_BOC_TACH_VAN'!$D$2:$D$5000, "ĐỘNG_CƠ_VÀ_CẢM_BIẾN"))*(1+P40)+SUMIFS('03_BOC_TACH_VAN'!$K$2:$K$5000, '03_BOC_TACH_VAN'!$B$2:$B$5000, B40, '03_BOC_TACH_VAN'!$D$2:$D$5000, "ĐỘNG_CƠ_VÀ_CẢM_BIẾN"))/G40, 0)</f>
        <v/>
      </c>
      <c r="R40" s="16">
        <f>G40*Q40</f>
        <v/>
      </c>
      <c r="S40" t="inlineStr">
        <is>
          <t>Louver nan Z ngoài trời kèm lưới chắn côn trùng Inox 304</t>
        </is>
      </c>
    </row>
    <row r="41">
      <c r="A41" t="n">
        <v>40</v>
      </c>
      <c r="B41" t="inlineStr">
        <is>
          <t>SW-DIFF-040</t>
        </is>
      </c>
      <c r="C41" t="inlineStr">
        <is>
          <t>CỬA GIÓ</t>
        </is>
      </c>
      <c r="D41" t="inlineStr">
        <is>
          <t>Louver lấy gió tươi FAL + LCCT 3700x2400</t>
        </is>
      </c>
      <c r="E41" t="inlineStr">
        <is>
          <t>3700x2400</t>
        </is>
      </c>
      <c r="F41" t="inlineStr">
        <is>
          <t>Cái</t>
        </is>
      </c>
      <c r="G41" s="16" t="n">
        <v>2</v>
      </c>
      <c r="H41" s="16">
        <f>SUMIF('01_BOC_TACH_ONG'!$B$2:$B$5000, B41, '01_BOC_TACH_ONG'!$K$2:$K$5000)</f>
        <v/>
      </c>
      <c r="I41" s="16">
        <f>SUMIF('02_BOC_TACH_CUA'!$B$2:$B$5000, B41, '02_BOC_TACH_CUA'!$K$2:$K$5000)</f>
        <v/>
      </c>
      <c r="J41" s="16">
        <f>SUMIF('03_BOC_TACH_VAN'!$B$2:$B$5000, B41, '03_BOC_TACH_VAN'!$K$2:$K$5000)</f>
        <v/>
      </c>
      <c r="K41" s="16">
        <f>SUM(H41:J41)</f>
        <v/>
      </c>
      <c r="L41" s="16">
        <f>(K41-SUMIFS('03_BOC_TACH_VAN'!$K$2:$K$5000, '03_BOC_TACH_VAN'!$B$2:$B$5000, B41, '03_BOC_TACH_VAN'!$D$2:$D$5000, "ĐỘNG_CƠ_VÀ_CẢM_BIẾN"))*0.25</f>
        <v/>
      </c>
      <c r="M41" s="16">
        <f>(K41-SUMIFS('03_BOC_TACH_VAN'!$K$2:$K$5000, '03_BOC_TACH_VAN'!$B$2:$B$5000, B41, '03_BOC_TACH_VAN'!$D$2:$D$5000, "ĐỘNG_CƠ_VÀ_CẢM_BIẾN"))*0.10</f>
        <v/>
      </c>
      <c r="N41" s="16">
        <f>K41+L41+M41</f>
        <v/>
      </c>
      <c r="O41" s="16">
        <f>IF(G41&gt;0, N41/G41, 0)</f>
        <v/>
      </c>
      <c r="P41" s="17" t="n">
        <v>0.18</v>
      </c>
      <c r="Q41" s="16">
        <f>IF(G41&gt;0, ((N41-SUMIFS('03_BOC_TACH_VAN'!$K$2:$K$5000, '03_BOC_TACH_VAN'!$B$2:$B$5000, B41, '03_BOC_TACH_VAN'!$D$2:$D$5000, "ĐỘNG_CƠ_VÀ_CẢM_BIẾN"))*(1+P41)+SUMIFS('03_BOC_TACH_VAN'!$K$2:$K$5000, '03_BOC_TACH_VAN'!$B$2:$B$5000, B41, '03_BOC_TACH_VAN'!$D$2:$D$5000, "ĐỘNG_CƠ_VÀ_CẢM_BIẾN"))/G41, 0)</f>
        <v/>
      </c>
      <c r="R41" s="16">
        <f>G41*Q41</f>
        <v/>
      </c>
      <c r="S41" t="inlineStr">
        <is>
          <t>Louver nan Z ngoài trời kèm lưới chắn côn trùng Inox 304</t>
        </is>
      </c>
    </row>
    <row r="42">
      <c r="A42" t="n">
        <v>41</v>
      </c>
      <c r="B42" t="inlineStr">
        <is>
          <t>SW-DIFF-041</t>
        </is>
      </c>
      <c r="C42" t="inlineStr">
        <is>
          <t>CỬA GIÓ</t>
        </is>
      </c>
      <c r="D42" t="inlineStr">
        <is>
          <t>Louver lấy gió tươi FAL + LCCT 3900x2800</t>
        </is>
      </c>
      <c r="E42" t="inlineStr">
        <is>
          <t>3900x2800</t>
        </is>
      </c>
      <c r="F42" t="inlineStr">
        <is>
          <t>Cái</t>
        </is>
      </c>
      <c r="G42" s="16" t="n">
        <v>1</v>
      </c>
      <c r="H42" s="16">
        <f>SUMIF('01_BOC_TACH_ONG'!$B$2:$B$5000, B42, '01_BOC_TACH_ONG'!$K$2:$K$5000)</f>
        <v/>
      </c>
      <c r="I42" s="16">
        <f>SUMIF('02_BOC_TACH_CUA'!$B$2:$B$5000, B42, '02_BOC_TACH_CUA'!$K$2:$K$5000)</f>
        <v/>
      </c>
      <c r="J42" s="16">
        <f>SUMIF('03_BOC_TACH_VAN'!$B$2:$B$5000, B42, '03_BOC_TACH_VAN'!$K$2:$K$5000)</f>
        <v/>
      </c>
      <c r="K42" s="16">
        <f>SUM(H42:J42)</f>
        <v/>
      </c>
      <c r="L42" s="16">
        <f>(K42-SUMIFS('03_BOC_TACH_VAN'!$K$2:$K$5000, '03_BOC_TACH_VAN'!$B$2:$B$5000, B42, '03_BOC_TACH_VAN'!$D$2:$D$5000, "ĐỘNG_CƠ_VÀ_CẢM_BIẾN"))*0.25</f>
        <v/>
      </c>
      <c r="M42" s="16">
        <f>(K42-SUMIFS('03_BOC_TACH_VAN'!$K$2:$K$5000, '03_BOC_TACH_VAN'!$B$2:$B$5000, B42, '03_BOC_TACH_VAN'!$D$2:$D$5000, "ĐỘNG_CƠ_VÀ_CẢM_BIẾN"))*0.10</f>
        <v/>
      </c>
      <c r="N42" s="16">
        <f>K42+L42+M42</f>
        <v/>
      </c>
      <c r="O42" s="16">
        <f>IF(G42&gt;0, N42/G42, 0)</f>
        <v/>
      </c>
      <c r="P42" s="17" t="n">
        <v>0.18</v>
      </c>
      <c r="Q42" s="16">
        <f>IF(G42&gt;0, ((N42-SUMIFS('03_BOC_TACH_VAN'!$K$2:$K$5000, '03_BOC_TACH_VAN'!$B$2:$B$5000, B42, '03_BOC_TACH_VAN'!$D$2:$D$5000, "ĐỘNG_CƠ_VÀ_CẢM_BIẾN"))*(1+P42)+SUMIFS('03_BOC_TACH_VAN'!$K$2:$K$5000, '03_BOC_TACH_VAN'!$B$2:$B$5000, B42, '03_BOC_TACH_VAN'!$D$2:$D$5000, "ĐỘNG_CƠ_VÀ_CẢM_BIẾN"))/G42, 0)</f>
        <v/>
      </c>
      <c r="R42" s="16">
        <f>G42*Q42</f>
        <v/>
      </c>
      <c r="S42" t="inlineStr">
        <is>
          <t>Louver nan Z ngoài trời kèm lưới chắn côn trùng Inox 304</t>
        </is>
      </c>
    </row>
    <row r="43">
      <c r="A43" t="n">
        <v>42</v>
      </c>
      <c r="B43" t="inlineStr">
        <is>
          <t>SW-DIFF-042</t>
        </is>
      </c>
      <c r="C43" t="inlineStr">
        <is>
          <t>CỬA GIÓ</t>
        </is>
      </c>
      <c r="D43" t="inlineStr">
        <is>
          <t>Louver lấy gió tươi FAL + LCCT 4800x2400</t>
        </is>
      </c>
      <c r="E43" t="inlineStr">
        <is>
          <t>4800x2400</t>
        </is>
      </c>
      <c r="F43" t="inlineStr">
        <is>
          <t>Cái</t>
        </is>
      </c>
      <c r="G43" s="16" t="n">
        <v>1</v>
      </c>
      <c r="H43" s="16">
        <f>SUMIF('01_BOC_TACH_ONG'!$B$2:$B$5000, B43, '01_BOC_TACH_ONG'!$K$2:$K$5000)</f>
        <v/>
      </c>
      <c r="I43" s="16">
        <f>SUMIF('02_BOC_TACH_CUA'!$B$2:$B$5000, B43, '02_BOC_TACH_CUA'!$K$2:$K$5000)</f>
        <v/>
      </c>
      <c r="J43" s="16">
        <f>SUMIF('03_BOC_TACH_VAN'!$B$2:$B$5000, B43, '03_BOC_TACH_VAN'!$K$2:$K$5000)</f>
        <v/>
      </c>
      <c r="K43" s="16">
        <f>SUM(H43:J43)</f>
        <v/>
      </c>
      <c r="L43" s="16">
        <f>(K43-SUMIFS('03_BOC_TACH_VAN'!$K$2:$K$5000, '03_BOC_TACH_VAN'!$B$2:$B$5000, B43, '03_BOC_TACH_VAN'!$D$2:$D$5000, "ĐỘNG_CƠ_VÀ_CẢM_BIẾN"))*0.25</f>
        <v/>
      </c>
      <c r="M43" s="16">
        <f>(K43-SUMIFS('03_BOC_TACH_VAN'!$K$2:$K$5000, '03_BOC_TACH_VAN'!$B$2:$B$5000, B43, '03_BOC_TACH_VAN'!$D$2:$D$5000, "ĐỘNG_CƠ_VÀ_CẢM_BIẾN"))*0.10</f>
        <v/>
      </c>
      <c r="N43" s="16">
        <f>K43+L43+M43</f>
        <v/>
      </c>
      <c r="O43" s="16">
        <f>IF(G43&gt;0, N43/G43, 0)</f>
        <v/>
      </c>
      <c r="P43" s="17" t="n">
        <v>0.18</v>
      </c>
      <c r="Q43" s="16">
        <f>IF(G43&gt;0, ((N43-SUMIFS('03_BOC_TACH_VAN'!$K$2:$K$5000, '03_BOC_TACH_VAN'!$B$2:$B$5000, B43, '03_BOC_TACH_VAN'!$D$2:$D$5000, "ĐỘNG_CƠ_VÀ_CẢM_BIẾN"))*(1+P43)+SUMIFS('03_BOC_TACH_VAN'!$K$2:$K$5000, '03_BOC_TACH_VAN'!$B$2:$B$5000, B43, '03_BOC_TACH_VAN'!$D$2:$D$5000, "ĐỘNG_CƠ_VÀ_CẢM_BIẾN"))/G43, 0)</f>
        <v/>
      </c>
      <c r="R43" s="16">
        <f>G43*Q43</f>
        <v/>
      </c>
      <c r="S43" t="inlineStr">
        <is>
          <t>Louver nan Z ngoài trời kèm lưới chắn côn trùng Inox 304</t>
        </is>
      </c>
    </row>
    <row r="44">
      <c r="A44" t="n">
        <v>43</v>
      </c>
      <c r="B44" t="inlineStr">
        <is>
          <t>SW-DAMPER-043</t>
        </is>
      </c>
      <c r="C44" t="inlineStr">
        <is>
          <t>VAN GIÓ</t>
        </is>
      </c>
      <c r="D44" t="inlineStr">
        <is>
          <t>Van gió Van một chiều NRD 1000x350</t>
        </is>
      </c>
      <c r="E44" t="inlineStr">
        <is>
          <t>1000x350</t>
        </is>
      </c>
      <c r="F44" t="inlineStr">
        <is>
          <t>Cái</t>
        </is>
      </c>
      <c r="G44" s="16" t="n">
        <v>3</v>
      </c>
      <c r="H44" s="16">
        <f>SUMIF('01_BOC_TACH_ONG'!$B$2:$B$5000, B44, '01_BOC_TACH_ONG'!$K$2:$K$5000)</f>
        <v/>
      </c>
      <c r="I44" s="16">
        <f>SUMIF('02_BOC_TACH_CUA'!$B$2:$B$5000, B44, '02_BOC_TACH_CUA'!$K$2:$K$5000)</f>
        <v/>
      </c>
      <c r="J44" s="16">
        <f>SUMIF('03_BOC_TACH_VAN'!$B$2:$B$5000, B44, '03_BOC_TACH_VAN'!$K$2:$K$5000)</f>
        <v/>
      </c>
      <c r="K44" s="16">
        <f>SUM(H44:J44)</f>
        <v/>
      </c>
      <c r="L44" s="16">
        <f>(K44-SUMIFS('03_BOC_TACH_VAN'!$K$2:$K$5000, '03_BOC_TACH_VAN'!$B$2:$B$5000, B44, '03_BOC_TACH_VAN'!$D$2:$D$5000, "ĐỘNG_CƠ_VÀ_CẢM_BIẾN"))*0.25</f>
        <v/>
      </c>
      <c r="M44" s="16">
        <f>(K44-SUMIFS('03_BOC_TACH_VAN'!$K$2:$K$5000, '03_BOC_TACH_VAN'!$B$2:$B$5000, B44, '03_BOC_TACH_VAN'!$D$2:$D$5000, "ĐỘNG_CƠ_VÀ_CẢM_BIẾN"))*0.10</f>
        <v/>
      </c>
      <c r="N44" s="16">
        <f>K44+L44+M44</f>
        <v/>
      </c>
      <c r="O44" s="16">
        <f>IF(G44&gt;0, N44/G44, 0)</f>
        <v/>
      </c>
      <c r="P44" s="17" t="n">
        <v>0.18</v>
      </c>
      <c r="Q44" s="16">
        <f>IF(G44&gt;0, ((N44-SUMIFS('03_BOC_TACH_VAN'!$K$2:$K$5000, '03_BOC_TACH_VAN'!$B$2:$B$5000, B44, '03_BOC_TACH_VAN'!$D$2:$D$5000, "ĐỘNG_CƠ_VÀ_CẢM_BIẾN"))*(1+P44)+SUMIFS('03_BOC_TACH_VAN'!$K$2:$K$5000, '03_BOC_TACH_VAN'!$B$2:$B$5000, B44, '03_BOC_TACH_VAN'!$D$2:$D$5000, "ĐỘNG_CƠ_VÀ_CẢM_BIẾN"))/G44, 0)</f>
        <v/>
      </c>
      <c r="R44" s="16">
        <f>G44*Q44</f>
        <v/>
      </c>
      <c r="S44" t="inlineStr">
        <is>
          <t>Van 1 chiều tôn mạ kẽm</t>
        </is>
      </c>
    </row>
    <row r="45">
      <c r="A45" t="n">
        <v>44</v>
      </c>
      <c r="B45" t="inlineStr">
        <is>
          <t>SW-DAMPER-044</t>
        </is>
      </c>
      <c r="C45" t="inlineStr">
        <is>
          <t>VAN GIÓ</t>
        </is>
      </c>
      <c r="D45" t="inlineStr">
        <is>
          <t>Van gió Van một chiều NRD 1050x500</t>
        </is>
      </c>
      <c r="E45" t="inlineStr">
        <is>
          <t>1050x500</t>
        </is>
      </c>
      <c r="F45" t="inlineStr">
        <is>
          <t>Cái</t>
        </is>
      </c>
      <c r="G45" s="16" t="n">
        <v>6</v>
      </c>
      <c r="H45" s="16">
        <f>SUMIF('01_BOC_TACH_ONG'!$B$2:$B$5000, B45, '01_BOC_TACH_ONG'!$K$2:$K$5000)</f>
        <v/>
      </c>
      <c r="I45" s="16">
        <f>SUMIF('02_BOC_TACH_CUA'!$B$2:$B$5000, B45, '02_BOC_TACH_CUA'!$K$2:$K$5000)</f>
        <v/>
      </c>
      <c r="J45" s="16">
        <f>SUMIF('03_BOC_TACH_VAN'!$B$2:$B$5000, B45, '03_BOC_TACH_VAN'!$K$2:$K$5000)</f>
        <v/>
      </c>
      <c r="K45" s="16">
        <f>SUM(H45:J45)</f>
        <v/>
      </c>
      <c r="L45" s="16">
        <f>(K45-SUMIFS('03_BOC_TACH_VAN'!$K$2:$K$5000, '03_BOC_TACH_VAN'!$B$2:$B$5000, B45, '03_BOC_TACH_VAN'!$D$2:$D$5000, "ĐỘNG_CƠ_VÀ_CẢM_BIẾN"))*0.25</f>
        <v/>
      </c>
      <c r="M45" s="16">
        <f>(K45-SUMIFS('03_BOC_TACH_VAN'!$K$2:$K$5000, '03_BOC_TACH_VAN'!$B$2:$B$5000, B45, '03_BOC_TACH_VAN'!$D$2:$D$5000, "ĐỘNG_CƠ_VÀ_CẢM_BIẾN"))*0.10</f>
        <v/>
      </c>
      <c r="N45" s="16">
        <f>K45+L45+M45</f>
        <v/>
      </c>
      <c r="O45" s="16">
        <f>IF(G45&gt;0, N45/G45, 0)</f>
        <v/>
      </c>
      <c r="P45" s="17" t="n">
        <v>0.18</v>
      </c>
      <c r="Q45" s="16">
        <f>IF(G45&gt;0, ((N45-SUMIFS('03_BOC_TACH_VAN'!$K$2:$K$5000, '03_BOC_TACH_VAN'!$B$2:$B$5000, B45, '03_BOC_TACH_VAN'!$D$2:$D$5000, "ĐỘNG_CƠ_VÀ_CẢM_BIẾN"))*(1+P45)+SUMIFS('03_BOC_TACH_VAN'!$K$2:$K$5000, '03_BOC_TACH_VAN'!$B$2:$B$5000, B45, '03_BOC_TACH_VAN'!$D$2:$D$5000, "ĐỘNG_CƠ_VÀ_CẢM_BIẾN"))/G45, 0)</f>
        <v/>
      </c>
      <c r="R45" s="16">
        <f>G45*Q45</f>
        <v/>
      </c>
      <c r="S45" t="inlineStr">
        <is>
          <t>Van 1 chiều tôn mạ kẽm</t>
        </is>
      </c>
    </row>
    <row r="46">
      <c r="A46" t="n">
        <v>45</v>
      </c>
      <c r="B46" t="inlineStr">
        <is>
          <t>SW-DAMPER-045</t>
        </is>
      </c>
      <c r="C46" t="inlineStr">
        <is>
          <t>VAN GIÓ</t>
        </is>
      </c>
      <c r="D46" t="inlineStr">
        <is>
          <t>Van gió Van một chiều NRD 1050x550</t>
        </is>
      </c>
      <c r="E46" t="inlineStr">
        <is>
          <t>1050x550</t>
        </is>
      </c>
      <c r="F46" t="inlineStr">
        <is>
          <t>Cái</t>
        </is>
      </c>
      <c r="G46" s="16" t="n">
        <v>6</v>
      </c>
      <c r="H46" s="16">
        <f>SUMIF('01_BOC_TACH_ONG'!$B$2:$B$5000, B46, '01_BOC_TACH_ONG'!$K$2:$K$5000)</f>
        <v/>
      </c>
      <c r="I46" s="16">
        <f>SUMIF('02_BOC_TACH_CUA'!$B$2:$B$5000, B46, '02_BOC_TACH_CUA'!$K$2:$K$5000)</f>
        <v/>
      </c>
      <c r="J46" s="16">
        <f>SUMIF('03_BOC_TACH_VAN'!$B$2:$B$5000, B46, '03_BOC_TACH_VAN'!$K$2:$K$5000)</f>
        <v/>
      </c>
      <c r="K46" s="16">
        <f>SUM(H46:J46)</f>
        <v/>
      </c>
      <c r="L46" s="16">
        <f>(K46-SUMIFS('03_BOC_TACH_VAN'!$K$2:$K$5000, '03_BOC_TACH_VAN'!$B$2:$B$5000, B46, '03_BOC_TACH_VAN'!$D$2:$D$5000, "ĐỘNG_CƠ_VÀ_CẢM_BIẾN"))*0.25</f>
        <v/>
      </c>
      <c r="M46" s="16">
        <f>(K46-SUMIFS('03_BOC_TACH_VAN'!$K$2:$K$5000, '03_BOC_TACH_VAN'!$B$2:$B$5000, B46, '03_BOC_TACH_VAN'!$D$2:$D$5000, "ĐỘNG_CƠ_VÀ_CẢM_BIẾN"))*0.10</f>
        <v/>
      </c>
      <c r="N46" s="16">
        <f>K46+L46+M46</f>
        <v/>
      </c>
      <c r="O46" s="16">
        <f>IF(G46&gt;0, N46/G46, 0)</f>
        <v/>
      </c>
      <c r="P46" s="17" t="n">
        <v>0.18</v>
      </c>
      <c r="Q46" s="16">
        <f>IF(G46&gt;0, ((N46-SUMIFS('03_BOC_TACH_VAN'!$K$2:$K$5000, '03_BOC_TACH_VAN'!$B$2:$B$5000, B46, '03_BOC_TACH_VAN'!$D$2:$D$5000, "ĐỘNG_CƠ_VÀ_CẢM_BIẾN"))*(1+P46)+SUMIFS('03_BOC_TACH_VAN'!$K$2:$K$5000, '03_BOC_TACH_VAN'!$B$2:$B$5000, B46, '03_BOC_TACH_VAN'!$D$2:$D$5000, "ĐỘNG_CƠ_VÀ_CẢM_BIẾN"))/G46, 0)</f>
        <v/>
      </c>
      <c r="R46" s="16">
        <f>G46*Q46</f>
        <v/>
      </c>
      <c r="S46" t="inlineStr">
        <is>
          <t>Van 1 chiều tôn mạ kẽm</t>
        </is>
      </c>
    </row>
    <row r="47">
      <c r="A47" t="n">
        <v>46</v>
      </c>
      <c r="B47" t="inlineStr">
        <is>
          <t>SW-DAMPER-046</t>
        </is>
      </c>
      <c r="C47" t="inlineStr">
        <is>
          <t>VAN GIÓ</t>
        </is>
      </c>
      <c r="D47" t="inlineStr">
        <is>
          <t>Van gió Van một chiều NRD 1100x450</t>
        </is>
      </c>
      <c r="E47" t="inlineStr">
        <is>
          <t>1100x450</t>
        </is>
      </c>
      <c r="F47" t="inlineStr">
        <is>
          <t>Cái</t>
        </is>
      </c>
      <c r="G47" s="16" t="n">
        <v>3</v>
      </c>
      <c r="H47" s="16">
        <f>SUMIF('01_BOC_TACH_ONG'!$B$2:$B$5000, B47, '01_BOC_TACH_ONG'!$K$2:$K$5000)</f>
        <v/>
      </c>
      <c r="I47" s="16">
        <f>SUMIF('02_BOC_TACH_CUA'!$B$2:$B$5000, B47, '02_BOC_TACH_CUA'!$K$2:$K$5000)</f>
        <v/>
      </c>
      <c r="J47" s="16">
        <f>SUMIF('03_BOC_TACH_VAN'!$B$2:$B$5000, B47, '03_BOC_TACH_VAN'!$K$2:$K$5000)</f>
        <v/>
      </c>
      <c r="K47" s="16">
        <f>SUM(H47:J47)</f>
        <v/>
      </c>
      <c r="L47" s="16">
        <f>(K47-SUMIFS('03_BOC_TACH_VAN'!$K$2:$K$5000, '03_BOC_TACH_VAN'!$B$2:$B$5000, B47, '03_BOC_TACH_VAN'!$D$2:$D$5000, "ĐỘNG_CƠ_VÀ_CẢM_BIẾN"))*0.25</f>
        <v/>
      </c>
      <c r="M47" s="16">
        <f>(K47-SUMIFS('03_BOC_TACH_VAN'!$K$2:$K$5000, '03_BOC_TACH_VAN'!$B$2:$B$5000, B47, '03_BOC_TACH_VAN'!$D$2:$D$5000, "ĐỘNG_CƠ_VÀ_CẢM_BIẾN"))*0.10</f>
        <v/>
      </c>
      <c r="N47" s="16">
        <f>K47+L47+M47</f>
        <v/>
      </c>
      <c r="O47" s="16">
        <f>IF(G47&gt;0, N47/G47, 0)</f>
        <v/>
      </c>
      <c r="P47" s="17" t="n">
        <v>0.18</v>
      </c>
      <c r="Q47" s="16">
        <f>IF(G47&gt;0, ((N47-SUMIFS('03_BOC_TACH_VAN'!$K$2:$K$5000, '03_BOC_TACH_VAN'!$B$2:$B$5000, B47, '03_BOC_TACH_VAN'!$D$2:$D$5000, "ĐỘNG_CƠ_VÀ_CẢM_BIẾN"))*(1+P47)+SUMIFS('03_BOC_TACH_VAN'!$K$2:$K$5000, '03_BOC_TACH_VAN'!$B$2:$B$5000, B47, '03_BOC_TACH_VAN'!$D$2:$D$5000, "ĐỘNG_CƠ_VÀ_CẢM_BIẾN"))/G47, 0)</f>
        <v/>
      </c>
      <c r="R47" s="16">
        <f>G47*Q47</f>
        <v/>
      </c>
      <c r="S47" t="inlineStr">
        <is>
          <t>Van 1 chiều tôn mạ kẽm</t>
        </is>
      </c>
    </row>
    <row r="48">
      <c r="A48" t="n">
        <v>47</v>
      </c>
      <c r="B48" t="inlineStr">
        <is>
          <t>SW-DAMPER-047</t>
        </is>
      </c>
      <c r="C48" t="inlineStr">
        <is>
          <t>VAN GIÓ</t>
        </is>
      </c>
      <c r="D48" t="inlineStr">
        <is>
          <t>Van gió Van một chiều NRD 1100x500</t>
        </is>
      </c>
      <c r="E48" t="inlineStr">
        <is>
          <t>1100x500</t>
        </is>
      </c>
      <c r="F48" t="inlineStr">
        <is>
          <t>Cái</t>
        </is>
      </c>
      <c r="G48" s="16" t="n">
        <v>21</v>
      </c>
      <c r="H48" s="16">
        <f>SUMIF('01_BOC_TACH_ONG'!$B$2:$B$5000, B48, '01_BOC_TACH_ONG'!$K$2:$K$5000)</f>
        <v/>
      </c>
      <c r="I48" s="16">
        <f>SUMIF('02_BOC_TACH_CUA'!$B$2:$B$5000, B48, '02_BOC_TACH_CUA'!$K$2:$K$5000)</f>
        <v/>
      </c>
      <c r="J48" s="16">
        <f>SUMIF('03_BOC_TACH_VAN'!$B$2:$B$5000, B48, '03_BOC_TACH_VAN'!$K$2:$K$5000)</f>
        <v/>
      </c>
      <c r="K48" s="16">
        <f>SUM(H48:J48)</f>
        <v/>
      </c>
      <c r="L48" s="16">
        <f>(K48-SUMIFS('03_BOC_TACH_VAN'!$K$2:$K$5000, '03_BOC_TACH_VAN'!$B$2:$B$5000, B48, '03_BOC_TACH_VAN'!$D$2:$D$5000, "ĐỘNG_CƠ_VÀ_CẢM_BIẾN"))*0.25</f>
        <v/>
      </c>
      <c r="M48" s="16">
        <f>(K48-SUMIFS('03_BOC_TACH_VAN'!$K$2:$K$5000, '03_BOC_TACH_VAN'!$B$2:$B$5000, B48, '03_BOC_TACH_VAN'!$D$2:$D$5000, "ĐỘNG_CƠ_VÀ_CẢM_BIẾN"))*0.10</f>
        <v/>
      </c>
      <c r="N48" s="16">
        <f>K48+L48+M48</f>
        <v/>
      </c>
      <c r="O48" s="16">
        <f>IF(G48&gt;0, N48/G48, 0)</f>
        <v/>
      </c>
      <c r="P48" s="17" t="n">
        <v>0.18</v>
      </c>
      <c r="Q48" s="16">
        <f>IF(G48&gt;0, ((N48-SUMIFS('03_BOC_TACH_VAN'!$K$2:$K$5000, '03_BOC_TACH_VAN'!$B$2:$B$5000, B48, '03_BOC_TACH_VAN'!$D$2:$D$5000, "ĐỘNG_CƠ_VÀ_CẢM_BIẾN"))*(1+P48)+SUMIFS('03_BOC_TACH_VAN'!$K$2:$K$5000, '03_BOC_TACH_VAN'!$B$2:$B$5000, B48, '03_BOC_TACH_VAN'!$D$2:$D$5000, "ĐỘNG_CƠ_VÀ_CẢM_BIẾN"))/G48, 0)</f>
        <v/>
      </c>
      <c r="R48" s="16">
        <f>G48*Q48</f>
        <v/>
      </c>
      <c r="S48" t="inlineStr">
        <is>
          <t>Van 1 chiều tôn mạ kẽm</t>
        </is>
      </c>
    </row>
    <row r="49">
      <c r="A49" t="n">
        <v>48</v>
      </c>
      <c r="B49" t="inlineStr">
        <is>
          <t>SW-DAMPER-048</t>
        </is>
      </c>
      <c r="C49" t="inlineStr">
        <is>
          <t>VAN GIÓ</t>
        </is>
      </c>
      <c r="D49" t="inlineStr">
        <is>
          <t>Van gió Van một chiều NRD 1100x550</t>
        </is>
      </c>
      <c r="E49" t="inlineStr">
        <is>
          <t>1100x550</t>
        </is>
      </c>
      <c r="F49" t="inlineStr">
        <is>
          <t>Cái</t>
        </is>
      </c>
      <c r="G49" s="16" t="n">
        <v>6</v>
      </c>
      <c r="H49" s="16">
        <f>SUMIF('01_BOC_TACH_ONG'!$B$2:$B$5000, B49, '01_BOC_TACH_ONG'!$K$2:$K$5000)</f>
        <v/>
      </c>
      <c r="I49" s="16">
        <f>SUMIF('02_BOC_TACH_CUA'!$B$2:$B$5000, B49, '02_BOC_TACH_CUA'!$K$2:$K$5000)</f>
        <v/>
      </c>
      <c r="J49" s="16">
        <f>SUMIF('03_BOC_TACH_VAN'!$B$2:$B$5000, B49, '03_BOC_TACH_VAN'!$K$2:$K$5000)</f>
        <v/>
      </c>
      <c r="K49" s="16">
        <f>SUM(H49:J49)</f>
        <v/>
      </c>
      <c r="L49" s="16">
        <f>(K49-SUMIFS('03_BOC_TACH_VAN'!$K$2:$K$5000, '03_BOC_TACH_VAN'!$B$2:$B$5000, B49, '03_BOC_TACH_VAN'!$D$2:$D$5000, "ĐỘNG_CƠ_VÀ_CẢM_BIẾN"))*0.25</f>
        <v/>
      </c>
      <c r="M49" s="16">
        <f>(K49-SUMIFS('03_BOC_TACH_VAN'!$K$2:$K$5000, '03_BOC_TACH_VAN'!$B$2:$B$5000, B49, '03_BOC_TACH_VAN'!$D$2:$D$5000, "ĐỘNG_CƠ_VÀ_CẢM_BIẾN"))*0.10</f>
        <v/>
      </c>
      <c r="N49" s="16">
        <f>K49+L49+M49</f>
        <v/>
      </c>
      <c r="O49" s="16">
        <f>IF(G49&gt;0, N49/G49, 0)</f>
        <v/>
      </c>
      <c r="P49" s="17" t="n">
        <v>0.18</v>
      </c>
      <c r="Q49" s="16">
        <f>IF(G49&gt;0, ((N49-SUMIFS('03_BOC_TACH_VAN'!$K$2:$K$5000, '03_BOC_TACH_VAN'!$B$2:$B$5000, B49, '03_BOC_TACH_VAN'!$D$2:$D$5000, "ĐỘNG_CƠ_VÀ_CẢM_BIẾN"))*(1+P49)+SUMIFS('03_BOC_TACH_VAN'!$K$2:$K$5000, '03_BOC_TACH_VAN'!$B$2:$B$5000, B49, '03_BOC_TACH_VAN'!$D$2:$D$5000, "ĐỘNG_CƠ_VÀ_CẢM_BIẾN"))/G49, 0)</f>
        <v/>
      </c>
      <c r="R49" s="16">
        <f>G49*Q49</f>
        <v/>
      </c>
      <c r="S49" t="inlineStr">
        <is>
          <t>Van 1 chiều tôn mạ kẽm</t>
        </is>
      </c>
    </row>
    <row r="50">
      <c r="A50" t="n">
        <v>49</v>
      </c>
      <c r="B50" t="inlineStr">
        <is>
          <t>SW-DAMPER-049</t>
        </is>
      </c>
      <c r="C50" t="inlineStr">
        <is>
          <t>VAN GIÓ</t>
        </is>
      </c>
      <c r="D50" t="inlineStr">
        <is>
          <t>Van gió Van một chiều NRD 1100x600</t>
        </is>
      </c>
      <c r="E50" t="inlineStr">
        <is>
          <t>1100x600</t>
        </is>
      </c>
      <c r="F50" t="inlineStr">
        <is>
          <t>Cái</t>
        </is>
      </c>
      <c r="G50" s="16" t="n">
        <v>3</v>
      </c>
      <c r="H50" s="16">
        <f>SUMIF('01_BOC_TACH_ONG'!$B$2:$B$5000, B50, '01_BOC_TACH_ONG'!$K$2:$K$5000)</f>
        <v/>
      </c>
      <c r="I50" s="16">
        <f>SUMIF('02_BOC_TACH_CUA'!$B$2:$B$5000, B50, '02_BOC_TACH_CUA'!$K$2:$K$5000)</f>
        <v/>
      </c>
      <c r="J50" s="16">
        <f>SUMIF('03_BOC_TACH_VAN'!$B$2:$B$5000, B50, '03_BOC_TACH_VAN'!$K$2:$K$5000)</f>
        <v/>
      </c>
      <c r="K50" s="16">
        <f>SUM(H50:J50)</f>
        <v/>
      </c>
      <c r="L50" s="16">
        <f>(K50-SUMIFS('03_BOC_TACH_VAN'!$K$2:$K$5000, '03_BOC_TACH_VAN'!$B$2:$B$5000, B50, '03_BOC_TACH_VAN'!$D$2:$D$5000, "ĐỘNG_CƠ_VÀ_CẢM_BIẾN"))*0.25</f>
        <v/>
      </c>
      <c r="M50" s="16">
        <f>(K50-SUMIFS('03_BOC_TACH_VAN'!$K$2:$K$5000, '03_BOC_TACH_VAN'!$B$2:$B$5000, B50, '03_BOC_TACH_VAN'!$D$2:$D$5000, "ĐỘNG_CƠ_VÀ_CẢM_BIẾN"))*0.10</f>
        <v/>
      </c>
      <c r="N50" s="16">
        <f>K50+L50+M50</f>
        <v/>
      </c>
      <c r="O50" s="16">
        <f>IF(G50&gt;0, N50/G50, 0)</f>
        <v/>
      </c>
      <c r="P50" s="17" t="n">
        <v>0.18</v>
      </c>
      <c r="Q50" s="16">
        <f>IF(G50&gt;0, ((N50-SUMIFS('03_BOC_TACH_VAN'!$K$2:$K$5000, '03_BOC_TACH_VAN'!$B$2:$B$5000, B50, '03_BOC_TACH_VAN'!$D$2:$D$5000, "ĐỘNG_CƠ_VÀ_CẢM_BIẾN"))*(1+P50)+SUMIFS('03_BOC_TACH_VAN'!$K$2:$K$5000, '03_BOC_TACH_VAN'!$B$2:$B$5000, B50, '03_BOC_TACH_VAN'!$D$2:$D$5000, "ĐỘNG_CƠ_VÀ_CẢM_BIẾN"))/G50, 0)</f>
        <v/>
      </c>
      <c r="R50" s="16">
        <f>G50*Q50</f>
        <v/>
      </c>
      <c r="S50" t="inlineStr">
        <is>
          <t>Van 1 chiều tôn mạ kẽm</t>
        </is>
      </c>
    </row>
    <row r="51">
      <c r="A51" t="n">
        <v>50</v>
      </c>
      <c r="B51" t="inlineStr">
        <is>
          <t>SW-DAMPER-050</t>
        </is>
      </c>
      <c r="C51" t="inlineStr">
        <is>
          <t>VAN GIÓ</t>
        </is>
      </c>
      <c r="D51" t="inlineStr">
        <is>
          <t>Van gió Van một chiều NRD 1200x400</t>
        </is>
      </c>
      <c r="E51" t="inlineStr">
        <is>
          <t>1200x400</t>
        </is>
      </c>
      <c r="F51" t="inlineStr">
        <is>
          <t>Cái</t>
        </is>
      </c>
      <c r="G51" s="16" t="n">
        <v>2</v>
      </c>
      <c r="H51" s="16">
        <f>SUMIF('01_BOC_TACH_ONG'!$B$2:$B$5000, B51, '01_BOC_TACH_ONG'!$K$2:$K$5000)</f>
        <v/>
      </c>
      <c r="I51" s="16">
        <f>SUMIF('02_BOC_TACH_CUA'!$B$2:$B$5000, B51, '02_BOC_TACH_CUA'!$K$2:$K$5000)</f>
        <v/>
      </c>
      <c r="J51" s="16">
        <f>SUMIF('03_BOC_TACH_VAN'!$B$2:$B$5000, B51, '03_BOC_TACH_VAN'!$K$2:$K$5000)</f>
        <v/>
      </c>
      <c r="K51" s="16">
        <f>SUM(H51:J51)</f>
        <v/>
      </c>
      <c r="L51" s="16">
        <f>(K51-SUMIFS('03_BOC_TACH_VAN'!$K$2:$K$5000, '03_BOC_TACH_VAN'!$B$2:$B$5000, B51, '03_BOC_TACH_VAN'!$D$2:$D$5000, "ĐỘNG_CƠ_VÀ_CẢM_BIẾN"))*0.25</f>
        <v/>
      </c>
      <c r="M51" s="16">
        <f>(K51-SUMIFS('03_BOC_TACH_VAN'!$K$2:$K$5000, '03_BOC_TACH_VAN'!$B$2:$B$5000, B51, '03_BOC_TACH_VAN'!$D$2:$D$5000, "ĐỘNG_CƠ_VÀ_CẢM_BIẾN"))*0.10</f>
        <v/>
      </c>
      <c r="N51" s="16">
        <f>K51+L51+M51</f>
        <v/>
      </c>
      <c r="O51" s="16">
        <f>IF(G51&gt;0, N51/G51, 0)</f>
        <v/>
      </c>
      <c r="P51" s="17" t="n">
        <v>0.18</v>
      </c>
      <c r="Q51" s="16">
        <f>IF(G51&gt;0, ((N51-SUMIFS('03_BOC_TACH_VAN'!$K$2:$K$5000, '03_BOC_TACH_VAN'!$B$2:$B$5000, B51, '03_BOC_TACH_VAN'!$D$2:$D$5000, "ĐỘNG_CƠ_VÀ_CẢM_BIẾN"))*(1+P51)+SUMIFS('03_BOC_TACH_VAN'!$K$2:$K$5000, '03_BOC_TACH_VAN'!$B$2:$B$5000, B51, '03_BOC_TACH_VAN'!$D$2:$D$5000, "ĐỘNG_CƠ_VÀ_CẢM_BIẾN"))/G51, 0)</f>
        <v/>
      </c>
      <c r="R51" s="16">
        <f>G51*Q51</f>
        <v/>
      </c>
      <c r="S51" t="inlineStr">
        <is>
          <t>Van 1 chiều tôn mạ kẽm</t>
        </is>
      </c>
    </row>
    <row r="52">
      <c r="A52" t="n">
        <v>51</v>
      </c>
      <c r="B52" t="inlineStr">
        <is>
          <t>SW-DAMPER-051</t>
        </is>
      </c>
      <c r="C52" t="inlineStr">
        <is>
          <t>VAN GIÓ</t>
        </is>
      </c>
      <c r="D52" t="inlineStr">
        <is>
          <t>Van gió Van một chiều NRD 1200x450</t>
        </is>
      </c>
      <c r="E52" t="inlineStr">
        <is>
          <t>1200x450</t>
        </is>
      </c>
      <c r="F52" t="inlineStr">
        <is>
          <t>Cái</t>
        </is>
      </c>
      <c r="G52" s="16" t="n">
        <v>4</v>
      </c>
      <c r="H52" s="16">
        <f>SUMIF('01_BOC_TACH_ONG'!$B$2:$B$5000, B52, '01_BOC_TACH_ONG'!$K$2:$K$5000)</f>
        <v/>
      </c>
      <c r="I52" s="16">
        <f>SUMIF('02_BOC_TACH_CUA'!$B$2:$B$5000, B52, '02_BOC_TACH_CUA'!$K$2:$K$5000)</f>
        <v/>
      </c>
      <c r="J52" s="16">
        <f>SUMIF('03_BOC_TACH_VAN'!$B$2:$B$5000, B52, '03_BOC_TACH_VAN'!$K$2:$K$5000)</f>
        <v/>
      </c>
      <c r="K52" s="16">
        <f>SUM(H52:J52)</f>
        <v/>
      </c>
      <c r="L52" s="16">
        <f>(K52-SUMIFS('03_BOC_TACH_VAN'!$K$2:$K$5000, '03_BOC_TACH_VAN'!$B$2:$B$5000, B52, '03_BOC_TACH_VAN'!$D$2:$D$5000, "ĐỘNG_CƠ_VÀ_CẢM_BIẾN"))*0.25</f>
        <v/>
      </c>
      <c r="M52" s="16">
        <f>(K52-SUMIFS('03_BOC_TACH_VAN'!$K$2:$K$5000, '03_BOC_TACH_VAN'!$B$2:$B$5000, B52, '03_BOC_TACH_VAN'!$D$2:$D$5000, "ĐỘNG_CƠ_VÀ_CẢM_BIẾN"))*0.10</f>
        <v/>
      </c>
      <c r="N52" s="16">
        <f>K52+L52+M52</f>
        <v/>
      </c>
      <c r="O52" s="16">
        <f>IF(G52&gt;0, N52/G52, 0)</f>
        <v/>
      </c>
      <c r="P52" s="17" t="n">
        <v>0.18</v>
      </c>
      <c r="Q52" s="16">
        <f>IF(G52&gt;0, ((N52-SUMIFS('03_BOC_TACH_VAN'!$K$2:$K$5000, '03_BOC_TACH_VAN'!$B$2:$B$5000, B52, '03_BOC_TACH_VAN'!$D$2:$D$5000, "ĐỘNG_CƠ_VÀ_CẢM_BIẾN"))*(1+P52)+SUMIFS('03_BOC_TACH_VAN'!$K$2:$K$5000, '03_BOC_TACH_VAN'!$B$2:$B$5000, B52, '03_BOC_TACH_VAN'!$D$2:$D$5000, "ĐỘNG_CƠ_VÀ_CẢM_BIẾN"))/G52, 0)</f>
        <v/>
      </c>
      <c r="R52" s="16">
        <f>G52*Q52</f>
        <v/>
      </c>
      <c r="S52" t="inlineStr">
        <is>
          <t>Van 1 chiều tôn mạ kẽm</t>
        </is>
      </c>
    </row>
    <row r="53">
      <c r="A53" t="n">
        <v>52</v>
      </c>
      <c r="B53" t="inlineStr">
        <is>
          <t>SW-DAMPER-052</t>
        </is>
      </c>
      <c r="C53" t="inlineStr">
        <is>
          <t>VAN GIÓ</t>
        </is>
      </c>
      <c r="D53" t="inlineStr">
        <is>
          <t>Van gió Van một chiều NRD 1200x500</t>
        </is>
      </c>
      <c r="E53" t="inlineStr">
        <is>
          <t>1200x500</t>
        </is>
      </c>
      <c r="F53" t="inlineStr">
        <is>
          <t>Cái</t>
        </is>
      </c>
      <c r="G53" s="16" t="n">
        <v>3</v>
      </c>
      <c r="H53" s="16">
        <f>SUMIF('01_BOC_TACH_ONG'!$B$2:$B$5000, B53, '01_BOC_TACH_ONG'!$K$2:$K$5000)</f>
        <v/>
      </c>
      <c r="I53" s="16">
        <f>SUMIF('02_BOC_TACH_CUA'!$B$2:$B$5000, B53, '02_BOC_TACH_CUA'!$K$2:$K$5000)</f>
        <v/>
      </c>
      <c r="J53" s="16">
        <f>SUMIF('03_BOC_TACH_VAN'!$B$2:$B$5000, B53, '03_BOC_TACH_VAN'!$K$2:$K$5000)</f>
        <v/>
      </c>
      <c r="K53" s="16">
        <f>SUM(H53:J53)</f>
        <v/>
      </c>
      <c r="L53" s="16">
        <f>(K53-SUMIFS('03_BOC_TACH_VAN'!$K$2:$K$5000, '03_BOC_TACH_VAN'!$B$2:$B$5000, B53, '03_BOC_TACH_VAN'!$D$2:$D$5000, "ĐỘNG_CƠ_VÀ_CẢM_BIẾN"))*0.25</f>
        <v/>
      </c>
      <c r="M53" s="16">
        <f>(K53-SUMIFS('03_BOC_TACH_VAN'!$K$2:$K$5000, '03_BOC_TACH_VAN'!$B$2:$B$5000, B53, '03_BOC_TACH_VAN'!$D$2:$D$5000, "ĐỘNG_CƠ_VÀ_CẢM_BIẾN"))*0.10</f>
        <v/>
      </c>
      <c r="N53" s="16">
        <f>K53+L53+M53</f>
        <v/>
      </c>
      <c r="O53" s="16">
        <f>IF(G53&gt;0, N53/G53, 0)</f>
        <v/>
      </c>
      <c r="P53" s="17" t="n">
        <v>0.18</v>
      </c>
      <c r="Q53" s="16">
        <f>IF(G53&gt;0, ((N53-SUMIFS('03_BOC_TACH_VAN'!$K$2:$K$5000, '03_BOC_TACH_VAN'!$B$2:$B$5000, B53, '03_BOC_TACH_VAN'!$D$2:$D$5000, "ĐỘNG_CƠ_VÀ_CẢM_BIẾN"))*(1+P53)+SUMIFS('03_BOC_TACH_VAN'!$K$2:$K$5000, '03_BOC_TACH_VAN'!$B$2:$B$5000, B53, '03_BOC_TACH_VAN'!$D$2:$D$5000, "ĐỘNG_CƠ_VÀ_CẢM_BIẾN"))/G53, 0)</f>
        <v/>
      </c>
      <c r="R53" s="16">
        <f>G53*Q53</f>
        <v/>
      </c>
      <c r="S53" t="inlineStr">
        <is>
          <t>Van 1 chiều tôn mạ kẽm</t>
        </is>
      </c>
    </row>
    <row r="54">
      <c r="A54" t="n">
        <v>53</v>
      </c>
      <c r="B54" t="inlineStr">
        <is>
          <t>SW-DAMPER-053</t>
        </is>
      </c>
      <c r="C54" t="inlineStr">
        <is>
          <t>VAN GIÓ</t>
        </is>
      </c>
      <c r="D54" t="inlineStr">
        <is>
          <t>Van gió Van một chiều NRD 1200x550</t>
        </is>
      </c>
      <c r="E54" t="inlineStr">
        <is>
          <t>1200x550</t>
        </is>
      </c>
      <c r="F54" t="inlineStr">
        <is>
          <t>Cái</t>
        </is>
      </c>
      <c r="G54" s="16" t="n">
        <v>3</v>
      </c>
      <c r="H54" s="16">
        <f>SUMIF('01_BOC_TACH_ONG'!$B$2:$B$5000, B54, '01_BOC_TACH_ONG'!$K$2:$K$5000)</f>
        <v/>
      </c>
      <c r="I54" s="16">
        <f>SUMIF('02_BOC_TACH_CUA'!$B$2:$B$5000, B54, '02_BOC_TACH_CUA'!$K$2:$K$5000)</f>
        <v/>
      </c>
      <c r="J54" s="16">
        <f>SUMIF('03_BOC_TACH_VAN'!$B$2:$B$5000, B54, '03_BOC_TACH_VAN'!$K$2:$K$5000)</f>
        <v/>
      </c>
      <c r="K54" s="16">
        <f>SUM(H54:J54)</f>
        <v/>
      </c>
      <c r="L54" s="16">
        <f>(K54-SUMIFS('03_BOC_TACH_VAN'!$K$2:$K$5000, '03_BOC_TACH_VAN'!$B$2:$B$5000, B54, '03_BOC_TACH_VAN'!$D$2:$D$5000, "ĐỘNG_CƠ_VÀ_CẢM_BIẾN"))*0.25</f>
        <v/>
      </c>
      <c r="M54" s="16">
        <f>(K54-SUMIFS('03_BOC_TACH_VAN'!$K$2:$K$5000, '03_BOC_TACH_VAN'!$B$2:$B$5000, B54, '03_BOC_TACH_VAN'!$D$2:$D$5000, "ĐỘNG_CƠ_VÀ_CẢM_BIẾN"))*0.10</f>
        <v/>
      </c>
      <c r="N54" s="16">
        <f>K54+L54+M54</f>
        <v/>
      </c>
      <c r="O54" s="16">
        <f>IF(G54&gt;0, N54/G54, 0)</f>
        <v/>
      </c>
      <c r="P54" s="17" t="n">
        <v>0.18</v>
      </c>
      <c r="Q54" s="16">
        <f>IF(G54&gt;0, ((N54-SUMIFS('03_BOC_TACH_VAN'!$K$2:$K$5000, '03_BOC_TACH_VAN'!$B$2:$B$5000, B54, '03_BOC_TACH_VAN'!$D$2:$D$5000, "ĐỘNG_CƠ_VÀ_CẢM_BIẾN"))*(1+P54)+SUMIFS('03_BOC_TACH_VAN'!$K$2:$K$5000, '03_BOC_TACH_VAN'!$B$2:$B$5000, B54, '03_BOC_TACH_VAN'!$D$2:$D$5000, "ĐỘNG_CƠ_VÀ_CẢM_BIẾN"))/G54, 0)</f>
        <v/>
      </c>
      <c r="R54" s="16">
        <f>G54*Q54</f>
        <v/>
      </c>
      <c r="S54" t="inlineStr">
        <is>
          <t>Van 1 chiều tôn mạ kẽm</t>
        </is>
      </c>
    </row>
    <row r="55">
      <c r="A55" t="n">
        <v>54</v>
      </c>
      <c r="B55" t="inlineStr">
        <is>
          <t>SW-DAMPER-054</t>
        </is>
      </c>
      <c r="C55" t="inlineStr">
        <is>
          <t>VAN GIÓ</t>
        </is>
      </c>
      <c r="D55" t="inlineStr">
        <is>
          <t>Van gió Van một chiều NRD 1200x600</t>
        </is>
      </c>
      <c r="E55" t="inlineStr">
        <is>
          <t>1200x600</t>
        </is>
      </c>
      <c r="F55" t="inlineStr">
        <is>
          <t>Cái</t>
        </is>
      </c>
      <c r="G55" s="16" t="n">
        <v>4</v>
      </c>
      <c r="H55" s="16">
        <f>SUMIF('01_BOC_TACH_ONG'!$B$2:$B$5000, B55, '01_BOC_TACH_ONG'!$K$2:$K$5000)</f>
        <v/>
      </c>
      <c r="I55" s="16">
        <f>SUMIF('02_BOC_TACH_CUA'!$B$2:$B$5000, B55, '02_BOC_TACH_CUA'!$K$2:$K$5000)</f>
        <v/>
      </c>
      <c r="J55" s="16">
        <f>SUMIF('03_BOC_TACH_VAN'!$B$2:$B$5000, B55, '03_BOC_TACH_VAN'!$K$2:$K$5000)</f>
        <v/>
      </c>
      <c r="K55" s="16">
        <f>SUM(H55:J55)</f>
        <v/>
      </c>
      <c r="L55" s="16">
        <f>(K55-SUMIFS('03_BOC_TACH_VAN'!$K$2:$K$5000, '03_BOC_TACH_VAN'!$B$2:$B$5000, B55, '03_BOC_TACH_VAN'!$D$2:$D$5000, "ĐỘNG_CƠ_VÀ_CẢM_BIẾN"))*0.25</f>
        <v/>
      </c>
      <c r="M55" s="16">
        <f>(K55-SUMIFS('03_BOC_TACH_VAN'!$K$2:$K$5000, '03_BOC_TACH_VAN'!$B$2:$B$5000, B55, '03_BOC_TACH_VAN'!$D$2:$D$5000, "ĐỘNG_CƠ_VÀ_CẢM_BIẾN"))*0.10</f>
        <v/>
      </c>
      <c r="N55" s="16">
        <f>K55+L55+M55</f>
        <v/>
      </c>
      <c r="O55" s="16">
        <f>IF(G55&gt;0, N55/G55, 0)</f>
        <v/>
      </c>
      <c r="P55" s="17" t="n">
        <v>0.18</v>
      </c>
      <c r="Q55" s="16">
        <f>IF(G55&gt;0, ((N55-SUMIFS('03_BOC_TACH_VAN'!$K$2:$K$5000, '03_BOC_TACH_VAN'!$B$2:$B$5000, B55, '03_BOC_TACH_VAN'!$D$2:$D$5000, "ĐỘNG_CƠ_VÀ_CẢM_BIẾN"))*(1+P55)+SUMIFS('03_BOC_TACH_VAN'!$K$2:$K$5000, '03_BOC_TACH_VAN'!$B$2:$B$5000, B55, '03_BOC_TACH_VAN'!$D$2:$D$5000, "ĐỘNG_CƠ_VÀ_CẢM_BIẾN"))/G55, 0)</f>
        <v/>
      </c>
      <c r="R55" s="16">
        <f>G55*Q55</f>
        <v/>
      </c>
      <c r="S55" t="inlineStr">
        <is>
          <t>Van 1 chiều tôn mạ kẽm</t>
        </is>
      </c>
    </row>
    <row r="56">
      <c r="A56" t="n">
        <v>55</v>
      </c>
      <c r="B56" t="inlineStr">
        <is>
          <t>SW-DAMPER-055</t>
        </is>
      </c>
      <c r="C56" t="inlineStr">
        <is>
          <t>VAN GIÓ</t>
        </is>
      </c>
      <c r="D56" t="inlineStr">
        <is>
          <t>Van gió Van một chiều NRD 1250x500</t>
        </is>
      </c>
      <c r="E56" t="inlineStr">
        <is>
          <t>1250x500</t>
        </is>
      </c>
      <c r="F56" t="inlineStr">
        <is>
          <t>Cái</t>
        </is>
      </c>
      <c r="G56" s="16" t="n">
        <v>3</v>
      </c>
      <c r="H56" s="16">
        <f>SUMIF('01_BOC_TACH_ONG'!$B$2:$B$5000, B56, '01_BOC_TACH_ONG'!$K$2:$K$5000)</f>
        <v/>
      </c>
      <c r="I56" s="16">
        <f>SUMIF('02_BOC_TACH_CUA'!$B$2:$B$5000, B56, '02_BOC_TACH_CUA'!$K$2:$K$5000)</f>
        <v/>
      </c>
      <c r="J56" s="16">
        <f>SUMIF('03_BOC_TACH_VAN'!$B$2:$B$5000, B56, '03_BOC_TACH_VAN'!$K$2:$K$5000)</f>
        <v/>
      </c>
      <c r="K56" s="16">
        <f>SUM(H56:J56)</f>
        <v/>
      </c>
      <c r="L56" s="16">
        <f>(K56-SUMIFS('03_BOC_TACH_VAN'!$K$2:$K$5000, '03_BOC_TACH_VAN'!$B$2:$B$5000, B56, '03_BOC_TACH_VAN'!$D$2:$D$5000, "ĐỘNG_CƠ_VÀ_CẢM_BIẾN"))*0.25</f>
        <v/>
      </c>
      <c r="M56" s="16">
        <f>(K56-SUMIFS('03_BOC_TACH_VAN'!$K$2:$K$5000, '03_BOC_TACH_VAN'!$B$2:$B$5000, B56, '03_BOC_TACH_VAN'!$D$2:$D$5000, "ĐỘNG_CƠ_VÀ_CẢM_BIẾN"))*0.10</f>
        <v/>
      </c>
      <c r="N56" s="16">
        <f>K56+L56+M56</f>
        <v/>
      </c>
      <c r="O56" s="16">
        <f>IF(G56&gt;0, N56/G56, 0)</f>
        <v/>
      </c>
      <c r="P56" s="17" t="n">
        <v>0.18</v>
      </c>
      <c r="Q56" s="16">
        <f>IF(G56&gt;0, ((N56-SUMIFS('03_BOC_TACH_VAN'!$K$2:$K$5000, '03_BOC_TACH_VAN'!$B$2:$B$5000, B56, '03_BOC_TACH_VAN'!$D$2:$D$5000, "ĐỘNG_CƠ_VÀ_CẢM_BIẾN"))*(1+P56)+SUMIFS('03_BOC_TACH_VAN'!$K$2:$K$5000, '03_BOC_TACH_VAN'!$B$2:$B$5000, B56, '03_BOC_TACH_VAN'!$D$2:$D$5000, "ĐỘNG_CƠ_VÀ_CẢM_BIẾN"))/G56, 0)</f>
        <v/>
      </c>
      <c r="R56" s="16">
        <f>G56*Q56</f>
        <v/>
      </c>
      <c r="S56" t="inlineStr">
        <is>
          <t>Van 1 chiều tôn mạ kẽm</t>
        </is>
      </c>
    </row>
    <row r="57">
      <c r="A57" t="n">
        <v>56</v>
      </c>
      <c r="B57" t="inlineStr">
        <is>
          <t>SW-DAMPER-056</t>
        </is>
      </c>
      <c r="C57" t="inlineStr">
        <is>
          <t>VAN GIÓ</t>
        </is>
      </c>
      <c r="D57" t="inlineStr">
        <is>
          <t>Van gió Van một chiều NRD 1300x400</t>
        </is>
      </c>
      <c r="E57" t="inlineStr">
        <is>
          <t>1300x400</t>
        </is>
      </c>
      <c r="F57" t="inlineStr">
        <is>
          <t>Cái</t>
        </is>
      </c>
      <c r="G57" s="16" t="n">
        <v>2</v>
      </c>
      <c r="H57" s="16">
        <f>SUMIF('01_BOC_TACH_ONG'!$B$2:$B$5000, B57, '01_BOC_TACH_ONG'!$K$2:$K$5000)</f>
        <v/>
      </c>
      <c r="I57" s="16">
        <f>SUMIF('02_BOC_TACH_CUA'!$B$2:$B$5000, B57, '02_BOC_TACH_CUA'!$K$2:$K$5000)</f>
        <v/>
      </c>
      <c r="J57" s="16">
        <f>SUMIF('03_BOC_TACH_VAN'!$B$2:$B$5000, B57, '03_BOC_TACH_VAN'!$K$2:$K$5000)</f>
        <v/>
      </c>
      <c r="K57" s="16">
        <f>SUM(H57:J57)</f>
        <v/>
      </c>
      <c r="L57" s="16">
        <f>(K57-SUMIFS('03_BOC_TACH_VAN'!$K$2:$K$5000, '03_BOC_TACH_VAN'!$B$2:$B$5000, B57, '03_BOC_TACH_VAN'!$D$2:$D$5000, "ĐỘNG_CƠ_VÀ_CẢM_BIẾN"))*0.25</f>
        <v/>
      </c>
      <c r="M57" s="16">
        <f>(K57-SUMIFS('03_BOC_TACH_VAN'!$K$2:$K$5000, '03_BOC_TACH_VAN'!$B$2:$B$5000, B57, '03_BOC_TACH_VAN'!$D$2:$D$5000, "ĐỘNG_CƠ_VÀ_CẢM_BIẾN"))*0.10</f>
        <v/>
      </c>
      <c r="N57" s="16">
        <f>K57+L57+M57</f>
        <v/>
      </c>
      <c r="O57" s="16">
        <f>IF(G57&gt;0, N57/G57, 0)</f>
        <v/>
      </c>
      <c r="P57" s="17" t="n">
        <v>0.18</v>
      </c>
      <c r="Q57" s="16">
        <f>IF(G57&gt;0, ((N57-SUMIFS('03_BOC_TACH_VAN'!$K$2:$K$5000, '03_BOC_TACH_VAN'!$B$2:$B$5000, B57, '03_BOC_TACH_VAN'!$D$2:$D$5000, "ĐỘNG_CƠ_VÀ_CẢM_BIẾN"))*(1+P57)+SUMIFS('03_BOC_TACH_VAN'!$K$2:$K$5000, '03_BOC_TACH_VAN'!$B$2:$B$5000, B57, '03_BOC_TACH_VAN'!$D$2:$D$5000, "ĐỘNG_CƠ_VÀ_CẢM_BIẾN"))/G57, 0)</f>
        <v/>
      </c>
      <c r="R57" s="16">
        <f>G57*Q57</f>
        <v/>
      </c>
      <c r="S57" t="inlineStr">
        <is>
          <t>Van 1 chiều tôn mạ kẽm</t>
        </is>
      </c>
    </row>
    <row r="58">
      <c r="A58" t="n">
        <v>57</v>
      </c>
      <c r="B58" t="inlineStr">
        <is>
          <t>SW-DAMPER-057</t>
        </is>
      </c>
      <c r="C58" t="inlineStr">
        <is>
          <t>VAN GIÓ</t>
        </is>
      </c>
      <c r="D58" t="inlineStr">
        <is>
          <t>Van gió Van một chiều NRD 1300x500</t>
        </is>
      </c>
      <c r="E58" t="inlineStr">
        <is>
          <t>1300x500</t>
        </is>
      </c>
      <c r="F58" t="inlineStr">
        <is>
          <t>Cái</t>
        </is>
      </c>
      <c r="G58" s="16" t="n">
        <v>3</v>
      </c>
      <c r="H58" s="16">
        <f>SUMIF('01_BOC_TACH_ONG'!$B$2:$B$5000, B58, '01_BOC_TACH_ONG'!$K$2:$K$5000)</f>
        <v/>
      </c>
      <c r="I58" s="16">
        <f>SUMIF('02_BOC_TACH_CUA'!$B$2:$B$5000, B58, '02_BOC_TACH_CUA'!$K$2:$K$5000)</f>
        <v/>
      </c>
      <c r="J58" s="16">
        <f>SUMIF('03_BOC_TACH_VAN'!$B$2:$B$5000, B58, '03_BOC_TACH_VAN'!$K$2:$K$5000)</f>
        <v/>
      </c>
      <c r="K58" s="16">
        <f>SUM(H58:J58)</f>
        <v/>
      </c>
      <c r="L58" s="16">
        <f>(K58-SUMIFS('03_BOC_TACH_VAN'!$K$2:$K$5000, '03_BOC_TACH_VAN'!$B$2:$B$5000, B58, '03_BOC_TACH_VAN'!$D$2:$D$5000, "ĐỘNG_CƠ_VÀ_CẢM_BIẾN"))*0.25</f>
        <v/>
      </c>
      <c r="M58" s="16">
        <f>(K58-SUMIFS('03_BOC_TACH_VAN'!$K$2:$K$5000, '03_BOC_TACH_VAN'!$B$2:$B$5000, B58, '03_BOC_TACH_VAN'!$D$2:$D$5000, "ĐỘNG_CƠ_VÀ_CẢM_BIẾN"))*0.10</f>
        <v/>
      </c>
      <c r="N58" s="16">
        <f>K58+L58+M58</f>
        <v/>
      </c>
      <c r="O58" s="16">
        <f>IF(G58&gt;0, N58/G58, 0)</f>
        <v/>
      </c>
      <c r="P58" s="17" t="n">
        <v>0.18</v>
      </c>
      <c r="Q58" s="16">
        <f>IF(G58&gt;0, ((N58-SUMIFS('03_BOC_TACH_VAN'!$K$2:$K$5000, '03_BOC_TACH_VAN'!$B$2:$B$5000, B58, '03_BOC_TACH_VAN'!$D$2:$D$5000, "ĐỘNG_CƠ_VÀ_CẢM_BIẾN"))*(1+P58)+SUMIFS('03_BOC_TACH_VAN'!$K$2:$K$5000, '03_BOC_TACH_VAN'!$B$2:$B$5000, B58, '03_BOC_TACH_VAN'!$D$2:$D$5000, "ĐỘNG_CƠ_VÀ_CẢM_BIẾN"))/G58, 0)</f>
        <v/>
      </c>
      <c r="R58" s="16">
        <f>G58*Q58</f>
        <v/>
      </c>
      <c r="S58" t="inlineStr">
        <is>
          <t>Van 1 chiều tôn mạ kẽm</t>
        </is>
      </c>
    </row>
    <row r="59">
      <c r="A59" t="n">
        <v>58</v>
      </c>
      <c r="B59" t="inlineStr">
        <is>
          <t>SW-DAMPER-058</t>
        </is>
      </c>
      <c r="C59" t="inlineStr">
        <is>
          <t>VAN GIÓ</t>
        </is>
      </c>
      <c r="D59" t="inlineStr">
        <is>
          <t>Van gió Van một chiều NRD 1300x600</t>
        </is>
      </c>
      <c r="E59" t="inlineStr">
        <is>
          <t>1300x600</t>
        </is>
      </c>
      <c r="F59" t="inlineStr">
        <is>
          <t>Cái</t>
        </is>
      </c>
      <c r="G59" s="16" t="n">
        <v>2</v>
      </c>
      <c r="H59" s="16">
        <f>SUMIF('01_BOC_TACH_ONG'!$B$2:$B$5000, B59, '01_BOC_TACH_ONG'!$K$2:$K$5000)</f>
        <v/>
      </c>
      <c r="I59" s="16">
        <f>SUMIF('02_BOC_TACH_CUA'!$B$2:$B$5000, B59, '02_BOC_TACH_CUA'!$K$2:$K$5000)</f>
        <v/>
      </c>
      <c r="J59" s="16">
        <f>SUMIF('03_BOC_TACH_VAN'!$B$2:$B$5000, B59, '03_BOC_TACH_VAN'!$K$2:$K$5000)</f>
        <v/>
      </c>
      <c r="K59" s="16">
        <f>SUM(H59:J59)</f>
        <v/>
      </c>
      <c r="L59" s="16">
        <f>(K59-SUMIFS('03_BOC_TACH_VAN'!$K$2:$K$5000, '03_BOC_TACH_VAN'!$B$2:$B$5000, B59, '03_BOC_TACH_VAN'!$D$2:$D$5000, "ĐỘNG_CƠ_VÀ_CẢM_BIẾN"))*0.25</f>
        <v/>
      </c>
      <c r="M59" s="16">
        <f>(K59-SUMIFS('03_BOC_TACH_VAN'!$K$2:$K$5000, '03_BOC_TACH_VAN'!$B$2:$B$5000, B59, '03_BOC_TACH_VAN'!$D$2:$D$5000, "ĐỘNG_CƠ_VÀ_CẢM_BIẾN"))*0.10</f>
        <v/>
      </c>
      <c r="N59" s="16">
        <f>K59+L59+M59</f>
        <v/>
      </c>
      <c r="O59" s="16">
        <f>IF(G59&gt;0, N59/G59, 0)</f>
        <v/>
      </c>
      <c r="P59" s="17" t="n">
        <v>0.18</v>
      </c>
      <c r="Q59" s="16">
        <f>IF(G59&gt;0, ((N59-SUMIFS('03_BOC_TACH_VAN'!$K$2:$K$5000, '03_BOC_TACH_VAN'!$B$2:$B$5000, B59, '03_BOC_TACH_VAN'!$D$2:$D$5000, "ĐỘNG_CƠ_VÀ_CẢM_BIẾN"))*(1+P59)+SUMIFS('03_BOC_TACH_VAN'!$K$2:$K$5000, '03_BOC_TACH_VAN'!$B$2:$B$5000, B59, '03_BOC_TACH_VAN'!$D$2:$D$5000, "ĐỘNG_CƠ_VÀ_CẢM_BIẾN"))/G59, 0)</f>
        <v/>
      </c>
      <c r="R59" s="16">
        <f>G59*Q59</f>
        <v/>
      </c>
      <c r="S59" t="inlineStr">
        <is>
          <t>Van 1 chiều tôn mạ kẽm</t>
        </is>
      </c>
    </row>
    <row r="60">
      <c r="A60" t="n">
        <v>59</v>
      </c>
      <c r="B60" t="inlineStr">
        <is>
          <t>SW-DAMPER-059</t>
        </is>
      </c>
      <c r="C60" t="inlineStr">
        <is>
          <t>VAN GIÓ</t>
        </is>
      </c>
      <c r="D60" t="inlineStr">
        <is>
          <t>Van gió Van một chiều NRD 1300x650</t>
        </is>
      </c>
      <c r="E60" t="inlineStr">
        <is>
          <t>1300x650</t>
        </is>
      </c>
      <c r="F60" t="inlineStr">
        <is>
          <t>Cái</t>
        </is>
      </c>
      <c r="G60" s="16" t="n">
        <v>2</v>
      </c>
      <c r="H60" s="16">
        <f>SUMIF('01_BOC_TACH_ONG'!$B$2:$B$5000, B60, '01_BOC_TACH_ONG'!$K$2:$K$5000)</f>
        <v/>
      </c>
      <c r="I60" s="16">
        <f>SUMIF('02_BOC_TACH_CUA'!$B$2:$B$5000, B60, '02_BOC_TACH_CUA'!$K$2:$K$5000)</f>
        <v/>
      </c>
      <c r="J60" s="16">
        <f>SUMIF('03_BOC_TACH_VAN'!$B$2:$B$5000, B60, '03_BOC_TACH_VAN'!$K$2:$K$5000)</f>
        <v/>
      </c>
      <c r="K60" s="16">
        <f>SUM(H60:J60)</f>
        <v/>
      </c>
      <c r="L60" s="16">
        <f>(K60-SUMIFS('03_BOC_TACH_VAN'!$K$2:$K$5000, '03_BOC_TACH_VAN'!$B$2:$B$5000, B60, '03_BOC_TACH_VAN'!$D$2:$D$5000, "ĐỘNG_CƠ_VÀ_CẢM_BIẾN"))*0.25</f>
        <v/>
      </c>
      <c r="M60" s="16">
        <f>(K60-SUMIFS('03_BOC_TACH_VAN'!$K$2:$K$5000, '03_BOC_TACH_VAN'!$B$2:$B$5000, B60, '03_BOC_TACH_VAN'!$D$2:$D$5000, "ĐỘNG_CƠ_VÀ_CẢM_BIẾN"))*0.10</f>
        <v/>
      </c>
      <c r="N60" s="16">
        <f>K60+L60+M60</f>
        <v/>
      </c>
      <c r="O60" s="16">
        <f>IF(G60&gt;0, N60/G60, 0)</f>
        <v/>
      </c>
      <c r="P60" s="17" t="n">
        <v>0.18</v>
      </c>
      <c r="Q60" s="16">
        <f>IF(G60&gt;0, ((N60-SUMIFS('03_BOC_TACH_VAN'!$K$2:$K$5000, '03_BOC_TACH_VAN'!$B$2:$B$5000, B60, '03_BOC_TACH_VAN'!$D$2:$D$5000, "ĐỘNG_CƠ_VÀ_CẢM_BIẾN"))*(1+P60)+SUMIFS('03_BOC_TACH_VAN'!$K$2:$K$5000, '03_BOC_TACH_VAN'!$B$2:$B$5000, B60, '03_BOC_TACH_VAN'!$D$2:$D$5000, "ĐỘNG_CƠ_VÀ_CẢM_BIẾN"))/G60, 0)</f>
        <v/>
      </c>
      <c r="R60" s="16">
        <f>G60*Q60</f>
        <v/>
      </c>
      <c r="S60" t="inlineStr">
        <is>
          <t>Van 1 chiều tôn mạ kẽm</t>
        </is>
      </c>
    </row>
    <row r="61">
      <c r="A61" t="n">
        <v>60</v>
      </c>
      <c r="B61" t="inlineStr">
        <is>
          <t>SW-DAMPER-060</t>
        </is>
      </c>
      <c r="C61" t="inlineStr">
        <is>
          <t>VAN GIÓ</t>
        </is>
      </c>
      <c r="D61" t="inlineStr">
        <is>
          <t>Van gió Van một chiều NRD 1350x550</t>
        </is>
      </c>
      <c r="E61" t="inlineStr">
        <is>
          <t>1350x550</t>
        </is>
      </c>
      <c r="F61" t="inlineStr">
        <is>
          <t>Cái</t>
        </is>
      </c>
      <c r="G61" s="16" t="n">
        <v>2</v>
      </c>
      <c r="H61" s="16">
        <f>SUMIF('01_BOC_TACH_ONG'!$B$2:$B$5000, B61, '01_BOC_TACH_ONG'!$K$2:$K$5000)</f>
        <v/>
      </c>
      <c r="I61" s="16">
        <f>SUMIF('02_BOC_TACH_CUA'!$B$2:$B$5000, B61, '02_BOC_TACH_CUA'!$K$2:$K$5000)</f>
        <v/>
      </c>
      <c r="J61" s="16">
        <f>SUMIF('03_BOC_TACH_VAN'!$B$2:$B$5000, B61, '03_BOC_TACH_VAN'!$K$2:$K$5000)</f>
        <v/>
      </c>
      <c r="K61" s="16">
        <f>SUM(H61:J61)</f>
        <v/>
      </c>
      <c r="L61" s="16">
        <f>(K61-SUMIFS('03_BOC_TACH_VAN'!$K$2:$K$5000, '03_BOC_TACH_VAN'!$B$2:$B$5000, B61, '03_BOC_TACH_VAN'!$D$2:$D$5000, "ĐỘNG_CƠ_VÀ_CẢM_BIẾN"))*0.25</f>
        <v/>
      </c>
      <c r="M61" s="16">
        <f>(K61-SUMIFS('03_BOC_TACH_VAN'!$K$2:$K$5000, '03_BOC_TACH_VAN'!$B$2:$B$5000, B61, '03_BOC_TACH_VAN'!$D$2:$D$5000, "ĐỘNG_CƠ_VÀ_CẢM_BIẾN"))*0.10</f>
        <v/>
      </c>
      <c r="N61" s="16">
        <f>K61+L61+M61</f>
        <v/>
      </c>
      <c r="O61" s="16">
        <f>IF(G61&gt;0, N61/G61, 0)</f>
        <v/>
      </c>
      <c r="P61" s="17" t="n">
        <v>0.18</v>
      </c>
      <c r="Q61" s="16">
        <f>IF(G61&gt;0, ((N61-SUMIFS('03_BOC_TACH_VAN'!$K$2:$K$5000, '03_BOC_TACH_VAN'!$B$2:$B$5000, B61, '03_BOC_TACH_VAN'!$D$2:$D$5000, "ĐỘNG_CƠ_VÀ_CẢM_BIẾN"))*(1+P61)+SUMIFS('03_BOC_TACH_VAN'!$K$2:$K$5000, '03_BOC_TACH_VAN'!$B$2:$B$5000, B61, '03_BOC_TACH_VAN'!$D$2:$D$5000, "ĐỘNG_CƠ_VÀ_CẢM_BIẾN"))/G61, 0)</f>
        <v/>
      </c>
      <c r="R61" s="16">
        <f>G61*Q61</f>
        <v/>
      </c>
      <c r="S61" t="inlineStr">
        <is>
          <t>Van 1 chiều tôn mạ kẽm</t>
        </is>
      </c>
    </row>
    <row r="62">
      <c r="A62" t="n">
        <v>61</v>
      </c>
      <c r="B62" t="inlineStr">
        <is>
          <t>SW-DAMPER-061</t>
        </is>
      </c>
      <c r="C62" t="inlineStr">
        <is>
          <t>VAN GIÓ</t>
        </is>
      </c>
      <c r="D62" t="inlineStr">
        <is>
          <t>Van gió Van một chiều NRD 1350x600</t>
        </is>
      </c>
      <c r="E62" t="inlineStr">
        <is>
          <t>1350x600</t>
        </is>
      </c>
      <c r="F62" t="inlineStr">
        <is>
          <t>Cái</t>
        </is>
      </c>
      <c r="G62" s="16" t="n">
        <v>4</v>
      </c>
      <c r="H62" s="16">
        <f>SUMIF('01_BOC_TACH_ONG'!$B$2:$B$5000, B62, '01_BOC_TACH_ONG'!$K$2:$K$5000)</f>
        <v/>
      </c>
      <c r="I62" s="16">
        <f>SUMIF('02_BOC_TACH_CUA'!$B$2:$B$5000, B62, '02_BOC_TACH_CUA'!$K$2:$K$5000)</f>
        <v/>
      </c>
      <c r="J62" s="16">
        <f>SUMIF('03_BOC_TACH_VAN'!$B$2:$B$5000, B62, '03_BOC_TACH_VAN'!$K$2:$K$5000)</f>
        <v/>
      </c>
      <c r="K62" s="16">
        <f>SUM(H62:J62)</f>
        <v/>
      </c>
      <c r="L62" s="16">
        <f>(K62-SUMIFS('03_BOC_TACH_VAN'!$K$2:$K$5000, '03_BOC_TACH_VAN'!$B$2:$B$5000, B62, '03_BOC_TACH_VAN'!$D$2:$D$5000, "ĐỘNG_CƠ_VÀ_CẢM_BIẾN"))*0.25</f>
        <v/>
      </c>
      <c r="M62" s="16">
        <f>(K62-SUMIFS('03_BOC_TACH_VAN'!$K$2:$K$5000, '03_BOC_TACH_VAN'!$B$2:$B$5000, B62, '03_BOC_TACH_VAN'!$D$2:$D$5000, "ĐỘNG_CƠ_VÀ_CẢM_BIẾN"))*0.10</f>
        <v/>
      </c>
      <c r="N62" s="16">
        <f>K62+L62+M62</f>
        <v/>
      </c>
      <c r="O62" s="16">
        <f>IF(G62&gt;0, N62/G62, 0)</f>
        <v/>
      </c>
      <c r="P62" s="17" t="n">
        <v>0.18</v>
      </c>
      <c r="Q62" s="16">
        <f>IF(G62&gt;0, ((N62-SUMIFS('03_BOC_TACH_VAN'!$K$2:$K$5000, '03_BOC_TACH_VAN'!$B$2:$B$5000, B62, '03_BOC_TACH_VAN'!$D$2:$D$5000, "ĐỘNG_CƠ_VÀ_CẢM_BIẾN"))*(1+P62)+SUMIFS('03_BOC_TACH_VAN'!$K$2:$K$5000, '03_BOC_TACH_VAN'!$B$2:$B$5000, B62, '03_BOC_TACH_VAN'!$D$2:$D$5000, "ĐỘNG_CƠ_VÀ_CẢM_BIẾN"))/G62, 0)</f>
        <v/>
      </c>
      <c r="R62" s="16">
        <f>G62*Q62</f>
        <v/>
      </c>
      <c r="S62" t="inlineStr">
        <is>
          <t>Van 1 chiều tôn mạ kẽm</t>
        </is>
      </c>
    </row>
    <row r="63">
      <c r="A63" t="n">
        <v>62</v>
      </c>
      <c r="B63" t="inlineStr">
        <is>
          <t>SW-DAMPER-062</t>
        </is>
      </c>
      <c r="C63" t="inlineStr">
        <is>
          <t>VAN GIÓ</t>
        </is>
      </c>
      <c r="D63" t="inlineStr">
        <is>
          <t>Van chặn lửa MFD, EI30 MFD 4000x1000</t>
        </is>
      </c>
      <c r="E63" t="inlineStr">
        <is>
          <t>4000x1000</t>
        </is>
      </c>
      <c r="F63" t="inlineStr">
        <is>
          <t>Cái</t>
        </is>
      </c>
      <c r="G63" s="16" t="n">
        <v>1</v>
      </c>
      <c r="H63" s="16">
        <f>SUMIF('01_BOC_TACH_ONG'!$B$2:$B$5000, B63, '01_BOC_TACH_ONG'!$K$2:$K$5000)</f>
        <v/>
      </c>
      <c r="I63" s="16">
        <f>SUMIF('02_BOC_TACH_CUA'!$B$2:$B$5000, B63, '02_BOC_TACH_CUA'!$K$2:$K$5000)</f>
        <v/>
      </c>
      <c r="J63" s="16">
        <f>SUMIF('03_BOC_TACH_VAN'!$B$2:$B$5000, B63, '03_BOC_TACH_VAN'!$K$2:$K$5000)</f>
        <v/>
      </c>
      <c r="K63" s="16">
        <f>SUM(H63:J63)</f>
        <v/>
      </c>
      <c r="L63" s="16">
        <f>(K63-SUMIFS('03_BOC_TACH_VAN'!$K$2:$K$5000, '03_BOC_TACH_VAN'!$B$2:$B$5000, B63, '03_BOC_TACH_VAN'!$D$2:$D$5000, "ĐỘNG_CƠ_VÀ_CẢM_BIẾN"))*0.25</f>
        <v/>
      </c>
      <c r="M63" s="16">
        <f>(K63-SUMIFS('03_BOC_TACH_VAN'!$K$2:$K$5000, '03_BOC_TACH_VAN'!$B$2:$B$5000, B63, '03_BOC_TACH_VAN'!$D$2:$D$5000, "ĐỘNG_CƠ_VÀ_CẢM_BIẾN"))*0.10</f>
        <v/>
      </c>
      <c r="N63" s="16">
        <f>K63+L63+M63</f>
        <v/>
      </c>
      <c r="O63" s="16">
        <f>IF(G63&gt;0, N63/G63, 0)</f>
        <v/>
      </c>
      <c r="P63" s="17" t="n">
        <v>0.18</v>
      </c>
      <c r="Q63" s="16">
        <f>IF(G63&gt;0, ((N63-SUMIFS('03_BOC_TACH_VAN'!$K$2:$K$5000, '03_BOC_TACH_VAN'!$B$2:$B$5000, B63, '03_BOC_TACH_VAN'!$D$2:$D$5000, "ĐỘNG_CƠ_VÀ_CẢM_BIẾN"))*(1+P63)+SUMIFS('03_BOC_TACH_VAN'!$K$2:$K$5000, '03_BOC_TACH_VAN'!$B$2:$B$5000, B63, '03_BOC_TACH_VAN'!$D$2:$D$5000, "ĐỘNG_CƠ_VÀ_CẢM_BIẾN"))/G63, 0)</f>
        <v/>
      </c>
      <c r="R63" s="16">
        <f>G63*Q63</f>
        <v/>
      </c>
      <c r="S63" t="inlineStr">
        <is>
          <t>- Van ngăn cháy động cơ - Tiêu chuẩn EI 90
- 2 đầu bích TDC - Gắn kèm động cơ ON-OFF 5Nm, Hãng KLB
- Sản xuất theo BCTN số 4651/VLXD-TBMT
- Chia 8 modul khi sản xuất</t>
        </is>
      </c>
    </row>
    <row r="64">
      <c r="A64" t="n">
        <v>63</v>
      </c>
      <c r="B64" t="inlineStr">
        <is>
          <t>SW-DAMPER-063</t>
        </is>
      </c>
      <c r="C64" t="inlineStr">
        <is>
          <t>VAN GIÓ</t>
        </is>
      </c>
      <c r="D64" t="inlineStr">
        <is>
          <t>Van chặn lửa MFD, EI60 MFD 700x300</t>
        </is>
      </c>
      <c r="E64" t="inlineStr">
        <is>
          <t>700x300</t>
        </is>
      </c>
      <c r="F64" t="inlineStr">
        <is>
          <t>Cái</t>
        </is>
      </c>
      <c r="G64" s="16" t="n">
        <v>2</v>
      </c>
      <c r="H64" s="16">
        <f>SUMIF('01_BOC_TACH_ONG'!$B$2:$B$5000, B64, '01_BOC_TACH_ONG'!$K$2:$K$5000)</f>
        <v/>
      </c>
      <c r="I64" s="16">
        <f>SUMIF('02_BOC_TACH_CUA'!$B$2:$B$5000, B64, '02_BOC_TACH_CUA'!$K$2:$K$5000)</f>
        <v/>
      </c>
      <c r="J64" s="16">
        <f>SUMIF('03_BOC_TACH_VAN'!$B$2:$B$5000, B64, '03_BOC_TACH_VAN'!$K$2:$K$5000)</f>
        <v/>
      </c>
      <c r="K64" s="16">
        <f>SUM(H64:J64)</f>
        <v/>
      </c>
      <c r="L64" s="16">
        <f>(K64-SUMIFS('03_BOC_TACH_VAN'!$K$2:$K$5000, '03_BOC_TACH_VAN'!$B$2:$B$5000, B64, '03_BOC_TACH_VAN'!$D$2:$D$5000, "ĐỘNG_CƠ_VÀ_CẢM_BIẾN"))*0.25</f>
        <v/>
      </c>
      <c r="M64" s="16">
        <f>(K64-SUMIFS('03_BOC_TACH_VAN'!$K$2:$K$5000, '03_BOC_TACH_VAN'!$B$2:$B$5000, B64, '03_BOC_TACH_VAN'!$D$2:$D$5000, "ĐỘNG_CƠ_VÀ_CẢM_BIẾN"))*0.10</f>
        <v/>
      </c>
      <c r="N64" s="16">
        <f>K64+L64+M64</f>
        <v/>
      </c>
      <c r="O64" s="16">
        <f>IF(G64&gt;0, N64/G64, 0)</f>
        <v/>
      </c>
      <c r="P64" s="17" t="n">
        <v>0.18</v>
      </c>
      <c r="Q64" s="16">
        <f>IF(G64&gt;0, ((N64-SUMIFS('03_BOC_TACH_VAN'!$K$2:$K$5000, '03_BOC_TACH_VAN'!$B$2:$B$5000, B64, '03_BOC_TACH_VAN'!$D$2:$D$5000, "ĐỘNG_CƠ_VÀ_CẢM_BIẾN"))*(1+P64)+SUMIFS('03_BOC_TACH_VAN'!$K$2:$K$5000, '03_BOC_TACH_VAN'!$B$2:$B$5000, B64, '03_BOC_TACH_VAN'!$D$2:$D$5000, "ĐỘNG_CƠ_VÀ_CẢM_BIẾN"))/G64, 0)</f>
        <v/>
      </c>
      <c r="R64" s="16">
        <f>G64*Q64</f>
        <v/>
      </c>
      <c r="S64" t="inlineStr">
        <is>
          <t>- Van ngăn cháy động cơ - Tiêu chuẩn EI 90
- 2 đầu bích TDC - Gắn kèm động cơ ON-OFF 5Nm, Hãng KLB
- Sản xuất theo BCTN số 4651/VLXD-TBMT</t>
        </is>
      </c>
    </row>
    <row r="65">
      <c r="A65" t="n">
        <v>64</v>
      </c>
      <c r="B65" t="inlineStr">
        <is>
          <t>SW-DAMPER-064</t>
        </is>
      </c>
      <c r="C65" t="inlineStr">
        <is>
          <t>VAN GIÓ</t>
        </is>
      </c>
      <c r="D65" t="inlineStr">
        <is>
          <t>Van chặn lửa MFD, EI60 MFD 800x350</t>
        </is>
      </c>
      <c r="E65" t="inlineStr">
        <is>
          <t>800x350</t>
        </is>
      </c>
      <c r="F65" t="inlineStr">
        <is>
          <t>Cái</t>
        </is>
      </c>
      <c r="G65" s="16" t="n">
        <v>4</v>
      </c>
      <c r="H65" s="16">
        <f>SUMIF('01_BOC_TACH_ONG'!$B$2:$B$5000, B65, '01_BOC_TACH_ONG'!$K$2:$K$5000)</f>
        <v/>
      </c>
      <c r="I65" s="16">
        <f>SUMIF('02_BOC_TACH_CUA'!$B$2:$B$5000, B65, '02_BOC_TACH_CUA'!$K$2:$K$5000)</f>
        <v/>
      </c>
      <c r="J65" s="16">
        <f>SUMIF('03_BOC_TACH_VAN'!$B$2:$B$5000, B65, '03_BOC_TACH_VAN'!$K$2:$K$5000)</f>
        <v/>
      </c>
      <c r="K65" s="16">
        <f>SUM(H65:J65)</f>
        <v/>
      </c>
      <c r="L65" s="16">
        <f>(K65-SUMIFS('03_BOC_TACH_VAN'!$K$2:$K$5000, '03_BOC_TACH_VAN'!$B$2:$B$5000, B65, '03_BOC_TACH_VAN'!$D$2:$D$5000, "ĐỘNG_CƠ_VÀ_CẢM_BIẾN"))*0.25</f>
        <v/>
      </c>
      <c r="M65" s="16">
        <f>(K65-SUMIFS('03_BOC_TACH_VAN'!$K$2:$K$5000, '03_BOC_TACH_VAN'!$B$2:$B$5000, B65, '03_BOC_TACH_VAN'!$D$2:$D$5000, "ĐỘNG_CƠ_VÀ_CẢM_BIẾN"))*0.10</f>
        <v/>
      </c>
      <c r="N65" s="16">
        <f>K65+L65+M65</f>
        <v/>
      </c>
      <c r="O65" s="16">
        <f>IF(G65&gt;0, N65/G65, 0)</f>
        <v/>
      </c>
      <c r="P65" s="17" t="n">
        <v>0.18</v>
      </c>
      <c r="Q65" s="16">
        <f>IF(G65&gt;0, ((N65-SUMIFS('03_BOC_TACH_VAN'!$K$2:$K$5000, '03_BOC_TACH_VAN'!$B$2:$B$5000, B65, '03_BOC_TACH_VAN'!$D$2:$D$5000, "ĐỘNG_CƠ_VÀ_CẢM_BIẾN"))*(1+P65)+SUMIFS('03_BOC_TACH_VAN'!$K$2:$K$5000, '03_BOC_TACH_VAN'!$B$2:$B$5000, B65, '03_BOC_TACH_VAN'!$D$2:$D$5000, "ĐỘNG_CƠ_VÀ_CẢM_BIẾN"))/G65, 0)</f>
        <v/>
      </c>
      <c r="R65" s="16">
        <f>G65*Q65</f>
        <v/>
      </c>
      <c r="S65" t="inlineStr">
        <is>
          <t>- Van ngăn cháy động cơ - Tiêu chuẩn EI 90
- 2 đầu bích TDC - Gắn kèm động cơ ON-OFF 5Nm, Hãng KLB
- Sản xuất theo BCTN số 4651/VLXD-TBMT</t>
        </is>
      </c>
    </row>
    <row r="66">
      <c r="A66" t="n">
        <v>65</v>
      </c>
      <c r="B66" t="inlineStr">
        <is>
          <t>SW-DAMPER-065</t>
        </is>
      </c>
      <c r="C66" t="inlineStr">
        <is>
          <t>VAN GIÓ</t>
        </is>
      </c>
      <c r="D66" t="inlineStr">
        <is>
          <t>Van chặn lửa MFD, EI60 MFD 1000x350</t>
        </is>
      </c>
      <c r="E66" t="inlineStr">
        <is>
          <t>1000x350</t>
        </is>
      </c>
      <c r="F66" t="inlineStr">
        <is>
          <t>Cái</t>
        </is>
      </c>
      <c r="G66" s="16" t="n">
        <v>5</v>
      </c>
      <c r="H66" s="16">
        <f>SUMIF('01_BOC_TACH_ONG'!$B$2:$B$5000, B66, '01_BOC_TACH_ONG'!$K$2:$K$5000)</f>
        <v/>
      </c>
      <c r="I66" s="16">
        <f>SUMIF('02_BOC_TACH_CUA'!$B$2:$B$5000, B66, '02_BOC_TACH_CUA'!$K$2:$K$5000)</f>
        <v/>
      </c>
      <c r="J66" s="16">
        <f>SUMIF('03_BOC_TACH_VAN'!$B$2:$B$5000, B66, '03_BOC_TACH_VAN'!$K$2:$K$5000)</f>
        <v/>
      </c>
      <c r="K66" s="16">
        <f>SUM(H66:J66)</f>
        <v/>
      </c>
      <c r="L66" s="16">
        <f>(K66-SUMIFS('03_BOC_TACH_VAN'!$K$2:$K$5000, '03_BOC_TACH_VAN'!$B$2:$B$5000, B66, '03_BOC_TACH_VAN'!$D$2:$D$5000, "ĐỘNG_CƠ_VÀ_CẢM_BIẾN"))*0.25</f>
        <v/>
      </c>
      <c r="M66" s="16">
        <f>(K66-SUMIFS('03_BOC_TACH_VAN'!$K$2:$K$5000, '03_BOC_TACH_VAN'!$B$2:$B$5000, B66, '03_BOC_TACH_VAN'!$D$2:$D$5000, "ĐỘNG_CƠ_VÀ_CẢM_BIẾN"))*0.10</f>
        <v/>
      </c>
      <c r="N66" s="16">
        <f>K66+L66+M66</f>
        <v/>
      </c>
      <c r="O66" s="16">
        <f>IF(G66&gt;0, N66/G66, 0)</f>
        <v/>
      </c>
      <c r="P66" s="17" t="n">
        <v>0.18</v>
      </c>
      <c r="Q66" s="16">
        <f>IF(G66&gt;0, ((N66-SUMIFS('03_BOC_TACH_VAN'!$K$2:$K$5000, '03_BOC_TACH_VAN'!$B$2:$B$5000, B66, '03_BOC_TACH_VAN'!$D$2:$D$5000, "ĐỘNG_CƠ_VÀ_CẢM_BIẾN"))*(1+P66)+SUMIFS('03_BOC_TACH_VAN'!$K$2:$K$5000, '03_BOC_TACH_VAN'!$B$2:$B$5000, B66, '03_BOC_TACH_VAN'!$D$2:$D$5000, "ĐỘNG_CƠ_VÀ_CẢM_BIẾN"))/G66, 0)</f>
        <v/>
      </c>
      <c r="R66" s="16">
        <f>G66*Q66</f>
        <v/>
      </c>
      <c r="S66" t="inlineStr">
        <is>
          <t>- Van ngăn cháy động cơ - Tiêu chuẩn EI 90
- 2 đầu bích TDC - Gắn kèm động cơ ON-OFF 5Nm, Hãng KLB
- Sản xuất theo BCTN số 4651/VLXD-TBMT</t>
        </is>
      </c>
    </row>
    <row r="67">
      <c r="A67" t="n">
        <v>66</v>
      </c>
      <c r="B67" t="inlineStr">
        <is>
          <t>SW-DAMPER-066</t>
        </is>
      </c>
      <c r="C67" t="inlineStr">
        <is>
          <t>VAN GIÓ</t>
        </is>
      </c>
      <c r="D67" t="inlineStr">
        <is>
          <t>Van chặn lửa MFD, EI60 MFD 1050x300</t>
        </is>
      </c>
      <c r="E67" t="inlineStr">
        <is>
          <t>1050x300</t>
        </is>
      </c>
      <c r="F67" t="inlineStr">
        <is>
          <t>Cái</t>
        </is>
      </c>
      <c r="G67" s="16" t="n">
        <v>4</v>
      </c>
      <c r="H67" s="16">
        <f>SUMIF('01_BOC_TACH_ONG'!$B$2:$B$5000, B67, '01_BOC_TACH_ONG'!$K$2:$K$5000)</f>
        <v/>
      </c>
      <c r="I67" s="16">
        <f>SUMIF('02_BOC_TACH_CUA'!$B$2:$B$5000, B67, '02_BOC_TACH_CUA'!$K$2:$K$5000)</f>
        <v/>
      </c>
      <c r="J67" s="16">
        <f>SUMIF('03_BOC_TACH_VAN'!$B$2:$B$5000, B67, '03_BOC_TACH_VAN'!$K$2:$K$5000)</f>
        <v/>
      </c>
      <c r="K67" s="16">
        <f>SUM(H67:J67)</f>
        <v/>
      </c>
      <c r="L67" s="16">
        <f>(K67-SUMIFS('03_BOC_TACH_VAN'!$K$2:$K$5000, '03_BOC_TACH_VAN'!$B$2:$B$5000, B67, '03_BOC_TACH_VAN'!$D$2:$D$5000, "ĐỘNG_CƠ_VÀ_CẢM_BIẾN"))*0.25</f>
        <v/>
      </c>
      <c r="M67" s="16">
        <f>(K67-SUMIFS('03_BOC_TACH_VAN'!$K$2:$K$5000, '03_BOC_TACH_VAN'!$B$2:$B$5000, B67, '03_BOC_TACH_VAN'!$D$2:$D$5000, "ĐỘNG_CƠ_VÀ_CẢM_BIẾN"))*0.10</f>
        <v/>
      </c>
      <c r="N67" s="16">
        <f>K67+L67+M67</f>
        <v/>
      </c>
      <c r="O67" s="16">
        <f>IF(G67&gt;0, N67/G67, 0)</f>
        <v/>
      </c>
      <c r="P67" s="17" t="n">
        <v>0.18</v>
      </c>
      <c r="Q67" s="16">
        <f>IF(G67&gt;0, ((N67-SUMIFS('03_BOC_TACH_VAN'!$K$2:$K$5000, '03_BOC_TACH_VAN'!$B$2:$B$5000, B67, '03_BOC_TACH_VAN'!$D$2:$D$5000, "ĐỘNG_CƠ_VÀ_CẢM_BIẾN"))*(1+P67)+SUMIFS('03_BOC_TACH_VAN'!$K$2:$K$5000, '03_BOC_TACH_VAN'!$B$2:$B$5000, B67, '03_BOC_TACH_VAN'!$D$2:$D$5000, "ĐỘNG_CƠ_VÀ_CẢM_BIẾN"))/G67, 0)</f>
        <v/>
      </c>
      <c r="R67" s="16">
        <f>G67*Q67</f>
        <v/>
      </c>
      <c r="S67" t="inlineStr">
        <is>
          <t>- Van ngăn cháy động cơ - Tiêu chuẩn EI 90
- 2 đầu bích TDC - Gắn kèm động cơ ON-OFF 5Nm, Hãng KLB
- Sản xuất theo BCTN số 4651/VLXD-TBMT</t>
        </is>
      </c>
    </row>
    <row r="68">
      <c r="A68" t="n">
        <v>67</v>
      </c>
      <c r="B68" t="inlineStr">
        <is>
          <t>SW-DAMPER-067</t>
        </is>
      </c>
      <c r="C68" t="inlineStr">
        <is>
          <t>VAN GIÓ</t>
        </is>
      </c>
      <c r="D68" t="inlineStr">
        <is>
          <t>Van chặn lửa MFD, EI60 MFD 1050x350</t>
        </is>
      </c>
      <c r="E68" t="inlineStr">
        <is>
          <t>1050x350</t>
        </is>
      </c>
      <c r="F68" t="inlineStr">
        <is>
          <t>Cái</t>
        </is>
      </c>
      <c r="G68" s="16" t="n">
        <v>2</v>
      </c>
      <c r="H68" s="16">
        <f>SUMIF('01_BOC_TACH_ONG'!$B$2:$B$5000, B68, '01_BOC_TACH_ONG'!$K$2:$K$5000)</f>
        <v/>
      </c>
      <c r="I68" s="16">
        <f>SUMIF('02_BOC_TACH_CUA'!$B$2:$B$5000, B68, '02_BOC_TACH_CUA'!$K$2:$K$5000)</f>
        <v/>
      </c>
      <c r="J68" s="16">
        <f>SUMIF('03_BOC_TACH_VAN'!$B$2:$B$5000, B68, '03_BOC_TACH_VAN'!$K$2:$K$5000)</f>
        <v/>
      </c>
      <c r="K68" s="16">
        <f>SUM(H68:J68)</f>
        <v/>
      </c>
      <c r="L68" s="16">
        <f>(K68-SUMIFS('03_BOC_TACH_VAN'!$K$2:$K$5000, '03_BOC_TACH_VAN'!$B$2:$B$5000, B68, '03_BOC_TACH_VAN'!$D$2:$D$5000, "ĐỘNG_CƠ_VÀ_CẢM_BIẾN"))*0.25</f>
        <v/>
      </c>
      <c r="M68" s="16">
        <f>(K68-SUMIFS('03_BOC_TACH_VAN'!$K$2:$K$5000, '03_BOC_TACH_VAN'!$B$2:$B$5000, B68, '03_BOC_TACH_VAN'!$D$2:$D$5000, "ĐỘNG_CƠ_VÀ_CẢM_BIẾN"))*0.10</f>
        <v/>
      </c>
      <c r="N68" s="16">
        <f>K68+L68+M68</f>
        <v/>
      </c>
      <c r="O68" s="16">
        <f>IF(G68&gt;0, N68/G68, 0)</f>
        <v/>
      </c>
      <c r="P68" s="17" t="n">
        <v>0.18</v>
      </c>
      <c r="Q68" s="16">
        <f>IF(G68&gt;0, ((N68-SUMIFS('03_BOC_TACH_VAN'!$K$2:$K$5000, '03_BOC_TACH_VAN'!$B$2:$B$5000, B68, '03_BOC_TACH_VAN'!$D$2:$D$5000, "ĐỘNG_CƠ_VÀ_CẢM_BIẾN"))*(1+P68)+SUMIFS('03_BOC_TACH_VAN'!$K$2:$K$5000, '03_BOC_TACH_VAN'!$B$2:$B$5000, B68, '03_BOC_TACH_VAN'!$D$2:$D$5000, "ĐỘNG_CƠ_VÀ_CẢM_BIẾN"))/G68, 0)</f>
        <v/>
      </c>
      <c r="R68" s="16">
        <f>G68*Q68</f>
        <v/>
      </c>
      <c r="S68" t="inlineStr">
        <is>
          <t>- Van ngăn cháy động cơ - Tiêu chuẩn EI 90
- 2 đầu bích TDC - Gắn kèm động cơ ON-OFF 5Nm, Hãng KLB
- Sản xuất theo BCTN số 4651/VLXD-TBMT</t>
        </is>
      </c>
    </row>
    <row r="69">
      <c r="A69" t="n">
        <v>68</v>
      </c>
      <c r="B69" t="inlineStr">
        <is>
          <t>SW-DAMPER-068</t>
        </is>
      </c>
      <c r="C69" t="inlineStr">
        <is>
          <t>VAN GIÓ</t>
        </is>
      </c>
      <c r="D69" t="inlineStr">
        <is>
          <t>Van chặn lửa MFD, EI60 MFD 1050x400</t>
        </is>
      </c>
      <c r="E69" t="inlineStr">
        <is>
          <t>1050x400</t>
        </is>
      </c>
      <c r="F69" t="inlineStr">
        <is>
          <t>Cái</t>
        </is>
      </c>
      <c r="G69" s="16" t="n">
        <v>2</v>
      </c>
      <c r="H69" s="16">
        <f>SUMIF('01_BOC_TACH_ONG'!$B$2:$B$5000, B69, '01_BOC_TACH_ONG'!$K$2:$K$5000)</f>
        <v/>
      </c>
      <c r="I69" s="16">
        <f>SUMIF('02_BOC_TACH_CUA'!$B$2:$B$5000, B69, '02_BOC_TACH_CUA'!$K$2:$K$5000)</f>
        <v/>
      </c>
      <c r="J69" s="16">
        <f>SUMIF('03_BOC_TACH_VAN'!$B$2:$B$5000, B69, '03_BOC_TACH_VAN'!$K$2:$K$5000)</f>
        <v/>
      </c>
      <c r="K69" s="16">
        <f>SUM(H69:J69)</f>
        <v/>
      </c>
      <c r="L69" s="16">
        <f>(K69-SUMIFS('03_BOC_TACH_VAN'!$K$2:$K$5000, '03_BOC_TACH_VAN'!$B$2:$B$5000, B69, '03_BOC_TACH_VAN'!$D$2:$D$5000, "ĐỘNG_CƠ_VÀ_CẢM_BIẾN"))*0.25</f>
        <v/>
      </c>
      <c r="M69" s="16">
        <f>(K69-SUMIFS('03_BOC_TACH_VAN'!$K$2:$K$5000, '03_BOC_TACH_VAN'!$B$2:$B$5000, B69, '03_BOC_TACH_VAN'!$D$2:$D$5000, "ĐỘNG_CƠ_VÀ_CẢM_BIẾN"))*0.10</f>
        <v/>
      </c>
      <c r="N69" s="16">
        <f>K69+L69+M69</f>
        <v/>
      </c>
      <c r="O69" s="16">
        <f>IF(G69&gt;0, N69/G69, 0)</f>
        <v/>
      </c>
      <c r="P69" s="17" t="n">
        <v>0.18</v>
      </c>
      <c r="Q69" s="16">
        <f>IF(G69&gt;0, ((N69-SUMIFS('03_BOC_TACH_VAN'!$K$2:$K$5000, '03_BOC_TACH_VAN'!$B$2:$B$5000, B69, '03_BOC_TACH_VAN'!$D$2:$D$5000, "ĐỘNG_CƠ_VÀ_CẢM_BIẾN"))*(1+P69)+SUMIFS('03_BOC_TACH_VAN'!$K$2:$K$5000, '03_BOC_TACH_VAN'!$B$2:$B$5000, B69, '03_BOC_TACH_VAN'!$D$2:$D$5000, "ĐỘNG_CƠ_VÀ_CẢM_BIẾN"))/G69, 0)</f>
        <v/>
      </c>
      <c r="R69" s="16">
        <f>G69*Q69</f>
        <v/>
      </c>
      <c r="S69" t="inlineStr">
        <is>
          <t>- Van ngăn cháy động cơ - Tiêu chuẩn EI 90
- 2 đầu bích TDC - Gắn kèm động cơ ON-OFF 5Nm, Hãng KLB
- Sản xuất theo BCTN số 4651/VLXD-TBMT</t>
        </is>
      </c>
    </row>
    <row r="70">
      <c r="A70" t="n">
        <v>69</v>
      </c>
      <c r="B70" t="inlineStr">
        <is>
          <t>SW-DAMPER-069</t>
        </is>
      </c>
      <c r="C70" t="inlineStr">
        <is>
          <t>VAN GIÓ</t>
        </is>
      </c>
      <c r="D70" t="inlineStr">
        <is>
          <t>Van chặn lửa MFD, EI60 MFD 1050x500</t>
        </is>
      </c>
      <c r="E70" t="inlineStr">
        <is>
          <t>1050x500</t>
        </is>
      </c>
      <c r="F70" t="inlineStr">
        <is>
          <t>Cái</t>
        </is>
      </c>
      <c r="G70" s="16" t="n">
        <v>10</v>
      </c>
      <c r="H70" s="16">
        <f>SUMIF('01_BOC_TACH_ONG'!$B$2:$B$5000, B70, '01_BOC_TACH_ONG'!$K$2:$K$5000)</f>
        <v/>
      </c>
      <c r="I70" s="16">
        <f>SUMIF('02_BOC_TACH_CUA'!$B$2:$B$5000, B70, '02_BOC_TACH_CUA'!$K$2:$K$5000)</f>
        <v/>
      </c>
      <c r="J70" s="16">
        <f>SUMIF('03_BOC_TACH_VAN'!$B$2:$B$5000, B70, '03_BOC_TACH_VAN'!$K$2:$K$5000)</f>
        <v/>
      </c>
      <c r="K70" s="16">
        <f>SUM(H70:J70)</f>
        <v/>
      </c>
      <c r="L70" s="16">
        <f>(K70-SUMIFS('03_BOC_TACH_VAN'!$K$2:$K$5000, '03_BOC_TACH_VAN'!$B$2:$B$5000, B70, '03_BOC_TACH_VAN'!$D$2:$D$5000, "ĐỘNG_CƠ_VÀ_CẢM_BIẾN"))*0.25</f>
        <v/>
      </c>
      <c r="M70" s="16">
        <f>(K70-SUMIFS('03_BOC_TACH_VAN'!$K$2:$K$5000, '03_BOC_TACH_VAN'!$B$2:$B$5000, B70, '03_BOC_TACH_VAN'!$D$2:$D$5000, "ĐỘNG_CƠ_VÀ_CẢM_BIẾN"))*0.10</f>
        <v/>
      </c>
      <c r="N70" s="16">
        <f>K70+L70+M70</f>
        <v/>
      </c>
      <c r="O70" s="16">
        <f>IF(G70&gt;0, N70/G70, 0)</f>
        <v/>
      </c>
      <c r="P70" s="17" t="n">
        <v>0.18</v>
      </c>
      <c r="Q70" s="16">
        <f>IF(G70&gt;0, ((N70-SUMIFS('03_BOC_TACH_VAN'!$K$2:$K$5000, '03_BOC_TACH_VAN'!$B$2:$B$5000, B70, '03_BOC_TACH_VAN'!$D$2:$D$5000, "ĐỘNG_CƠ_VÀ_CẢM_BIẾN"))*(1+P70)+SUMIFS('03_BOC_TACH_VAN'!$K$2:$K$5000, '03_BOC_TACH_VAN'!$B$2:$B$5000, B70, '03_BOC_TACH_VAN'!$D$2:$D$5000, "ĐỘNG_CƠ_VÀ_CẢM_BIẾN"))/G70, 0)</f>
        <v/>
      </c>
      <c r="R70" s="16">
        <f>G70*Q70</f>
        <v/>
      </c>
      <c r="S70" t="inlineStr">
        <is>
          <t>- Van ngăn cháy động cơ - Tiêu chuẩn EI 90
- 2 đầu bích TDC - Gắn kèm động cơ ON-OFF 5Nm, Hãng KLB
- Sản xuất theo BCTN số 4651/VLXD-TBMT</t>
        </is>
      </c>
    </row>
    <row r="71">
      <c r="A71" t="n">
        <v>70</v>
      </c>
      <c r="B71" t="inlineStr">
        <is>
          <t>SW-DAMPER-070</t>
        </is>
      </c>
      <c r="C71" t="inlineStr">
        <is>
          <t>VAN GIÓ</t>
        </is>
      </c>
      <c r="D71" t="inlineStr">
        <is>
          <t>Van chặn lửa MFD, EI60 MFD 1050x550</t>
        </is>
      </c>
      <c r="E71" t="inlineStr">
        <is>
          <t>1050x550</t>
        </is>
      </c>
      <c r="F71" t="inlineStr">
        <is>
          <t>Cái</t>
        </is>
      </c>
      <c r="G71" s="16" t="n">
        <v>10</v>
      </c>
      <c r="H71" s="16">
        <f>SUMIF('01_BOC_TACH_ONG'!$B$2:$B$5000, B71, '01_BOC_TACH_ONG'!$K$2:$K$5000)</f>
        <v/>
      </c>
      <c r="I71" s="16">
        <f>SUMIF('02_BOC_TACH_CUA'!$B$2:$B$5000, B71, '02_BOC_TACH_CUA'!$K$2:$K$5000)</f>
        <v/>
      </c>
      <c r="J71" s="16">
        <f>SUMIF('03_BOC_TACH_VAN'!$B$2:$B$5000, B71, '03_BOC_TACH_VAN'!$K$2:$K$5000)</f>
        <v/>
      </c>
      <c r="K71" s="16">
        <f>SUM(H71:J71)</f>
        <v/>
      </c>
      <c r="L71" s="16">
        <f>(K71-SUMIFS('03_BOC_TACH_VAN'!$K$2:$K$5000, '03_BOC_TACH_VAN'!$B$2:$B$5000, B71, '03_BOC_TACH_VAN'!$D$2:$D$5000, "ĐỘNG_CƠ_VÀ_CẢM_BIẾN"))*0.25</f>
        <v/>
      </c>
      <c r="M71" s="16">
        <f>(K71-SUMIFS('03_BOC_TACH_VAN'!$K$2:$K$5000, '03_BOC_TACH_VAN'!$B$2:$B$5000, B71, '03_BOC_TACH_VAN'!$D$2:$D$5000, "ĐỘNG_CƠ_VÀ_CẢM_BIẾN"))*0.10</f>
        <v/>
      </c>
      <c r="N71" s="16">
        <f>K71+L71+M71</f>
        <v/>
      </c>
      <c r="O71" s="16">
        <f>IF(G71&gt;0, N71/G71, 0)</f>
        <v/>
      </c>
      <c r="P71" s="17" t="n">
        <v>0.18</v>
      </c>
      <c r="Q71" s="16">
        <f>IF(G71&gt;0, ((N71-SUMIFS('03_BOC_TACH_VAN'!$K$2:$K$5000, '03_BOC_TACH_VAN'!$B$2:$B$5000, B71, '03_BOC_TACH_VAN'!$D$2:$D$5000, "ĐỘNG_CƠ_VÀ_CẢM_BIẾN"))*(1+P71)+SUMIFS('03_BOC_TACH_VAN'!$K$2:$K$5000, '03_BOC_TACH_VAN'!$B$2:$B$5000, B71, '03_BOC_TACH_VAN'!$D$2:$D$5000, "ĐỘNG_CƠ_VÀ_CẢM_BIẾN"))/G71, 0)</f>
        <v/>
      </c>
      <c r="R71" s="16">
        <f>G71*Q71</f>
        <v/>
      </c>
      <c r="S71" t="inlineStr">
        <is>
          <t>- Van ngăn cháy động cơ - Tiêu chuẩn EI 90
- 2 đầu bích TDC - Gắn kèm động cơ ON-OFF 5Nm, Hãng KLB
- Sản xuất theo BCTN số 4651/VLXD-TBMT</t>
        </is>
      </c>
    </row>
    <row r="72">
      <c r="A72" t="n">
        <v>71</v>
      </c>
      <c r="B72" t="inlineStr">
        <is>
          <t>SW-DAMPER-071</t>
        </is>
      </c>
      <c r="C72" t="inlineStr">
        <is>
          <t>VAN GIÓ</t>
        </is>
      </c>
      <c r="D72" t="inlineStr">
        <is>
          <t>Van chặn lửa MFD, EI60 MFD 1100x300</t>
        </is>
      </c>
      <c r="E72" t="inlineStr">
        <is>
          <t>1100x300</t>
        </is>
      </c>
      <c r="F72" t="inlineStr">
        <is>
          <t>Cái</t>
        </is>
      </c>
      <c r="G72" s="16" t="n">
        <v>10</v>
      </c>
      <c r="H72" s="16">
        <f>SUMIF('01_BOC_TACH_ONG'!$B$2:$B$5000, B72, '01_BOC_TACH_ONG'!$K$2:$K$5000)</f>
        <v/>
      </c>
      <c r="I72" s="16">
        <f>SUMIF('02_BOC_TACH_CUA'!$B$2:$B$5000, B72, '02_BOC_TACH_CUA'!$K$2:$K$5000)</f>
        <v/>
      </c>
      <c r="J72" s="16">
        <f>SUMIF('03_BOC_TACH_VAN'!$B$2:$B$5000, B72, '03_BOC_TACH_VAN'!$K$2:$K$5000)</f>
        <v/>
      </c>
      <c r="K72" s="16">
        <f>SUM(H72:J72)</f>
        <v/>
      </c>
      <c r="L72" s="16">
        <f>(K72-SUMIFS('03_BOC_TACH_VAN'!$K$2:$K$5000, '03_BOC_TACH_VAN'!$B$2:$B$5000, B72, '03_BOC_TACH_VAN'!$D$2:$D$5000, "ĐỘNG_CƠ_VÀ_CẢM_BIẾN"))*0.25</f>
        <v/>
      </c>
      <c r="M72" s="16">
        <f>(K72-SUMIFS('03_BOC_TACH_VAN'!$K$2:$K$5000, '03_BOC_TACH_VAN'!$B$2:$B$5000, B72, '03_BOC_TACH_VAN'!$D$2:$D$5000, "ĐỘNG_CƠ_VÀ_CẢM_BIẾN"))*0.10</f>
        <v/>
      </c>
      <c r="N72" s="16">
        <f>K72+L72+M72</f>
        <v/>
      </c>
      <c r="O72" s="16">
        <f>IF(G72&gt;0, N72/G72, 0)</f>
        <v/>
      </c>
      <c r="P72" s="17" t="n">
        <v>0.18</v>
      </c>
      <c r="Q72" s="16">
        <f>IF(G72&gt;0, ((N72-SUMIFS('03_BOC_TACH_VAN'!$K$2:$K$5000, '03_BOC_TACH_VAN'!$B$2:$B$5000, B72, '03_BOC_TACH_VAN'!$D$2:$D$5000, "ĐỘNG_CƠ_VÀ_CẢM_BIẾN"))*(1+P72)+SUMIFS('03_BOC_TACH_VAN'!$K$2:$K$5000, '03_BOC_TACH_VAN'!$B$2:$B$5000, B72, '03_BOC_TACH_VAN'!$D$2:$D$5000, "ĐỘNG_CƠ_VÀ_CẢM_BIẾN"))/G72, 0)</f>
        <v/>
      </c>
      <c r="R72" s="16">
        <f>G72*Q72</f>
        <v/>
      </c>
      <c r="S72" t="inlineStr">
        <is>
          <t>- Van ngăn cháy động cơ - Tiêu chuẩn EI 90
- 2 đầu bích TDC - Gắn kèm động cơ ON-OFF 5Nm, Hãng KLB
- Sản xuất theo BCTN số 4651/VLXD-TBMT</t>
        </is>
      </c>
    </row>
    <row r="73">
      <c r="A73" t="n">
        <v>72</v>
      </c>
      <c r="B73" t="inlineStr">
        <is>
          <t>SW-DAMPER-072</t>
        </is>
      </c>
      <c r="C73" t="inlineStr">
        <is>
          <t>VAN GIÓ</t>
        </is>
      </c>
      <c r="D73" t="inlineStr">
        <is>
          <t>Van chặn lửa MFD, EI60 MFD 1100x350</t>
        </is>
      </c>
      <c r="E73" t="inlineStr">
        <is>
          <t>1100x350</t>
        </is>
      </c>
      <c r="F73" t="inlineStr">
        <is>
          <t>Cái</t>
        </is>
      </c>
      <c r="G73" s="16" t="n">
        <v>6</v>
      </c>
      <c r="H73" s="16">
        <f>SUMIF('01_BOC_TACH_ONG'!$B$2:$B$5000, B73, '01_BOC_TACH_ONG'!$K$2:$K$5000)</f>
        <v/>
      </c>
      <c r="I73" s="16">
        <f>SUMIF('02_BOC_TACH_CUA'!$B$2:$B$5000, B73, '02_BOC_TACH_CUA'!$K$2:$K$5000)</f>
        <v/>
      </c>
      <c r="J73" s="16">
        <f>SUMIF('03_BOC_TACH_VAN'!$B$2:$B$5000, B73, '03_BOC_TACH_VAN'!$K$2:$K$5000)</f>
        <v/>
      </c>
      <c r="K73" s="16">
        <f>SUM(H73:J73)</f>
        <v/>
      </c>
      <c r="L73" s="16">
        <f>(K73-SUMIFS('03_BOC_TACH_VAN'!$K$2:$K$5000, '03_BOC_TACH_VAN'!$B$2:$B$5000, B73, '03_BOC_TACH_VAN'!$D$2:$D$5000, "ĐỘNG_CƠ_VÀ_CẢM_BIẾN"))*0.25</f>
        <v/>
      </c>
      <c r="M73" s="16">
        <f>(K73-SUMIFS('03_BOC_TACH_VAN'!$K$2:$K$5000, '03_BOC_TACH_VAN'!$B$2:$B$5000, B73, '03_BOC_TACH_VAN'!$D$2:$D$5000, "ĐỘNG_CƠ_VÀ_CẢM_BIẾN"))*0.10</f>
        <v/>
      </c>
      <c r="N73" s="16">
        <f>K73+L73+M73</f>
        <v/>
      </c>
      <c r="O73" s="16">
        <f>IF(G73&gt;0, N73/G73, 0)</f>
        <v/>
      </c>
      <c r="P73" s="17" t="n">
        <v>0.18</v>
      </c>
      <c r="Q73" s="16">
        <f>IF(G73&gt;0, ((N73-SUMIFS('03_BOC_TACH_VAN'!$K$2:$K$5000, '03_BOC_TACH_VAN'!$B$2:$B$5000, B73, '03_BOC_TACH_VAN'!$D$2:$D$5000, "ĐỘNG_CƠ_VÀ_CẢM_BIẾN"))*(1+P73)+SUMIFS('03_BOC_TACH_VAN'!$K$2:$K$5000, '03_BOC_TACH_VAN'!$B$2:$B$5000, B73, '03_BOC_TACH_VAN'!$D$2:$D$5000, "ĐỘNG_CƠ_VÀ_CẢM_BIẾN"))/G73, 0)</f>
        <v/>
      </c>
      <c r="R73" s="16">
        <f>G73*Q73</f>
        <v/>
      </c>
      <c r="S73" t="inlineStr">
        <is>
          <t>- Van ngăn cháy động cơ - Tiêu chuẩn EI 90
- 2 đầu bích TDC - Gắn kèm động cơ ON-OFF 5Nm, Hãng KLB
- Sản xuất theo BCTN số 4651/VLXD-TBMT</t>
        </is>
      </c>
    </row>
    <row r="74">
      <c r="A74" t="n">
        <v>73</v>
      </c>
      <c r="B74" t="inlineStr">
        <is>
          <t>SW-DAMPER-073</t>
        </is>
      </c>
      <c r="C74" t="inlineStr">
        <is>
          <t>VAN GIÓ</t>
        </is>
      </c>
      <c r="D74" t="inlineStr">
        <is>
          <t>Van chặn lửa MFD, EI60 MFD 1100x450</t>
        </is>
      </c>
      <c r="E74" t="inlineStr">
        <is>
          <t>1100x450</t>
        </is>
      </c>
      <c r="F74" t="inlineStr">
        <is>
          <t>Cái</t>
        </is>
      </c>
      <c r="G74" s="16" t="n">
        <v>5</v>
      </c>
      <c r="H74" s="16">
        <f>SUMIF('01_BOC_TACH_ONG'!$B$2:$B$5000, B74, '01_BOC_TACH_ONG'!$K$2:$K$5000)</f>
        <v/>
      </c>
      <c r="I74" s="16">
        <f>SUMIF('02_BOC_TACH_CUA'!$B$2:$B$5000, B74, '02_BOC_TACH_CUA'!$K$2:$K$5000)</f>
        <v/>
      </c>
      <c r="J74" s="16">
        <f>SUMIF('03_BOC_TACH_VAN'!$B$2:$B$5000, B74, '03_BOC_TACH_VAN'!$K$2:$K$5000)</f>
        <v/>
      </c>
      <c r="K74" s="16">
        <f>SUM(H74:J74)</f>
        <v/>
      </c>
      <c r="L74" s="16">
        <f>(K74-SUMIFS('03_BOC_TACH_VAN'!$K$2:$K$5000, '03_BOC_TACH_VAN'!$B$2:$B$5000, B74, '03_BOC_TACH_VAN'!$D$2:$D$5000, "ĐỘNG_CƠ_VÀ_CẢM_BIẾN"))*0.25</f>
        <v/>
      </c>
      <c r="M74" s="16">
        <f>(K74-SUMIFS('03_BOC_TACH_VAN'!$K$2:$K$5000, '03_BOC_TACH_VAN'!$B$2:$B$5000, B74, '03_BOC_TACH_VAN'!$D$2:$D$5000, "ĐỘNG_CƠ_VÀ_CẢM_BIẾN"))*0.10</f>
        <v/>
      </c>
      <c r="N74" s="16">
        <f>K74+L74+M74</f>
        <v/>
      </c>
      <c r="O74" s="16">
        <f>IF(G74&gt;0, N74/G74, 0)</f>
        <v/>
      </c>
      <c r="P74" s="17" t="n">
        <v>0.18</v>
      </c>
      <c r="Q74" s="16">
        <f>IF(G74&gt;0, ((N74-SUMIFS('03_BOC_TACH_VAN'!$K$2:$K$5000, '03_BOC_TACH_VAN'!$B$2:$B$5000, B74, '03_BOC_TACH_VAN'!$D$2:$D$5000, "ĐỘNG_CƠ_VÀ_CẢM_BIẾN"))*(1+P74)+SUMIFS('03_BOC_TACH_VAN'!$K$2:$K$5000, '03_BOC_TACH_VAN'!$B$2:$B$5000, B74, '03_BOC_TACH_VAN'!$D$2:$D$5000, "ĐỘNG_CƠ_VÀ_CẢM_BIẾN"))/G74, 0)</f>
        <v/>
      </c>
      <c r="R74" s="16">
        <f>G74*Q74</f>
        <v/>
      </c>
      <c r="S74" t="inlineStr">
        <is>
          <t>- Van ngăn cháy động cơ - Tiêu chuẩn EI 90
- 2 đầu bích TDC - Gắn kèm động cơ ON-OFF 5Nm, Hãng KLB
- Sản xuất theo BCTN số 4651/VLXD-TBMT</t>
        </is>
      </c>
    </row>
    <row r="75">
      <c r="A75" t="n">
        <v>74</v>
      </c>
      <c r="B75" t="inlineStr">
        <is>
          <t>SW-DAMPER-074</t>
        </is>
      </c>
      <c r="C75" t="inlineStr">
        <is>
          <t>VAN GIÓ</t>
        </is>
      </c>
      <c r="D75" t="inlineStr">
        <is>
          <t>Van chặn lửa MFD, EI60 MFD 1100x500</t>
        </is>
      </c>
      <c r="E75" t="inlineStr">
        <is>
          <t>1100x500</t>
        </is>
      </c>
      <c r="F75" t="inlineStr">
        <is>
          <t>Cái</t>
        </is>
      </c>
      <c r="G75" s="16" t="n">
        <v>38</v>
      </c>
      <c r="H75" s="16">
        <f>SUMIF('01_BOC_TACH_ONG'!$B$2:$B$5000, B75, '01_BOC_TACH_ONG'!$K$2:$K$5000)</f>
        <v/>
      </c>
      <c r="I75" s="16">
        <f>SUMIF('02_BOC_TACH_CUA'!$B$2:$B$5000, B75, '02_BOC_TACH_CUA'!$K$2:$K$5000)</f>
        <v/>
      </c>
      <c r="J75" s="16">
        <f>SUMIF('03_BOC_TACH_VAN'!$B$2:$B$5000, B75, '03_BOC_TACH_VAN'!$K$2:$K$5000)</f>
        <v/>
      </c>
      <c r="K75" s="16">
        <f>SUM(H75:J75)</f>
        <v/>
      </c>
      <c r="L75" s="16">
        <f>(K75-SUMIFS('03_BOC_TACH_VAN'!$K$2:$K$5000, '03_BOC_TACH_VAN'!$B$2:$B$5000, B75, '03_BOC_TACH_VAN'!$D$2:$D$5000, "ĐỘNG_CƠ_VÀ_CẢM_BIẾN"))*0.25</f>
        <v/>
      </c>
      <c r="M75" s="16">
        <f>(K75-SUMIFS('03_BOC_TACH_VAN'!$K$2:$K$5000, '03_BOC_TACH_VAN'!$B$2:$B$5000, B75, '03_BOC_TACH_VAN'!$D$2:$D$5000, "ĐỘNG_CƠ_VÀ_CẢM_BIẾN"))*0.10</f>
        <v/>
      </c>
      <c r="N75" s="16">
        <f>K75+L75+M75</f>
        <v/>
      </c>
      <c r="O75" s="16">
        <f>IF(G75&gt;0, N75/G75, 0)</f>
        <v/>
      </c>
      <c r="P75" s="17" t="n">
        <v>0.18</v>
      </c>
      <c r="Q75" s="16">
        <f>IF(G75&gt;0, ((N75-SUMIFS('03_BOC_TACH_VAN'!$K$2:$K$5000, '03_BOC_TACH_VAN'!$B$2:$B$5000, B75, '03_BOC_TACH_VAN'!$D$2:$D$5000, "ĐỘNG_CƠ_VÀ_CẢM_BIẾN"))*(1+P75)+SUMIFS('03_BOC_TACH_VAN'!$K$2:$K$5000, '03_BOC_TACH_VAN'!$B$2:$B$5000, B75, '03_BOC_TACH_VAN'!$D$2:$D$5000, "ĐỘNG_CƠ_VÀ_CẢM_BIẾN"))/G75, 0)</f>
        <v/>
      </c>
      <c r="R75" s="16">
        <f>G75*Q75</f>
        <v/>
      </c>
      <c r="S75" t="inlineStr">
        <is>
          <t>- Van ngăn cháy động cơ - Tiêu chuẩn EI 90
- 2 đầu bích TDC - Gắn kèm động cơ ON-OFF 5Nm, Hãng KLB
- Sản xuất theo BCTN số 4651/VLXD-TBMT</t>
        </is>
      </c>
    </row>
    <row r="76">
      <c r="A76" t="n">
        <v>75</v>
      </c>
      <c r="B76" t="inlineStr">
        <is>
          <t>SW-DAMPER-075</t>
        </is>
      </c>
      <c r="C76" t="inlineStr">
        <is>
          <t>VAN GIÓ</t>
        </is>
      </c>
      <c r="D76" t="inlineStr">
        <is>
          <t>Van chặn lửa MFD, EI60 MFD 1100x550</t>
        </is>
      </c>
      <c r="E76" t="inlineStr">
        <is>
          <t>1100x550</t>
        </is>
      </c>
      <c r="F76" t="inlineStr">
        <is>
          <t>Cái</t>
        </is>
      </c>
      <c r="G76" s="16" t="n">
        <v>10</v>
      </c>
      <c r="H76" s="16">
        <f>SUMIF('01_BOC_TACH_ONG'!$B$2:$B$5000, B76, '01_BOC_TACH_ONG'!$K$2:$K$5000)</f>
        <v/>
      </c>
      <c r="I76" s="16">
        <f>SUMIF('02_BOC_TACH_CUA'!$B$2:$B$5000, B76, '02_BOC_TACH_CUA'!$K$2:$K$5000)</f>
        <v/>
      </c>
      <c r="J76" s="16">
        <f>SUMIF('03_BOC_TACH_VAN'!$B$2:$B$5000, B76, '03_BOC_TACH_VAN'!$K$2:$K$5000)</f>
        <v/>
      </c>
      <c r="K76" s="16">
        <f>SUM(H76:J76)</f>
        <v/>
      </c>
      <c r="L76" s="16">
        <f>(K76-SUMIFS('03_BOC_TACH_VAN'!$K$2:$K$5000, '03_BOC_TACH_VAN'!$B$2:$B$5000, B76, '03_BOC_TACH_VAN'!$D$2:$D$5000, "ĐỘNG_CƠ_VÀ_CẢM_BIẾN"))*0.25</f>
        <v/>
      </c>
      <c r="M76" s="16">
        <f>(K76-SUMIFS('03_BOC_TACH_VAN'!$K$2:$K$5000, '03_BOC_TACH_VAN'!$B$2:$B$5000, B76, '03_BOC_TACH_VAN'!$D$2:$D$5000, "ĐỘNG_CƠ_VÀ_CẢM_BIẾN"))*0.10</f>
        <v/>
      </c>
      <c r="N76" s="16">
        <f>K76+L76+M76</f>
        <v/>
      </c>
      <c r="O76" s="16">
        <f>IF(G76&gt;0, N76/G76, 0)</f>
        <v/>
      </c>
      <c r="P76" s="17" t="n">
        <v>0.18</v>
      </c>
      <c r="Q76" s="16">
        <f>IF(G76&gt;0, ((N76-SUMIFS('03_BOC_TACH_VAN'!$K$2:$K$5000, '03_BOC_TACH_VAN'!$B$2:$B$5000, B76, '03_BOC_TACH_VAN'!$D$2:$D$5000, "ĐỘNG_CƠ_VÀ_CẢM_BIẾN"))*(1+P76)+SUMIFS('03_BOC_TACH_VAN'!$K$2:$K$5000, '03_BOC_TACH_VAN'!$B$2:$B$5000, B76, '03_BOC_TACH_VAN'!$D$2:$D$5000, "ĐỘNG_CƠ_VÀ_CẢM_BIẾN"))/G76, 0)</f>
        <v/>
      </c>
      <c r="R76" s="16">
        <f>G76*Q76</f>
        <v/>
      </c>
      <c r="S76" t="inlineStr">
        <is>
          <t>- Van ngăn cháy động cơ - Tiêu chuẩn EI 90
- 2 đầu bích TDC - Gắn kèm động cơ ON-OFF 5Nm, Hãng KLB
- Sản xuất theo BCTN số 4651/VLXD-TBMT</t>
        </is>
      </c>
    </row>
    <row r="77">
      <c r="A77" t="n">
        <v>76</v>
      </c>
      <c r="B77" t="inlineStr">
        <is>
          <t>SW-DAMPER-076</t>
        </is>
      </c>
      <c r="C77" t="inlineStr">
        <is>
          <t>VAN GIÓ</t>
        </is>
      </c>
      <c r="D77" t="inlineStr">
        <is>
          <t>Van chặn lửa MFD, EI60 MFD 1100x600</t>
        </is>
      </c>
      <c r="E77" t="inlineStr">
        <is>
          <t>1100x600</t>
        </is>
      </c>
      <c r="F77" t="inlineStr">
        <is>
          <t>Cái</t>
        </is>
      </c>
      <c r="G77" s="16" t="n">
        <v>6</v>
      </c>
      <c r="H77" s="16">
        <f>SUMIF('01_BOC_TACH_ONG'!$B$2:$B$5000, B77, '01_BOC_TACH_ONG'!$K$2:$K$5000)</f>
        <v/>
      </c>
      <c r="I77" s="16">
        <f>SUMIF('02_BOC_TACH_CUA'!$B$2:$B$5000, B77, '02_BOC_TACH_CUA'!$K$2:$K$5000)</f>
        <v/>
      </c>
      <c r="J77" s="16">
        <f>SUMIF('03_BOC_TACH_VAN'!$B$2:$B$5000, B77, '03_BOC_TACH_VAN'!$K$2:$K$5000)</f>
        <v/>
      </c>
      <c r="K77" s="16">
        <f>SUM(H77:J77)</f>
        <v/>
      </c>
      <c r="L77" s="16">
        <f>(K77-SUMIFS('03_BOC_TACH_VAN'!$K$2:$K$5000, '03_BOC_TACH_VAN'!$B$2:$B$5000, B77, '03_BOC_TACH_VAN'!$D$2:$D$5000, "ĐỘNG_CƠ_VÀ_CẢM_BIẾN"))*0.25</f>
        <v/>
      </c>
      <c r="M77" s="16">
        <f>(K77-SUMIFS('03_BOC_TACH_VAN'!$K$2:$K$5000, '03_BOC_TACH_VAN'!$B$2:$B$5000, B77, '03_BOC_TACH_VAN'!$D$2:$D$5000, "ĐỘNG_CƠ_VÀ_CẢM_BIẾN"))*0.10</f>
        <v/>
      </c>
      <c r="N77" s="16">
        <f>K77+L77+M77</f>
        <v/>
      </c>
      <c r="O77" s="16">
        <f>IF(G77&gt;0, N77/G77, 0)</f>
        <v/>
      </c>
      <c r="P77" s="17" t="n">
        <v>0.18</v>
      </c>
      <c r="Q77" s="16">
        <f>IF(G77&gt;0, ((N77-SUMIFS('03_BOC_TACH_VAN'!$K$2:$K$5000, '03_BOC_TACH_VAN'!$B$2:$B$5000, B77, '03_BOC_TACH_VAN'!$D$2:$D$5000, "ĐỘNG_CƠ_VÀ_CẢM_BIẾN"))*(1+P77)+SUMIFS('03_BOC_TACH_VAN'!$K$2:$K$5000, '03_BOC_TACH_VAN'!$B$2:$B$5000, B77, '03_BOC_TACH_VAN'!$D$2:$D$5000, "ĐỘNG_CƠ_VÀ_CẢM_BIẾN"))/G77, 0)</f>
        <v/>
      </c>
      <c r="R77" s="16">
        <f>G77*Q77</f>
        <v/>
      </c>
      <c r="S77" t="inlineStr">
        <is>
          <t>- Van ngăn cháy động cơ - Tiêu chuẩn EI 90
- 2 đầu bích TDC - Gắn kèm động cơ ON-OFF 5Nm, Hãng KLB
- Sản xuất theo BCTN số 4651/VLXD-TBMT</t>
        </is>
      </c>
    </row>
    <row r="78">
      <c r="A78" t="n">
        <v>77</v>
      </c>
      <c r="B78" t="inlineStr">
        <is>
          <t>SW-DAMPER-077</t>
        </is>
      </c>
      <c r="C78" t="inlineStr">
        <is>
          <t>VAN GIÓ</t>
        </is>
      </c>
      <c r="D78" t="inlineStr">
        <is>
          <t>Van chặn lửa MFD, EI60 MFD 1200x400</t>
        </is>
      </c>
      <c r="E78" t="inlineStr">
        <is>
          <t>1200x400</t>
        </is>
      </c>
      <c r="F78" t="inlineStr">
        <is>
          <t>Cái</t>
        </is>
      </c>
      <c r="G78" s="16" t="n">
        <v>4</v>
      </c>
      <c r="H78" s="16">
        <f>SUMIF('01_BOC_TACH_ONG'!$B$2:$B$5000, B78, '01_BOC_TACH_ONG'!$K$2:$K$5000)</f>
        <v/>
      </c>
      <c r="I78" s="16">
        <f>SUMIF('02_BOC_TACH_CUA'!$B$2:$B$5000, B78, '02_BOC_TACH_CUA'!$K$2:$K$5000)</f>
        <v/>
      </c>
      <c r="J78" s="16">
        <f>SUMIF('03_BOC_TACH_VAN'!$B$2:$B$5000, B78, '03_BOC_TACH_VAN'!$K$2:$K$5000)</f>
        <v/>
      </c>
      <c r="K78" s="16">
        <f>SUM(H78:J78)</f>
        <v/>
      </c>
      <c r="L78" s="16">
        <f>(K78-SUMIFS('03_BOC_TACH_VAN'!$K$2:$K$5000, '03_BOC_TACH_VAN'!$B$2:$B$5000, B78, '03_BOC_TACH_VAN'!$D$2:$D$5000, "ĐỘNG_CƠ_VÀ_CẢM_BIẾN"))*0.25</f>
        <v/>
      </c>
      <c r="M78" s="16">
        <f>(K78-SUMIFS('03_BOC_TACH_VAN'!$K$2:$K$5000, '03_BOC_TACH_VAN'!$B$2:$B$5000, B78, '03_BOC_TACH_VAN'!$D$2:$D$5000, "ĐỘNG_CƠ_VÀ_CẢM_BIẾN"))*0.10</f>
        <v/>
      </c>
      <c r="N78" s="16">
        <f>K78+L78+M78</f>
        <v/>
      </c>
      <c r="O78" s="16">
        <f>IF(G78&gt;0, N78/G78, 0)</f>
        <v/>
      </c>
      <c r="P78" s="17" t="n">
        <v>0.18</v>
      </c>
      <c r="Q78" s="16">
        <f>IF(G78&gt;0, ((N78-SUMIFS('03_BOC_TACH_VAN'!$K$2:$K$5000, '03_BOC_TACH_VAN'!$B$2:$B$5000, B78, '03_BOC_TACH_VAN'!$D$2:$D$5000, "ĐỘNG_CƠ_VÀ_CẢM_BIẾN"))*(1+P78)+SUMIFS('03_BOC_TACH_VAN'!$K$2:$K$5000, '03_BOC_TACH_VAN'!$B$2:$B$5000, B78, '03_BOC_TACH_VAN'!$D$2:$D$5000, "ĐỘNG_CƠ_VÀ_CẢM_BIẾN"))/G78, 0)</f>
        <v/>
      </c>
      <c r="R78" s="16">
        <f>G78*Q78</f>
        <v/>
      </c>
      <c r="S78" t="inlineStr">
        <is>
          <t>- Van ngăn cháy động cơ - Tiêu chuẩn EI 90
- 2 đầu bích TDC - Gắn kèm động cơ ON-OFF 5Nm, Hãng KLB
- Sản xuất theo BCTN số 4651/VLXD-TBMT</t>
        </is>
      </c>
    </row>
    <row r="79">
      <c r="A79" t="n">
        <v>78</v>
      </c>
      <c r="B79" t="inlineStr">
        <is>
          <t>SW-DAMPER-078</t>
        </is>
      </c>
      <c r="C79" t="inlineStr">
        <is>
          <t>VAN GIÓ</t>
        </is>
      </c>
      <c r="D79" t="inlineStr">
        <is>
          <t>Van chặn lửa MFD, EI60 MFD 1200x450</t>
        </is>
      </c>
      <c r="E79" t="inlineStr">
        <is>
          <t>1200x450</t>
        </is>
      </c>
      <c r="F79" t="inlineStr">
        <is>
          <t>Cái</t>
        </is>
      </c>
      <c r="G79" s="16" t="n">
        <v>6</v>
      </c>
      <c r="H79" s="16">
        <f>SUMIF('01_BOC_TACH_ONG'!$B$2:$B$5000, B79, '01_BOC_TACH_ONG'!$K$2:$K$5000)</f>
        <v/>
      </c>
      <c r="I79" s="16">
        <f>SUMIF('02_BOC_TACH_CUA'!$B$2:$B$5000, B79, '02_BOC_TACH_CUA'!$K$2:$K$5000)</f>
        <v/>
      </c>
      <c r="J79" s="16">
        <f>SUMIF('03_BOC_TACH_VAN'!$B$2:$B$5000, B79, '03_BOC_TACH_VAN'!$K$2:$K$5000)</f>
        <v/>
      </c>
      <c r="K79" s="16">
        <f>SUM(H79:J79)</f>
        <v/>
      </c>
      <c r="L79" s="16">
        <f>(K79-SUMIFS('03_BOC_TACH_VAN'!$K$2:$K$5000, '03_BOC_TACH_VAN'!$B$2:$B$5000, B79, '03_BOC_TACH_VAN'!$D$2:$D$5000, "ĐỘNG_CƠ_VÀ_CẢM_BIẾN"))*0.25</f>
        <v/>
      </c>
      <c r="M79" s="16">
        <f>(K79-SUMIFS('03_BOC_TACH_VAN'!$K$2:$K$5000, '03_BOC_TACH_VAN'!$B$2:$B$5000, B79, '03_BOC_TACH_VAN'!$D$2:$D$5000, "ĐỘNG_CƠ_VÀ_CẢM_BIẾN"))*0.10</f>
        <v/>
      </c>
      <c r="N79" s="16">
        <f>K79+L79+M79</f>
        <v/>
      </c>
      <c r="O79" s="16">
        <f>IF(G79&gt;0, N79/G79, 0)</f>
        <v/>
      </c>
      <c r="P79" s="17" t="n">
        <v>0.18</v>
      </c>
      <c r="Q79" s="16">
        <f>IF(G79&gt;0, ((N79-SUMIFS('03_BOC_TACH_VAN'!$K$2:$K$5000, '03_BOC_TACH_VAN'!$B$2:$B$5000, B79, '03_BOC_TACH_VAN'!$D$2:$D$5000, "ĐỘNG_CƠ_VÀ_CẢM_BIẾN"))*(1+P79)+SUMIFS('03_BOC_TACH_VAN'!$K$2:$K$5000, '03_BOC_TACH_VAN'!$B$2:$B$5000, B79, '03_BOC_TACH_VAN'!$D$2:$D$5000, "ĐỘNG_CƠ_VÀ_CẢM_BIẾN"))/G79, 0)</f>
        <v/>
      </c>
      <c r="R79" s="16">
        <f>G79*Q79</f>
        <v/>
      </c>
      <c r="S79" t="inlineStr">
        <is>
          <t>- Van ngăn cháy động cơ - Tiêu chuẩn EI 90
- 2 đầu bích TDC - Gắn kèm động cơ ON-OFF 5Nm, Hãng KLB
- Sản xuất theo BCTN số 4651/VLXD-TBMT</t>
        </is>
      </c>
    </row>
    <row r="80">
      <c r="A80" t="n">
        <v>79</v>
      </c>
      <c r="B80" t="inlineStr">
        <is>
          <t>SW-DAMPER-079</t>
        </is>
      </c>
      <c r="C80" t="inlineStr">
        <is>
          <t>VAN GIÓ</t>
        </is>
      </c>
      <c r="D80" t="inlineStr">
        <is>
          <t>Van chặn lửa MFD, EI60 MFD 1200x500</t>
        </is>
      </c>
      <c r="E80" t="inlineStr">
        <is>
          <t>1200x500</t>
        </is>
      </c>
      <c r="F80" t="inlineStr">
        <is>
          <t>Cái</t>
        </is>
      </c>
      <c r="G80" s="16" t="n">
        <v>6</v>
      </c>
      <c r="H80" s="16">
        <f>SUMIF('01_BOC_TACH_ONG'!$B$2:$B$5000, B80, '01_BOC_TACH_ONG'!$K$2:$K$5000)</f>
        <v/>
      </c>
      <c r="I80" s="16">
        <f>SUMIF('02_BOC_TACH_CUA'!$B$2:$B$5000, B80, '02_BOC_TACH_CUA'!$K$2:$K$5000)</f>
        <v/>
      </c>
      <c r="J80" s="16">
        <f>SUMIF('03_BOC_TACH_VAN'!$B$2:$B$5000, B80, '03_BOC_TACH_VAN'!$K$2:$K$5000)</f>
        <v/>
      </c>
      <c r="K80" s="16">
        <f>SUM(H80:J80)</f>
        <v/>
      </c>
      <c r="L80" s="16">
        <f>(K80-SUMIFS('03_BOC_TACH_VAN'!$K$2:$K$5000, '03_BOC_TACH_VAN'!$B$2:$B$5000, B80, '03_BOC_TACH_VAN'!$D$2:$D$5000, "ĐỘNG_CƠ_VÀ_CẢM_BIẾN"))*0.25</f>
        <v/>
      </c>
      <c r="M80" s="16">
        <f>(K80-SUMIFS('03_BOC_TACH_VAN'!$K$2:$K$5000, '03_BOC_TACH_VAN'!$B$2:$B$5000, B80, '03_BOC_TACH_VAN'!$D$2:$D$5000, "ĐỘNG_CƠ_VÀ_CẢM_BIẾN"))*0.10</f>
        <v/>
      </c>
      <c r="N80" s="16">
        <f>K80+L80+M80</f>
        <v/>
      </c>
      <c r="O80" s="16">
        <f>IF(G80&gt;0, N80/G80, 0)</f>
        <v/>
      </c>
      <c r="P80" s="17" t="n">
        <v>0.18</v>
      </c>
      <c r="Q80" s="16">
        <f>IF(G80&gt;0, ((N80-SUMIFS('03_BOC_TACH_VAN'!$K$2:$K$5000, '03_BOC_TACH_VAN'!$B$2:$B$5000, B80, '03_BOC_TACH_VAN'!$D$2:$D$5000, "ĐỘNG_CƠ_VÀ_CẢM_BIẾN"))*(1+P80)+SUMIFS('03_BOC_TACH_VAN'!$K$2:$K$5000, '03_BOC_TACH_VAN'!$B$2:$B$5000, B80, '03_BOC_TACH_VAN'!$D$2:$D$5000, "ĐỘNG_CƠ_VÀ_CẢM_BIẾN"))/G80, 0)</f>
        <v/>
      </c>
      <c r="R80" s="16">
        <f>G80*Q80</f>
        <v/>
      </c>
      <c r="S80" t="inlineStr">
        <is>
          <t>- Van ngăn cháy động cơ - Tiêu chuẩn EI 90
- 2 đầu bích TDC - Gắn kèm động cơ ON-OFF 5Nm, Hãng KLB
- Sản xuất theo BCTN số 4651/VLXD-TBMT</t>
        </is>
      </c>
    </row>
    <row r="81">
      <c r="A81" t="n">
        <v>80</v>
      </c>
      <c r="B81" t="inlineStr">
        <is>
          <t>SW-DAMPER-080</t>
        </is>
      </c>
      <c r="C81" t="inlineStr">
        <is>
          <t>VAN GIÓ</t>
        </is>
      </c>
      <c r="D81" t="inlineStr">
        <is>
          <t>Van chặn lửa MFD, EI60 MFD 1200x550</t>
        </is>
      </c>
      <c r="E81" t="inlineStr">
        <is>
          <t>1200x550</t>
        </is>
      </c>
      <c r="F81" t="inlineStr">
        <is>
          <t>Cái</t>
        </is>
      </c>
      <c r="G81" s="16" t="n">
        <v>6</v>
      </c>
      <c r="H81" s="16">
        <f>SUMIF('01_BOC_TACH_ONG'!$B$2:$B$5000, B81, '01_BOC_TACH_ONG'!$K$2:$K$5000)</f>
        <v/>
      </c>
      <c r="I81" s="16">
        <f>SUMIF('02_BOC_TACH_CUA'!$B$2:$B$5000, B81, '02_BOC_TACH_CUA'!$K$2:$K$5000)</f>
        <v/>
      </c>
      <c r="J81" s="16">
        <f>SUMIF('03_BOC_TACH_VAN'!$B$2:$B$5000, B81, '03_BOC_TACH_VAN'!$K$2:$K$5000)</f>
        <v/>
      </c>
      <c r="K81" s="16">
        <f>SUM(H81:J81)</f>
        <v/>
      </c>
      <c r="L81" s="16">
        <f>(K81-SUMIFS('03_BOC_TACH_VAN'!$K$2:$K$5000, '03_BOC_TACH_VAN'!$B$2:$B$5000, B81, '03_BOC_TACH_VAN'!$D$2:$D$5000, "ĐỘNG_CƠ_VÀ_CẢM_BIẾN"))*0.25</f>
        <v/>
      </c>
      <c r="M81" s="16">
        <f>(K81-SUMIFS('03_BOC_TACH_VAN'!$K$2:$K$5000, '03_BOC_TACH_VAN'!$B$2:$B$5000, B81, '03_BOC_TACH_VAN'!$D$2:$D$5000, "ĐỘNG_CƠ_VÀ_CẢM_BIẾN"))*0.10</f>
        <v/>
      </c>
      <c r="N81" s="16">
        <f>K81+L81+M81</f>
        <v/>
      </c>
      <c r="O81" s="16">
        <f>IF(G81&gt;0, N81/G81, 0)</f>
        <v/>
      </c>
      <c r="P81" s="17" t="n">
        <v>0.18</v>
      </c>
      <c r="Q81" s="16">
        <f>IF(G81&gt;0, ((N81-SUMIFS('03_BOC_TACH_VAN'!$K$2:$K$5000, '03_BOC_TACH_VAN'!$B$2:$B$5000, B81, '03_BOC_TACH_VAN'!$D$2:$D$5000, "ĐỘNG_CƠ_VÀ_CẢM_BIẾN"))*(1+P81)+SUMIFS('03_BOC_TACH_VAN'!$K$2:$K$5000, '03_BOC_TACH_VAN'!$B$2:$B$5000, B81, '03_BOC_TACH_VAN'!$D$2:$D$5000, "ĐỘNG_CƠ_VÀ_CẢM_BIẾN"))/G81, 0)</f>
        <v/>
      </c>
      <c r="R81" s="16">
        <f>G81*Q81</f>
        <v/>
      </c>
      <c r="S81" t="inlineStr">
        <is>
          <t>- Van ngăn cháy động cơ - Tiêu chuẩn EI 90
- 2 đầu bích TDC - Gắn kèm động cơ ON-OFF 5Nm, Hãng KLB
- Sản xuất theo BCTN số 4651/VLXD-TBMT</t>
        </is>
      </c>
    </row>
    <row r="82">
      <c r="A82" t="n">
        <v>81</v>
      </c>
      <c r="B82" t="inlineStr">
        <is>
          <t>SW-DAMPER-081</t>
        </is>
      </c>
      <c r="C82" t="inlineStr">
        <is>
          <t>VAN GIÓ</t>
        </is>
      </c>
      <c r="D82" t="inlineStr">
        <is>
          <t>Van chặn lửa MFD, EI60 MFD 1200x600</t>
        </is>
      </c>
      <c r="E82" t="inlineStr">
        <is>
          <t>1200x600</t>
        </is>
      </c>
      <c r="F82" t="inlineStr">
        <is>
          <t>Cái</t>
        </is>
      </c>
      <c r="G82" s="16" t="n">
        <v>8</v>
      </c>
      <c r="H82" s="16">
        <f>SUMIF('01_BOC_TACH_ONG'!$B$2:$B$5000, B82, '01_BOC_TACH_ONG'!$K$2:$K$5000)</f>
        <v/>
      </c>
      <c r="I82" s="16">
        <f>SUMIF('02_BOC_TACH_CUA'!$B$2:$B$5000, B82, '02_BOC_TACH_CUA'!$K$2:$K$5000)</f>
        <v/>
      </c>
      <c r="J82" s="16">
        <f>SUMIF('03_BOC_TACH_VAN'!$B$2:$B$5000, B82, '03_BOC_TACH_VAN'!$K$2:$K$5000)</f>
        <v/>
      </c>
      <c r="K82" s="16">
        <f>SUM(H82:J82)</f>
        <v/>
      </c>
      <c r="L82" s="16">
        <f>(K82-SUMIFS('03_BOC_TACH_VAN'!$K$2:$K$5000, '03_BOC_TACH_VAN'!$B$2:$B$5000, B82, '03_BOC_TACH_VAN'!$D$2:$D$5000, "ĐỘNG_CƠ_VÀ_CẢM_BIẾN"))*0.25</f>
        <v/>
      </c>
      <c r="M82" s="16">
        <f>(K82-SUMIFS('03_BOC_TACH_VAN'!$K$2:$K$5000, '03_BOC_TACH_VAN'!$B$2:$B$5000, B82, '03_BOC_TACH_VAN'!$D$2:$D$5000, "ĐỘNG_CƠ_VÀ_CẢM_BIẾN"))*0.10</f>
        <v/>
      </c>
      <c r="N82" s="16">
        <f>K82+L82+M82</f>
        <v/>
      </c>
      <c r="O82" s="16">
        <f>IF(G82&gt;0, N82/G82, 0)</f>
        <v/>
      </c>
      <c r="P82" s="17" t="n">
        <v>0.18</v>
      </c>
      <c r="Q82" s="16">
        <f>IF(G82&gt;0, ((N82-SUMIFS('03_BOC_TACH_VAN'!$K$2:$K$5000, '03_BOC_TACH_VAN'!$B$2:$B$5000, B82, '03_BOC_TACH_VAN'!$D$2:$D$5000, "ĐỘNG_CƠ_VÀ_CẢM_BIẾN"))*(1+P82)+SUMIFS('03_BOC_TACH_VAN'!$K$2:$K$5000, '03_BOC_TACH_VAN'!$B$2:$B$5000, B82, '03_BOC_TACH_VAN'!$D$2:$D$5000, "ĐỘNG_CƠ_VÀ_CẢM_BIẾN"))/G82, 0)</f>
        <v/>
      </c>
      <c r="R82" s="16">
        <f>G82*Q82</f>
        <v/>
      </c>
      <c r="S82" t="inlineStr">
        <is>
          <t>- Van ngăn cháy động cơ - Tiêu chuẩn EI 90
- 2 đầu bích TDC - Gắn kèm động cơ ON-OFF 5Nm, Hãng KLB
- Sản xuất theo BCTN số 4651/VLXD-TBMT</t>
        </is>
      </c>
    </row>
    <row r="83">
      <c r="A83" t="n">
        <v>82</v>
      </c>
      <c r="B83" t="inlineStr">
        <is>
          <t>SW-DAMPER-082</t>
        </is>
      </c>
      <c r="C83" t="inlineStr">
        <is>
          <t>VAN GIÓ</t>
        </is>
      </c>
      <c r="D83" t="inlineStr">
        <is>
          <t>Van chặn lửa MFD, EI60 MFD 1250x500</t>
        </is>
      </c>
      <c r="E83" t="inlineStr">
        <is>
          <t>1250x500</t>
        </is>
      </c>
      <c r="F83" t="inlineStr">
        <is>
          <t>Cái</t>
        </is>
      </c>
      <c r="G83" s="16" t="n">
        <v>6</v>
      </c>
      <c r="H83" s="16">
        <f>SUMIF('01_BOC_TACH_ONG'!$B$2:$B$5000, B83, '01_BOC_TACH_ONG'!$K$2:$K$5000)</f>
        <v/>
      </c>
      <c r="I83" s="16">
        <f>SUMIF('02_BOC_TACH_CUA'!$B$2:$B$5000, B83, '02_BOC_TACH_CUA'!$K$2:$K$5000)</f>
        <v/>
      </c>
      <c r="J83" s="16">
        <f>SUMIF('03_BOC_TACH_VAN'!$B$2:$B$5000, B83, '03_BOC_TACH_VAN'!$K$2:$K$5000)</f>
        <v/>
      </c>
      <c r="K83" s="16">
        <f>SUM(H83:J83)</f>
        <v/>
      </c>
      <c r="L83" s="16">
        <f>(K83-SUMIFS('03_BOC_TACH_VAN'!$K$2:$K$5000, '03_BOC_TACH_VAN'!$B$2:$B$5000, B83, '03_BOC_TACH_VAN'!$D$2:$D$5000, "ĐỘNG_CƠ_VÀ_CẢM_BIẾN"))*0.25</f>
        <v/>
      </c>
      <c r="M83" s="16">
        <f>(K83-SUMIFS('03_BOC_TACH_VAN'!$K$2:$K$5000, '03_BOC_TACH_VAN'!$B$2:$B$5000, B83, '03_BOC_TACH_VAN'!$D$2:$D$5000, "ĐỘNG_CƠ_VÀ_CẢM_BIẾN"))*0.10</f>
        <v/>
      </c>
      <c r="N83" s="16">
        <f>K83+L83+M83</f>
        <v/>
      </c>
      <c r="O83" s="16">
        <f>IF(G83&gt;0, N83/G83, 0)</f>
        <v/>
      </c>
      <c r="P83" s="17" t="n">
        <v>0.18</v>
      </c>
      <c r="Q83" s="16">
        <f>IF(G83&gt;0, ((N83-SUMIFS('03_BOC_TACH_VAN'!$K$2:$K$5000, '03_BOC_TACH_VAN'!$B$2:$B$5000, B83, '03_BOC_TACH_VAN'!$D$2:$D$5000, "ĐỘNG_CƠ_VÀ_CẢM_BIẾN"))*(1+P83)+SUMIFS('03_BOC_TACH_VAN'!$K$2:$K$5000, '03_BOC_TACH_VAN'!$B$2:$B$5000, B83, '03_BOC_TACH_VAN'!$D$2:$D$5000, "ĐỘNG_CƠ_VÀ_CẢM_BIẾN"))/G83, 0)</f>
        <v/>
      </c>
      <c r="R83" s="16">
        <f>G83*Q83</f>
        <v/>
      </c>
      <c r="S83" t="inlineStr">
        <is>
          <t>- Van ngăn cháy động cơ - Tiêu chuẩn EI 90
- 2 đầu bích TDC - Gắn kèm động cơ ON-OFF 5Nm, Hãng KLB
- Sản xuất theo BCTN số 4651/VLXD-TBMT</t>
        </is>
      </c>
    </row>
    <row r="84">
      <c r="A84" t="n">
        <v>83</v>
      </c>
      <c r="B84" t="inlineStr">
        <is>
          <t>SW-DAMPER-083</t>
        </is>
      </c>
      <c r="C84" t="inlineStr">
        <is>
          <t>VAN GIÓ</t>
        </is>
      </c>
      <c r="D84" t="inlineStr">
        <is>
          <t>Van chặn lửa MFD, EI60 MFD 1300x400</t>
        </is>
      </c>
      <c r="E84" t="inlineStr">
        <is>
          <t>1300x400</t>
        </is>
      </c>
      <c r="F84" t="inlineStr">
        <is>
          <t>Cái</t>
        </is>
      </c>
      <c r="G84" s="16" t="n">
        <v>4</v>
      </c>
      <c r="H84" s="16">
        <f>SUMIF('01_BOC_TACH_ONG'!$B$2:$B$5000, B84, '01_BOC_TACH_ONG'!$K$2:$K$5000)</f>
        <v/>
      </c>
      <c r="I84" s="16">
        <f>SUMIF('02_BOC_TACH_CUA'!$B$2:$B$5000, B84, '02_BOC_TACH_CUA'!$K$2:$K$5000)</f>
        <v/>
      </c>
      <c r="J84" s="16">
        <f>SUMIF('03_BOC_TACH_VAN'!$B$2:$B$5000, B84, '03_BOC_TACH_VAN'!$K$2:$K$5000)</f>
        <v/>
      </c>
      <c r="K84" s="16">
        <f>SUM(H84:J84)</f>
        <v/>
      </c>
      <c r="L84" s="16">
        <f>(K84-SUMIFS('03_BOC_TACH_VAN'!$K$2:$K$5000, '03_BOC_TACH_VAN'!$B$2:$B$5000, B84, '03_BOC_TACH_VAN'!$D$2:$D$5000, "ĐỘNG_CƠ_VÀ_CẢM_BIẾN"))*0.25</f>
        <v/>
      </c>
      <c r="M84" s="16">
        <f>(K84-SUMIFS('03_BOC_TACH_VAN'!$K$2:$K$5000, '03_BOC_TACH_VAN'!$B$2:$B$5000, B84, '03_BOC_TACH_VAN'!$D$2:$D$5000, "ĐỘNG_CƠ_VÀ_CẢM_BIẾN"))*0.10</f>
        <v/>
      </c>
      <c r="N84" s="16">
        <f>K84+L84+M84</f>
        <v/>
      </c>
      <c r="O84" s="16">
        <f>IF(G84&gt;0, N84/G84, 0)</f>
        <v/>
      </c>
      <c r="P84" s="17" t="n">
        <v>0.18</v>
      </c>
      <c r="Q84" s="16">
        <f>IF(G84&gt;0, ((N84-SUMIFS('03_BOC_TACH_VAN'!$K$2:$K$5000, '03_BOC_TACH_VAN'!$B$2:$B$5000, B84, '03_BOC_TACH_VAN'!$D$2:$D$5000, "ĐỘNG_CƠ_VÀ_CẢM_BIẾN"))*(1+P84)+SUMIFS('03_BOC_TACH_VAN'!$K$2:$K$5000, '03_BOC_TACH_VAN'!$B$2:$B$5000, B84, '03_BOC_TACH_VAN'!$D$2:$D$5000, "ĐỘNG_CƠ_VÀ_CẢM_BIẾN"))/G84, 0)</f>
        <v/>
      </c>
      <c r="R84" s="16">
        <f>G84*Q84</f>
        <v/>
      </c>
      <c r="S84" t="inlineStr">
        <is>
          <t>- Van ngăn cháy động cơ - Tiêu chuẩn EI 90
- 2 đầu bích TDC - Gắn kèm động cơ ON-OFF 5Nm, Hãng KLB
- Sản xuất theo BCTN số 4651/VLXD-TBMT</t>
        </is>
      </c>
    </row>
    <row r="85">
      <c r="A85" t="n">
        <v>84</v>
      </c>
      <c r="B85" t="inlineStr">
        <is>
          <t>SW-DAMPER-084</t>
        </is>
      </c>
      <c r="C85" t="inlineStr">
        <is>
          <t>VAN GIÓ</t>
        </is>
      </c>
      <c r="D85" t="inlineStr">
        <is>
          <t>Van chặn lửa MFD, EI60 MFD 1300x500</t>
        </is>
      </c>
      <c r="E85" t="inlineStr">
        <is>
          <t>1300x500</t>
        </is>
      </c>
      <c r="F85" t="inlineStr">
        <is>
          <t>Cái</t>
        </is>
      </c>
      <c r="G85" s="16" t="n">
        <v>5</v>
      </c>
      <c r="H85" s="16">
        <f>SUMIF('01_BOC_TACH_ONG'!$B$2:$B$5000, B85, '01_BOC_TACH_ONG'!$K$2:$K$5000)</f>
        <v/>
      </c>
      <c r="I85" s="16">
        <f>SUMIF('02_BOC_TACH_CUA'!$B$2:$B$5000, B85, '02_BOC_TACH_CUA'!$K$2:$K$5000)</f>
        <v/>
      </c>
      <c r="J85" s="16">
        <f>SUMIF('03_BOC_TACH_VAN'!$B$2:$B$5000, B85, '03_BOC_TACH_VAN'!$K$2:$K$5000)</f>
        <v/>
      </c>
      <c r="K85" s="16">
        <f>SUM(H85:J85)</f>
        <v/>
      </c>
      <c r="L85" s="16">
        <f>(K85-SUMIFS('03_BOC_TACH_VAN'!$K$2:$K$5000, '03_BOC_TACH_VAN'!$B$2:$B$5000, B85, '03_BOC_TACH_VAN'!$D$2:$D$5000, "ĐỘNG_CƠ_VÀ_CẢM_BIẾN"))*0.25</f>
        <v/>
      </c>
      <c r="M85" s="16">
        <f>(K85-SUMIFS('03_BOC_TACH_VAN'!$K$2:$K$5000, '03_BOC_TACH_VAN'!$B$2:$B$5000, B85, '03_BOC_TACH_VAN'!$D$2:$D$5000, "ĐỘNG_CƠ_VÀ_CẢM_BIẾN"))*0.10</f>
        <v/>
      </c>
      <c r="N85" s="16">
        <f>K85+L85+M85</f>
        <v/>
      </c>
      <c r="O85" s="16">
        <f>IF(G85&gt;0, N85/G85, 0)</f>
        <v/>
      </c>
      <c r="P85" s="17" t="n">
        <v>0.18</v>
      </c>
      <c r="Q85" s="16">
        <f>IF(G85&gt;0, ((N85-SUMIFS('03_BOC_TACH_VAN'!$K$2:$K$5000, '03_BOC_TACH_VAN'!$B$2:$B$5000, B85, '03_BOC_TACH_VAN'!$D$2:$D$5000, "ĐỘNG_CƠ_VÀ_CẢM_BIẾN"))*(1+P85)+SUMIFS('03_BOC_TACH_VAN'!$K$2:$K$5000, '03_BOC_TACH_VAN'!$B$2:$B$5000, B85, '03_BOC_TACH_VAN'!$D$2:$D$5000, "ĐỘNG_CƠ_VÀ_CẢM_BIẾN"))/G85, 0)</f>
        <v/>
      </c>
      <c r="R85" s="16">
        <f>G85*Q85</f>
        <v/>
      </c>
      <c r="S85" t="inlineStr">
        <is>
          <t>- Van ngăn cháy động cơ - Tiêu chuẩn EI 90
- 2 đầu bích TDC - Gắn kèm động cơ ON-OFF 5Nm, Hãng KLB
- Sản xuất theo BCTN số 4651/VLXD-TBMT</t>
        </is>
      </c>
    </row>
    <row r="86">
      <c r="A86" t="n">
        <v>85</v>
      </c>
      <c r="B86" t="inlineStr">
        <is>
          <t>SW-DAMPER-085</t>
        </is>
      </c>
      <c r="C86" t="inlineStr">
        <is>
          <t>VAN GIÓ</t>
        </is>
      </c>
      <c r="D86" t="inlineStr">
        <is>
          <t>Van chặn lửa MFD, EI60 MFD 1300x600</t>
        </is>
      </c>
      <c r="E86" t="inlineStr">
        <is>
          <t>1300x600</t>
        </is>
      </c>
      <c r="F86" t="inlineStr">
        <is>
          <t>Cái</t>
        </is>
      </c>
      <c r="G86" s="16" t="n">
        <v>4</v>
      </c>
      <c r="H86" s="16">
        <f>SUMIF('01_BOC_TACH_ONG'!$B$2:$B$5000, B86, '01_BOC_TACH_ONG'!$K$2:$K$5000)</f>
        <v/>
      </c>
      <c r="I86" s="16">
        <f>SUMIF('02_BOC_TACH_CUA'!$B$2:$B$5000, B86, '02_BOC_TACH_CUA'!$K$2:$K$5000)</f>
        <v/>
      </c>
      <c r="J86" s="16">
        <f>SUMIF('03_BOC_TACH_VAN'!$B$2:$B$5000, B86, '03_BOC_TACH_VAN'!$K$2:$K$5000)</f>
        <v/>
      </c>
      <c r="K86" s="16">
        <f>SUM(H86:J86)</f>
        <v/>
      </c>
      <c r="L86" s="16">
        <f>(K86-SUMIFS('03_BOC_TACH_VAN'!$K$2:$K$5000, '03_BOC_TACH_VAN'!$B$2:$B$5000, B86, '03_BOC_TACH_VAN'!$D$2:$D$5000, "ĐỘNG_CƠ_VÀ_CẢM_BIẾN"))*0.25</f>
        <v/>
      </c>
      <c r="M86" s="16">
        <f>(K86-SUMIFS('03_BOC_TACH_VAN'!$K$2:$K$5000, '03_BOC_TACH_VAN'!$B$2:$B$5000, B86, '03_BOC_TACH_VAN'!$D$2:$D$5000, "ĐỘNG_CƠ_VÀ_CẢM_BIẾN"))*0.10</f>
        <v/>
      </c>
      <c r="N86" s="16">
        <f>K86+L86+M86</f>
        <v/>
      </c>
      <c r="O86" s="16">
        <f>IF(G86&gt;0, N86/G86, 0)</f>
        <v/>
      </c>
      <c r="P86" s="17" t="n">
        <v>0.18</v>
      </c>
      <c r="Q86" s="16">
        <f>IF(G86&gt;0, ((N86-SUMIFS('03_BOC_TACH_VAN'!$K$2:$K$5000, '03_BOC_TACH_VAN'!$B$2:$B$5000, B86, '03_BOC_TACH_VAN'!$D$2:$D$5000, "ĐỘNG_CƠ_VÀ_CẢM_BIẾN"))*(1+P86)+SUMIFS('03_BOC_TACH_VAN'!$K$2:$K$5000, '03_BOC_TACH_VAN'!$B$2:$B$5000, B86, '03_BOC_TACH_VAN'!$D$2:$D$5000, "ĐỘNG_CƠ_VÀ_CẢM_BIẾN"))/G86, 0)</f>
        <v/>
      </c>
      <c r="R86" s="16">
        <f>G86*Q86</f>
        <v/>
      </c>
      <c r="S86" t="inlineStr">
        <is>
          <t>- Van ngăn cháy động cơ - Tiêu chuẩn EI 90
- 2 đầu bích TDC - Gắn kèm động cơ ON-OFF 5Nm, Hãng KLB
- Sản xuất theo BCTN số 4651/VLXD-TBMT</t>
        </is>
      </c>
    </row>
    <row r="87">
      <c r="A87" t="n">
        <v>86</v>
      </c>
      <c r="B87" t="inlineStr">
        <is>
          <t>SW-DAMPER-086</t>
        </is>
      </c>
      <c r="C87" t="inlineStr">
        <is>
          <t>VAN GIÓ</t>
        </is>
      </c>
      <c r="D87" t="inlineStr">
        <is>
          <t>Van chặn lửa MFD, EI60 MFD 1300x650</t>
        </is>
      </c>
      <c r="E87" t="inlineStr">
        <is>
          <t>1300x650</t>
        </is>
      </c>
      <c r="F87" t="inlineStr">
        <is>
          <t>Cái</t>
        </is>
      </c>
      <c r="G87" s="16" t="n">
        <v>6</v>
      </c>
      <c r="H87" s="16">
        <f>SUMIF('01_BOC_TACH_ONG'!$B$2:$B$5000, B87, '01_BOC_TACH_ONG'!$K$2:$K$5000)</f>
        <v/>
      </c>
      <c r="I87" s="16">
        <f>SUMIF('02_BOC_TACH_CUA'!$B$2:$B$5000, B87, '02_BOC_TACH_CUA'!$K$2:$K$5000)</f>
        <v/>
      </c>
      <c r="J87" s="16">
        <f>SUMIF('03_BOC_TACH_VAN'!$B$2:$B$5000, B87, '03_BOC_TACH_VAN'!$K$2:$K$5000)</f>
        <v/>
      </c>
      <c r="K87" s="16">
        <f>SUM(H87:J87)</f>
        <v/>
      </c>
      <c r="L87" s="16">
        <f>(K87-SUMIFS('03_BOC_TACH_VAN'!$K$2:$K$5000, '03_BOC_TACH_VAN'!$B$2:$B$5000, B87, '03_BOC_TACH_VAN'!$D$2:$D$5000, "ĐỘNG_CƠ_VÀ_CẢM_BIẾN"))*0.25</f>
        <v/>
      </c>
      <c r="M87" s="16">
        <f>(K87-SUMIFS('03_BOC_TACH_VAN'!$K$2:$K$5000, '03_BOC_TACH_VAN'!$B$2:$B$5000, B87, '03_BOC_TACH_VAN'!$D$2:$D$5000, "ĐỘNG_CƠ_VÀ_CẢM_BIẾN"))*0.10</f>
        <v/>
      </c>
      <c r="N87" s="16">
        <f>K87+L87+M87</f>
        <v/>
      </c>
      <c r="O87" s="16">
        <f>IF(G87&gt;0, N87/G87, 0)</f>
        <v/>
      </c>
      <c r="P87" s="17" t="n">
        <v>0.18</v>
      </c>
      <c r="Q87" s="16">
        <f>IF(G87&gt;0, ((N87-SUMIFS('03_BOC_TACH_VAN'!$K$2:$K$5000, '03_BOC_TACH_VAN'!$B$2:$B$5000, B87, '03_BOC_TACH_VAN'!$D$2:$D$5000, "ĐỘNG_CƠ_VÀ_CẢM_BIẾN"))*(1+P87)+SUMIFS('03_BOC_TACH_VAN'!$K$2:$K$5000, '03_BOC_TACH_VAN'!$B$2:$B$5000, B87, '03_BOC_TACH_VAN'!$D$2:$D$5000, "ĐỘNG_CƠ_VÀ_CẢM_BIẾN"))/G87, 0)</f>
        <v/>
      </c>
      <c r="R87" s="16">
        <f>G87*Q87</f>
        <v/>
      </c>
      <c r="S87" t="inlineStr">
        <is>
          <t>- Van ngăn cháy động cơ - Tiêu chuẩn EI 90
- 2 đầu bích TDC - Gắn kèm động cơ ON-OFF 5Nm, Hãng KLB
- Sản xuất theo BCTN số 4651/VLXD-TBMT</t>
        </is>
      </c>
    </row>
    <row r="88">
      <c r="A88" t="n">
        <v>87</v>
      </c>
      <c r="B88" t="inlineStr">
        <is>
          <t>SW-DAMPER-087</t>
        </is>
      </c>
      <c r="C88" t="inlineStr">
        <is>
          <t>VAN GIÓ</t>
        </is>
      </c>
      <c r="D88" t="inlineStr">
        <is>
          <t>Van chặn lửa MFD, EI60 MFD 1350x550</t>
        </is>
      </c>
      <c r="E88" t="inlineStr">
        <is>
          <t>1350x550</t>
        </is>
      </c>
      <c r="F88" t="inlineStr">
        <is>
          <t>Cái</t>
        </is>
      </c>
      <c r="G88" s="16" t="n">
        <v>4</v>
      </c>
      <c r="H88" s="16">
        <f>SUMIF('01_BOC_TACH_ONG'!$B$2:$B$5000, B88, '01_BOC_TACH_ONG'!$K$2:$K$5000)</f>
        <v/>
      </c>
      <c r="I88" s="16">
        <f>SUMIF('02_BOC_TACH_CUA'!$B$2:$B$5000, B88, '02_BOC_TACH_CUA'!$K$2:$K$5000)</f>
        <v/>
      </c>
      <c r="J88" s="16">
        <f>SUMIF('03_BOC_TACH_VAN'!$B$2:$B$5000, B88, '03_BOC_TACH_VAN'!$K$2:$K$5000)</f>
        <v/>
      </c>
      <c r="K88" s="16">
        <f>SUM(H88:J88)</f>
        <v/>
      </c>
      <c r="L88" s="16">
        <f>(K88-SUMIFS('03_BOC_TACH_VAN'!$K$2:$K$5000, '03_BOC_TACH_VAN'!$B$2:$B$5000, B88, '03_BOC_TACH_VAN'!$D$2:$D$5000, "ĐỘNG_CƠ_VÀ_CẢM_BIẾN"))*0.25</f>
        <v/>
      </c>
      <c r="M88" s="16">
        <f>(K88-SUMIFS('03_BOC_TACH_VAN'!$K$2:$K$5000, '03_BOC_TACH_VAN'!$B$2:$B$5000, B88, '03_BOC_TACH_VAN'!$D$2:$D$5000, "ĐỘNG_CƠ_VÀ_CẢM_BIẾN"))*0.10</f>
        <v/>
      </c>
      <c r="N88" s="16">
        <f>K88+L88+M88</f>
        <v/>
      </c>
      <c r="O88" s="16">
        <f>IF(G88&gt;0, N88/G88, 0)</f>
        <v/>
      </c>
      <c r="P88" s="17" t="n">
        <v>0.18</v>
      </c>
      <c r="Q88" s="16">
        <f>IF(G88&gt;0, ((N88-SUMIFS('03_BOC_TACH_VAN'!$K$2:$K$5000, '03_BOC_TACH_VAN'!$B$2:$B$5000, B88, '03_BOC_TACH_VAN'!$D$2:$D$5000, "ĐỘNG_CƠ_VÀ_CẢM_BIẾN"))*(1+P88)+SUMIFS('03_BOC_TACH_VAN'!$K$2:$K$5000, '03_BOC_TACH_VAN'!$B$2:$B$5000, B88, '03_BOC_TACH_VAN'!$D$2:$D$5000, "ĐỘNG_CƠ_VÀ_CẢM_BIẾN"))/G88, 0)</f>
        <v/>
      </c>
      <c r="R88" s="16">
        <f>G88*Q88</f>
        <v/>
      </c>
      <c r="S88" t="inlineStr">
        <is>
          <t>- Van ngăn cháy động cơ - Tiêu chuẩn EI 90
- 2 đầu bích TDC - Gắn kèm động cơ ON-OFF 5Nm, Hãng KLB
- Sản xuất theo BCTN số 4651/VLXD-TBMT</t>
        </is>
      </c>
    </row>
    <row r="89">
      <c r="A89" t="n">
        <v>88</v>
      </c>
      <c r="B89" t="inlineStr">
        <is>
          <t>SW-DAMPER-088</t>
        </is>
      </c>
      <c r="C89" t="inlineStr">
        <is>
          <t>VAN GIÓ</t>
        </is>
      </c>
      <c r="D89" t="inlineStr">
        <is>
          <t>Van chặn lửa MFD, EI60 MFD 1350x600</t>
        </is>
      </c>
      <c r="E89" t="inlineStr">
        <is>
          <t>1350x600</t>
        </is>
      </c>
      <c r="F89" t="inlineStr">
        <is>
          <t>Cái</t>
        </is>
      </c>
      <c r="G89" s="16" t="n">
        <v>8</v>
      </c>
      <c r="H89" s="16">
        <f>SUMIF('01_BOC_TACH_ONG'!$B$2:$B$5000, B89, '01_BOC_TACH_ONG'!$K$2:$K$5000)</f>
        <v/>
      </c>
      <c r="I89" s="16">
        <f>SUMIF('02_BOC_TACH_CUA'!$B$2:$B$5000, B89, '02_BOC_TACH_CUA'!$K$2:$K$5000)</f>
        <v/>
      </c>
      <c r="J89" s="16">
        <f>SUMIF('03_BOC_TACH_VAN'!$B$2:$B$5000, B89, '03_BOC_TACH_VAN'!$K$2:$K$5000)</f>
        <v/>
      </c>
      <c r="K89" s="16">
        <f>SUM(H89:J89)</f>
        <v/>
      </c>
      <c r="L89" s="16">
        <f>(K89-SUMIFS('03_BOC_TACH_VAN'!$K$2:$K$5000, '03_BOC_TACH_VAN'!$B$2:$B$5000, B89, '03_BOC_TACH_VAN'!$D$2:$D$5000, "ĐỘNG_CƠ_VÀ_CẢM_BIẾN"))*0.25</f>
        <v/>
      </c>
      <c r="M89" s="16">
        <f>(K89-SUMIFS('03_BOC_TACH_VAN'!$K$2:$K$5000, '03_BOC_TACH_VAN'!$B$2:$B$5000, B89, '03_BOC_TACH_VAN'!$D$2:$D$5000, "ĐỘNG_CƠ_VÀ_CẢM_BIẾN"))*0.10</f>
        <v/>
      </c>
      <c r="N89" s="16">
        <f>K89+L89+M89</f>
        <v/>
      </c>
      <c r="O89" s="16">
        <f>IF(G89&gt;0, N89/G89, 0)</f>
        <v/>
      </c>
      <c r="P89" s="17" t="n">
        <v>0.18</v>
      </c>
      <c r="Q89" s="16">
        <f>IF(G89&gt;0, ((N89-SUMIFS('03_BOC_TACH_VAN'!$K$2:$K$5000, '03_BOC_TACH_VAN'!$B$2:$B$5000, B89, '03_BOC_TACH_VAN'!$D$2:$D$5000, "ĐỘNG_CƠ_VÀ_CẢM_BIẾN"))*(1+P89)+SUMIFS('03_BOC_TACH_VAN'!$K$2:$K$5000, '03_BOC_TACH_VAN'!$B$2:$B$5000, B89, '03_BOC_TACH_VAN'!$D$2:$D$5000, "ĐỘNG_CƠ_VÀ_CẢM_BIẾN"))/G89, 0)</f>
        <v/>
      </c>
      <c r="R89" s="16">
        <f>G89*Q89</f>
        <v/>
      </c>
      <c r="S89" t="inlineStr">
        <is>
          <t>- Van ngăn cháy động cơ - Tiêu chuẩn EI 90
- 2 đầu bích TDC - Gắn kèm động cơ ON-OFF 5Nm, Hãng KLB
- Sản xuất theo BCTN số 4651/VLXD-TBMT</t>
        </is>
      </c>
    </row>
    <row r="90">
      <c r="A90" t="n">
        <v>89</v>
      </c>
      <c r="B90" t="inlineStr">
        <is>
          <t>SW-DIFF-089</t>
        </is>
      </c>
      <c r="C90" t="inlineStr">
        <is>
          <t>CỬA GIÓ</t>
        </is>
      </c>
      <c r="D90" t="inlineStr">
        <is>
          <t>Miệng gió hút khói, bù gió Miệng gió hút khói: SEG 800x400 + OBD
Kèm box gió</t>
        </is>
      </c>
      <c r="E90" t="inlineStr">
        <is>
          <t>800x400</t>
        </is>
      </c>
      <c r="F90" t="inlineStr">
        <is>
          <t>Bộ</t>
        </is>
      </c>
      <c r="G90" s="16" t="n">
        <v>666</v>
      </c>
      <c r="H90" s="16">
        <f>SUMIF('01_BOC_TACH_ONG'!$B$2:$B$5000, B90, '01_BOC_TACH_ONG'!$K$2:$K$5000)</f>
        <v/>
      </c>
      <c r="I90" s="16">
        <f>SUMIF('02_BOC_TACH_CUA'!$B$2:$B$5000, B90, '02_BOC_TACH_CUA'!$K$2:$K$5000)</f>
        <v/>
      </c>
      <c r="J90" s="16">
        <f>SUMIF('03_BOC_TACH_VAN'!$B$2:$B$5000, B90, '03_BOC_TACH_VAN'!$K$2:$K$5000)</f>
        <v/>
      </c>
      <c r="K90" s="16">
        <f>SUM(H90:J90)</f>
        <v/>
      </c>
      <c r="L90" s="16">
        <f>(K90-SUMIFS('03_BOC_TACH_VAN'!$K$2:$K$5000, '03_BOC_TACH_VAN'!$B$2:$B$5000, B90, '03_BOC_TACH_VAN'!$D$2:$D$5000, "ĐỘNG_CƠ_VÀ_CẢM_BIẾN"))*0.25</f>
        <v/>
      </c>
      <c r="M90" s="16">
        <f>(K90-SUMIFS('03_BOC_TACH_VAN'!$K$2:$K$5000, '03_BOC_TACH_VAN'!$B$2:$B$5000, B90, '03_BOC_TACH_VAN'!$D$2:$D$5000, "ĐỘNG_CƠ_VÀ_CẢM_BIẾN"))*0.10</f>
        <v/>
      </c>
      <c r="N90" s="16">
        <f>K90+L90+M90</f>
        <v/>
      </c>
      <c r="O90" s="16">
        <f>IF(G90&gt;0, N90/G90, 0)</f>
        <v/>
      </c>
      <c r="P90" s="17" t="n">
        <v>0.18</v>
      </c>
      <c r="Q90" s="16">
        <f>IF(G90&gt;0, ((N90-SUMIFS('03_BOC_TACH_VAN'!$K$2:$K$5000, '03_BOC_TACH_VAN'!$B$2:$B$5000, B90, '03_BOC_TACH_VAN'!$D$2:$D$5000, "ĐỘNG_CƠ_VÀ_CẢM_BIẾN"))*(1+P90)+SUMIFS('03_BOC_TACH_VAN'!$K$2:$K$5000, '03_BOC_TACH_VAN'!$B$2:$B$5000, B90, '03_BOC_TACH_VAN'!$D$2:$D$5000, "ĐỘNG_CƠ_VÀ_CẢM_BIẾN"))/G90, 0)</f>
        <v/>
      </c>
      <c r="R90" s="16">
        <f>G90*Q90</f>
        <v/>
      </c>
      <c r="S90" t="inlineStr">
        <is>
          <t>Cửa nan thẳng bầu dục kèm van OBD (tăng áp / hút khói). Không tính box do nhà thầu tự thi công</t>
        </is>
      </c>
    </row>
    <row r="91">
      <c r="A91" t="n">
        <v>90</v>
      </c>
      <c r="B91" t="inlineStr">
        <is>
          <t>SW-DIFF-090</t>
        </is>
      </c>
      <c r="C91" t="inlineStr">
        <is>
          <t>CỬA GIÓ</t>
        </is>
      </c>
      <c r="D91" t="inlineStr">
        <is>
          <t>Miệng gió hút khói, bù gió Miệng cấp khí bù: FAG 800x400
Kèm box gió</t>
        </is>
      </c>
      <c r="E91" t="inlineStr">
        <is>
          <t>800x400</t>
        </is>
      </c>
      <c r="F91" t="inlineStr">
        <is>
          <t>Bộ</t>
        </is>
      </c>
      <c r="G91" s="16" t="n">
        <v>2</v>
      </c>
      <c r="H91" s="16">
        <f>SUMIF('01_BOC_TACH_ONG'!$B$2:$B$5000, B91, '01_BOC_TACH_ONG'!$K$2:$K$5000)</f>
        <v/>
      </c>
      <c r="I91" s="16">
        <f>SUMIF('02_BOC_TACH_CUA'!$B$2:$B$5000, B91, '02_BOC_TACH_CUA'!$K$2:$K$5000)</f>
        <v/>
      </c>
      <c r="J91" s="16">
        <f>SUMIF('03_BOC_TACH_VAN'!$B$2:$B$5000, B91, '03_BOC_TACH_VAN'!$K$2:$K$5000)</f>
        <v/>
      </c>
      <c r="K91" s="16">
        <f>SUM(H91:J91)</f>
        <v/>
      </c>
      <c r="L91" s="16">
        <f>(K91-SUMIFS('03_BOC_TACH_VAN'!$K$2:$K$5000, '03_BOC_TACH_VAN'!$B$2:$B$5000, B91, '03_BOC_TACH_VAN'!$D$2:$D$5000, "ĐỘNG_CƠ_VÀ_CẢM_BIẾN"))*0.25</f>
        <v/>
      </c>
      <c r="M91" s="16">
        <f>(K91-SUMIFS('03_BOC_TACH_VAN'!$K$2:$K$5000, '03_BOC_TACH_VAN'!$B$2:$B$5000, B91, '03_BOC_TACH_VAN'!$D$2:$D$5000, "ĐỘNG_CƠ_VÀ_CẢM_BIẾN"))*0.10</f>
        <v/>
      </c>
      <c r="N91" s="16">
        <f>K91+L91+M91</f>
        <v/>
      </c>
      <c r="O91" s="16">
        <f>IF(G91&gt;0, N91/G91, 0)</f>
        <v/>
      </c>
      <c r="P91" s="17" t="n">
        <v>0.18</v>
      </c>
      <c r="Q91" s="16">
        <f>IF(G91&gt;0, ((N91-SUMIFS('03_BOC_TACH_VAN'!$K$2:$K$5000, '03_BOC_TACH_VAN'!$B$2:$B$5000, B91, '03_BOC_TACH_VAN'!$D$2:$D$5000, "ĐỘNG_CƠ_VÀ_CẢM_BIẾN"))*(1+P91)+SUMIFS('03_BOC_TACH_VAN'!$K$2:$K$5000, '03_BOC_TACH_VAN'!$B$2:$B$5000, B91, '03_BOC_TACH_VAN'!$D$2:$D$5000, "ĐỘNG_CƠ_VÀ_CẢM_BIẾN"))/G91, 0)</f>
        <v/>
      </c>
      <c r="R91" s="16">
        <f>G91*Q91</f>
        <v/>
      </c>
      <c r="S91" t="inlineStr">
        <is>
          <t>Cửa nan bầu dục 1 lớp. Không tính box do nhà thầu tự thi công</t>
        </is>
      </c>
    </row>
    <row r="92">
      <c r="A92" t="n">
        <v>91</v>
      </c>
      <c r="B92" t="inlineStr">
        <is>
          <t>SW-DIFF-091</t>
        </is>
      </c>
      <c r="C92" t="inlineStr">
        <is>
          <t>CỬA GIÓ</t>
        </is>
      </c>
      <c r="D92" t="inlineStr">
        <is>
          <t>Miệng gió hút khói, bù gió Miệng cấp khí bù: FAG 700x500
Kèm box gió</t>
        </is>
      </c>
      <c r="E92" t="inlineStr">
        <is>
          <t>700x500</t>
        </is>
      </c>
      <c r="F92" t="inlineStr">
        <is>
          <t>Bộ</t>
        </is>
      </c>
      <c r="G92" s="16" t="n">
        <v>1</v>
      </c>
      <c r="H92" s="16">
        <f>SUMIF('01_BOC_TACH_ONG'!$B$2:$B$5000, B92, '01_BOC_TACH_ONG'!$K$2:$K$5000)</f>
        <v/>
      </c>
      <c r="I92" s="16">
        <f>SUMIF('02_BOC_TACH_CUA'!$B$2:$B$5000, B92, '02_BOC_TACH_CUA'!$K$2:$K$5000)</f>
        <v/>
      </c>
      <c r="J92" s="16">
        <f>SUMIF('03_BOC_TACH_VAN'!$B$2:$B$5000, B92, '03_BOC_TACH_VAN'!$K$2:$K$5000)</f>
        <v/>
      </c>
      <c r="K92" s="16">
        <f>SUM(H92:J92)</f>
        <v/>
      </c>
      <c r="L92" s="16">
        <f>(K92-SUMIFS('03_BOC_TACH_VAN'!$K$2:$K$5000, '03_BOC_TACH_VAN'!$B$2:$B$5000, B92, '03_BOC_TACH_VAN'!$D$2:$D$5000, "ĐỘNG_CƠ_VÀ_CẢM_BIẾN"))*0.25</f>
        <v/>
      </c>
      <c r="M92" s="16">
        <f>(K92-SUMIFS('03_BOC_TACH_VAN'!$K$2:$K$5000, '03_BOC_TACH_VAN'!$B$2:$B$5000, B92, '03_BOC_TACH_VAN'!$D$2:$D$5000, "ĐỘNG_CƠ_VÀ_CẢM_BIẾN"))*0.10</f>
        <v/>
      </c>
      <c r="N92" s="16">
        <f>K92+L92+M92</f>
        <v/>
      </c>
      <c r="O92" s="16">
        <f>IF(G92&gt;0, N92/G92, 0)</f>
        <v/>
      </c>
      <c r="P92" s="17" t="n">
        <v>0.18</v>
      </c>
      <c r="Q92" s="16">
        <f>IF(G92&gt;0, ((N92-SUMIFS('03_BOC_TACH_VAN'!$K$2:$K$5000, '03_BOC_TACH_VAN'!$B$2:$B$5000, B92, '03_BOC_TACH_VAN'!$D$2:$D$5000, "ĐỘNG_CƠ_VÀ_CẢM_BIẾN"))*(1+P92)+SUMIFS('03_BOC_TACH_VAN'!$K$2:$K$5000, '03_BOC_TACH_VAN'!$B$2:$B$5000, B92, '03_BOC_TACH_VAN'!$D$2:$D$5000, "ĐỘNG_CƠ_VÀ_CẢM_BIẾN"))/G92, 0)</f>
        <v/>
      </c>
      <c r="R92" s="16">
        <f>G92*Q92</f>
        <v/>
      </c>
      <c r="S92" t="inlineStr">
        <is>
          <t>Cửa nan bầu dục 1 lớp. Không tính box do nhà thầu tự thi công</t>
        </is>
      </c>
    </row>
    <row r="93">
      <c r="A93" t="n">
        <v>92</v>
      </c>
      <c r="B93" t="inlineStr">
        <is>
          <t>SW-DIFF-092</t>
        </is>
      </c>
      <c r="C93" t="inlineStr">
        <is>
          <t>CỬA GIÓ</t>
        </is>
      </c>
      <c r="D93" t="inlineStr">
        <is>
          <t>Miệng cấp khí bù cơ chế tự nhiên FAG 1200x300</t>
        </is>
      </c>
      <c r="E93" t="inlineStr">
        <is>
          <t>1200x300</t>
        </is>
      </c>
      <c r="F93" t="inlineStr">
        <is>
          <t>Bộ</t>
        </is>
      </c>
      <c r="G93" s="16" t="n">
        <v>330</v>
      </c>
      <c r="H93" s="16">
        <f>SUMIF('01_BOC_TACH_ONG'!$B$2:$B$5000, B93, '01_BOC_TACH_ONG'!$K$2:$K$5000)</f>
        <v/>
      </c>
      <c r="I93" s="16">
        <f>SUMIF('02_BOC_TACH_CUA'!$B$2:$B$5000, B93, '02_BOC_TACH_CUA'!$K$2:$K$5000)</f>
        <v/>
      </c>
      <c r="J93" s="16">
        <f>SUMIF('03_BOC_TACH_VAN'!$B$2:$B$5000, B93, '03_BOC_TACH_VAN'!$K$2:$K$5000)</f>
        <v/>
      </c>
      <c r="K93" s="16">
        <f>SUM(H93:J93)</f>
        <v/>
      </c>
      <c r="L93" s="16">
        <f>(K93-SUMIFS('03_BOC_TACH_VAN'!$K$2:$K$5000, '03_BOC_TACH_VAN'!$B$2:$B$5000, B93, '03_BOC_TACH_VAN'!$D$2:$D$5000, "ĐỘNG_CƠ_VÀ_CẢM_BIẾN"))*0.25</f>
        <v/>
      </c>
      <c r="M93" s="16">
        <f>(K93-SUMIFS('03_BOC_TACH_VAN'!$K$2:$K$5000, '03_BOC_TACH_VAN'!$B$2:$B$5000, B93, '03_BOC_TACH_VAN'!$D$2:$D$5000, "ĐỘNG_CƠ_VÀ_CẢM_BIẾN"))*0.10</f>
        <v/>
      </c>
      <c r="N93" s="16">
        <f>K93+L93+M93</f>
        <v/>
      </c>
      <c r="O93" s="16">
        <f>IF(G93&gt;0, N93/G93, 0)</f>
        <v/>
      </c>
      <c r="P93" s="17" t="n">
        <v>0.18</v>
      </c>
      <c r="Q93" s="16">
        <f>IF(G93&gt;0, ((N93-SUMIFS('03_BOC_TACH_VAN'!$K$2:$K$5000, '03_BOC_TACH_VAN'!$B$2:$B$5000, B93, '03_BOC_TACH_VAN'!$D$2:$D$5000, "ĐỘNG_CƠ_VÀ_CẢM_BIẾN"))*(1+P93)+SUMIFS('03_BOC_TACH_VAN'!$K$2:$K$5000, '03_BOC_TACH_VAN'!$B$2:$B$5000, B93, '03_BOC_TACH_VAN'!$D$2:$D$5000, "ĐỘNG_CƠ_VÀ_CẢM_BIẾN"))/G93, 0)</f>
        <v/>
      </c>
      <c r="R93" s="16">
        <f>G93*Q93</f>
        <v/>
      </c>
      <c r="S93" t="inlineStr">
        <is>
          <t>Cửa nan bầu dục 1 lớp</t>
        </is>
      </c>
    </row>
    <row r="94">
      <c r="A94" t="n">
        <v>93</v>
      </c>
      <c r="B94" t="inlineStr">
        <is>
          <t>SW-DAMPER-093</t>
        </is>
      </c>
      <c r="C94" t="inlineStr">
        <is>
          <t>VAN GIÓ</t>
        </is>
      </c>
      <c r="D94" t="inlineStr">
        <is>
          <t>Van chặn lửa điện từ MDF, EI30 Van MFD 800x300</t>
        </is>
      </c>
      <c r="E94" t="inlineStr">
        <is>
          <t>800x300</t>
        </is>
      </c>
      <c r="F94" t="inlineStr">
        <is>
          <t>Bộ</t>
        </is>
      </c>
      <c r="G94" s="16" t="n">
        <v>396</v>
      </c>
      <c r="H94" s="16">
        <f>SUMIF('01_BOC_TACH_ONG'!$B$2:$B$5000, B94, '01_BOC_TACH_ONG'!$K$2:$K$5000)</f>
        <v/>
      </c>
      <c r="I94" s="16">
        <f>SUMIF('02_BOC_TACH_CUA'!$B$2:$B$5000, B94, '02_BOC_TACH_CUA'!$K$2:$K$5000)</f>
        <v/>
      </c>
      <c r="J94" s="16">
        <f>SUMIF('03_BOC_TACH_VAN'!$B$2:$B$5000, B94, '03_BOC_TACH_VAN'!$K$2:$K$5000)</f>
        <v/>
      </c>
      <c r="K94" s="16">
        <f>SUM(H94:J94)</f>
        <v/>
      </c>
      <c r="L94" s="16">
        <f>(K94-SUMIFS('03_BOC_TACH_VAN'!$K$2:$K$5000, '03_BOC_TACH_VAN'!$B$2:$B$5000, B94, '03_BOC_TACH_VAN'!$D$2:$D$5000, "ĐỘNG_CƠ_VÀ_CẢM_BIẾN"))*0.25</f>
        <v/>
      </c>
      <c r="M94" s="16">
        <f>(K94-SUMIFS('03_BOC_TACH_VAN'!$K$2:$K$5000, '03_BOC_TACH_VAN'!$B$2:$B$5000, B94, '03_BOC_TACH_VAN'!$D$2:$D$5000, "ĐỘNG_CƠ_VÀ_CẢM_BIẾN"))*0.10</f>
        <v/>
      </c>
      <c r="N94" s="16">
        <f>K94+L94+M94</f>
        <v/>
      </c>
      <c r="O94" s="16">
        <f>IF(G94&gt;0, N94/G94, 0)</f>
        <v/>
      </c>
      <c r="P94" s="17" t="n">
        <v>0.18</v>
      </c>
      <c r="Q94" s="16">
        <f>IF(G94&gt;0, ((N94-SUMIFS('03_BOC_TACH_VAN'!$K$2:$K$5000, '03_BOC_TACH_VAN'!$B$2:$B$5000, B94, '03_BOC_TACH_VAN'!$D$2:$D$5000, "ĐỘNG_CƠ_VÀ_CẢM_BIẾN"))*(1+P94)+SUMIFS('03_BOC_TACH_VAN'!$K$2:$K$5000, '03_BOC_TACH_VAN'!$B$2:$B$5000, B94, '03_BOC_TACH_VAN'!$D$2:$D$5000, "ĐỘNG_CƠ_VÀ_CẢM_BIẾN"))/G94, 0)</f>
        <v/>
      </c>
      <c r="R94" s="16">
        <f>G94*Q94</f>
        <v/>
      </c>
      <c r="S94" t="inlineStr">
        <is>
          <t>- Van ngăn cháy động cơ - Tiêu chuẩn EI 90
- 2 đầu bích TDC - Gắn kèm động cơ ON-OFF 5Nm, Hãng KLB
- Sản xuất theo BCTN số 4651/VLXD-TBMT</t>
        </is>
      </c>
    </row>
    <row r="95">
      <c r="A95" t="n">
        <v>94</v>
      </c>
      <c r="B95" t="inlineStr">
        <is>
          <t>SW-DAMPER-094</t>
        </is>
      </c>
      <c r="C95" t="inlineStr">
        <is>
          <t>VAN GIÓ</t>
        </is>
      </c>
      <c r="D95" t="inlineStr">
        <is>
          <t>Van chặn lửa điện từ MDF, EI30 Van MFD 800x400</t>
        </is>
      </c>
      <c r="E95" t="inlineStr">
        <is>
          <t>800x400</t>
        </is>
      </c>
      <c r="F95" t="inlineStr">
        <is>
          <t>Bộ</t>
        </is>
      </c>
      <c r="G95" s="16" t="n">
        <v>135</v>
      </c>
      <c r="H95" s="16">
        <f>SUMIF('01_BOC_TACH_ONG'!$B$2:$B$5000, B95, '01_BOC_TACH_ONG'!$K$2:$K$5000)</f>
        <v/>
      </c>
      <c r="I95" s="16">
        <f>SUMIF('02_BOC_TACH_CUA'!$B$2:$B$5000, B95, '02_BOC_TACH_CUA'!$K$2:$K$5000)</f>
        <v/>
      </c>
      <c r="J95" s="16">
        <f>SUMIF('03_BOC_TACH_VAN'!$B$2:$B$5000, B95, '03_BOC_TACH_VAN'!$K$2:$K$5000)</f>
        <v/>
      </c>
      <c r="K95" s="16">
        <f>SUM(H95:J95)</f>
        <v/>
      </c>
      <c r="L95" s="16">
        <f>(K95-SUMIFS('03_BOC_TACH_VAN'!$K$2:$K$5000, '03_BOC_TACH_VAN'!$B$2:$B$5000, B95, '03_BOC_TACH_VAN'!$D$2:$D$5000, "ĐỘNG_CƠ_VÀ_CẢM_BIẾN"))*0.25</f>
        <v/>
      </c>
      <c r="M95" s="16">
        <f>(K95-SUMIFS('03_BOC_TACH_VAN'!$K$2:$K$5000, '03_BOC_TACH_VAN'!$B$2:$B$5000, B95, '03_BOC_TACH_VAN'!$D$2:$D$5000, "ĐỘNG_CƠ_VÀ_CẢM_BIẾN"))*0.10</f>
        <v/>
      </c>
      <c r="N95" s="16">
        <f>K95+L95+M95</f>
        <v/>
      </c>
      <c r="O95" s="16">
        <f>IF(G95&gt;0, N95/G95, 0)</f>
        <v/>
      </c>
      <c r="P95" s="17" t="n">
        <v>0.18</v>
      </c>
      <c r="Q95" s="16">
        <f>IF(G95&gt;0, ((N95-SUMIFS('03_BOC_TACH_VAN'!$K$2:$K$5000, '03_BOC_TACH_VAN'!$B$2:$B$5000, B95, '03_BOC_TACH_VAN'!$D$2:$D$5000, "ĐỘNG_CƠ_VÀ_CẢM_BIẾN"))*(1+P95)+SUMIFS('03_BOC_TACH_VAN'!$K$2:$K$5000, '03_BOC_TACH_VAN'!$B$2:$B$5000, B95, '03_BOC_TACH_VAN'!$D$2:$D$5000, "ĐỘNG_CƠ_VÀ_CẢM_BIẾN"))/G95, 0)</f>
        <v/>
      </c>
      <c r="R95" s="16">
        <f>G95*Q95</f>
        <v/>
      </c>
      <c r="S95" t="inlineStr">
        <is>
          <t>- Van ngăn cháy động cơ - Tiêu chuẩn EI 90
- 2 đầu bích TDC - Gắn kèm động cơ ON-OFF 5Nm, Hãng KLB
- Sản xuất theo BCTN số 4651/VLXD-TBMT</t>
        </is>
      </c>
    </row>
    <row r="96">
      <c r="A96" t="n">
        <v>95</v>
      </c>
      <c r="B96" t="inlineStr">
        <is>
          <t>SW-DIFF-095</t>
        </is>
      </c>
      <c r="C96" t="inlineStr">
        <is>
          <t>CỬA GIÓ</t>
        </is>
      </c>
      <c r="D96" t="inlineStr">
        <is>
          <t>Louver cấp khí tươi FAL + LCCT 1100x300
Kèm box gió</t>
        </is>
      </c>
      <c r="E96" t="inlineStr">
        <is>
          <t>1100x300</t>
        </is>
      </c>
      <c r="F96" t="inlineStr">
        <is>
          <t>Bộ</t>
        </is>
      </c>
      <c r="G96" s="16" t="n">
        <v>2</v>
      </c>
      <c r="H96" s="16">
        <f>SUMIF('01_BOC_TACH_ONG'!$B$2:$B$5000, B96, '01_BOC_TACH_ONG'!$K$2:$K$5000)</f>
        <v/>
      </c>
      <c r="I96" s="16">
        <f>SUMIF('02_BOC_TACH_CUA'!$B$2:$B$5000, B96, '02_BOC_TACH_CUA'!$K$2:$K$5000)</f>
        <v/>
      </c>
      <c r="J96" s="16">
        <f>SUMIF('03_BOC_TACH_VAN'!$B$2:$B$5000, B96, '03_BOC_TACH_VAN'!$K$2:$K$5000)</f>
        <v/>
      </c>
      <c r="K96" s="16">
        <f>SUM(H96:J96)</f>
        <v/>
      </c>
      <c r="L96" s="16">
        <f>(K96-SUMIFS('03_BOC_TACH_VAN'!$K$2:$K$5000, '03_BOC_TACH_VAN'!$B$2:$B$5000, B96, '03_BOC_TACH_VAN'!$D$2:$D$5000, "ĐỘNG_CƠ_VÀ_CẢM_BIẾN"))*0.25</f>
        <v/>
      </c>
      <c r="M96" s="16">
        <f>(K96-SUMIFS('03_BOC_TACH_VAN'!$K$2:$K$5000, '03_BOC_TACH_VAN'!$B$2:$B$5000, B96, '03_BOC_TACH_VAN'!$D$2:$D$5000, "ĐỘNG_CƠ_VÀ_CẢM_BIẾN"))*0.10</f>
        <v/>
      </c>
      <c r="N96" s="16">
        <f>K96+L96+M96</f>
        <v/>
      </c>
      <c r="O96" s="16">
        <f>IF(G96&gt;0, N96/G96, 0)</f>
        <v/>
      </c>
      <c r="P96" s="17" t="n">
        <v>0.18</v>
      </c>
      <c r="Q96" s="16">
        <f>IF(G96&gt;0, ((N96-SUMIFS('03_BOC_TACH_VAN'!$K$2:$K$5000, '03_BOC_TACH_VAN'!$B$2:$B$5000, B96, '03_BOC_TACH_VAN'!$D$2:$D$5000, "ĐỘNG_CƠ_VÀ_CẢM_BIẾN"))*(1+P96)+SUMIFS('03_BOC_TACH_VAN'!$K$2:$K$5000, '03_BOC_TACH_VAN'!$B$2:$B$5000, B96, '03_BOC_TACH_VAN'!$D$2:$D$5000, "ĐỘNG_CƠ_VÀ_CẢM_BIẾN"))/G96, 0)</f>
        <v/>
      </c>
      <c r="R96" s="16">
        <f>G96*Q96</f>
        <v/>
      </c>
      <c r="S96" t="inlineStr">
        <is>
          <t>Louver nan Z ngoài trời kèm lưới chắn côn trùng Inox 304. Không tính box do nhà thầu tự thi công</t>
        </is>
      </c>
    </row>
    <row r="97">
      <c r="A97" t="n">
        <v>96</v>
      </c>
      <c r="B97" t="inlineStr">
        <is>
          <t>SW-DIFF-096</t>
        </is>
      </c>
      <c r="C97" t="inlineStr">
        <is>
          <t>CỬA GIÓ</t>
        </is>
      </c>
      <c r="D97" t="inlineStr">
        <is>
          <t>Louver cấp khí tươi FAL + LCCT 1200x400
Kèm box gió</t>
        </is>
      </c>
      <c r="E97" t="inlineStr">
        <is>
          <t>1200x400</t>
        </is>
      </c>
      <c r="F97" t="inlineStr">
        <is>
          <t>Bộ</t>
        </is>
      </c>
      <c r="G97" s="16" t="n">
        <v>1</v>
      </c>
      <c r="H97" s="16">
        <f>SUMIF('01_BOC_TACH_ONG'!$B$2:$B$5000, B97, '01_BOC_TACH_ONG'!$K$2:$K$5000)</f>
        <v/>
      </c>
      <c r="I97" s="16">
        <f>SUMIF('02_BOC_TACH_CUA'!$B$2:$B$5000, B97, '02_BOC_TACH_CUA'!$K$2:$K$5000)</f>
        <v/>
      </c>
      <c r="J97" s="16">
        <f>SUMIF('03_BOC_TACH_VAN'!$B$2:$B$5000, B97, '03_BOC_TACH_VAN'!$K$2:$K$5000)</f>
        <v/>
      </c>
      <c r="K97" s="16">
        <f>SUM(H97:J97)</f>
        <v/>
      </c>
      <c r="L97" s="16">
        <f>(K97-SUMIFS('03_BOC_TACH_VAN'!$K$2:$K$5000, '03_BOC_TACH_VAN'!$B$2:$B$5000, B97, '03_BOC_TACH_VAN'!$D$2:$D$5000, "ĐỘNG_CƠ_VÀ_CẢM_BIẾN"))*0.25</f>
        <v/>
      </c>
      <c r="M97" s="16">
        <f>(K97-SUMIFS('03_BOC_TACH_VAN'!$K$2:$K$5000, '03_BOC_TACH_VAN'!$B$2:$B$5000, B97, '03_BOC_TACH_VAN'!$D$2:$D$5000, "ĐỘNG_CƠ_VÀ_CẢM_BIẾN"))*0.10</f>
        <v/>
      </c>
      <c r="N97" s="16">
        <f>K97+L97+M97</f>
        <v/>
      </c>
      <c r="O97" s="16">
        <f>IF(G97&gt;0, N97/G97, 0)</f>
        <v/>
      </c>
      <c r="P97" s="17" t="n">
        <v>0.18</v>
      </c>
      <c r="Q97" s="16">
        <f>IF(G97&gt;0, ((N97-SUMIFS('03_BOC_TACH_VAN'!$K$2:$K$5000, '03_BOC_TACH_VAN'!$B$2:$B$5000, B97, '03_BOC_TACH_VAN'!$D$2:$D$5000, "ĐỘNG_CƠ_VÀ_CẢM_BIẾN"))*(1+P97)+SUMIFS('03_BOC_TACH_VAN'!$K$2:$K$5000, '03_BOC_TACH_VAN'!$B$2:$B$5000, B97, '03_BOC_TACH_VAN'!$D$2:$D$5000, "ĐỘNG_CƠ_VÀ_CẢM_BIẾN"))/G97, 0)</f>
        <v/>
      </c>
      <c r="R97" s="16">
        <f>G97*Q97</f>
        <v/>
      </c>
      <c r="S97" t="inlineStr">
        <is>
          <t>Louver nan Z ngoài trời kèm lưới chắn côn trùng Inox 304. Không tính box do nhà thầu tự thi công</t>
        </is>
      </c>
    </row>
    <row r="98">
      <c r="A98" t="n">
        <v>97</v>
      </c>
      <c r="B98" t="inlineStr">
        <is>
          <t>SW-DIFF-097</t>
        </is>
      </c>
      <c r="C98" t="inlineStr">
        <is>
          <t>CỬA GIÓ</t>
        </is>
      </c>
      <c r="D98" t="inlineStr">
        <is>
          <t>Lưới chắn côn trùng LCCT 600x600</t>
        </is>
      </c>
      <c r="E98" t="inlineStr">
        <is>
          <t>600x600</t>
        </is>
      </c>
      <c r="F98" t="inlineStr">
        <is>
          <t>Cái</t>
        </is>
      </c>
      <c r="G98" s="16" t="n">
        <v>18</v>
      </c>
      <c r="H98" s="16">
        <f>SUMIF('01_BOC_TACH_ONG'!$B$2:$B$5000, B98, '01_BOC_TACH_ONG'!$K$2:$K$5000)</f>
        <v/>
      </c>
      <c r="I98" s="16">
        <f>SUMIF('02_BOC_TACH_CUA'!$B$2:$B$5000, B98, '02_BOC_TACH_CUA'!$K$2:$K$5000)</f>
        <v/>
      </c>
      <c r="J98" s="16">
        <f>SUMIF('03_BOC_TACH_VAN'!$B$2:$B$5000, B98, '03_BOC_TACH_VAN'!$K$2:$K$5000)</f>
        <v/>
      </c>
      <c r="K98" s="16">
        <f>SUM(H98:J98)</f>
        <v/>
      </c>
      <c r="L98" s="16">
        <f>(K98-SUMIFS('03_BOC_TACH_VAN'!$K$2:$K$5000, '03_BOC_TACH_VAN'!$B$2:$B$5000, B98, '03_BOC_TACH_VAN'!$D$2:$D$5000, "ĐỘNG_CƠ_VÀ_CẢM_BIẾN"))*0.25</f>
        <v/>
      </c>
      <c r="M98" s="16">
        <f>(K98-SUMIFS('03_BOC_TACH_VAN'!$K$2:$K$5000, '03_BOC_TACH_VAN'!$B$2:$B$5000, B98, '03_BOC_TACH_VAN'!$D$2:$D$5000, "ĐỘNG_CƠ_VÀ_CẢM_BIẾN"))*0.10</f>
        <v/>
      </c>
      <c r="N98" s="16">
        <f>K98+L98+M98</f>
        <v/>
      </c>
      <c r="O98" s="16">
        <f>IF(G98&gt;0, N98/G98, 0)</f>
        <v/>
      </c>
      <c r="P98" s="17" t="n">
        <v>0.18</v>
      </c>
      <c r="Q98" s="16">
        <f>IF(G98&gt;0, ((N98-SUMIFS('03_BOC_TACH_VAN'!$K$2:$K$5000, '03_BOC_TACH_VAN'!$B$2:$B$5000, B98, '03_BOC_TACH_VAN'!$D$2:$D$5000, "ĐỘNG_CƠ_VÀ_CẢM_BIẾN"))*(1+P98)+SUMIFS('03_BOC_TACH_VAN'!$K$2:$K$5000, '03_BOC_TACH_VAN'!$B$2:$B$5000, B98, '03_BOC_TACH_VAN'!$D$2:$D$5000, "ĐỘNG_CƠ_VÀ_CẢM_BIẾN"))/G98, 0)</f>
        <v/>
      </c>
      <c r="R98" s="16">
        <f>G98*Q98</f>
        <v/>
      </c>
      <c r="S98" t="inlineStr">
        <is>
          <t>Lưới chắn côn trùng</t>
        </is>
      </c>
    </row>
    <row r="99">
      <c r="A99" t="n">
        <v>98</v>
      </c>
      <c r="B99" t="inlineStr">
        <is>
          <t>SW-DIFF-098</t>
        </is>
      </c>
      <c r="C99" t="inlineStr">
        <is>
          <t>CỬA GIÓ</t>
        </is>
      </c>
      <c r="D99" t="inlineStr">
        <is>
          <t>Miệng gió hút khói: SEG 1000x500 + OBD
Kèm box gió</t>
        </is>
      </c>
      <c r="E99" t="inlineStr">
        <is>
          <t>1000x500</t>
        </is>
      </c>
      <c r="F99" t="inlineStr">
        <is>
          <t>Cái</t>
        </is>
      </c>
      <c r="G99" s="16" t="n">
        <v>13</v>
      </c>
      <c r="H99" s="16">
        <f>SUMIF('01_BOC_TACH_ONG'!$B$2:$B$5000, B99, '01_BOC_TACH_ONG'!$K$2:$K$5000)</f>
        <v/>
      </c>
      <c r="I99" s="16">
        <f>SUMIF('02_BOC_TACH_CUA'!$B$2:$B$5000, B99, '02_BOC_TACH_CUA'!$K$2:$K$5000)</f>
        <v/>
      </c>
      <c r="J99" s="16">
        <f>SUMIF('03_BOC_TACH_VAN'!$B$2:$B$5000, B99, '03_BOC_TACH_VAN'!$K$2:$K$5000)</f>
        <v/>
      </c>
      <c r="K99" s="16">
        <f>SUM(H99:J99)</f>
        <v/>
      </c>
      <c r="L99" s="16">
        <f>(K99-SUMIFS('03_BOC_TACH_VAN'!$K$2:$K$5000, '03_BOC_TACH_VAN'!$B$2:$B$5000, B99, '03_BOC_TACH_VAN'!$D$2:$D$5000, "ĐỘNG_CƠ_VÀ_CẢM_BIẾN"))*0.25</f>
        <v/>
      </c>
      <c r="M99" s="16">
        <f>(K99-SUMIFS('03_BOC_TACH_VAN'!$K$2:$K$5000, '03_BOC_TACH_VAN'!$B$2:$B$5000, B99, '03_BOC_TACH_VAN'!$D$2:$D$5000, "ĐỘNG_CƠ_VÀ_CẢM_BIẾN"))*0.10</f>
        <v/>
      </c>
      <c r="N99" s="16">
        <f>K99+L99+M99</f>
        <v/>
      </c>
      <c r="O99" s="16">
        <f>IF(G99&gt;0, N99/G99, 0)</f>
        <v/>
      </c>
      <c r="P99" s="17" t="n">
        <v>0.18</v>
      </c>
      <c r="Q99" s="16">
        <f>IF(G99&gt;0, ((N99-SUMIFS('03_BOC_TACH_VAN'!$K$2:$K$5000, '03_BOC_TACH_VAN'!$B$2:$B$5000, B99, '03_BOC_TACH_VAN'!$D$2:$D$5000, "ĐỘNG_CƠ_VÀ_CẢM_BIẾN"))*(1+P99)+SUMIFS('03_BOC_TACH_VAN'!$K$2:$K$5000, '03_BOC_TACH_VAN'!$B$2:$B$5000, B99, '03_BOC_TACH_VAN'!$D$2:$D$5000, "ĐỘNG_CƠ_VÀ_CẢM_BIẾN"))/G99, 0)</f>
        <v/>
      </c>
      <c r="R99" s="16">
        <f>G99*Q99</f>
        <v/>
      </c>
      <c r="S99" t="inlineStr">
        <is>
          <t>Cửa nan thẳng bầu dục kèm van OBD (tăng áp / hút khói). Không tính box do nhà thầu tự thi công</t>
        </is>
      </c>
    </row>
    <row r="100">
      <c r="A100" t="n">
        <v>99</v>
      </c>
      <c r="B100" t="inlineStr">
        <is>
          <t>SW-DIFF-099</t>
        </is>
      </c>
      <c r="C100" t="inlineStr">
        <is>
          <t>CỬA GIÓ</t>
        </is>
      </c>
      <c r="D100" t="inlineStr">
        <is>
          <t>Miệng gió hút khói: SEG 900x500 + OBD
Kèm box gió</t>
        </is>
      </c>
      <c r="E100" t="inlineStr">
        <is>
          <t>900x500</t>
        </is>
      </c>
      <c r="F100" t="inlineStr">
        <is>
          <t>Cái</t>
        </is>
      </c>
      <c r="G100" s="16" t="n">
        <v>6</v>
      </c>
      <c r="H100" s="16">
        <f>SUMIF('01_BOC_TACH_ONG'!$B$2:$B$5000, B100, '01_BOC_TACH_ONG'!$K$2:$K$5000)</f>
        <v/>
      </c>
      <c r="I100" s="16">
        <f>SUMIF('02_BOC_TACH_CUA'!$B$2:$B$5000, B100, '02_BOC_TACH_CUA'!$K$2:$K$5000)</f>
        <v/>
      </c>
      <c r="J100" s="16">
        <f>SUMIF('03_BOC_TACH_VAN'!$B$2:$B$5000, B100, '03_BOC_TACH_VAN'!$K$2:$K$5000)</f>
        <v/>
      </c>
      <c r="K100" s="16">
        <f>SUM(H100:J100)</f>
        <v/>
      </c>
      <c r="L100" s="16">
        <f>(K100-SUMIFS('03_BOC_TACH_VAN'!$K$2:$K$5000, '03_BOC_TACH_VAN'!$B$2:$B$5000, B100, '03_BOC_TACH_VAN'!$D$2:$D$5000, "ĐỘNG_CƠ_VÀ_CẢM_BIẾN"))*0.25</f>
        <v/>
      </c>
      <c r="M100" s="16">
        <f>(K100-SUMIFS('03_BOC_TACH_VAN'!$K$2:$K$5000, '03_BOC_TACH_VAN'!$B$2:$B$5000, B100, '03_BOC_TACH_VAN'!$D$2:$D$5000, "ĐỘNG_CƠ_VÀ_CẢM_BIẾN"))*0.10</f>
        <v/>
      </c>
      <c r="N100" s="16">
        <f>K100+L100+M100</f>
        <v/>
      </c>
      <c r="O100" s="16">
        <f>IF(G100&gt;0, N100/G100, 0)</f>
        <v/>
      </c>
      <c r="P100" s="17" t="n">
        <v>0.18</v>
      </c>
      <c r="Q100" s="16">
        <f>IF(G100&gt;0, ((N100-SUMIFS('03_BOC_TACH_VAN'!$K$2:$K$5000, '03_BOC_TACH_VAN'!$B$2:$B$5000, B100, '03_BOC_TACH_VAN'!$D$2:$D$5000, "ĐỘNG_CƠ_VÀ_CẢM_BIẾN"))*(1+P100)+SUMIFS('03_BOC_TACH_VAN'!$K$2:$K$5000, '03_BOC_TACH_VAN'!$B$2:$B$5000, B100, '03_BOC_TACH_VAN'!$D$2:$D$5000, "ĐỘNG_CƠ_VÀ_CẢM_BIẾN"))/G100, 0)</f>
        <v/>
      </c>
      <c r="R100" s="16">
        <f>G100*Q100</f>
        <v/>
      </c>
      <c r="S100" t="inlineStr">
        <is>
          <t>Cửa nan thẳng bầu dục kèm van OBD (tăng áp / hút khói). Không tính box do nhà thầu tự thi công</t>
        </is>
      </c>
    </row>
    <row r="101">
      <c r="A101" t="n">
        <v>100</v>
      </c>
      <c r="B101" t="inlineStr">
        <is>
          <t>SW-DIFF-100</t>
        </is>
      </c>
      <c r="C101" t="inlineStr">
        <is>
          <t>CỬA GIÓ</t>
        </is>
      </c>
      <c r="D101" t="inlineStr">
        <is>
          <t>Miệng gió hút khói: SEG 800x400 + OBD
Kèm box gió</t>
        </is>
      </c>
      <c r="E101" t="inlineStr">
        <is>
          <t>800x400</t>
        </is>
      </c>
      <c r="F101" t="inlineStr">
        <is>
          <t>Cái</t>
        </is>
      </c>
      <c r="G101" s="16" t="n">
        <v>2</v>
      </c>
      <c r="H101" s="16">
        <f>SUMIF('01_BOC_TACH_ONG'!$B$2:$B$5000, B101, '01_BOC_TACH_ONG'!$K$2:$K$5000)</f>
        <v/>
      </c>
      <c r="I101" s="16">
        <f>SUMIF('02_BOC_TACH_CUA'!$B$2:$B$5000, B101, '02_BOC_TACH_CUA'!$K$2:$K$5000)</f>
        <v/>
      </c>
      <c r="J101" s="16">
        <f>SUMIF('03_BOC_TACH_VAN'!$B$2:$B$5000, B101, '03_BOC_TACH_VAN'!$K$2:$K$5000)</f>
        <v/>
      </c>
      <c r="K101" s="16">
        <f>SUM(H101:J101)</f>
        <v/>
      </c>
      <c r="L101" s="16">
        <f>(K101-SUMIFS('03_BOC_TACH_VAN'!$K$2:$K$5000, '03_BOC_TACH_VAN'!$B$2:$B$5000, B101, '03_BOC_TACH_VAN'!$D$2:$D$5000, "ĐỘNG_CƠ_VÀ_CẢM_BIẾN"))*0.25</f>
        <v/>
      </c>
      <c r="M101" s="16">
        <f>(K101-SUMIFS('03_BOC_TACH_VAN'!$K$2:$K$5000, '03_BOC_TACH_VAN'!$B$2:$B$5000, B101, '03_BOC_TACH_VAN'!$D$2:$D$5000, "ĐỘNG_CƠ_VÀ_CẢM_BIẾN"))*0.10</f>
        <v/>
      </c>
      <c r="N101" s="16">
        <f>K101+L101+M101</f>
        <v/>
      </c>
      <c r="O101" s="16">
        <f>IF(G101&gt;0, N101/G101, 0)</f>
        <v/>
      </c>
      <c r="P101" s="17" t="n">
        <v>0.18</v>
      </c>
      <c r="Q101" s="16">
        <f>IF(G101&gt;0, ((N101-SUMIFS('03_BOC_TACH_VAN'!$K$2:$K$5000, '03_BOC_TACH_VAN'!$B$2:$B$5000, B101, '03_BOC_TACH_VAN'!$D$2:$D$5000, "ĐỘNG_CƠ_VÀ_CẢM_BIẾN"))*(1+P101)+SUMIFS('03_BOC_TACH_VAN'!$K$2:$K$5000, '03_BOC_TACH_VAN'!$B$2:$B$5000, B101, '03_BOC_TACH_VAN'!$D$2:$D$5000, "ĐỘNG_CƠ_VÀ_CẢM_BIẾN"))/G101, 0)</f>
        <v/>
      </c>
      <c r="R101" s="16">
        <f>G101*Q101</f>
        <v/>
      </c>
      <c r="S101" t="inlineStr">
        <is>
          <t>Cửa nan thẳng bầu dục kèm van OBD (tăng áp / hút khói). Không tính box do nhà thầu tự thi công</t>
        </is>
      </c>
    </row>
    <row r="102">
      <c r="A102" t="n">
        <v>101</v>
      </c>
      <c r="B102" t="inlineStr">
        <is>
          <t>SW-DIFF-101</t>
        </is>
      </c>
      <c r="C102" t="inlineStr">
        <is>
          <t>CỬA GIÓ</t>
        </is>
      </c>
      <c r="D102" t="inlineStr">
        <is>
          <t>Louver thải khói EAL + LCCT 1000x300</t>
        </is>
      </c>
      <c r="E102" t="inlineStr">
        <is>
          <t>1000x300</t>
        </is>
      </c>
      <c r="F102" t="inlineStr">
        <is>
          <t>Cái</t>
        </is>
      </c>
      <c r="G102" s="16" t="n">
        <v>3</v>
      </c>
      <c r="H102" s="16">
        <f>SUMIF('01_BOC_TACH_ONG'!$B$2:$B$5000, B102, '01_BOC_TACH_ONG'!$K$2:$K$5000)</f>
        <v/>
      </c>
      <c r="I102" s="16">
        <f>SUMIF('02_BOC_TACH_CUA'!$B$2:$B$5000, B102, '02_BOC_TACH_CUA'!$K$2:$K$5000)</f>
        <v/>
      </c>
      <c r="J102" s="16">
        <f>SUMIF('03_BOC_TACH_VAN'!$B$2:$B$5000, B102, '03_BOC_TACH_VAN'!$K$2:$K$5000)</f>
        <v/>
      </c>
      <c r="K102" s="16">
        <f>SUM(H102:J102)</f>
        <v/>
      </c>
      <c r="L102" s="16">
        <f>(K102-SUMIFS('03_BOC_TACH_VAN'!$K$2:$K$5000, '03_BOC_TACH_VAN'!$B$2:$B$5000, B102, '03_BOC_TACH_VAN'!$D$2:$D$5000, "ĐỘNG_CƠ_VÀ_CẢM_BIẾN"))*0.25</f>
        <v/>
      </c>
      <c r="M102" s="16">
        <f>(K102-SUMIFS('03_BOC_TACH_VAN'!$K$2:$K$5000, '03_BOC_TACH_VAN'!$B$2:$B$5000, B102, '03_BOC_TACH_VAN'!$D$2:$D$5000, "ĐỘNG_CƠ_VÀ_CẢM_BIẾN"))*0.10</f>
        <v/>
      </c>
      <c r="N102" s="16">
        <f>K102+L102+M102</f>
        <v/>
      </c>
      <c r="O102" s="16">
        <f>IF(G102&gt;0, N102/G102, 0)</f>
        <v/>
      </c>
      <c r="P102" s="17" t="n">
        <v>0.18</v>
      </c>
      <c r="Q102" s="16">
        <f>IF(G102&gt;0, ((N102-SUMIFS('03_BOC_TACH_VAN'!$K$2:$K$5000, '03_BOC_TACH_VAN'!$B$2:$B$5000, B102, '03_BOC_TACH_VAN'!$D$2:$D$5000, "ĐỘNG_CƠ_VÀ_CẢM_BIẾN"))*(1+P102)+SUMIFS('03_BOC_TACH_VAN'!$K$2:$K$5000, '03_BOC_TACH_VAN'!$B$2:$B$5000, B102, '03_BOC_TACH_VAN'!$D$2:$D$5000, "ĐỘNG_CƠ_VÀ_CẢM_BIẾN"))/G102, 0)</f>
        <v/>
      </c>
      <c r="R102" s="16">
        <f>G102*Q102</f>
        <v/>
      </c>
      <c r="S102" t="inlineStr">
        <is>
          <t>Louver nan Z ngoài trời kèm lưới chắn côn trùng Inox 304</t>
        </is>
      </c>
    </row>
    <row r="103">
      <c r="A103" t="n">
        <v>102</v>
      </c>
      <c r="B103" t="inlineStr">
        <is>
          <t>SW-DIFF-102</t>
        </is>
      </c>
      <c r="C103" t="inlineStr">
        <is>
          <t>CỬA GIÓ</t>
        </is>
      </c>
      <c r="D103" t="inlineStr">
        <is>
          <t>Louver thải khói EAL + LCCT 1000x700</t>
        </is>
      </c>
      <c r="E103" t="inlineStr">
        <is>
          <t>1000x700</t>
        </is>
      </c>
      <c r="F103" t="inlineStr">
        <is>
          <t>Cái</t>
        </is>
      </c>
      <c r="G103" s="16" t="n">
        <v>1</v>
      </c>
      <c r="H103" s="16">
        <f>SUMIF('01_BOC_TACH_ONG'!$B$2:$B$5000, B103, '01_BOC_TACH_ONG'!$K$2:$K$5000)</f>
        <v/>
      </c>
      <c r="I103" s="16">
        <f>SUMIF('02_BOC_TACH_CUA'!$B$2:$B$5000, B103, '02_BOC_TACH_CUA'!$K$2:$K$5000)</f>
        <v/>
      </c>
      <c r="J103" s="16">
        <f>SUMIF('03_BOC_TACH_VAN'!$B$2:$B$5000, B103, '03_BOC_TACH_VAN'!$K$2:$K$5000)</f>
        <v/>
      </c>
      <c r="K103" s="16">
        <f>SUM(H103:J103)</f>
        <v/>
      </c>
      <c r="L103" s="16">
        <f>(K103-SUMIFS('03_BOC_TACH_VAN'!$K$2:$K$5000, '03_BOC_TACH_VAN'!$B$2:$B$5000, B103, '03_BOC_TACH_VAN'!$D$2:$D$5000, "ĐỘNG_CƠ_VÀ_CẢM_BIẾN"))*0.25</f>
        <v/>
      </c>
      <c r="M103" s="16">
        <f>(K103-SUMIFS('03_BOC_TACH_VAN'!$K$2:$K$5000, '03_BOC_TACH_VAN'!$B$2:$B$5000, B103, '03_BOC_TACH_VAN'!$D$2:$D$5000, "ĐỘNG_CƠ_VÀ_CẢM_BIẾN"))*0.10</f>
        <v/>
      </c>
      <c r="N103" s="16">
        <f>K103+L103+M103</f>
        <v/>
      </c>
      <c r="O103" s="16">
        <f>IF(G103&gt;0, N103/G103, 0)</f>
        <v/>
      </c>
      <c r="P103" s="17" t="n">
        <v>0.18</v>
      </c>
      <c r="Q103" s="16">
        <f>IF(G103&gt;0, ((N103-SUMIFS('03_BOC_TACH_VAN'!$K$2:$K$5000, '03_BOC_TACH_VAN'!$B$2:$B$5000, B103, '03_BOC_TACH_VAN'!$D$2:$D$5000, "ĐỘNG_CƠ_VÀ_CẢM_BIẾN"))*(1+P103)+SUMIFS('03_BOC_TACH_VAN'!$K$2:$K$5000, '03_BOC_TACH_VAN'!$B$2:$B$5000, B103, '03_BOC_TACH_VAN'!$D$2:$D$5000, "ĐỘNG_CƠ_VÀ_CẢM_BIẾN"))/G103, 0)</f>
        <v/>
      </c>
      <c r="R103" s="16">
        <f>G103*Q103</f>
        <v/>
      </c>
      <c r="S103" t="inlineStr">
        <is>
          <t>Louver nan Z ngoài trời kèm lưới chắn côn trùng Inox 304</t>
        </is>
      </c>
    </row>
    <row r="104">
      <c r="A104" t="n">
        <v>103</v>
      </c>
      <c r="B104" t="inlineStr">
        <is>
          <t>SW-DIFF-103</t>
        </is>
      </c>
      <c r="C104" t="inlineStr">
        <is>
          <t>CỬA GIÓ</t>
        </is>
      </c>
      <c r="D104" t="inlineStr">
        <is>
          <t>Louver thải khói EAL + LCCT 1200x350</t>
        </is>
      </c>
      <c r="E104" t="inlineStr">
        <is>
          <t>1200x350</t>
        </is>
      </c>
      <c r="F104" t="inlineStr">
        <is>
          <t>Cái</t>
        </is>
      </c>
      <c r="G104" s="16" t="n">
        <v>1</v>
      </c>
      <c r="H104" s="16">
        <f>SUMIF('01_BOC_TACH_ONG'!$B$2:$B$5000, B104, '01_BOC_TACH_ONG'!$K$2:$K$5000)</f>
        <v/>
      </c>
      <c r="I104" s="16">
        <f>SUMIF('02_BOC_TACH_CUA'!$B$2:$B$5000, B104, '02_BOC_TACH_CUA'!$K$2:$K$5000)</f>
        <v/>
      </c>
      <c r="J104" s="16">
        <f>SUMIF('03_BOC_TACH_VAN'!$B$2:$B$5000, B104, '03_BOC_TACH_VAN'!$K$2:$K$5000)</f>
        <v/>
      </c>
      <c r="K104" s="16">
        <f>SUM(H104:J104)</f>
        <v/>
      </c>
      <c r="L104" s="16">
        <f>(K104-SUMIFS('03_BOC_TACH_VAN'!$K$2:$K$5000, '03_BOC_TACH_VAN'!$B$2:$B$5000, B104, '03_BOC_TACH_VAN'!$D$2:$D$5000, "ĐỘNG_CƠ_VÀ_CẢM_BIẾN"))*0.25</f>
        <v/>
      </c>
      <c r="M104" s="16">
        <f>(K104-SUMIFS('03_BOC_TACH_VAN'!$K$2:$K$5000, '03_BOC_TACH_VAN'!$B$2:$B$5000, B104, '03_BOC_TACH_VAN'!$D$2:$D$5000, "ĐỘNG_CƠ_VÀ_CẢM_BIẾN"))*0.10</f>
        <v/>
      </c>
      <c r="N104" s="16">
        <f>K104+L104+M104</f>
        <v/>
      </c>
      <c r="O104" s="16">
        <f>IF(G104&gt;0, N104/G104, 0)</f>
        <v/>
      </c>
      <c r="P104" s="17" t="n">
        <v>0.18</v>
      </c>
      <c r="Q104" s="16">
        <f>IF(G104&gt;0, ((N104-SUMIFS('03_BOC_TACH_VAN'!$K$2:$K$5000, '03_BOC_TACH_VAN'!$B$2:$B$5000, B104, '03_BOC_TACH_VAN'!$D$2:$D$5000, "ĐỘNG_CƠ_VÀ_CẢM_BIẾN"))*(1+P104)+SUMIFS('03_BOC_TACH_VAN'!$K$2:$K$5000, '03_BOC_TACH_VAN'!$B$2:$B$5000, B104, '03_BOC_TACH_VAN'!$D$2:$D$5000, "ĐỘNG_CƠ_VÀ_CẢM_BIẾN"))/G104, 0)</f>
        <v/>
      </c>
      <c r="R104" s="16">
        <f>G104*Q104</f>
        <v/>
      </c>
      <c r="S104" t="inlineStr">
        <is>
          <t>Louver nan Z ngoài trời kèm lưới chắn côn trùng Inox 304</t>
        </is>
      </c>
    </row>
    <row r="105">
      <c r="A105" t="n">
        <v>104</v>
      </c>
      <c r="B105" t="inlineStr">
        <is>
          <t>SW-DIFF-104</t>
        </is>
      </c>
      <c r="C105" t="inlineStr">
        <is>
          <t>CỬA GIÓ</t>
        </is>
      </c>
      <c r="D105" t="inlineStr">
        <is>
          <t>Louver thải khói EAL + LCCT 1200x400</t>
        </is>
      </c>
      <c r="E105" t="inlineStr">
        <is>
          <t>1200x400</t>
        </is>
      </c>
      <c r="F105" t="inlineStr">
        <is>
          <t>Cái</t>
        </is>
      </c>
      <c r="G105" s="16" t="n">
        <v>1</v>
      </c>
      <c r="H105" s="16">
        <f>SUMIF('01_BOC_TACH_ONG'!$B$2:$B$5000, B105, '01_BOC_TACH_ONG'!$K$2:$K$5000)</f>
        <v/>
      </c>
      <c r="I105" s="16">
        <f>SUMIF('02_BOC_TACH_CUA'!$B$2:$B$5000, B105, '02_BOC_TACH_CUA'!$K$2:$K$5000)</f>
        <v/>
      </c>
      <c r="J105" s="16">
        <f>SUMIF('03_BOC_TACH_VAN'!$B$2:$B$5000, B105, '03_BOC_TACH_VAN'!$K$2:$K$5000)</f>
        <v/>
      </c>
      <c r="K105" s="16">
        <f>SUM(H105:J105)</f>
        <v/>
      </c>
      <c r="L105" s="16">
        <f>(K105-SUMIFS('03_BOC_TACH_VAN'!$K$2:$K$5000, '03_BOC_TACH_VAN'!$B$2:$B$5000, B105, '03_BOC_TACH_VAN'!$D$2:$D$5000, "ĐỘNG_CƠ_VÀ_CẢM_BIẾN"))*0.25</f>
        <v/>
      </c>
      <c r="M105" s="16">
        <f>(K105-SUMIFS('03_BOC_TACH_VAN'!$K$2:$K$5000, '03_BOC_TACH_VAN'!$B$2:$B$5000, B105, '03_BOC_TACH_VAN'!$D$2:$D$5000, "ĐỘNG_CƠ_VÀ_CẢM_BIẾN"))*0.10</f>
        <v/>
      </c>
      <c r="N105" s="16">
        <f>K105+L105+M105</f>
        <v/>
      </c>
      <c r="O105" s="16">
        <f>IF(G105&gt;0, N105/G105, 0)</f>
        <v/>
      </c>
      <c r="P105" s="17" t="n">
        <v>0.18</v>
      </c>
      <c r="Q105" s="16">
        <f>IF(G105&gt;0, ((N105-SUMIFS('03_BOC_TACH_VAN'!$K$2:$K$5000, '03_BOC_TACH_VAN'!$B$2:$B$5000, B105, '03_BOC_TACH_VAN'!$D$2:$D$5000, "ĐỘNG_CƠ_VÀ_CẢM_BIẾN"))*(1+P105)+SUMIFS('03_BOC_TACH_VAN'!$K$2:$K$5000, '03_BOC_TACH_VAN'!$B$2:$B$5000, B105, '03_BOC_TACH_VAN'!$D$2:$D$5000, "ĐỘNG_CƠ_VÀ_CẢM_BIẾN"))/G105, 0)</f>
        <v/>
      </c>
      <c r="R105" s="16">
        <f>G105*Q105</f>
        <v/>
      </c>
      <c r="S105" t="inlineStr">
        <is>
          <t>Louver nan Z ngoài trời kèm lưới chắn côn trùng Inox 304</t>
        </is>
      </c>
    </row>
    <row r="106">
      <c r="A106" t="n">
        <v>105</v>
      </c>
      <c r="B106" t="inlineStr">
        <is>
          <t>SW-DIFF-105</t>
        </is>
      </c>
      <c r="C106" t="inlineStr">
        <is>
          <t>CỬA GIÓ</t>
        </is>
      </c>
      <c r="D106" t="inlineStr">
        <is>
          <t>Louver thải khói EAL + LCCT 2500x500</t>
        </is>
      </c>
      <c r="E106" t="inlineStr">
        <is>
          <t>2500x500</t>
        </is>
      </c>
      <c r="F106" t="inlineStr">
        <is>
          <t>Cái</t>
        </is>
      </c>
      <c r="G106" s="16" t="n">
        <v>1</v>
      </c>
      <c r="H106" s="16">
        <f>SUMIF('01_BOC_TACH_ONG'!$B$2:$B$5000, B106, '01_BOC_TACH_ONG'!$K$2:$K$5000)</f>
        <v/>
      </c>
      <c r="I106" s="16">
        <f>SUMIF('02_BOC_TACH_CUA'!$B$2:$B$5000, B106, '02_BOC_TACH_CUA'!$K$2:$K$5000)</f>
        <v/>
      </c>
      <c r="J106" s="16">
        <f>SUMIF('03_BOC_TACH_VAN'!$B$2:$B$5000, B106, '03_BOC_TACH_VAN'!$K$2:$K$5000)</f>
        <v/>
      </c>
      <c r="K106" s="16">
        <f>SUM(H106:J106)</f>
        <v/>
      </c>
      <c r="L106" s="16">
        <f>(K106-SUMIFS('03_BOC_TACH_VAN'!$K$2:$K$5000, '03_BOC_TACH_VAN'!$B$2:$B$5000, B106, '03_BOC_TACH_VAN'!$D$2:$D$5000, "ĐỘNG_CƠ_VÀ_CẢM_BIẾN"))*0.25</f>
        <v/>
      </c>
      <c r="M106" s="16">
        <f>(K106-SUMIFS('03_BOC_TACH_VAN'!$K$2:$K$5000, '03_BOC_TACH_VAN'!$B$2:$B$5000, B106, '03_BOC_TACH_VAN'!$D$2:$D$5000, "ĐỘNG_CƠ_VÀ_CẢM_BIẾN"))*0.10</f>
        <v/>
      </c>
      <c r="N106" s="16">
        <f>K106+L106+M106</f>
        <v/>
      </c>
      <c r="O106" s="16">
        <f>IF(G106&gt;0, N106/G106, 0)</f>
        <v/>
      </c>
      <c r="P106" s="17" t="n">
        <v>0.18</v>
      </c>
      <c r="Q106" s="16">
        <f>IF(G106&gt;0, ((N106-SUMIFS('03_BOC_TACH_VAN'!$K$2:$K$5000, '03_BOC_TACH_VAN'!$B$2:$B$5000, B106, '03_BOC_TACH_VAN'!$D$2:$D$5000, "ĐỘNG_CƠ_VÀ_CẢM_BIẾN"))*(1+P106)+SUMIFS('03_BOC_TACH_VAN'!$K$2:$K$5000, '03_BOC_TACH_VAN'!$B$2:$B$5000, B106, '03_BOC_TACH_VAN'!$D$2:$D$5000, "ĐỘNG_CƠ_VÀ_CẢM_BIẾN"))/G106, 0)</f>
        <v/>
      </c>
      <c r="R106" s="16">
        <f>G106*Q106</f>
        <v/>
      </c>
      <c r="S106" t="inlineStr">
        <is>
          <t>Louver nan Z ngoài trời kèm lưới chắn côn trùng Inox 304</t>
        </is>
      </c>
    </row>
    <row r="107">
      <c r="A107" t="n">
        <v>106</v>
      </c>
      <c r="B107" t="inlineStr">
        <is>
          <t>SW-DIFF-106</t>
        </is>
      </c>
      <c r="C107" t="inlineStr">
        <is>
          <t>CỬA GIÓ</t>
        </is>
      </c>
      <c r="D107" t="inlineStr">
        <is>
          <t>Louver cấp khí tươi FAL + LCCT 800x300</t>
        </is>
      </c>
      <c r="E107" t="inlineStr">
        <is>
          <t>800x300</t>
        </is>
      </c>
      <c r="F107" t="inlineStr">
        <is>
          <t>Cái</t>
        </is>
      </c>
      <c r="G107" s="16" t="n">
        <v>3</v>
      </c>
      <c r="H107" s="16">
        <f>SUMIF('01_BOC_TACH_ONG'!$B$2:$B$5000, B107, '01_BOC_TACH_ONG'!$K$2:$K$5000)</f>
        <v/>
      </c>
      <c r="I107" s="16">
        <f>SUMIF('02_BOC_TACH_CUA'!$B$2:$B$5000, B107, '02_BOC_TACH_CUA'!$K$2:$K$5000)</f>
        <v/>
      </c>
      <c r="J107" s="16">
        <f>SUMIF('03_BOC_TACH_VAN'!$B$2:$B$5000, B107, '03_BOC_TACH_VAN'!$K$2:$K$5000)</f>
        <v/>
      </c>
      <c r="K107" s="16">
        <f>SUM(H107:J107)</f>
        <v/>
      </c>
      <c r="L107" s="16">
        <f>(K107-SUMIFS('03_BOC_TACH_VAN'!$K$2:$K$5000, '03_BOC_TACH_VAN'!$B$2:$B$5000, B107, '03_BOC_TACH_VAN'!$D$2:$D$5000, "ĐỘNG_CƠ_VÀ_CẢM_BIẾN"))*0.25</f>
        <v/>
      </c>
      <c r="M107" s="16">
        <f>(K107-SUMIFS('03_BOC_TACH_VAN'!$K$2:$K$5000, '03_BOC_TACH_VAN'!$B$2:$B$5000, B107, '03_BOC_TACH_VAN'!$D$2:$D$5000, "ĐỘNG_CƠ_VÀ_CẢM_BIẾN"))*0.10</f>
        <v/>
      </c>
      <c r="N107" s="16">
        <f>K107+L107+M107</f>
        <v/>
      </c>
      <c r="O107" s="16">
        <f>IF(G107&gt;0, N107/G107, 0)</f>
        <v/>
      </c>
      <c r="P107" s="17" t="n">
        <v>0.18</v>
      </c>
      <c r="Q107" s="16">
        <f>IF(G107&gt;0, ((N107-SUMIFS('03_BOC_TACH_VAN'!$K$2:$K$5000, '03_BOC_TACH_VAN'!$B$2:$B$5000, B107, '03_BOC_TACH_VAN'!$D$2:$D$5000, "ĐỘNG_CƠ_VÀ_CẢM_BIẾN"))*(1+P107)+SUMIFS('03_BOC_TACH_VAN'!$K$2:$K$5000, '03_BOC_TACH_VAN'!$B$2:$B$5000, B107, '03_BOC_TACH_VAN'!$D$2:$D$5000, "ĐỘNG_CƠ_VÀ_CẢM_BIẾN"))/G107, 0)</f>
        <v/>
      </c>
      <c r="R107" s="16">
        <f>G107*Q107</f>
        <v/>
      </c>
      <c r="S107" t="inlineStr">
        <is>
          <t>Louver nan Z ngoài trời kèm lưới chắn côn trùng Inox 304</t>
        </is>
      </c>
    </row>
    <row r="108">
      <c r="A108" t="n">
        <v>107</v>
      </c>
      <c r="B108" t="inlineStr">
        <is>
          <t>SW-DIFF-107</t>
        </is>
      </c>
      <c r="C108" t="inlineStr">
        <is>
          <t>CỬA GIÓ</t>
        </is>
      </c>
      <c r="D108" t="inlineStr">
        <is>
          <t>Louver cấp khí tươi FAL + LCCT 1000x400</t>
        </is>
      </c>
      <c r="E108" t="inlineStr">
        <is>
          <t>1000x400</t>
        </is>
      </c>
      <c r="F108" t="inlineStr">
        <is>
          <t>Cái</t>
        </is>
      </c>
      <c r="G108" s="16" t="n">
        <v>1</v>
      </c>
      <c r="H108" s="16">
        <f>SUMIF('01_BOC_TACH_ONG'!$B$2:$B$5000, B108, '01_BOC_TACH_ONG'!$K$2:$K$5000)</f>
        <v/>
      </c>
      <c r="I108" s="16">
        <f>SUMIF('02_BOC_TACH_CUA'!$B$2:$B$5000, B108, '02_BOC_TACH_CUA'!$K$2:$K$5000)</f>
        <v/>
      </c>
      <c r="J108" s="16">
        <f>SUMIF('03_BOC_TACH_VAN'!$B$2:$B$5000, B108, '03_BOC_TACH_VAN'!$K$2:$K$5000)</f>
        <v/>
      </c>
      <c r="K108" s="16">
        <f>SUM(H108:J108)</f>
        <v/>
      </c>
      <c r="L108" s="16">
        <f>(K108-SUMIFS('03_BOC_TACH_VAN'!$K$2:$K$5000, '03_BOC_TACH_VAN'!$B$2:$B$5000, B108, '03_BOC_TACH_VAN'!$D$2:$D$5000, "ĐỘNG_CƠ_VÀ_CẢM_BIẾN"))*0.25</f>
        <v/>
      </c>
      <c r="M108" s="16">
        <f>(K108-SUMIFS('03_BOC_TACH_VAN'!$K$2:$K$5000, '03_BOC_TACH_VAN'!$B$2:$B$5000, B108, '03_BOC_TACH_VAN'!$D$2:$D$5000, "ĐỘNG_CƠ_VÀ_CẢM_BIẾN"))*0.10</f>
        <v/>
      </c>
      <c r="N108" s="16">
        <f>K108+L108+M108</f>
        <v/>
      </c>
      <c r="O108" s="16">
        <f>IF(G108&gt;0, N108/G108, 0)</f>
        <v/>
      </c>
      <c r="P108" s="17" t="n">
        <v>0.18</v>
      </c>
      <c r="Q108" s="16">
        <f>IF(G108&gt;0, ((N108-SUMIFS('03_BOC_TACH_VAN'!$K$2:$K$5000, '03_BOC_TACH_VAN'!$B$2:$B$5000, B108, '03_BOC_TACH_VAN'!$D$2:$D$5000, "ĐỘNG_CƠ_VÀ_CẢM_BIẾN"))*(1+P108)+SUMIFS('03_BOC_TACH_VAN'!$K$2:$K$5000, '03_BOC_TACH_VAN'!$B$2:$B$5000, B108, '03_BOC_TACH_VAN'!$D$2:$D$5000, "ĐỘNG_CƠ_VÀ_CẢM_BIẾN"))/G108, 0)</f>
        <v/>
      </c>
      <c r="R108" s="16">
        <f>G108*Q108</f>
        <v/>
      </c>
      <c r="S108" t="inlineStr">
        <is>
          <t>Louver nan Z ngoài trời kèm lưới chắn côn trùng Inox 304</t>
        </is>
      </c>
    </row>
    <row r="109">
      <c r="A109" t="n">
        <v>108</v>
      </c>
      <c r="B109" t="inlineStr">
        <is>
          <t>SW-DIFF-108</t>
        </is>
      </c>
      <c r="C109" t="inlineStr">
        <is>
          <t>CỬA GIÓ</t>
        </is>
      </c>
      <c r="D109" t="inlineStr">
        <is>
          <t>Louver cấp khí tươi FAL + LCCT 1100x300</t>
        </is>
      </c>
      <c r="E109" t="inlineStr">
        <is>
          <t>1100x300</t>
        </is>
      </c>
      <c r="F109" t="inlineStr">
        <is>
          <t>Cái</t>
        </is>
      </c>
      <c r="G109" s="16" t="n">
        <v>1</v>
      </c>
      <c r="H109" s="16">
        <f>SUMIF('01_BOC_TACH_ONG'!$B$2:$B$5000, B109, '01_BOC_TACH_ONG'!$K$2:$K$5000)</f>
        <v/>
      </c>
      <c r="I109" s="16">
        <f>SUMIF('02_BOC_TACH_CUA'!$B$2:$B$5000, B109, '02_BOC_TACH_CUA'!$K$2:$K$5000)</f>
        <v/>
      </c>
      <c r="J109" s="16">
        <f>SUMIF('03_BOC_TACH_VAN'!$B$2:$B$5000, B109, '03_BOC_TACH_VAN'!$K$2:$K$5000)</f>
        <v/>
      </c>
      <c r="K109" s="16">
        <f>SUM(H109:J109)</f>
        <v/>
      </c>
      <c r="L109" s="16">
        <f>(K109-SUMIFS('03_BOC_TACH_VAN'!$K$2:$K$5000, '03_BOC_TACH_VAN'!$B$2:$B$5000, B109, '03_BOC_TACH_VAN'!$D$2:$D$5000, "ĐỘNG_CƠ_VÀ_CẢM_BIẾN"))*0.25</f>
        <v/>
      </c>
      <c r="M109" s="16">
        <f>(K109-SUMIFS('03_BOC_TACH_VAN'!$K$2:$K$5000, '03_BOC_TACH_VAN'!$B$2:$B$5000, B109, '03_BOC_TACH_VAN'!$D$2:$D$5000, "ĐỘNG_CƠ_VÀ_CẢM_BIẾN"))*0.10</f>
        <v/>
      </c>
      <c r="N109" s="16">
        <f>K109+L109+M109</f>
        <v/>
      </c>
      <c r="O109" s="16">
        <f>IF(G109&gt;0, N109/G109, 0)</f>
        <v/>
      </c>
      <c r="P109" s="17" t="n">
        <v>0.18</v>
      </c>
      <c r="Q109" s="16">
        <f>IF(G109&gt;0, ((N109-SUMIFS('03_BOC_TACH_VAN'!$K$2:$K$5000, '03_BOC_TACH_VAN'!$B$2:$B$5000, B109, '03_BOC_TACH_VAN'!$D$2:$D$5000, "ĐỘNG_CƠ_VÀ_CẢM_BIẾN"))*(1+P109)+SUMIFS('03_BOC_TACH_VAN'!$K$2:$K$5000, '03_BOC_TACH_VAN'!$B$2:$B$5000, B109, '03_BOC_TACH_VAN'!$D$2:$D$5000, "ĐỘNG_CƠ_VÀ_CẢM_BIẾN"))/G109, 0)</f>
        <v/>
      </c>
      <c r="R109" s="16">
        <f>G109*Q109</f>
        <v/>
      </c>
      <c r="S109" t="inlineStr">
        <is>
          <t>Louver nan Z ngoài trời kèm lưới chắn côn trùng Inox 304</t>
        </is>
      </c>
    </row>
    <row r="110">
      <c r="A110" t="n">
        <v>109</v>
      </c>
      <c r="B110" t="inlineStr">
        <is>
          <t>SW-DIFF-109</t>
        </is>
      </c>
      <c r="C110" t="inlineStr">
        <is>
          <t>CỬA GIÓ</t>
        </is>
      </c>
      <c r="D110" t="inlineStr">
        <is>
          <t>Louver cấp khí tươi FAL + LCCT 3500x500</t>
        </is>
      </c>
      <c r="E110" t="inlineStr">
        <is>
          <t>3500x500</t>
        </is>
      </c>
      <c r="F110" t="inlineStr">
        <is>
          <t>Cái</t>
        </is>
      </c>
      <c r="G110" s="16" t="n">
        <v>1</v>
      </c>
      <c r="H110" s="16">
        <f>SUMIF('01_BOC_TACH_ONG'!$B$2:$B$5000, B110, '01_BOC_TACH_ONG'!$K$2:$K$5000)</f>
        <v/>
      </c>
      <c r="I110" s="16">
        <f>SUMIF('02_BOC_TACH_CUA'!$B$2:$B$5000, B110, '02_BOC_TACH_CUA'!$K$2:$K$5000)</f>
        <v/>
      </c>
      <c r="J110" s="16">
        <f>SUMIF('03_BOC_TACH_VAN'!$B$2:$B$5000, B110, '03_BOC_TACH_VAN'!$K$2:$K$5000)</f>
        <v/>
      </c>
      <c r="K110" s="16">
        <f>SUM(H110:J110)</f>
        <v/>
      </c>
      <c r="L110" s="16">
        <f>(K110-SUMIFS('03_BOC_TACH_VAN'!$K$2:$K$5000, '03_BOC_TACH_VAN'!$B$2:$B$5000, B110, '03_BOC_TACH_VAN'!$D$2:$D$5000, "ĐỘNG_CƠ_VÀ_CẢM_BIẾN"))*0.25</f>
        <v/>
      </c>
      <c r="M110" s="16">
        <f>(K110-SUMIFS('03_BOC_TACH_VAN'!$K$2:$K$5000, '03_BOC_TACH_VAN'!$B$2:$B$5000, B110, '03_BOC_TACH_VAN'!$D$2:$D$5000, "ĐỘNG_CƠ_VÀ_CẢM_BIẾN"))*0.10</f>
        <v/>
      </c>
      <c r="N110" s="16">
        <f>K110+L110+M110</f>
        <v/>
      </c>
      <c r="O110" s="16">
        <f>IF(G110&gt;0, N110/G110, 0)</f>
        <v/>
      </c>
      <c r="P110" s="17" t="n">
        <v>0.18</v>
      </c>
      <c r="Q110" s="16">
        <f>IF(G110&gt;0, ((N110-SUMIFS('03_BOC_TACH_VAN'!$K$2:$K$5000, '03_BOC_TACH_VAN'!$B$2:$B$5000, B110, '03_BOC_TACH_VAN'!$D$2:$D$5000, "ĐỘNG_CƠ_VÀ_CẢM_BIẾN"))*(1+P110)+SUMIFS('03_BOC_TACH_VAN'!$K$2:$K$5000, '03_BOC_TACH_VAN'!$B$2:$B$5000, B110, '03_BOC_TACH_VAN'!$D$2:$D$5000, "ĐỘNG_CƠ_VÀ_CẢM_BIẾN"))/G110, 0)</f>
        <v/>
      </c>
      <c r="R110" s="16">
        <f>G110*Q110</f>
        <v/>
      </c>
      <c r="S110" t="inlineStr">
        <is>
          <t>Louver nan Z ngoài trời kèm lưới chắn côn trùng Inox 304</t>
        </is>
      </c>
    </row>
    <row r="111">
      <c r="A111" t="n">
        <v>110</v>
      </c>
      <c r="B111" t="inlineStr">
        <is>
          <t>SW-DIFF-110</t>
        </is>
      </c>
      <c r="C111" t="inlineStr">
        <is>
          <t>CỬA GIÓ</t>
        </is>
      </c>
      <c r="D111" t="inlineStr">
        <is>
          <t>Louver cấp khí tươi FAL + LCCT 3500x700</t>
        </is>
      </c>
      <c r="E111" t="inlineStr">
        <is>
          <t>3500x700</t>
        </is>
      </c>
      <c r="F111" t="inlineStr">
        <is>
          <t>Cái</t>
        </is>
      </c>
      <c r="G111" s="16" t="n">
        <v>1</v>
      </c>
      <c r="H111" s="16">
        <f>SUMIF('01_BOC_TACH_ONG'!$B$2:$B$5000, B111, '01_BOC_TACH_ONG'!$K$2:$K$5000)</f>
        <v/>
      </c>
      <c r="I111" s="16">
        <f>SUMIF('02_BOC_TACH_CUA'!$B$2:$B$5000, B111, '02_BOC_TACH_CUA'!$K$2:$K$5000)</f>
        <v/>
      </c>
      <c r="J111" s="16">
        <f>SUMIF('03_BOC_TACH_VAN'!$B$2:$B$5000, B111, '03_BOC_TACH_VAN'!$K$2:$K$5000)</f>
        <v/>
      </c>
      <c r="K111" s="16">
        <f>SUM(H111:J111)</f>
        <v/>
      </c>
      <c r="L111" s="16">
        <f>(K111-SUMIFS('03_BOC_TACH_VAN'!$K$2:$K$5000, '03_BOC_TACH_VAN'!$B$2:$B$5000, B111, '03_BOC_TACH_VAN'!$D$2:$D$5000, "ĐỘNG_CƠ_VÀ_CẢM_BIẾN"))*0.25</f>
        <v/>
      </c>
      <c r="M111" s="16">
        <f>(K111-SUMIFS('03_BOC_TACH_VAN'!$K$2:$K$5000, '03_BOC_TACH_VAN'!$B$2:$B$5000, B111, '03_BOC_TACH_VAN'!$D$2:$D$5000, "ĐỘNG_CƠ_VÀ_CẢM_BIẾN"))*0.10</f>
        <v/>
      </c>
      <c r="N111" s="16">
        <f>K111+L111+M111</f>
        <v/>
      </c>
      <c r="O111" s="16">
        <f>IF(G111&gt;0, N111/G111, 0)</f>
        <v/>
      </c>
      <c r="P111" s="17" t="n">
        <v>0.18</v>
      </c>
      <c r="Q111" s="16">
        <f>IF(G111&gt;0, ((N111-SUMIFS('03_BOC_TACH_VAN'!$K$2:$K$5000, '03_BOC_TACH_VAN'!$B$2:$B$5000, B111, '03_BOC_TACH_VAN'!$D$2:$D$5000, "ĐỘNG_CƠ_VÀ_CẢM_BIẾN"))*(1+P111)+SUMIFS('03_BOC_TACH_VAN'!$K$2:$K$5000, '03_BOC_TACH_VAN'!$B$2:$B$5000, B111, '03_BOC_TACH_VAN'!$D$2:$D$5000, "ĐỘNG_CƠ_VÀ_CẢM_BIẾN"))/G111, 0)</f>
        <v/>
      </c>
      <c r="R111" s="16">
        <f>G111*Q111</f>
        <v/>
      </c>
      <c r="S111" t="inlineStr">
        <is>
          <t>Louver nan Z ngoài trời kèm lưới chắn côn trùng Inox 304</t>
        </is>
      </c>
    </row>
    <row r="112">
      <c r="A112" t="n">
        <v>111</v>
      </c>
      <c r="B112" t="inlineStr">
        <is>
          <t>SW-DIFF-111</t>
        </is>
      </c>
      <c r="C112" t="inlineStr">
        <is>
          <t>CỬA GIÓ</t>
        </is>
      </c>
      <c r="D112" t="inlineStr">
        <is>
          <t>Miệng gió cấp khí bù FAG 800x300</t>
        </is>
      </c>
      <c r="E112" t="inlineStr">
        <is>
          <t>800x300</t>
        </is>
      </c>
      <c r="F112" t="inlineStr">
        <is>
          <t>Cái</t>
        </is>
      </c>
      <c r="G112" s="16" t="n">
        <v>3</v>
      </c>
      <c r="H112" s="16">
        <f>SUMIF('01_BOC_TACH_ONG'!$B$2:$B$5000, B112, '01_BOC_TACH_ONG'!$K$2:$K$5000)</f>
        <v/>
      </c>
      <c r="I112" s="16">
        <f>SUMIF('02_BOC_TACH_CUA'!$B$2:$B$5000, B112, '02_BOC_TACH_CUA'!$K$2:$K$5000)</f>
        <v/>
      </c>
      <c r="J112" s="16">
        <f>SUMIF('03_BOC_TACH_VAN'!$B$2:$B$5000, B112, '03_BOC_TACH_VAN'!$K$2:$K$5000)</f>
        <v/>
      </c>
      <c r="K112" s="16">
        <f>SUM(H112:J112)</f>
        <v/>
      </c>
      <c r="L112" s="16">
        <f>(K112-SUMIFS('03_BOC_TACH_VAN'!$K$2:$K$5000, '03_BOC_TACH_VAN'!$B$2:$B$5000, B112, '03_BOC_TACH_VAN'!$D$2:$D$5000, "ĐỘNG_CƠ_VÀ_CẢM_BIẾN"))*0.25</f>
        <v/>
      </c>
      <c r="M112" s="16">
        <f>(K112-SUMIFS('03_BOC_TACH_VAN'!$K$2:$K$5000, '03_BOC_TACH_VAN'!$B$2:$B$5000, B112, '03_BOC_TACH_VAN'!$D$2:$D$5000, "ĐỘNG_CƠ_VÀ_CẢM_BIẾN"))*0.10</f>
        <v/>
      </c>
      <c r="N112" s="16">
        <f>K112+L112+M112</f>
        <v/>
      </c>
      <c r="O112" s="16">
        <f>IF(G112&gt;0, N112/G112, 0)</f>
        <v/>
      </c>
      <c r="P112" s="17" t="n">
        <v>0.18</v>
      </c>
      <c r="Q112" s="16">
        <f>IF(G112&gt;0, ((N112-SUMIFS('03_BOC_TACH_VAN'!$K$2:$K$5000, '03_BOC_TACH_VAN'!$B$2:$B$5000, B112, '03_BOC_TACH_VAN'!$D$2:$D$5000, "ĐỘNG_CƠ_VÀ_CẢM_BIẾN"))*(1+P112)+SUMIFS('03_BOC_TACH_VAN'!$K$2:$K$5000, '03_BOC_TACH_VAN'!$B$2:$B$5000, B112, '03_BOC_TACH_VAN'!$D$2:$D$5000, "ĐỘNG_CƠ_VÀ_CẢM_BIẾN"))/G112, 0)</f>
        <v/>
      </c>
      <c r="R112" s="16">
        <f>G112*Q112</f>
        <v/>
      </c>
      <c r="S112" t="inlineStr">
        <is>
          <t>Cửa nan bầu dục 1 lớp</t>
        </is>
      </c>
    </row>
    <row r="113">
      <c r="A113" t="n">
        <v>112</v>
      </c>
      <c r="B113" t="inlineStr">
        <is>
          <t>SW-DIFF-112</t>
        </is>
      </c>
      <c r="C113" t="inlineStr">
        <is>
          <t>CỬA GIÓ</t>
        </is>
      </c>
      <c r="D113" t="inlineStr">
        <is>
          <t>Miệng gió cấp khí bù FAG 800x400</t>
        </is>
      </c>
      <c r="E113" t="inlineStr">
        <is>
          <t>800x400</t>
        </is>
      </c>
      <c r="F113" t="inlineStr">
        <is>
          <t>Cái</t>
        </is>
      </c>
      <c r="G113" s="16" t="n">
        <v>1</v>
      </c>
      <c r="H113" s="16">
        <f>SUMIF('01_BOC_TACH_ONG'!$B$2:$B$5000, B113, '01_BOC_TACH_ONG'!$K$2:$K$5000)</f>
        <v/>
      </c>
      <c r="I113" s="16">
        <f>SUMIF('02_BOC_TACH_CUA'!$B$2:$B$5000, B113, '02_BOC_TACH_CUA'!$K$2:$K$5000)</f>
        <v/>
      </c>
      <c r="J113" s="16">
        <f>SUMIF('03_BOC_TACH_VAN'!$B$2:$B$5000, B113, '03_BOC_TACH_VAN'!$K$2:$K$5000)</f>
        <v/>
      </c>
      <c r="K113" s="16">
        <f>SUM(H113:J113)</f>
        <v/>
      </c>
      <c r="L113" s="16">
        <f>(K113-SUMIFS('03_BOC_TACH_VAN'!$K$2:$K$5000, '03_BOC_TACH_VAN'!$B$2:$B$5000, B113, '03_BOC_TACH_VAN'!$D$2:$D$5000, "ĐỘNG_CƠ_VÀ_CẢM_BIẾN"))*0.25</f>
        <v/>
      </c>
      <c r="M113" s="16">
        <f>(K113-SUMIFS('03_BOC_TACH_VAN'!$K$2:$K$5000, '03_BOC_TACH_VAN'!$B$2:$B$5000, B113, '03_BOC_TACH_VAN'!$D$2:$D$5000, "ĐỘNG_CƠ_VÀ_CẢM_BIẾN"))*0.10</f>
        <v/>
      </c>
      <c r="N113" s="16">
        <f>K113+L113+M113</f>
        <v/>
      </c>
      <c r="O113" s="16">
        <f>IF(G113&gt;0, N113/G113, 0)</f>
        <v/>
      </c>
      <c r="P113" s="17" t="n">
        <v>0.18</v>
      </c>
      <c r="Q113" s="16">
        <f>IF(G113&gt;0, ((N113-SUMIFS('03_BOC_TACH_VAN'!$K$2:$K$5000, '03_BOC_TACH_VAN'!$B$2:$B$5000, B113, '03_BOC_TACH_VAN'!$D$2:$D$5000, "ĐỘNG_CƠ_VÀ_CẢM_BIẾN"))*(1+P113)+SUMIFS('03_BOC_TACH_VAN'!$K$2:$K$5000, '03_BOC_TACH_VAN'!$B$2:$B$5000, B113, '03_BOC_TACH_VAN'!$D$2:$D$5000, "ĐỘNG_CƠ_VÀ_CẢM_BIẾN"))/G113, 0)</f>
        <v/>
      </c>
      <c r="R113" s="16">
        <f>G113*Q113</f>
        <v/>
      </c>
      <c r="S113" t="inlineStr">
        <is>
          <t>Cửa nan bầu dục 1 lớp</t>
        </is>
      </c>
    </row>
    <row r="114">
      <c r="A114" t="n">
        <v>113</v>
      </c>
      <c r="B114" t="inlineStr">
        <is>
          <t>SW-DIFF-113</t>
        </is>
      </c>
      <c r="C114" t="inlineStr">
        <is>
          <t>CỬA GIÓ</t>
        </is>
      </c>
      <c r="D114" t="inlineStr">
        <is>
          <t>Miệng gió cấp khí bù FAG 800x500</t>
        </is>
      </c>
      <c r="E114" t="inlineStr">
        <is>
          <t>800x500</t>
        </is>
      </c>
      <c r="F114" t="inlineStr">
        <is>
          <t>Cái</t>
        </is>
      </c>
      <c r="G114" s="16" t="n">
        <v>1</v>
      </c>
      <c r="H114" s="16">
        <f>SUMIF('01_BOC_TACH_ONG'!$B$2:$B$5000, B114, '01_BOC_TACH_ONG'!$K$2:$K$5000)</f>
        <v/>
      </c>
      <c r="I114" s="16">
        <f>SUMIF('02_BOC_TACH_CUA'!$B$2:$B$5000, B114, '02_BOC_TACH_CUA'!$K$2:$K$5000)</f>
        <v/>
      </c>
      <c r="J114" s="16">
        <f>SUMIF('03_BOC_TACH_VAN'!$B$2:$B$5000, B114, '03_BOC_TACH_VAN'!$K$2:$K$5000)</f>
        <v/>
      </c>
      <c r="K114" s="16">
        <f>SUM(H114:J114)</f>
        <v/>
      </c>
      <c r="L114" s="16">
        <f>(K114-SUMIFS('03_BOC_TACH_VAN'!$K$2:$K$5000, '03_BOC_TACH_VAN'!$B$2:$B$5000, B114, '03_BOC_TACH_VAN'!$D$2:$D$5000, "ĐỘNG_CƠ_VÀ_CẢM_BIẾN"))*0.25</f>
        <v/>
      </c>
      <c r="M114" s="16">
        <f>(K114-SUMIFS('03_BOC_TACH_VAN'!$K$2:$K$5000, '03_BOC_TACH_VAN'!$B$2:$B$5000, B114, '03_BOC_TACH_VAN'!$D$2:$D$5000, "ĐỘNG_CƠ_VÀ_CẢM_BIẾN"))*0.10</f>
        <v/>
      </c>
      <c r="N114" s="16">
        <f>K114+L114+M114</f>
        <v/>
      </c>
      <c r="O114" s="16">
        <f>IF(G114&gt;0, N114/G114, 0)</f>
        <v/>
      </c>
      <c r="P114" s="17" t="n">
        <v>0.18</v>
      </c>
      <c r="Q114" s="16">
        <f>IF(G114&gt;0, ((N114-SUMIFS('03_BOC_TACH_VAN'!$K$2:$K$5000, '03_BOC_TACH_VAN'!$B$2:$B$5000, B114, '03_BOC_TACH_VAN'!$D$2:$D$5000, "ĐỘNG_CƠ_VÀ_CẢM_BIẾN"))*(1+P114)+SUMIFS('03_BOC_TACH_VAN'!$K$2:$K$5000, '03_BOC_TACH_VAN'!$B$2:$B$5000, B114, '03_BOC_TACH_VAN'!$D$2:$D$5000, "ĐỘNG_CƠ_VÀ_CẢM_BIẾN"))/G114, 0)</f>
        <v/>
      </c>
      <c r="R114" s="16">
        <f>G114*Q114</f>
        <v/>
      </c>
      <c r="S114" t="inlineStr">
        <is>
          <t>Cửa nan bầu dục 1 lớp</t>
        </is>
      </c>
    </row>
    <row r="115">
      <c r="A115" t="n">
        <v>114</v>
      </c>
      <c r="B115" t="inlineStr">
        <is>
          <t>SW-DIFF-114</t>
        </is>
      </c>
      <c r="C115" t="inlineStr">
        <is>
          <t>CỬA GIÓ</t>
        </is>
      </c>
      <c r="D115" t="inlineStr">
        <is>
          <t>Miệng gió cấp khí bù FAG 1200x500</t>
        </is>
      </c>
      <c r="E115" t="inlineStr">
        <is>
          <t>1200x500</t>
        </is>
      </c>
      <c r="F115" t="inlineStr">
        <is>
          <t>Cái</t>
        </is>
      </c>
      <c r="G115" s="16" t="n">
        <v>1</v>
      </c>
      <c r="H115" s="16">
        <f>SUMIF('01_BOC_TACH_ONG'!$B$2:$B$5000, B115, '01_BOC_TACH_ONG'!$K$2:$K$5000)</f>
        <v/>
      </c>
      <c r="I115" s="16">
        <f>SUMIF('02_BOC_TACH_CUA'!$B$2:$B$5000, B115, '02_BOC_TACH_CUA'!$K$2:$K$5000)</f>
        <v/>
      </c>
      <c r="J115" s="16">
        <f>SUMIF('03_BOC_TACH_VAN'!$B$2:$B$5000, B115, '03_BOC_TACH_VAN'!$K$2:$K$5000)</f>
        <v/>
      </c>
      <c r="K115" s="16">
        <f>SUM(H115:J115)</f>
        <v/>
      </c>
      <c r="L115" s="16">
        <f>(K115-SUMIFS('03_BOC_TACH_VAN'!$K$2:$K$5000, '03_BOC_TACH_VAN'!$B$2:$B$5000, B115, '03_BOC_TACH_VAN'!$D$2:$D$5000, "ĐỘNG_CƠ_VÀ_CẢM_BIẾN"))*0.25</f>
        <v/>
      </c>
      <c r="M115" s="16">
        <f>(K115-SUMIFS('03_BOC_TACH_VAN'!$K$2:$K$5000, '03_BOC_TACH_VAN'!$B$2:$B$5000, B115, '03_BOC_TACH_VAN'!$D$2:$D$5000, "ĐỘNG_CƠ_VÀ_CẢM_BIẾN"))*0.10</f>
        <v/>
      </c>
      <c r="N115" s="16">
        <f>K115+L115+M115</f>
        <v/>
      </c>
      <c r="O115" s="16">
        <f>IF(G115&gt;0, N115/G115, 0)</f>
        <v/>
      </c>
      <c r="P115" s="17" t="n">
        <v>0.18</v>
      </c>
      <c r="Q115" s="16">
        <f>IF(G115&gt;0, ((N115-SUMIFS('03_BOC_TACH_VAN'!$K$2:$K$5000, '03_BOC_TACH_VAN'!$B$2:$B$5000, B115, '03_BOC_TACH_VAN'!$D$2:$D$5000, "ĐỘNG_CƠ_VÀ_CẢM_BIẾN"))*(1+P115)+SUMIFS('03_BOC_TACH_VAN'!$K$2:$K$5000, '03_BOC_TACH_VAN'!$B$2:$B$5000, B115, '03_BOC_TACH_VAN'!$D$2:$D$5000, "ĐỘNG_CƠ_VÀ_CẢM_BIẾN"))/G115, 0)</f>
        <v/>
      </c>
      <c r="R115" s="16">
        <f>G115*Q115</f>
        <v/>
      </c>
      <c r="S115" t="inlineStr">
        <is>
          <t>Cửa nan bầu dục 1 lớp</t>
        </is>
      </c>
    </row>
    <row r="116">
      <c r="A116" t="n">
        <v>115</v>
      </c>
      <c r="B116" t="inlineStr">
        <is>
          <t>SW-DIFF-115</t>
        </is>
      </c>
      <c r="C116" t="inlineStr">
        <is>
          <t>CỬA GIÓ</t>
        </is>
      </c>
      <c r="D116" t="inlineStr">
        <is>
          <t>Miệng gió cấp khí bù FAG 3500x700</t>
        </is>
      </c>
      <c r="E116" t="inlineStr">
        <is>
          <t>3500x700</t>
        </is>
      </c>
      <c r="F116" t="inlineStr">
        <is>
          <t>Cái</t>
        </is>
      </c>
      <c r="G116" s="16" t="n">
        <v>1</v>
      </c>
      <c r="H116" s="16">
        <f>SUMIF('01_BOC_TACH_ONG'!$B$2:$B$5000, B116, '01_BOC_TACH_ONG'!$K$2:$K$5000)</f>
        <v/>
      </c>
      <c r="I116" s="16">
        <f>SUMIF('02_BOC_TACH_CUA'!$B$2:$B$5000, B116, '02_BOC_TACH_CUA'!$K$2:$K$5000)</f>
        <v/>
      </c>
      <c r="J116" s="16">
        <f>SUMIF('03_BOC_TACH_VAN'!$B$2:$B$5000, B116, '03_BOC_TACH_VAN'!$K$2:$K$5000)</f>
        <v/>
      </c>
      <c r="K116" s="16">
        <f>SUM(H116:J116)</f>
        <v/>
      </c>
      <c r="L116" s="16">
        <f>(K116-SUMIFS('03_BOC_TACH_VAN'!$K$2:$K$5000, '03_BOC_TACH_VAN'!$B$2:$B$5000, B116, '03_BOC_TACH_VAN'!$D$2:$D$5000, "ĐỘNG_CƠ_VÀ_CẢM_BIẾN"))*0.25</f>
        <v/>
      </c>
      <c r="M116" s="16">
        <f>(K116-SUMIFS('03_BOC_TACH_VAN'!$K$2:$K$5000, '03_BOC_TACH_VAN'!$B$2:$B$5000, B116, '03_BOC_TACH_VAN'!$D$2:$D$5000, "ĐỘNG_CƠ_VÀ_CẢM_BIẾN"))*0.10</f>
        <v/>
      </c>
      <c r="N116" s="16">
        <f>K116+L116+M116</f>
        <v/>
      </c>
      <c r="O116" s="16">
        <f>IF(G116&gt;0, N116/G116, 0)</f>
        <v/>
      </c>
      <c r="P116" s="17" t="n">
        <v>0.18</v>
      </c>
      <c r="Q116" s="16">
        <f>IF(G116&gt;0, ((N116-SUMIFS('03_BOC_TACH_VAN'!$K$2:$K$5000, '03_BOC_TACH_VAN'!$B$2:$B$5000, B116, '03_BOC_TACH_VAN'!$D$2:$D$5000, "ĐỘNG_CƠ_VÀ_CẢM_BIẾN"))*(1+P116)+SUMIFS('03_BOC_TACH_VAN'!$K$2:$K$5000, '03_BOC_TACH_VAN'!$B$2:$B$5000, B116, '03_BOC_TACH_VAN'!$D$2:$D$5000, "ĐỘNG_CƠ_VÀ_CẢM_BIẾN"))/G116, 0)</f>
        <v/>
      </c>
      <c r="R116" s="16">
        <f>G116*Q116</f>
        <v/>
      </c>
      <c r="S116" t="inlineStr">
        <is>
          <t>Cửa nan bầu dục 1 lớp</t>
        </is>
      </c>
    </row>
    <row r="117">
      <c r="A117" t="n">
        <v>116</v>
      </c>
      <c r="B117" t="inlineStr">
        <is>
          <t>SW-DAMPER-116</t>
        </is>
      </c>
      <c r="C117" t="inlineStr">
        <is>
          <t>VAN GIÓ</t>
        </is>
      </c>
      <c r="D117" t="inlineStr">
        <is>
          <t>Van xả áp loại dùng đối trọng PRD 1100x400</t>
        </is>
      </c>
      <c r="E117" t="inlineStr">
        <is>
          <t>1100x400</t>
        </is>
      </c>
      <c r="F117" t="inlineStr">
        <is>
          <t>cái</t>
        </is>
      </c>
      <c r="G117" s="16" t="n">
        <v>12</v>
      </c>
      <c r="H117" s="16">
        <f>SUMIF('01_BOC_TACH_ONG'!$B$2:$B$5000, B117, '01_BOC_TACH_ONG'!$K$2:$K$5000)</f>
        <v/>
      </c>
      <c r="I117" s="16">
        <f>SUMIF('02_BOC_TACH_CUA'!$B$2:$B$5000, B117, '02_BOC_TACH_CUA'!$K$2:$K$5000)</f>
        <v/>
      </c>
      <c r="J117" s="16">
        <f>SUMIF('03_BOC_TACH_VAN'!$B$2:$B$5000, B117, '03_BOC_TACH_VAN'!$K$2:$K$5000)</f>
        <v/>
      </c>
      <c r="K117" s="16">
        <f>SUM(H117:J117)</f>
        <v/>
      </c>
      <c r="L117" s="16">
        <f>(K117-SUMIFS('03_BOC_TACH_VAN'!$K$2:$K$5000, '03_BOC_TACH_VAN'!$B$2:$B$5000, B117, '03_BOC_TACH_VAN'!$D$2:$D$5000, "ĐỘNG_CƠ_VÀ_CẢM_BIẾN"))*0.25</f>
        <v/>
      </c>
      <c r="M117" s="16">
        <f>(K117-SUMIFS('03_BOC_TACH_VAN'!$K$2:$K$5000, '03_BOC_TACH_VAN'!$B$2:$B$5000, B117, '03_BOC_TACH_VAN'!$D$2:$D$5000, "ĐỘNG_CƠ_VÀ_CẢM_BIẾN"))*0.10</f>
        <v/>
      </c>
      <c r="N117" s="16">
        <f>K117+L117+M117</f>
        <v/>
      </c>
      <c r="O117" s="16">
        <f>IF(G117&gt;0, N117/G117, 0)</f>
        <v/>
      </c>
      <c r="P117" s="17" t="n">
        <v>0.18</v>
      </c>
      <c r="Q117" s="16">
        <f>IF(G117&gt;0, ((N117-SUMIFS('03_BOC_TACH_VAN'!$K$2:$K$5000, '03_BOC_TACH_VAN'!$B$2:$B$5000, B117, '03_BOC_TACH_VAN'!$D$2:$D$5000, "ĐỘNG_CƠ_VÀ_CẢM_BIẾN"))*(1+P117)+SUMIFS('03_BOC_TACH_VAN'!$K$2:$K$5000, '03_BOC_TACH_VAN'!$B$2:$B$5000, B117, '03_BOC_TACH_VAN'!$D$2:$D$5000, "ĐỘNG_CƠ_VÀ_CẢM_BIẾN"))/G117, 0)</f>
        <v/>
      </c>
      <c r="R117" s="16">
        <f>G117*Q117</f>
        <v/>
      </c>
      <c r="S117" t="inlineStr">
        <is>
          <t>Van xả áp đối trọng tôn mạ kẽm</t>
        </is>
      </c>
    </row>
    <row r="118">
      <c r="A118" t="n">
        <v>117</v>
      </c>
      <c r="B118" t="inlineStr">
        <is>
          <t>SW-DAMPER-117</t>
        </is>
      </c>
      <c r="C118" t="inlineStr">
        <is>
          <t>VAN GIÓ</t>
        </is>
      </c>
      <c r="D118" t="inlineStr">
        <is>
          <t>Van xả áp loại dùng đối trọng PRD 900x500</t>
        </is>
      </c>
      <c r="E118" t="inlineStr">
        <is>
          <t>900x500</t>
        </is>
      </c>
      <c r="F118" t="inlineStr">
        <is>
          <t>cái</t>
        </is>
      </c>
      <c r="G118" s="16" t="n">
        <v>2</v>
      </c>
      <c r="H118" s="16">
        <f>SUMIF('01_BOC_TACH_ONG'!$B$2:$B$5000, B118, '01_BOC_TACH_ONG'!$K$2:$K$5000)</f>
        <v/>
      </c>
      <c r="I118" s="16">
        <f>SUMIF('02_BOC_TACH_CUA'!$B$2:$B$5000, B118, '02_BOC_TACH_CUA'!$K$2:$K$5000)</f>
        <v/>
      </c>
      <c r="J118" s="16">
        <f>SUMIF('03_BOC_TACH_VAN'!$B$2:$B$5000, B118, '03_BOC_TACH_VAN'!$K$2:$K$5000)</f>
        <v/>
      </c>
      <c r="K118" s="16">
        <f>SUM(H118:J118)</f>
        <v/>
      </c>
      <c r="L118" s="16">
        <f>(K118-SUMIFS('03_BOC_TACH_VAN'!$K$2:$K$5000, '03_BOC_TACH_VAN'!$B$2:$B$5000, B118, '03_BOC_TACH_VAN'!$D$2:$D$5000, "ĐỘNG_CƠ_VÀ_CẢM_BIẾN"))*0.25</f>
        <v/>
      </c>
      <c r="M118" s="16">
        <f>(K118-SUMIFS('03_BOC_TACH_VAN'!$K$2:$K$5000, '03_BOC_TACH_VAN'!$B$2:$B$5000, B118, '03_BOC_TACH_VAN'!$D$2:$D$5000, "ĐỘNG_CƠ_VÀ_CẢM_BIẾN"))*0.10</f>
        <v/>
      </c>
      <c r="N118" s="16">
        <f>K118+L118+M118</f>
        <v/>
      </c>
      <c r="O118" s="16">
        <f>IF(G118&gt;0, N118/G118, 0)</f>
        <v/>
      </c>
      <c r="P118" s="17" t="n">
        <v>0.18</v>
      </c>
      <c r="Q118" s="16">
        <f>IF(G118&gt;0, ((N118-SUMIFS('03_BOC_TACH_VAN'!$K$2:$K$5000, '03_BOC_TACH_VAN'!$B$2:$B$5000, B118, '03_BOC_TACH_VAN'!$D$2:$D$5000, "ĐỘNG_CƠ_VÀ_CẢM_BIẾN"))*(1+P118)+SUMIFS('03_BOC_TACH_VAN'!$K$2:$K$5000, '03_BOC_TACH_VAN'!$B$2:$B$5000, B118, '03_BOC_TACH_VAN'!$D$2:$D$5000, "ĐỘNG_CƠ_VÀ_CẢM_BIẾN"))/G118, 0)</f>
        <v/>
      </c>
      <c r="R118" s="16">
        <f>G118*Q118</f>
        <v/>
      </c>
      <c r="S118" t="inlineStr">
        <is>
          <t>Van xả áp đối trọng tôn mạ kẽm</t>
        </is>
      </c>
    </row>
    <row r="119">
      <c r="A119" t="n">
        <v>118</v>
      </c>
      <c r="B119" t="inlineStr">
        <is>
          <t>SW-DAMPER-118</t>
        </is>
      </c>
      <c r="C119" t="inlineStr">
        <is>
          <t>VAN GIÓ</t>
        </is>
      </c>
      <c r="D119" t="inlineStr">
        <is>
          <t>Van xả áp loại dùng đối trọng PRD 800x400</t>
        </is>
      </c>
      <c r="E119" t="inlineStr">
        <is>
          <t>800x400</t>
        </is>
      </c>
      <c r="F119" t="inlineStr">
        <is>
          <t>Cái</t>
        </is>
      </c>
      <c r="G119" s="16" t="n">
        <v>4</v>
      </c>
      <c r="H119" s="16">
        <f>SUMIF('01_BOC_TACH_ONG'!$B$2:$B$5000, B119, '01_BOC_TACH_ONG'!$K$2:$K$5000)</f>
        <v/>
      </c>
      <c r="I119" s="16">
        <f>SUMIF('02_BOC_TACH_CUA'!$B$2:$B$5000, B119, '02_BOC_TACH_CUA'!$K$2:$K$5000)</f>
        <v/>
      </c>
      <c r="J119" s="16">
        <f>SUMIF('03_BOC_TACH_VAN'!$B$2:$B$5000, B119, '03_BOC_TACH_VAN'!$K$2:$K$5000)</f>
        <v/>
      </c>
      <c r="K119" s="16">
        <f>SUM(H119:J119)</f>
        <v/>
      </c>
      <c r="L119" s="16">
        <f>(K119-SUMIFS('03_BOC_TACH_VAN'!$K$2:$K$5000, '03_BOC_TACH_VAN'!$B$2:$B$5000, B119, '03_BOC_TACH_VAN'!$D$2:$D$5000, "ĐỘNG_CƠ_VÀ_CẢM_BIẾN"))*0.25</f>
        <v/>
      </c>
      <c r="M119" s="16">
        <f>(K119-SUMIFS('03_BOC_TACH_VAN'!$K$2:$K$5000, '03_BOC_TACH_VAN'!$B$2:$B$5000, B119, '03_BOC_TACH_VAN'!$D$2:$D$5000, "ĐỘNG_CƠ_VÀ_CẢM_BIẾN"))*0.10</f>
        <v/>
      </c>
      <c r="N119" s="16">
        <f>K119+L119+M119</f>
        <v/>
      </c>
      <c r="O119" s="16">
        <f>IF(G119&gt;0, N119/G119, 0)</f>
        <v/>
      </c>
      <c r="P119" s="17" t="n">
        <v>0.18</v>
      </c>
      <c r="Q119" s="16">
        <f>IF(G119&gt;0, ((N119-SUMIFS('03_BOC_TACH_VAN'!$K$2:$K$5000, '03_BOC_TACH_VAN'!$B$2:$B$5000, B119, '03_BOC_TACH_VAN'!$D$2:$D$5000, "ĐỘNG_CƠ_VÀ_CẢM_BIẾN"))*(1+P119)+SUMIFS('03_BOC_TACH_VAN'!$K$2:$K$5000, '03_BOC_TACH_VAN'!$B$2:$B$5000, B119, '03_BOC_TACH_VAN'!$D$2:$D$5000, "ĐỘNG_CƠ_VÀ_CẢM_BIẾN"))/G119, 0)</f>
        <v/>
      </c>
      <c r="R119" s="16">
        <f>G119*Q119</f>
        <v/>
      </c>
      <c r="S119" t="inlineStr">
        <is>
          <t>Van xả áp đối trọng tôn mạ kẽm</t>
        </is>
      </c>
    </row>
    <row r="120">
      <c r="A120" t="n">
        <v>119</v>
      </c>
      <c r="B120" t="inlineStr">
        <is>
          <t>SW-DAMPER-119</t>
        </is>
      </c>
      <c r="C120" t="inlineStr">
        <is>
          <t>VAN GIÓ</t>
        </is>
      </c>
      <c r="D120" t="inlineStr">
        <is>
          <t>Van xả áp loại dùng đối trọng PRD 600x300</t>
        </is>
      </c>
      <c r="E120" t="inlineStr">
        <is>
          <t>600x300</t>
        </is>
      </c>
      <c r="F120" t="inlineStr">
        <is>
          <t>Cái</t>
        </is>
      </c>
      <c r="G120" s="16" t="n">
        <v>2</v>
      </c>
      <c r="H120" s="16">
        <f>SUMIF('01_BOC_TACH_ONG'!$B$2:$B$5000, B120, '01_BOC_TACH_ONG'!$K$2:$K$5000)</f>
        <v/>
      </c>
      <c r="I120" s="16">
        <f>SUMIF('02_BOC_TACH_CUA'!$B$2:$B$5000, B120, '02_BOC_TACH_CUA'!$K$2:$K$5000)</f>
        <v/>
      </c>
      <c r="J120" s="16">
        <f>SUMIF('03_BOC_TACH_VAN'!$B$2:$B$5000, B120, '03_BOC_TACH_VAN'!$K$2:$K$5000)</f>
        <v/>
      </c>
      <c r="K120" s="16">
        <f>SUM(H120:J120)</f>
        <v/>
      </c>
      <c r="L120" s="16">
        <f>(K120-SUMIFS('03_BOC_TACH_VAN'!$K$2:$K$5000, '03_BOC_TACH_VAN'!$B$2:$B$5000, B120, '03_BOC_TACH_VAN'!$D$2:$D$5000, "ĐỘNG_CƠ_VÀ_CẢM_BIẾN"))*0.25</f>
        <v/>
      </c>
      <c r="M120" s="16">
        <f>(K120-SUMIFS('03_BOC_TACH_VAN'!$K$2:$K$5000, '03_BOC_TACH_VAN'!$B$2:$B$5000, B120, '03_BOC_TACH_VAN'!$D$2:$D$5000, "ĐỘNG_CƠ_VÀ_CẢM_BIẾN"))*0.10</f>
        <v/>
      </c>
      <c r="N120" s="16">
        <f>K120+L120+M120</f>
        <v/>
      </c>
      <c r="O120" s="16">
        <f>IF(G120&gt;0, N120/G120, 0)</f>
        <v/>
      </c>
      <c r="P120" s="17" t="n">
        <v>0.18</v>
      </c>
      <c r="Q120" s="16">
        <f>IF(G120&gt;0, ((N120-SUMIFS('03_BOC_TACH_VAN'!$K$2:$K$5000, '03_BOC_TACH_VAN'!$B$2:$B$5000, B120, '03_BOC_TACH_VAN'!$D$2:$D$5000, "ĐỘNG_CƠ_VÀ_CẢM_BIẾN"))*(1+P120)+SUMIFS('03_BOC_TACH_VAN'!$K$2:$K$5000, '03_BOC_TACH_VAN'!$B$2:$B$5000, B120, '03_BOC_TACH_VAN'!$D$2:$D$5000, "ĐỘNG_CƠ_VÀ_CẢM_BIẾN"))/G120, 0)</f>
        <v/>
      </c>
      <c r="R120" s="16">
        <f>G120*Q120</f>
        <v/>
      </c>
      <c r="S120" t="inlineStr">
        <is>
          <t>Van xả áp đối trọng tôn mạ kẽm</t>
        </is>
      </c>
    </row>
    <row r="121">
      <c r="A121" t="n">
        <v>120</v>
      </c>
      <c r="B121" t="inlineStr">
        <is>
          <t>SW-DIFF-120</t>
        </is>
      </c>
      <c r="C121" t="inlineStr">
        <is>
          <t>CỬA GIÓ</t>
        </is>
      </c>
      <c r="D121" t="inlineStr">
        <is>
          <t>Miệng gió tạo áp PAG 250x250 + OBD
Kèm box gió</t>
        </is>
      </c>
      <c r="E121" t="inlineStr">
        <is>
          <t>250x250</t>
        </is>
      </c>
      <c r="F121" t="inlineStr">
        <is>
          <t>Cái</t>
        </is>
      </c>
      <c r="G121" s="16" t="n">
        <v>140</v>
      </c>
      <c r="H121" s="16">
        <f>SUMIF('01_BOC_TACH_ONG'!$B$2:$B$5000, B121, '01_BOC_TACH_ONG'!$K$2:$K$5000)</f>
        <v/>
      </c>
      <c r="I121" s="16">
        <f>SUMIF('02_BOC_TACH_CUA'!$B$2:$B$5000, B121, '02_BOC_TACH_CUA'!$K$2:$K$5000)</f>
        <v/>
      </c>
      <c r="J121" s="16">
        <f>SUMIF('03_BOC_TACH_VAN'!$B$2:$B$5000, B121, '03_BOC_TACH_VAN'!$K$2:$K$5000)</f>
        <v/>
      </c>
      <c r="K121" s="16">
        <f>SUM(H121:J121)</f>
        <v/>
      </c>
      <c r="L121" s="16">
        <f>(K121-SUMIFS('03_BOC_TACH_VAN'!$K$2:$K$5000, '03_BOC_TACH_VAN'!$B$2:$B$5000, B121, '03_BOC_TACH_VAN'!$D$2:$D$5000, "ĐỘNG_CƠ_VÀ_CẢM_BIẾN"))*0.25</f>
        <v/>
      </c>
      <c r="M121" s="16">
        <f>(K121-SUMIFS('03_BOC_TACH_VAN'!$K$2:$K$5000, '03_BOC_TACH_VAN'!$B$2:$B$5000, B121, '03_BOC_TACH_VAN'!$D$2:$D$5000, "ĐỘNG_CƠ_VÀ_CẢM_BIẾN"))*0.10</f>
        <v/>
      </c>
      <c r="N121" s="16">
        <f>K121+L121+M121</f>
        <v/>
      </c>
      <c r="O121" s="16">
        <f>IF(G121&gt;0, N121/G121, 0)</f>
        <v/>
      </c>
      <c r="P121" s="17" t="n">
        <v>0.18</v>
      </c>
      <c r="Q121" s="16">
        <f>IF(G121&gt;0, ((N121-SUMIFS('03_BOC_TACH_VAN'!$K$2:$K$5000, '03_BOC_TACH_VAN'!$B$2:$B$5000, B121, '03_BOC_TACH_VAN'!$D$2:$D$5000, "ĐỘNG_CƠ_VÀ_CẢM_BIẾN"))*(1+P121)+SUMIFS('03_BOC_TACH_VAN'!$K$2:$K$5000, '03_BOC_TACH_VAN'!$B$2:$B$5000, B121, '03_BOC_TACH_VAN'!$D$2:$D$5000, "ĐỘNG_CƠ_VÀ_CẢM_BIẾN"))/G121, 0)</f>
        <v/>
      </c>
      <c r="R121" s="16">
        <f>G121*Q121</f>
        <v/>
      </c>
      <c r="S121" t="inlineStr">
        <is>
          <t>Cửa nan thẳng bầu dục kèm van OBD (tăng áp / hút khói). Không tính box do nhà thầu tự thi công</t>
        </is>
      </c>
    </row>
    <row r="122">
      <c r="A122" t="n">
        <v>121</v>
      </c>
      <c r="B122" t="inlineStr">
        <is>
          <t>SW-DIFF-121</t>
        </is>
      </c>
      <c r="C122" t="inlineStr">
        <is>
          <t>CỬA GIÓ</t>
        </is>
      </c>
      <c r="D122" t="inlineStr">
        <is>
          <t>Miệng gió xả áp PAG 200x200
Kèm box gió</t>
        </is>
      </c>
      <c r="E122" t="inlineStr">
        <is>
          <t>200x200</t>
        </is>
      </c>
      <c r="F122" t="inlineStr">
        <is>
          <t>Cái</t>
        </is>
      </c>
      <c r="G122" s="16" t="n">
        <v>72</v>
      </c>
      <c r="H122" s="16">
        <f>SUMIF('01_BOC_TACH_ONG'!$B$2:$B$5000, B122, '01_BOC_TACH_ONG'!$K$2:$K$5000)</f>
        <v/>
      </c>
      <c r="I122" s="16">
        <f>SUMIF('02_BOC_TACH_CUA'!$B$2:$B$5000, B122, '02_BOC_TACH_CUA'!$K$2:$K$5000)</f>
        <v/>
      </c>
      <c r="J122" s="16">
        <f>SUMIF('03_BOC_TACH_VAN'!$B$2:$B$5000, B122, '03_BOC_TACH_VAN'!$K$2:$K$5000)</f>
        <v/>
      </c>
      <c r="K122" s="16">
        <f>SUM(H122:J122)</f>
        <v/>
      </c>
      <c r="L122" s="16">
        <f>(K122-SUMIFS('03_BOC_TACH_VAN'!$K$2:$K$5000, '03_BOC_TACH_VAN'!$B$2:$B$5000, B122, '03_BOC_TACH_VAN'!$D$2:$D$5000, "ĐỘNG_CƠ_VÀ_CẢM_BIẾN"))*0.25</f>
        <v/>
      </c>
      <c r="M122" s="16">
        <f>(K122-SUMIFS('03_BOC_TACH_VAN'!$K$2:$K$5000, '03_BOC_TACH_VAN'!$B$2:$B$5000, B122, '03_BOC_TACH_VAN'!$D$2:$D$5000, "ĐỘNG_CƠ_VÀ_CẢM_BIẾN"))*0.10</f>
        <v/>
      </c>
      <c r="N122" s="16">
        <f>K122+L122+M122</f>
        <v/>
      </c>
      <c r="O122" s="16">
        <f>IF(G122&gt;0, N122/G122, 0)</f>
        <v/>
      </c>
      <c r="P122" s="17" t="n">
        <v>0.18</v>
      </c>
      <c r="Q122" s="16">
        <f>IF(G122&gt;0, ((N122-SUMIFS('03_BOC_TACH_VAN'!$K$2:$K$5000, '03_BOC_TACH_VAN'!$B$2:$B$5000, B122, '03_BOC_TACH_VAN'!$D$2:$D$5000, "ĐỘNG_CƠ_VÀ_CẢM_BIẾN"))*(1+P122)+SUMIFS('03_BOC_TACH_VAN'!$K$2:$K$5000, '03_BOC_TACH_VAN'!$B$2:$B$5000, B122, '03_BOC_TACH_VAN'!$D$2:$D$5000, "ĐỘNG_CƠ_VÀ_CẢM_BIẾN"))/G122, 0)</f>
        <v/>
      </c>
      <c r="R122" s="16">
        <f>G122*Q122</f>
        <v/>
      </c>
      <c r="S122" t="inlineStr">
        <is>
          <t>Cửa nan bầu dục 1 lớp. Không tính box do nhà thầu tự thi công</t>
        </is>
      </c>
    </row>
    <row r="123">
      <c r="A123" t="n">
        <v>122</v>
      </c>
      <c r="B123" t="inlineStr">
        <is>
          <t>SW-DIFF-122</t>
        </is>
      </c>
      <c r="C123" t="inlineStr">
        <is>
          <t>CỬA GIÓ</t>
        </is>
      </c>
      <c r="D123" t="inlineStr">
        <is>
          <t>Miệng gió xả áp PAG 1100x400
Kèm box gió</t>
        </is>
      </c>
      <c r="E123" t="inlineStr">
        <is>
          <t>1100x400</t>
        </is>
      </c>
      <c r="F123" t="inlineStr">
        <is>
          <t>Cái</t>
        </is>
      </c>
      <c r="G123" s="16" t="n">
        <v>204</v>
      </c>
      <c r="H123" s="16">
        <f>SUMIF('01_BOC_TACH_ONG'!$B$2:$B$5000, B123, '01_BOC_TACH_ONG'!$K$2:$K$5000)</f>
        <v/>
      </c>
      <c r="I123" s="16">
        <f>SUMIF('02_BOC_TACH_CUA'!$B$2:$B$5000, B123, '02_BOC_TACH_CUA'!$K$2:$K$5000)</f>
        <v/>
      </c>
      <c r="J123" s="16">
        <f>SUMIF('03_BOC_TACH_VAN'!$B$2:$B$5000, B123, '03_BOC_TACH_VAN'!$K$2:$K$5000)</f>
        <v/>
      </c>
      <c r="K123" s="16">
        <f>SUM(H123:J123)</f>
        <v/>
      </c>
      <c r="L123" s="16">
        <f>(K123-SUMIFS('03_BOC_TACH_VAN'!$K$2:$K$5000, '03_BOC_TACH_VAN'!$B$2:$B$5000, B123, '03_BOC_TACH_VAN'!$D$2:$D$5000, "ĐỘNG_CƠ_VÀ_CẢM_BIẾN"))*0.25</f>
        <v/>
      </c>
      <c r="M123" s="16">
        <f>(K123-SUMIFS('03_BOC_TACH_VAN'!$K$2:$K$5000, '03_BOC_TACH_VAN'!$B$2:$B$5000, B123, '03_BOC_TACH_VAN'!$D$2:$D$5000, "ĐỘNG_CƠ_VÀ_CẢM_BIẾN"))*0.10</f>
        <v/>
      </c>
      <c r="N123" s="16">
        <f>K123+L123+M123</f>
        <v/>
      </c>
      <c r="O123" s="16">
        <f>IF(G123&gt;0, N123/G123, 0)</f>
        <v/>
      </c>
      <c r="P123" s="17" t="n">
        <v>0.18</v>
      </c>
      <c r="Q123" s="16">
        <f>IF(G123&gt;0, ((N123-SUMIFS('03_BOC_TACH_VAN'!$K$2:$K$5000, '03_BOC_TACH_VAN'!$B$2:$B$5000, B123, '03_BOC_TACH_VAN'!$D$2:$D$5000, "ĐỘNG_CƠ_VÀ_CẢM_BIẾN"))*(1+P123)+SUMIFS('03_BOC_TACH_VAN'!$K$2:$K$5000, '03_BOC_TACH_VAN'!$B$2:$B$5000, B123, '03_BOC_TACH_VAN'!$D$2:$D$5000, "ĐỘNG_CƠ_VÀ_CẢM_BIẾN"))/G123, 0)</f>
        <v/>
      </c>
      <c r="R123" s="16">
        <f>G123*Q123</f>
        <v/>
      </c>
      <c r="S123" t="inlineStr">
        <is>
          <t>Cửa nan bầu dục 1 lớp. Không tính box do nhà thầu tự thi công</t>
        </is>
      </c>
    </row>
    <row r="124">
      <c r="A124" t="n">
        <v>123</v>
      </c>
      <c r="B124" t="inlineStr">
        <is>
          <t>SW-DIFF-123</t>
        </is>
      </c>
      <c r="C124" t="inlineStr">
        <is>
          <t>CỬA GIÓ</t>
        </is>
      </c>
      <c r="D124" t="inlineStr">
        <is>
          <t>Miệng gió tạo áp PAG 400x400 + OBD
Kèm box gió</t>
        </is>
      </c>
      <c r="E124" t="inlineStr">
        <is>
          <t>400x400</t>
        </is>
      </c>
      <c r="F124" t="inlineStr">
        <is>
          <t>Cái</t>
        </is>
      </c>
      <c r="G124" s="16" t="n">
        <v>204</v>
      </c>
      <c r="H124" s="16">
        <f>SUMIF('01_BOC_TACH_ONG'!$B$2:$B$5000, B124, '01_BOC_TACH_ONG'!$K$2:$K$5000)</f>
        <v/>
      </c>
      <c r="I124" s="16">
        <f>SUMIF('02_BOC_TACH_CUA'!$B$2:$B$5000, B124, '02_BOC_TACH_CUA'!$K$2:$K$5000)</f>
        <v/>
      </c>
      <c r="J124" s="16">
        <f>SUMIF('03_BOC_TACH_VAN'!$B$2:$B$5000, B124, '03_BOC_TACH_VAN'!$K$2:$K$5000)</f>
        <v/>
      </c>
      <c r="K124" s="16">
        <f>SUM(H124:J124)</f>
        <v/>
      </c>
      <c r="L124" s="16">
        <f>(K124-SUMIFS('03_BOC_TACH_VAN'!$K$2:$K$5000, '03_BOC_TACH_VAN'!$B$2:$B$5000, B124, '03_BOC_TACH_VAN'!$D$2:$D$5000, "ĐỘNG_CƠ_VÀ_CẢM_BIẾN"))*0.25</f>
        <v/>
      </c>
      <c r="M124" s="16">
        <f>(K124-SUMIFS('03_BOC_TACH_VAN'!$K$2:$K$5000, '03_BOC_TACH_VAN'!$B$2:$B$5000, B124, '03_BOC_TACH_VAN'!$D$2:$D$5000, "ĐỘNG_CƠ_VÀ_CẢM_BIẾN"))*0.10</f>
        <v/>
      </c>
      <c r="N124" s="16">
        <f>K124+L124+M124</f>
        <v/>
      </c>
      <c r="O124" s="16">
        <f>IF(G124&gt;0, N124/G124, 0)</f>
        <v/>
      </c>
      <c r="P124" s="17" t="n">
        <v>0.18</v>
      </c>
      <c r="Q124" s="16">
        <f>IF(G124&gt;0, ((N124-SUMIFS('03_BOC_TACH_VAN'!$K$2:$K$5000, '03_BOC_TACH_VAN'!$B$2:$B$5000, B124, '03_BOC_TACH_VAN'!$D$2:$D$5000, "ĐỘNG_CƠ_VÀ_CẢM_BIẾN"))*(1+P124)+SUMIFS('03_BOC_TACH_VAN'!$K$2:$K$5000, '03_BOC_TACH_VAN'!$B$2:$B$5000, B124, '03_BOC_TACH_VAN'!$D$2:$D$5000, "ĐỘNG_CƠ_VÀ_CẢM_BIẾN"))/G124, 0)</f>
        <v/>
      </c>
      <c r="R124" s="16">
        <f>G124*Q124</f>
        <v/>
      </c>
      <c r="S124" t="inlineStr">
        <is>
          <t>Cửa nan thẳng bầu dục kèm van OBD (tăng áp / hút khói). Không tính box do nhà thầu tự thi công</t>
        </is>
      </c>
    </row>
    <row r="125">
      <c r="A125" t="n">
        <v>124</v>
      </c>
      <c r="B125" t="inlineStr">
        <is>
          <t>SW-DIFF-124</t>
        </is>
      </c>
      <c r="C125" t="inlineStr">
        <is>
          <t>CỬA GIÓ</t>
        </is>
      </c>
      <c r="D125" t="inlineStr">
        <is>
          <t>Miệng gió xả áp PAG 1000x500
Kèm box gió</t>
        </is>
      </c>
      <c r="E125" t="inlineStr">
        <is>
          <t>1000x500</t>
        </is>
      </c>
      <c r="F125" t="inlineStr">
        <is>
          <t>cái</t>
        </is>
      </c>
      <c r="G125" s="16" t="n">
        <v>2</v>
      </c>
      <c r="H125" s="16">
        <f>SUMIF('01_BOC_TACH_ONG'!$B$2:$B$5000, B125, '01_BOC_TACH_ONG'!$K$2:$K$5000)</f>
        <v/>
      </c>
      <c r="I125" s="16">
        <f>SUMIF('02_BOC_TACH_CUA'!$B$2:$B$5000, B125, '02_BOC_TACH_CUA'!$K$2:$K$5000)</f>
        <v/>
      </c>
      <c r="J125" s="16">
        <f>SUMIF('03_BOC_TACH_VAN'!$B$2:$B$5000, B125, '03_BOC_TACH_VAN'!$K$2:$K$5000)</f>
        <v/>
      </c>
      <c r="K125" s="16">
        <f>SUM(H125:J125)</f>
        <v/>
      </c>
      <c r="L125" s="16">
        <f>(K125-SUMIFS('03_BOC_TACH_VAN'!$K$2:$K$5000, '03_BOC_TACH_VAN'!$B$2:$B$5000, B125, '03_BOC_TACH_VAN'!$D$2:$D$5000, "ĐỘNG_CƠ_VÀ_CẢM_BIẾN"))*0.25</f>
        <v/>
      </c>
      <c r="M125" s="16">
        <f>(K125-SUMIFS('03_BOC_TACH_VAN'!$K$2:$K$5000, '03_BOC_TACH_VAN'!$B$2:$B$5000, B125, '03_BOC_TACH_VAN'!$D$2:$D$5000, "ĐỘNG_CƠ_VÀ_CẢM_BIẾN"))*0.10</f>
        <v/>
      </c>
      <c r="N125" s="16">
        <f>K125+L125+M125</f>
        <v/>
      </c>
      <c r="O125" s="16">
        <f>IF(G125&gt;0, N125/G125, 0)</f>
        <v/>
      </c>
      <c r="P125" s="17" t="n">
        <v>0.18</v>
      </c>
      <c r="Q125" s="16">
        <f>IF(G125&gt;0, ((N125-SUMIFS('03_BOC_TACH_VAN'!$K$2:$K$5000, '03_BOC_TACH_VAN'!$B$2:$B$5000, B125, '03_BOC_TACH_VAN'!$D$2:$D$5000, "ĐỘNG_CƠ_VÀ_CẢM_BIẾN"))*(1+P125)+SUMIFS('03_BOC_TACH_VAN'!$K$2:$K$5000, '03_BOC_TACH_VAN'!$B$2:$B$5000, B125, '03_BOC_TACH_VAN'!$D$2:$D$5000, "ĐỘNG_CƠ_VÀ_CẢM_BIẾN"))/G125, 0)</f>
        <v/>
      </c>
      <c r="R125" s="16">
        <f>G125*Q125</f>
        <v/>
      </c>
      <c r="S125" t="inlineStr">
        <is>
          <t>Cửa nan bầu dục 1 lớp. Không tính box do nhà thầu tự thi công</t>
        </is>
      </c>
    </row>
    <row r="126">
      <c r="A126" t="n">
        <v>125</v>
      </c>
      <c r="B126" t="inlineStr">
        <is>
          <t>SW-DIFF-125</t>
        </is>
      </c>
      <c r="C126" t="inlineStr">
        <is>
          <t>CỬA GIÓ</t>
        </is>
      </c>
      <c r="D126" t="inlineStr">
        <is>
          <t>Louver FAL + LCCT 1300x500</t>
        </is>
      </c>
      <c r="E126" t="inlineStr">
        <is>
          <t>1300x500</t>
        </is>
      </c>
      <c r="F126" t="inlineStr">
        <is>
          <t>cửa</t>
        </is>
      </c>
      <c r="G126" s="16" t="n">
        <v>2</v>
      </c>
      <c r="H126" s="16">
        <f>SUMIF('01_BOC_TACH_ONG'!$B$2:$B$5000, B126, '01_BOC_TACH_ONG'!$K$2:$K$5000)</f>
        <v/>
      </c>
      <c r="I126" s="16">
        <f>SUMIF('02_BOC_TACH_CUA'!$B$2:$B$5000, B126, '02_BOC_TACH_CUA'!$K$2:$K$5000)</f>
        <v/>
      </c>
      <c r="J126" s="16">
        <f>SUMIF('03_BOC_TACH_VAN'!$B$2:$B$5000, B126, '03_BOC_TACH_VAN'!$K$2:$K$5000)</f>
        <v/>
      </c>
      <c r="K126" s="16">
        <f>SUM(H126:J126)</f>
        <v/>
      </c>
      <c r="L126" s="16">
        <f>(K126-SUMIFS('03_BOC_TACH_VAN'!$K$2:$K$5000, '03_BOC_TACH_VAN'!$B$2:$B$5000, B126, '03_BOC_TACH_VAN'!$D$2:$D$5000, "ĐỘNG_CƠ_VÀ_CẢM_BIẾN"))*0.25</f>
        <v/>
      </c>
      <c r="M126" s="16">
        <f>(K126-SUMIFS('03_BOC_TACH_VAN'!$K$2:$K$5000, '03_BOC_TACH_VAN'!$B$2:$B$5000, B126, '03_BOC_TACH_VAN'!$D$2:$D$5000, "ĐỘNG_CƠ_VÀ_CẢM_BIẾN"))*0.10</f>
        <v/>
      </c>
      <c r="N126" s="16">
        <f>K126+L126+M126</f>
        <v/>
      </c>
      <c r="O126" s="16">
        <f>IF(G126&gt;0, N126/G126, 0)</f>
        <v/>
      </c>
      <c r="P126" s="17" t="n">
        <v>0.18</v>
      </c>
      <c r="Q126" s="16">
        <f>IF(G126&gt;0, ((N126-SUMIFS('03_BOC_TACH_VAN'!$K$2:$K$5000, '03_BOC_TACH_VAN'!$B$2:$B$5000, B126, '03_BOC_TACH_VAN'!$D$2:$D$5000, "ĐỘNG_CƠ_VÀ_CẢM_BIẾN"))*(1+P126)+SUMIFS('03_BOC_TACH_VAN'!$K$2:$K$5000, '03_BOC_TACH_VAN'!$B$2:$B$5000, B126, '03_BOC_TACH_VAN'!$D$2:$D$5000, "ĐỘNG_CƠ_VÀ_CẢM_BIẾN"))/G126, 0)</f>
        <v/>
      </c>
      <c r="R126" s="16">
        <f>G126*Q126</f>
        <v/>
      </c>
      <c r="S126" t="inlineStr">
        <is>
          <t>Louver nan Z ngoài trời kèm lưới chắn côn trùng Inox 304</t>
        </is>
      </c>
    </row>
    <row r="127">
      <c r="A127" t="n">
        <v>126</v>
      </c>
      <c r="B127" t="inlineStr">
        <is>
          <t>SW-DIFF-126</t>
        </is>
      </c>
      <c r="C127" t="inlineStr">
        <is>
          <t>CỬA GIÓ</t>
        </is>
      </c>
      <c r="D127" t="inlineStr">
        <is>
          <t>Lưới chắn côn trùng LCCT D800</t>
        </is>
      </c>
      <c r="E127" t="inlineStr">
        <is>
          <t>D800</t>
        </is>
      </c>
      <c r="F127" t="inlineStr">
        <is>
          <t>Cái</t>
        </is>
      </c>
      <c r="G127" s="16" t="n">
        <v>2</v>
      </c>
      <c r="H127" s="16">
        <f>SUMIF('01_BOC_TACH_ONG'!$B$2:$B$5000, B127, '01_BOC_TACH_ONG'!$K$2:$K$5000)</f>
        <v/>
      </c>
      <c r="I127" s="16">
        <f>SUMIF('02_BOC_TACH_CUA'!$B$2:$B$5000, B127, '02_BOC_TACH_CUA'!$K$2:$K$5000)</f>
        <v/>
      </c>
      <c r="J127" s="16">
        <f>SUMIF('03_BOC_TACH_VAN'!$B$2:$B$5000, B127, '03_BOC_TACH_VAN'!$K$2:$K$5000)</f>
        <v/>
      </c>
      <c r="K127" s="16">
        <f>SUM(H127:J127)</f>
        <v/>
      </c>
      <c r="L127" s="16">
        <f>(K127-SUMIFS('03_BOC_TACH_VAN'!$K$2:$K$5000, '03_BOC_TACH_VAN'!$B$2:$B$5000, B127, '03_BOC_TACH_VAN'!$D$2:$D$5000, "ĐỘNG_CƠ_VÀ_CẢM_BIẾN"))*0.25</f>
        <v/>
      </c>
      <c r="M127" s="16">
        <f>(K127-SUMIFS('03_BOC_TACH_VAN'!$K$2:$K$5000, '03_BOC_TACH_VAN'!$B$2:$B$5000, B127, '03_BOC_TACH_VAN'!$D$2:$D$5000, "ĐỘNG_CƠ_VÀ_CẢM_BIẾN"))*0.10</f>
        <v/>
      </c>
      <c r="N127" s="16">
        <f>K127+L127+M127</f>
        <v/>
      </c>
      <c r="O127" s="16">
        <f>IF(G127&gt;0, N127/G127, 0)</f>
        <v/>
      </c>
      <c r="P127" s="17" t="n">
        <v>0.18</v>
      </c>
      <c r="Q127" s="16">
        <f>IF(G127&gt;0, ((N127-SUMIFS('03_BOC_TACH_VAN'!$K$2:$K$5000, '03_BOC_TACH_VAN'!$B$2:$B$5000, B127, '03_BOC_TACH_VAN'!$D$2:$D$5000, "ĐỘNG_CƠ_VÀ_CẢM_BIẾN"))*(1+P127)+SUMIFS('03_BOC_TACH_VAN'!$K$2:$K$5000, '03_BOC_TACH_VAN'!$B$2:$B$5000, B127, '03_BOC_TACH_VAN'!$D$2:$D$5000, "ĐỘNG_CƠ_VÀ_CẢM_BIẾN"))/G127, 0)</f>
        <v/>
      </c>
      <c r="R127" s="16">
        <f>G127*Q127</f>
        <v/>
      </c>
      <c r="S127" t="inlineStr">
        <is>
          <t>Lưới chắn côn trùng</t>
        </is>
      </c>
    </row>
    <row r="128">
      <c r="A128" t="n">
        <v>127</v>
      </c>
      <c r="B128" t="inlineStr">
        <is>
          <t>SW-DIFF-127</t>
        </is>
      </c>
      <c r="C128" t="inlineStr">
        <is>
          <t>CỬA GIÓ</t>
        </is>
      </c>
      <c r="D128" t="inlineStr">
        <is>
          <t>Lưới chắn côn trùng LCCT D980</t>
        </is>
      </c>
      <c r="E128" t="inlineStr">
        <is>
          <t>D980</t>
        </is>
      </c>
      <c r="F128" t="inlineStr">
        <is>
          <t>Cái</t>
        </is>
      </c>
      <c r="G128" s="16" t="n">
        <v>16</v>
      </c>
      <c r="H128" s="16">
        <f>SUMIF('01_BOC_TACH_ONG'!$B$2:$B$5000, B128, '01_BOC_TACH_ONG'!$K$2:$K$5000)</f>
        <v/>
      </c>
      <c r="I128" s="16">
        <f>SUMIF('02_BOC_TACH_CUA'!$B$2:$B$5000, B128, '02_BOC_TACH_CUA'!$K$2:$K$5000)</f>
        <v/>
      </c>
      <c r="J128" s="16">
        <f>SUMIF('03_BOC_TACH_VAN'!$B$2:$B$5000, B128, '03_BOC_TACH_VAN'!$K$2:$K$5000)</f>
        <v/>
      </c>
      <c r="K128" s="16">
        <f>SUM(H128:J128)</f>
        <v/>
      </c>
      <c r="L128" s="16">
        <f>(K128-SUMIFS('03_BOC_TACH_VAN'!$K$2:$K$5000, '03_BOC_TACH_VAN'!$B$2:$B$5000, B128, '03_BOC_TACH_VAN'!$D$2:$D$5000, "ĐỘNG_CƠ_VÀ_CẢM_BIẾN"))*0.25</f>
        <v/>
      </c>
      <c r="M128" s="16">
        <f>(K128-SUMIFS('03_BOC_TACH_VAN'!$K$2:$K$5000, '03_BOC_TACH_VAN'!$B$2:$B$5000, B128, '03_BOC_TACH_VAN'!$D$2:$D$5000, "ĐỘNG_CƠ_VÀ_CẢM_BIẾN"))*0.10</f>
        <v/>
      </c>
      <c r="N128" s="16">
        <f>K128+L128+M128</f>
        <v/>
      </c>
      <c r="O128" s="16">
        <f>IF(G128&gt;0, N128/G128, 0)</f>
        <v/>
      </c>
      <c r="P128" s="17" t="n">
        <v>0.18</v>
      </c>
      <c r="Q128" s="16">
        <f>IF(G128&gt;0, ((N128-SUMIFS('03_BOC_TACH_VAN'!$K$2:$K$5000, '03_BOC_TACH_VAN'!$B$2:$B$5000, B128, '03_BOC_TACH_VAN'!$D$2:$D$5000, "ĐỘNG_CƠ_VÀ_CẢM_BIẾN"))*(1+P128)+SUMIFS('03_BOC_TACH_VAN'!$K$2:$K$5000, '03_BOC_TACH_VAN'!$B$2:$B$5000, B128, '03_BOC_TACH_VAN'!$D$2:$D$5000, "ĐỘNG_CƠ_VÀ_CẢM_BIẾN"))/G128, 0)</f>
        <v/>
      </c>
      <c r="R128" s="16">
        <f>G128*Q128</f>
        <v/>
      </c>
      <c r="S128" t="inlineStr">
        <is>
          <t>Lưới chắn côn trùng</t>
        </is>
      </c>
    </row>
    <row r="129">
      <c r="A129" t="n">
        <v>128</v>
      </c>
      <c r="B129" t="inlineStr">
        <is>
          <t>SW-DAMPER-128</t>
        </is>
      </c>
      <c r="C129" t="inlineStr">
        <is>
          <t>VAN GIÓ</t>
        </is>
      </c>
      <c r="D129" t="inlineStr">
        <is>
          <t>Van chặn lửa, EI30 FD 150x150</t>
        </is>
      </c>
      <c r="E129" t="inlineStr">
        <is>
          <t>150x150</t>
        </is>
      </c>
      <c r="F129" t="inlineStr">
        <is>
          <t>Cái</t>
        </is>
      </c>
      <c r="G129" s="16" t="n">
        <v>76</v>
      </c>
      <c r="H129" s="16">
        <f>SUMIF('01_BOC_TACH_ONG'!$B$2:$B$5000, B129, '01_BOC_TACH_ONG'!$K$2:$K$5000)</f>
        <v/>
      </c>
      <c r="I129" s="16">
        <f>SUMIF('02_BOC_TACH_CUA'!$B$2:$B$5000, B129, '02_BOC_TACH_CUA'!$K$2:$K$5000)</f>
        <v/>
      </c>
      <c r="J129" s="16">
        <f>SUMIF('03_BOC_TACH_VAN'!$B$2:$B$5000, B129, '03_BOC_TACH_VAN'!$K$2:$K$5000)</f>
        <v/>
      </c>
      <c r="K129" s="16">
        <f>SUM(H129:J129)</f>
        <v/>
      </c>
      <c r="L129" s="16">
        <f>(K129-SUMIFS('03_BOC_TACH_VAN'!$K$2:$K$5000, '03_BOC_TACH_VAN'!$B$2:$B$5000, B129, '03_BOC_TACH_VAN'!$D$2:$D$5000, "ĐỘNG_CƠ_VÀ_CẢM_BIẾN"))*0.25</f>
        <v/>
      </c>
      <c r="M129" s="16">
        <f>(K129-SUMIFS('03_BOC_TACH_VAN'!$K$2:$K$5000, '03_BOC_TACH_VAN'!$B$2:$B$5000, B129, '03_BOC_TACH_VAN'!$D$2:$D$5000, "ĐỘNG_CƠ_VÀ_CẢM_BIẾN"))*0.10</f>
        <v/>
      </c>
      <c r="N129" s="16">
        <f>K129+L129+M129</f>
        <v/>
      </c>
      <c r="O129" s="16">
        <f>IF(G129&gt;0, N129/G129, 0)</f>
        <v/>
      </c>
      <c r="P129" s="17" t="n">
        <v>0.18</v>
      </c>
      <c r="Q129" s="16">
        <f>IF(G129&gt;0, ((N129-SUMIFS('03_BOC_TACH_VAN'!$K$2:$K$5000, '03_BOC_TACH_VAN'!$B$2:$B$5000, B129, '03_BOC_TACH_VAN'!$D$2:$D$5000, "ĐỘNG_CƠ_VÀ_CẢM_BIẾN"))*(1+P129)+SUMIFS('03_BOC_TACH_VAN'!$K$2:$K$5000, '03_BOC_TACH_VAN'!$B$2:$B$5000, B129, '03_BOC_TACH_VAN'!$D$2:$D$5000, "ĐỘNG_CƠ_VÀ_CẢM_BIẾN"))/G129, 0)</f>
        <v/>
      </c>
      <c r="R129" s="16">
        <f>G129*Q129</f>
        <v/>
      </c>
      <c r="S129" t="inlineStr">
        <is>
          <t>- Van chặn lửa cầu chì - Tiêu chuẩn EI 120
- 2 đầu bích TDC - gắn cầu chì 70-74 độ C
- Sản xuất theo BCTN số: 4761/VLXD-TBMT</t>
        </is>
      </c>
    </row>
    <row r="130">
      <c r="A130" t="n">
        <v>129</v>
      </c>
      <c r="B130" t="inlineStr">
        <is>
          <t>SW-DAMPER-129</t>
        </is>
      </c>
      <c r="C130" t="inlineStr">
        <is>
          <t>VAN GIÓ</t>
        </is>
      </c>
      <c r="D130" t="inlineStr">
        <is>
          <t>Van điều chỉnh lưu lượng VCD 150x150</t>
        </is>
      </c>
      <c r="E130" t="inlineStr">
        <is>
          <t>150x150</t>
        </is>
      </c>
      <c r="F130" t="inlineStr">
        <is>
          <t>Cái</t>
        </is>
      </c>
      <c r="G130" s="16" t="n">
        <v>76</v>
      </c>
      <c r="H130" s="16">
        <f>SUMIF('01_BOC_TACH_ONG'!$B$2:$B$5000, B130, '01_BOC_TACH_ONG'!$K$2:$K$5000)</f>
        <v/>
      </c>
      <c r="I130" s="16">
        <f>SUMIF('02_BOC_TACH_CUA'!$B$2:$B$5000, B130, '02_BOC_TACH_CUA'!$K$2:$K$5000)</f>
        <v/>
      </c>
      <c r="J130" s="16">
        <f>SUMIF('03_BOC_TACH_VAN'!$B$2:$B$5000, B130, '03_BOC_TACH_VAN'!$K$2:$K$5000)</f>
        <v/>
      </c>
      <c r="K130" s="16">
        <f>SUM(H130:J130)</f>
        <v/>
      </c>
      <c r="L130" s="16">
        <f>(K130-SUMIFS('03_BOC_TACH_VAN'!$K$2:$K$5000, '03_BOC_TACH_VAN'!$B$2:$B$5000, B130, '03_BOC_TACH_VAN'!$D$2:$D$5000, "ĐỘNG_CƠ_VÀ_CẢM_BIẾN"))*0.25</f>
        <v/>
      </c>
      <c r="M130" s="16">
        <f>(K130-SUMIFS('03_BOC_TACH_VAN'!$K$2:$K$5000, '03_BOC_TACH_VAN'!$B$2:$B$5000, B130, '03_BOC_TACH_VAN'!$D$2:$D$5000, "ĐỘNG_CƠ_VÀ_CẢM_BIẾN"))*0.10</f>
        <v/>
      </c>
      <c r="N130" s="16">
        <f>K130+L130+M130</f>
        <v/>
      </c>
      <c r="O130" s="16">
        <f>IF(G130&gt;0, N130/G130, 0)</f>
        <v/>
      </c>
      <c r="P130" s="17" t="n">
        <v>0.18</v>
      </c>
      <c r="Q130" s="16">
        <f>IF(G130&gt;0, ((N130-SUMIFS('03_BOC_TACH_VAN'!$K$2:$K$5000, '03_BOC_TACH_VAN'!$B$2:$B$5000, B130, '03_BOC_TACH_VAN'!$D$2:$D$5000, "ĐỘNG_CƠ_VÀ_CẢM_BIẾN"))*(1+P130)+SUMIFS('03_BOC_TACH_VAN'!$K$2:$K$5000, '03_BOC_TACH_VAN'!$B$2:$B$5000, B130, '03_BOC_TACH_VAN'!$D$2:$D$5000, "ĐỘNG_CƠ_VÀ_CẢM_BIẾN"))/G130, 0)</f>
        <v/>
      </c>
      <c r="R130" s="16">
        <f>G130*Q130</f>
        <v/>
      </c>
      <c r="S130" t="inlineStr">
        <is>
          <t>Van điều chỉnh lưu lượng tay gạt tôn mạ kẽm</t>
        </is>
      </c>
    </row>
    <row r="131">
      <c r="A131" t="n">
        <v>130</v>
      </c>
      <c r="B131" t="inlineStr">
        <is>
          <t>SW-DIFF-130</t>
        </is>
      </c>
      <c r="C131" t="inlineStr">
        <is>
          <t>CỬA GIÓ</t>
        </is>
      </c>
      <c r="D131" t="inlineStr">
        <is>
          <t>Miệng gió tạo áp EAG 150x150 + OBD
Kèm box gió</t>
        </is>
      </c>
      <c r="E131" t="inlineStr">
        <is>
          <t>150x150</t>
        </is>
      </c>
      <c r="F131" t="inlineStr">
        <is>
          <t>Cái</t>
        </is>
      </c>
      <c r="G131" s="16" t="n">
        <v>152</v>
      </c>
      <c r="H131" s="16">
        <f>SUMIF('01_BOC_TACH_ONG'!$B$2:$B$5000, B131, '01_BOC_TACH_ONG'!$K$2:$K$5000)</f>
        <v/>
      </c>
      <c r="I131" s="16">
        <f>SUMIF('02_BOC_TACH_CUA'!$B$2:$B$5000, B131, '02_BOC_TACH_CUA'!$K$2:$K$5000)</f>
        <v/>
      </c>
      <c r="J131" s="16">
        <f>SUMIF('03_BOC_TACH_VAN'!$B$2:$B$5000, B131, '03_BOC_TACH_VAN'!$K$2:$K$5000)</f>
        <v/>
      </c>
      <c r="K131" s="16">
        <f>SUM(H131:J131)</f>
        <v/>
      </c>
      <c r="L131" s="16">
        <f>(K131-SUMIFS('03_BOC_TACH_VAN'!$K$2:$K$5000, '03_BOC_TACH_VAN'!$B$2:$B$5000, B131, '03_BOC_TACH_VAN'!$D$2:$D$5000, "ĐỘNG_CƠ_VÀ_CẢM_BIẾN"))*0.25</f>
        <v/>
      </c>
      <c r="M131" s="16">
        <f>(K131-SUMIFS('03_BOC_TACH_VAN'!$K$2:$K$5000, '03_BOC_TACH_VAN'!$B$2:$B$5000, B131, '03_BOC_TACH_VAN'!$D$2:$D$5000, "ĐỘNG_CƠ_VÀ_CẢM_BIẾN"))*0.10</f>
        <v/>
      </c>
      <c r="N131" s="16">
        <f>K131+L131+M131</f>
        <v/>
      </c>
      <c r="O131" s="16">
        <f>IF(G131&gt;0, N131/G131, 0)</f>
        <v/>
      </c>
      <c r="P131" s="17" t="n">
        <v>0.18</v>
      </c>
      <c r="Q131" s="16">
        <f>IF(G131&gt;0, ((N131-SUMIFS('03_BOC_TACH_VAN'!$K$2:$K$5000, '03_BOC_TACH_VAN'!$B$2:$B$5000, B131, '03_BOC_TACH_VAN'!$D$2:$D$5000, "ĐỘNG_CƠ_VÀ_CẢM_BIẾN"))*(1+P131)+SUMIFS('03_BOC_TACH_VAN'!$K$2:$K$5000, '03_BOC_TACH_VAN'!$B$2:$B$5000, B131, '03_BOC_TACH_VAN'!$D$2:$D$5000, "ĐỘNG_CƠ_VÀ_CẢM_BIẾN"))/G131, 0)</f>
        <v/>
      </c>
      <c r="R131" s="16">
        <f>G131*Q131</f>
        <v/>
      </c>
      <c r="S131" t="inlineStr">
        <is>
          <t>Cửa nan thẳng bầu dục kèm van OBD (tăng áp / hút khói). Không tính box do nhà thầu tự thi công</t>
        </is>
      </c>
    </row>
    <row r="132">
      <c r="A132" t="n">
        <v>131</v>
      </c>
      <c r="B132" t="inlineStr">
        <is>
          <t>SW-DIFF-131</t>
        </is>
      </c>
      <c r="C132" t="inlineStr">
        <is>
          <t>CỬA GIÓ</t>
        </is>
      </c>
      <c r="D132" t="inlineStr">
        <is>
          <t>Lưới chắn côn trùng LCCT 700x300</t>
        </is>
      </c>
      <c r="E132" t="inlineStr">
        <is>
          <t>700x300</t>
        </is>
      </c>
      <c r="F132" t="inlineStr">
        <is>
          <t>Cái</t>
        </is>
      </c>
      <c r="G132" s="16" t="n">
        <v>2</v>
      </c>
      <c r="H132" s="16">
        <f>SUMIF('01_BOC_TACH_ONG'!$B$2:$B$5000, B132, '01_BOC_TACH_ONG'!$K$2:$K$5000)</f>
        <v/>
      </c>
      <c r="I132" s="16">
        <f>SUMIF('02_BOC_TACH_CUA'!$B$2:$B$5000, B132, '02_BOC_TACH_CUA'!$K$2:$K$5000)</f>
        <v/>
      </c>
      <c r="J132" s="16">
        <f>SUMIF('03_BOC_TACH_VAN'!$B$2:$B$5000, B132, '03_BOC_TACH_VAN'!$K$2:$K$5000)</f>
        <v/>
      </c>
      <c r="K132" s="16">
        <f>SUM(H132:J132)</f>
        <v/>
      </c>
      <c r="L132" s="16">
        <f>(K132-SUMIFS('03_BOC_TACH_VAN'!$K$2:$K$5000, '03_BOC_TACH_VAN'!$B$2:$B$5000, B132, '03_BOC_TACH_VAN'!$D$2:$D$5000, "ĐỘNG_CƠ_VÀ_CẢM_BIẾN"))*0.25</f>
        <v/>
      </c>
      <c r="M132" s="16">
        <f>(K132-SUMIFS('03_BOC_TACH_VAN'!$K$2:$K$5000, '03_BOC_TACH_VAN'!$B$2:$B$5000, B132, '03_BOC_TACH_VAN'!$D$2:$D$5000, "ĐỘNG_CƠ_VÀ_CẢM_BIẾN"))*0.10</f>
        <v/>
      </c>
      <c r="N132" s="16">
        <f>K132+L132+M132</f>
        <v/>
      </c>
      <c r="O132" s="16">
        <f>IF(G132&gt;0, N132/G132, 0)</f>
        <v/>
      </c>
      <c r="P132" s="17" t="n">
        <v>0.18</v>
      </c>
      <c r="Q132" s="16">
        <f>IF(G132&gt;0, ((N132-SUMIFS('03_BOC_TACH_VAN'!$K$2:$K$5000, '03_BOC_TACH_VAN'!$B$2:$B$5000, B132, '03_BOC_TACH_VAN'!$D$2:$D$5000, "ĐỘNG_CƠ_VÀ_CẢM_BIẾN"))*(1+P132)+SUMIFS('03_BOC_TACH_VAN'!$K$2:$K$5000, '03_BOC_TACH_VAN'!$B$2:$B$5000, B132, '03_BOC_TACH_VAN'!$D$2:$D$5000, "ĐỘNG_CƠ_VÀ_CẢM_BIẾN"))/G132, 0)</f>
        <v/>
      </c>
      <c r="R132" s="16">
        <f>G132*Q132</f>
        <v/>
      </c>
      <c r="S132" t="inlineStr">
        <is>
          <t>Lưới chắn côn trùng</t>
        </is>
      </c>
    </row>
    <row r="133">
      <c r="A133" s="18" t="inlineStr">
        <is>
          <t>TỔNG CỘNG</t>
        </is>
      </c>
      <c r="H133" s="19">
        <f>SUM(H2:H132)</f>
        <v/>
      </c>
      <c r="I133" s="19">
        <f>SUM(I2:I132)</f>
        <v/>
      </c>
      <c r="J133" s="19">
        <f>SUM(J2:J132)</f>
        <v/>
      </c>
      <c r="K133" s="19">
        <f>SUM(K2:K132)</f>
        <v/>
      </c>
      <c r="L133" s="19">
        <f>SUM(L2:L132)</f>
        <v/>
      </c>
      <c r="M133" s="19">
        <f>SUM(M2:M132)</f>
        <v/>
      </c>
      <c r="N133" s="19">
        <f>SUM(N2:N132)</f>
        <v/>
      </c>
      <c r="R133" s="19">
        <f>SUM(R2:R132)</f>
        <v/>
      </c>
    </row>
  </sheetData>
  <mergeCells count="1">
    <mergeCell ref="A133:F1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6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  <row r="2">
      <c r="A2" t="inlineStr">
        <is>
          <t>SW-DIFF-009-FRAME</t>
        </is>
      </c>
      <c r="B2" t="inlineStr">
        <is>
          <t>SW-DIFF-009</t>
        </is>
      </c>
      <c r="C2" t="inlineStr">
        <is>
          <t>Khung nhôm định hình Louver (SWL)</t>
        </is>
      </c>
      <c r="D2" t="inlineStr">
        <is>
          <t>NHÔM_ĐỊNH_HÌNH</t>
        </is>
      </c>
      <c r="E2" t="inlineStr">
        <is>
          <t>MAT-ALU-KHUNG-Z-2-LOP</t>
        </is>
      </c>
      <c r="F2" t="inlineStr">
        <is>
          <t>kg</t>
        </is>
      </c>
      <c r="G2" s="20" t="n">
        <v>1.120023845820928</v>
      </c>
      <c r="H2" s="16">
        <f>'00_TONG_HOP_BAO_GIA'!G10</f>
        <v/>
      </c>
      <c r="I2" s="21">
        <f>G2*H2</f>
        <v/>
      </c>
      <c r="J2" s="16">
        <f>IFERROR(INDEX('06_BANG_GIA_VAT_TU_AP_DUNG'!$E$1:$E$5000, MATCH(E2, '06_BANG_GIA_VAT_TU_AP_DUNG'!$B$1:$B$5000, 0)), 0)</f>
        <v/>
      </c>
      <c r="K2" s="16">
        <f>I2*J2</f>
        <v/>
      </c>
      <c r="L2" t="inlineStr">
        <is>
          <t>Khung Louver phủ bì 1900x500mm</t>
        </is>
      </c>
    </row>
    <row r="3">
      <c r="A3" t="inlineStr">
        <is>
          <t>SW-DIFF-009-BLADE</t>
        </is>
      </c>
      <c r="B3" t="inlineStr">
        <is>
          <t>SW-DIFF-009</t>
        </is>
      </c>
      <c r="C3" t="inlineStr">
        <is>
          <t>Nan Z Louver &amp; thanh tăng cứng (10 nan)</t>
        </is>
      </c>
      <c r="D3" t="inlineStr">
        <is>
          <t>NHÔM_ĐỊNH_HÌNH</t>
        </is>
      </c>
      <c r="E3" t="inlineStr">
        <is>
          <t>MAT-ALU-NAN-Z-DAY</t>
        </is>
      </c>
      <c r="F3" t="inlineStr">
        <is>
          <t>kg</t>
        </is>
      </c>
      <c r="G3" s="20" t="n">
        <v>4.194744227263252</v>
      </c>
      <c r="H3" s="16">
        <f>'00_TONG_HOP_BAO_GIA'!G10</f>
        <v/>
      </c>
      <c r="I3" s="21">
        <f>G3*H3</f>
        <v/>
      </c>
      <c r="J3" s="16">
        <f>IFERROR(INDEX('06_BANG_GIA_VAT_TU_AP_DUNG'!$E$1:$E$5000, MATCH(E3, '06_BANG_GIA_VAT_TU_AP_DUNG'!$B$1:$B$5000, 0)), 0)</f>
        <v/>
      </c>
      <c r="K3" s="16">
        <f>I3*J3</f>
        <v/>
      </c>
      <c r="L3" t="inlineStr">
        <is>
          <t>10 nan Z dày @ 0.217kg/m + thanh giằng</t>
        </is>
      </c>
    </row>
    <row r="4">
      <c r="A4" t="inlineStr">
        <is>
          <t>SW-DIFF-009-ACCESSORY</t>
        </is>
      </c>
      <c r="B4" t="inlineStr">
        <is>
          <t>SW-DIFF-009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20" t="n">
        <v>0.08896197947716619</v>
      </c>
      <c r="H4" s="16">
        <f>'00_TONG_HOP_BAO_GIA'!G10</f>
        <v/>
      </c>
      <c r="I4" s="21">
        <f>G4*H4</f>
        <v/>
      </c>
      <c r="J4" s="16">
        <f>IFERROR(INDEX('06_BANG_GIA_VAT_TU_AP_DUNG'!$E$1:$E$5000, MATCH(E4, '06_BANG_GIA_VAT_TU_AP_DUNG'!$B$1:$B$5000, 0)), 0)</f>
        <v/>
      </c>
      <c r="K4" s="16">
        <f>I4*J4</f>
        <v/>
      </c>
      <c r="L4" t="inlineStr">
        <is>
          <t>Ke góc và vít ghép khung Louver</t>
        </is>
      </c>
    </row>
    <row r="5">
      <c r="A5" t="inlineStr">
        <is>
          <t>SW-DIFF-009-PAINT</t>
        </is>
      </c>
      <c r="B5" t="inlineStr">
        <is>
          <t>SW-DIFF-009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20" t="n">
        <v>1.063859681164116</v>
      </c>
      <c r="H5" s="16">
        <f>'00_TONG_HOP_BAO_GIA'!G10</f>
        <v/>
      </c>
      <c r="I5" s="21">
        <f>G5*H5</f>
        <v/>
      </c>
      <c r="J5" s="16">
        <f>IFERROR(INDEX('06_BANG_GIA_VAT_TU_AP_DUNG'!$E$1:$E$5000, MATCH(E5, '06_BANG_GIA_VAT_TU_AP_DUNG'!$B$1:$B$5000, 0)), 0)</f>
        <v/>
      </c>
      <c r="K5" s="16">
        <f>I5*J5</f>
        <v/>
      </c>
      <c r="L5" t="inlineStr">
        <is>
          <t>Sơn tĩnh điện khung và nan Louver</t>
        </is>
      </c>
    </row>
    <row r="6">
      <c r="A6" t="inlineStr">
        <is>
          <t>SW-DIFF-009-MESH</t>
        </is>
      </c>
      <c r="B6" t="inlineStr">
        <is>
          <t>SW-DIFF-009</t>
        </is>
      </c>
      <c r="C6" t="inlineStr">
        <is>
          <t>Lưới chắn côn trùng Inox 304 (LCCT)</t>
        </is>
      </c>
      <c r="D6" t="inlineStr">
        <is>
          <t>PHỤ_KIỆN_CỬA</t>
        </is>
      </c>
      <c r="E6" t="inlineStr">
        <is>
          <t>MAT-MESH-INOX-304</t>
        </is>
      </c>
      <c r="F6" t="inlineStr">
        <is>
          <t>m2</t>
        </is>
      </c>
      <c r="G6" s="20" t="n">
        <v>0.5231219920485457</v>
      </c>
      <c r="H6" s="16">
        <f>'00_TONG_HOP_BAO_GIA'!G10</f>
        <v/>
      </c>
      <c r="I6" s="21">
        <f>G6*H6</f>
        <v/>
      </c>
      <c r="J6" s="16">
        <f>IFERROR(INDEX('06_BANG_GIA_VAT_TU_AP_DUNG'!$E$1:$E$5000, MATCH(E6, '06_BANG_GIA_VAT_TU_AP_DUNG'!$B$1:$B$5000, 0)), 0)</f>
        <v/>
      </c>
      <c r="K6" s="16">
        <f>I6*J6</f>
        <v/>
      </c>
      <c r="L6" t="inlineStr">
        <is>
          <t>Lưới chắn côn trùng cổ 1850x450mm</t>
        </is>
      </c>
    </row>
    <row r="7">
      <c r="A7" t="inlineStr">
        <is>
          <t>SW-DIFF-010-FRAME</t>
        </is>
      </c>
      <c r="B7" t="inlineStr">
        <is>
          <t>SW-DIFF-010</t>
        </is>
      </c>
      <c r="C7" t="inlineStr">
        <is>
          <t>Khung nhôm định hình (1 lớp BD)</t>
        </is>
      </c>
      <c r="D7" t="inlineStr">
        <is>
          <t>NHÔM_ĐỊNH_HÌNH</t>
        </is>
      </c>
      <c r="E7" t="inlineStr">
        <is>
          <t>MAT-ALU-KHUNG-BD</t>
        </is>
      </c>
      <c r="F7" t="inlineStr">
        <is>
          <t>kg</t>
        </is>
      </c>
      <c r="G7" s="20" t="n">
        <v>0.6168376452196568</v>
      </c>
      <c r="H7" s="16">
        <f>'00_TONG_HOP_BAO_GIA'!G11</f>
        <v/>
      </c>
      <c r="I7" s="21">
        <f>G7*H7</f>
        <v/>
      </c>
      <c r="J7" s="16">
        <f>IFERROR(INDEX('06_BANG_GIA_VAT_TU_AP_DUNG'!$E$1:$E$5000, MATCH(E7, '06_BANG_GIA_VAT_TU_AP_DUNG'!$B$1:$B$5000, 0)), 0)</f>
        <v/>
      </c>
      <c r="K7" s="16">
        <f>I7*J7</f>
        <v/>
      </c>
      <c r="L7" t="inlineStr">
        <is>
          <t>Khung bao 1150x550mm (cổ 1100x500mm)</t>
        </is>
      </c>
    </row>
    <row r="8">
      <c r="A8" t="inlineStr">
        <is>
          <t>SW-DIFF-010-BLADE</t>
        </is>
      </c>
      <c r="B8" t="inlineStr">
        <is>
          <t>SW-DIFF-010</t>
        </is>
      </c>
      <c r="C8" t="inlineStr">
        <is>
          <t>Nan nhôm bầu dục (24 nan)</t>
        </is>
      </c>
      <c r="D8" t="inlineStr">
        <is>
          <t>NHÔM_ĐỊNH_HÌNH</t>
        </is>
      </c>
      <c r="E8" t="inlineStr">
        <is>
          <t>MAT-ALU-NAN-BD</t>
        </is>
      </c>
      <c r="F8" t="inlineStr">
        <is>
          <t>kg</t>
        </is>
      </c>
      <c r="G8" s="20" t="n">
        <v>1.430196551121046</v>
      </c>
      <c r="H8" s="16">
        <f>'00_TONG_HOP_BAO_GIA'!G11</f>
        <v/>
      </c>
      <c r="I8" s="21">
        <f>G8*H8</f>
        <v/>
      </c>
      <c r="J8" s="16">
        <f>IFERROR(INDEX('06_BANG_GIA_VAT_TU_AP_DUNG'!$E$1:$E$5000, MATCH(E8, '06_BANG_GIA_VAT_TU_AP_DUNG'!$B$1:$B$5000, 0)), 0)</f>
        <v/>
      </c>
      <c r="K8" s="16">
        <f>I8*J8</f>
        <v/>
      </c>
      <c r="L8" t="inlineStr">
        <is>
          <t>Nan bầu dục @ 0.058kg/m</t>
        </is>
      </c>
    </row>
    <row r="9">
      <c r="A9" t="inlineStr">
        <is>
          <t>SW-DIFF-010-ACCESSORY</t>
        </is>
      </c>
      <c r="B9" t="inlineStr">
        <is>
          <t>SW-DIFF-010</t>
        </is>
      </c>
      <c r="C9" t="inlineStr">
        <is>
          <t>Phụ kiện lắp ghép / Ke góc cửa gió</t>
        </is>
      </c>
      <c r="D9" t="inlineStr">
        <is>
          <t>PHỤ_KIỆN_CỬA</t>
        </is>
      </c>
      <c r="E9" t="inlineStr">
        <is>
          <t>MAT-DOOR-ACCESSORY</t>
        </is>
      </c>
      <c r="F9" t="inlineStr">
        <is>
          <t>Bộ</t>
        </is>
      </c>
      <c r="G9" s="20" t="n">
        <v>0.1067043194880279</v>
      </c>
      <c r="H9" s="16">
        <f>'00_TONG_HOP_BAO_GIA'!G11</f>
        <v/>
      </c>
      <c r="I9" s="21">
        <f>G9*H9</f>
        <v/>
      </c>
      <c r="J9" s="16">
        <f>IFERROR(INDEX('06_BANG_GIA_VAT_TU_AP_DUNG'!$E$1:$E$5000, MATCH(E9, '06_BANG_GIA_VAT_TU_AP_DUNG'!$B$1:$B$5000, 0)), 0)</f>
        <v/>
      </c>
      <c r="K9" s="16">
        <f>I9*J9</f>
        <v/>
      </c>
      <c r="L9" t="inlineStr">
        <is>
          <t>4 ke góc chìm và vít ghép khung</t>
        </is>
      </c>
    </row>
    <row r="10">
      <c r="A10" t="inlineStr">
        <is>
          <t>SW-DIFF-010-PAINT</t>
        </is>
      </c>
      <c r="B10" t="inlineStr">
        <is>
          <t>SW-DIFF-010</t>
        </is>
      </c>
      <c r="C10" t="inlineStr">
        <is>
          <t>Sơn tĩnh điện tiêu chuẩn Polyester</t>
        </is>
      </c>
      <c r="D10" t="inlineStr">
        <is>
          <t>SƠN_TĨNH_ĐIỆN</t>
        </is>
      </c>
      <c r="E10" t="inlineStr">
        <is>
          <t>MAT-PAINT-POWDER</t>
        </is>
      </c>
      <c r="F10" t="inlineStr">
        <is>
          <t>m2</t>
        </is>
      </c>
      <c r="G10" s="20" t="n">
        <v>0.4484092108367477</v>
      </c>
      <c r="H10" s="16">
        <f>'00_TONG_HOP_BAO_GIA'!G11</f>
        <v/>
      </c>
      <c r="I10" s="21">
        <f>G10*H10</f>
        <v/>
      </c>
      <c r="J10" s="16">
        <f>IFERROR(INDEX('06_BANG_GIA_VAT_TU_AP_DUNG'!$E$1:$E$5000, MATCH(E10, '06_BANG_GIA_VAT_TU_AP_DUNG'!$B$1:$B$5000, 0)), 0)</f>
        <v/>
      </c>
      <c r="K10" s="16">
        <f>I10*J10</f>
        <v/>
      </c>
      <c r="L10" t="inlineStr">
        <is>
          <t>Sơn tĩnh điện hoàn thiện</t>
        </is>
      </c>
    </row>
    <row r="11">
      <c r="A11" t="inlineStr">
        <is>
          <t>SW-DIFF-011-FRAME</t>
        </is>
      </c>
      <c r="B11" t="inlineStr">
        <is>
          <t>SW-DIFF-011</t>
        </is>
      </c>
      <c r="C11" t="inlineStr">
        <is>
          <t>Khung nhôm định hình (1 lớp BD)</t>
        </is>
      </c>
      <c r="D11" t="inlineStr">
        <is>
          <t>NHÔM_ĐỊNH_HÌNH</t>
        </is>
      </c>
      <c r="E11" t="inlineStr">
        <is>
          <t>MAT-ALU-KHUNG-BD</t>
        </is>
      </c>
      <c r="F11" t="inlineStr">
        <is>
          <t>kg</t>
        </is>
      </c>
      <c r="G11" s="20" t="n">
        <v>0.3264460104909221</v>
      </c>
      <c r="H11" s="16">
        <f>'00_TONG_HOP_BAO_GIA'!G12</f>
        <v/>
      </c>
      <c r="I11" s="21">
        <f>G11*H11</f>
        <v/>
      </c>
      <c r="J11" s="16">
        <f>IFERROR(INDEX('06_BANG_GIA_VAT_TU_AP_DUNG'!$E$1:$E$5000, MATCH(E11, '06_BANG_GIA_VAT_TU_AP_DUNG'!$B$1:$B$5000, 0)), 0)</f>
        <v/>
      </c>
      <c r="K11" s="16">
        <f>I11*J11</f>
        <v/>
      </c>
      <c r="L11" t="inlineStr">
        <is>
          <t>Khung bao 600x300mm (cổ 550x250mm)</t>
        </is>
      </c>
    </row>
    <row r="12">
      <c r="A12" t="inlineStr">
        <is>
          <t>SW-DIFF-011-BLADE</t>
        </is>
      </c>
      <c r="B12" t="inlineStr">
        <is>
          <t>SW-DIFF-011</t>
        </is>
      </c>
      <c r="C12" t="inlineStr">
        <is>
          <t>Nan nhôm bầu dục (12 nan)</t>
        </is>
      </c>
      <c r="D12" t="inlineStr">
        <is>
          <t>NHÔM_ĐỊNH_HÌNH</t>
        </is>
      </c>
      <c r="E12" t="inlineStr">
        <is>
          <t>MAT-ALU-NAN-BD</t>
        </is>
      </c>
      <c r="F12" t="inlineStr">
        <is>
          <t>kg</t>
        </is>
      </c>
      <c r="G12" s="20" t="n">
        <v>0.356631086803439</v>
      </c>
      <c r="H12" s="16">
        <f>'00_TONG_HOP_BAO_GIA'!G12</f>
        <v/>
      </c>
      <c r="I12" s="21">
        <f>G12*H12</f>
        <v/>
      </c>
      <c r="J12" s="16">
        <f>IFERROR(INDEX('06_BANG_GIA_VAT_TU_AP_DUNG'!$E$1:$E$5000, MATCH(E12, '06_BANG_GIA_VAT_TU_AP_DUNG'!$B$1:$B$5000, 0)), 0)</f>
        <v/>
      </c>
      <c r="K12" s="16">
        <f>I12*J12</f>
        <v/>
      </c>
      <c r="L12" t="inlineStr">
        <is>
          <t>Nan bầu dục @ 0.058kg/m</t>
        </is>
      </c>
    </row>
    <row r="13">
      <c r="A13" t="inlineStr">
        <is>
          <t>SW-DIFF-011-ACCESSORY</t>
        </is>
      </c>
      <c r="B13" t="inlineStr">
        <is>
          <t>SW-DIFF-011</t>
        </is>
      </c>
      <c r="C13" t="inlineStr">
        <is>
          <t>Phụ kiện lắp ghép / Ke góc cửa gió</t>
        </is>
      </c>
      <c r="D13" t="inlineStr">
        <is>
          <t>PHỤ_KIỆN_CỬA</t>
        </is>
      </c>
      <c r="E13" t="inlineStr">
        <is>
          <t>MAT-DOOR-ACCESSORY</t>
        </is>
      </c>
      <c r="F13" t="inlineStr">
        <is>
          <t>Bộ</t>
        </is>
      </c>
      <c r="G13" s="20" t="n">
        <v>0.05321517157317773</v>
      </c>
      <c r="H13" s="16">
        <f>'00_TONG_HOP_BAO_GIA'!G12</f>
        <v/>
      </c>
      <c r="I13" s="21">
        <f>G13*H13</f>
        <v/>
      </c>
      <c r="J13" s="16">
        <f>IFERROR(INDEX('06_BANG_GIA_VAT_TU_AP_DUNG'!$E$1:$E$5000, MATCH(E13, '06_BANG_GIA_VAT_TU_AP_DUNG'!$B$1:$B$5000, 0)), 0)</f>
        <v/>
      </c>
      <c r="K13" s="16">
        <f>I13*J13</f>
        <v/>
      </c>
      <c r="L13" t="inlineStr">
        <is>
          <t>4 ke góc chìm và vít ghép khung</t>
        </is>
      </c>
    </row>
    <row r="14">
      <c r="A14" t="inlineStr">
        <is>
          <t>SW-DIFF-011-PAINT</t>
        </is>
      </c>
      <c r="B14" t="inlineStr">
        <is>
          <t>SW-DIFF-011</t>
        </is>
      </c>
      <c r="C14" t="inlineStr">
        <is>
          <t>Sơn tĩnh điện tiêu chuẩn Polyester</t>
        </is>
      </c>
      <c r="D14" t="inlineStr">
        <is>
          <t>SƠN_TĨNH_ĐIỆN</t>
        </is>
      </c>
      <c r="E14" t="inlineStr">
        <is>
          <t>MAT-PAINT-POWDER</t>
        </is>
      </c>
      <c r="F14" t="inlineStr">
        <is>
          <t>m2</t>
        </is>
      </c>
      <c r="G14" s="20" t="n">
        <v>0.1474999343840079</v>
      </c>
      <c r="H14" s="16">
        <f>'00_TONG_HOP_BAO_GIA'!G12</f>
        <v/>
      </c>
      <c r="I14" s="21">
        <f>G14*H14</f>
        <v/>
      </c>
      <c r="J14" s="16">
        <f>IFERROR(INDEX('06_BANG_GIA_VAT_TU_AP_DUNG'!$E$1:$E$5000, MATCH(E14, '06_BANG_GIA_VAT_TU_AP_DUNG'!$B$1:$B$5000, 0)), 0)</f>
        <v/>
      </c>
      <c r="K14" s="16">
        <f>I14*J14</f>
        <v/>
      </c>
      <c r="L14" t="inlineStr">
        <is>
          <t>Sơn tĩnh điện hoàn thiện</t>
        </is>
      </c>
    </row>
    <row r="15">
      <c r="A15" t="inlineStr">
        <is>
          <t>SW-DIFF-011-OBD-FRAME</t>
        </is>
      </c>
      <c r="B15" t="inlineStr">
        <is>
          <t>SW-DIFF-011</t>
        </is>
      </c>
      <c r="C15" t="inlineStr">
        <is>
          <t>Khung nhôm van OBD gắn cửa (SOBD)</t>
        </is>
      </c>
      <c r="D15" t="inlineStr">
        <is>
          <t>NHÔM_ĐỊNH_HÌNH</t>
        </is>
      </c>
      <c r="E15" t="inlineStr">
        <is>
          <t>MAT-ALU-KHUNG-OBD</t>
        </is>
      </c>
      <c r="F15" t="inlineStr">
        <is>
          <t>kg</t>
        </is>
      </c>
      <c r="G15" s="20" t="n">
        <v>0.2191780870022872</v>
      </c>
      <c r="H15" s="16">
        <f>'00_TONG_HOP_BAO_GIA'!G12</f>
        <v/>
      </c>
      <c r="I15" s="21">
        <f>G15*H15</f>
        <v/>
      </c>
      <c r="J15" s="16">
        <f>IFERROR(INDEX('06_BANG_GIA_VAT_TU_AP_DUNG'!$E$1:$E$5000, MATCH(E15, '06_BANG_GIA_VAT_TU_AP_DUNG'!$B$1:$B$5000, 0)), 0)</f>
        <v/>
      </c>
      <c r="K15" s="16">
        <f>I15*J15</f>
        <v/>
      </c>
      <c r="L15" t="inlineStr">
        <is>
          <t>Khung OBD 550x250mm</t>
        </is>
      </c>
    </row>
    <row r="16">
      <c r="A16" t="inlineStr">
        <is>
          <t>SW-DIFF-011-OBD-BLADE</t>
        </is>
      </c>
      <c r="B16" t="inlineStr">
        <is>
          <t>SW-DIFF-011</t>
        </is>
      </c>
      <c r="C16" t="inlineStr">
        <is>
          <t>Nan nhôm &amp; thanh truyền van OBD (SOBD)</t>
        </is>
      </c>
      <c r="D16" t="inlineStr">
        <is>
          <t>NHÔM_ĐỊNH_HÌNH</t>
        </is>
      </c>
      <c r="E16" t="inlineStr">
        <is>
          <t>MAT-ALU-NAN-OBD</t>
        </is>
      </c>
      <c r="F16" t="inlineStr">
        <is>
          <t>kg</t>
        </is>
      </c>
      <c r="G16" s="20" t="n">
        <v>0.2980319122113775</v>
      </c>
      <c r="H16" s="16">
        <f>'00_TONG_HOP_BAO_GIA'!G12</f>
        <v/>
      </c>
      <c r="I16" s="21">
        <f>G16*H16</f>
        <v/>
      </c>
      <c r="J16" s="16">
        <f>IFERROR(INDEX('06_BANG_GIA_VAT_TU_AP_DUNG'!$E$1:$E$5000, MATCH(E16, '06_BANG_GIA_VAT_TU_AP_DUNG'!$B$1:$B$5000, 0)), 0)</f>
        <v/>
      </c>
      <c r="K16" s="16">
        <f>I16*J16</f>
        <v/>
      </c>
      <c r="L16" t="inlineStr">
        <is>
          <t>Nan OBD đối xứng &amp; thanh liên kết</t>
        </is>
      </c>
    </row>
    <row r="17">
      <c r="A17" t="inlineStr">
        <is>
          <t>SW-DIFF-011-OBD-ACC</t>
        </is>
      </c>
      <c r="B17" t="inlineStr">
        <is>
          <t>SW-DIFF-011</t>
        </is>
      </c>
      <c r="C17" t="inlineStr">
        <is>
          <t>Bánh răng nhựa &amp; phụ kiện van OBD</t>
        </is>
      </c>
      <c r="D17" t="inlineStr">
        <is>
          <t>PHỤ_KIỆN_CỬA</t>
        </is>
      </c>
      <c r="E17" t="inlineStr">
        <is>
          <t>MAT-DOOR-ACCESSORY</t>
        </is>
      </c>
      <c r="F17" t="inlineStr">
        <is>
          <t>Bộ</t>
        </is>
      </c>
      <c r="G17" s="20" t="n">
        <v>1.231187891885335</v>
      </c>
      <c r="H17" s="16">
        <f>'00_TONG_HOP_BAO_GIA'!G12</f>
        <v/>
      </c>
      <c r="I17" s="21">
        <f>G17*H17</f>
        <v/>
      </c>
      <c r="J17" s="16">
        <f>IFERROR(INDEX('06_BANG_GIA_VAT_TU_AP_DUNG'!$E$1:$E$5000, MATCH(E17, '06_BANG_GIA_VAT_TU_AP_DUNG'!$B$1:$B$5000, 0)), 0)</f>
        <v/>
      </c>
      <c r="K17" s="16">
        <f>I17*J17</f>
        <v/>
      </c>
      <c r="L17" t="inlineStr">
        <is>
          <t>Cơ cấu bánh răng đóng mở OBD</t>
        </is>
      </c>
    </row>
    <row r="18">
      <c r="A18" t="inlineStr">
        <is>
          <t>SW-DIFF-012-FRAME</t>
        </is>
      </c>
      <c r="B18" t="inlineStr">
        <is>
          <t>SW-DIFF-012</t>
        </is>
      </c>
      <c r="C18" t="inlineStr">
        <is>
          <t>Khung nhôm định hình (1 lớp BD)</t>
        </is>
      </c>
      <c r="D18" t="inlineStr">
        <is>
          <t>NHÔM_ĐỊNH_HÌNH</t>
        </is>
      </c>
      <c r="E18" t="inlineStr">
        <is>
          <t>MAT-ALU-KHUNG-BD</t>
        </is>
      </c>
      <c r="F18" t="inlineStr">
        <is>
          <t>kg</t>
        </is>
      </c>
      <c r="G18" s="20" t="n">
        <v>0.416155678390341</v>
      </c>
      <c r="H18" s="16">
        <f>'00_TONG_HOP_BAO_GIA'!G13</f>
        <v/>
      </c>
      <c r="I18" s="21">
        <f>G18*H18</f>
        <v/>
      </c>
      <c r="J18" s="16">
        <f>IFERROR(INDEX('06_BANG_GIA_VAT_TU_AP_DUNG'!$E$1:$E$5000, MATCH(E18, '06_BANG_GIA_VAT_TU_AP_DUNG'!$B$1:$B$5000, 0)), 0)</f>
        <v/>
      </c>
      <c r="K18" s="16">
        <f>I18*J18</f>
        <v/>
      </c>
      <c r="L18" t="inlineStr">
        <is>
          <t>Khung bao 800x350mm (cổ 750x300mm)</t>
        </is>
      </c>
    </row>
    <row r="19">
      <c r="A19" t="inlineStr">
        <is>
          <t>SW-DIFF-012-BLADE</t>
        </is>
      </c>
      <c r="B19" t="inlineStr">
        <is>
          <t>SW-DIFF-012</t>
        </is>
      </c>
      <c r="C19" t="inlineStr">
        <is>
          <t>Nan nhôm bầu dục (14 nan)</t>
        </is>
      </c>
      <c r="D19" t="inlineStr">
        <is>
          <t>NHÔM_ĐỊNH_HÌNH</t>
        </is>
      </c>
      <c r="E19" t="inlineStr">
        <is>
          <t>MAT-ALU-NAN-BD</t>
        </is>
      </c>
      <c r="F19" t="inlineStr">
        <is>
          <t>kg</t>
        </is>
      </c>
      <c r="G19" s="20" t="n">
        <v>0.5697814931198688</v>
      </c>
      <c r="H19" s="16">
        <f>'00_TONG_HOP_BAO_GIA'!G13</f>
        <v/>
      </c>
      <c r="I19" s="21">
        <f>G19*H19</f>
        <v/>
      </c>
      <c r="J19" s="16">
        <f>IFERROR(INDEX('06_BANG_GIA_VAT_TU_AP_DUNG'!$E$1:$E$5000, MATCH(E19, '06_BANG_GIA_VAT_TU_AP_DUNG'!$B$1:$B$5000, 0)), 0)</f>
        <v/>
      </c>
      <c r="K19" s="16">
        <f>I19*J19</f>
        <v/>
      </c>
      <c r="L19" t="inlineStr">
        <is>
          <t>Nan bầu dục @ 0.058kg/m</t>
        </is>
      </c>
    </row>
    <row r="20">
      <c r="A20" t="inlineStr">
        <is>
          <t>SW-DIFF-012-ACCESSORY</t>
        </is>
      </c>
      <c r="B20" t="inlineStr">
        <is>
          <t>SW-DIFF-012</t>
        </is>
      </c>
      <c r="C20" t="inlineStr">
        <is>
          <t>Phụ kiện lắp ghép / Ke góc cửa gió</t>
        </is>
      </c>
      <c r="D20" t="inlineStr">
        <is>
          <t>PHỤ_KIỆN_CỬA</t>
        </is>
      </c>
      <c r="E20" t="inlineStr">
        <is>
          <t>MAT-DOOR-ACCESSORY</t>
        </is>
      </c>
      <c r="F20" t="inlineStr">
        <is>
          <t>Bộ</t>
        </is>
      </c>
      <c r="G20" s="20" t="n">
        <v>0.06234850361495576</v>
      </c>
      <c r="H20" s="16">
        <f>'00_TONG_HOP_BAO_GIA'!G13</f>
        <v/>
      </c>
      <c r="I20" s="21">
        <f>G20*H20</f>
        <v/>
      </c>
      <c r="J20" s="16">
        <f>IFERROR(INDEX('06_BANG_GIA_VAT_TU_AP_DUNG'!$E$1:$E$5000, MATCH(E20, '06_BANG_GIA_VAT_TU_AP_DUNG'!$B$1:$B$5000, 0)), 0)</f>
        <v/>
      </c>
      <c r="K20" s="16">
        <f>I20*J20</f>
        <v/>
      </c>
      <c r="L20" t="inlineStr">
        <is>
          <t>4 ke góc chìm và vít ghép khung</t>
        </is>
      </c>
    </row>
    <row r="21">
      <c r="A21" t="inlineStr">
        <is>
          <t>SW-DIFF-012-PAINT</t>
        </is>
      </c>
      <c r="B21" t="inlineStr">
        <is>
          <t>SW-DIFF-012</t>
        </is>
      </c>
      <c r="C21" t="inlineStr">
        <is>
          <t>Sơn tĩnh điện tiêu chuẩn Polyester</t>
        </is>
      </c>
      <c r="D21" t="inlineStr">
        <is>
          <t>SƠN_TĨNH_ĐIỆN</t>
        </is>
      </c>
      <c r="E21" t="inlineStr">
        <is>
          <t>MAT-PAINT-POWDER</t>
        </is>
      </c>
      <c r="F21" t="inlineStr">
        <is>
          <t>m2</t>
        </is>
      </c>
      <c r="G21" s="20" t="n">
        <v>0.214395022514621</v>
      </c>
      <c r="H21" s="16">
        <f>'00_TONG_HOP_BAO_GIA'!G13</f>
        <v/>
      </c>
      <c r="I21" s="21">
        <f>G21*H21</f>
        <v/>
      </c>
      <c r="J21" s="16">
        <f>IFERROR(INDEX('06_BANG_GIA_VAT_TU_AP_DUNG'!$E$1:$E$5000, MATCH(E21, '06_BANG_GIA_VAT_TU_AP_DUNG'!$B$1:$B$5000, 0)), 0)</f>
        <v/>
      </c>
      <c r="K21" s="16">
        <f>I21*J21</f>
        <v/>
      </c>
      <c r="L21" t="inlineStr">
        <is>
          <t>Sơn tĩnh điện hoàn thiện</t>
        </is>
      </c>
    </row>
    <row r="22">
      <c r="A22" t="inlineStr">
        <is>
          <t>SW-DIFF-012-OBD-FRAME</t>
        </is>
      </c>
      <c r="B22" t="inlineStr">
        <is>
          <t>SW-DIFF-012</t>
        </is>
      </c>
      <c r="C22" t="inlineStr">
        <is>
          <t>Khung nhôm van OBD gắn cửa (SOBD)</t>
        </is>
      </c>
      <c r="D22" t="inlineStr">
        <is>
          <t>NHÔM_ĐỊNH_HÌNH</t>
        </is>
      </c>
      <c r="E22" t="inlineStr">
        <is>
          <t>MAT-ALU-KHUNG-OBD</t>
        </is>
      </c>
      <c r="F22" t="inlineStr">
        <is>
          <t>kg</t>
        </is>
      </c>
      <c r="G22" s="20" t="n">
        <v>0.2886602879000167</v>
      </c>
      <c r="H22" s="16">
        <f>'00_TONG_HOP_BAO_GIA'!G13</f>
        <v/>
      </c>
      <c r="I22" s="21">
        <f>G22*H22</f>
        <v/>
      </c>
      <c r="J22" s="16">
        <f>IFERROR(INDEX('06_BANG_GIA_VAT_TU_AP_DUNG'!$E$1:$E$5000, MATCH(E22, '06_BANG_GIA_VAT_TU_AP_DUNG'!$B$1:$B$5000, 0)), 0)</f>
        <v/>
      </c>
      <c r="K22" s="16">
        <f>I22*J22</f>
        <v/>
      </c>
      <c r="L22" t="inlineStr">
        <is>
          <t>Khung OBD 750x300mm</t>
        </is>
      </c>
    </row>
    <row r="23">
      <c r="A23" t="inlineStr">
        <is>
          <t>SW-DIFF-012-OBD-BLADE</t>
        </is>
      </c>
      <c r="B23" t="inlineStr">
        <is>
          <t>SW-DIFF-012</t>
        </is>
      </c>
      <c r="C23" t="inlineStr">
        <is>
          <t>Nan nhôm &amp; thanh truyền van OBD (SOBD)</t>
        </is>
      </c>
      <c r="D23" t="inlineStr">
        <is>
          <t>NHÔM_ĐỊNH_HÌNH</t>
        </is>
      </c>
      <c r="E23" t="inlineStr">
        <is>
          <t>MAT-ALU-NAN-OBD</t>
        </is>
      </c>
      <c r="F23" t="inlineStr">
        <is>
          <t>kg</t>
        </is>
      </c>
      <c r="G23" s="20" t="n">
        <v>0.4893653162861946</v>
      </c>
      <c r="H23" s="16">
        <f>'00_TONG_HOP_BAO_GIA'!G13</f>
        <v/>
      </c>
      <c r="I23" s="21">
        <f>G23*H23</f>
        <v/>
      </c>
      <c r="J23" s="16">
        <f>IFERROR(INDEX('06_BANG_GIA_VAT_TU_AP_DUNG'!$E$1:$E$5000, MATCH(E23, '06_BANG_GIA_VAT_TU_AP_DUNG'!$B$1:$B$5000, 0)), 0)</f>
        <v/>
      </c>
      <c r="K23" s="16">
        <f>I23*J23</f>
        <v/>
      </c>
      <c r="L23" t="inlineStr">
        <is>
          <t>Nan OBD đối xứng &amp; thanh liên kết</t>
        </is>
      </c>
    </row>
    <row r="24">
      <c r="A24" t="inlineStr">
        <is>
          <t>SW-DIFF-012-OBD-ACC</t>
        </is>
      </c>
      <c r="B24" t="inlineStr">
        <is>
          <t>SW-DIFF-012</t>
        </is>
      </c>
      <c r="C24" t="inlineStr">
        <is>
          <t>Bánh răng nhựa &amp; phụ kiện van OBD</t>
        </is>
      </c>
      <c r="D24" t="inlineStr">
        <is>
          <t>PHỤ_KIỆN_CỬA</t>
        </is>
      </c>
      <c r="E24" t="inlineStr">
        <is>
          <t>MAT-DOOR-ACCESSORY</t>
        </is>
      </c>
      <c r="F24" t="inlineStr">
        <is>
          <t>Bộ</t>
        </is>
      </c>
      <c r="G24" s="20" t="n">
        <v>1.597007460417308</v>
      </c>
      <c r="H24" s="16">
        <f>'00_TONG_HOP_BAO_GIA'!G13</f>
        <v/>
      </c>
      <c r="I24" s="21">
        <f>G24*H24</f>
        <v/>
      </c>
      <c r="J24" s="16">
        <f>IFERROR(INDEX('06_BANG_GIA_VAT_TU_AP_DUNG'!$E$1:$E$5000, MATCH(E24, '06_BANG_GIA_VAT_TU_AP_DUNG'!$B$1:$B$5000, 0)), 0)</f>
        <v/>
      </c>
      <c r="K24" s="16">
        <f>I24*J24</f>
        <v/>
      </c>
      <c r="L24" t="inlineStr">
        <is>
          <t>Cơ cấu bánh răng đóng mở OBD</t>
        </is>
      </c>
    </row>
    <row r="25">
      <c r="A25" t="inlineStr">
        <is>
          <t>SW-DIFF-013-FRAME</t>
        </is>
      </c>
      <c r="B25" t="inlineStr">
        <is>
          <t>SW-DIFF-013</t>
        </is>
      </c>
      <c r="C25" t="inlineStr">
        <is>
          <t>Khung nhôm định hình (1 lớp BD)</t>
        </is>
      </c>
      <c r="D25" t="inlineStr">
        <is>
          <t>NHÔM_ĐỊNH_HÌNH</t>
        </is>
      </c>
      <c r="E25" t="inlineStr">
        <is>
          <t>MAT-ALU-KHUNG-BD</t>
        </is>
      </c>
      <c r="F25" t="inlineStr">
        <is>
          <t>kg</t>
        </is>
      </c>
      <c r="G25" s="20" t="n">
        <v>0.1900908552674013</v>
      </c>
      <c r="H25" s="16">
        <f>'00_TONG_HOP_BAO_GIA'!G14</f>
        <v/>
      </c>
      <c r="I25" s="21">
        <f>G25*H25</f>
        <v/>
      </c>
      <c r="J25" s="16">
        <f>IFERROR(INDEX('06_BANG_GIA_VAT_TU_AP_DUNG'!$E$1:$E$5000, MATCH(E25, '06_BANG_GIA_VAT_TU_AP_DUNG'!$B$1:$B$5000, 0)), 0)</f>
        <v/>
      </c>
      <c r="K25" s="16">
        <f>I25*J25</f>
        <v/>
      </c>
      <c r="L25" t="inlineStr">
        <is>
          <t>Khung bao 250x250mm (cổ 200x200mm)</t>
        </is>
      </c>
    </row>
    <row r="26">
      <c r="A26" t="inlineStr">
        <is>
          <t>SW-DIFF-013-BLADE</t>
        </is>
      </c>
      <c r="B26" t="inlineStr">
        <is>
          <t>SW-DIFF-013</t>
        </is>
      </c>
      <c r="C26" t="inlineStr">
        <is>
          <t>Nan nhôm bầu dục (9 nan)</t>
        </is>
      </c>
      <c r="D26" t="inlineStr">
        <is>
          <t>NHÔM_ĐỊNH_HÌNH</t>
        </is>
      </c>
      <c r="E26" t="inlineStr">
        <is>
          <t>MAT-ALU-NAN-BD</t>
        </is>
      </c>
      <c r="F26" t="inlineStr">
        <is>
          <t>kg</t>
        </is>
      </c>
      <c r="G26" s="20" t="n">
        <v>0.09824497668275591</v>
      </c>
      <c r="H26" s="16">
        <f>'00_TONG_HOP_BAO_GIA'!G14</f>
        <v/>
      </c>
      <c r="I26" s="21">
        <f>G26*H26</f>
        <v/>
      </c>
      <c r="J26" s="16">
        <f>IFERROR(INDEX('06_BANG_GIA_VAT_TU_AP_DUNG'!$E$1:$E$5000, MATCH(E26, '06_BANG_GIA_VAT_TU_AP_DUNG'!$B$1:$B$5000, 0)), 0)</f>
        <v/>
      </c>
      <c r="K26" s="16">
        <f>I26*J26</f>
        <v/>
      </c>
      <c r="L26" t="inlineStr">
        <is>
          <t>Nan bầu dục @ 0.058kg/m</t>
        </is>
      </c>
    </row>
    <row r="27">
      <c r="A27" t="inlineStr">
        <is>
          <t>SW-DIFF-013-ACCESSORY</t>
        </is>
      </c>
      <c r="B27" t="inlineStr">
        <is>
          <t>SW-DIFF-013</t>
        </is>
      </c>
      <c r="C27" t="inlineStr">
        <is>
          <t>Phụ kiện lắp ghép / Ke góc cửa gió</t>
        </is>
      </c>
      <c r="D27" t="inlineStr">
        <is>
          <t>PHỤ_KIỆN_CỬA</t>
        </is>
      </c>
      <c r="E27" t="inlineStr">
        <is>
          <t>MAT-DOOR-ACCESSORY</t>
        </is>
      </c>
      <c r="F27" t="inlineStr">
        <is>
          <t>Bộ</t>
        </is>
      </c>
      <c r="G27" s="20" t="n">
        <v>0.04031431801809639</v>
      </c>
      <c r="H27" s="16">
        <f>'00_TONG_HOP_BAO_GIA'!G14</f>
        <v/>
      </c>
      <c r="I27" s="21">
        <f>G27*H27</f>
        <v/>
      </c>
      <c r="J27" s="16">
        <f>IFERROR(INDEX('06_BANG_GIA_VAT_TU_AP_DUNG'!$E$1:$E$5000, MATCH(E27, '06_BANG_GIA_VAT_TU_AP_DUNG'!$B$1:$B$5000, 0)), 0)</f>
        <v/>
      </c>
      <c r="K27" s="16">
        <f>I27*J27</f>
        <v/>
      </c>
      <c r="L27" t="inlineStr">
        <is>
          <t>4 ke góc chìm và vít ghép khung</t>
        </is>
      </c>
    </row>
    <row r="28">
      <c r="A28" t="inlineStr">
        <is>
          <t>SW-DIFF-013-PAINT</t>
        </is>
      </c>
      <c r="B28" t="inlineStr">
        <is>
          <t>SW-DIFF-013</t>
        </is>
      </c>
      <c r="C28" t="inlineStr">
        <is>
          <t>Sơn tĩnh điện tiêu chuẩn Polyester</t>
        </is>
      </c>
      <c r="D28" t="inlineStr">
        <is>
          <t>SƠN_TĨNH_ĐIỆN</t>
        </is>
      </c>
      <c r="E28" t="inlineStr">
        <is>
          <t>MAT-PAINT-POWDER</t>
        </is>
      </c>
      <c r="F28" t="inlineStr">
        <is>
          <t>m2</t>
        </is>
      </c>
      <c r="G28" s="20" t="n">
        <v>0.05994976232338097</v>
      </c>
      <c r="H28" s="16">
        <f>'00_TONG_HOP_BAO_GIA'!G14</f>
        <v/>
      </c>
      <c r="I28" s="21">
        <f>G28*H28</f>
        <v/>
      </c>
      <c r="J28" s="16">
        <f>IFERROR(INDEX('06_BANG_GIA_VAT_TU_AP_DUNG'!$E$1:$E$5000, MATCH(E28, '06_BANG_GIA_VAT_TU_AP_DUNG'!$B$1:$B$5000, 0)), 0)</f>
        <v/>
      </c>
      <c r="K28" s="16">
        <f>I28*J28</f>
        <v/>
      </c>
      <c r="L28" t="inlineStr">
        <is>
          <t>Sơn tĩnh điện hoàn thiện</t>
        </is>
      </c>
    </row>
    <row r="29">
      <c r="A29" t="inlineStr">
        <is>
          <t>SW-DIFF-013-OBD-FRAME</t>
        </is>
      </c>
      <c r="B29" t="inlineStr">
        <is>
          <t>SW-DIFF-013</t>
        </is>
      </c>
      <c r="C29" t="inlineStr">
        <is>
          <t>Khung nhôm van OBD gắn cửa (SOBD)</t>
        </is>
      </c>
      <c r="D29" t="inlineStr">
        <is>
          <t>NHÔM_ĐỊNH_HÌNH</t>
        </is>
      </c>
      <c r="E29" t="inlineStr">
        <is>
          <t>MAT-ALU-KHUNG-OBD</t>
        </is>
      </c>
      <c r="F29" t="inlineStr">
        <is>
          <t>kg</t>
        </is>
      </c>
      <c r="G29" s="20" t="n">
        <v>0.1097096254358837</v>
      </c>
      <c r="H29" s="16">
        <f>'00_TONG_HOP_BAO_GIA'!G14</f>
        <v/>
      </c>
      <c r="I29" s="21">
        <f>G29*H29</f>
        <v/>
      </c>
      <c r="J29" s="16">
        <f>IFERROR(INDEX('06_BANG_GIA_VAT_TU_AP_DUNG'!$E$1:$E$5000, MATCH(E29, '06_BANG_GIA_VAT_TU_AP_DUNG'!$B$1:$B$5000, 0)), 0)</f>
        <v/>
      </c>
      <c r="K29" s="16">
        <f>I29*J29</f>
        <v/>
      </c>
      <c r="L29" t="inlineStr">
        <is>
          <t>Khung OBD 200x200mm</t>
        </is>
      </c>
    </row>
    <row r="30">
      <c r="A30" t="inlineStr">
        <is>
          <t>SW-DIFF-013-OBD-BLADE</t>
        </is>
      </c>
      <c r="B30" t="inlineStr">
        <is>
          <t>SW-DIFF-013</t>
        </is>
      </c>
      <c r="C30" t="inlineStr">
        <is>
          <t>Nan nhôm &amp; thanh truyền van OBD (SOBD)</t>
        </is>
      </c>
      <c r="D30" t="inlineStr">
        <is>
          <t>NHÔM_ĐỊNH_HÌNH</t>
        </is>
      </c>
      <c r="E30" t="inlineStr">
        <is>
          <t>MAT-ALU-NAN-OBD</t>
        </is>
      </c>
      <c r="F30" t="inlineStr">
        <is>
          <t>kg</t>
        </is>
      </c>
      <c r="G30" s="20" t="n">
        <v>0.08679558974357889</v>
      </c>
      <c r="H30" s="16">
        <f>'00_TONG_HOP_BAO_GIA'!G14</f>
        <v/>
      </c>
      <c r="I30" s="21">
        <f>G30*H30</f>
        <v/>
      </c>
      <c r="J30" s="16">
        <f>IFERROR(INDEX('06_BANG_GIA_VAT_TU_AP_DUNG'!$E$1:$E$5000, MATCH(E30, '06_BANG_GIA_VAT_TU_AP_DUNG'!$B$1:$B$5000, 0)), 0)</f>
        <v/>
      </c>
      <c r="K30" s="16">
        <f>I30*J30</f>
        <v/>
      </c>
      <c r="L30" t="inlineStr">
        <is>
          <t>Nan OBD đối xứng &amp; thanh liên kết</t>
        </is>
      </c>
    </row>
    <row r="31">
      <c r="A31" t="inlineStr">
        <is>
          <t>SW-DIFF-013-OBD-ACC</t>
        </is>
      </c>
      <c r="B31" t="inlineStr">
        <is>
          <t>SW-DIFF-013</t>
        </is>
      </c>
      <c r="C31" t="inlineStr">
        <is>
          <t>Bánh răng nhựa &amp; phụ kiện van OBD</t>
        </is>
      </c>
      <c r="D31" t="inlineStr">
        <is>
          <t>PHỤ_KIỆN_CỬA</t>
        </is>
      </c>
      <c r="E31" t="inlineStr">
        <is>
          <t>MAT-DOOR-ACCESSORY</t>
        </is>
      </c>
      <c r="F31" t="inlineStr">
        <is>
          <t>Bộ</t>
        </is>
      </c>
      <c r="G31" s="20" t="n">
        <v>0.6012402831195829</v>
      </c>
      <c r="H31" s="16">
        <f>'00_TONG_HOP_BAO_GIA'!G14</f>
        <v/>
      </c>
      <c r="I31" s="21">
        <f>G31*H31</f>
        <v/>
      </c>
      <c r="J31" s="16">
        <f>IFERROR(INDEX('06_BANG_GIA_VAT_TU_AP_DUNG'!$E$1:$E$5000, MATCH(E31, '06_BANG_GIA_VAT_TU_AP_DUNG'!$B$1:$B$5000, 0)), 0)</f>
        <v/>
      </c>
      <c r="K31" s="16">
        <f>I31*J31</f>
        <v/>
      </c>
      <c r="L31" t="inlineStr">
        <is>
          <t>Cơ cấu bánh răng đóng mở OBD</t>
        </is>
      </c>
    </row>
    <row r="32">
      <c r="A32" t="inlineStr">
        <is>
          <t>SW-DIFF-014-FRAME</t>
        </is>
      </c>
      <c r="B32" t="inlineStr">
        <is>
          <t>SW-DIFF-014</t>
        </is>
      </c>
      <c r="C32" t="inlineStr">
        <is>
          <t>Khung nhôm định hình (1 lớp BD)</t>
        </is>
      </c>
      <c r="D32" t="inlineStr">
        <is>
          <t>NHÔM_ĐỊNH_HÌNH</t>
        </is>
      </c>
      <c r="E32" t="inlineStr">
        <is>
          <t>MAT-ALU-KHUNG-BD</t>
        </is>
      </c>
      <c r="F32" t="inlineStr">
        <is>
          <t>kg</t>
        </is>
      </c>
      <c r="G32" s="20" t="n">
        <v>0.5456412315449407</v>
      </c>
      <c r="H32" s="16">
        <f>'00_TONG_HOP_BAO_GIA'!G15</f>
        <v/>
      </c>
      <c r="I32" s="21">
        <f>G32*H32</f>
        <v/>
      </c>
      <c r="J32" s="16">
        <f>IFERROR(INDEX('06_BANG_GIA_VAT_TU_AP_DUNG'!$E$1:$E$5000, MATCH(E32, '06_BANG_GIA_VAT_TU_AP_DUNG'!$B$1:$B$5000, 0)), 0)</f>
        <v/>
      </c>
      <c r="K32" s="16">
        <f>I32*J32</f>
        <v/>
      </c>
      <c r="L32" t="inlineStr">
        <is>
          <t>Khung bao 1000x500mm (cổ 950x450mm)</t>
        </is>
      </c>
    </row>
    <row r="33">
      <c r="A33" t="inlineStr">
        <is>
          <t>SW-DIFF-014-BLADE</t>
        </is>
      </c>
      <c r="B33" t="inlineStr">
        <is>
          <t>SW-DIFF-014</t>
        </is>
      </c>
      <c r="C33" t="inlineStr">
        <is>
          <t>Nan nhôm bầu dục (22 nan)</t>
        </is>
      </c>
      <c r="D33" t="inlineStr">
        <is>
          <t>NHÔM_ĐỊNH_HÌNH</t>
        </is>
      </c>
      <c r="E33" t="inlineStr">
        <is>
          <t>MAT-ALU-NAN-BD</t>
        </is>
      </c>
      <c r="F33" t="inlineStr">
        <is>
          <t>kg</t>
        </is>
      </c>
      <c r="G33" s="20" t="n">
        <v>1.132579282326673</v>
      </c>
      <c r="H33" s="16">
        <f>'00_TONG_HOP_BAO_GIA'!G15</f>
        <v/>
      </c>
      <c r="I33" s="21">
        <f>G33*H33</f>
        <v/>
      </c>
      <c r="J33" s="16">
        <f>IFERROR(INDEX('06_BANG_GIA_VAT_TU_AP_DUNG'!$E$1:$E$5000, MATCH(E33, '06_BANG_GIA_VAT_TU_AP_DUNG'!$B$1:$B$5000, 0)), 0)</f>
        <v/>
      </c>
      <c r="K33" s="16">
        <f>I33*J33</f>
        <v/>
      </c>
      <c r="L33" t="inlineStr">
        <is>
          <t>Nan bầu dục @ 0.058kg/m</t>
        </is>
      </c>
    </row>
    <row r="34">
      <c r="A34" t="inlineStr">
        <is>
          <t>SW-DIFF-014-ACCESSORY</t>
        </is>
      </c>
      <c r="B34" t="inlineStr">
        <is>
          <t>SW-DIFF-014</t>
        </is>
      </c>
      <c r="C34" t="inlineStr">
        <is>
          <t>Phụ kiện lắp ghép / Ke góc cửa gió</t>
        </is>
      </c>
      <c r="D34" t="inlineStr">
        <is>
          <t>PHỤ_KIỆN_CỬA</t>
        </is>
      </c>
      <c r="E34" t="inlineStr">
        <is>
          <t>MAT-DOOR-ACCESSORY</t>
        </is>
      </c>
      <c r="F34" t="inlineStr">
        <is>
          <t>Bộ</t>
        </is>
      </c>
      <c r="G34" s="20" t="n">
        <v>0.09784169480716814</v>
      </c>
      <c r="H34" s="16">
        <f>'00_TONG_HOP_BAO_GIA'!G15</f>
        <v/>
      </c>
      <c r="I34" s="21">
        <f>G34*H34</f>
        <v/>
      </c>
      <c r="J34" s="16">
        <f>IFERROR(INDEX('06_BANG_GIA_VAT_TU_AP_DUNG'!$E$1:$E$5000, MATCH(E34, '06_BANG_GIA_VAT_TU_AP_DUNG'!$B$1:$B$5000, 0)), 0)</f>
        <v/>
      </c>
      <c r="K34" s="16">
        <f>I34*J34</f>
        <v/>
      </c>
      <c r="L34" t="inlineStr">
        <is>
          <t>4 ke góc chìm và vít ghép khung</t>
        </is>
      </c>
    </row>
    <row r="35">
      <c r="A35" t="inlineStr">
        <is>
          <t>SW-DIFF-014-PAINT</t>
        </is>
      </c>
      <c r="B35" t="inlineStr">
        <is>
          <t>SW-DIFF-014</t>
        </is>
      </c>
      <c r="C35" t="inlineStr">
        <is>
          <t>Sơn tĩnh điện tiêu chuẩn Polyester</t>
        </is>
      </c>
      <c r="D35" t="inlineStr">
        <is>
          <t>SƠN_TĨNH_ĐIỆN</t>
        </is>
      </c>
      <c r="E35" t="inlineStr">
        <is>
          <t>MAT-PAINT-POWDER</t>
        </is>
      </c>
      <c r="F35" t="inlineStr">
        <is>
          <t>m2</t>
        </is>
      </c>
      <c r="G35" s="20" t="n">
        <v>0.3667127650077433</v>
      </c>
      <c r="H35" s="16">
        <f>'00_TONG_HOP_BAO_GIA'!G15</f>
        <v/>
      </c>
      <c r="I35" s="21">
        <f>G35*H35</f>
        <v/>
      </c>
      <c r="J35" s="16">
        <f>IFERROR(INDEX('06_BANG_GIA_VAT_TU_AP_DUNG'!$E$1:$E$5000, MATCH(E35, '06_BANG_GIA_VAT_TU_AP_DUNG'!$B$1:$B$5000, 0)), 0)</f>
        <v/>
      </c>
      <c r="K35" s="16">
        <f>I35*J35</f>
        <v/>
      </c>
      <c r="L35" t="inlineStr">
        <is>
          <t>Sơn tĩnh điện hoàn thiện</t>
        </is>
      </c>
    </row>
    <row r="36">
      <c r="A36" t="inlineStr">
        <is>
          <t>SW-DIFF-014-OBD-FRAME</t>
        </is>
      </c>
      <c r="B36" t="inlineStr">
        <is>
          <t>SW-DIFF-014</t>
        </is>
      </c>
      <c r="C36" t="inlineStr">
        <is>
          <t>Khung nhôm van OBD gắn cửa (SOBD)</t>
        </is>
      </c>
      <c r="D36" t="inlineStr">
        <is>
          <t>NHÔM_ĐỊNH_HÌNH</t>
        </is>
      </c>
      <c r="E36" t="inlineStr">
        <is>
          <t>MAT-ALU-KHUNG-OBD</t>
        </is>
      </c>
      <c r="F36" t="inlineStr">
        <is>
          <t>kg</t>
        </is>
      </c>
      <c r="G36" s="20" t="n">
        <v>0.3844789010939917</v>
      </c>
      <c r="H36" s="16">
        <f>'00_TONG_HOP_BAO_GIA'!G15</f>
        <v/>
      </c>
      <c r="I36" s="21">
        <f>G36*H36</f>
        <v/>
      </c>
      <c r="J36" s="16">
        <f>IFERROR(INDEX('06_BANG_GIA_VAT_TU_AP_DUNG'!$E$1:$E$5000, MATCH(E36, '06_BANG_GIA_VAT_TU_AP_DUNG'!$B$1:$B$5000, 0)), 0)</f>
        <v/>
      </c>
      <c r="K36" s="16">
        <f>I36*J36</f>
        <v/>
      </c>
      <c r="L36" t="inlineStr">
        <is>
          <t>Khung OBD 950x450mm</t>
        </is>
      </c>
    </row>
    <row r="37">
      <c r="A37" t="inlineStr">
        <is>
          <t>SW-DIFF-014-OBD-BLADE</t>
        </is>
      </c>
      <c r="B37" t="inlineStr">
        <is>
          <t>SW-DIFF-014</t>
        </is>
      </c>
      <c r="C37" t="inlineStr">
        <is>
          <t>Nan nhôm &amp; thanh truyền van OBD (SOBD)</t>
        </is>
      </c>
      <c r="D37" t="inlineStr">
        <is>
          <t>NHÔM_ĐỊNH_HÌNH</t>
        </is>
      </c>
      <c r="E37" t="inlineStr">
        <is>
          <t>MAT-ALU-NAN-OBD</t>
        </is>
      </c>
      <c r="F37" t="inlineStr">
        <is>
          <t>kg</t>
        </is>
      </c>
      <c r="G37" s="20" t="n">
        <v>0.9288241987888872</v>
      </c>
      <c r="H37" s="16">
        <f>'00_TONG_HOP_BAO_GIA'!G15</f>
        <v/>
      </c>
      <c r="I37" s="21">
        <f>G37*H37</f>
        <v/>
      </c>
      <c r="J37" s="16">
        <f>IFERROR(INDEX('06_BANG_GIA_VAT_TU_AP_DUNG'!$E$1:$E$5000, MATCH(E37, '06_BANG_GIA_VAT_TU_AP_DUNG'!$B$1:$B$5000, 0)), 0)</f>
        <v/>
      </c>
      <c r="K37" s="16">
        <f>I37*J37</f>
        <v/>
      </c>
      <c r="L37" t="inlineStr">
        <is>
          <t>Nan OBD đối xứng &amp; thanh liên kết</t>
        </is>
      </c>
    </row>
    <row r="38">
      <c r="A38" t="inlineStr">
        <is>
          <t>SW-DIFF-014-OBD-ACC</t>
        </is>
      </c>
      <c r="B38" t="inlineStr">
        <is>
          <t>SW-DIFF-014</t>
        </is>
      </c>
      <c r="C38" t="inlineStr">
        <is>
          <t>Bánh răng nhựa &amp; phụ kiện van OBD</t>
        </is>
      </c>
      <c r="D38" t="inlineStr">
        <is>
          <t>PHỤ_KIỆN_CỬA</t>
        </is>
      </c>
      <c r="E38" t="inlineStr">
        <is>
          <t>MAT-DOOR-ACCESSORY</t>
        </is>
      </c>
      <c r="F38" t="inlineStr">
        <is>
          <t>Bộ</t>
        </is>
      </c>
      <c r="G38" s="20" t="n">
        <v>1.956550974300665</v>
      </c>
      <c r="H38" s="16">
        <f>'00_TONG_HOP_BAO_GIA'!G15</f>
        <v/>
      </c>
      <c r="I38" s="21">
        <f>G38*H38</f>
        <v/>
      </c>
      <c r="J38" s="16">
        <f>IFERROR(INDEX('06_BANG_GIA_VAT_TU_AP_DUNG'!$E$1:$E$5000, MATCH(E38, '06_BANG_GIA_VAT_TU_AP_DUNG'!$B$1:$B$5000, 0)), 0)</f>
        <v/>
      </c>
      <c r="K38" s="16">
        <f>I38*J38</f>
        <v/>
      </c>
      <c r="L38" t="inlineStr">
        <is>
          <t>Cơ cấu bánh răng đóng mở OBD</t>
        </is>
      </c>
    </row>
    <row r="39">
      <c r="A39" t="inlineStr">
        <is>
          <t>SW-DIFF-015-FRAME</t>
        </is>
      </c>
      <c r="B39" t="inlineStr">
        <is>
          <t>SW-DIFF-015</t>
        </is>
      </c>
      <c r="C39" t="inlineStr">
        <is>
          <t>Khung nhôm định hình (1 lớp BD)</t>
        </is>
      </c>
      <c r="D39" t="inlineStr">
        <is>
          <t>NHÔM_ĐỊNH_HÌNH</t>
        </is>
      </c>
      <c r="E39" t="inlineStr">
        <is>
          <t>MAT-ALU-KHUNG-BD</t>
        </is>
      </c>
      <c r="F39" t="inlineStr">
        <is>
          <t>kg</t>
        </is>
      </c>
      <c r="G39" s="20" t="n">
        <v>0.6168376452196568</v>
      </c>
      <c r="H39" s="16">
        <f>'00_TONG_HOP_BAO_GIA'!G16</f>
        <v/>
      </c>
      <c r="I39" s="21">
        <f>G39*H39</f>
        <v/>
      </c>
      <c r="J39" s="16">
        <f>IFERROR(INDEX('06_BANG_GIA_VAT_TU_AP_DUNG'!$E$1:$E$5000, MATCH(E39, '06_BANG_GIA_VAT_TU_AP_DUNG'!$B$1:$B$5000, 0)), 0)</f>
        <v/>
      </c>
      <c r="K39" s="16">
        <f>I39*J39</f>
        <v/>
      </c>
      <c r="L39" t="inlineStr">
        <is>
          <t>Khung bao 1150x550mm (cổ 1100x500mm)</t>
        </is>
      </c>
    </row>
    <row r="40">
      <c r="A40" t="inlineStr">
        <is>
          <t>SW-DIFF-015-BLADE</t>
        </is>
      </c>
      <c r="B40" t="inlineStr">
        <is>
          <t>SW-DIFF-015</t>
        </is>
      </c>
      <c r="C40" t="inlineStr">
        <is>
          <t>Nan nhôm bầu dục (24 nan)</t>
        </is>
      </c>
      <c r="D40" t="inlineStr">
        <is>
          <t>NHÔM_ĐỊNH_HÌNH</t>
        </is>
      </c>
      <c r="E40" t="inlineStr">
        <is>
          <t>MAT-ALU-NAN-BD</t>
        </is>
      </c>
      <c r="F40" t="inlineStr">
        <is>
          <t>kg</t>
        </is>
      </c>
      <c r="G40" s="20" t="n">
        <v>1.430196551121046</v>
      </c>
      <c r="H40" s="16">
        <f>'00_TONG_HOP_BAO_GIA'!G16</f>
        <v/>
      </c>
      <c r="I40" s="21">
        <f>G40*H40</f>
        <v/>
      </c>
      <c r="J40" s="16">
        <f>IFERROR(INDEX('06_BANG_GIA_VAT_TU_AP_DUNG'!$E$1:$E$5000, MATCH(E40, '06_BANG_GIA_VAT_TU_AP_DUNG'!$B$1:$B$5000, 0)), 0)</f>
        <v/>
      </c>
      <c r="K40" s="16">
        <f>I40*J40</f>
        <v/>
      </c>
      <c r="L40" t="inlineStr">
        <is>
          <t>Nan bầu dục @ 0.058kg/m</t>
        </is>
      </c>
    </row>
    <row r="41">
      <c r="A41" t="inlineStr">
        <is>
          <t>SW-DIFF-015-ACCESSORY</t>
        </is>
      </c>
      <c r="B41" t="inlineStr">
        <is>
          <t>SW-DIFF-015</t>
        </is>
      </c>
      <c r="C41" t="inlineStr">
        <is>
          <t>Phụ kiện lắp ghép / Ke góc cửa gió</t>
        </is>
      </c>
      <c r="D41" t="inlineStr">
        <is>
          <t>PHỤ_KIỆN_CỬA</t>
        </is>
      </c>
      <c r="E41" t="inlineStr">
        <is>
          <t>MAT-DOOR-ACCESSORY</t>
        </is>
      </c>
      <c r="F41" t="inlineStr">
        <is>
          <t>Bộ</t>
        </is>
      </c>
      <c r="G41" s="20" t="n">
        <v>0.1067043194880279</v>
      </c>
      <c r="H41" s="16">
        <f>'00_TONG_HOP_BAO_GIA'!G16</f>
        <v/>
      </c>
      <c r="I41" s="21">
        <f>G41*H41</f>
        <v/>
      </c>
      <c r="J41" s="16">
        <f>IFERROR(INDEX('06_BANG_GIA_VAT_TU_AP_DUNG'!$E$1:$E$5000, MATCH(E41, '06_BANG_GIA_VAT_TU_AP_DUNG'!$B$1:$B$5000, 0)), 0)</f>
        <v/>
      </c>
      <c r="K41" s="16">
        <f>I41*J41</f>
        <v/>
      </c>
      <c r="L41" t="inlineStr">
        <is>
          <t>4 ke góc chìm và vít ghép khung</t>
        </is>
      </c>
    </row>
    <row r="42">
      <c r="A42" t="inlineStr">
        <is>
          <t>SW-DIFF-015-PAINT</t>
        </is>
      </c>
      <c r="B42" t="inlineStr">
        <is>
          <t>SW-DIFF-015</t>
        </is>
      </c>
      <c r="C42" t="inlineStr">
        <is>
          <t>Sơn tĩnh điện tiêu chuẩn Polyester</t>
        </is>
      </c>
      <c r="D42" t="inlineStr">
        <is>
          <t>SƠN_TĨNH_ĐIỆN</t>
        </is>
      </c>
      <c r="E42" t="inlineStr">
        <is>
          <t>MAT-PAINT-POWDER</t>
        </is>
      </c>
      <c r="F42" t="inlineStr">
        <is>
          <t>m2</t>
        </is>
      </c>
      <c r="G42" s="20" t="n">
        <v>0.4484092108367477</v>
      </c>
      <c r="H42" s="16">
        <f>'00_TONG_HOP_BAO_GIA'!G16</f>
        <v/>
      </c>
      <c r="I42" s="21">
        <f>G42*H42</f>
        <v/>
      </c>
      <c r="J42" s="16">
        <f>IFERROR(INDEX('06_BANG_GIA_VAT_TU_AP_DUNG'!$E$1:$E$5000, MATCH(E42, '06_BANG_GIA_VAT_TU_AP_DUNG'!$B$1:$B$5000, 0)), 0)</f>
        <v/>
      </c>
      <c r="K42" s="16">
        <f>I42*J42</f>
        <v/>
      </c>
      <c r="L42" t="inlineStr">
        <is>
          <t>Sơn tĩnh điện hoàn thiện</t>
        </is>
      </c>
    </row>
    <row r="43">
      <c r="A43" t="inlineStr">
        <is>
          <t>SW-DIFF-015-OBD-FRAME</t>
        </is>
      </c>
      <c r="B43" t="inlineStr">
        <is>
          <t>SW-DIFF-015</t>
        </is>
      </c>
      <c r="C43" t="inlineStr">
        <is>
          <t>Khung nhôm van OBD gắn cửa (SOBD)</t>
        </is>
      </c>
      <c r="D43" t="inlineStr">
        <is>
          <t>NHÔM_ĐỊNH_HÌNH</t>
        </is>
      </c>
      <c r="E43" t="inlineStr">
        <is>
          <t>MAT-ALU-KHUNG-OBD</t>
        </is>
      </c>
      <c r="F43" t="inlineStr">
        <is>
          <t>kg</t>
        </is>
      </c>
      <c r="G43" s="20" t="n">
        <v>0.438854303398377</v>
      </c>
      <c r="H43" s="16">
        <f>'00_TONG_HOP_BAO_GIA'!G16</f>
        <v/>
      </c>
      <c r="I43" s="21">
        <f>G43*H43</f>
        <v/>
      </c>
      <c r="J43" s="16">
        <f>IFERROR(INDEX('06_BANG_GIA_VAT_TU_AP_DUNG'!$E$1:$E$5000, MATCH(E43, '06_BANG_GIA_VAT_TU_AP_DUNG'!$B$1:$B$5000, 0)), 0)</f>
        <v/>
      </c>
      <c r="K43" s="16">
        <f>I43*J43</f>
        <v/>
      </c>
      <c r="L43" t="inlineStr">
        <is>
          <t>Khung OBD 1100x500mm</t>
        </is>
      </c>
    </row>
    <row r="44">
      <c r="A44" t="inlineStr">
        <is>
          <t>SW-DIFF-015-OBD-BLADE</t>
        </is>
      </c>
      <c r="B44" t="inlineStr">
        <is>
          <t>SW-DIFF-015</t>
        </is>
      </c>
      <c r="C44" t="inlineStr">
        <is>
          <t>Nan nhôm &amp; thanh truyền van OBD (SOBD)</t>
        </is>
      </c>
      <c r="D44" t="inlineStr">
        <is>
          <t>NHÔM_ĐỊNH_HÌNH</t>
        </is>
      </c>
      <c r="E44" t="inlineStr">
        <is>
          <t>MAT-ALU-NAN-OBD</t>
        </is>
      </c>
      <c r="F44" t="inlineStr">
        <is>
          <t>kg</t>
        </is>
      </c>
      <c r="G44" s="20" t="n">
        <v>1.193482332224621</v>
      </c>
      <c r="H44" s="16">
        <f>'00_TONG_HOP_BAO_GIA'!G16</f>
        <v/>
      </c>
      <c r="I44" s="21">
        <f>G44*H44</f>
        <v/>
      </c>
      <c r="J44" s="16">
        <f>IFERROR(INDEX('06_BANG_GIA_VAT_TU_AP_DUNG'!$E$1:$E$5000, MATCH(E44, '06_BANG_GIA_VAT_TU_AP_DUNG'!$B$1:$B$5000, 0)), 0)</f>
        <v/>
      </c>
      <c r="K44" s="16">
        <f>I44*J44</f>
        <v/>
      </c>
      <c r="L44" t="inlineStr">
        <is>
          <t>Nan OBD đối xứng &amp; thanh liên kết</t>
        </is>
      </c>
    </row>
    <row r="45">
      <c r="A45" t="inlineStr">
        <is>
          <t>SW-DIFF-015-OBD-ACC</t>
        </is>
      </c>
      <c r="B45" t="inlineStr">
        <is>
          <t>SW-DIFF-015</t>
        </is>
      </c>
      <c r="C45" t="inlineStr">
        <is>
          <t>Bánh răng nhựa &amp; phụ kiện van OBD</t>
        </is>
      </c>
      <c r="D45" t="inlineStr">
        <is>
          <t>PHỤ_KIỆN_CỬA</t>
        </is>
      </c>
      <c r="E45" t="inlineStr">
        <is>
          <t>MAT-DOOR-ACCESSORY</t>
        </is>
      </c>
      <c r="F45" t="inlineStr">
        <is>
          <t>Bộ</t>
        </is>
      </c>
      <c r="G45" s="20" t="n">
        <v>2.224669150332333</v>
      </c>
      <c r="H45" s="16">
        <f>'00_TONG_HOP_BAO_GIA'!G16</f>
        <v/>
      </c>
      <c r="I45" s="21">
        <f>G45*H45</f>
        <v/>
      </c>
      <c r="J45" s="16">
        <f>IFERROR(INDEX('06_BANG_GIA_VAT_TU_AP_DUNG'!$E$1:$E$5000, MATCH(E45, '06_BANG_GIA_VAT_TU_AP_DUNG'!$B$1:$B$5000, 0)), 0)</f>
        <v/>
      </c>
      <c r="K45" s="16">
        <f>I45*J45</f>
        <v/>
      </c>
      <c r="L45" t="inlineStr">
        <is>
          <t>Cơ cấu bánh răng đóng mở OBD</t>
        </is>
      </c>
    </row>
    <row r="46">
      <c r="A46" t="inlineStr">
        <is>
          <t>SW-DIFF-016-FRAME</t>
        </is>
      </c>
      <c r="B46" t="inlineStr">
        <is>
          <t>SW-DIFF-016</t>
        </is>
      </c>
      <c r="C46" t="inlineStr">
        <is>
          <t>Khung nhôm định hình (1 lớp BD)</t>
        </is>
      </c>
      <c r="D46" t="inlineStr">
        <is>
          <t>NHÔM_ĐỊNH_HÌNH</t>
        </is>
      </c>
      <c r="E46" t="inlineStr">
        <is>
          <t>MAT-ALU-KHUNG-BD</t>
        </is>
      </c>
      <c r="F46" t="inlineStr">
        <is>
          <t>kg</t>
        </is>
      </c>
      <c r="G46" s="20" t="n">
        <v>0.4358396488527693</v>
      </c>
      <c r="H46" s="16">
        <f>'00_TONG_HOP_BAO_GIA'!G17</f>
        <v/>
      </c>
      <c r="I46" s="21">
        <f>G46*H46</f>
        <v/>
      </c>
      <c r="J46" s="16">
        <f>IFERROR(INDEX('06_BANG_GIA_VAT_TU_AP_DUNG'!$E$1:$E$5000, MATCH(E46, '06_BANG_GIA_VAT_TU_AP_DUNG'!$B$1:$B$5000, 0)), 0)</f>
        <v/>
      </c>
      <c r="K46" s="16">
        <f>I46*J46</f>
        <v/>
      </c>
      <c r="L46" t="inlineStr">
        <is>
          <t>Khung bao 800x400mm (cổ 750x350mm)</t>
        </is>
      </c>
    </row>
    <row r="47">
      <c r="A47" t="inlineStr">
        <is>
          <t>SW-DIFF-016-BLADE</t>
        </is>
      </c>
      <c r="B47" t="inlineStr">
        <is>
          <t>SW-DIFF-016</t>
        </is>
      </c>
      <c r="C47" t="inlineStr">
        <is>
          <t>Nan nhôm bầu dục (17 nan)</t>
        </is>
      </c>
      <c r="D47" t="inlineStr">
        <is>
          <t>NHÔM_ĐỊNH_HÌNH</t>
        </is>
      </c>
      <c r="E47" t="inlineStr">
        <is>
          <t>MAT-ALU-NAN-BD</t>
        </is>
      </c>
      <c r="F47" t="inlineStr">
        <is>
          <t>kg</t>
        </is>
      </c>
      <c r="G47" s="20" t="n">
        <v>0.6898617729593812</v>
      </c>
      <c r="H47" s="16">
        <f>'00_TONG_HOP_BAO_GIA'!G17</f>
        <v/>
      </c>
      <c r="I47" s="21">
        <f>G47*H47</f>
        <v/>
      </c>
      <c r="J47" s="16">
        <f>IFERROR(INDEX('06_BANG_GIA_VAT_TU_AP_DUNG'!$E$1:$E$5000, MATCH(E47, '06_BANG_GIA_VAT_TU_AP_DUNG'!$B$1:$B$5000, 0)), 0)</f>
        <v/>
      </c>
      <c r="K47" s="16">
        <f>I47*J47</f>
        <v/>
      </c>
      <c r="L47" t="inlineStr">
        <is>
          <t>Nan bầu dục @ 0.058kg/m</t>
        </is>
      </c>
    </row>
    <row r="48">
      <c r="A48" t="inlineStr">
        <is>
          <t>SW-DIFF-016-ACCESSORY</t>
        </is>
      </c>
      <c r="B48" t="inlineStr">
        <is>
          <t>SW-DIFF-016</t>
        </is>
      </c>
      <c r="C48" t="inlineStr">
        <is>
          <t>Phụ kiện lắp ghép / Ke góc cửa gió</t>
        </is>
      </c>
      <c r="D48" t="inlineStr">
        <is>
          <t>PHỤ_KIỆN_CỬA</t>
        </is>
      </c>
      <c r="E48" t="inlineStr">
        <is>
          <t>MAT-DOOR-ACCESSORY</t>
        </is>
      </c>
      <c r="F48" t="inlineStr">
        <is>
          <t>Bộ</t>
        </is>
      </c>
      <c r="G48" s="20" t="n">
        <v>0.07548832274222195</v>
      </c>
      <c r="H48" s="16">
        <f>'00_TONG_HOP_BAO_GIA'!G17</f>
        <v/>
      </c>
      <c r="I48" s="21">
        <f>G48*H48</f>
        <v/>
      </c>
      <c r="J48" s="16">
        <f>IFERROR(INDEX('06_BANG_GIA_VAT_TU_AP_DUNG'!$E$1:$E$5000, MATCH(E48, '06_BANG_GIA_VAT_TU_AP_DUNG'!$B$1:$B$5000, 0)), 0)</f>
        <v/>
      </c>
      <c r="K48" s="16">
        <f>I48*J48</f>
        <v/>
      </c>
      <c r="L48" t="inlineStr">
        <is>
          <t>4 ke góc chìm và vít ghép khung</t>
        </is>
      </c>
    </row>
    <row r="49">
      <c r="A49" t="inlineStr">
        <is>
          <t>SW-DIFF-016-PAINT</t>
        </is>
      </c>
      <c r="B49" t="inlineStr">
        <is>
          <t>SW-DIFF-016</t>
        </is>
      </c>
      <c r="C49" t="inlineStr">
        <is>
          <t>Sơn tĩnh điện tiêu chuẩn Polyester</t>
        </is>
      </c>
      <c r="D49" t="inlineStr">
        <is>
          <t>SƠN_TĨNH_ĐIỆN</t>
        </is>
      </c>
      <c r="E49" t="inlineStr">
        <is>
          <t>MAT-PAINT-POWDER</t>
        </is>
      </c>
      <c r="F49" t="inlineStr">
        <is>
          <t>m2</t>
        </is>
      </c>
      <c r="G49" s="20" t="n">
        <v>0.2448015781107626</v>
      </c>
      <c r="H49" s="16">
        <f>'00_TONG_HOP_BAO_GIA'!G17</f>
        <v/>
      </c>
      <c r="I49" s="21">
        <f>G49*H49</f>
        <v/>
      </c>
      <c r="J49" s="16">
        <f>IFERROR(INDEX('06_BANG_GIA_VAT_TU_AP_DUNG'!$E$1:$E$5000, MATCH(E49, '06_BANG_GIA_VAT_TU_AP_DUNG'!$B$1:$B$5000, 0)), 0)</f>
        <v/>
      </c>
      <c r="K49" s="16">
        <f>I49*J49</f>
        <v/>
      </c>
      <c r="L49" t="inlineStr">
        <is>
          <t>Sơn tĩnh điện hoàn thiện</t>
        </is>
      </c>
    </row>
    <row r="50">
      <c r="A50" t="inlineStr">
        <is>
          <t>SW-DIFF-016-OBD-FRAME</t>
        </is>
      </c>
      <c r="B50" t="inlineStr">
        <is>
          <t>SW-DIFF-016</t>
        </is>
      </c>
      <c r="C50" t="inlineStr">
        <is>
          <t>Khung nhôm van OBD gắn cửa (SOBD)</t>
        </is>
      </c>
      <c r="D50" t="inlineStr">
        <is>
          <t>NHÔM_ĐỊNH_HÌNH</t>
        </is>
      </c>
      <c r="E50" t="inlineStr">
        <is>
          <t>MAT-ALU-KHUNG-OBD</t>
        </is>
      </c>
      <c r="F50" t="inlineStr">
        <is>
          <t>kg</t>
        </is>
      </c>
      <c r="G50" s="20" t="n">
        <v>0.3021451724630184</v>
      </c>
      <c r="H50" s="16">
        <f>'00_TONG_HOP_BAO_GIA'!G17</f>
        <v/>
      </c>
      <c r="I50" s="21">
        <f>G50*H50</f>
        <v/>
      </c>
      <c r="J50" s="16">
        <f>IFERROR(INDEX('06_BANG_GIA_VAT_TU_AP_DUNG'!$E$1:$E$5000, MATCH(E50, '06_BANG_GIA_VAT_TU_AP_DUNG'!$B$1:$B$5000, 0)), 0)</f>
        <v/>
      </c>
      <c r="K50" s="16">
        <f>I50*J50</f>
        <v/>
      </c>
      <c r="L50" t="inlineStr">
        <is>
          <t>Khung OBD 750x350mm</t>
        </is>
      </c>
    </row>
    <row r="51">
      <c r="A51" t="inlineStr">
        <is>
          <t>SW-DIFF-016-OBD-BLADE</t>
        </is>
      </c>
      <c r="B51" t="inlineStr">
        <is>
          <t>SW-DIFF-016</t>
        </is>
      </c>
      <c r="C51" t="inlineStr">
        <is>
          <t>Nan nhôm &amp; thanh truyền van OBD (SOBD)</t>
        </is>
      </c>
      <c r="D51" t="inlineStr">
        <is>
          <t>NHÔM_ĐỊNH_HÌNH</t>
        </is>
      </c>
      <c r="E51" t="inlineStr">
        <is>
          <t>MAT-ALU-NAN-OBD</t>
        </is>
      </c>
      <c r="F51" t="inlineStr">
        <is>
          <t>kg</t>
        </is>
      </c>
      <c r="G51" s="20" t="n">
        <v>0.5704337440415874</v>
      </c>
      <c r="H51" s="16">
        <f>'00_TONG_HOP_BAO_GIA'!G17</f>
        <v/>
      </c>
      <c r="I51" s="21">
        <f>G51*H51</f>
        <v/>
      </c>
      <c r="J51" s="16">
        <f>IFERROR(INDEX('06_BANG_GIA_VAT_TU_AP_DUNG'!$E$1:$E$5000, MATCH(E51, '06_BANG_GIA_VAT_TU_AP_DUNG'!$B$1:$B$5000, 0)), 0)</f>
        <v/>
      </c>
      <c r="K51" s="16">
        <f>I51*J51</f>
        <v/>
      </c>
      <c r="L51" t="inlineStr">
        <is>
          <t>Nan OBD đối xứng &amp; thanh liên kết</t>
        </is>
      </c>
    </row>
    <row r="52">
      <c r="A52" t="inlineStr">
        <is>
          <t>SW-DIFF-016-OBD-ACC</t>
        </is>
      </c>
      <c r="B52" t="inlineStr">
        <is>
          <t>SW-DIFF-016</t>
        </is>
      </c>
      <c r="C52" t="inlineStr">
        <is>
          <t>Bánh răng nhựa &amp; phụ kiện van OBD</t>
        </is>
      </c>
      <c r="D52" t="inlineStr">
        <is>
          <t>PHỤ_KIỆN_CỬA</t>
        </is>
      </c>
      <c r="E52" t="inlineStr">
        <is>
          <t>MAT-DOOR-ACCESSORY</t>
        </is>
      </c>
      <c r="F52" t="inlineStr">
        <is>
          <t>Bộ</t>
        </is>
      </c>
      <c r="G52" s="20" t="n">
        <v>1.595629945138551</v>
      </c>
      <c r="H52" s="16">
        <f>'00_TONG_HOP_BAO_GIA'!G17</f>
        <v/>
      </c>
      <c r="I52" s="21">
        <f>G52*H52</f>
        <v/>
      </c>
      <c r="J52" s="16">
        <f>IFERROR(INDEX('06_BANG_GIA_VAT_TU_AP_DUNG'!$E$1:$E$5000, MATCH(E52, '06_BANG_GIA_VAT_TU_AP_DUNG'!$B$1:$B$5000, 0)), 0)</f>
        <v/>
      </c>
      <c r="K52" s="16">
        <f>I52*J52</f>
        <v/>
      </c>
      <c r="L52" t="inlineStr">
        <is>
          <t>Cơ cấu bánh răng đóng mở OBD</t>
        </is>
      </c>
    </row>
    <row r="53">
      <c r="A53" t="inlineStr">
        <is>
          <t>SW-DIFF-017-FRAME</t>
        </is>
      </c>
      <c r="B53" t="inlineStr">
        <is>
          <t>SW-DIFF-017</t>
        </is>
      </c>
      <c r="C53" t="inlineStr">
        <is>
          <t>Khung nhôm định hình (1 lớp BD)</t>
        </is>
      </c>
      <c r="D53" t="inlineStr">
        <is>
          <t>NHÔM_ĐỊNH_HÌNH</t>
        </is>
      </c>
      <c r="E53" t="inlineStr">
        <is>
          <t>MAT-ALU-KHUNG-BD</t>
        </is>
      </c>
      <c r="F53" t="inlineStr">
        <is>
          <t>kg</t>
        </is>
      </c>
      <c r="G53" s="20" t="n">
        <v>0.4358396488527693</v>
      </c>
      <c r="H53" s="16">
        <f>'00_TONG_HOP_BAO_GIA'!G18</f>
        <v/>
      </c>
      <c r="I53" s="21">
        <f>G53*H53</f>
        <v/>
      </c>
      <c r="J53" s="16">
        <f>IFERROR(INDEX('06_BANG_GIA_VAT_TU_AP_DUNG'!$E$1:$E$5000, MATCH(E53, '06_BANG_GIA_VAT_TU_AP_DUNG'!$B$1:$B$5000, 0)), 0)</f>
        <v/>
      </c>
      <c r="K53" s="16">
        <f>I53*J53</f>
        <v/>
      </c>
      <c r="L53" t="inlineStr">
        <is>
          <t>Khung bao 800x400mm (cổ 750x350mm)</t>
        </is>
      </c>
    </row>
    <row r="54">
      <c r="A54" t="inlineStr">
        <is>
          <t>SW-DIFF-017-BLADE</t>
        </is>
      </c>
      <c r="B54" t="inlineStr">
        <is>
          <t>SW-DIFF-017</t>
        </is>
      </c>
      <c r="C54" t="inlineStr">
        <is>
          <t>Nan nhôm bầu dục (17 nan)</t>
        </is>
      </c>
      <c r="D54" t="inlineStr">
        <is>
          <t>NHÔM_ĐỊNH_HÌNH</t>
        </is>
      </c>
      <c r="E54" t="inlineStr">
        <is>
          <t>MAT-ALU-NAN-BD</t>
        </is>
      </c>
      <c r="F54" t="inlineStr">
        <is>
          <t>kg</t>
        </is>
      </c>
      <c r="G54" s="20" t="n">
        <v>0.6898617729593812</v>
      </c>
      <c r="H54" s="16">
        <f>'00_TONG_HOP_BAO_GIA'!G18</f>
        <v/>
      </c>
      <c r="I54" s="21">
        <f>G54*H54</f>
        <v/>
      </c>
      <c r="J54" s="16">
        <f>IFERROR(INDEX('06_BANG_GIA_VAT_TU_AP_DUNG'!$E$1:$E$5000, MATCH(E54, '06_BANG_GIA_VAT_TU_AP_DUNG'!$B$1:$B$5000, 0)), 0)</f>
        <v/>
      </c>
      <c r="K54" s="16">
        <f>I54*J54</f>
        <v/>
      </c>
      <c r="L54" t="inlineStr">
        <is>
          <t>Nan bầu dục @ 0.058kg/m</t>
        </is>
      </c>
    </row>
    <row r="55">
      <c r="A55" t="inlineStr">
        <is>
          <t>SW-DIFF-017-ACCESSORY</t>
        </is>
      </c>
      <c r="B55" t="inlineStr">
        <is>
          <t>SW-DIFF-017</t>
        </is>
      </c>
      <c r="C55" t="inlineStr">
        <is>
          <t>Phụ kiện lắp ghép / Ke góc cửa gió</t>
        </is>
      </c>
      <c r="D55" t="inlineStr">
        <is>
          <t>PHỤ_KIỆN_CỬA</t>
        </is>
      </c>
      <c r="E55" t="inlineStr">
        <is>
          <t>MAT-DOOR-ACCESSORY</t>
        </is>
      </c>
      <c r="F55" t="inlineStr">
        <is>
          <t>Bộ</t>
        </is>
      </c>
      <c r="G55" s="20" t="n">
        <v>0.07548832274222195</v>
      </c>
      <c r="H55" s="16">
        <f>'00_TONG_HOP_BAO_GIA'!G18</f>
        <v/>
      </c>
      <c r="I55" s="21">
        <f>G55*H55</f>
        <v/>
      </c>
      <c r="J55" s="16">
        <f>IFERROR(INDEX('06_BANG_GIA_VAT_TU_AP_DUNG'!$E$1:$E$5000, MATCH(E55, '06_BANG_GIA_VAT_TU_AP_DUNG'!$B$1:$B$5000, 0)), 0)</f>
        <v/>
      </c>
      <c r="K55" s="16">
        <f>I55*J55</f>
        <v/>
      </c>
      <c r="L55" t="inlineStr">
        <is>
          <t>4 ke góc chìm và vít ghép khung</t>
        </is>
      </c>
    </row>
    <row r="56">
      <c r="A56" t="inlineStr">
        <is>
          <t>SW-DIFF-017-PAINT</t>
        </is>
      </c>
      <c r="B56" t="inlineStr">
        <is>
          <t>SW-DIFF-017</t>
        </is>
      </c>
      <c r="C56" t="inlineStr">
        <is>
          <t>Sơn tĩnh điện tiêu chuẩn Polyester</t>
        </is>
      </c>
      <c r="D56" t="inlineStr">
        <is>
          <t>SƠN_TĨNH_ĐIỆN</t>
        </is>
      </c>
      <c r="E56" t="inlineStr">
        <is>
          <t>MAT-PAINT-POWDER</t>
        </is>
      </c>
      <c r="F56" t="inlineStr">
        <is>
          <t>m2</t>
        </is>
      </c>
      <c r="G56" s="20" t="n">
        <v>0.2448015781107626</v>
      </c>
      <c r="H56" s="16">
        <f>'00_TONG_HOP_BAO_GIA'!G18</f>
        <v/>
      </c>
      <c r="I56" s="21">
        <f>G56*H56</f>
        <v/>
      </c>
      <c r="J56" s="16">
        <f>IFERROR(INDEX('06_BANG_GIA_VAT_TU_AP_DUNG'!$E$1:$E$5000, MATCH(E56, '06_BANG_GIA_VAT_TU_AP_DUNG'!$B$1:$B$5000, 0)), 0)</f>
        <v/>
      </c>
      <c r="K56" s="16">
        <f>I56*J56</f>
        <v/>
      </c>
      <c r="L56" t="inlineStr">
        <is>
          <t>Sơn tĩnh điện hoàn thiện</t>
        </is>
      </c>
    </row>
    <row r="57">
      <c r="A57" t="inlineStr">
        <is>
          <t>SW-DIFF-017-OBD-FRAME</t>
        </is>
      </c>
      <c r="B57" t="inlineStr">
        <is>
          <t>SW-DIFF-017</t>
        </is>
      </c>
      <c r="C57" t="inlineStr">
        <is>
          <t>Khung nhôm van OBD gắn cửa (SOBD)</t>
        </is>
      </c>
      <c r="D57" t="inlineStr">
        <is>
          <t>NHÔM_ĐỊNH_HÌNH</t>
        </is>
      </c>
      <c r="E57" t="inlineStr">
        <is>
          <t>MAT-ALU-KHUNG-OBD</t>
        </is>
      </c>
      <c r="F57" t="inlineStr">
        <is>
          <t>kg</t>
        </is>
      </c>
      <c r="G57" s="20" t="n">
        <v>0.3021451724630184</v>
      </c>
      <c r="H57" s="16">
        <f>'00_TONG_HOP_BAO_GIA'!G18</f>
        <v/>
      </c>
      <c r="I57" s="21">
        <f>G57*H57</f>
        <v/>
      </c>
      <c r="J57" s="16">
        <f>IFERROR(INDEX('06_BANG_GIA_VAT_TU_AP_DUNG'!$E$1:$E$5000, MATCH(E57, '06_BANG_GIA_VAT_TU_AP_DUNG'!$B$1:$B$5000, 0)), 0)</f>
        <v/>
      </c>
      <c r="K57" s="16">
        <f>I57*J57</f>
        <v/>
      </c>
      <c r="L57" t="inlineStr">
        <is>
          <t>Khung OBD 750x350mm</t>
        </is>
      </c>
    </row>
    <row r="58">
      <c r="A58" t="inlineStr">
        <is>
          <t>SW-DIFF-017-OBD-BLADE</t>
        </is>
      </c>
      <c r="B58" t="inlineStr">
        <is>
          <t>SW-DIFF-017</t>
        </is>
      </c>
      <c r="C58" t="inlineStr">
        <is>
          <t>Nan nhôm &amp; thanh truyền van OBD (SOBD)</t>
        </is>
      </c>
      <c r="D58" t="inlineStr">
        <is>
          <t>NHÔM_ĐỊNH_HÌNH</t>
        </is>
      </c>
      <c r="E58" t="inlineStr">
        <is>
          <t>MAT-ALU-NAN-OBD</t>
        </is>
      </c>
      <c r="F58" t="inlineStr">
        <is>
          <t>kg</t>
        </is>
      </c>
      <c r="G58" s="20" t="n">
        <v>0.5704337440415874</v>
      </c>
      <c r="H58" s="16">
        <f>'00_TONG_HOP_BAO_GIA'!G18</f>
        <v/>
      </c>
      <c r="I58" s="21">
        <f>G58*H58</f>
        <v/>
      </c>
      <c r="J58" s="16">
        <f>IFERROR(INDEX('06_BANG_GIA_VAT_TU_AP_DUNG'!$E$1:$E$5000, MATCH(E58, '06_BANG_GIA_VAT_TU_AP_DUNG'!$B$1:$B$5000, 0)), 0)</f>
        <v/>
      </c>
      <c r="K58" s="16">
        <f>I58*J58</f>
        <v/>
      </c>
      <c r="L58" t="inlineStr">
        <is>
          <t>Nan OBD đối xứng &amp; thanh liên kết</t>
        </is>
      </c>
    </row>
    <row r="59">
      <c r="A59" t="inlineStr">
        <is>
          <t>SW-DIFF-017-OBD-ACC</t>
        </is>
      </c>
      <c r="B59" t="inlineStr">
        <is>
          <t>SW-DIFF-017</t>
        </is>
      </c>
      <c r="C59" t="inlineStr">
        <is>
          <t>Bánh răng nhựa &amp; phụ kiện van OBD</t>
        </is>
      </c>
      <c r="D59" t="inlineStr">
        <is>
          <t>PHỤ_KIỆN_CỬA</t>
        </is>
      </c>
      <c r="E59" t="inlineStr">
        <is>
          <t>MAT-DOOR-ACCESSORY</t>
        </is>
      </c>
      <c r="F59" t="inlineStr">
        <is>
          <t>Bộ</t>
        </is>
      </c>
      <c r="G59" s="20" t="n">
        <v>1.595629945138551</v>
      </c>
      <c r="H59" s="16">
        <f>'00_TONG_HOP_BAO_GIA'!G18</f>
        <v/>
      </c>
      <c r="I59" s="21">
        <f>G59*H59</f>
        <v/>
      </c>
      <c r="J59" s="16">
        <f>IFERROR(INDEX('06_BANG_GIA_VAT_TU_AP_DUNG'!$E$1:$E$5000, MATCH(E59, '06_BANG_GIA_VAT_TU_AP_DUNG'!$B$1:$B$5000, 0)), 0)</f>
        <v/>
      </c>
      <c r="K59" s="16">
        <f>I59*J59</f>
        <v/>
      </c>
      <c r="L59" t="inlineStr">
        <is>
          <t>Cơ cấu bánh răng đóng mở OBD</t>
        </is>
      </c>
    </row>
    <row r="60">
      <c r="A60" t="inlineStr">
        <is>
          <t>SW-DIFF-018-FRAME</t>
        </is>
      </c>
      <c r="B60" t="inlineStr">
        <is>
          <t>SW-DIFF-018</t>
        </is>
      </c>
      <c r="C60" t="inlineStr">
        <is>
          <t>Khung nhôm định hình Louver (SWL)</t>
        </is>
      </c>
      <c r="D60" t="inlineStr">
        <is>
          <t>NHÔM_ĐỊNH_HÌNH</t>
        </is>
      </c>
      <c r="E60" t="inlineStr">
        <is>
          <t>MAT-ALU-KHUNG-Z-2-LOP</t>
        </is>
      </c>
      <c r="F60" t="inlineStr">
        <is>
          <t>kg</t>
        </is>
      </c>
      <c r="G60" s="20" t="n">
        <v>1.026276337781275</v>
      </c>
      <c r="H60" s="16">
        <f>'00_TONG_HOP_BAO_GIA'!G19</f>
        <v/>
      </c>
      <c r="I60" s="21">
        <f>G60*H60</f>
        <v/>
      </c>
      <c r="J60" s="16">
        <f>IFERROR(INDEX('06_BANG_GIA_VAT_TU_AP_DUNG'!$E$1:$E$5000, MATCH(E60, '06_BANG_GIA_VAT_TU_AP_DUNG'!$B$1:$B$5000, 0)), 0)</f>
        <v/>
      </c>
      <c r="K60" s="16">
        <f>I60*J60</f>
        <v/>
      </c>
      <c r="L60" t="inlineStr">
        <is>
          <t>Khung Louver phủ bì 1200x1000mm</t>
        </is>
      </c>
    </row>
    <row r="61">
      <c r="A61" t="inlineStr">
        <is>
          <t>SW-DIFF-018-BLADE</t>
        </is>
      </c>
      <c r="B61" t="inlineStr">
        <is>
          <t>SW-DIFF-018</t>
        </is>
      </c>
      <c r="C61" t="inlineStr">
        <is>
          <t>Nan Z Louver &amp; thanh tăng cứng (21 nan)</t>
        </is>
      </c>
      <c r="D61" t="inlineStr">
        <is>
          <t>NHÔM_ĐỊNH_HÌNH</t>
        </is>
      </c>
      <c r="E61" t="inlineStr">
        <is>
          <t>MAT-ALU-NAN-Z-DAY</t>
        </is>
      </c>
      <c r="F61" t="inlineStr">
        <is>
          <t>kg</t>
        </is>
      </c>
      <c r="G61" s="20" t="n">
        <v>5.518732163292421</v>
      </c>
      <c r="H61" s="16">
        <f>'00_TONG_HOP_BAO_GIA'!G19</f>
        <v/>
      </c>
      <c r="I61" s="21">
        <f>G61*H61</f>
        <v/>
      </c>
      <c r="J61" s="16">
        <f>IFERROR(INDEX('06_BANG_GIA_VAT_TU_AP_DUNG'!$E$1:$E$5000, MATCH(E61, '06_BANG_GIA_VAT_TU_AP_DUNG'!$B$1:$B$5000, 0)), 0)</f>
        <v/>
      </c>
      <c r="K61" s="16">
        <f>I61*J61</f>
        <v/>
      </c>
      <c r="L61" t="inlineStr">
        <is>
          <t>21 nan Z dày @ 0.217kg/m + thanh giằng</t>
        </is>
      </c>
    </row>
    <row r="62">
      <c r="A62" t="inlineStr">
        <is>
          <t>SW-DIFF-018-ACCESSORY</t>
        </is>
      </c>
      <c r="B62" t="inlineStr">
        <is>
          <t>SW-DIFF-018</t>
        </is>
      </c>
      <c r="C62" t="inlineStr">
        <is>
          <t>Phụ kiện lắp ghép / Ke góc cửa gió</t>
        </is>
      </c>
      <c r="D62" t="inlineStr">
        <is>
          <t>PHỤ_KIỆN_CỬA</t>
        </is>
      </c>
      <c r="E62" t="inlineStr">
        <is>
          <t>MAT-DOOR-ACCESSORY</t>
        </is>
      </c>
      <c r="F62" t="inlineStr">
        <is>
          <t>Bộ</t>
        </is>
      </c>
      <c r="G62" s="20" t="n">
        <v>0.1867451536837227</v>
      </c>
      <c r="H62" s="16">
        <f>'00_TONG_HOP_BAO_GIA'!G19</f>
        <v/>
      </c>
      <c r="I62" s="21">
        <f>G62*H62</f>
        <v/>
      </c>
      <c r="J62" s="16">
        <f>IFERROR(INDEX('06_BANG_GIA_VAT_TU_AP_DUNG'!$E$1:$E$5000, MATCH(E62, '06_BANG_GIA_VAT_TU_AP_DUNG'!$B$1:$B$5000, 0)), 0)</f>
        <v/>
      </c>
      <c r="K62" s="16">
        <f>I62*J62</f>
        <v/>
      </c>
      <c r="L62" t="inlineStr">
        <is>
          <t>Ke góc và vít ghép khung Louver</t>
        </is>
      </c>
    </row>
    <row r="63">
      <c r="A63" t="inlineStr">
        <is>
          <t>SW-DIFF-018-PAINT</t>
        </is>
      </c>
      <c r="B63" t="inlineStr">
        <is>
          <t>SW-DIFF-018</t>
        </is>
      </c>
      <c r="C63" t="inlineStr">
        <is>
          <t>Sơn tĩnh điện tiêu chuẩn Polyester</t>
        </is>
      </c>
      <c r="D63" t="inlineStr">
        <is>
          <t>SƠN_TĨNH_ĐIỆN</t>
        </is>
      </c>
      <c r="E63" t="inlineStr">
        <is>
          <t>MAT-PAINT-POWDER</t>
        </is>
      </c>
      <c r="F63" t="inlineStr">
        <is>
          <t>m2</t>
        </is>
      </c>
      <c r="G63" s="20" t="n">
        <v>1.295975796059571</v>
      </c>
      <c r="H63" s="16">
        <f>'00_TONG_HOP_BAO_GIA'!G19</f>
        <v/>
      </c>
      <c r="I63" s="21">
        <f>G63*H63</f>
        <v/>
      </c>
      <c r="J63" s="16">
        <f>IFERROR(INDEX('06_BANG_GIA_VAT_TU_AP_DUNG'!$E$1:$E$5000, MATCH(E63, '06_BANG_GIA_VAT_TU_AP_DUNG'!$B$1:$B$5000, 0)), 0)</f>
        <v/>
      </c>
      <c r="K63" s="16">
        <f>I63*J63</f>
        <v/>
      </c>
      <c r="L63" t="inlineStr">
        <is>
          <t>Sơn tĩnh điện khung và nan Louver</t>
        </is>
      </c>
    </row>
    <row r="64">
      <c r="A64" t="inlineStr">
        <is>
          <t>SW-DIFF-019-FRAME</t>
        </is>
      </c>
      <c r="B64" t="inlineStr">
        <is>
          <t>SW-DIFF-019</t>
        </is>
      </c>
      <c r="C64" t="inlineStr">
        <is>
          <t>Khung nhôm định hình Louver (SWL)</t>
        </is>
      </c>
      <c r="D64" t="inlineStr">
        <is>
          <t>NHÔM_ĐỊNH_HÌNH</t>
        </is>
      </c>
      <c r="E64" t="inlineStr">
        <is>
          <t>MAT-ALU-KHUNG-Z-2-LOP</t>
        </is>
      </c>
      <c r="F64" t="inlineStr">
        <is>
          <t>kg</t>
        </is>
      </c>
      <c r="G64" s="20" t="n">
        <v>1.259295293437967</v>
      </c>
      <c r="H64" s="16">
        <f>'00_TONG_HOP_BAO_GIA'!G20</f>
        <v/>
      </c>
      <c r="I64" s="21">
        <f>G64*H64</f>
        <v/>
      </c>
      <c r="J64" s="16">
        <f>IFERROR(INDEX('06_BANG_GIA_VAT_TU_AP_DUNG'!$E$1:$E$5000, MATCH(E64, '06_BANG_GIA_VAT_TU_AP_DUNG'!$B$1:$B$5000, 0)), 0)</f>
        <v/>
      </c>
      <c r="K64" s="16">
        <f>I64*J64</f>
        <v/>
      </c>
      <c r="L64" t="inlineStr">
        <is>
          <t>Khung Louver phủ bì 1700x1000mm</t>
        </is>
      </c>
    </row>
    <row r="65">
      <c r="A65" t="inlineStr">
        <is>
          <t>SW-DIFF-019-BLADE</t>
        </is>
      </c>
      <c r="B65" t="inlineStr">
        <is>
          <t>SW-DIFF-019</t>
        </is>
      </c>
      <c r="C65" t="inlineStr">
        <is>
          <t>Nan Z Louver &amp; thanh tăng cứng (21 nan)</t>
        </is>
      </c>
      <c r="D65" t="inlineStr">
        <is>
          <t>NHÔM_ĐỊNH_HÌNH</t>
        </is>
      </c>
      <c r="E65" t="inlineStr">
        <is>
          <t>MAT-ALU-NAN-Z-DAY</t>
        </is>
      </c>
      <c r="F65" t="inlineStr">
        <is>
          <t>kg</t>
        </is>
      </c>
      <c r="G65" s="20" t="n">
        <v>7.858503965775705</v>
      </c>
      <c r="H65" s="16">
        <f>'00_TONG_HOP_BAO_GIA'!G20</f>
        <v/>
      </c>
      <c r="I65" s="21">
        <f>G65*H65</f>
        <v/>
      </c>
      <c r="J65" s="16">
        <f>IFERROR(INDEX('06_BANG_GIA_VAT_TU_AP_DUNG'!$E$1:$E$5000, MATCH(E65, '06_BANG_GIA_VAT_TU_AP_DUNG'!$B$1:$B$5000, 0)), 0)</f>
        <v/>
      </c>
      <c r="K65" s="16">
        <f>I65*J65</f>
        <v/>
      </c>
      <c r="L65" t="inlineStr">
        <is>
          <t>21 nan Z dày @ 0.217kg/m + thanh giằng</t>
        </is>
      </c>
    </row>
    <row r="66">
      <c r="A66" t="inlineStr">
        <is>
          <t>SW-DIFF-019-ACCESSORY</t>
        </is>
      </c>
      <c r="B66" t="inlineStr">
        <is>
          <t>SW-DIFF-019</t>
        </is>
      </c>
      <c r="C66" t="inlineStr">
        <is>
          <t>Phụ kiện lắp ghép / Ke góc cửa gió</t>
        </is>
      </c>
      <c r="D66" t="inlineStr">
        <is>
          <t>PHỤ_KIỆN_CỬA</t>
        </is>
      </c>
      <c r="E66" t="inlineStr">
        <is>
          <t>MAT-DOOR-ACCESSORY</t>
        </is>
      </c>
      <c r="F66" t="inlineStr">
        <is>
          <t>Bộ</t>
        </is>
      </c>
      <c r="G66" s="20" t="n">
        <v>0.1867116948220223</v>
      </c>
      <c r="H66" s="16">
        <f>'00_TONG_HOP_BAO_GIA'!G20</f>
        <v/>
      </c>
      <c r="I66" s="21">
        <f>G66*H66</f>
        <v/>
      </c>
      <c r="J66" s="16">
        <f>IFERROR(INDEX('06_BANG_GIA_VAT_TU_AP_DUNG'!$E$1:$E$5000, MATCH(E66, '06_BANG_GIA_VAT_TU_AP_DUNG'!$B$1:$B$5000, 0)), 0)</f>
        <v/>
      </c>
      <c r="K66" s="16">
        <f>I66*J66</f>
        <v/>
      </c>
      <c r="L66" t="inlineStr">
        <is>
          <t>Ke góc và vít ghép khung Louver</t>
        </is>
      </c>
    </row>
    <row r="67">
      <c r="A67" t="inlineStr">
        <is>
          <t>SW-DIFF-019-PAINT</t>
        </is>
      </c>
      <c r="B67" t="inlineStr">
        <is>
          <t>SW-DIFF-019</t>
        </is>
      </c>
      <c r="C67" t="inlineStr">
        <is>
          <t>Sơn tĩnh điện tiêu chuẩn Polyester</t>
        </is>
      </c>
      <c r="D67" t="inlineStr">
        <is>
          <t>SƠN_TĨNH_ĐIỆN</t>
        </is>
      </c>
      <c r="E67" t="inlineStr">
        <is>
          <t>MAT-PAINT-POWDER</t>
        </is>
      </c>
      <c r="F67" t="inlineStr">
        <is>
          <t>m2</t>
        </is>
      </c>
      <c r="G67" s="20" t="n">
        <v>1.819896148494478</v>
      </c>
      <c r="H67" s="16">
        <f>'00_TONG_HOP_BAO_GIA'!G20</f>
        <v/>
      </c>
      <c r="I67" s="21">
        <f>G67*H67</f>
        <v/>
      </c>
      <c r="J67" s="16">
        <f>IFERROR(INDEX('06_BANG_GIA_VAT_TU_AP_DUNG'!$E$1:$E$5000, MATCH(E67, '06_BANG_GIA_VAT_TU_AP_DUNG'!$B$1:$B$5000, 0)), 0)</f>
        <v/>
      </c>
      <c r="K67" s="16">
        <f>I67*J67</f>
        <v/>
      </c>
      <c r="L67" t="inlineStr">
        <is>
          <t>Sơn tĩnh điện khung và nan Louver</t>
        </is>
      </c>
    </row>
    <row r="68">
      <c r="A68" t="inlineStr">
        <is>
          <t>SW-DIFF-020-FRAME</t>
        </is>
      </c>
      <c r="B68" t="inlineStr">
        <is>
          <t>SW-DIFF-020</t>
        </is>
      </c>
      <c r="C68" t="inlineStr">
        <is>
          <t>Khung nhôm định hình Louver (SWL)</t>
        </is>
      </c>
      <c r="D68" t="inlineStr">
        <is>
          <t>NHÔM_ĐỊNH_HÌNH</t>
        </is>
      </c>
      <c r="E68" t="inlineStr">
        <is>
          <t>MAT-ALU-KHUNG-Z-2-LOP</t>
        </is>
      </c>
      <c r="F68" t="inlineStr">
        <is>
          <t>kg</t>
        </is>
      </c>
      <c r="G68" s="20" t="n">
        <v>1.376340144849848</v>
      </c>
      <c r="H68" s="16">
        <f>'00_TONG_HOP_BAO_GIA'!G21</f>
        <v/>
      </c>
      <c r="I68" s="21">
        <f>G68*H68</f>
        <v/>
      </c>
      <c r="J68" s="16">
        <f>IFERROR(INDEX('06_BANG_GIA_VAT_TU_AP_DUNG'!$E$1:$E$5000, MATCH(E68, '06_BANG_GIA_VAT_TU_AP_DUNG'!$B$1:$B$5000, 0)), 0)</f>
        <v/>
      </c>
      <c r="K68" s="16">
        <f>I68*J68</f>
        <v/>
      </c>
      <c r="L68" t="inlineStr">
        <is>
          <t>Khung Louver phủ bì 1750x1200mm</t>
        </is>
      </c>
    </row>
    <row r="69">
      <c r="A69" t="inlineStr">
        <is>
          <t>SW-DIFF-020-BLADE</t>
        </is>
      </c>
      <c r="B69" t="inlineStr">
        <is>
          <t>SW-DIFF-020</t>
        </is>
      </c>
      <c r="C69" t="inlineStr">
        <is>
          <t>Nan Z Louver &amp; thanh tăng cứng (26 nan)</t>
        </is>
      </c>
      <c r="D69" t="inlineStr">
        <is>
          <t>NHÔM_ĐỊNH_HÌNH</t>
        </is>
      </c>
      <c r="E69" t="inlineStr">
        <is>
          <t>MAT-ALU-NAN-Z-DAY</t>
        </is>
      </c>
      <c r="F69" t="inlineStr">
        <is>
          <t>kg</t>
        </is>
      </c>
      <c r="G69" s="20" t="n">
        <v>10.01572373100328</v>
      </c>
      <c r="H69" s="16">
        <f>'00_TONG_HOP_BAO_GIA'!G21</f>
        <v/>
      </c>
      <c r="I69" s="21">
        <f>G69*H69</f>
        <v/>
      </c>
      <c r="J69" s="16">
        <f>IFERROR(INDEX('06_BANG_GIA_VAT_TU_AP_DUNG'!$E$1:$E$5000, MATCH(E69, '06_BANG_GIA_VAT_TU_AP_DUNG'!$B$1:$B$5000, 0)), 0)</f>
        <v/>
      </c>
      <c r="K69" s="16">
        <f>I69*J69</f>
        <v/>
      </c>
      <c r="L69" t="inlineStr">
        <is>
          <t>26 nan Z dày @ 0.217kg/m + thanh giằng</t>
        </is>
      </c>
    </row>
    <row r="70">
      <c r="A70" t="inlineStr">
        <is>
          <t>SW-DIFF-020-ACCESSORY</t>
        </is>
      </c>
      <c r="B70" t="inlineStr">
        <is>
          <t>SW-DIFF-020</t>
        </is>
      </c>
      <c r="C70" t="inlineStr">
        <is>
          <t>Phụ kiện lắp ghép / Ke góc cửa gió</t>
        </is>
      </c>
      <c r="D70" t="inlineStr">
        <is>
          <t>PHỤ_KIỆN_CỬA</t>
        </is>
      </c>
      <c r="E70" t="inlineStr">
        <is>
          <t>MAT-DOOR-ACCESSORY</t>
        </is>
      </c>
      <c r="F70" t="inlineStr">
        <is>
          <t>Bộ</t>
        </is>
      </c>
      <c r="G70" s="20" t="n">
        <v>0.2312413626203882</v>
      </c>
      <c r="H70" s="16">
        <f>'00_TONG_HOP_BAO_GIA'!G21</f>
        <v/>
      </c>
      <c r="I70" s="21">
        <f>G70*H70</f>
        <v/>
      </c>
      <c r="J70" s="16">
        <f>IFERROR(INDEX('06_BANG_GIA_VAT_TU_AP_DUNG'!$E$1:$E$5000, MATCH(E70, '06_BANG_GIA_VAT_TU_AP_DUNG'!$B$1:$B$5000, 0)), 0)</f>
        <v/>
      </c>
      <c r="K70" s="16">
        <f>I70*J70</f>
        <v/>
      </c>
      <c r="L70" t="inlineStr">
        <is>
          <t>Ke góc và vít ghép khung Louver</t>
        </is>
      </c>
    </row>
    <row r="71">
      <c r="A71" t="inlineStr">
        <is>
          <t>SW-DIFF-020-PAINT</t>
        </is>
      </c>
      <c r="B71" t="inlineStr">
        <is>
          <t>SW-DIFF-020</t>
        </is>
      </c>
      <c r="C71" t="inlineStr">
        <is>
          <t>Sơn tĩnh điện tiêu chuẩn Polyester</t>
        </is>
      </c>
      <c r="D71" t="inlineStr">
        <is>
          <t>SƠN_TĨNH_ĐIỆN</t>
        </is>
      </c>
      <c r="E71" t="inlineStr">
        <is>
          <t>MAT-PAINT-POWDER</t>
        </is>
      </c>
      <c r="F71" t="inlineStr">
        <is>
          <t>m2</t>
        </is>
      </c>
      <c r="G71" s="20" t="n">
        <v>2.275641017842204</v>
      </c>
      <c r="H71" s="16">
        <f>'00_TONG_HOP_BAO_GIA'!G21</f>
        <v/>
      </c>
      <c r="I71" s="21">
        <f>G71*H71</f>
        <v/>
      </c>
      <c r="J71" s="16">
        <f>IFERROR(INDEX('06_BANG_GIA_VAT_TU_AP_DUNG'!$E$1:$E$5000, MATCH(E71, '06_BANG_GIA_VAT_TU_AP_DUNG'!$B$1:$B$5000, 0)), 0)</f>
        <v/>
      </c>
      <c r="K71" s="16">
        <f>I71*J71</f>
        <v/>
      </c>
      <c r="L71" t="inlineStr">
        <is>
          <t>Sơn tĩnh điện khung và nan Louver</t>
        </is>
      </c>
    </row>
    <row r="72">
      <c r="A72" t="inlineStr">
        <is>
          <t>SW-DIFF-021-FRAME</t>
        </is>
      </c>
      <c r="B72" t="inlineStr">
        <is>
          <t>SW-DIFF-021</t>
        </is>
      </c>
      <c r="C72" t="inlineStr">
        <is>
          <t>Khung nhôm định hình Louver (SWL)</t>
        </is>
      </c>
      <c r="D72" t="inlineStr">
        <is>
          <t>NHÔM_ĐỊNH_HÌNH</t>
        </is>
      </c>
      <c r="E72" t="inlineStr">
        <is>
          <t>MAT-ALU-KHUNG-Z-2-LOP</t>
        </is>
      </c>
      <c r="F72" t="inlineStr">
        <is>
          <t>kg</t>
        </is>
      </c>
      <c r="G72" s="20" t="n">
        <v>1.306024544795642</v>
      </c>
      <c r="H72" s="16">
        <f>'00_TONG_HOP_BAO_GIA'!G22</f>
        <v/>
      </c>
      <c r="I72" s="21">
        <f>G72*H72</f>
        <v/>
      </c>
      <c r="J72" s="16">
        <f>IFERROR(INDEX('06_BANG_GIA_VAT_TU_AP_DUNG'!$E$1:$E$5000, MATCH(E72, '06_BANG_GIA_VAT_TU_AP_DUNG'!$B$1:$B$5000, 0)), 0)</f>
        <v/>
      </c>
      <c r="K72" s="16">
        <f>I72*J72</f>
        <v/>
      </c>
      <c r="L72" t="inlineStr">
        <is>
          <t>Khung Louver phủ bì 1800x1000mm</t>
        </is>
      </c>
    </row>
    <row r="73">
      <c r="A73" t="inlineStr">
        <is>
          <t>SW-DIFF-021-BLADE</t>
        </is>
      </c>
      <c r="B73" t="inlineStr">
        <is>
          <t>SW-DIFF-021</t>
        </is>
      </c>
      <c r="C73" t="inlineStr">
        <is>
          <t>Nan Z Louver &amp; thanh tăng cứng (21 nan)</t>
        </is>
      </c>
      <c r="D73" t="inlineStr">
        <is>
          <t>NHÔM_ĐỊNH_HÌNH</t>
        </is>
      </c>
      <c r="E73" t="inlineStr">
        <is>
          <t>MAT-ALU-NAN-Z-DAY</t>
        </is>
      </c>
      <c r="F73" t="inlineStr">
        <is>
          <t>kg</t>
        </is>
      </c>
      <c r="G73" s="20" t="n">
        <v>8.327221538693154</v>
      </c>
      <c r="H73" s="16">
        <f>'00_TONG_HOP_BAO_GIA'!G22</f>
        <v/>
      </c>
      <c r="I73" s="21">
        <f>G73*H73</f>
        <v/>
      </c>
      <c r="J73" s="16">
        <f>IFERROR(INDEX('06_BANG_GIA_VAT_TU_AP_DUNG'!$E$1:$E$5000, MATCH(E73, '06_BANG_GIA_VAT_TU_AP_DUNG'!$B$1:$B$5000, 0)), 0)</f>
        <v/>
      </c>
      <c r="K73" s="16">
        <f>I73*J73</f>
        <v/>
      </c>
      <c r="L73" t="inlineStr">
        <is>
          <t>21 nan Z dày @ 0.217kg/m + thanh giằng</t>
        </is>
      </c>
    </row>
    <row r="74">
      <c r="A74" t="inlineStr">
        <is>
          <t>SW-DIFF-021-ACCESSORY</t>
        </is>
      </c>
      <c r="B74" t="inlineStr">
        <is>
          <t>SW-DIFF-021</t>
        </is>
      </c>
      <c r="C74" t="inlineStr">
        <is>
          <t>Phụ kiện lắp ghép / Ke góc cửa gió</t>
        </is>
      </c>
      <c r="D74" t="inlineStr">
        <is>
          <t>PHỤ_KIỆN_CỬA</t>
        </is>
      </c>
      <c r="E74" t="inlineStr">
        <is>
          <t>MAT-DOOR-ACCESSORY</t>
        </is>
      </c>
      <c r="F74" t="inlineStr">
        <is>
          <t>Bộ</t>
        </is>
      </c>
      <c r="G74" s="20" t="n">
        <v>0.1867243742459127</v>
      </c>
      <c r="H74" s="16">
        <f>'00_TONG_HOP_BAO_GIA'!G22</f>
        <v/>
      </c>
      <c r="I74" s="21">
        <f>G74*H74</f>
        <v/>
      </c>
      <c r="J74" s="16">
        <f>IFERROR(INDEX('06_BANG_GIA_VAT_TU_AP_DUNG'!$E$1:$E$5000, MATCH(E74, '06_BANG_GIA_VAT_TU_AP_DUNG'!$B$1:$B$5000, 0)), 0)</f>
        <v/>
      </c>
      <c r="K74" s="16">
        <f>I74*J74</f>
        <v/>
      </c>
      <c r="L74" t="inlineStr">
        <is>
          <t>Ke góc và vít ghép khung Louver</t>
        </is>
      </c>
    </row>
    <row r="75">
      <c r="A75" t="inlineStr">
        <is>
          <t>SW-DIFF-021-PAINT</t>
        </is>
      </c>
      <c r="B75" t="inlineStr">
        <is>
          <t>SW-DIFF-021</t>
        </is>
      </c>
      <c r="C75" t="inlineStr">
        <is>
          <t>Sơn tĩnh điện tiêu chuẩn Polyester</t>
        </is>
      </c>
      <c r="D75" t="inlineStr">
        <is>
          <t>SƠN_TĨNH_ĐIỆN</t>
        </is>
      </c>
      <c r="E75" t="inlineStr">
        <is>
          <t>MAT-PAINT-POWDER</t>
        </is>
      </c>
      <c r="F75" t="inlineStr">
        <is>
          <t>m2</t>
        </is>
      </c>
      <c r="G75" s="20" t="n">
        <v>1.924857365069592</v>
      </c>
      <c r="H75" s="16">
        <f>'00_TONG_HOP_BAO_GIA'!G22</f>
        <v/>
      </c>
      <c r="I75" s="21">
        <f>G75*H75</f>
        <v/>
      </c>
      <c r="J75" s="16">
        <f>IFERROR(INDEX('06_BANG_GIA_VAT_TU_AP_DUNG'!$E$1:$E$5000, MATCH(E75, '06_BANG_GIA_VAT_TU_AP_DUNG'!$B$1:$B$5000, 0)), 0)</f>
        <v/>
      </c>
      <c r="K75" s="16">
        <f>I75*J75</f>
        <v/>
      </c>
      <c r="L75" t="inlineStr">
        <is>
          <t>Sơn tĩnh điện khung và nan Louver</t>
        </is>
      </c>
    </row>
    <row r="76">
      <c r="A76" t="inlineStr">
        <is>
          <t>SW-DIFF-022-FRAME</t>
        </is>
      </c>
      <c r="B76" t="inlineStr">
        <is>
          <t>SW-DIFF-022</t>
        </is>
      </c>
      <c r="C76" t="inlineStr">
        <is>
          <t>Khung nhôm định hình Louver (SWL)</t>
        </is>
      </c>
      <c r="D76" t="inlineStr">
        <is>
          <t>NHÔM_ĐỊNH_HÌNH</t>
        </is>
      </c>
      <c r="E76" t="inlineStr">
        <is>
          <t>MAT-ALU-KHUNG-Z-2-LOP</t>
        </is>
      </c>
      <c r="F76" t="inlineStr">
        <is>
          <t>kg</t>
        </is>
      </c>
      <c r="G76" s="20" t="n">
        <v>1.399406797598647</v>
      </c>
      <c r="H76" s="16">
        <f>'00_TONG_HOP_BAO_GIA'!G23</f>
        <v/>
      </c>
      <c r="I76" s="21">
        <f>G76*H76</f>
        <v/>
      </c>
      <c r="J76" s="16">
        <f>IFERROR(INDEX('06_BANG_GIA_VAT_TU_AP_DUNG'!$E$1:$E$5000, MATCH(E76, '06_BANG_GIA_VAT_TU_AP_DUNG'!$B$1:$B$5000, 0)), 0)</f>
        <v/>
      </c>
      <c r="K76" s="16">
        <f>I76*J76</f>
        <v/>
      </c>
      <c r="L76" t="inlineStr">
        <is>
          <t>Khung Louver phủ bì 1800x1200mm</t>
        </is>
      </c>
    </row>
    <row r="77">
      <c r="A77" t="inlineStr">
        <is>
          <t>SW-DIFF-022-BLADE</t>
        </is>
      </c>
      <c r="B77" t="inlineStr">
        <is>
          <t>SW-DIFF-022</t>
        </is>
      </c>
      <c r="C77" t="inlineStr">
        <is>
          <t>Nan Z Louver &amp; thanh tăng cứng (26 nan)</t>
        </is>
      </c>
      <c r="D77" t="inlineStr">
        <is>
          <t>NHÔM_ĐỊNH_HÌNH</t>
        </is>
      </c>
      <c r="E77" t="inlineStr">
        <is>
          <t>MAT-ALU-NAN-Z-DAY</t>
        </is>
      </c>
      <c r="F77" t="inlineStr">
        <is>
          <t>kg</t>
        </is>
      </c>
      <c r="G77" s="20" t="n">
        <v>10.30370279017809</v>
      </c>
      <c r="H77" s="16">
        <f>'00_TONG_HOP_BAO_GIA'!G23</f>
        <v/>
      </c>
      <c r="I77" s="21">
        <f>G77*H77</f>
        <v/>
      </c>
      <c r="J77" s="16">
        <f>IFERROR(INDEX('06_BANG_GIA_VAT_TU_AP_DUNG'!$E$1:$E$5000, MATCH(E77, '06_BANG_GIA_VAT_TU_AP_DUNG'!$B$1:$B$5000, 0)), 0)</f>
        <v/>
      </c>
      <c r="K77" s="16">
        <f>I77*J77</f>
        <v/>
      </c>
      <c r="L77" t="inlineStr">
        <is>
          <t>26 nan Z dày @ 0.217kg/m + thanh giằng</t>
        </is>
      </c>
    </row>
    <row r="78">
      <c r="A78" t="inlineStr">
        <is>
          <t>SW-DIFF-022-ACCESSORY</t>
        </is>
      </c>
      <c r="B78" t="inlineStr">
        <is>
          <t>SW-DIFF-022</t>
        </is>
      </c>
      <c r="C78" t="inlineStr">
        <is>
          <t>Phụ kiện lắp ghép / Ke góc cửa gió</t>
        </is>
      </c>
      <c r="D78" t="inlineStr">
        <is>
          <t>PHỤ_KIỆN_CỬA</t>
        </is>
      </c>
      <c r="E78" t="inlineStr">
        <is>
          <t>MAT-DOOR-ACCESSORY</t>
        </is>
      </c>
      <c r="F78" t="inlineStr">
        <is>
          <t>Bộ</t>
        </is>
      </c>
      <c r="G78" s="20" t="n">
        <v>0.2311982182229455</v>
      </c>
      <c r="H78" s="16">
        <f>'00_TONG_HOP_BAO_GIA'!G23</f>
        <v/>
      </c>
      <c r="I78" s="21">
        <f>G78*H78</f>
        <v/>
      </c>
      <c r="J78" s="16">
        <f>IFERROR(INDEX('06_BANG_GIA_VAT_TU_AP_DUNG'!$E$1:$E$5000, MATCH(E78, '06_BANG_GIA_VAT_TU_AP_DUNG'!$B$1:$B$5000, 0)), 0)</f>
        <v/>
      </c>
      <c r="K78" s="16">
        <f>I78*J78</f>
        <v/>
      </c>
      <c r="L78" t="inlineStr">
        <is>
          <t>Ke góc và vít ghép khung Louver</t>
        </is>
      </c>
    </row>
    <row r="79">
      <c r="A79" t="inlineStr">
        <is>
          <t>SW-DIFF-022-PAINT</t>
        </is>
      </c>
      <c r="B79" t="inlineStr">
        <is>
          <t>SW-DIFF-022</t>
        </is>
      </c>
      <c r="C79" t="inlineStr">
        <is>
          <t>Sơn tĩnh điện tiêu chuẩn Polyester</t>
        </is>
      </c>
      <c r="D79" t="inlineStr">
        <is>
          <t>SƠN_TĨNH_ĐIỆN</t>
        </is>
      </c>
      <c r="E79" t="inlineStr">
        <is>
          <t>MAT-PAINT-POWDER</t>
        </is>
      </c>
      <c r="F79" t="inlineStr">
        <is>
          <t>m2</t>
        </is>
      </c>
      <c r="G79" s="20" t="n">
        <v>2.338989481784404</v>
      </c>
      <c r="H79" s="16">
        <f>'00_TONG_HOP_BAO_GIA'!G23</f>
        <v/>
      </c>
      <c r="I79" s="21">
        <f>G79*H79</f>
        <v/>
      </c>
      <c r="J79" s="16">
        <f>IFERROR(INDEX('06_BANG_GIA_VAT_TU_AP_DUNG'!$E$1:$E$5000, MATCH(E79, '06_BANG_GIA_VAT_TU_AP_DUNG'!$B$1:$B$5000, 0)), 0)</f>
        <v/>
      </c>
      <c r="K79" s="16">
        <f>I79*J79</f>
        <v/>
      </c>
      <c r="L79" t="inlineStr">
        <is>
          <t>Sơn tĩnh điện khung và nan Louver</t>
        </is>
      </c>
    </row>
    <row r="80">
      <c r="A80" t="inlineStr">
        <is>
          <t>SW-DIFF-023-FRAME</t>
        </is>
      </c>
      <c r="B80" t="inlineStr">
        <is>
          <t>SW-DIFF-023</t>
        </is>
      </c>
      <c r="C80" t="inlineStr">
        <is>
          <t>Khung nhôm định hình Louver (SWL)</t>
        </is>
      </c>
      <c r="D80" t="inlineStr">
        <is>
          <t>NHÔM_ĐỊNH_HÌNH</t>
        </is>
      </c>
      <c r="E80" t="inlineStr">
        <is>
          <t>MAT-ALU-KHUNG-Z-2-LOP</t>
        </is>
      </c>
      <c r="F80" t="inlineStr">
        <is>
          <t>kg</t>
        </is>
      </c>
      <c r="G80" s="20" t="n">
        <v>1.352750811429709</v>
      </c>
      <c r="H80" s="16">
        <f>'00_TONG_HOP_BAO_GIA'!G24</f>
        <v/>
      </c>
      <c r="I80" s="21">
        <f>G80*H80</f>
        <v/>
      </c>
      <c r="J80" s="16">
        <f>IFERROR(INDEX('06_BANG_GIA_VAT_TU_AP_DUNG'!$E$1:$E$5000, MATCH(E80, '06_BANG_GIA_VAT_TU_AP_DUNG'!$B$1:$B$5000, 0)), 0)</f>
        <v/>
      </c>
      <c r="K80" s="16">
        <f>I80*J80</f>
        <v/>
      </c>
      <c r="L80" t="inlineStr">
        <is>
          <t>Khung Louver phủ bì 1900x1000mm</t>
        </is>
      </c>
    </row>
    <row r="81">
      <c r="A81" t="inlineStr">
        <is>
          <t>SW-DIFF-023-BLADE</t>
        </is>
      </c>
      <c r="B81" t="inlineStr">
        <is>
          <t>SW-DIFF-023</t>
        </is>
      </c>
      <c r="C81" t="inlineStr">
        <is>
          <t>Nan Z Louver &amp; thanh tăng cứng (21 nan)</t>
        </is>
      </c>
      <c r="D81" t="inlineStr">
        <is>
          <t>NHÔM_ĐỊNH_HÌNH</t>
        </is>
      </c>
      <c r="E81" t="inlineStr">
        <is>
          <t>MAT-ALU-NAN-Z-DAY</t>
        </is>
      </c>
      <c r="F81" t="inlineStr">
        <is>
          <t>kg</t>
        </is>
      </c>
      <c r="G81" s="20" t="n">
        <v>8.795942098247282</v>
      </c>
      <c r="H81" s="16">
        <f>'00_TONG_HOP_BAO_GIA'!G24</f>
        <v/>
      </c>
      <c r="I81" s="21">
        <f>G81*H81</f>
        <v/>
      </c>
      <c r="J81" s="16">
        <f>IFERROR(INDEX('06_BANG_GIA_VAT_TU_AP_DUNG'!$E$1:$E$5000, MATCH(E81, '06_BANG_GIA_VAT_TU_AP_DUNG'!$B$1:$B$5000, 0)), 0)</f>
        <v/>
      </c>
      <c r="K81" s="16">
        <f>I81*J81</f>
        <v/>
      </c>
      <c r="L81" t="inlineStr">
        <is>
          <t>21 nan Z dày @ 0.217kg/m + thanh giằng</t>
        </is>
      </c>
    </row>
    <row r="82">
      <c r="A82" t="inlineStr">
        <is>
          <t>SW-DIFF-023-ACCESSORY</t>
        </is>
      </c>
      <c r="B82" t="inlineStr">
        <is>
          <t>SW-DIFF-023</t>
        </is>
      </c>
      <c r="C82" t="inlineStr">
        <is>
          <t>Phụ kiện lắp ghép / Ke góc cửa gió</t>
        </is>
      </c>
      <c r="D82" t="inlineStr">
        <is>
          <t>PHỤ_KIỆN_CỬA</t>
        </is>
      </c>
      <c r="E82" t="inlineStr">
        <is>
          <t>MAT-DOOR-ACCESSORY</t>
        </is>
      </c>
      <c r="F82" t="inlineStr">
        <is>
          <t>Bộ</t>
        </is>
      </c>
      <c r="G82" s="20" t="n">
        <v>0.186735767211017</v>
      </c>
      <c r="H82" s="16">
        <f>'00_TONG_HOP_BAO_GIA'!G24</f>
        <v/>
      </c>
      <c r="I82" s="21">
        <f>G82*H82</f>
        <v/>
      </c>
      <c r="J82" s="16">
        <f>IFERROR(INDEX('06_BANG_GIA_VAT_TU_AP_DUNG'!$E$1:$E$5000, MATCH(E82, '06_BANG_GIA_VAT_TU_AP_DUNG'!$B$1:$B$5000, 0)), 0)</f>
        <v/>
      </c>
      <c r="K82" s="16">
        <f>I82*J82</f>
        <v/>
      </c>
      <c r="L82" t="inlineStr">
        <is>
          <t>Ke góc và vít ghép khung Louver</t>
        </is>
      </c>
    </row>
    <row r="83">
      <c r="A83" t="inlineStr">
        <is>
          <t>SW-DIFF-023-PAINT</t>
        </is>
      </c>
      <c r="B83" t="inlineStr">
        <is>
          <t>SW-DIFF-023</t>
        </is>
      </c>
      <c r="C83" t="inlineStr">
        <is>
          <t>Sơn tĩnh điện tiêu chuẩn Polyester</t>
        </is>
      </c>
      <c r="D83" t="inlineStr">
        <is>
          <t>SƠN_TĨNH_ĐIỆN</t>
        </is>
      </c>
      <c r="E83" t="inlineStr">
        <is>
          <t>MAT-PAINT-POWDER</t>
        </is>
      </c>
      <c r="F83" t="inlineStr">
        <is>
          <t>m2</t>
        </is>
      </c>
      <c r="G83" s="20" t="n">
        <v>2.029818835722507</v>
      </c>
      <c r="H83" s="16">
        <f>'00_TONG_HOP_BAO_GIA'!G24</f>
        <v/>
      </c>
      <c r="I83" s="21">
        <f>G83*H83</f>
        <v/>
      </c>
      <c r="J83" s="16">
        <f>IFERROR(INDEX('06_BANG_GIA_VAT_TU_AP_DUNG'!$E$1:$E$5000, MATCH(E83, '06_BANG_GIA_VAT_TU_AP_DUNG'!$B$1:$B$5000, 0)), 0)</f>
        <v/>
      </c>
      <c r="K83" s="16">
        <f>I83*J83</f>
        <v/>
      </c>
      <c r="L83" t="inlineStr">
        <is>
          <t>Sơn tĩnh điện khung và nan Louver</t>
        </is>
      </c>
    </row>
    <row r="84">
      <c r="A84" t="inlineStr">
        <is>
          <t>SW-DIFF-024-FRAME</t>
        </is>
      </c>
      <c r="B84" t="inlineStr">
        <is>
          <t>SW-DIFF-024</t>
        </is>
      </c>
      <c r="C84" t="inlineStr">
        <is>
          <t>Khung nhôm định hình Louver (SWL)</t>
        </is>
      </c>
      <c r="D84" t="inlineStr">
        <is>
          <t>NHÔM_ĐỊNH_HÌNH</t>
        </is>
      </c>
      <c r="E84" t="inlineStr">
        <is>
          <t>MAT-ALU-KHUNG-Z-2-LOP</t>
        </is>
      </c>
      <c r="F84" t="inlineStr">
        <is>
          <t>kg</t>
        </is>
      </c>
      <c r="G84" s="20" t="n">
        <v>1.399474525655396</v>
      </c>
      <c r="H84" s="16">
        <f>'00_TONG_HOP_BAO_GIA'!G25</f>
        <v/>
      </c>
      <c r="I84" s="21">
        <f>G84*H84</f>
        <v/>
      </c>
      <c r="J84" s="16">
        <f>IFERROR(INDEX('06_BANG_GIA_VAT_TU_AP_DUNG'!$E$1:$E$5000, MATCH(E84, '06_BANG_GIA_VAT_TU_AP_DUNG'!$B$1:$B$5000, 0)), 0)</f>
        <v/>
      </c>
      <c r="K84" s="16">
        <f>I84*J84</f>
        <v/>
      </c>
      <c r="L84" t="inlineStr">
        <is>
          <t>Khung Louver phủ bì 2000x1000mm</t>
        </is>
      </c>
    </row>
    <row r="85">
      <c r="A85" t="inlineStr">
        <is>
          <t>SW-DIFF-024-BLADE</t>
        </is>
      </c>
      <c r="B85" t="inlineStr">
        <is>
          <t>SW-DIFF-024</t>
        </is>
      </c>
      <c r="C85" t="inlineStr">
        <is>
          <t>Nan Z Louver &amp; thanh tăng cứng (21 nan)</t>
        </is>
      </c>
      <c r="D85" t="inlineStr">
        <is>
          <t>NHÔM_ĐỊNH_HÌNH</t>
        </is>
      </c>
      <c r="E85" t="inlineStr">
        <is>
          <t>MAT-ALU-NAN-Z-DAY</t>
        </is>
      </c>
      <c r="F85" t="inlineStr">
        <is>
          <t>kg</t>
        </is>
      </c>
      <c r="G85" s="20" t="n">
        <v>9.264665211845763</v>
      </c>
      <c r="H85" s="16">
        <f>'00_TONG_HOP_BAO_GIA'!G25</f>
        <v/>
      </c>
      <c r="I85" s="21">
        <f>G85*H85</f>
        <v/>
      </c>
      <c r="J85" s="16">
        <f>IFERROR(INDEX('06_BANG_GIA_VAT_TU_AP_DUNG'!$E$1:$E$5000, MATCH(E85, '06_BANG_GIA_VAT_TU_AP_DUNG'!$B$1:$B$5000, 0)), 0)</f>
        <v/>
      </c>
      <c r="K85" s="16">
        <f>I85*J85</f>
        <v/>
      </c>
      <c r="L85" t="inlineStr">
        <is>
          <t>21 nan Z dày @ 0.217kg/m + thanh giằng</t>
        </is>
      </c>
    </row>
    <row r="86">
      <c r="A86" t="inlineStr">
        <is>
          <t>SW-DIFF-024-ACCESSORY</t>
        </is>
      </c>
      <c r="B86" t="inlineStr">
        <is>
          <t>SW-DIFF-024</t>
        </is>
      </c>
      <c r="C86" t="inlineStr">
        <is>
          <t>Phụ kiện lắp ghép / Ke góc cửa gió</t>
        </is>
      </c>
      <c r="D86" t="inlineStr">
        <is>
          <t>PHỤ_KIỆN_CỬA</t>
        </is>
      </c>
      <c r="E86" t="inlineStr">
        <is>
          <t>MAT-DOOR-ACCESSORY</t>
        </is>
      </c>
      <c r="F86" t="inlineStr">
        <is>
          <t>Bộ</t>
        </is>
      </c>
      <c r="G86" s="20" t="n">
        <v>0.1867460600514128</v>
      </c>
      <c r="H86" s="16">
        <f>'00_TONG_HOP_BAO_GIA'!G25</f>
        <v/>
      </c>
      <c r="I86" s="21">
        <f>G86*H86</f>
        <v/>
      </c>
      <c r="J86" s="16">
        <f>IFERROR(INDEX('06_BANG_GIA_VAT_TU_AP_DUNG'!$E$1:$E$5000, MATCH(E86, '06_BANG_GIA_VAT_TU_AP_DUNG'!$B$1:$B$5000, 0)), 0)</f>
        <v/>
      </c>
      <c r="K86" s="16">
        <f>I86*J86</f>
        <v/>
      </c>
      <c r="L86" t="inlineStr">
        <is>
          <t>Ke góc và vít ghép khung Louver</t>
        </is>
      </c>
    </row>
    <row r="87">
      <c r="A87" t="inlineStr">
        <is>
          <t>SW-DIFF-024-PAINT</t>
        </is>
      </c>
      <c r="B87" t="inlineStr">
        <is>
          <t>SW-DIFF-024</t>
        </is>
      </c>
      <c r="C87" t="inlineStr">
        <is>
          <t>Sơn tĩnh điện tiêu chuẩn Polyester</t>
        </is>
      </c>
      <c r="D87" t="inlineStr">
        <is>
          <t>SƠN_TĨNH_ĐIỆN</t>
        </is>
      </c>
      <c r="E87" t="inlineStr">
        <is>
          <t>MAT-PAINT-POWDER</t>
        </is>
      </c>
      <c r="F87" t="inlineStr">
        <is>
          <t>m2</t>
        </is>
      </c>
      <c r="G87" s="20" t="n">
        <v>2.134780523651926</v>
      </c>
      <c r="H87" s="16">
        <f>'00_TONG_HOP_BAO_GIA'!G25</f>
        <v/>
      </c>
      <c r="I87" s="21">
        <f>G87*H87</f>
        <v/>
      </c>
      <c r="J87" s="16">
        <f>IFERROR(INDEX('06_BANG_GIA_VAT_TU_AP_DUNG'!$E$1:$E$5000, MATCH(E87, '06_BANG_GIA_VAT_TU_AP_DUNG'!$B$1:$B$5000, 0)), 0)</f>
        <v/>
      </c>
      <c r="K87" s="16">
        <f>I87*J87</f>
        <v/>
      </c>
      <c r="L87" t="inlineStr">
        <is>
          <t>Sơn tĩnh điện khung và nan Louver</t>
        </is>
      </c>
    </row>
    <row r="88">
      <c r="A88" t="inlineStr">
        <is>
          <t>SW-DIFF-025-FRAME</t>
        </is>
      </c>
      <c r="B88" t="inlineStr">
        <is>
          <t>SW-DIFF-025</t>
        </is>
      </c>
      <c r="C88" t="inlineStr">
        <is>
          <t>Khung nhôm định hình Louver (SWL)</t>
        </is>
      </c>
      <c r="D88" t="inlineStr">
        <is>
          <t>NHÔM_ĐỊNH_HÌNH</t>
        </is>
      </c>
      <c r="E88" t="inlineStr">
        <is>
          <t>MAT-ALU-KHUNG-Z-2-LOP</t>
        </is>
      </c>
      <c r="F88" t="inlineStr">
        <is>
          <t>kg</t>
        </is>
      </c>
      <c r="G88" s="20" t="n">
        <v>1.446196040143019</v>
      </c>
      <c r="H88" s="16">
        <f>'00_TONG_HOP_BAO_GIA'!G26</f>
        <v/>
      </c>
      <c r="I88" s="21">
        <f>G88*H88</f>
        <v/>
      </c>
      <c r="J88" s="16">
        <f>IFERROR(INDEX('06_BANG_GIA_VAT_TU_AP_DUNG'!$E$1:$E$5000, MATCH(E88, '06_BANG_GIA_VAT_TU_AP_DUNG'!$B$1:$B$5000, 0)), 0)</f>
        <v/>
      </c>
      <c r="K88" s="16">
        <f>I88*J88</f>
        <v/>
      </c>
      <c r="L88" t="inlineStr">
        <is>
          <t>Khung Louver phủ bì 2100x1000mm</t>
        </is>
      </c>
    </row>
    <row r="89">
      <c r="A89" t="inlineStr">
        <is>
          <t>SW-DIFF-025-BLADE</t>
        </is>
      </c>
      <c r="B89" t="inlineStr">
        <is>
          <t>SW-DIFF-025</t>
        </is>
      </c>
      <c r="C89" t="inlineStr">
        <is>
          <t>Nan Z Louver &amp; thanh tăng cứng (21 nan)</t>
        </is>
      </c>
      <c r="D89" t="inlineStr">
        <is>
          <t>NHÔM_ĐỊNH_HÌNH</t>
        </is>
      </c>
      <c r="E89" t="inlineStr">
        <is>
          <t>MAT-ALU-NAN-Z-DAY</t>
        </is>
      </c>
      <c r="F89" t="inlineStr">
        <is>
          <t>kg</t>
        </is>
      </c>
      <c r="G89" s="20" t="n">
        <v>9.733390526592238</v>
      </c>
      <c r="H89" s="16">
        <f>'00_TONG_HOP_BAO_GIA'!G26</f>
        <v/>
      </c>
      <c r="I89" s="21">
        <f>G89*H89</f>
        <v/>
      </c>
      <c r="J89" s="16">
        <f>IFERROR(INDEX('06_BANG_GIA_VAT_TU_AP_DUNG'!$E$1:$E$5000, MATCH(E89, '06_BANG_GIA_VAT_TU_AP_DUNG'!$B$1:$B$5000, 0)), 0)</f>
        <v/>
      </c>
      <c r="K89" s="16">
        <f>I89*J89</f>
        <v/>
      </c>
      <c r="L89" t="inlineStr">
        <is>
          <t>21 nan Z dày @ 0.217kg/m + thanh giằng</t>
        </is>
      </c>
    </row>
    <row r="90">
      <c r="A90" t="inlineStr">
        <is>
          <t>SW-DIFF-025-ACCESSORY</t>
        </is>
      </c>
      <c r="B90" t="inlineStr">
        <is>
          <t>SW-DIFF-025</t>
        </is>
      </c>
      <c r="C90" t="inlineStr">
        <is>
          <t>Phụ kiện lắp ghép / Ke góc cửa gió</t>
        </is>
      </c>
      <c r="D90" t="inlineStr">
        <is>
          <t>PHỤ_KIỆN_CỬA</t>
        </is>
      </c>
      <c r="E90" t="inlineStr">
        <is>
          <t>MAT-DOOR-ACCESSORY</t>
        </is>
      </c>
      <c r="F90" t="inlineStr">
        <is>
          <t>Bộ</t>
        </is>
      </c>
      <c r="G90" s="20" t="n">
        <v>0.1867554047730776</v>
      </c>
      <c r="H90" s="16">
        <f>'00_TONG_HOP_BAO_GIA'!G26</f>
        <v/>
      </c>
      <c r="I90" s="21">
        <f>G90*H90</f>
        <v/>
      </c>
      <c r="J90" s="16">
        <f>IFERROR(INDEX('06_BANG_GIA_VAT_TU_AP_DUNG'!$E$1:$E$5000, MATCH(E90, '06_BANG_GIA_VAT_TU_AP_DUNG'!$B$1:$B$5000, 0)), 0)</f>
        <v/>
      </c>
      <c r="K90" s="16">
        <f>I90*J90</f>
        <v/>
      </c>
      <c r="L90" t="inlineStr">
        <is>
          <t>Ke góc và vít ghép khung Louver</t>
        </is>
      </c>
    </row>
    <row r="91">
      <c r="A91" t="inlineStr">
        <is>
          <t>SW-DIFF-025-PAINT</t>
        </is>
      </c>
      <c r="B91" t="inlineStr">
        <is>
          <t>SW-DIFF-025</t>
        </is>
      </c>
      <c r="C91" t="inlineStr">
        <is>
          <t>Sơn tĩnh điện tiêu chuẩn Polyester</t>
        </is>
      </c>
      <c r="D91" t="inlineStr">
        <is>
          <t>SƠN_TĨNH_ĐIỆN</t>
        </is>
      </c>
      <c r="E91" t="inlineStr">
        <is>
          <t>MAT-PAINT-POWDER</t>
        </is>
      </c>
      <c r="F91" t="inlineStr">
        <is>
          <t>m2</t>
        </is>
      </c>
      <c r="G91" s="20" t="n">
        <v>2.23974239883641</v>
      </c>
      <c r="H91" s="16">
        <f>'00_TONG_HOP_BAO_GIA'!G26</f>
        <v/>
      </c>
      <c r="I91" s="21">
        <f>G91*H91</f>
        <v/>
      </c>
      <c r="J91" s="16">
        <f>IFERROR(INDEX('06_BANG_GIA_VAT_TU_AP_DUNG'!$E$1:$E$5000, MATCH(E91, '06_BANG_GIA_VAT_TU_AP_DUNG'!$B$1:$B$5000, 0)), 0)</f>
        <v/>
      </c>
      <c r="K91" s="16">
        <f>I91*J91</f>
        <v/>
      </c>
      <c r="L91" t="inlineStr">
        <is>
          <t>Sơn tĩnh điện khung và nan Louver</t>
        </is>
      </c>
    </row>
    <row r="92">
      <c r="A92" t="inlineStr">
        <is>
          <t>SW-DIFF-026-FRAME</t>
        </is>
      </c>
      <c r="B92" t="inlineStr">
        <is>
          <t>SW-DIFF-026</t>
        </is>
      </c>
      <c r="C92" t="inlineStr">
        <is>
          <t>Khung nhôm định hình Louver (SWL)</t>
        </is>
      </c>
      <c r="D92" t="inlineStr">
        <is>
          <t>NHÔM_ĐỊNH_HÌNH</t>
        </is>
      </c>
      <c r="E92" t="inlineStr">
        <is>
          <t>MAT-ALU-KHUNG-Z-2-LOP</t>
        </is>
      </c>
      <c r="F92" t="inlineStr">
        <is>
          <t>kg</t>
        </is>
      </c>
      <c r="G92" s="20" t="n">
        <v>1.492915645451548</v>
      </c>
      <c r="H92" s="16">
        <f>'00_TONG_HOP_BAO_GIA'!G27</f>
        <v/>
      </c>
      <c r="I92" s="21">
        <f>G92*H92</f>
        <v/>
      </c>
      <c r="J92" s="16">
        <f>IFERROR(INDEX('06_BANG_GIA_VAT_TU_AP_DUNG'!$E$1:$E$5000, MATCH(E92, '06_BANG_GIA_VAT_TU_AP_DUNG'!$B$1:$B$5000, 0)), 0)</f>
        <v/>
      </c>
      <c r="K92" s="16">
        <f>I92*J92</f>
        <v/>
      </c>
      <c r="L92" t="inlineStr">
        <is>
          <t>Khung Louver phủ bì 2200x1000mm</t>
        </is>
      </c>
    </row>
    <row r="93">
      <c r="A93" t="inlineStr">
        <is>
          <t>SW-DIFF-026-BLADE</t>
        </is>
      </c>
      <c r="B93" t="inlineStr">
        <is>
          <t>SW-DIFF-026</t>
        </is>
      </c>
      <c r="C93" t="inlineStr">
        <is>
          <t>Nan Z Louver &amp; thanh tăng cứng (21 nan)</t>
        </is>
      </c>
      <c r="D93" t="inlineStr">
        <is>
          <t>NHÔM_ĐỊNH_HÌNH</t>
        </is>
      </c>
      <c r="E93" t="inlineStr">
        <is>
          <t>MAT-ALU-NAN-Z-DAY</t>
        </is>
      </c>
      <c r="F93" t="inlineStr">
        <is>
          <t>kg</t>
        </is>
      </c>
      <c r="G93" s="20" t="n">
        <v>10.2021177517415</v>
      </c>
      <c r="H93" s="16">
        <f>'00_TONG_HOP_BAO_GIA'!G27</f>
        <v/>
      </c>
      <c r="I93" s="21">
        <f>G93*H93</f>
        <v/>
      </c>
      <c r="J93" s="16">
        <f>IFERROR(INDEX('06_BANG_GIA_VAT_TU_AP_DUNG'!$E$1:$E$5000, MATCH(E93, '06_BANG_GIA_VAT_TU_AP_DUNG'!$B$1:$B$5000, 0)), 0)</f>
        <v/>
      </c>
      <c r="K93" s="16">
        <f>I93*J93</f>
        <v/>
      </c>
      <c r="L93" t="inlineStr">
        <is>
          <t>21 nan Z dày @ 0.217kg/m + thanh giằng</t>
        </is>
      </c>
    </row>
    <row r="94">
      <c r="A94" t="inlineStr">
        <is>
          <t>SW-DIFF-026-ACCESSORY</t>
        </is>
      </c>
      <c r="B94" t="inlineStr">
        <is>
          <t>SW-DIFF-026</t>
        </is>
      </c>
      <c r="C94" t="inlineStr">
        <is>
          <t>Phụ kiện lắp ghép / Ke góc cửa gió</t>
        </is>
      </c>
      <c r="D94" t="inlineStr">
        <is>
          <t>PHỤ_KIỆN_CỬA</t>
        </is>
      </c>
      <c r="E94" t="inlineStr">
        <is>
          <t>MAT-DOOR-ACCESSORY</t>
        </is>
      </c>
      <c r="F94" t="inlineStr">
        <is>
          <t>Bộ</t>
        </is>
      </c>
      <c r="G94" s="20" t="n">
        <v>0.1867639266111041</v>
      </c>
      <c r="H94" s="16">
        <f>'00_TONG_HOP_BAO_GIA'!G27</f>
        <v/>
      </c>
      <c r="I94" s="21">
        <f>G94*H94</f>
        <v/>
      </c>
      <c r="J94" s="16">
        <f>IFERROR(INDEX('06_BANG_GIA_VAT_TU_AP_DUNG'!$E$1:$E$5000, MATCH(E94, '06_BANG_GIA_VAT_TU_AP_DUNG'!$B$1:$B$5000, 0)), 0)</f>
        <v/>
      </c>
      <c r="K94" s="16">
        <f>I94*J94</f>
        <v/>
      </c>
      <c r="L94" t="inlineStr">
        <is>
          <t>Ke góc và vít ghép khung Louver</t>
        </is>
      </c>
    </row>
    <row r="95">
      <c r="A95" t="inlineStr">
        <is>
          <t>SW-DIFF-026-PAINT</t>
        </is>
      </c>
      <c r="B95" t="inlineStr">
        <is>
          <t>SW-DIFF-026</t>
        </is>
      </c>
      <c r="C95" t="inlineStr">
        <is>
          <t>Sơn tĩnh điện tiêu chuẩn Polyester</t>
        </is>
      </c>
      <c r="D95" t="inlineStr">
        <is>
          <t>SƠN_TĨNH_ĐIỆN</t>
        </is>
      </c>
      <c r="E95" t="inlineStr">
        <is>
          <t>MAT-PAINT-POWDER</t>
        </is>
      </c>
      <c r="F95" t="inlineStr">
        <is>
          <t>m2</t>
        </is>
      </c>
      <c r="G95" s="20" t="n">
        <v>2.344704436541813</v>
      </c>
      <c r="H95" s="16">
        <f>'00_TONG_HOP_BAO_GIA'!G27</f>
        <v/>
      </c>
      <c r="I95" s="21">
        <f>G95*H95</f>
        <v/>
      </c>
      <c r="J95" s="16">
        <f>IFERROR(INDEX('06_BANG_GIA_VAT_TU_AP_DUNG'!$E$1:$E$5000, MATCH(E95, '06_BANG_GIA_VAT_TU_AP_DUNG'!$B$1:$B$5000, 0)), 0)</f>
        <v/>
      </c>
      <c r="K95" s="16">
        <f>I95*J95</f>
        <v/>
      </c>
      <c r="L95" t="inlineStr">
        <is>
          <t>Sơn tĩnh điện khung và nan Louver</t>
        </is>
      </c>
    </row>
    <row r="96">
      <c r="A96" t="inlineStr">
        <is>
          <t>SW-DIFF-027-FRAME</t>
        </is>
      </c>
      <c r="B96" t="inlineStr">
        <is>
          <t>SW-DIFF-027</t>
        </is>
      </c>
      <c r="C96" t="inlineStr">
        <is>
          <t>Khung nhôm định hình Louver (SWL)</t>
        </is>
      </c>
      <c r="D96" t="inlineStr">
        <is>
          <t>NHÔM_ĐỊNH_HÌNH</t>
        </is>
      </c>
      <c r="E96" t="inlineStr">
        <is>
          <t>MAT-ALU-KHUNG-Z-2-LOP</t>
        </is>
      </c>
      <c r="F96" t="inlineStr">
        <is>
          <t>kg</t>
        </is>
      </c>
      <c r="G96" s="20" t="n">
        <v>1.586080134835584</v>
      </c>
      <c r="H96" s="16">
        <f>'00_TONG_HOP_BAO_GIA'!G28</f>
        <v/>
      </c>
      <c r="I96" s="21">
        <f>G96*H96</f>
        <v/>
      </c>
      <c r="J96" s="16">
        <f>IFERROR(INDEX('06_BANG_GIA_VAT_TU_AP_DUNG'!$E$1:$E$5000, MATCH(E96, '06_BANG_GIA_VAT_TU_AP_DUNG'!$B$1:$B$5000, 0)), 0)</f>
        <v/>
      </c>
      <c r="K96" s="16">
        <f>I96*J96</f>
        <v/>
      </c>
      <c r="L96" t="inlineStr">
        <is>
          <t>Khung Louver phủ bì 2200x1200mm</t>
        </is>
      </c>
    </row>
    <row r="97">
      <c r="A97" t="inlineStr">
        <is>
          <t>SW-DIFF-027-BLADE</t>
        </is>
      </c>
      <c r="B97" t="inlineStr">
        <is>
          <t>SW-DIFF-027</t>
        </is>
      </c>
      <c r="C97" t="inlineStr">
        <is>
          <t>Nan Z Louver &amp; thanh tăng cứng (26 nan)</t>
        </is>
      </c>
      <c r="D97" t="inlineStr">
        <is>
          <t>NHÔM_ĐỊNH_HÌNH</t>
        </is>
      </c>
      <c r="E97" t="inlineStr">
        <is>
          <t>MAT-ALU-NAN-Z-DAY</t>
        </is>
      </c>
      <c r="F97" t="inlineStr">
        <is>
          <t>kg</t>
        </is>
      </c>
      <c r="G97" s="20" t="n">
        <v>12.62316749343478</v>
      </c>
      <c r="H97" s="16">
        <f>'00_TONG_HOP_BAO_GIA'!G28</f>
        <v/>
      </c>
      <c r="I97" s="21">
        <f>G97*H97</f>
        <v/>
      </c>
      <c r="J97" s="16">
        <f>IFERROR(INDEX('06_BANG_GIA_VAT_TU_AP_DUNG'!$E$1:$E$5000, MATCH(E97, '06_BANG_GIA_VAT_TU_AP_DUNG'!$B$1:$B$5000, 0)), 0)</f>
        <v/>
      </c>
      <c r="K97" s="16">
        <f>I97*J97</f>
        <v/>
      </c>
      <c r="L97" t="inlineStr">
        <is>
          <t>26 nan Z dày @ 0.217kg/m + thanh giằng</t>
        </is>
      </c>
    </row>
    <row r="98">
      <c r="A98" t="inlineStr">
        <is>
          <t>SW-DIFF-027-ACCESSORY</t>
        </is>
      </c>
      <c r="B98" t="inlineStr">
        <is>
          <t>SW-DIFF-027</t>
        </is>
      </c>
      <c r="C98" t="inlineStr">
        <is>
          <t>Phụ kiện lắp ghép / Ke góc cửa gió</t>
        </is>
      </c>
      <c r="D98" t="inlineStr">
        <is>
          <t>PHỤ_KIỆN_CỬA</t>
        </is>
      </c>
      <c r="E98" t="inlineStr">
        <is>
          <t>MAT-DOOR-ACCESSORY</t>
        </is>
      </c>
      <c r="F98" t="inlineStr">
        <is>
          <t>Bộ</t>
        </is>
      </c>
      <c r="G98" s="20" t="n">
        <v>0.2312107204966569</v>
      </c>
      <c r="H98" s="16">
        <f>'00_TONG_HOP_BAO_GIA'!G28</f>
        <v/>
      </c>
      <c r="I98" s="21">
        <f>G98*H98</f>
        <v/>
      </c>
      <c r="J98" s="16">
        <f>IFERROR(INDEX('06_BANG_GIA_VAT_TU_AP_DUNG'!$E$1:$E$5000, MATCH(E98, '06_BANG_GIA_VAT_TU_AP_DUNG'!$B$1:$B$5000, 0)), 0)</f>
        <v/>
      </c>
      <c r="K98" s="16">
        <f>I98*J98</f>
        <v/>
      </c>
      <c r="L98" t="inlineStr">
        <is>
          <t>Ke góc và vít ghép khung Louver</t>
        </is>
      </c>
    </row>
    <row r="99">
      <c r="A99" t="inlineStr">
        <is>
          <t>SW-DIFF-027-PAINT</t>
        </is>
      </c>
      <c r="B99" t="inlineStr">
        <is>
          <t>SW-DIFF-027</t>
        </is>
      </c>
      <c r="C99" t="inlineStr">
        <is>
          <t>Sơn tĩnh điện tiêu chuẩn Polyester</t>
        </is>
      </c>
      <c r="D99" t="inlineStr">
        <is>
          <t>SƠN_TĨNH_ĐIỆN</t>
        </is>
      </c>
      <c r="E99" t="inlineStr">
        <is>
          <t>MAT-PAINT-POWDER</t>
        </is>
      </c>
      <c r="F99" t="inlineStr">
        <is>
          <t>m2</t>
        </is>
      </c>
      <c r="G99" s="20" t="n">
        <v>2.84932792954644</v>
      </c>
      <c r="H99" s="16">
        <f>'00_TONG_HOP_BAO_GIA'!G28</f>
        <v/>
      </c>
      <c r="I99" s="21">
        <f>G99*H99</f>
        <v/>
      </c>
      <c r="J99" s="16">
        <f>IFERROR(INDEX('06_BANG_GIA_VAT_TU_AP_DUNG'!$E$1:$E$5000, MATCH(E99, '06_BANG_GIA_VAT_TU_AP_DUNG'!$B$1:$B$5000, 0)), 0)</f>
        <v/>
      </c>
      <c r="K99" s="16">
        <f>I99*J99</f>
        <v/>
      </c>
      <c r="L99" t="inlineStr">
        <is>
          <t>Sơn tĩnh điện khung và nan Louver</t>
        </is>
      </c>
    </row>
    <row r="100">
      <c r="A100" t="inlineStr">
        <is>
          <t>SW-DIFF-028-FRAME</t>
        </is>
      </c>
      <c r="B100" t="inlineStr">
        <is>
          <t>SW-DIFF-028</t>
        </is>
      </c>
      <c r="C100" t="inlineStr">
        <is>
          <t>Khung nhôm định hình Louver (SWL)</t>
        </is>
      </c>
      <c r="D100" t="inlineStr">
        <is>
          <t>NHÔM_ĐỊNH_HÌNH</t>
        </is>
      </c>
      <c r="E100" t="inlineStr">
        <is>
          <t>MAT-ALU-KHUNG-Z-2-LOP</t>
        </is>
      </c>
      <c r="F100" t="inlineStr">
        <is>
          <t>kg</t>
        </is>
      </c>
      <c r="G100" s="20" t="n">
        <v>2.332645287468102</v>
      </c>
      <c r="H100" s="16">
        <f>'00_TONG_HOP_BAO_GIA'!G29</f>
        <v/>
      </c>
      <c r="I100" s="21">
        <f>G100*H100</f>
        <v/>
      </c>
      <c r="J100" s="16">
        <f>IFERROR(INDEX('06_BANG_GIA_VAT_TU_AP_DUNG'!$E$1:$E$5000, MATCH(E100, '06_BANG_GIA_VAT_TU_AP_DUNG'!$B$1:$B$5000, 0)), 0)</f>
        <v/>
      </c>
      <c r="K100" s="16">
        <f>I100*J100</f>
        <v/>
      </c>
      <c r="L100" t="inlineStr">
        <is>
          <t>Khung Louver phủ bì 1000x4000mm</t>
        </is>
      </c>
    </row>
    <row r="101">
      <c r="A101" t="inlineStr">
        <is>
          <t>SW-DIFF-028-BLADE</t>
        </is>
      </c>
      <c r="B101" t="inlineStr">
        <is>
          <t>SW-DIFF-028</t>
        </is>
      </c>
      <c r="C101" t="inlineStr">
        <is>
          <t>Nan Z Louver &amp; thanh tăng cứng (88 nan)</t>
        </is>
      </c>
      <c r="D101" t="inlineStr">
        <is>
          <t>NHÔM_ĐỊNH_HÌNH</t>
        </is>
      </c>
      <c r="E101" t="inlineStr">
        <is>
          <t>MAT-ALU-NAN-Z-DAY</t>
        </is>
      </c>
      <c r="F101" t="inlineStr">
        <is>
          <t>kg</t>
        </is>
      </c>
      <c r="G101" s="20" t="n">
        <v>19.16904186224624</v>
      </c>
      <c r="H101" s="16">
        <f>'00_TONG_HOP_BAO_GIA'!G29</f>
        <v/>
      </c>
      <c r="I101" s="21">
        <f>G101*H101</f>
        <v/>
      </c>
      <c r="J101" s="16">
        <f>IFERROR(INDEX('06_BANG_GIA_VAT_TU_AP_DUNG'!$E$1:$E$5000, MATCH(E101, '06_BANG_GIA_VAT_TU_AP_DUNG'!$B$1:$B$5000, 0)), 0)</f>
        <v/>
      </c>
      <c r="K101" s="16">
        <f>I101*J101</f>
        <v/>
      </c>
      <c r="L101" t="inlineStr">
        <is>
          <t>88 nan Z dày @ 0.217kg/m + thanh giằng</t>
        </is>
      </c>
    </row>
    <row r="102">
      <c r="A102" t="inlineStr">
        <is>
          <t>SW-DIFF-028-ACCESSORY</t>
        </is>
      </c>
      <c r="B102" t="inlineStr">
        <is>
          <t>SW-DIFF-028</t>
        </is>
      </c>
      <c r="C102" t="inlineStr">
        <is>
          <t>Phụ kiện lắp ghép / Ke góc cửa gió</t>
        </is>
      </c>
      <c r="D102" t="inlineStr">
        <is>
          <t>PHỤ_KIỆN_CỬA</t>
        </is>
      </c>
      <c r="E102" t="inlineStr">
        <is>
          <t>MAT-DOOR-ACCESSORY</t>
        </is>
      </c>
      <c r="F102" t="inlineStr">
        <is>
          <t>Bộ</t>
        </is>
      </c>
      <c r="G102" s="20" t="n">
        <v>0.7826179079011923</v>
      </c>
      <c r="H102" s="16">
        <f>'00_TONG_HOP_BAO_GIA'!G29</f>
        <v/>
      </c>
      <c r="I102" s="21">
        <f>G102*H102</f>
        <v/>
      </c>
      <c r="J102" s="16">
        <f>IFERROR(INDEX('06_BANG_GIA_VAT_TU_AP_DUNG'!$E$1:$E$5000, MATCH(E102, '06_BANG_GIA_VAT_TU_AP_DUNG'!$B$1:$B$5000, 0)), 0)</f>
        <v/>
      </c>
      <c r="K102" s="16">
        <f>I102*J102</f>
        <v/>
      </c>
      <c r="L102" t="inlineStr">
        <is>
          <t>Ke góc và vít ghép khung Louver</t>
        </is>
      </c>
    </row>
    <row r="103">
      <c r="A103" t="inlineStr">
        <is>
          <t>SW-DIFF-028-PAINT</t>
        </is>
      </c>
      <c r="B103" t="inlineStr">
        <is>
          <t>SW-DIFF-028</t>
        </is>
      </c>
      <c r="C103" t="inlineStr">
        <is>
          <t>Sơn tĩnh điện tiêu chuẩn Polyester</t>
        </is>
      </c>
      <c r="D103" t="inlineStr">
        <is>
          <t>SƠN_TĨNH_ĐIỆN</t>
        </is>
      </c>
      <c r="E103" t="inlineStr">
        <is>
          <t>MAT-PAINT-POWDER</t>
        </is>
      </c>
      <c r="F103" t="inlineStr">
        <is>
          <t>m2</t>
        </is>
      </c>
      <c r="G103" s="20" t="n">
        <v>4.231209071139038</v>
      </c>
      <c r="H103" s="16">
        <f>'00_TONG_HOP_BAO_GIA'!G29</f>
        <v/>
      </c>
      <c r="I103" s="21">
        <f>G103*H103</f>
        <v/>
      </c>
      <c r="J103" s="16">
        <f>IFERROR(INDEX('06_BANG_GIA_VAT_TU_AP_DUNG'!$E$1:$E$5000, MATCH(E103, '06_BANG_GIA_VAT_TU_AP_DUNG'!$B$1:$B$5000, 0)), 0)</f>
        <v/>
      </c>
      <c r="K103" s="16">
        <f>I103*J103</f>
        <v/>
      </c>
      <c r="L103" t="inlineStr">
        <is>
          <t>Sơn tĩnh điện khung và nan Louver</t>
        </is>
      </c>
    </row>
    <row r="104">
      <c r="A104" t="inlineStr">
        <is>
          <t>SW-DIFF-028-MESH</t>
        </is>
      </c>
      <c r="B104" t="inlineStr">
        <is>
          <t>SW-DIFF-028</t>
        </is>
      </c>
      <c r="C104" t="inlineStr">
        <is>
          <t>Lưới chắn côn trùng Inox 304 (LCCT)</t>
        </is>
      </c>
      <c r="D104" t="inlineStr">
        <is>
          <t>PHỤ_KIỆN_CỬA</t>
        </is>
      </c>
      <c r="E104" t="inlineStr">
        <is>
          <t>MAT-MESH-INOX-304</t>
        </is>
      </c>
      <c r="F104" t="inlineStr">
        <is>
          <t>m2</t>
        </is>
      </c>
      <c r="G104" s="20" t="n">
        <v>2.35614145218665</v>
      </c>
      <c r="H104" s="16">
        <f>'00_TONG_HOP_BAO_GIA'!G29</f>
        <v/>
      </c>
      <c r="I104" s="21">
        <f>G104*H104</f>
        <v/>
      </c>
      <c r="J104" s="16">
        <f>IFERROR(INDEX('06_BANG_GIA_VAT_TU_AP_DUNG'!$E$1:$E$5000, MATCH(E104, '06_BANG_GIA_VAT_TU_AP_DUNG'!$B$1:$B$5000, 0)), 0)</f>
        <v/>
      </c>
      <c r="K104" s="16">
        <f>I104*J104</f>
        <v/>
      </c>
      <c r="L104" t="inlineStr">
        <is>
          <t>Lưới chắn côn trùng cổ 950x3950mm</t>
        </is>
      </c>
    </row>
    <row r="105">
      <c r="A105" t="inlineStr">
        <is>
          <t>SW-DIFF-029-FRAME</t>
        </is>
      </c>
      <c r="B105" t="inlineStr">
        <is>
          <t>SW-DIFF-029</t>
        </is>
      </c>
      <c r="C105" t="inlineStr">
        <is>
          <t>Khung nhôm định hình Louver (SWL)</t>
        </is>
      </c>
      <c r="D105" t="inlineStr">
        <is>
          <t>NHÔM_ĐỊNH_HÌNH</t>
        </is>
      </c>
      <c r="E105" t="inlineStr">
        <is>
          <t>MAT-ALU-KHUNG-Z-2-LOP</t>
        </is>
      </c>
      <c r="F105" t="inlineStr">
        <is>
          <t>kg</t>
        </is>
      </c>
      <c r="G105" s="20" t="n">
        <v>1.749540339391796</v>
      </c>
      <c r="H105" s="16">
        <f>'00_TONG_HOP_BAO_GIA'!G30</f>
        <v/>
      </c>
      <c r="I105" s="21">
        <f>G105*H105</f>
        <v/>
      </c>
      <c r="J105" s="16">
        <f>IFERROR(INDEX('06_BANG_GIA_VAT_TU_AP_DUNG'!$E$1:$E$5000, MATCH(E105, '06_BANG_GIA_VAT_TU_AP_DUNG'!$B$1:$B$5000, 0)), 0)</f>
        <v/>
      </c>
      <c r="K105" s="16">
        <f>I105*J105</f>
        <v/>
      </c>
      <c r="L105" t="inlineStr">
        <is>
          <t>Khung Louver phủ bì 1550x2200mm</t>
        </is>
      </c>
    </row>
    <row r="106">
      <c r="A106" t="inlineStr">
        <is>
          <t>SW-DIFF-029-BLADE</t>
        </is>
      </c>
      <c r="B106" t="inlineStr">
        <is>
          <t>SW-DIFF-029</t>
        </is>
      </c>
      <c r="C106" t="inlineStr">
        <is>
          <t>Nan Z Louver &amp; thanh tăng cứng (48 nan)</t>
        </is>
      </c>
      <c r="D106" t="inlineStr">
        <is>
          <t>NHÔM_ĐỊNH_HÌNH</t>
        </is>
      </c>
      <c r="E106" t="inlineStr">
        <is>
          <t>MAT-ALU-NAN-Z-DAY</t>
        </is>
      </c>
      <c r="F106" t="inlineStr">
        <is>
          <t>kg</t>
        </is>
      </c>
      <c r="G106" s="20" t="n">
        <v>16.34655398550301</v>
      </c>
      <c r="H106" s="16">
        <f>'00_TONG_HOP_BAO_GIA'!G30</f>
        <v/>
      </c>
      <c r="I106" s="21">
        <f>G106*H106</f>
        <v/>
      </c>
      <c r="J106" s="16">
        <f>IFERROR(INDEX('06_BANG_GIA_VAT_TU_AP_DUNG'!$E$1:$E$5000, MATCH(E106, '06_BANG_GIA_VAT_TU_AP_DUNG'!$B$1:$B$5000, 0)), 0)</f>
        <v/>
      </c>
      <c r="K106" s="16">
        <f>I106*J106</f>
        <v/>
      </c>
      <c r="L106" t="inlineStr">
        <is>
          <t>48 nan Z dày @ 0.217kg/m + thanh giằng</t>
        </is>
      </c>
    </row>
    <row r="107">
      <c r="A107" t="inlineStr">
        <is>
          <t>SW-DIFF-029-ACCESSORY</t>
        </is>
      </c>
      <c r="B107" t="inlineStr">
        <is>
          <t>SW-DIFF-029</t>
        </is>
      </c>
      <c r="C107" t="inlineStr">
        <is>
          <t>Phụ kiện lắp ghép / Ke góc cửa gió</t>
        </is>
      </c>
      <c r="D107" t="inlineStr">
        <is>
          <t>PHỤ_KIỆN_CỬA</t>
        </is>
      </c>
      <c r="E107" t="inlineStr">
        <is>
          <t>MAT-DOOR-ACCESSORY</t>
        </is>
      </c>
      <c r="F107" t="inlineStr">
        <is>
          <t>Bộ</t>
        </is>
      </c>
      <c r="G107" s="20" t="n">
        <v>0.4268962506946871</v>
      </c>
      <c r="H107" s="16">
        <f>'00_TONG_HOP_BAO_GIA'!G30</f>
        <v/>
      </c>
      <c r="I107" s="21">
        <f>G107*H107</f>
        <v/>
      </c>
      <c r="J107" s="16">
        <f>IFERROR(INDEX('06_BANG_GIA_VAT_TU_AP_DUNG'!$E$1:$E$5000, MATCH(E107, '06_BANG_GIA_VAT_TU_AP_DUNG'!$B$1:$B$5000, 0)), 0)</f>
        <v/>
      </c>
      <c r="K107" s="16">
        <f>I107*J107</f>
        <v/>
      </c>
      <c r="L107" t="inlineStr">
        <is>
          <t>Ke góc và vít ghép khung Louver</t>
        </is>
      </c>
    </row>
    <row r="108">
      <c r="A108" t="inlineStr">
        <is>
          <t>SW-DIFF-029-PAINT</t>
        </is>
      </c>
      <c r="B108" t="inlineStr">
        <is>
          <t>SW-DIFF-029</t>
        </is>
      </c>
      <c r="C108" t="inlineStr">
        <is>
          <t>Sơn tĩnh điện tiêu chuẩn Polyester</t>
        </is>
      </c>
      <c r="D108" t="inlineStr">
        <is>
          <t>SƠN_TĨNH_ĐIỆN</t>
        </is>
      </c>
      <c r="E108" t="inlineStr">
        <is>
          <t>MAT-PAINT-POWDER</t>
        </is>
      </c>
      <c r="F108" t="inlineStr">
        <is>
          <t>m2</t>
        </is>
      </c>
      <c r="G108" s="20" t="n">
        <v>3.60399626185742</v>
      </c>
      <c r="H108" s="16">
        <f>'00_TONG_HOP_BAO_GIA'!G30</f>
        <v/>
      </c>
      <c r="I108" s="21">
        <f>G108*H108</f>
        <v/>
      </c>
      <c r="J108" s="16">
        <f>IFERROR(INDEX('06_BANG_GIA_VAT_TU_AP_DUNG'!$E$1:$E$5000, MATCH(E108, '06_BANG_GIA_VAT_TU_AP_DUNG'!$B$1:$B$5000, 0)), 0)</f>
        <v/>
      </c>
      <c r="K108" s="16">
        <f>I108*J108</f>
        <v/>
      </c>
      <c r="L108" t="inlineStr">
        <is>
          <t>Sơn tĩnh điện khung và nan Louver</t>
        </is>
      </c>
    </row>
    <row r="109">
      <c r="A109" t="inlineStr">
        <is>
          <t>SW-DIFF-029-MESH</t>
        </is>
      </c>
      <c r="B109" t="inlineStr">
        <is>
          <t>SW-DIFF-029</t>
        </is>
      </c>
      <c r="C109" t="inlineStr">
        <is>
          <t>Lưới chắn côn trùng Inox 304 (LCCT)</t>
        </is>
      </c>
      <c r="D109" t="inlineStr">
        <is>
          <t>PHỤ_KIỆN_CỬA</t>
        </is>
      </c>
      <c r="E109" t="inlineStr">
        <is>
          <t>MAT-MESH-INOX-304</t>
        </is>
      </c>
      <c r="F109" t="inlineStr">
        <is>
          <t>m2</t>
        </is>
      </c>
      <c r="G109" s="20" t="n">
        <v>2.025528353211969</v>
      </c>
      <c r="H109" s="16">
        <f>'00_TONG_HOP_BAO_GIA'!G30</f>
        <v/>
      </c>
      <c r="I109" s="21">
        <f>G109*H109</f>
        <v/>
      </c>
      <c r="J109" s="16">
        <f>IFERROR(INDEX('06_BANG_GIA_VAT_TU_AP_DUNG'!$E$1:$E$5000, MATCH(E109, '06_BANG_GIA_VAT_TU_AP_DUNG'!$B$1:$B$5000, 0)), 0)</f>
        <v/>
      </c>
      <c r="K109" s="16">
        <f>I109*J109</f>
        <v/>
      </c>
      <c r="L109" t="inlineStr">
        <is>
          <t>Lưới chắn côn trùng cổ 1500x2150mm</t>
        </is>
      </c>
    </row>
    <row r="110">
      <c r="A110" t="inlineStr">
        <is>
          <t>SW-DIFF-030-FRAME</t>
        </is>
      </c>
      <c r="B110" t="inlineStr">
        <is>
          <t>SW-DIFF-030</t>
        </is>
      </c>
      <c r="C110" t="inlineStr">
        <is>
          <t>Khung nhôm định hình Louver (SWL)</t>
        </is>
      </c>
      <c r="D110" t="inlineStr">
        <is>
          <t>NHÔM_ĐỊNH_HÌNH</t>
        </is>
      </c>
      <c r="E110" t="inlineStr">
        <is>
          <t>MAT-ALU-KHUNG-Z-2-LOP</t>
        </is>
      </c>
      <c r="F110" t="inlineStr">
        <is>
          <t>kg</t>
        </is>
      </c>
      <c r="G110" s="20" t="n">
        <v>1.77290150619546</v>
      </c>
      <c r="H110" s="16">
        <f>'00_TONG_HOP_BAO_GIA'!G31</f>
        <v/>
      </c>
      <c r="I110" s="21">
        <f>G110*H110</f>
        <v/>
      </c>
      <c r="J110" s="16">
        <f>IFERROR(INDEX('06_BANG_GIA_VAT_TU_AP_DUNG'!$E$1:$E$5000, MATCH(E110, '06_BANG_GIA_VAT_TU_AP_DUNG'!$B$1:$B$5000, 0)), 0)</f>
        <v/>
      </c>
      <c r="K110" s="16">
        <f>I110*J110</f>
        <v/>
      </c>
      <c r="L110" t="inlineStr">
        <is>
          <t>Khung Louver phủ bì 1700x2100mm</t>
        </is>
      </c>
    </row>
    <row r="111">
      <c r="A111" t="inlineStr">
        <is>
          <t>SW-DIFF-030-BLADE</t>
        </is>
      </c>
      <c r="B111" t="inlineStr">
        <is>
          <t>SW-DIFF-030</t>
        </is>
      </c>
      <c r="C111" t="inlineStr">
        <is>
          <t>Nan Z Louver &amp; thanh tăng cứng (46 nan)</t>
        </is>
      </c>
      <c r="D111" t="inlineStr">
        <is>
          <t>NHÔM_ĐỊNH_HÌNH</t>
        </is>
      </c>
      <c r="E111" t="inlineStr">
        <is>
          <t>MAT-ALU-NAN-Z-DAY</t>
        </is>
      </c>
      <c r="F111" t="inlineStr">
        <is>
          <t>kg</t>
        </is>
      </c>
      <c r="G111" s="20" t="n">
        <v>17.20294055520084</v>
      </c>
      <c r="H111" s="16">
        <f>'00_TONG_HOP_BAO_GIA'!G31</f>
        <v/>
      </c>
      <c r="I111" s="21">
        <f>G111*H111</f>
        <v/>
      </c>
      <c r="J111" s="16">
        <f>IFERROR(INDEX('06_BANG_GIA_VAT_TU_AP_DUNG'!$E$1:$E$5000, MATCH(E111, '06_BANG_GIA_VAT_TU_AP_DUNG'!$B$1:$B$5000, 0)), 0)</f>
        <v/>
      </c>
      <c r="K111" s="16">
        <f>I111*J111</f>
        <v/>
      </c>
      <c r="L111" t="inlineStr">
        <is>
          <t>46 nan Z dày @ 0.217kg/m + thanh giằng</t>
        </is>
      </c>
    </row>
    <row r="112">
      <c r="A112" t="inlineStr">
        <is>
          <t>SW-DIFF-030-ACCESSORY</t>
        </is>
      </c>
      <c r="B112" t="inlineStr">
        <is>
          <t>SW-DIFF-030</t>
        </is>
      </c>
      <c r="C112" t="inlineStr">
        <is>
          <t>Phụ kiện lắp ghép / Ke góc cửa gió</t>
        </is>
      </c>
      <c r="D112" t="inlineStr">
        <is>
          <t>PHỤ_KIỆN_CỬA</t>
        </is>
      </c>
      <c r="E112" t="inlineStr">
        <is>
          <t>MAT-DOOR-ACCESSORY</t>
        </is>
      </c>
      <c r="F112" t="inlineStr">
        <is>
          <t>Bộ</t>
        </is>
      </c>
      <c r="G112" s="20" t="n">
        <v>0.4091167440892839</v>
      </c>
      <c r="H112" s="16">
        <f>'00_TONG_HOP_BAO_GIA'!G31</f>
        <v/>
      </c>
      <c r="I112" s="21">
        <f>G112*H112</f>
        <v/>
      </c>
      <c r="J112" s="16">
        <f>IFERROR(INDEX('06_BANG_GIA_VAT_TU_AP_DUNG'!$E$1:$E$5000, MATCH(E112, '06_BANG_GIA_VAT_TU_AP_DUNG'!$B$1:$B$5000, 0)), 0)</f>
        <v/>
      </c>
      <c r="K112" s="16">
        <f>I112*J112</f>
        <v/>
      </c>
      <c r="L112" t="inlineStr">
        <is>
          <t>Ke góc và vít ghép khung Louver</t>
        </is>
      </c>
    </row>
    <row r="113">
      <c r="A113" t="inlineStr">
        <is>
          <t>SW-DIFF-030-PAINT</t>
        </is>
      </c>
      <c r="B113" t="inlineStr">
        <is>
          <t>SW-DIFF-030</t>
        </is>
      </c>
      <c r="C113" t="inlineStr">
        <is>
          <t>Sơn tĩnh điện tiêu chuẩn Polyester</t>
        </is>
      </c>
      <c r="D113" t="inlineStr">
        <is>
          <t>SƠN_TĨNH_ĐIỆN</t>
        </is>
      </c>
      <c r="E113" t="inlineStr">
        <is>
          <t>MAT-PAINT-POWDER</t>
        </is>
      </c>
      <c r="F113" t="inlineStr">
        <is>
          <t>m2</t>
        </is>
      </c>
      <c r="G113" s="20" t="n">
        <v>3.786826436665767</v>
      </c>
      <c r="H113" s="16">
        <f>'00_TONG_HOP_BAO_GIA'!G31</f>
        <v/>
      </c>
      <c r="I113" s="21">
        <f>G113*H113</f>
        <v/>
      </c>
      <c r="J113" s="16">
        <f>IFERROR(INDEX('06_BANG_GIA_VAT_TU_AP_DUNG'!$E$1:$E$5000, MATCH(E113, '06_BANG_GIA_VAT_TU_AP_DUNG'!$B$1:$B$5000, 0)), 0)</f>
        <v/>
      </c>
      <c r="K113" s="16">
        <f>I113*J113</f>
        <v/>
      </c>
      <c r="L113" t="inlineStr">
        <is>
          <t>Sơn tĩnh điện khung và nan Louver</t>
        </is>
      </c>
    </row>
    <row r="114">
      <c r="A114" t="inlineStr">
        <is>
          <t>SW-DIFF-030-MESH</t>
        </is>
      </c>
      <c r="B114" t="inlineStr">
        <is>
          <t>SW-DIFF-030</t>
        </is>
      </c>
      <c r="C114" t="inlineStr">
        <is>
          <t>Lưới chắn côn trùng Inox 304 (LCCT)</t>
        </is>
      </c>
      <c r="D114" t="inlineStr">
        <is>
          <t>PHỤ_KIỆN_CỬA</t>
        </is>
      </c>
      <c r="E114" t="inlineStr">
        <is>
          <t>MAT-MESH-INOX-304</t>
        </is>
      </c>
      <c r="F114" t="inlineStr">
        <is>
          <t>m2</t>
        </is>
      </c>
      <c r="G114" s="20" t="n">
        <v>2.121782799748901</v>
      </c>
      <c r="H114" s="16">
        <f>'00_TONG_HOP_BAO_GIA'!G31</f>
        <v/>
      </c>
      <c r="I114" s="21">
        <f>G114*H114</f>
        <v/>
      </c>
      <c r="J114" s="16">
        <f>IFERROR(INDEX('06_BANG_GIA_VAT_TU_AP_DUNG'!$E$1:$E$5000, MATCH(E114, '06_BANG_GIA_VAT_TU_AP_DUNG'!$B$1:$B$5000, 0)), 0)</f>
        <v/>
      </c>
      <c r="K114" s="16">
        <f>I114*J114</f>
        <v/>
      </c>
      <c r="L114" t="inlineStr">
        <is>
          <t>Lưới chắn côn trùng cổ 1650x2050mm</t>
        </is>
      </c>
    </row>
    <row r="115">
      <c r="A115" t="inlineStr">
        <is>
          <t>SW-DIFF-031-FRAME</t>
        </is>
      </c>
      <c r="B115" t="inlineStr">
        <is>
          <t>SW-DIFF-031</t>
        </is>
      </c>
      <c r="C115" t="inlineStr">
        <is>
          <t>Khung nhôm định hình Louver (SWL)</t>
        </is>
      </c>
      <c r="D115" t="inlineStr">
        <is>
          <t>NHÔM_ĐỊNH_HÌNH</t>
        </is>
      </c>
      <c r="E115" t="inlineStr">
        <is>
          <t>MAT-ALU-KHUNG-Z-2-LOP</t>
        </is>
      </c>
      <c r="F115" t="inlineStr">
        <is>
          <t>kg</t>
        </is>
      </c>
      <c r="G115" s="20" t="n">
        <v>1.912844415890778</v>
      </c>
      <c r="H115" s="16">
        <f>'00_TONG_HOP_BAO_GIA'!G32</f>
        <v/>
      </c>
      <c r="I115" s="21">
        <f>G115*H115</f>
        <v/>
      </c>
      <c r="J115" s="16">
        <f>IFERROR(INDEX('06_BANG_GIA_VAT_TU_AP_DUNG'!$E$1:$E$5000, MATCH(E115, '06_BANG_GIA_VAT_TU_AP_DUNG'!$B$1:$B$5000, 0)), 0)</f>
        <v/>
      </c>
      <c r="K115" s="16">
        <f>I115*J115</f>
        <v/>
      </c>
      <c r="L115" t="inlineStr">
        <is>
          <t>Khung Louver phủ bì 2000x2100mm</t>
        </is>
      </c>
    </row>
    <row r="116">
      <c r="A116" t="inlineStr">
        <is>
          <t>SW-DIFF-031-BLADE</t>
        </is>
      </c>
      <c r="B116" t="inlineStr">
        <is>
          <t>SW-DIFF-031</t>
        </is>
      </c>
      <c r="C116" t="inlineStr">
        <is>
          <t>Nan Z Louver &amp; thanh tăng cứng (46 nan)</t>
        </is>
      </c>
      <c r="D116" t="inlineStr">
        <is>
          <t>NHÔM_ĐỊNH_HÌNH</t>
        </is>
      </c>
      <c r="E116" t="inlineStr">
        <is>
          <t>MAT-ALU-NAN-Z-DAY</t>
        </is>
      </c>
      <c r="F116" t="inlineStr">
        <is>
          <t>kg</t>
        </is>
      </c>
      <c r="G116" s="20" t="n">
        <v>20.28009693638735</v>
      </c>
      <c r="H116" s="16">
        <f>'00_TONG_HOP_BAO_GIA'!G32</f>
        <v/>
      </c>
      <c r="I116" s="21">
        <f>G116*H116</f>
        <v/>
      </c>
      <c r="J116" s="16">
        <f>IFERROR(INDEX('06_BANG_GIA_VAT_TU_AP_DUNG'!$E$1:$E$5000, MATCH(E116, '06_BANG_GIA_VAT_TU_AP_DUNG'!$B$1:$B$5000, 0)), 0)</f>
        <v/>
      </c>
      <c r="K116" s="16">
        <f>I116*J116</f>
        <v/>
      </c>
      <c r="L116" t="inlineStr">
        <is>
          <t>46 nan Z dày @ 0.217kg/m + thanh giằng</t>
        </is>
      </c>
    </row>
    <row r="117">
      <c r="A117" t="inlineStr">
        <is>
          <t>SW-DIFF-031-ACCESSORY</t>
        </is>
      </c>
      <c r="B117" t="inlineStr">
        <is>
          <t>SW-DIFF-031</t>
        </is>
      </c>
      <c r="C117" t="inlineStr">
        <is>
          <t>Phụ kiện lắp ghép / Ke góc cửa gió</t>
        </is>
      </c>
      <c r="D117" t="inlineStr">
        <is>
          <t>PHỤ_KIỆN_CỬA</t>
        </is>
      </c>
      <c r="E117" t="inlineStr">
        <is>
          <t>MAT-DOOR-ACCESSORY</t>
        </is>
      </c>
      <c r="F117" t="inlineStr">
        <is>
          <t>Bộ</t>
        </is>
      </c>
      <c r="G117" s="20" t="n">
        <v>0.4091118252180125</v>
      </c>
      <c r="H117" s="16">
        <f>'00_TONG_HOP_BAO_GIA'!G32</f>
        <v/>
      </c>
      <c r="I117" s="21">
        <f>G117*H117</f>
        <v/>
      </c>
      <c r="J117" s="16">
        <f>IFERROR(INDEX('06_BANG_GIA_VAT_TU_AP_DUNG'!$E$1:$E$5000, MATCH(E117, '06_BANG_GIA_VAT_TU_AP_DUNG'!$B$1:$B$5000, 0)), 0)</f>
        <v/>
      </c>
      <c r="K117" s="16">
        <f>I117*J117</f>
        <v/>
      </c>
      <c r="L117" t="inlineStr">
        <is>
          <t>Ke góc và vít ghép khung Louver</t>
        </is>
      </c>
    </row>
    <row r="118">
      <c r="A118" t="inlineStr">
        <is>
          <t>SW-DIFF-031-PAINT</t>
        </is>
      </c>
      <c r="B118" t="inlineStr">
        <is>
          <t>SW-DIFF-031</t>
        </is>
      </c>
      <c r="C118" t="inlineStr">
        <is>
          <t>Sơn tĩnh điện tiêu chuẩn Polyester</t>
        </is>
      </c>
      <c r="D118" t="inlineStr">
        <is>
          <t>SƠN_TĨNH_ĐIỆN</t>
        </is>
      </c>
      <c r="E118" t="inlineStr">
        <is>
          <t>MAT-PAINT-POWDER</t>
        </is>
      </c>
      <c r="F118" t="inlineStr">
        <is>
          <t>m2</t>
        </is>
      </c>
      <c r="G118" s="20" t="n">
        <v>4.441945767648919</v>
      </c>
      <c r="H118" s="16">
        <f>'00_TONG_HOP_BAO_GIA'!G32</f>
        <v/>
      </c>
      <c r="I118" s="21">
        <f>G118*H118</f>
        <v/>
      </c>
      <c r="J118" s="16">
        <f>IFERROR(INDEX('06_BANG_GIA_VAT_TU_AP_DUNG'!$E$1:$E$5000, MATCH(E118, '06_BANG_GIA_VAT_TU_AP_DUNG'!$B$1:$B$5000, 0)), 0)</f>
        <v/>
      </c>
      <c r="K118" s="16">
        <f>I118*J118</f>
        <v/>
      </c>
      <c r="L118" t="inlineStr">
        <is>
          <t>Sơn tĩnh điện khung và nan Louver</t>
        </is>
      </c>
    </row>
    <row r="119">
      <c r="A119" t="inlineStr">
        <is>
          <t>SW-DIFF-031-MESH</t>
        </is>
      </c>
      <c r="B119" t="inlineStr">
        <is>
          <t>SW-DIFF-031</t>
        </is>
      </c>
      <c r="C119" t="inlineStr">
        <is>
          <t>Lưới chắn côn trùng Inox 304 (LCCT)</t>
        </is>
      </c>
      <c r="D119" t="inlineStr">
        <is>
          <t>PHỤ_KIỆN_CỬA</t>
        </is>
      </c>
      <c r="E119" t="inlineStr">
        <is>
          <t>MAT-MESH-INOX-304</t>
        </is>
      </c>
      <c r="F119" t="inlineStr">
        <is>
          <t>m2</t>
        </is>
      </c>
      <c r="G119" s="20" t="n">
        <v>2.510985561833019</v>
      </c>
      <c r="H119" s="16">
        <f>'00_TONG_HOP_BAO_GIA'!G32</f>
        <v/>
      </c>
      <c r="I119" s="21">
        <f>G119*H119</f>
        <v/>
      </c>
      <c r="J119" s="16">
        <f>IFERROR(INDEX('06_BANG_GIA_VAT_TU_AP_DUNG'!$E$1:$E$5000, MATCH(E119, '06_BANG_GIA_VAT_TU_AP_DUNG'!$B$1:$B$5000, 0)), 0)</f>
        <v/>
      </c>
      <c r="K119" s="16">
        <f>I119*J119</f>
        <v/>
      </c>
      <c r="L119" t="inlineStr">
        <is>
          <t>Lưới chắn côn trùng cổ 1950x2050mm</t>
        </is>
      </c>
    </row>
    <row r="120">
      <c r="A120" t="inlineStr">
        <is>
          <t>SW-DIFF-032-FRAME</t>
        </is>
      </c>
      <c r="B120" t="inlineStr">
        <is>
          <t>SW-DIFF-032</t>
        </is>
      </c>
      <c r="C120" t="inlineStr">
        <is>
          <t>Khung nhôm định hình Louver (SWL)</t>
        </is>
      </c>
      <c r="D120" t="inlineStr">
        <is>
          <t>NHÔM_ĐỊNH_HÌNH</t>
        </is>
      </c>
      <c r="E120" t="inlineStr">
        <is>
          <t>MAT-ALU-KHUNG-Z-2-LOP</t>
        </is>
      </c>
      <c r="F120" t="inlineStr">
        <is>
          <t>kg</t>
        </is>
      </c>
      <c r="G120" s="20" t="n">
        <v>2.145857808320346</v>
      </c>
      <c r="H120" s="16">
        <f>'00_TONG_HOP_BAO_GIA'!G33</f>
        <v/>
      </c>
      <c r="I120" s="21">
        <f>G120*H120</f>
        <v/>
      </c>
      <c r="J120" s="16">
        <f>IFERROR(INDEX('06_BANG_GIA_VAT_TU_AP_DUNG'!$E$1:$E$5000, MATCH(E120, '06_BANG_GIA_VAT_TU_AP_DUNG'!$B$1:$B$5000, 0)), 0)</f>
        <v/>
      </c>
      <c r="K120" s="16">
        <f>I120*J120</f>
        <v/>
      </c>
      <c r="L120" t="inlineStr">
        <is>
          <t>Khung Louver phủ bì 2500x2100mm</t>
        </is>
      </c>
    </row>
    <row r="121">
      <c r="A121" t="inlineStr">
        <is>
          <t>SW-DIFF-032-BLADE</t>
        </is>
      </c>
      <c r="B121" t="inlineStr">
        <is>
          <t>SW-DIFF-032</t>
        </is>
      </c>
      <c r="C121" t="inlineStr">
        <is>
          <t>Nan Z Louver &amp; thanh tăng cứng (46 nan)</t>
        </is>
      </c>
      <c r="D121" t="inlineStr">
        <is>
          <t>NHÔM_ĐỊNH_HÌNH</t>
        </is>
      </c>
      <c r="E121" t="inlineStr">
        <is>
          <t>MAT-ALU-NAN-Z-DAY</t>
        </is>
      </c>
      <c r="F121" t="inlineStr">
        <is>
          <t>kg</t>
        </is>
      </c>
      <c r="G121" s="20" t="n">
        <v>25.4059535979842</v>
      </c>
      <c r="H121" s="16">
        <f>'00_TONG_HOP_BAO_GIA'!G33</f>
        <v/>
      </c>
      <c r="I121" s="21">
        <f>G121*H121</f>
        <v/>
      </c>
      <c r="J121" s="16">
        <f>IFERROR(INDEX('06_BANG_GIA_VAT_TU_AP_DUNG'!$E$1:$E$5000, MATCH(E121, '06_BANG_GIA_VAT_TU_AP_DUNG'!$B$1:$B$5000, 0)), 0)</f>
        <v/>
      </c>
      <c r="K121" s="16">
        <f>I121*J121</f>
        <v/>
      </c>
      <c r="L121" t="inlineStr">
        <is>
          <t>46 nan Z dày @ 0.217kg/m + thanh giằng</t>
        </is>
      </c>
    </row>
    <row r="122">
      <c r="A122" t="inlineStr">
        <is>
          <t>SW-DIFF-032-ACCESSORY</t>
        </is>
      </c>
      <c r="B122" t="inlineStr">
        <is>
          <t>SW-DIFF-032</t>
        </is>
      </c>
      <c r="C122" t="inlineStr">
        <is>
          <t>Phụ kiện lắp ghép / Ke góc cửa gió</t>
        </is>
      </c>
      <c r="D122" t="inlineStr">
        <is>
          <t>PHỤ_KIỆN_CỬA</t>
        </is>
      </c>
      <c r="E122" t="inlineStr">
        <is>
          <t>MAT-DOOR-ACCESSORY</t>
        </is>
      </c>
      <c r="F122" t="inlineStr">
        <is>
          <t>Bộ</t>
        </is>
      </c>
      <c r="G122" s="20" t="n">
        <v>0.4090622013458088</v>
      </c>
      <c r="H122" s="16">
        <f>'00_TONG_HOP_BAO_GIA'!G33</f>
        <v/>
      </c>
      <c r="I122" s="21">
        <f>G122*H122</f>
        <v/>
      </c>
      <c r="J122" s="16">
        <f>IFERROR(INDEX('06_BANG_GIA_VAT_TU_AP_DUNG'!$E$1:$E$5000, MATCH(E122, '06_BANG_GIA_VAT_TU_AP_DUNG'!$B$1:$B$5000, 0)), 0)</f>
        <v/>
      </c>
      <c r="K122" s="16">
        <f>I122*J122</f>
        <v/>
      </c>
      <c r="L122" t="inlineStr">
        <is>
          <t>Ke góc và vít ghép khung Louver</t>
        </is>
      </c>
    </row>
    <row r="123">
      <c r="A123" t="inlineStr">
        <is>
          <t>SW-DIFF-032-PAINT</t>
        </is>
      </c>
      <c r="B123" t="inlineStr">
        <is>
          <t>SW-DIFF-032</t>
        </is>
      </c>
      <c r="C123" t="inlineStr">
        <is>
          <t>Sơn tĩnh điện tiêu chuẩn Polyester</t>
        </is>
      </c>
      <c r="D123" t="inlineStr">
        <is>
          <t>SƠN_TĨNH_ĐIỆN</t>
        </is>
      </c>
      <c r="E123" t="inlineStr">
        <is>
          <t>MAT-PAINT-POWDER</t>
        </is>
      </c>
      <c r="F123" t="inlineStr">
        <is>
          <t>m2</t>
        </is>
      </c>
      <c r="G123" s="20" t="n">
        <v>5.53321596022773</v>
      </c>
      <c r="H123" s="16">
        <f>'00_TONG_HOP_BAO_GIA'!G33</f>
        <v/>
      </c>
      <c r="I123" s="21">
        <f>G123*H123</f>
        <v/>
      </c>
      <c r="J123" s="16">
        <f>IFERROR(INDEX('06_BANG_GIA_VAT_TU_AP_DUNG'!$E$1:$E$5000, MATCH(E123, '06_BANG_GIA_VAT_TU_AP_DUNG'!$B$1:$B$5000, 0)), 0)</f>
        <v/>
      </c>
      <c r="K123" s="16">
        <f>I123*J123</f>
        <v/>
      </c>
      <c r="L123" t="inlineStr">
        <is>
          <t>Sơn tĩnh điện khung và nan Louver</t>
        </is>
      </c>
    </row>
    <row r="124">
      <c r="A124" t="inlineStr">
        <is>
          <t>SW-DIFF-032-MESH</t>
        </is>
      </c>
      <c r="B124" t="inlineStr">
        <is>
          <t>SW-DIFF-032</t>
        </is>
      </c>
      <c r="C124" t="inlineStr">
        <is>
          <t>Lưới chắn côn trùng Inox 304 (LCCT)</t>
        </is>
      </c>
      <c r="D124" t="inlineStr">
        <is>
          <t>PHỤ_KIỆN_CỬA</t>
        </is>
      </c>
      <c r="E124" t="inlineStr">
        <is>
          <t>MAT-MESH-INOX-304</t>
        </is>
      </c>
      <c r="F124" t="inlineStr">
        <is>
          <t>m2</t>
        </is>
      </c>
      <c r="G124" s="20" t="n">
        <v>3.151286880100439</v>
      </c>
      <c r="H124" s="16">
        <f>'00_TONG_HOP_BAO_GIA'!G33</f>
        <v/>
      </c>
      <c r="I124" s="21">
        <f>G124*H124</f>
        <v/>
      </c>
      <c r="J124" s="16">
        <f>IFERROR(INDEX('06_BANG_GIA_VAT_TU_AP_DUNG'!$E$1:$E$5000, MATCH(E124, '06_BANG_GIA_VAT_TU_AP_DUNG'!$B$1:$B$5000, 0)), 0)</f>
        <v/>
      </c>
      <c r="K124" s="16">
        <f>I124*J124</f>
        <v/>
      </c>
      <c r="L124" t="inlineStr">
        <is>
          <t>Lưới chắn côn trùng cổ 2450x2050mm</t>
        </is>
      </c>
    </row>
    <row r="125">
      <c r="A125" t="inlineStr">
        <is>
          <t>SW-DIFF-033-FRAME</t>
        </is>
      </c>
      <c r="B125" t="inlineStr">
        <is>
          <t>SW-DIFF-033</t>
        </is>
      </c>
      <c r="C125" t="inlineStr">
        <is>
          <t>Khung nhôm định hình Louver (SWL)</t>
        </is>
      </c>
      <c r="D125" t="inlineStr">
        <is>
          <t>NHÔM_ĐỊNH_HÌNH</t>
        </is>
      </c>
      <c r="E125" t="inlineStr">
        <is>
          <t>MAT-ALU-KHUNG-Z-2-LOP</t>
        </is>
      </c>
      <c r="F125" t="inlineStr">
        <is>
          <t>kg</t>
        </is>
      </c>
      <c r="G125" s="20" t="n">
        <v>3.078899662335345</v>
      </c>
      <c r="H125" s="16">
        <f>'00_TONG_HOP_BAO_GIA'!G34</f>
        <v/>
      </c>
      <c r="I125" s="21">
        <f>G125*H125</f>
        <v/>
      </c>
      <c r="J125" s="16">
        <f>IFERROR(INDEX('06_BANG_GIA_VAT_TU_AP_DUNG'!$E$1:$E$5000, MATCH(E125, '06_BANG_GIA_VAT_TU_AP_DUNG'!$B$1:$B$5000, 0)), 0)</f>
        <v/>
      </c>
      <c r="K125" s="16">
        <f>I125*J125</f>
        <v/>
      </c>
      <c r="L125" t="inlineStr">
        <is>
          <t>Khung Louver phủ bì 2600x4000mm</t>
        </is>
      </c>
    </row>
    <row r="126">
      <c r="A126" t="inlineStr">
        <is>
          <t>SW-DIFF-033-BLADE</t>
        </is>
      </c>
      <c r="B126" t="inlineStr">
        <is>
          <t>SW-DIFF-033</t>
        </is>
      </c>
      <c r="C126" t="inlineStr">
        <is>
          <t>Nan Z Louver &amp; thanh tăng cứng (88 nan)</t>
        </is>
      </c>
      <c r="D126" t="inlineStr">
        <is>
          <t>NHÔM_ĐỊNH_HÌNH</t>
        </is>
      </c>
      <c r="E126" t="inlineStr">
        <is>
          <t>MAT-ALU-NAN-Z-DAY</t>
        </is>
      </c>
      <c r="F126" t="inlineStr">
        <is>
          <t>kg</t>
        </is>
      </c>
      <c r="G126" s="20" t="n">
        <v>50.56267586445457</v>
      </c>
      <c r="H126" s="16">
        <f>'00_TONG_HOP_BAO_GIA'!G34</f>
        <v/>
      </c>
      <c r="I126" s="21">
        <f>G126*H126</f>
        <v/>
      </c>
      <c r="J126" s="16">
        <f>IFERROR(INDEX('06_BANG_GIA_VAT_TU_AP_DUNG'!$E$1:$E$5000, MATCH(E126, '06_BANG_GIA_VAT_TU_AP_DUNG'!$B$1:$B$5000, 0)), 0)</f>
        <v/>
      </c>
      <c r="K126" s="16">
        <f>I126*J126</f>
        <v/>
      </c>
      <c r="L126" t="inlineStr">
        <is>
          <t>88 nan Z dày @ 0.217kg/m + thanh giằng</t>
        </is>
      </c>
    </row>
    <row r="127">
      <c r="A127" t="inlineStr">
        <is>
          <t>SW-DIFF-033-ACCESSORY</t>
        </is>
      </c>
      <c r="B127" t="inlineStr">
        <is>
          <t>SW-DIFF-033</t>
        </is>
      </c>
      <c r="C127" t="inlineStr">
        <is>
          <t>Phụ kiện lắp ghép / Ke góc cửa gió</t>
        </is>
      </c>
      <c r="D127" t="inlineStr">
        <is>
          <t>PHỤ_KIỆN_CỬA</t>
        </is>
      </c>
      <c r="E127" t="inlineStr">
        <is>
          <t>MAT-DOOR-ACCESSORY</t>
        </is>
      </c>
      <c r="F127" t="inlineStr">
        <is>
          <t>Bộ</t>
        </is>
      </c>
      <c r="G127" s="20" t="n">
        <v>0.7825690771708044</v>
      </c>
      <c r="H127" s="16">
        <f>'00_TONG_HOP_BAO_GIA'!G34</f>
        <v/>
      </c>
      <c r="I127" s="21">
        <f>G127*H127</f>
        <v/>
      </c>
      <c r="J127" s="16">
        <f>IFERROR(INDEX('06_BANG_GIA_VAT_TU_AP_DUNG'!$E$1:$E$5000, MATCH(E127, '06_BANG_GIA_VAT_TU_AP_DUNG'!$B$1:$B$5000, 0)), 0)</f>
        <v/>
      </c>
      <c r="K127" s="16">
        <f>I127*J127</f>
        <v/>
      </c>
      <c r="L127" t="inlineStr">
        <is>
          <t>Ke góc và vít ghép khung Louver</t>
        </is>
      </c>
    </row>
    <row r="128">
      <c r="A128" t="inlineStr">
        <is>
          <t>SW-DIFF-033-PAINT</t>
        </is>
      </c>
      <c r="B128" t="inlineStr">
        <is>
          <t>SW-DIFF-033</t>
        </is>
      </c>
      <c r="C128" t="inlineStr">
        <is>
          <t>Sơn tĩnh điện tiêu chuẩn Polyester</t>
        </is>
      </c>
      <c r="D128" t="inlineStr">
        <is>
          <t>SƠN_TĨNH_ĐIỆN</t>
        </is>
      </c>
      <c r="E128" t="inlineStr">
        <is>
          <t>MAT-PAINT-POWDER</t>
        </is>
      </c>
      <c r="F128" t="inlineStr">
        <is>
          <t>m2</t>
        </is>
      </c>
      <c r="G128" s="20" t="n">
        <v>10.77606825959223</v>
      </c>
      <c r="H128" s="16">
        <f>'00_TONG_HOP_BAO_GIA'!G34</f>
        <v/>
      </c>
      <c r="I128" s="21">
        <f>G128*H128</f>
        <v/>
      </c>
      <c r="J128" s="16">
        <f>IFERROR(INDEX('06_BANG_GIA_VAT_TU_AP_DUNG'!$E$1:$E$5000, MATCH(E128, '06_BANG_GIA_VAT_TU_AP_DUNG'!$B$1:$B$5000, 0)), 0)</f>
        <v/>
      </c>
      <c r="K128" s="16">
        <f>I128*J128</f>
        <v/>
      </c>
      <c r="L128" t="inlineStr">
        <is>
          <t>Sơn tĩnh điện khung và nan Louver</t>
        </is>
      </c>
    </row>
    <row r="129">
      <c r="A129" t="inlineStr">
        <is>
          <t>SW-DIFF-033-MESH</t>
        </is>
      </c>
      <c r="B129" t="inlineStr">
        <is>
          <t>SW-DIFF-033</t>
        </is>
      </c>
      <c r="C129" t="inlineStr">
        <is>
          <t>Lưới chắn côn trùng Inox 304 (LCCT)</t>
        </is>
      </c>
      <c r="D129" t="inlineStr">
        <is>
          <t>PHỤ_KIỆN_CỬA</t>
        </is>
      </c>
      <c r="E129" t="inlineStr">
        <is>
          <t>MAT-MESH-INOX-304</t>
        </is>
      </c>
      <c r="F129" t="inlineStr">
        <is>
          <t>m2</t>
        </is>
      </c>
      <c r="G129" s="20" t="n">
        <v>6.32349863988282</v>
      </c>
      <c r="H129" s="16">
        <f>'00_TONG_HOP_BAO_GIA'!G34</f>
        <v/>
      </c>
      <c r="I129" s="21">
        <f>G129*H129</f>
        <v/>
      </c>
      <c r="J129" s="16">
        <f>IFERROR(INDEX('06_BANG_GIA_VAT_TU_AP_DUNG'!$E$1:$E$5000, MATCH(E129, '06_BANG_GIA_VAT_TU_AP_DUNG'!$B$1:$B$5000, 0)), 0)</f>
        <v/>
      </c>
      <c r="K129" s="16">
        <f>I129*J129</f>
        <v/>
      </c>
      <c r="L129" t="inlineStr">
        <is>
          <t>Lưới chắn côn trùng cổ 2550x3950mm</t>
        </is>
      </c>
    </row>
    <row r="130">
      <c r="A130" t="inlineStr">
        <is>
          <t>SW-DIFF-034-FRAME</t>
        </is>
      </c>
      <c r="B130" t="inlineStr">
        <is>
          <t>SW-DIFF-034</t>
        </is>
      </c>
      <c r="C130" t="inlineStr">
        <is>
          <t>Khung nhôm định hình Louver (SWL)</t>
        </is>
      </c>
      <c r="D130" t="inlineStr">
        <is>
          <t>NHÔM_ĐỊNH_HÌNH</t>
        </is>
      </c>
      <c r="E130" t="inlineStr">
        <is>
          <t>MAT-ALU-KHUNG-Z-2-LOP</t>
        </is>
      </c>
      <c r="F130" t="inlineStr">
        <is>
          <t>kg</t>
        </is>
      </c>
      <c r="G130" s="20" t="n">
        <v>3.265658314744526</v>
      </c>
      <c r="H130" s="16">
        <f>'00_TONG_HOP_BAO_GIA'!G35</f>
        <v/>
      </c>
      <c r="I130" s="21">
        <f>G130*H130</f>
        <v/>
      </c>
      <c r="J130" s="16">
        <f>IFERROR(INDEX('06_BANG_GIA_VAT_TU_AP_DUNG'!$E$1:$E$5000, MATCH(E130, '06_BANG_GIA_VAT_TU_AP_DUNG'!$B$1:$B$5000, 0)), 0)</f>
        <v/>
      </c>
      <c r="K130" s="16">
        <f>I130*J130</f>
        <v/>
      </c>
      <c r="L130" t="inlineStr">
        <is>
          <t>Khung Louver phủ bì 3000x4000mm</t>
        </is>
      </c>
    </row>
    <row r="131">
      <c r="A131" t="inlineStr">
        <is>
          <t>SW-DIFF-034-BLADE</t>
        </is>
      </c>
      <c r="B131" t="inlineStr">
        <is>
          <t>SW-DIFF-034</t>
        </is>
      </c>
      <c r="C131" t="inlineStr">
        <is>
          <t>Nan Z Louver &amp; thanh tăng cứng (88 nan)</t>
        </is>
      </c>
      <c r="D131" t="inlineStr">
        <is>
          <t>NHÔM_ĐỊNH_HÌNH</t>
        </is>
      </c>
      <c r="E131" t="inlineStr">
        <is>
          <t>MAT-ALU-NAN-Z-DAY</t>
        </is>
      </c>
      <c r="F131" t="inlineStr">
        <is>
          <t>kg</t>
        </is>
      </c>
      <c r="G131" s="20" t="n">
        <v>58.41422162302167</v>
      </c>
      <c r="H131" s="16">
        <f>'00_TONG_HOP_BAO_GIA'!G35</f>
        <v/>
      </c>
      <c r="I131" s="21">
        <f>G131*H131</f>
        <v/>
      </c>
      <c r="J131" s="16">
        <f>IFERROR(INDEX('06_BANG_GIA_VAT_TU_AP_DUNG'!$E$1:$E$5000, MATCH(E131, '06_BANG_GIA_VAT_TU_AP_DUNG'!$B$1:$B$5000, 0)), 0)</f>
        <v/>
      </c>
      <c r="K131" s="16">
        <f>I131*J131</f>
        <v/>
      </c>
      <c r="L131" t="inlineStr">
        <is>
          <t>88 nan Z dày @ 0.217kg/m + thanh giằng</t>
        </is>
      </c>
    </row>
    <row r="132">
      <c r="A132" t="inlineStr">
        <is>
          <t>SW-DIFF-034-ACCESSORY</t>
        </is>
      </c>
      <c r="B132" t="inlineStr">
        <is>
          <t>SW-DIFF-034</t>
        </is>
      </c>
      <c r="C132" t="inlineStr">
        <is>
          <t>Phụ kiện lắp ghép / Ke góc cửa gió</t>
        </is>
      </c>
      <c r="D132" t="inlineStr">
        <is>
          <t>PHỤ_KIỆN_CỬA</t>
        </is>
      </c>
      <c r="E132" t="inlineStr">
        <is>
          <t>MAT-DOOR-ACCESSORY</t>
        </is>
      </c>
      <c r="F132" t="inlineStr">
        <is>
          <t>Bộ</t>
        </is>
      </c>
      <c r="G132" s="20" t="n">
        <v>0.7826071027405384</v>
      </c>
      <c r="H132" s="16">
        <f>'00_TONG_HOP_BAO_GIA'!G35</f>
        <v/>
      </c>
      <c r="I132" s="21">
        <f>G132*H132</f>
        <v/>
      </c>
      <c r="J132" s="16">
        <f>IFERROR(INDEX('06_BANG_GIA_VAT_TU_AP_DUNG'!$E$1:$E$5000, MATCH(E132, '06_BANG_GIA_VAT_TU_AP_DUNG'!$B$1:$B$5000, 0)), 0)</f>
        <v/>
      </c>
      <c r="K132" s="16">
        <f>I132*J132</f>
        <v/>
      </c>
      <c r="L132" t="inlineStr">
        <is>
          <t>Ke góc và vít ghép khung Louver</t>
        </is>
      </c>
    </row>
    <row r="133">
      <c r="A133" t="inlineStr">
        <is>
          <t>SW-DIFF-034-PAINT</t>
        </is>
      </c>
      <c r="B133" t="inlineStr">
        <is>
          <t>SW-DIFF-034</t>
        </is>
      </c>
      <c r="C133" t="inlineStr">
        <is>
          <t>Sơn tĩnh điện tiêu chuẩn Polyester</t>
        </is>
      </c>
      <c r="D133" t="inlineStr">
        <is>
          <t>SƠN_TĨNH_ĐIỆN</t>
        </is>
      </c>
      <c r="E133" t="inlineStr">
        <is>
          <t>MAT-PAINT-POWDER</t>
        </is>
      </c>
      <c r="F133" t="inlineStr">
        <is>
          <t>m2</t>
        </is>
      </c>
      <c r="G133" s="20" t="n">
        <v>12.41295218189128</v>
      </c>
      <c r="H133" s="16">
        <f>'00_TONG_HOP_BAO_GIA'!G35</f>
        <v/>
      </c>
      <c r="I133" s="21">
        <f>G133*H133</f>
        <v/>
      </c>
      <c r="J133" s="16">
        <f>IFERROR(INDEX('06_BANG_GIA_VAT_TU_AP_DUNG'!$E$1:$E$5000, MATCH(E133, '06_BANG_GIA_VAT_TU_AP_DUNG'!$B$1:$B$5000, 0)), 0)</f>
        <v/>
      </c>
      <c r="K133" s="16">
        <f>I133*J133</f>
        <v/>
      </c>
      <c r="L133" t="inlineStr">
        <is>
          <t>Sơn tĩnh điện khung và nan Louver</t>
        </is>
      </c>
    </row>
    <row r="134">
      <c r="A134" t="inlineStr">
        <is>
          <t>SW-DIFF-034-MESH</t>
        </is>
      </c>
      <c r="B134" t="inlineStr">
        <is>
          <t>SW-DIFF-034</t>
        </is>
      </c>
      <c r="C134" t="inlineStr">
        <is>
          <t>Lưới chắn côn trùng Inox 304 (LCCT)</t>
        </is>
      </c>
      <c r="D134" t="inlineStr">
        <is>
          <t>PHỤ_KIỆN_CỬA</t>
        </is>
      </c>
      <c r="E134" t="inlineStr">
        <is>
          <t>MAT-MESH-INOX-304</t>
        </is>
      </c>
      <c r="F134" t="inlineStr">
        <is>
          <t>m2</t>
        </is>
      </c>
      <c r="G134" s="20" t="n">
        <v>7.315337936806864</v>
      </c>
      <c r="H134" s="16">
        <f>'00_TONG_HOP_BAO_GIA'!G35</f>
        <v/>
      </c>
      <c r="I134" s="21">
        <f>G134*H134</f>
        <v/>
      </c>
      <c r="J134" s="16">
        <f>IFERROR(INDEX('06_BANG_GIA_VAT_TU_AP_DUNG'!$E$1:$E$5000, MATCH(E134, '06_BANG_GIA_VAT_TU_AP_DUNG'!$B$1:$B$5000, 0)), 0)</f>
        <v/>
      </c>
      <c r="K134" s="16">
        <f>I134*J134</f>
        <v/>
      </c>
      <c r="L134" t="inlineStr">
        <is>
          <t>Lưới chắn côn trùng cổ 2950x3950mm</t>
        </is>
      </c>
    </row>
    <row r="135">
      <c r="A135" t="inlineStr">
        <is>
          <t>SW-DIFF-035-FRAME</t>
        </is>
      </c>
      <c r="B135" t="inlineStr">
        <is>
          <t>SW-DIFF-035</t>
        </is>
      </c>
      <c r="C135" t="inlineStr">
        <is>
          <t>Khung nhôm định hình Louver (SWL)</t>
        </is>
      </c>
      <c r="D135" t="inlineStr">
        <is>
          <t>NHÔM_ĐỊNH_HÌNH</t>
        </is>
      </c>
      <c r="E135" t="inlineStr">
        <is>
          <t>MAT-ALU-KHUNG-Z-2-LOP</t>
        </is>
      </c>
      <c r="F135" t="inlineStr">
        <is>
          <t>kg</t>
        </is>
      </c>
      <c r="G135" s="20" t="n">
        <v>2.939134079547813</v>
      </c>
      <c r="H135" s="16">
        <f>'00_TONG_HOP_BAO_GIA'!G36</f>
        <v/>
      </c>
      <c r="I135" s="21">
        <f>G135*H135</f>
        <v/>
      </c>
      <c r="J135" s="16">
        <f>IFERROR(INDEX('06_BANG_GIA_VAT_TU_AP_DUNG'!$E$1:$E$5000, MATCH(E135, '06_BANG_GIA_VAT_TU_AP_DUNG'!$B$1:$B$5000, 0)), 0)</f>
        <v/>
      </c>
      <c r="K135" s="16">
        <f>I135*J135</f>
        <v/>
      </c>
      <c r="L135" t="inlineStr">
        <is>
          <t>Khung Louver phủ bì 4100x2200mm</t>
        </is>
      </c>
    </row>
    <row r="136">
      <c r="A136" t="inlineStr">
        <is>
          <t>SW-DIFF-035-BLADE</t>
        </is>
      </c>
      <c r="B136" t="inlineStr">
        <is>
          <t>SW-DIFF-035</t>
        </is>
      </c>
      <c r="C136" t="inlineStr">
        <is>
          <t>Nan Z Louver &amp; thanh tăng cứng (48 nan)</t>
        </is>
      </c>
      <c r="D136" t="inlineStr">
        <is>
          <t>NHÔM_ĐỊNH_HÌNH</t>
        </is>
      </c>
      <c r="E136" t="inlineStr">
        <is>
          <t>MAT-ALU-NAN-Z-DAY</t>
        </is>
      </c>
      <c r="F136" t="inlineStr">
        <is>
          <t>kg</t>
        </is>
      </c>
      <c r="G136" s="20" t="n">
        <v>43.63984190923146</v>
      </c>
      <c r="H136" s="16">
        <f>'00_TONG_HOP_BAO_GIA'!G36</f>
        <v/>
      </c>
      <c r="I136" s="21">
        <f>G136*H136</f>
        <v/>
      </c>
      <c r="J136" s="16">
        <f>IFERROR(INDEX('06_BANG_GIA_VAT_TU_AP_DUNG'!$E$1:$E$5000, MATCH(E136, '06_BANG_GIA_VAT_TU_AP_DUNG'!$B$1:$B$5000, 0)), 0)</f>
        <v/>
      </c>
      <c r="K136" s="16">
        <f>I136*J136</f>
        <v/>
      </c>
      <c r="L136" t="inlineStr">
        <is>
          <t>48 nan Z dày @ 0.217kg/m + thanh giằng</t>
        </is>
      </c>
    </row>
    <row r="137">
      <c r="A137" t="inlineStr">
        <is>
          <t>SW-DIFF-035-ACCESSORY</t>
        </is>
      </c>
      <c r="B137" t="inlineStr">
        <is>
          <t>SW-DIFF-035</t>
        </is>
      </c>
      <c r="C137" t="inlineStr">
        <is>
          <t>Phụ kiện lắp ghép / Ke góc cửa gió</t>
        </is>
      </c>
      <c r="D137" t="inlineStr">
        <is>
          <t>PHỤ_KIỆN_CỬA</t>
        </is>
      </c>
      <c r="E137" t="inlineStr">
        <is>
          <t>MAT-DOOR-ACCESSORY</t>
        </is>
      </c>
      <c r="F137" t="inlineStr">
        <is>
          <t>Bộ</t>
        </is>
      </c>
      <c r="G137" s="20" t="n">
        <v>0.4268826429779764</v>
      </c>
      <c r="H137" s="16">
        <f>'00_TONG_HOP_BAO_GIA'!G36</f>
        <v/>
      </c>
      <c r="I137" s="21">
        <f>G137*H137</f>
        <v/>
      </c>
      <c r="J137" s="16">
        <f>IFERROR(INDEX('06_BANG_GIA_VAT_TU_AP_DUNG'!$E$1:$E$5000, MATCH(E137, '06_BANG_GIA_VAT_TU_AP_DUNG'!$B$1:$B$5000, 0)), 0)</f>
        <v/>
      </c>
      <c r="K137" s="16">
        <f>I137*J137</f>
        <v/>
      </c>
      <c r="L137" t="inlineStr">
        <is>
          <t>Ke góc và vít ghép khung Louver</t>
        </is>
      </c>
    </row>
    <row r="138">
      <c r="A138" t="inlineStr">
        <is>
          <t>SW-DIFF-035-PAINT</t>
        </is>
      </c>
      <c r="B138" t="inlineStr">
        <is>
          <t>SW-DIFF-035</t>
        </is>
      </c>
      <c r="C138" t="inlineStr">
        <is>
          <t>Sơn tĩnh điện tiêu chuẩn Polyester</t>
        </is>
      </c>
      <c r="D138" t="inlineStr">
        <is>
          <t>SƠN_TĨNH_ĐIỆN</t>
        </is>
      </c>
      <c r="E138" t="inlineStr">
        <is>
          <t>MAT-PAINT-POWDER</t>
        </is>
      </c>
      <c r="F138" t="inlineStr">
        <is>
          <t>m2</t>
        </is>
      </c>
      <c r="G138" s="20" t="n">
        <v>9.404149292573708</v>
      </c>
      <c r="H138" s="16">
        <f>'00_TONG_HOP_BAO_GIA'!G36</f>
        <v/>
      </c>
      <c r="I138" s="21">
        <f>G138*H138</f>
        <v/>
      </c>
      <c r="J138" s="16">
        <f>IFERROR(INDEX('06_BANG_GIA_VAT_TU_AP_DUNG'!$E$1:$E$5000, MATCH(E138, '06_BANG_GIA_VAT_TU_AP_DUNG'!$B$1:$B$5000, 0)), 0)</f>
        <v/>
      </c>
      <c r="K138" s="16">
        <f>I138*J138</f>
        <v/>
      </c>
      <c r="L138" t="inlineStr">
        <is>
          <t>Sơn tĩnh điện khung và nan Louver</t>
        </is>
      </c>
    </row>
    <row r="139">
      <c r="A139" t="inlineStr">
        <is>
          <t>SW-DIFF-035-MESH</t>
        </is>
      </c>
      <c r="B139" t="inlineStr">
        <is>
          <t>SW-DIFF-035</t>
        </is>
      </c>
      <c r="C139" t="inlineStr">
        <is>
          <t>Lưới chắn côn trùng Inox 304 (LCCT)</t>
        </is>
      </c>
      <c r="D139" t="inlineStr">
        <is>
          <t>PHỤ_KIỆN_CỬA</t>
        </is>
      </c>
      <c r="E139" t="inlineStr">
        <is>
          <t>MAT-MESH-INOX-304</t>
        </is>
      </c>
      <c r="F139" t="inlineStr">
        <is>
          <t>m2</t>
        </is>
      </c>
      <c r="G139" s="20" t="n">
        <v>5.465578572923206</v>
      </c>
      <c r="H139" s="16">
        <f>'00_TONG_HOP_BAO_GIA'!G36</f>
        <v/>
      </c>
      <c r="I139" s="21">
        <f>G139*H139</f>
        <v/>
      </c>
      <c r="J139" s="16">
        <f>IFERROR(INDEX('06_BANG_GIA_VAT_TU_AP_DUNG'!$E$1:$E$5000, MATCH(E139, '06_BANG_GIA_VAT_TU_AP_DUNG'!$B$1:$B$5000, 0)), 0)</f>
        <v/>
      </c>
      <c r="K139" s="16">
        <f>I139*J139</f>
        <v/>
      </c>
      <c r="L139" t="inlineStr">
        <is>
          <t>Lưới chắn côn trùng cổ 4050x2150mm</t>
        </is>
      </c>
    </row>
    <row r="140">
      <c r="A140" t="inlineStr">
        <is>
          <t>SW-DIFF-036-FRAME</t>
        </is>
      </c>
      <c r="B140" t="inlineStr">
        <is>
          <t>SW-DIFF-036</t>
        </is>
      </c>
      <c r="C140" t="inlineStr">
        <is>
          <t>Khung nhôm định hình Louver (SWL)</t>
        </is>
      </c>
      <c r="D140" t="inlineStr">
        <is>
          <t>NHÔM_ĐỊNH_HÌNH</t>
        </is>
      </c>
      <c r="E140" t="inlineStr">
        <is>
          <t>MAT-ALU-KHUNG-Z-2-LOP</t>
        </is>
      </c>
      <c r="F140" t="inlineStr">
        <is>
          <t>kg</t>
        </is>
      </c>
      <c r="G140" s="20" t="n">
        <v>1.819619328867067</v>
      </c>
      <c r="H140" s="16">
        <f>'00_TONG_HOP_BAO_GIA'!G37</f>
        <v/>
      </c>
      <c r="I140" s="21">
        <f>G140*H140</f>
        <v/>
      </c>
      <c r="J140" s="16">
        <f>IFERROR(INDEX('06_BANG_GIA_VAT_TU_AP_DUNG'!$E$1:$E$5000, MATCH(E140, '06_BANG_GIA_VAT_TU_AP_DUNG'!$B$1:$B$5000, 0)), 0)</f>
        <v/>
      </c>
      <c r="K140" s="16">
        <f>I140*J140</f>
        <v/>
      </c>
      <c r="L140" t="inlineStr">
        <is>
          <t>Khung Louver phủ bì 1100x2800mm</t>
        </is>
      </c>
    </row>
    <row r="141">
      <c r="A141" t="inlineStr">
        <is>
          <t>SW-DIFF-036-BLADE</t>
        </is>
      </c>
      <c r="B141" t="inlineStr">
        <is>
          <t>SW-DIFF-036</t>
        </is>
      </c>
      <c r="C141" t="inlineStr">
        <is>
          <t>Nan Z Louver &amp; thanh tăng cứng (61 nan)</t>
        </is>
      </c>
      <c r="D141" t="inlineStr">
        <is>
          <t>NHÔM_ĐỊNH_HÌNH</t>
        </is>
      </c>
      <c r="E141" t="inlineStr">
        <is>
          <t>MAT-ALU-NAN-Z-DAY</t>
        </is>
      </c>
      <c r="F141" t="inlineStr">
        <is>
          <t>kg</t>
        </is>
      </c>
      <c r="G141" s="20" t="n">
        <v>14.65405032403004</v>
      </c>
      <c r="H141" s="16">
        <f>'00_TONG_HOP_BAO_GIA'!G37</f>
        <v/>
      </c>
      <c r="I141" s="21">
        <f>G141*H141</f>
        <v/>
      </c>
      <c r="J141" s="16">
        <f>IFERROR(INDEX('06_BANG_GIA_VAT_TU_AP_DUNG'!$E$1:$E$5000, MATCH(E141, '06_BANG_GIA_VAT_TU_AP_DUNG'!$B$1:$B$5000, 0)), 0)</f>
        <v/>
      </c>
      <c r="K141" s="16">
        <f>I141*J141</f>
        <v/>
      </c>
      <c r="L141" t="inlineStr">
        <is>
          <t>61 nan Z dày @ 0.217kg/m + thanh giằng</t>
        </is>
      </c>
    </row>
    <row r="142">
      <c r="A142" t="inlineStr">
        <is>
          <t>SW-DIFF-036-ACCESSORY</t>
        </is>
      </c>
      <c r="B142" t="inlineStr">
        <is>
          <t>SW-DIFF-036</t>
        </is>
      </c>
      <c r="C142" t="inlineStr">
        <is>
          <t>Phụ kiện lắp ghép / Ke góc cửa gió</t>
        </is>
      </c>
      <c r="D142" t="inlineStr">
        <is>
          <t>PHỤ_KIỆN_CỬA</t>
        </is>
      </c>
      <c r="E142" t="inlineStr">
        <is>
          <t>MAT-DOOR-ACCESSORY</t>
        </is>
      </c>
      <c r="F142" t="inlineStr">
        <is>
          <t>Bộ</t>
        </is>
      </c>
      <c r="G142" s="20" t="n">
        <v>0.5425430191407551</v>
      </c>
      <c r="H142" s="16">
        <f>'00_TONG_HOP_BAO_GIA'!G37</f>
        <v/>
      </c>
      <c r="I142" s="21">
        <f>G142*H142</f>
        <v/>
      </c>
      <c r="J142" s="16">
        <f>IFERROR(INDEX('06_BANG_GIA_VAT_TU_AP_DUNG'!$E$1:$E$5000, MATCH(E142, '06_BANG_GIA_VAT_TU_AP_DUNG'!$B$1:$B$5000, 0)), 0)</f>
        <v/>
      </c>
      <c r="K142" s="16">
        <f>I142*J142</f>
        <v/>
      </c>
      <c r="L142" t="inlineStr">
        <is>
          <t>Ke góc và vít ghép khung Louver</t>
        </is>
      </c>
    </row>
    <row r="143">
      <c r="A143" t="inlineStr">
        <is>
          <t>SW-DIFF-036-PAINT</t>
        </is>
      </c>
      <c r="B143" t="inlineStr">
        <is>
          <t>SW-DIFF-036</t>
        </is>
      </c>
      <c r="C143" t="inlineStr">
        <is>
          <t>Sơn tĩnh điện tiêu chuẩn Polyester</t>
        </is>
      </c>
      <c r="D143" t="inlineStr">
        <is>
          <t>SƠN_TĨNH_ĐIỆN</t>
        </is>
      </c>
      <c r="E143" t="inlineStr">
        <is>
          <t>MAT-PAINT-POWDER</t>
        </is>
      </c>
      <c r="F143" t="inlineStr">
        <is>
          <t>m2</t>
        </is>
      </c>
      <c r="G143" s="20" t="n">
        <v>3.251507923560827</v>
      </c>
      <c r="H143" s="16">
        <f>'00_TONG_HOP_BAO_GIA'!G37</f>
        <v/>
      </c>
      <c r="I143" s="21">
        <f>G143*H143</f>
        <v/>
      </c>
      <c r="J143" s="16">
        <f>IFERROR(INDEX('06_BANG_GIA_VAT_TU_AP_DUNG'!$E$1:$E$5000, MATCH(E143, '06_BANG_GIA_VAT_TU_AP_DUNG'!$B$1:$B$5000, 0)), 0)</f>
        <v/>
      </c>
      <c r="K143" s="16">
        <f>I143*J143</f>
        <v/>
      </c>
      <c r="L143" t="inlineStr">
        <is>
          <t>Sơn tĩnh điện khung và nan Louver</t>
        </is>
      </c>
    </row>
    <row r="144">
      <c r="A144" t="inlineStr">
        <is>
          <t>SW-DIFF-036-MESH</t>
        </is>
      </c>
      <c r="B144" t="inlineStr">
        <is>
          <t>SW-DIFF-036</t>
        </is>
      </c>
      <c r="C144" t="inlineStr">
        <is>
          <t>Lưới chắn côn trùng Inox 304 (LCCT)</t>
        </is>
      </c>
      <c r="D144" t="inlineStr">
        <is>
          <t>PHỤ_KIỆN_CỬA</t>
        </is>
      </c>
      <c r="E144" t="inlineStr">
        <is>
          <t>MAT-MESH-INOX-304</t>
        </is>
      </c>
      <c r="F144" t="inlineStr">
        <is>
          <t>m2</t>
        </is>
      </c>
      <c r="G144" s="20" t="n">
        <v>1.812094580456162</v>
      </c>
      <c r="H144" s="16">
        <f>'00_TONG_HOP_BAO_GIA'!G37</f>
        <v/>
      </c>
      <c r="I144" s="21">
        <f>G144*H144</f>
        <v/>
      </c>
      <c r="J144" s="16">
        <f>IFERROR(INDEX('06_BANG_GIA_VAT_TU_AP_DUNG'!$E$1:$E$5000, MATCH(E144, '06_BANG_GIA_VAT_TU_AP_DUNG'!$B$1:$B$5000, 0)), 0)</f>
        <v/>
      </c>
      <c r="K144" s="16">
        <f>I144*J144</f>
        <v/>
      </c>
      <c r="L144" t="inlineStr">
        <is>
          <t>Lưới chắn côn trùng cổ 1050x2750mm</t>
        </is>
      </c>
    </row>
    <row r="145">
      <c r="A145" t="inlineStr">
        <is>
          <t>SW-DIFF-037-FRAME</t>
        </is>
      </c>
      <c r="B145" t="inlineStr">
        <is>
          <t>SW-DIFF-037</t>
        </is>
      </c>
      <c r="C145" t="inlineStr">
        <is>
          <t>Khung nhôm định hình Louver (SWL)</t>
        </is>
      </c>
      <c r="D145" t="inlineStr">
        <is>
          <t>NHÔM_ĐỊNH_HÌNH</t>
        </is>
      </c>
      <c r="E145" t="inlineStr">
        <is>
          <t>MAT-ALU-KHUNG-Z-2-LOP</t>
        </is>
      </c>
      <c r="F145" t="inlineStr">
        <is>
          <t>kg</t>
        </is>
      </c>
      <c r="G145" s="20" t="n">
        <v>1.725952961634254</v>
      </c>
      <c r="H145" s="16">
        <f>'00_TONG_HOP_BAO_GIA'!G38</f>
        <v/>
      </c>
      <c r="I145" s="21">
        <f>G145*H145</f>
        <v/>
      </c>
      <c r="J145" s="16">
        <f>IFERROR(INDEX('06_BANG_GIA_VAT_TU_AP_DUNG'!$E$1:$E$5000, MATCH(E145, '06_BANG_GIA_VAT_TU_AP_DUNG'!$B$1:$B$5000, 0)), 0)</f>
        <v/>
      </c>
      <c r="K145" s="16">
        <f>I145*J145</f>
        <v/>
      </c>
      <c r="L145" t="inlineStr">
        <is>
          <t>Khung Louver phủ bì 1300x2400mm</t>
        </is>
      </c>
    </row>
    <row r="146">
      <c r="A146" t="inlineStr">
        <is>
          <t>SW-DIFF-037-BLADE</t>
        </is>
      </c>
      <c r="B146" t="inlineStr">
        <is>
          <t>SW-DIFF-037</t>
        </is>
      </c>
      <c r="C146" t="inlineStr">
        <is>
          <t>Nan Z Louver &amp; thanh tăng cứng (52 nan)</t>
        </is>
      </c>
      <c r="D146" t="inlineStr">
        <is>
          <t>NHÔM_ĐỊNH_HÌNH</t>
        </is>
      </c>
      <c r="E146" t="inlineStr">
        <is>
          <t>MAT-ALU-NAN-Z-DAY</t>
        </is>
      </c>
      <c r="F146" t="inlineStr">
        <is>
          <t>kg</t>
        </is>
      </c>
      <c r="G146" s="20" t="n">
        <v>14.81060395443187</v>
      </c>
      <c r="H146" s="16">
        <f>'00_TONG_HOP_BAO_GIA'!G38</f>
        <v/>
      </c>
      <c r="I146" s="21">
        <f>G146*H146</f>
        <v/>
      </c>
      <c r="J146" s="16">
        <f>IFERROR(INDEX('06_BANG_GIA_VAT_TU_AP_DUNG'!$E$1:$E$5000, MATCH(E146, '06_BANG_GIA_VAT_TU_AP_DUNG'!$B$1:$B$5000, 0)), 0)</f>
        <v/>
      </c>
      <c r="K146" s="16">
        <f>I146*J146</f>
        <v/>
      </c>
      <c r="L146" t="inlineStr">
        <is>
          <t>52 nan Z dày @ 0.217kg/m + thanh giằng</t>
        </is>
      </c>
    </row>
    <row r="147">
      <c r="A147" t="inlineStr">
        <is>
          <t>SW-DIFF-037-ACCESSORY</t>
        </is>
      </c>
      <c r="B147" t="inlineStr">
        <is>
          <t>SW-DIFF-037</t>
        </is>
      </c>
      <c r="C147" t="inlineStr">
        <is>
          <t>Phụ kiện lắp ghép / Ke góc cửa gió</t>
        </is>
      </c>
      <c r="D147" t="inlineStr">
        <is>
          <t>PHỤ_KIỆN_CỬA</t>
        </is>
      </c>
      <c r="E147" t="inlineStr">
        <is>
          <t>MAT-DOOR-ACCESSORY</t>
        </is>
      </c>
      <c r="F147" t="inlineStr">
        <is>
          <t>Bộ</t>
        </is>
      </c>
      <c r="G147" s="20" t="n">
        <v>0.4624012350644671</v>
      </c>
      <c r="H147" s="16">
        <f>'00_TONG_HOP_BAO_GIA'!G38</f>
        <v/>
      </c>
      <c r="I147" s="21">
        <f>G147*H147</f>
        <v/>
      </c>
      <c r="J147" s="16">
        <f>IFERROR(INDEX('06_BANG_GIA_VAT_TU_AP_DUNG'!$E$1:$E$5000, MATCH(E147, '06_BANG_GIA_VAT_TU_AP_DUNG'!$B$1:$B$5000, 0)), 0)</f>
        <v/>
      </c>
      <c r="K147" s="16">
        <f>I147*J147</f>
        <v/>
      </c>
      <c r="L147" t="inlineStr">
        <is>
          <t>Ke góc và vít ghép khung Louver</t>
        </is>
      </c>
    </row>
    <row r="148">
      <c r="A148" t="inlineStr">
        <is>
          <t>SW-DIFF-037-PAINT</t>
        </is>
      </c>
      <c r="B148" t="inlineStr">
        <is>
          <t>SW-DIFF-037</t>
        </is>
      </c>
      <c r="C148" t="inlineStr">
        <is>
          <t>Sơn tĩnh điện tiêu chuẩn Polyester</t>
        </is>
      </c>
      <c r="D148" t="inlineStr">
        <is>
          <t>SƠN_TĨNH_ĐIỆN</t>
        </is>
      </c>
      <c r="E148" t="inlineStr">
        <is>
          <t>MAT-PAINT-POWDER</t>
        </is>
      </c>
      <c r="F148" t="inlineStr">
        <is>
          <t>m2</t>
        </is>
      </c>
      <c r="G148" s="20" t="n">
        <v>3.279065004471008</v>
      </c>
      <c r="H148" s="16">
        <f>'00_TONG_HOP_BAO_GIA'!G38</f>
        <v/>
      </c>
      <c r="I148" s="21">
        <f>G148*H148</f>
        <v/>
      </c>
      <c r="J148" s="16">
        <f>IFERROR(INDEX('06_BANG_GIA_VAT_TU_AP_DUNG'!$E$1:$E$5000, MATCH(E148, '06_BANG_GIA_VAT_TU_AP_DUNG'!$B$1:$B$5000, 0)), 0)</f>
        <v/>
      </c>
      <c r="K148" s="16">
        <f>I148*J148</f>
        <v/>
      </c>
      <c r="L148" t="inlineStr">
        <is>
          <t>Sơn tĩnh điện khung và nan Louver</t>
        </is>
      </c>
    </row>
    <row r="149">
      <c r="A149" t="inlineStr">
        <is>
          <t>SW-DIFF-037-MESH</t>
        </is>
      </c>
      <c r="B149" t="inlineStr">
        <is>
          <t>SW-DIFF-037</t>
        </is>
      </c>
      <c r="C149" t="inlineStr">
        <is>
          <t>Lưới chắn côn trùng Inox 304 (LCCT)</t>
        </is>
      </c>
      <c r="D149" t="inlineStr">
        <is>
          <t>PHỤ_KIỆN_CỬA</t>
        </is>
      </c>
      <c r="E149" t="inlineStr">
        <is>
          <t>MAT-MESH-INOX-304</t>
        </is>
      </c>
      <c r="F149" t="inlineStr">
        <is>
          <t>m2</t>
        </is>
      </c>
      <c r="G149" s="20" t="n">
        <v>1.845574387947269</v>
      </c>
      <c r="H149" s="16">
        <f>'00_TONG_HOP_BAO_GIA'!G38</f>
        <v/>
      </c>
      <c r="I149" s="21">
        <f>G149*H149</f>
        <v/>
      </c>
      <c r="J149" s="16">
        <f>IFERROR(INDEX('06_BANG_GIA_VAT_TU_AP_DUNG'!$E$1:$E$5000, MATCH(E149, '06_BANG_GIA_VAT_TU_AP_DUNG'!$B$1:$B$5000, 0)), 0)</f>
        <v/>
      </c>
      <c r="K149" s="16">
        <f>I149*J149</f>
        <v/>
      </c>
      <c r="L149" t="inlineStr">
        <is>
          <t>Lưới chắn côn trùng cổ 1250x2350mm</t>
        </is>
      </c>
    </row>
    <row r="150">
      <c r="A150" t="inlineStr">
        <is>
          <t>SW-DIFF-038-FRAME</t>
        </is>
      </c>
      <c r="B150" t="inlineStr">
        <is>
          <t>SW-DIFF-038</t>
        </is>
      </c>
      <c r="C150" t="inlineStr">
        <is>
          <t>Khung nhôm định hình Louver (SWL)</t>
        </is>
      </c>
      <c r="D150" t="inlineStr">
        <is>
          <t>NHÔM_ĐỊNH_HÌNH</t>
        </is>
      </c>
      <c r="E150" t="inlineStr">
        <is>
          <t>MAT-ALU-KHUNG-Z-2-LOP</t>
        </is>
      </c>
      <c r="F150" t="inlineStr">
        <is>
          <t>kg</t>
        </is>
      </c>
      <c r="G150" s="20" t="n">
        <v>2.19272429853906</v>
      </c>
      <c r="H150" s="16">
        <f>'00_TONG_HOP_BAO_GIA'!G39</f>
        <v/>
      </c>
      <c r="I150" s="21">
        <f>G150*H150</f>
        <v/>
      </c>
      <c r="J150" s="16">
        <f>IFERROR(INDEX('06_BANG_GIA_VAT_TU_AP_DUNG'!$E$1:$E$5000, MATCH(E150, '06_BANG_GIA_VAT_TU_AP_DUNG'!$B$1:$B$5000, 0)), 0)</f>
        <v/>
      </c>
      <c r="K150" s="16">
        <f>I150*J150</f>
        <v/>
      </c>
      <c r="L150" t="inlineStr">
        <is>
          <t>Khung Louver phủ bì 3500x1200mm</t>
        </is>
      </c>
    </row>
    <row r="151">
      <c r="A151" t="inlineStr">
        <is>
          <t>SW-DIFF-038-BLADE</t>
        </is>
      </c>
      <c r="B151" t="inlineStr">
        <is>
          <t>SW-DIFF-038</t>
        </is>
      </c>
      <c r="C151" t="inlineStr">
        <is>
          <t>Nan Z Louver &amp; thanh tăng cứng (26 nan)</t>
        </is>
      </c>
      <c r="D151" t="inlineStr">
        <is>
          <t>NHÔM_ĐỊNH_HÌNH</t>
        </is>
      </c>
      <c r="E151" t="inlineStr">
        <is>
          <t>MAT-ALU-NAN-Z-DAY</t>
        </is>
      </c>
      <c r="F151" t="inlineStr">
        <is>
          <t>kg</t>
        </is>
      </c>
      <c r="G151" s="20" t="n">
        <v>20.16147205247016</v>
      </c>
      <c r="H151" s="16">
        <f>'00_TONG_HOP_BAO_GIA'!G39</f>
        <v/>
      </c>
      <c r="I151" s="21">
        <f>G151*H151</f>
        <v/>
      </c>
      <c r="J151" s="16">
        <f>IFERROR(INDEX('06_BANG_GIA_VAT_TU_AP_DUNG'!$E$1:$E$5000, MATCH(E151, '06_BANG_GIA_VAT_TU_AP_DUNG'!$B$1:$B$5000, 0)), 0)</f>
        <v/>
      </c>
      <c r="K151" s="16">
        <f>I151*J151</f>
        <v/>
      </c>
      <c r="L151" t="inlineStr">
        <is>
          <t>26 nan Z dày @ 0.217kg/m + thanh giằng</t>
        </is>
      </c>
    </row>
    <row r="152">
      <c r="A152" t="inlineStr">
        <is>
          <t>SW-DIFF-038-ACCESSORY</t>
        </is>
      </c>
      <c r="B152" t="inlineStr">
        <is>
          <t>SW-DIFF-038</t>
        </is>
      </c>
      <c r="C152" t="inlineStr">
        <is>
          <t>Phụ kiện lắp ghép / Ke góc cửa gió</t>
        </is>
      </c>
      <c r="D152" t="inlineStr">
        <is>
          <t>PHỤ_KIỆN_CỬA</t>
        </is>
      </c>
      <c r="E152" t="inlineStr">
        <is>
          <t>MAT-DOOR-ACCESSORY</t>
        </is>
      </c>
      <c r="F152" t="inlineStr">
        <is>
          <t>Bộ</t>
        </is>
      </c>
      <c r="G152" s="20" t="n">
        <v>0.2312319968534105</v>
      </c>
      <c r="H152" s="16">
        <f>'00_TONG_HOP_BAO_GIA'!G39</f>
        <v/>
      </c>
      <c r="I152" s="21">
        <f>G152*H152</f>
        <v/>
      </c>
      <c r="J152" s="16">
        <f>IFERROR(INDEX('06_BANG_GIA_VAT_TU_AP_DUNG'!$E$1:$E$5000, MATCH(E152, '06_BANG_GIA_VAT_TU_AP_DUNG'!$B$1:$B$5000, 0)), 0)</f>
        <v/>
      </c>
      <c r="K152" s="16">
        <f>I152*J152</f>
        <v/>
      </c>
      <c r="L152" t="inlineStr">
        <is>
          <t>Ke góc và vít ghép khung Louver</t>
        </is>
      </c>
    </row>
    <row r="153">
      <c r="A153" t="inlineStr">
        <is>
          <t>SW-DIFF-038-PAINT</t>
        </is>
      </c>
      <c r="B153" t="inlineStr">
        <is>
          <t>SW-DIFF-038</t>
        </is>
      </c>
      <c r="C153" t="inlineStr">
        <is>
          <t>Sơn tĩnh điện tiêu chuẩn Polyester</t>
        </is>
      </c>
      <c r="D153" t="inlineStr">
        <is>
          <t>SƠN_TĨNH_ĐIỆN</t>
        </is>
      </c>
      <c r="E153" t="inlineStr">
        <is>
          <t>MAT-PAINT-POWDER</t>
        </is>
      </c>
      <c r="F153" t="inlineStr">
        <is>
          <t>m2</t>
        </is>
      </c>
      <c r="G153" s="20" t="n">
        <v>4.507931602873565</v>
      </c>
      <c r="H153" s="16">
        <f>'00_TONG_HOP_BAO_GIA'!G39</f>
        <v/>
      </c>
      <c r="I153" s="21">
        <f>G153*H153</f>
        <v/>
      </c>
      <c r="J153" s="16">
        <f>IFERROR(INDEX('06_BANG_GIA_VAT_TU_AP_DUNG'!$E$1:$E$5000, MATCH(E153, '06_BANG_GIA_VAT_TU_AP_DUNG'!$B$1:$B$5000, 0)), 0)</f>
        <v/>
      </c>
      <c r="K153" s="16">
        <f>I153*J153</f>
        <v/>
      </c>
      <c r="L153" t="inlineStr">
        <is>
          <t>Sơn tĩnh điện khung và nan Louver</t>
        </is>
      </c>
    </row>
    <row r="154">
      <c r="A154" t="inlineStr">
        <is>
          <t>SW-DIFF-038-MESH</t>
        </is>
      </c>
      <c r="B154" t="inlineStr">
        <is>
          <t>SW-DIFF-038</t>
        </is>
      </c>
      <c r="C154" t="inlineStr">
        <is>
          <t>Lưới chắn côn trùng Inox 304 (LCCT)</t>
        </is>
      </c>
      <c r="D154" t="inlineStr">
        <is>
          <t>PHỤ_KIỆN_CỬA</t>
        </is>
      </c>
      <c r="E154" t="inlineStr">
        <is>
          <t>MAT-MESH-INOX-304</t>
        </is>
      </c>
      <c r="F154" t="inlineStr">
        <is>
          <t>m2</t>
        </is>
      </c>
      <c r="G154" s="20" t="n">
        <v>2.490060682151078</v>
      </c>
      <c r="H154" s="16">
        <f>'00_TONG_HOP_BAO_GIA'!G39</f>
        <v/>
      </c>
      <c r="I154" s="21">
        <f>G154*H154</f>
        <v/>
      </c>
      <c r="J154" s="16">
        <f>IFERROR(INDEX('06_BANG_GIA_VAT_TU_AP_DUNG'!$E$1:$E$5000, MATCH(E154, '06_BANG_GIA_VAT_TU_AP_DUNG'!$B$1:$B$5000, 0)), 0)</f>
        <v/>
      </c>
      <c r="K154" s="16">
        <f>I154*J154</f>
        <v/>
      </c>
      <c r="L154" t="inlineStr">
        <is>
          <t>Lưới chắn côn trùng cổ 3450x1150mm</t>
        </is>
      </c>
    </row>
    <row r="155">
      <c r="A155" t="inlineStr">
        <is>
          <t>SW-DIFF-039-FRAME</t>
        </is>
      </c>
      <c r="B155" t="inlineStr">
        <is>
          <t>SW-DIFF-039</t>
        </is>
      </c>
      <c r="C155" t="inlineStr">
        <is>
          <t>Khung nhôm định hình Louver (SWL)</t>
        </is>
      </c>
      <c r="D155" t="inlineStr">
        <is>
          <t>NHÔM_ĐỊNH_HÌNH</t>
        </is>
      </c>
      <c r="E155" t="inlineStr">
        <is>
          <t>MAT-ALU-KHUNG-Z-2-LOP</t>
        </is>
      </c>
      <c r="F155" t="inlineStr">
        <is>
          <t>kg</t>
        </is>
      </c>
      <c r="G155" s="20" t="n">
        <v>2.939015249585185</v>
      </c>
      <c r="H155" s="16">
        <f>'00_TONG_HOP_BAO_GIA'!G40</f>
        <v/>
      </c>
      <c r="I155" s="21">
        <f>G155*H155</f>
        <v/>
      </c>
      <c r="J155" s="16">
        <f>IFERROR(INDEX('06_BANG_GIA_VAT_TU_AP_DUNG'!$E$1:$E$5000, MATCH(E155, '06_BANG_GIA_VAT_TU_AP_DUNG'!$B$1:$B$5000, 0)), 0)</f>
        <v/>
      </c>
      <c r="K155" s="16">
        <f>I155*J155</f>
        <v/>
      </c>
      <c r="L155" t="inlineStr">
        <is>
          <t>Khung Louver phủ bì 3500x2800mm</t>
        </is>
      </c>
    </row>
    <row r="156">
      <c r="A156" t="inlineStr">
        <is>
          <t>SW-DIFF-039-BLADE</t>
        </is>
      </c>
      <c r="B156" t="inlineStr">
        <is>
          <t>SW-DIFF-039</t>
        </is>
      </c>
      <c r="C156" t="inlineStr">
        <is>
          <t>Nan Z Louver &amp; thanh tăng cứng (61 nan)</t>
        </is>
      </c>
      <c r="D156" t="inlineStr">
        <is>
          <t>NHÔM_ĐỊNH_HÌNH</t>
        </is>
      </c>
      <c r="E156" t="inlineStr">
        <is>
          <t>MAT-ALU-NAN-Z-DAY</t>
        </is>
      </c>
      <c r="F156" t="inlineStr">
        <is>
          <t>kg</t>
        </is>
      </c>
      <c r="G156" s="20" t="n">
        <v>47.29642298759768</v>
      </c>
      <c r="H156" s="16">
        <f>'00_TONG_HOP_BAO_GIA'!G40</f>
        <v/>
      </c>
      <c r="I156" s="21">
        <f>G156*H156</f>
        <v/>
      </c>
      <c r="J156" s="16">
        <f>IFERROR(INDEX('06_BANG_GIA_VAT_TU_AP_DUNG'!$E$1:$E$5000, MATCH(E156, '06_BANG_GIA_VAT_TU_AP_DUNG'!$B$1:$B$5000, 0)), 0)</f>
        <v/>
      </c>
      <c r="K156" s="16">
        <f>I156*J156</f>
        <v/>
      </c>
      <c r="L156" t="inlineStr">
        <is>
          <t>61 nan Z dày @ 0.217kg/m + thanh giằng</t>
        </is>
      </c>
    </row>
    <row r="157">
      <c r="A157" t="inlineStr">
        <is>
          <t>SW-DIFF-039-ACCESSORY</t>
        </is>
      </c>
      <c r="B157" t="inlineStr">
        <is>
          <t>SW-DIFF-039</t>
        </is>
      </c>
      <c r="C157" t="inlineStr">
        <is>
          <t>Phụ kiện lắp ghép / Ke góc cửa gió</t>
        </is>
      </c>
      <c r="D157" t="inlineStr">
        <is>
          <t>PHỤ_KIỆN_CỬA</t>
        </is>
      </c>
      <c r="E157" t="inlineStr">
        <is>
          <t>MAT-DOOR-ACCESSORY</t>
        </is>
      </c>
      <c r="F157" t="inlineStr">
        <is>
          <t>Bộ</t>
        </is>
      </c>
      <c r="G157" s="20" t="n">
        <v>0.5424747588341275</v>
      </c>
      <c r="H157" s="16">
        <f>'00_TONG_HOP_BAO_GIA'!G40</f>
        <v/>
      </c>
      <c r="I157" s="21">
        <f>G157*H157</f>
        <v/>
      </c>
      <c r="J157" s="16">
        <f>IFERROR(INDEX('06_BANG_GIA_VAT_TU_AP_DUNG'!$E$1:$E$5000, MATCH(E157, '06_BANG_GIA_VAT_TU_AP_DUNG'!$B$1:$B$5000, 0)), 0)</f>
        <v/>
      </c>
      <c r="K157" s="16">
        <f>I157*J157</f>
        <v/>
      </c>
      <c r="L157" t="inlineStr">
        <is>
          <t>Ke góc và vít ghép khung Louver</t>
        </is>
      </c>
    </row>
    <row r="158">
      <c r="A158" t="inlineStr">
        <is>
          <t>SW-DIFF-039-PAINT</t>
        </is>
      </c>
      <c r="B158" t="inlineStr">
        <is>
          <t>SW-DIFF-039</t>
        </is>
      </c>
      <c r="C158" t="inlineStr">
        <is>
          <t>Sơn tĩnh điện tiêu chuẩn Polyester</t>
        </is>
      </c>
      <c r="D158" t="inlineStr">
        <is>
          <t>SƠN_TĨNH_ĐIỆN</t>
        </is>
      </c>
      <c r="E158" t="inlineStr">
        <is>
          <t>MAT-PAINT-POWDER</t>
        </is>
      </c>
      <c r="F158" t="inlineStr">
        <is>
          <t>m2</t>
        </is>
      </c>
      <c r="G158" s="20" t="n">
        <v>10.12664468337969</v>
      </c>
      <c r="H158" s="16">
        <f>'00_TONG_HOP_BAO_GIA'!G40</f>
        <v/>
      </c>
      <c r="I158" s="21">
        <f>G158*H158</f>
        <v/>
      </c>
      <c r="J158" s="16">
        <f>IFERROR(INDEX('06_BANG_GIA_VAT_TU_AP_DUNG'!$E$1:$E$5000, MATCH(E158, '06_BANG_GIA_VAT_TU_AP_DUNG'!$B$1:$B$5000, 0)), 0)</f>
        <v/>
      </c>
      <c r="K158" s="16">
        <f>I158*J158</f>
        <v/>
      </c>
      <c r="L158" t="inlineStr">
        <is>
          <t>Sơn tĩnh điện khung và nan Louver</t>
        </is>
      </c>
    </row>
    <row r="159">
      <c r="A159" t="inlineStr">
        <is>
          <t>SW-DIFF-039-MESH</t>
        </is>
      </c>
      <c r="B159" t="inlineStr">
        <is>
          <t>SW-DIFF-039</t>
        </is>
      </c>
      <c r="C159" t="inlineStr">
        <is>
          <t>Lưới chắn côn trùng Inox 304 (LCCT)</t>
        </is>
      </c>
      <c r="D159" t="inlineStr">
        <is>
          <t>PHỤ_KIỆN_CỬA</t>
        </is>
      </c>
      <c r="E159" t="inlineStr">
        <is>
          <t>MAT-MESH-INOX-304</t>
        </is>
      </c>
      <c r="F159" t="inlineStr">
        <is>
          <t>m2</t>
        </is>
      </c>
      <c r="G159" s="20" t="n">
        <v>5.955220757480644</v>
      </c>
      <c r="H159" s="16">
        <f>'00_TONG_HOP_BAO_GIA'!G40</f>
        <v/>
      </c>
      <c r="I159" s="21">
        <f>G159*H159</f>
        <v/>
      </c>
      <c r="J159" s="16">
        <f>IFERROR(INDEX('06_BANG_GIA_VAT_TU_AP_DUNG'!$E$1:$E$5000, MATCH(E159, '06_BANG_GIA_VAT_TU_AP_DUNG'!$B$1:$B$5000, 0)), 0)</f>
        <v/>
      </c>
      <c r="K159" s="16">
        <f>I159*J159</f>
        <v/>
      </c>
      <c r="L159" t="inlineStr">
        <is>
          <t>Lưới chắn côn trùng cổ 3450x2750mm</t>
        </is>
      </c>
    </row>
    <row r="160">
      <c r="A160" t="inlineStr">
        <is>
          <t>SW-DIFF-040-FRAME</t>
        </is>
      </c>
      <c r="B160" t="inlineStr">
        <is>
          <t>SW-DIFF-040</t>
        </is>
      </c>
      <c r="C160" t="inlineStr">
        <is>
          <t>Khung nhôm định hình Louver (SWL)</t>
        </is>
      </c>
      <c r="D160" t="inlineStr">
        <is>
          <t>NHÔM_ĐỊNH_HÌNH</t>
        </is>
      </c>
      <c r="E160" t="inlineStr">
        <is>
          <t>MAT-ALU-KHUNG-Z-2-LOP</t>
        </is>
      </c>
      <c r="F160" t="inlineStr">
        <is>
          <t>kg</t>
        </is>
      </c>
      <c r="G160" s="20" t="n">
        <v>2.84575517819088</v>
      </c>
      <c r="H160" s="16">
        <f>'00_TONG_HOP_BAO_GIA'!G41</f>
        <v/>
      </c>
      <c r="I160" s="21">
        <f>G160*H160</f>
        <v/>
      </c>
      <c r="J160" s="16">
        <f>IFERROR(INDEX('06_BANG_GIA_VAT_TU_AP_DUNG'!$E$1:$E$5000, MATCH(E160, '06_BANG_GIA_VAT_TU_AP_DUNG'!$B$1:$B$5000, 0)), 0)</f>
        <v/>
      </c>
      <c r="K160" s="16">
        <f>I160*J160</f>
        <v/>
      </c>
      <c r="L160" t="inlineStr">
        <is>
          <t>Khung Louver phủ bì 3700x2400mm</t>
        </is>
      </c>
    </row>
    <row r="161">
      <c r="A161" t="inlineStr">
        <is>
          <t>SW-DIFF-040-BLADE</t>
        </is>
      </c>
      <c r="B161" t="inlineStr">
        <is>
          <t>SW-DIFF-040</t>
        </is>
      </c>
      <c r="C161" t="inlineStr">
        <is>
          <t>Nan Z Louver &amp; thanh tăng cứng (52 nan)</t>
        </is>
      </c>
      <c r="D161" t="inlineStr">
        <is>
          <t>NHÔM_ĐỊNH_HÌNH</t>
        </is>
      </c>
      <c r="E161" t="inlineStr">
        <is>
          <t>MAT-ALU-NAN-Z-DAY</t>
        </is>
      </c>
      <c r="F161" t="inlineStr">
        <is>
          <t>kg</t>
        </is>
      </c>
      <c r="G161" s="20" t="n">
        <v>42.64025138840083</v>
      </c>
      <c r="H161" s="16">
        <f>'00_TONG_HOP_BAO_GIA'!G41</f>
        <v/>
      </c>
      <c r="I161" s="21">
        <f>G161*H161</f>
        <v/>
      </c>
      <c r="J161" s="16">
        <f>IFERROR(INDEX('06_BANG_GIA_VAT_TU_AP_DUNG'!$E$1:$E$5000, MATCH(E161, '06_BANG_GIA_VAT_TU_AP_DUNG'!$B$1:$B$5000, 0)), 0)</f>
        <v/>
      </c>
      <c r="K161" s="16">
        <f>I161*J161</f>
        <v/>
      </c>
      <c r="L161" t="inlineStr">
        <is>
          <t>52 nan Z dày @ 0.217kg/m + thanh giằng</t>
        </is>
      </c>
    </row>
    <row r="162">
      <c r="A162" t="inlineStr">
        <is>
          <t>SW-DIFF-040-ACCESSORY</t>
        </is>
      </c>
      <c r="B162" t="inlineStr">
        <is>
          <t>SW-DIFF-040</t>
        </is>
      </c>
      <c r="C162" t="inlineStr">
        <is>
          <t>Phụ kiện lắp ghép / Ke góc cửa gió</t>
        </is>
      </c>
      <c r="D162" t="inlineStr">
        <is>
          <t>PHỤ_KIỆN_CỬA</t>
        </is>
      </c>
      <c r="E162" t="inlineStr">
        <is>
          <t>MAT-DOOR-ACCESSORY</t>
        </is>
      </c>
      <c r="F162" t="inlineStr">
        <is>
          <t>Bộ</t>
        </is>
      </c>
      <c r="G162" s="20" t="n">
        <v>0.4624443244718623</v>
      </c>
      <c r="H162" s="16">
        <f>'00_TONG_HOP_BAO_GIA'!G41</f>
        <v/>
      </c>
      <c r="I162" s="21">
        <f>G162*H162</f>
        <v/>
      </c>
      <c r="J162" s="16">
        <f>IFERROR(INDEX('06_BANG_GIA_VAT_TU_AP_DUNG'!$E$1:$E$5000, MATCH(E162, '06_BANG_GIA_VAT_TU_AP_DUNG'!$B$1:$B$5000, 0)), 0)</f>
        <v/>
      </c>
      <c r="K162" s="16">
        <f>I162*J162</f>
        <v/>
      </c>
      <c r="L162" t="inlineStr">
        <is>
          <t>Ke góc và vít ghép khung Louver</t>
        </is>
      </c>
    </row>
    <row r="163">
      <c r="A163" t="inlineStr">
        <is>
          <t>SW-DIFF-040-PAINT</t>
        </is>
      </c>
      <c r="B163" t="inlineStr">
        <is>
          <t>SW-DIFF-040</t>
        </is>
      </c>
      <c r="C163" t="inlineStr">
        <is>
          <t>Sơn tĩnh điện tiêu chuẩn Polyester</t>
        </is>
      </c>
      <c r="D163" t="inlineStr">
        <is>
          <t>SƠN_TĨNH_ĐIỆN</t>
        </is>
      </c>
      <c r="E163" t="inlineStr">
        <is>
          <t>MAT-PAINT-POWDER</t>
        </is>
      </c>
      <c r="F163" t="inlineStr">
        <is>
          <t>m2</t>
        </is>
      </c>
      <c r="G163" s="20" t="n">
        <v>9.174217424846956</v>
      </c>
      <c r="H163" s="16">
        <f>'00_TONG_HOP_BAO_GIA'!G41</f>
        <v/>
      </c>
      <c r="I163" s="21">
        <f>G163*H163</f>
        <v/>
      </c>
      <c r="J163" s="16">
        <f>IFERROR(INDEX('06_BANG_GIA_VAT_TU_AP_DUNG'!$E$1:$E$5000, MATCH(E163, '06_BANG_GIA_VAT_TU_AP_DUNG'!$B$1:$B$5000, 0)), 0)</f>
        <v/>
      </c>
      <c r="K163" s="16">
        <f>I163*J163</f>
        <v/>
      </c>
      <c r="L163" t="inlineStr">
        <is>
          <t>Sơn tĩnh điện khung và nan Louver</t>
        </is>
      </c>
    </row>
    <row r="164">
      <c r="A164" t="inlineStr">
        <is>
          <t>SW-DIFF-040-MESH</t>
        </is>
      </c>
      <c r="B164" t="inlineStr">
        <is>
          <t>SW-DIFF-040</t>
        </is>
      </c>
      <c r="C164" t="inlineStr">
        <is>
          <t>Lưới chắn côn trùng Inox 304 (LCCT)</t>
        </is>
      </c>
      <c r="D164" t="inlineStr">
        <is>
          <t>PHỤ_KIỆN_CỬA</t>
        </is>
      </c>
      <c r="E164" t="inlineStr">
        <is>
          <t>MAT-MESH-INOX-304</t>
        </is>
      </c>
      <c r="F164" t="inlineStr">
        <is>
          <t>m2</t>
        </is>
      </c>
      <c r="G164" s="20" t="n">
        <v>5.386064030131827</v>
      </c>
      <c r="H164" s="16">
        <f>'00_TONG_HOP_BAO_GIA'!G41</f>
        <v/>
      </c>
      <c r="I164" s="21">
        <f>G164*H164</f>
        <v/>
      </c>
      <c r="J164" s="16">
        <f>IFERROR(INDEX('06_BANG_GIA_VAT_TU_AP_DUNG'!$E$1:$E$5000, MATCH(E164, '06_BANG_GIA_VAT_TU_AP_DUNG'!$B$1:$B$5000, 0)), 0)</f>
        <v/>
      </c>
      <c r="K164" s="16">
        <f>I164*J164</f>
        <v/>
      </c>
      <c r="L164" t="inlineStr">
        <is>
          <t>Lưới chắn côn trùng cổ 3650x2350mm</t>
        </is>
      </c>
    </row>
    <row r="165">
      <c r="A165" t="inlineStr">
        <is>
          <t>SW-DIFF-041-FRAME</t>
        </is>
      </c>
      <c r="B165" t="inlineStr">
        <is>
          <t>SW-DIFF-041</t>
        </is>
      </c>
      <c r="C165" t="inlineStr">
        <is>
          <t>Khung nhôm định hình Louver (SWL)</t>
        </is>
      </c>
      <c r="D165" t="inlineStr">
        <is>
          <t>NHÔM_ĐỊNH_HÌNH</t>
        </is>
      </c>
      <c r="E165" t="inlineStr">
        <is>
          <t>MAT-ALU-KHUNG-Z-2-LOP</t>
        </is>
      </c>
      <c r="F165" t="inlineStr">
        <is>
          <t>kg</t>
        </is>
      </c>
      <c r="G165" s="20" t="n">
        <v>3.125517192256092</v>
      </c>
      <c r="H165" s="16">
        <f>'00_TONG_HOP_BAO_GIA'!G42</f>
        <v/>
      </c>
      <c r="I165" s="21">
        <f>G165*H165</f>
        <v/>
      </c>
      <c r="J165" s="16">
        <f>IFERROR(INDEX('06_BANG_GIA_VAT_TU_AP_DUNG'!$E$1:$E$5000, MATCH(E165, '06_BANG_GIA_VAT_TU_AP_DUNG'!$B$1:$B$5000, 0)), 0)</f>
        <v/>
      </c>
      <c r="K165" s="16">
        <f>I165*J165</f>
        <v/>
      </c>
      <c r="L165" t="inlineStr">
        <is>
          <t>Khung Louver phủ bì 3900x2800mm</t>
        </is>
      </c>
    </row>
    <row r="166">
      <c r="A166" t="inlineStr">
        <is>
          <t>SW-DIFF-041-BLADE</t>
        </is>
      </c>
      <c r="B166" t="inlineStr">
        <is>
          <t>SW-DIFF-041</t>
        </is>
      </c>
      <c r="C166" t="inlineStr">
        <is>
          <t>Nan Z Louver &amp; thanh tăng cứng (61 nan)</t>
        </is>
      </c>
      <c r="D166" t="inlineStr">
        <is>
          <t>NHÔM_ĐỊNH_HÌNH</t>
        </is>
      </c>
      <c r="E166" t="inlineStr">
        <is>
          <t>MAT-ALU-NAN-Z-DAY</t>
        </is>
      </c>
      <c r="F166" t="inlineStr">
        <is>
          <t>kg</t>
        </is>
      </c>
      <c r="G166" s="20" t="n">
        <v>52.73540134002774</v>
      </c>
      <c r="H166" s="16">
        <f>'00_TONG_HOP_BAO_GIA'!G42</f>
        <v/>
      </c>
      <c r="I166" s="21">
        <f>G166*H166</f>
        <v/>
      </c>
      <c r="J166" s="16">
        <f>IFERROR(INDEX('06_BANG_GIA_VAT_TU_AP_DUNG'!$E$1:$E$5000, MATCH(E166, '06_BANG_GIA_VAT_TU_AP_DUNG'!$B$1:$B$5000, 0)), 0)</f>
        <v/>
      </c>
      <c r="K166" s="16">
        <f>I166*J166</f>
        <v/>
      </c>
      <c r="L166" t="inlineStr">
        <is>
          <t>61 nan Z dày @ 0.217kg/m + thanh giằng</t>
        </is>
      </c>
    </row>
    <row r="167">
      <c r="A167" t="inlineStr">
        <is>
          <t>SW-DIFF-041-ACCESSORY</t>
        </is>
      </c>
      <c r="B167" t="inlineStr">
        <is>
          <t>SW-DIFF-041</t>
        </is>
      </c>
      <c r="C167" t="inlineStr">
        <is>
          <t>Phụ kiện lắp ghép / Ke góc cửa gió</t>
        </is>
      </c>
      <c r="D167" t="inlineStr">
        <is>
          <t>PHỤ_KIỆN_CỬA</t>
        </is>
      </c>
      <c r="E167" t="inlineStr">
        <is>
          <t>MAT-DOOR-ACCESSORY</t>
        </is>
      </c>
      <c r="F167" t="inlineStr">
        <is>
          <t>Bộ</t>
        </is>
      </c>
      <c r="G167" s="20" t="n">
        <v>0.5424570212275501</v>
      </c>
      <c r="H167" s="16">
        <f>'00_TONG_HOP_BAO_GIA'!G42</f>
        <v/>
      </c>
      <c r="I167" s="21">
        <f>G167*H167</f>
        <v/>
      </c>
      <c r="J167" s="16">
        <f>IFERROR(INDEX('06_BANG_GIA_VAT_TU_AP_DUNG'!$E$1:$E$5000, MATCH(E167, '06_BANG_GIA_VAT_TU_AP_DUNG'!$B$1:$B$5000, 0)), 0)</f>
        <v/>
      </c>
      <c r="K167" s="16">
        <f>I167*J167</f>
        <v/>
      </c>
      <c r="L167" t="inlineStr">
        <is>
          <t>Ke góc và vít ghép khung Louver</t>
        </is>
      </c>
    </row>
    <row r="168">
      <c r="A168" t="inlineStr">
        <is>
          <t>SW-DIFF-041-PAINT</t>
        </is>
      </c>
      <c r="B168" t="inlineStr">
        <is>
          <t>SW-DIFF-041</t>
        </is>
      </c>
      <c r="C168" t="inlineStr">
        <is>
          <t>Sơn tĩnh điện tiêu chuẩn Polyester</t>
        </is>
      </c>
      <c r="D168" t="inlineStr">
        <is>
          <t>SƠN_TĨNH_ĐIỆN</t>
        </is>
      </c>
      <c r="E168" t="inlineStr">
        <is>
          <t>MAT-PAINT-POWDER</t>
        </is>
      </c>
      <c r="F168" t="inlineStr">
        <is>
          <t>m2</t>
        </is>
      </c>
      <c r="G168" s="20" t="n">
        <v>11.27220040606674</v>
      </c>
      <c r="H168" s="16">
        <f>'00_TONG_HOP_BAO_GIA'!G42</f>
        <v/>
      </c>
      <c r="I168" s="21">
        <f>G168*H168</f>
        <v/>
      </c>
      <c r="J168" s="16">
        <f>IFERROR(INDEX('06_BANG_GIA_VAT_TU_AP_DUNG'!$E$1:$E$5000, MATCH(E168, '06_BANG_GIA_VAT_TU_AP_DUNG'!$B$1:$B$5000, 0)), 0)</f>
        <v/>
      </c>
      <c r="K168" s="16">
        <f>I168*J168</f>
        <v/>
      </c>
      <c r="L168" t="inlineStr">
        <is>
          <t>Sơn tĩnh điện khung và nan Louver</t>
        </is>
      </c>
    </row>
    <row r="169">
      <c r="A169" t="inlineStr">
        <is>
          <t>SW-DIFF-041-MESH</t>
        </is>
      </c>
      <c r="B169" t="inlineStr">
        <is>
          <t>SW-DIFF-041</t>
        </is>
      </c>
      <c r="C169" t="inlineStr">
        <is>
          <t>Lưới chắn côn trùng Inox 304 (LCCT)</t>
        </is>
      </c>
      <c r="D169" t="inlineStr">
        <is>
          <t>PHỤ_KIỆN_CỬA</t>
        </is>
      </c>
      <c r="E169" t="inlineStr">
        <is>
          <t>MAT-MESH-INOX-304</t>
        </is>
      </c>
      <c r="F169" t="inlineStr">
        <is>
          <t>m2</t>
        </is>
      </c>
      <c r="G169" s="20" t="n">
        <v>6.645741786984725</v>
      </c>
      <c r="H169" s="16">
        <f>'00_TONG_HOP_BAO_GIA'!G42</f>
        <v/>
      </c>
      <c r="I169" s="21">
        <f>G169*H169</f>
        <v/>
      </c>
      <c r="J169" s="16">
        <f>IFERROR(INDEX('06_BANG_GIA_VAT_TU_AP_DUNG'!$E$1:$E$5000, MATCH(E169, '06_BANG_GIA_VAT_TU_AP_DUNG'!$B$1:$B$5000, 0)), 0)</f>
        <v/>
      </c>
      <c r="K169" s="16">
        <f>I169*J169</f>
        <v/>
      </c>
      <c r="L169" t="inlineStr">
        <is>
          <t>Lưới chắn côn trùng cổ 3850x2750mm</t>
        </is>
      </c>
    </row>
    <row r="170">
      <c r="A170" t="inlineStr">
        <is>
          <t>SW-DIFF-042-FRAME</t>
        </is>
      </c>
      <c r="B170" t="inlineStr">
        <is>
          <t>SW-DIFF-042</t>
        </is>
      </c>
      <c r="C170" t="inlineStr">
        <is>
          <t>Khung nhôm định hình Louver (SWL)</t>
        </is>
      </c>
      <c r="D170" t="inlineStr">
        <is>
          <t>NHÔM_ĐỊNH_HÌNH</t>
        </is>
      </c>
      <c r="E170" t="inlineStr">
        <is>
          <t>MAT-ALU-KHUNG-Z-2-LOP</t>
        </is>
      </c>
      <c r="F170" t="inlineStr">
        <is>
          <t>kg</t>
        </is>
      </c>
      <c r="G170" s="20" t="n">
        <v>3.358953942022119</v>
      </c>
      <c r="H170" s="16">
        <f>'00_TONG_HOP_BAO_GIA'!G43</f>
        <v/>
      </c>
      <c r="I170" s="21">
        <f>G170*H170</f>
        <v/>
      </c>
      <c r="J170" s="16">
        <f>IFERROR(INDEX('06_BANG_GIA_VAT_TU_AP_DUNG'!$E$1:$E$5000, MATCH(E170, '06_BANG_GIA_VAT_TU_AP_DUNG'!$B$1:$B$5000, 0)), 0)</f>
        <v/>
      </c>
      <c r="K170" s="16">
        <f>I170*J170</f>
        <v/>
      </c>
      <c r="L170" t="inlineStr">
        <is>
          <t>Khung Louver phủ bì 4800x2400mm</t>
        </is>
      </c>
    </row>
    <row r="171">
      <c r="A171" t="inlineStr">
        <is>
          <t>SW-DIFF-042-BLADE</t>
        </is>
      </c>
      <c r="B171" t="inlineStr">
        <is>
          <t>SW-DIFF-042</t>
        </is>
      </c>
      <c r="C171" t="inlineStr">
        <is>
          <t>Nan Z Louver &amp; thanh tăng cứng (52 nan)</t>
        </is>
      </c>
      <c r="D171" t="inlineStr">
        <is>
          <t>NHÔM_ĐỊNH_HÌNH</t>
        </is>
      </c>
      <c r="E171" t="inlineStr">
        <is>
          <t>MAT-ALU-NAN-Z-DAY</t>
        </is>
      </c>
      <c r="F171" t="inlineStr">
        <is>
          <t>kg</t>
        </is>
      </c>
      <c r="G171" s="20" t="n">
        <v>55.39536530859518</v>
      </c>
      <c r="H171" s="16">
        <f>'00_TONG_HOP_BAO_GIA'!G43</f>
        <v/>
      </c>
      <c r="I171" s="21">
        <f>G171*H171</f>
        <v/>
      </c>
      <c r="J171" s="16">
        <f>IFERROR(INDEX('06_BANG_GIA_VAT_TU_AP_DUNG'!$E$1:$E$5000, MATCH(E171, '06_BANG_GIA_VAT_TU_AP_DUNG'!$B$1:$B$5000, 0)), 0)</f>
        <v/>
      </c>
      <c r="K171" s="16">
        <f>I171*J171</f>
        <v/>
      </c>
      <c r="L171" t="inlineStr">
        <is>
          <t>52 nan Z dày @ 0.217kg/m + thanh giằng</t>
        </is>
      </c>
    </row>
    <row r="172">
      <c r="A172" t="inlineStr">
        <is>
          <t>SW-DIFF-042-ACCESSORY</t>
        </is>
      </c>
      <c r="B172" t="inlineStr">
        <is>
          <t>SW-DIFF-042</t>
        </is>
      </c>
      <c r="C172" t="inlineStr">
        <is>
          <t>Phụ kiện lắp ghép / Ke góc cửa gió</t>
        </is>
      </c>
      <c r="D172" t="inlineStr">
        <is>
          <t>PHỤ_KIỆN_CỬA</t>
        </is>
      </c>
      <c r="E172" t="inlineStr">
        <is>
          <t>MAT-DOOR-ACCESSORY</t>
        </is>
      </c>
      <c r="F172" t="inlineStr">
        <is>
          <t>Bộ</t>
        </is>
      </c>
      <c r="G172" s="20" t="n">
        <v>0.4624484268507292</v>
      </c>
      <c r="H172" s="16">
        <f>'00_TONG_HOP_BAO_GIA'!G43</f>
        <v/>
      </c>
      <c r="I172" s="21">
        <f>G172*H172</f>
        <v/>
      </c>
      <c r="J172" s="16">
        <f>IFERROR(INDEX('06_BANG_GIA_VAT_TU_AP_DUNG'!$E$1:$E$5000, MATCH(E172, '06_BANG_GIA_VAT_TU_AP_DUNG'!$B$1:$B$5000, 0)), 0)</f>
        <v/>
      </c>
      <c r="K172" s="16">
        <f>I172*J172</f>
        <v/>
      </c>
      <c r="L172" t="inlineStr">
        <is>
          <t>Ke góc và vít ghép khung Louver</t>
        </is>
      </c>
    </row>
    <row r="173">
      <c r="A173" t="inlineStr">
        <is>
          <t>SW-DIFF-042-PAINT</t>
        </is>
      </c>
      <c r="B173" t="inlineStr">
        <is>
          <t>SW-DIFF-042</t>
        </is>
      </c>
      <c r="C173" t="inlineStr">
        <is>
          <t>Sơn tĩnh điện tiêu chuẩn Polyester</t>
        </is>
      </c>
      <c r="D173" t="inlineStr">
        <is>
          <t>SƠN_TĨNH_ĐIỆN</t>
        </is>
      </c>
      <c r="E173" t="inlineStr">
        <is>
          <t>MAT-PAINT-POWDER</t>
        </is>
      </c>
      <c r="F173" t="inlineStr">
        <is>
          <t>m2</t>
        </is>
      </c>
      <c r="G173" s="20" t="n">
        <v>11.87612758731949</v>
      </c>
      <c r="H173" s="16">
        <f>'00_TONG_HOP_BAO_GIA'!G43</f>
        <v/>
      </c>
      <c r="I173" s="21">
        <f>G173*H173</f>
        <v/>
      </c>
      <c r="J173" s="16">
        <f>IFERROR(INDEX('06_BANG_GIA_VAT_TU_AP_DUNG'!$E$1:$E$5000, MATCH(E173, '06_BANG_GIA_VAT_TU_AP_DUNG'!$B$1:$B$5000, 0)), 0)</f>
        <v/>
      </c>
      <c r="K173" s="16">
        <f>I173*J173</f>
        <v/>
      </c>
      <c r="L173" t="inlineStr">
        <is>
          <t>Sơn tĩnh điện khung và nan Louver</t>
        </is>
      </c>
    </row>
    <row r="174">
      <c r="A174" t="inlineStr">
        <is>
          <t>SW-DIFF-042-MESH</t>
        </is>
      </c>
      <c r="B174" t="inlineStr">
        <is>
          <t>SW-DIFF-042</t>
        </is>
      </c>
      <c r="C174" t="inlineStr">
        <is>
          <t>Lưới chắn côn trùng Inox 304 (LCCT)</t>
        </is>
      </c>
      <c r="D174" t="inlineStr">
        <is>
          <t>PHỤ_KIỆN_CỬA</t>
        </is>
      </c>
      <c r="E174" t="inlineStr">
        <is>
          <t>MAT-MESH-INOX-304</t>
        </is>
      </c>
      <c r="F174" t="inlineStr">
        <is>
          <t>m2</t>
        </is>
      </c>
      <c r="G174" s="20" t="n">
        <v>7.005649717514125</v>
      </c>
      <c r="H174" s="16">
        <f>'00_TONG_HOP_BAO_GIA'!G43</f>
        <v/>
      </c>
      <c r="I174" s="21">
        <f>G174*H174</f>
        <v/>
      </c>
      <c r="J174" s="16">
        <f>IFERROR(INDEX('06_BANG_GIA_VAT_TU_AP_DUNG'!$E$1:$E$5000, MATCH(E174, '06_BANG_GIA_VAT_TU_AP_DUNG'!$B$1:$B$5000, 0)), 0)</f>
        <v/>
      </c>
      <c r="K174" s="16">
        <f>I174*J174</f>
        <v/>
      </c>
      <c r="L174" t="inlineStr">
        <is>
          <t>Lưới chắn côn trùng cổ 4750x2350mm</t>
        </is>
      </c>
    </row>
    <row r="175">
      <c r="A175" t="inlineStr">
        <is>
          <t>SW-DIFF-089-FRAME</t>
        </is>
      </c>
      <c r="B175" t="inlineStr">
        <is>
          <t>SW-DIFF-089</t>
        </is>
      </c>
      <c r="C175" t="inlineStr">
        <is>
          <t>Khung nhôm định hình (1 lớp BD)</t>
        </is>
      </c>
      <c r="D175" t="inlineStr">
        <is>
          <t>NHÔM_ĐỊNH_HÌNH</t>
        </is>
      </c>
      <c r="E175" t="inlineStr">
        <is>
          <t>MAT-ALU-KHUNG-BD</t>
        </is>
      </c>
      <c r="F175" t="inlineStr">
        <is>
          <t>kg</t>
        </is>
      </c>
      <c r="G175" s="20" t="n">
        <v>0.4358396488527693</v>
      </c>
      <c r="H175" s="16">
        <f>'00_TONG_HOP_BAO_GIA'!G90</f>
        <v/>
      </c>
      <c r="I175" s="21">
        <f>G175*H175</f>
        <v/>
      </c>
      <c r="J175" s="16">
        <f>IFERROR(INDEX('06_BANG_GIA_VAT_TU_AP_DUNG'!$E$1:$E$5000, MATCH(E175, '06_BANG_GIA_VAT_TU_AP_DUNG'!$B$1:$B$5000, 0)), 0)</f>
        <v/>
      </c>
      <c r="K175" s="16">
        <f>I175*J175</f>
        <v/>
      </c>
      <c r="L175" t="inlineStr">
        <is>
          <t>Khung bao 800x400mm (cổ 750x350mm)</t>
        </is>
      </c>
    </row>
    <row r="176">
      <c r="A176" t="inlineStr">
        <is>
          <t>SW-DIFF-089-BLADE</t>
        </is>
      </c>
      <c r="B176" t="inlineStr">
        <is>
          <t>SW-DIFF-089</t>
        </is>
      </c>
      <c r="C176" t="inlineStr">
        <is>
          <t>Nan nhôm bầu dục (17 nan)</t>
        </is>
      </c>
      <c r="D176" t="inlineStr">
        <is>
          <t>NHÔM_ĐỊNH_HÌNH</t>
        </is>
      </c>
      <c r="E176" t="inlineStr">
        <is>
          <t>MAT-ALU-NAN-BD</t>
        </is>
      </c>
      <c r="F176" t="inlineStr">
        <is>
          <t>kg</t>
        </is>
      </c>
      <c r="G176" s="20" t="n">
        <v>0.6898617729593812</v>
      </c>
      <c r="H176" s="16">
        <f>'00_TONG_HOP_BAO_GIA'!G90</f>
        <v/>
      </c>
      <c r="I176" s="21">
        <f>G176*H176</f>
        <v/>
      </c>
      <c r="J176" s="16">
        <f>IFERROR(INDEX('06_BANG_GIA_VAT_TU_AP_DUNG'!$E$1:$E$5000, MATCH(E176, '06_BANG_GIA_VAT_TU_AP_DUNG'!$B$1:$B$5000, 0)), 0)</f>
        <v/>
      </c>
      <c r="K176" s="16">
        <f>I176*J176</f>
        <v/>
      </c>
      <c r="L176" t="inlineStr">
        <is>
          <t>Nan bầu dục @ 0.058kg/m</t>
        </is>
      </c>
    </row>
    <row r="177">
      <c r="A177" t="inlineStr">
        <is>
          <t>SW-DIFF-089-ACCESSORY</t>
        </is>
      </c>
      <c r="B177" t="inlineStr">
        <is>
          <t>SW-DIFF-089</t>
        </is>
      </c>
      <c r="C177" t="inlineStr">
        <is>
          <t>Phụ kiện lắp ghép / Ke góc cửa gió</t>
        </is>
      </c>
      <c r="D177" t="inlineStr">
        <is>
          <t>PHỤ_KIỆN_CỬA</t>
        </is>
      </c>
      <c r="E177" t="inlineStr">
        <is>
          <t>MAT-DOOR-ACCESSORY</t>
        </is>
      </c>
      <c r="F177" t="inlineStr">
        <is>
          <t>Bộ</t>
        </is>
      </c>
      <c r="G177" s="20" t="n">
        <v>0.07548832274222195</v>
      </c>
      <c r="H177" s="16">
        <f>'00_TONG_HOP_BAO_GIA'!G90</f>
        <v/>
      </c>
      <c r="I177" s="21">
        <f>G177*H177</f>
        <v/>
      </c>
      <c r="J177" s="16">
        <f>IFERROR(INDEX('06_BANG_GIA_VAT_TU_AP_DUNG'!$E$1:$E$5000, MATCH(E177, '06_BANG_GIA_VAT_TU_AP_DUNG'!$B$1:$B$5000, 0)), 0)</f>
        <v/>
      </c>
      <c r="K177" s="16">
        <f>I177*J177</f>
        <v/>
      </c>
      <c r="L177" t="inlineStr">
        <is>
          <t>4 ke góc chìm và vít ghép khung</t>
        </is>
      </c>
    </row>
    <row r="178">
      <c r="A178" t="inlineStr">
        <is>
          <t>SW-DIFF-089-PAINT</t>
        </is>
      </c>
      <c r="B178" t="inlineStr">
        <is>
          <t>SW-DIFF-089</t>
        </is>
      </c>
      <c r="C178" t="inlineStr">
        <is>
          <t>Sơn tĩnh điện tiêu chuẩn Polyester</t>
        </is>
      </c>
      <c r="D178" t="inlineStr">
        <is>
          <t>SƠN_TĨNH_ĐIỆN</t>
        </is>
      </c>
      <c r="E178" t="inlineStr">
        <is>
          <t>MAT-PAINT-POWDER</t>
        </is>
      </c>
      <c r="F178" t="inlineStr">
        <is>
          <t>m2</t>
        </is>
      </c>
      <c r="G178" s="20" t="n">
        <v>0.2448015781107626</v>
      </c>
      <c r="H178" s="16">
        <f>'00_TONG_HOP_BAO_GIA'!G90</f>
        <v/>
      </c>
      <c r="I178" s="21">
        <f>G178*H178</f>
        <v/>
      </c>
      <c r="J178" s="16">
        <f>IFERROR(INDEX('06_BANG_GIA_VAT_TU_AP_DUNG'!$E$1:$E$5000, MATCH(E178, '06_BANG_GIA_VAT_TU_AP_DUNG'!$B$1:$B$5000, 0)), 0)</f>
        <v/>
      </c>
      <c r="K178" s="16">
        <f>I178*J178</f>
        <v/>
      </c>
      <c r="L178" t="inlineStr">
        <is>
          <t>Sơn tĩnh điện hoàn thiện</t>
        </is>
      </c>
    </row>
    <row r="179">
      <c r="A179" t="inlineStr">
        <is>
          <t>SW-DIFF-089-OBD-FRAME</t>
        </is>
      </c>
      <c r="B179" t="inlineStr">
        <is>
          <t>SW-DIFF-089</t>
        </is>
      </c>
      <c r="C179" t="inlineStr">
        <is>
          <t>Khung nhôm van OBD gắn cửa (SOBD)</t>
        </is>
      </c>
      <c r="D179" t="inlineStr">
        <is>
          <t>NHÔM_ĐỊNH_HÌNH</t>
        </is>
      </c>
      <c r="E179" t="inlineStr">
        <is>
          <t>MAT-ALU-KHUNG-OBD</t>
        </is>
      </c>
      <c r="F179" t="inlineStr">
        <is>
          <t>kg</t>
        </is>
      </c>
      <c r="G179" s="20" t="n">
        <v>0.3021451724630184</v>
      </c>
      <c r="H179" s="16">
        <f>'00_TONG_HOP_BAO_GIA'!G90</f>
        <v/>
      </c>
      <c r="I179" s="21">
        <f>G179*H179</f>
        <v/>
      </c>
      <c r="J179" s="16">
        <f>IFERROR(INDEX('06_BANG_GIA_VAT_TU_AP_DUNG'!$E$1:$E$5000, MATCH(E179, '06_BANG_GIA_VAT_TU_AP_DUNG'!$B$1:$B$5000, 0)), 0)</f>
        <v/>
      </c>
      <c r="K179" s="16">
        <f>I179*J179</f>
        <v/>
      </c>
      <c r="L179" t="inlineStr">
        <is>
          <t>Khung OBD 750x350mm</t>
        </is>
      </c>
    </row>
    <row r="180">
      <c r="A180" t="inlineStr">
        <is>
          <t>SW-DIFF-089-OBD-BLADE</t>
        </is>
      </c>
      <c r="B180" t="inlineStr">
        <is>
          <t>SW-DIFF-089</t>
        </is>
      </c>
      <c r="C180" t="inlineStr">
        <is>
          <t>Nan nhôm &amp; thanh truyền van OBD (SOBD)</t>
        </is>
      </c>
      <c r="D180" t="inlineStr">
        <is>
          <t>NHÔM_ĐỊNH_HÌNH</t>
        </is>
      </c>
      <c r="E180" t="inlineStr">
        <is>
          <t>MAT-ALU-NAN-OBD</t>
        </is>
      </c>
      <c r="F180" t="inlineStr">
        <is>
          <t>kg</t>
        </is>
      </c>
      <c r="G180" s="20" t="n">
        <v>0.5704337440415874</v>
      </c>
      <c r="H180" s="16">
        <f>'00_TONG_HOP_BAO_GIA'!G90</f>
        <v/>
      </c>
      <c r="I180" s="21">
        <f>G180*H180</f>
        <v/>
      </c>
      <c r="J180" s="16">
        <f>IFERROR(INDEX('06_BANG_GIA_VAT_TU_AP_DUNG'!$E$1:$E$5000, MATCH(E180, '06_BANG_GIA_VAT_TU_AP_DUNG'!$B$1:$B$5000, 0)), 0)</f>
        <v/>
      </c>
      <c r="K180" s="16">
        <f>I180*J180</f>
        <v/>
      </c>
      <c r="L180" t="inlineStr">
        <is>
          <t>Nan OBD đối xứng &amp; thanh liên kết</t>
        </is>
      </c>
    </row>
    <row r="181">
      <c r="A181" t="inlineStr">
        <is>
          <t>SW-DIFF-089-OBD-ACC</t>
        </is>
      </c>
      <c r="B181" t="inlineStr">
        <is>
          <t>SW-DIFF-089</t>
        </is>
      </c>
      <c r="C181" t="inlineStr">
        <is>
          <t>Bánh răng nhựa &amp; phụ kiện van OBD</t>
        </is>
      </c>
      <c r="D181" t="inlineStr">
        <is>
          <t>PHỤ_KIỆN_CỬA</t>
        </is>
      </c>
      <c r="E181" t="inlineStr">
        <is>
          <t>MAT-DOOR-ACCESSORY</t>
        </is>
      </c>
      <c r="F181" t="inlineStr">
        <is>
          <t>Bộ</t>
        </is>
      </c>
      <c r="G181" s="20" t="n">
        <v>1.595629945138551</v>
      </c>
      <c r="H181" s="16">
        <f>'00_TONG_HOP_BAO_GIA'!G90</f>
        <v/>
      </c>
      <c r="I181" s="21">
        <f>G181*H181</f>
        <v/>
      </c>
      <c r="J181" s="16">
        <f>IFERROR(INDEX('06_BANG_GIA_VAT_TU_AP_DUNG'!$E$1:$E$5000, MATCH(E181, '06_BANG_GIA_VAT_TU_AP_DUNG'!$B$1:$B$5000, 0)), 0)</f>
        <v/>
      </c>
      <c r="K181" s="16">
        <f>I181*J181</f>
        <v/>
      </c>
      <c r="L181" t="inlineStr">
        <is>
          <t>Cơ cấu bánh răng đóng mở OBD</t>
        </is>
      </c>
    </row>
    <row r="182">
      <c r="A182" t="inlineStr">
        <is>
          <t>SW-DIFF-090-FRAME</t>
        </is>
      </c>
      <c r="B182" t="inlineStr">
        <is>
          <t>SW-DIFF-090</t>
        </is>
      </c>
      <c r="C182" t="inlineStr">
        <is>
          <t>Khung nhôm định hình (1 lớp BD)</t>
        </is>
      </c>
      <c r="D182" t="inlineStr">
        <is>
          <t>NHÔM_ĐỊNH_HÌNH</t>
        </is>
      </c>
      <c r="E182" t="inlineStr">
        <is>
          <t>MAT-ALU-KHUNG-BD</t>
        </is>
      </c>
      <c r="F182" t="inlineStr">
        <is>
          <t>kg</t>
        </is>
      </c>
      <c r="G182" s="20" t="n">
        <v>0.4358396488527693</v>
      </c>
      <c r="H182" s="16">
        <f>'00_TONG_HOP_BAO_GIA'!G91</f>
        <v/>
      </c>
      <c r="I182" s="21">
        <f>G182*H182</f>
        <v/>
      </c>
      <c r="J182" s="16">
        <f>IFERROR(INDEX('06_BANG_GIA_VAT_TU_AP_DUNG'!$E$1:$E$5000, MATCH(E182, '06_BANG_GIA_VAT_TU_AP_DUNG'!$B$1:$B$5000, 0)), 0)</f>
        <v/>
      </c>
      <c r="K182" s="16">
        <f>I182*J182</f>
        <v/>
      </c>
      <c r="L182" t="inlineStr">
        <is>
          <t>Khung bao 800x400mm (cổ 750x350mm)</t>
        </is>
      </c>
    </row>
    <row r="183">
      <c r="A183" t="inlineStr">
        <is>
          <t>SW-DIFF-090-BLADE</t>
        </is>
      </c>
      <c r="B183" t="inlineStr">
        <is>
          <t>SW-DIFF-090</t>
        </is>
      </c>
      <c r="C183" t="inlineStr">
        <is>
          <t>Nan nhôm bầu dục (17 nan)</t>
        </is>
      </c>
      <c r="D183" t="inlineStr">
        <is>
          <t>NHÔM_ĐỊNH_HÌNH</t>
        </is>
      </c>
      <c r="E183" t="inlineStr">
        <is>
          <t>MAT-ALU-NAN-BD</t>
        </is>
      </c>
      <c r="F183" t="inlineStr">
        <is>
          <t>kg</t>
        </is>
      </c>
      <c r="G183" s="20" t="n">
        <v>0.6898617729593812</v>
      </c>
      <c r="H183" s="16">
        <f>'00_TONG_HOP_BAO_GIA'!G91</f>
        <v/>
      </c>
      <c r="I183" s="21">
        <f>G183*H183</f>
        <v/>
      </c>
      <c r="J183" s="16">
        <f>IFERROR(INDEX('06_BANG_GIA_VAT_TU_AP_DUNG'!$E$1:$E$5000, MATCH(E183, '06_BANG_GIA_VAT_TU_AP_DUNG'!$B$1:$B$5000, 0)), 0)</f>
        <v/>
      </c>
      <c r="K183" s="16">
        <f>I183*J183</f>
        <v/>
      </c>
      <c r="L183" t="inlineStr">
        <is>
          <t>Nan bầu dục @ 0.058kg/m</t>
        </is>
      </c>
    </row>
    <row r="184">
      <c r="A184" t="inlineStr">
        <is>
          <t>SW-DIFF-090-ACCESSORY</t>
        </is>
      </c>
      <c r="B184" t="inlineStr">
        <is>
          <t>SW-DIFF-090</t>
        </is>
      </c>
      <c r="C184" t="inlineStr">
        <is>
          <t>Phụ kiện lắp ghép / Ke góc cửa gió</t>
        </is>
      </c>
      <c r="D184" t="inlineStr">
        <is>
          <t>PHỤ_KIỆN_CỬA</t>
        </is>
      </c>
      <c r="E184" t="inlineStr">
        <is>
          <t>MAT-DOOR-ACCESSORY</t>
        </is>
      </c>
      <c r="F184" t="inlineStr">
        <is>
          <t>Bộ</t>
        </is>
      </c>
      <c r="G184" s="20" t="n">
        <v>0.07548832274222195</v>
      </c>
      <c r="H184" s="16">
        <f>'00_TONG_HOP_BAO_GIA'!G91</f>
        <v/>
      </c>
      <c r="I184" s="21">
        <f>G184*H184</f>
        <v/>
      </c>
      <c r="J184" s="16">
        <f>IFERROR(INDEX('06_BANG_GIA_VAT_TU_AP_DUNG'!$E$1:$E$5000, MATCH(E184, '06_BANG_GIA_VAT_TU_AP_DUNG'!$B$1:$B$5000, 0)), 0)</f>
        <v/>
      </c>
      <c r="K184" s="16">
        <f>I184*J184</f>
        <v/>
      </c>
      <c r="L184" t="inlineStr">
        <is>
          <t>4 ke góc chìm và vít ghép khung</t>
        </is>
      </c>
    </row>
    <row r="185">
      <c r="A185" t="inlineStr">
        <is>
          <t>SW-DIFF-090-PAINT</t>
        </is>
      </c>
      <c r="B185" t="inlineStr">
        <is>
          <t>SW-DIFF-090</t>
        </is>
      </c>
      <c r="C185" t="inlineStr">
        <is>
          <t>Sơn tĩnh điện tiêu chuẩn Polyester</t>
        </is>
      </c>
      <c r="D185" t="inlineStr">
        <is>
          <t>SƠN_TĨNH_ĐIỆN</t>
        </is>
      </c>
      <c r="E185" t="inlineStr">
        <is>
          <t>MAT-PAINT-POWDER</t>
        </is>
      </c>
      <c r="F185" t="inlineStr">
        <is>
          <t>m2</t>
        </is>
      </c>
      <c r="G185" s="20" t="n">
        <v>0.2448015781107626</v>
      </c>
      <c r="H185" s="16">
        <f>'00_TONG_HOP_BAO_GIA'!G91</f>
        <v/>
      </c>
      <c r="I185" s="21">
        <f>G185*H185</f>
        <v/>
      </c>
      <c r="J185" s="16">
        <f>IFERROR(INDEX('06_BANG_GIA_VAT_TU_AP_DUNG'!$E$1:$E$5000, MATCH(E185, '06_BANG_GIA_VAT_TU_AP_DUNG'!$B$1:$B$5000, 0)), 0)</f>
        <v/>
      </c>
      <c r="K185" s="16">
        <f>I185*J185</f>
        <v/>
      </c>
      <c r="L185" t="inlineStr">
        <is>
          <t>Sơn tĩnh điện hoàn thiện</t>
        </is>
      </c>
    </row>
    <row r="186">
      <c r="A186" t="inlineStr">
        <is>
          <t>SW-DIFF-091-FRAME</t>
        </is>
      </c>
      <c r="B186" t="inlineStr">
        <is>
          <t>SW-DIFF-091</t>
        </is>
      </c>
      <c r="C186" t="inlineStr">
        <is>
          <t>Khung nhôm định hình (1 lớp BD)</t>
        </is>
      </c>
      <c r="D186" t="inlineStr">
        <is>
          <t>NHÔM_ĐỊNH_HÌNH</t>
        </is>
      </c>
      <c r="E186" t="inlineStr">
        <is>
          <t>MAT-ALU-KHUNG-BD</t>
        </is>
      </c>
      <c r="F186" t="inlineStr">
        <is>
          <t>kg</t>
        </is>
      </c>
      <c r="G186" s="20" t="n">
        <v>0.4452361706688413</v>
      </c>
      <c r="H186" s="16">
        <f>'00_TONG_HOP_BAO_GIA'!G92</f>
        <v/>
      </c>
      <c r="I186" s="21">
        <f>G186*H186</f>
        <v/>
      </c>
      <c r="J186" s="16">
        <f>IFERROR(INDEX('06_BANG_GIA_VAT_TU_AP_DUNG'!$E$1:$E$5000, MATCH(E186, '06_BANG_GIA_VAT_TU_AP_DUNG'!$B$1:$B$5000, 0)), 0)</f>
        <v/>
      </c>
      <c r="K186" s="16">
        <f>I186*J186</f>
        <v/>
      </c>
      <c r="L186" t="inlineStr">
        <is>
          <t>Khung bao 700x500mm (cổ 650x450mm)</t>
        </is>
      </c>
    </row>
    <row r="187">
      <c r="A187" t="inlineStr">
        <is>
          <t>SW-DIFF-091-BLADE</t>
        </is>
      </c>
      <c r="B187" t="inlineStr">
        <is>
          <t>SW-DIFF-091</t>
        </is>
      </c>
      <c r="C187" t="inlineStr">
        <is>
          <t>Nan nhôm bầu dục (22 nan)</t>
        </is>
      </c>
      <c r="D187" t="inlineStr">
        <is>
          <t>NHÔM_ĐỊNH_HÌNH</t>
        </is>
      </c>
      <c r="E187" t="inlineStr">
        <is>
          <t>MAT-ALU-NAN-BD</t>
        </is>
      </c>
      <c r="F187" t="inlineStr">
        <is>
          <t>kg</t>
        </is>
      </c>
      <c r="G187" s="20" t="n">
        <v>0.7757959662872627</v>
      </c>
      <c r="H187" s="16">
        <f>'00_TONG_HOP_BAO_GIA'!G92</f>
        <v/>
      </c>
      <c r="I187" s="21">
        <f>G187*H187</f>
        <v/>
      </c>
      <c r="J187" s="16">
        <f>IFERROR(INDEX('06_BANG_GIA_VAT_TU_AP_DUNG'!$E$1:$E$5000, MATCH(E187, '06_BANG_GIA_VAT_TU_AP_DUNG'!$B$1:$B$5000, 0)), 0)</f>
        <v/>
      </c>
      <c r="K187" s="16">
        <f>I187*J187</f>
        <v/>
      </c>
      <c r="L187" t="inlineStr">
        <is>
          <t>Nan bầu dục @ 0.058kg/m</t>
        </is>
      </c>
    </row>
    <row r="188">
      <c r="A188" t="inlineStr">
        <is>
          <t>SW-DIFF-091-ACCESSORY</t>
        </is>
      </c>
      <c r="B188" t="inlineStr">
        <is>
          <t>SW-DIFF-091</t>
        </is>
      </c>
      <c r="C188" t="inlineStr">
        <is>
          <t>Phụ kiện lắp ghép / Ke góc cửa gió</t>
        </is>
      </c>
      <c r="D188" t="inlineStr">
        <is>
          <t>PHỤ_KIỆN_CỬA</t>
        </is>
      </c>
      <c r="E188" t="inlineStr">
        <is>
          <t>MAT-DOOR-ACCESSORY</t>
        </is>
      </c>
      <c r="F188" t="inlineStr">
        <is>
          <t>Bộ</t>
        </is>
      </c>
      <c r="G188" s="20" t="n">
        <v>0.0979519575471451</v>
      </c>
      <c r="H188" s="16">
        <f>'00_TONG_HOP_BAO_GIA'!G92</f>
        <v/>
      </c>
      <c r="I188" s="21">
        <f>G188*H188</f>
        <v/>
      </c>
      <c r="J188" s="16">
        <f>IFERROR(INDEX('06_BANG_GIA_VAT_TU_AP_DUNG'!$E$1:$E$5000, MATCH(E188, '06_BANG_GIA_VAT_TU_AP_DUNG'!$B$1:$B$5000, 0)), 0)</f>
        <v/>
      </c>
      <c r="K188" s="16">
        <f>I188*J188</f>
        <v/>
      </c>
      <c r="L188" t="inlineStr">
        <is>
          <t>4 ke góc chìm và vít ghép khung</t>
        </is>
      </c>
    </row>
    <row r="189">
      <c r="A189" t="inlineStr">
        <is>
          <t>SW-DIFF-091-PAINT</t>
        </is>
      </c>
      <c r="B189" t="inlineStr">
        <is>
          <t>SW-DIFF-091</t>
        </is>
      </c>
      <c r="C189" t="inlineStr">
        <is>
          <t>Sơn tĩnh điện tiêu chuẩn Polyester</t>
        </is>
      </c>
      <c r="D189" t="inlineStr">
        <is>
          <t>SƠN_TĨNH_ĐIỆN</t>
        </is>
      </c>
      <c r="E189" t="inlineStr">
        <is>
          <t>MAT-PAINT-POWDER</t>
        </is>
      </c>
      <c r="F189" t="inlineStr">
        <is>
          <t>m2</t>
        </is>
      </c>
      <c r="G189" s="20" t="n">
        <v>0.2642921909090243</v>
      </c>
      <c r="H189" s="16">
        <f>'00_TONG_HOP_BAO_GIA'!G92</f>
        <v/>
      </c>
      <c r="I189" s="21">
        <f>G189*H189</f>
        <v/>
      </c>
      <c r="J189" s="16">
        <f>IFERROR(INDEX('06_BANG_GIA_VAT_TU_AP_DUNG'!$E$1:$E$5000, MATCH(E189, '06_BANG_GIA_VAT_TU_AP_DUNG'!$B$1:$B$5000, 0)), 0)</f>
        <v/>
      </c>
      <c r="K189" s="16">
        <f>I189*J189</f>
        <v/>
      </c>
      <c r="L189" t="inlineStr">
        <is>
          <t>Sơn tĩnh điện hoàn thiện</t>
        </is>
      </c>
    </row>
    <row r="190">
      <c r="A190" t="inlineStr">
        <is>
          <t>SW-DIFF-092-FRAME</t>
        </is>
      </c>
      <c r="B190" t="inlineStr">
        <is>
          <t>SW-DIFF-092</t>
        </is>
      </c>
      <c r="C190" t="inlineStr">
        <is>
          <t>Khung nhôm định hình (1 lớp BD)</t>
        </is>
      </c>
      <c r="D190" t="inlineStr">
        <is>
          <t>NHÔM_ĐỊNH_HÌNH</t>
        </is>
      </c>
      <c r="E190" t="inlineStr">
        <is>
          <t>MAT-ALU-KHUNG-BD</t>
        </is>
      </c>
      <c r="F190" t="inlineStr">
        <is>
          <t>kg</t>
        </is>
      </c>
      <c r="G190" s="20" t="n">
        <v>0.5289914586966742</v>
      </c>
      <c r="H190" s="16">
        <f>'00_TONG_HOP_BAO_GIA'!G93</f>
        <v/>
      </c>
      <c r="I190" s="21">
        <f>G190*H190</f>
        <v/>
      </c>
      <c r="J190" s="16">
        <f>IFERROR(INDEX('06_BANG_GIA_VAT_TU_AP_DUNG'!$E$1:$E$5000, MATCH(E190, '06_BANG_GIA_VAT_TU_AP_DUNG'!$B$1:$B$5000, 0)), 0)</f>
        <v/>
      </c>
      <c r="K190" s="16">
        <f>I190*J190</f>
        <v/>
      </c>
      <c r="L190" t="inlineStr">
        <is>
          <t>Khung bao 1200x300mm (cổ 1150x250mm)</t>
        </is>
      </c>
    </row>
    <row r="191">
      <c r="A191" t="inlineStr">
        <is>
          <t>SW-DIFF-092-BLADE</t>
        </is>
      </c>
      <c r="B191" t="inlineStr">
        <is>
          <t>SW-DIFF-092</t>
        </is>
      </c>
      <c r="C191" t="inlineStr">
        <is>
          <t>Nan nhôm bầu dục (12 nan)</t>
        </is>
      </c>
      <c r="D191" t="inlineStr">
        <is>
          <t>NHÔM_ĐỊNH_HÌNH</t>
        </is>
      </c>
      <c r="E191" t="inlineStr">
        <is>
          <t>MAT-ALU-NAN-BD</t>
        </is>
      </c>
      <c r="F191" t="inlineStr">
        <is>
          <t>kg</t>
        </is>
      </c>
      <c r="G191" s="20" t="n">
        <v>0.747536658793817</v>
      </c>
      <c r="H191" s="16">
        <f>'00_TONG_HOP_BAO_GIA'!G93</f>
        <v/>
      </c>
      <c r="I191" s="21">
        <f>G191*H191</f>
        <v/>
      </c>
      <c r="J191" s="16">
        <f>IFERROR(INDEX('06_BANG_GIA_VAT_TU_AP_DUNG'!$E$1:$E$5000, MATCH(E191, '06_BANG_GIA_VAT_TU_AP_DUNG'!$B$1:$B$5000, 0)), 0)</f>
        <v/>
      </c>
      <c r="K191" s="16">
        <f>I191*J191</f>
        <v/>
      </c>
      <c r="L191" t="inlineStr">
        <is>
          <t>Nan bầu dục @ 0.058kg/m</t>
        </is>
      </c>
    </row>
    <row r="192">
      <c r="A192" t="inlineStr">
        <is>
          <t>SW-DIFF-092-ACCESSORY</t>
        </is>
      </c>
      <c r="B192" t="inlineStr">
        <is>
          <t>SW-DIFF-092</t>
        </is>
      </c>
      <c r="C192" t="inlineStr">
        <is>
          <t>Phụ kiện lắp ghép / Ke góc cửa gió</t>
        </is>
      </c>
      <c r="D192" t="inlineStr">
        <is>
          <t>PHỤ_KIỆN_CỬA</t>
        </is>
      </c>
      <c r="E192" t="inlineStr">
        <is>
          <t>MAT-DOOR-ACCESSORY</t>
        </is>
      </c>
      <c r="F192" t="inlineStr">
        <is>
          <t>Bộ</t>
        </is>
      </c>
      <c r="G192" s="20" t="n">
        <v>0.05334744371602052</v>
      </c>
      <c r="H192" s="16">
        <f>'00_TONG_HOP_BAO_GIA'!G93</f>
        <v/>
      </c>
      <c r="I192" s="21">
        <f>G192*H192</f>
        <v/>
      </c>
      <c r="J192" s="16">
        <f>IFERROR(INDEX('06_BANG_GIA_VAT_TU_AP_DUNG'!$E$1:$E$5000, MATCH(E192, '06_BANG_GIA_VAT_TU_AP_DUNG'!$B$1:$B$5000, 0)), 0)</f>
        <v/>
      </c>
      <c r="K192" s="16">
        <f>I192*J192</f>
        <v/>
      </c>
      <c r="L192" t="inlineStr">
        <is>
          <t>4 ke góc chìm và vít ghép khung</t>
        </is>
      </c>
    </row>
    <row r="193">
      <c r="A193" t="inlineStr">
        <is>
          <t>SW-DIFF-092-PAINT</t>
        </is>
      </c>
      <c r="B193" t="inlineStr">
        <is>
          <t>SW-DIFF-092</t>
        </is>
      </c>
      <c r="C193" t="inlineStr">
        <is>
          <t>Sơn tĩnh điện tiêu chuẩn Polyester</t>
        </is>
      </c>
      <c r="D193" t="inlineStr">
        <is>
          <t>SƠN_TĨNH_ĐIỆN</t>
        </is>
      </c>
      <c r="E193" t="inlineStr">
        <is>
          <t>MAT-PAINT-POWDER</t>
        </is>
      </c>
      <c r="F193" t="inlineStr">
        <is>
          <t>m2</t>
        </is>
      </c>
      <c r="G193" s="20" t="n">
        <v>0.2804192688507997</v>
      </c>
      <c r="H193" s="16">
        <f>'00_TONG_HOP_BAO_GIA'!G93</f>
        <v/>
      </c>
      <c r="I193" s="21">
        <f>G193*H193</f>
        <v/>
      </c>
      <c r="J193" s="16">
        <f>IFERROR(INDEX('06_BANG_GIA_VAT_TU_AP_DUNG'!$E$1:$E$5000, MATCH(E193, '06_BANG_GIA_VAT_TU_AP_DUNG'!$B$1:$B$5000, 0)), 0)</f>
        <v/>
      </c>
      <c r="K193" s="16">
        <f>I193*J193</f>
        <v/>
      </c>
      <c r="L193" t="inlineStr">
        <is>
          <t>Sơn tĩnh điện hoàn thiện</t>
        </is>
      </c>
    </row>
    <row r="194">
      <c r="A194" t="inlineStr">
        <is>
          <t>SW-DIFF-095-FRAME</t>
        </is>
      </c>
      <c r="B194" t="inlineStr">
        <is>
          <t>SW-DIFF-095</t>
        </is>
      </c>
      <c r="C194" t="inlineStr">
        <is>
          <t>Khung nhôm định hình Louver (SWL)</t>
        </is>
      </c>
      <c r="D194" t="inlineStr">
        <is>
          <t>NHÔM_ĐỊNH_HÌNH</t>
        </is>
      </c>
      <c r="E194" t="inlineStr">
        <is>
          <t>MAT-ALU-KHUNG-Z-2-LOP</t>
        </is>
      </c>
      <c r="F194" t="inlineStr">
        <is>
          <t>kg</t>
        </is>
      </c>
      <c r="G194" s="20" t="n">
        <v>0.6527326671408326</v>
      </c>
      <c r="H194" s="16">
        <f>'00_TONG_HOP_BAO_GIA'!G96</f>
        <v/>
      </c>
      <c r="I194" s="21">
        <f>G194*H194</f>
        <v/>
      </c>
      <c r="J194" s="16">
        <f>IFERROR(INDEX('06_BANG_GIA_VAT_TU_AP_DUNG'!$E$1:$E$5000, MATCH(E194, '06_BANG_GIA_VAT_TU_AP_DUNG'!$B$1:$B$5000, 0)), 0)</f>
        <v/>
      </c>
      <c r="K194" s="16">
        <f>I194*J194</f>
        <v/>
      </c>
      <c r="L194" t="inlineStr">
        <is>
          <t>Khung Louver phủ bì 1100x300mm</t>
        </is>
      </c>
    </row>
    <row r="195">
      <c r="A195" t="inlineStr">
        <is>
          <t>SW-DIFF-095-BLADE</t>
        </is>
      </c>
      <c r="B195" t="inlineStr">
        <is>
          <t>SW-DIFF-095</t>
        </is>
      </c>
      <c r="C195" t="inlineStr">
        <is>
          <t>Nan Z Louver &amp; thanh tăng cứng (6 nan)</t>
        </is>
      </c>
      <c r="D195" t="inlineStr">
        <is>
          <t>NHÔM_ĐỊNH_HÌNH</t>
        </is>
      </c>
      <c r="E195" t="inlineStr">
        <is>
          <t>MAT-ALU-NAN-Z-DAY</t>
        </is>
      </c>
      <c r="F195" t="inlineStr">
        <is>
          <t>kg</t>
        </is>
      </c>
      <c r="G195" s="20" t="n">
        <v>1.444802603440992</v>
      </c>
      <c r="H195" s="16">
        <f>'00_TONG_HOP_BAO_GIA'!G96</f>
        <v/>
      </c>
      <c r="I195" s="21">
        <f>G195*H195</f>
        <v/>
      </c>
      <c r="J195" s="16">
        <f>IFERROR(INDEX('06_BANG_GIA_VAT_TU_AP_DUNG'!$E$1:$E$5000, MATCH(E195, '06_BANG_GIA_VAT_TU_AP_DUNG'!$B$1:$B$5000, 0)), 0)</f>
        <v/>
      </c>
      <c r="K195" s="16">
        <f>I195*J195</f>
        <v/>
      </c>
      <c r="L195" t="inlineStr">
        <is>
          <t>6 nan Z dày @ 0.217kg/m + thanh giằng</t>
        </is>
      </c>
    </row>
    <row r="196">
      <c r="A196" t="inlineStr">
        <is>
          <t>SW-DIFF-095-ACCESSORY</t>
        </is>
      </c>
      <c r="B196" t="inlineStr">
        <is>
          <t>SW-DIFF-095</t>
        </is>
      </c>
      <c r="C196" t="inlineStr">
        <is>
          <t>Phụ kiện lắp ghép / Ke góc cửa gió</t>
        </is>
      </c>
      <c r="D196" t="inlineStr">
        <is>
          <t>PHỤ_KIỆN_CỬA</t>
        </is>
      </c>
      <c r="E196" t="inlineStr">
        <is>
          <t>MAT-DOOR-ACCESSORY</t>
        </is>
      </c>
      <c r="F196" t="inlineStr">
        <is>
          <t>Bộ</t>
        </is>
      </c>
      <c r="G196" s="20" t="n">
        <v>0.0533269780123067</v>
      </c>
      <c r="H196" s="16">
        <f>'00_TONG_HOP_BAO_GIA'!G96</f>
        <v/>
      </c>
      <c r="I196" s="21">
        <f>G196*H196</f>
        <v/>
      </c>
      <c r="J196" s="16">
        <f>IFERROR(INDEX('06_BANG_GIA_VAT_TU_AP_DUNG'!$E$1:$E$5000, MATCH(E196, '06_BANG_GIA_VAT_TU_AP_DUNG'!$B$1:$B$5000, 0)), 0)</f>
        <v/>
      </c>
      <c r="K196" s="16">
        <f>I196*J196</f>
        <v/>
      </c>
      <c r="L196" t="inlineStr">
        <is>
          <t>Ke góc và vít ghép khung Louver</t>
        </is>
      </c>
    </row>
    <row r="197">
      <c r="A197" t="inlineStr">
        <is>
          <t>SW-DIFF-095-PAINT</t>
        </is>
      </c>
      <c r="B197" t="inlineStr">
        <is>
          <t>SW-DIFF-095</t>
        </is>
      </c>
      <c r="C197" t="inlineStr">
        <is>
          <t>Sơn tĩnh điện tiêu chuẩn Polyester</t>
        </is>
      </c>
      <c r="D197" t="inlineStr">
        <is>
          <t>SƠN_TĨNH_ĐIỆN</t>
        </is>
      </c>
      <c r="E197" t="inlineStr">
        <is>
          <t>MAT-PAINT-POWDER</t>
        </is>
      </c>
      <c r="F197" t="inlineStr">
        <is>
          <t>m2</t>
        </is>
      </c>
      <c r="G197" s="20" t="n">
        <v>0.4160926337706918</v>
      </c>
      <c r="H197" s="16">
        <f>'00_TONG_HOP_BAO_GIA'!G96</f>
        <v/>
      </c>
      <c r="I197" s="21">
        <f>G197*H197</f>
        <v/>
      </c>
      <c r="J197" s="16">
        <f>IFERROR(INDEX('06_BANG_GIA_VAT_TU_AP_DUNG'!$E$1:$E$5000, MATCH(E197, '06_BANG_GIA_VAT_TU_AP_DUNG'!$B$1:$B$5000, 0)), 0)</f>
        <v/>
      </c>
      <c r="K197" s="16">
        <f>I197*J197</f>
        <v/>
      </c>
      <c r="L197" t="inlineStr">
        <is>
          <t>Sơn tĩnh điện khung và nan Louver</t>
        </is>
      </c>
    </row>
    <row r="198">
      <c r="A198" t="inlineStr">
        <is>
          <t>SW-DIFF-095-MESH</t>
        </is>
      </c>
      <c r="B198" t="inlineStr">
        <is>
          <t>SW-DIFF-095</t>
        </is>
      </c>
      <c r="C198" t="inlineStr">
        <is>
          <t>Lưới chắn côn trùng Inox 304 (LCCT)</t>
        </is>
      </c>
      <c r="D198" t="inlineStr">
        <is>
          <t>PHỤ_KIỆN_CỬA</t>
        </is>
      </c>
      <c r="E198" t="inlineStr">
        <is>
          <t>MAT-MESH-INOX-304</t>
        </is>
      </c>
      <c r="F198" t="inlineStr">
        <is>
          <t>m2</t>
        </is>
      </c>
      <c r="G198" s="20" t="n">
        <v>0.1632140615191463</v>
      </c>
      <c r="H198" s="16">
        <f>'00_TONG_HOP_BAO_GIA'!G96</f>
        <v/>
      </c>
      <c r="I198" s="21">
        <f>G198*H198</f>
        <v/>
      </c>
      <c r="J198" s="16">
        <f>IFERROR(INDEX('06_BANG_GIA_VAT_TU_AP_DUNG'!$E$1:$E$5000, MATCH(E198, '06_BANG_GIA_VAT_TU_AP_DUNG'!$B$1:$B$5000, 0)), 0)</f>
        <v/>
      </c>
      <c r="K198" s="16">
        <f>I198*J198</f>
        <v/>
      </c>
      <c r="L198" t="inlineStr">
        <is>
          <t>Lưới chắn côn trùng cổ 1050x250mm</t>
        </is>
      </c>
    </row>
    <row r="199">
      <c r="A199" t="inlineStr">
        <is>
          <t>SW-DIFF-096-FRAME</t>
        </is>
      </c>
      <c r="B199" t="inlineStr">
        <is>
          <t>SW-DIFF-096</t>
        </is>
      </c>
      <c r="C199" t="inlineStr">
        <is>
          <t>Khung nhôm định hình Louver (SWL)</t>
        </is>
      </c>
      <c r="D199" t="inlineStr">
        <is>
          <t>NHÔM_ĐỊNH_HÌNH</t>
        </is>
      </c>
      <c r="E199" t="inlineStr">
        <is>
          <t>MAT-ALU-KHUNG-Z-2-LOP</t>
        </is>
      </c>
      <c r="F199" t="inlineStr">
        <is>
          <t>kg</t>
        </is>
      </c>
      <c r="G199" s="20" t="n">
        <v>0.746591299415225</v>
      </c>
      <c r="H199" s="16">
        <f>'00_TONG_HOP_BAO_GIA'!G97</f>
        <v/>
      </c>
      <c r="I199" s="21">
        <f>G199*H199</f>
        <v/>
      </c>
      <c r="J199" s="16">
        <f>IFERROR(INDEX('06_BANG_GIA_VAT_TU_AP_DUNG'!$E$1:$E$5000, MATCH(E199, '06_BANG_GIA_VAT_TU_AP_DUNG'!$B$1:$B$5000, 0)), 0)</f>
        <v/>
      </c>
      <c r="K199" s="16">
        <f>I199*J199</f>
        <v/>
      </c>
      <c r="L199" t="inlineStr">
        <is>
          <t>Khung Louver phủ bì 1200x400mm</t>
        </is>
      </c>
    </row>
    <row r="200">
      <c r="A200" t="inlineStr">
        <is>
          <t>SW-DIFF-096-BLADE</t>
        </is>
      </c>
      <c r="B200" t="inlineStr">
        <is>
          <t>SW-DIFF-096</t>
        </is>
      </c>
      <c r="C200" t="inlineStr">
        <is>
          <t>Nan Z Louver &amp; thanh tăng cứng (8 nan)</t>
        </is>
      </c>
      <c r="D200" t="inlineStr">
        <is>
          <t>NHÔM_ĐỊNH_HÌNH</t>
        </is>
      </c>
      <c r="E200" t="inlineStr">
        <is>
          <t>MAT-ALU-NAN-Z-DAY</t>
        </is>
      </c>
      <c r="F200" t="inlineStr">
        <is>
          <t>kg</t>
        </is>
      </c>
      <c r="G200" s="20" t="n">
        <v>2.106407038372162</v>
      </c>
      <c r="H200" s="16">
        <f>'00_TONG_HOP_BAO_GIA'!G97</f>
        <v/>
      </c>
      <c r="I200" s="21">
        <f>G200*H200</f>
        <v/>
      </c>
      <c r="J200" s="16">
        <f>IFERROR(INDEX('06_BANG_GIA_VAT_TU_AP_DUNG'!$E$1:$E$5000, MATCH(E200, '06_BANG_GIA_VAT_TU_AP_DUNG'!$B$1:$B$5000, 0)), 0)</f>
        <v/>
      </c>
      <c r="K200" s="16">
        <f>I200*J200</f>
        <v/>
      </c>
      <c r="L200" t="inlineStr">
        <is>
          <t>8 nan Z dày @ 0.217kg/m + thanh giằng</t>
        </is>
      </c>
    </row>
    <row r="201">
      <c r="A201" t="inlineStr">
        <is>
          <t>SW-DIFF-096-ACCESSORY</t>
        </is>
      </c>
      <c r="B201" t="inlineStr">
        <is>
          <t>SW-DIFF-096</t>
        </is>
      </c>
      <c r="C201" t="inlineStr">
        <is>
          <t>Phụ kiện lắp ghép / Ke góc cửa gió</t>
        </is>
      </c>
      <c r="D201" t="inlineStr">
        <is>
          <t>PHỤ_KIỆN_CỬA</t>
        </is>
      </c>
      <c r="E201" t="inlineStr">
        <is>
          <t>MAT-DOOR-ACCESSORY</t>
        </is>
      </c>
      <c r="F201" t="inlineStr">
        <is>
          <t>Bộ</t>
        </is>
      </c>
      <c r="G201" s="20" t="n">
        <v>0.07116088476604868</v>
      </c>
      <c r="H201" s="16">
        <f>'00_TONG_HOP_BAO_GIA'!G97</f>
        <v/>
      </c>
      <c r="I201" s="21">
        <f>G201*H201</f>
        <v/>
      </c>
      <c r="J201" s="16">
        <f>IFERROR(INDEX('06_BANG_GIA_VAT_TU_AP_DUNG'!$E$1:$E$5000, MATCH(E201, '06_BANG_GIA_VAT_TU_AP_DUNG'!$B$1:$B$5000, 0)), 0)</f>
        <v/>
      </c>
      <c r="K201" s="16">
        <f>I201*J201</f>
        <v/>
      </c>
      <c r="L201" t="inlineStr">
        <is>
          <t>Ke góc và vít ghép khung Louver</t>
        </is>
      </c>
    </row>
    <row r="202">
      <c r="A202" t="inlineStr">
        <is>
          <t>SW-DIFF-096-PAINT</t>
        </is>
      </c>
      <c r="B202" t="inlineStr">
        <is>
          <t>SW-DIFF-096</t>
        </is>
      </c>
      <c r="C202" t="inlineStr">
        <is>
          <t>Sơn tĩnh điện tiêu chuẩn Polyester</t>
        </is>
      </c>
      <c r="D202" t="inlineStr">
        <is>
          <t>SƠN_TĨNH_ĐIỆN</t>
        </is>
      </c>
      <c r="E202" t="inlineStr">
        <is>
          <t>MAT-PAINT-POWDER</t>
        </is>
      </c>
      <c r="F202" t="inlineStr">
        <is>
          <t>m2</t>
        </is>
      </c>
      <c r="G202" s="20" t="n">
        <v>0.5662397178866433</v>
      </c>
      <c r="H202" s="16">
        <f>'00_TONG_HOP_BAO_GIA'!G97</f>
        <v/>
      </c>
      <c r="I202" s="21">
        <f>G202*H202</f>
        <v/>
      </c>
      <c r="J202" s="16">
        <f>IFERROR(INDEX('06_BANG_GIA_VAT_TU_AP_DUNG'!$E$1:$E$5000, MATCH(E202, '06_BANG_GIA_VAT_TU_AP_DUNG'!$B$1:$B$5000, 0)), 0)</f>
        <v/>
      </c>
      <c r="K202" s="16">
        <f>I202*J202</f>
        <v/>
      </c>
      <c r="L202" t="inlineStr">
        <is>
          <t>Sơn tĩnh điện khung và nan Louver</t>
        </is>
      </c>
    </row>
    <row r="203">
      <c r="A203" t="inlineStr">
        <is>
          <t>SW-DIFF-096-MESH</t>
        </is>
      </c>
      <c r="B203" t="inlineStr">
        <is>
          <t>SW-DIFF-096</t>
        </is>
      </c>
      <c r="C203" t="inlineStr">
        <is>
          <t>Lưới chắn côn trùng Inox 304 (LCCT)</t>
        </is>
      </c>
      <c r="D203" t="inlineStr">
        <is>
          <t>PHỤ_KIỆN_CỬA</t>
        </is>
      </c>
      <c r="E203" t="inlineStr">
        <is>
          <t>MAT-MESH-INOX-304</t>
        </is>
      </c>
      <c r="F203" t="inlineStr">
        <is>
          <t>m2</t>
        </is>
      </c>
      <c r="G203" s="20" t="n">
        <v>0.251098556183302</v>
      </c>
      <c r="H203" s="16">
        <f>'00_TONG_HOP_BAO_GIA'!G97</f>
        <v/>
      </c>
      <c r="I203" s="21">
        <f>G203*H203</f>
        <v/>
      </c>
      <c r="J203" s="16">
        <f>IFERROR(INDEX('06_BANG_GIA_VAT_TU_AP_DUNG'!$E$1:$E$5000, MATCH(E203, '06_BANG_GIA_VAT_TU_AP_DUNG'!$B$1:$B$5000, 0)), 0)</f>
        <v/>
      </c>
      <c r="K203" s="16">
        <f>I203*J203</f>
        <v/>
      </c>
      <c r="L203" t="inlineStr">
        <is>
          <t>Lưới chắn côn trùng cổ 1150x350mm</t>
        </is>
      </c>
    </row>
    <row r="204">
      <c r="A204" t="inlineStr">
        <is>
          <t>SW-DIFF-097-MESH</t>
        </is>
      </c>
      <c r="B204" t="inlineStr">
        <is>
          <t>SW-DIFF-097</t>
        </is>
      </c>
      <c r="C204" t="inlineStr">
        <is>
          <t>Lưới chắn côn trùng Inox 304 (LCCT)</t>
        </is>
      </c>
      <c r="D204" t="inlineStr">
        <is>
          <t>PHỤ_KIỆN_CỬA</t>
        </is>
      </c>
      <c r="E204" t="inlineStr">
        <is>
          <t>MAT-MESH-INOX-304</t>
        </is>
      </c>
      <c r="F204" t="inlineStr">
        <is>
          <t>m2</t>
        </is>
      </c>
      <c r="G204" s="20" t="n">
        <v>0.3013182674199623</v>
      </c>
      <c r="H204" s="16">
        <f>'00_TONG_HOP_BAO_GIA'!G98</f>
        <v/>
      </c>
      <c r="I204" s="21">
        <f>G204*H204</f>
        <v/>
      </c>
      <c r="J204" s="16">
        <f>IFERROR(INDEX('06_BANG_GIA_VAT_TU_AP_DUNG'!$E$1:$E$5000, MATCH(E204, '06_BANG_GIA_VAT_TU_AP_DUNG'!$B$1:$B$5000, 0)), 0)</f>
        <v/>
      </c>
      <c r="K204" s="16">
        <f>I204*J204</f>
        <v/>
      </c>
      <c r="L204" t="inlineStr">
        <is>
          <t>Lưới chắn côn trùng 600x600mm</t>
        </is>
      </c>
    </row>
    <row r="205">
      <c r="A205" t="inlineStr">
        <is>
          <t>SW-DIFF-098-FRAME</t>
        </is>
      </c>
      <c r="B205" t="inlineStr">
        <is>
          <t>SW-DIFF-098</t>
        </is>
      </c>
      <c r="C205" t="inlineStr">
        <is>
          <t>Khung nhôm định hình (1 lớp BD)</t>
        </is>
      </c>
      <c r="D205" t="inlineStr">
        <is>
          <t>NHÔM_ĐỊNH_HÌNH</t>
        </is>
      </c>
      <c r="E205" t="inlineStr">
        <is>
          <t>MAT-ALU-KHUNG-BD</t>
        </is>
      </c>
      <c r="F205" t="inlineStr">
        <is>
          <t>kg</t>
        </is>
      </c>
      <c r="G205" s="20" t="n">
        <v>0.5456412315449407</v>
      </c>
      <c r="H205" s="16">
        <f>'00_TONG_HOP_BAO_GIA'!G99</f>
        <v/>
      </c>
      <c r="I205" s="21">
        <f>G205*H205</f>
        <v/>
      </c>
      <c r="J205" s="16">
        <f>IFERROR(INDEX('06_BANG_GIA_VAT_TU_AP_DUNG'!$E$1:$E$5000, MATCH(E205, '06_BANG_GIA_VAT_TU_AP_DUNG'!$B$1:$B$5000, 0)), 0)</f>
        <v/>
      </c>
      <c r="K205" s="16">
        <f>I205*J205</f>
        <v/>
      </c>
      <c r="L205" t="inlineStr">
        <is>
          <t>Khung bao 1000x500mm (cổ 950x450mm)</t>
        </is>
      </c>
    </row>
    <row r="206">
      <c r="A206" t="inlineStr">
        <is>
          <t>SW-DIFF-098-BLADE</t>
        </is>
      </c>
      <c r="B206" t="inlineStr">
        <is>
          <t>SW-DIFF-098</t>
        </is>
      </c>
      <c r="C206" t="inlineStr">
        <is>
          <t>Nan nhôm bầu dục (22 nan)</t>
        </is>
      </c>
      <c r="D206" t="inlineStr">
        <is>
          <t>NHÔM_ĐỊNH_HÌNH</t>
        </is>
      </c>
      <c r="E206" t="inlineStr">
        <is>
          <t>MAT-ALU-NAN-BD</t>
        </is>
      </c>
      <c r="F206" t="inlineStr">
        <is>
          <t>kg</t>
        </is>
      </c>
      <c r="G206" s="20" t="n">
        <v>1.132579282326673</v>
      </c>
      <c r="H206" s="16">
        <f>'00_TONG_HOP_BAO_GIA'!G99</f>
        <v/>
      </c>
      <c r="I206" s="21">
        <f>G206*H206</f>
        <v/>
      </c>
      <c r="J206" s="16">
        <f>IFERROR(INDEX('06_BANG_GIA_VAT_TU_AP_DUNG'!$E$1:$E$5000, MATCH(E206, '06_BANG_GIA_VAT_TU_AP_DUNG'!$B$1:$B$5000, 0)), 0)</f>
        <v/>
      </c>
      <c r="K206" s="16">
        <f>I206*J206</f>
        <v/>
      </c>
      <c r="L206" t="inlineStr">
        <is>
          <t>Nan bầu dục @ 0.058kg/m</t>
        </is>
      </c>
    </row>
    <row r="207">
      <c r="A207" t="inlineStr">
        <is>
          <t>SW-DIFF-098-ACCESSORY</t>
        </is>
      </c>
      <c r="B207" t="inlineStr">
        <is>
          <t>SW-DIFF-098</t>
        </is>
      </c>
      <c r="C207" t="inlineStr">
        <is>
          <t>Phụ kiện lắp ghép / Ke góc cửa gió</t>
        </is>
      </c>
      <c r="D207" t="inlineStr">
        <is>
          <t>PHỤ_KIỆN_CỬA</t>
        </is>
      </c>
      <c r="E207" t="inlineStr">
        <is>
          <t>MAT-DOOR-ACCESSORY</t>
        </is>
      </c>
      <c r="F207" t="inlineStr">
        <is>
          <t>Bộ</t>
        </is>
      </c>
      <c r="G207" s="20" t="n">
        <v>0.09784169480716814</v>
      </c>
      <c r="H207" s="16">
        <f>'00_TONG_HOP_BAO_GIA'!G99</f>
        <v/>
      </c>
      <c r="I207" s="21">
        <f>G207*H207</f>
        <v/>
      </c>
      <c r="J207" s="16">
        <f>IFERROR(INDEX('06_BANG_GIA_VAT_TU_AP_DUNG'!$E$1:$E$5000, MATCH(E207, '06_BANG_GIA_VAT_TU_AP_DUNG'!$B$1:$B$5000, 0)), 0)</f>
        <v/>
      </c>
      <c r="K207" s="16">
        <f>I207*J207</f>
        <v/>
      </c>
      <c r="L207" t="inlineStr">
        <is>
          <t>4 ke góc chìm và vít ghép khung</t>
        </is>
      </c>
    </row>
    <row r="208">
      <c r="A208" t="inlineStr">
        <is>
          <t>SW-DIFF-098-PAINT</t>
        </is>
      </c>
      <c r="B208" t="inlineStr">
        <is>
          <t>SW-DIFF-098</t>
        </is>
      </c>
      <c r="C208" t="inlineStr">
        <is>
          <t>Sơn tĩnh điện tiêu chuẩn Polyester</t>
        </is>
      </c>
      <c r="D208" t="inlineStr">
        <is>
          <t>SƠN_TĨNH_ĐIỆN</t>
        </is>
      </c>
      <c r="E208" t="inlineStr">
        <is>
          <t>MAT-PAINT-POWDER</t>
        </is>
      </c>
      <c r="F208" t="inlineStr">
        <is>
          <t>m2</t>
        </is>
      </c>
      <c r="G208" s="20" t="n">
        <v>0.3667127650077433</v>
      </c>
      <c r="H208" s="16">
        <f>'00_TONG_HOP_BAO_GIA'!G99</f>
        <v/>
      </c>
      <c r="I208" s="21">
        <f>G208*H208</f>
        <v/>
      </c>
      <c r="J208" s="16">
        <f>IFERROR(INDEX('06_BANG_GIA_VAT_TU_AP_DUNG'!$E$1:$E$5000, MATCH(E208, '06_BANG_GIA_VAT_TU_AP_DUNG'!$B$1:$B$5000, 0)), 0)</f>
        <v/>
      </c>
      <c r="K208" s="16">
        <f>I208*J208</f>
        <v/>
      </c>
      <c r="L208" t="inlineStr">
        <is>
          <t>Sơn tĩnh điện hoàn thiện</t>
        </is>
      </c>
    </row>
    <row r="209">
      <c r="A209" t="inlineStr">
        <is>
          <t>SW-DIFF-098-OBD-FRAME</t>
        </is>
      </c>
      <c r="B209" t="inlineStr">
        <is>
          <t>SW-DIFF-098</t>
        </is>
      </c>
      <c r="C209" t="inlineStr">
        <is>
          <t>Khung nhôm van OBD gắn cửa (SOBD)</t>
        </is>
      </c>
      <c r="D209" t="inlineStr">
        <is>
          <t>NHÔM_ĐỊNH_HÌNH</t>
        </is>
      </c>
      <c r="E209" t="inlineStr">
        <is>
          <t>MAT-ALU-KHUNG-OBD</t>
        </is>
      </c>
      <c r="F209" t="inlineStr">
        <is>
          <t>kg</t>
        </is>
      </c>
      <c r="G209" s="20" t="n">
        <v>0.3844789010939917</v>
      </c>
      <c r="H209" s="16">
        <f>'00_TONG_HOP_BAO_GIA'!G99</f>
        <v/>
      </c>
      <c r="I209" s="21">
        <f>G209*H209</f>
        <v/>
      </c>
      <c r="J209" s="16">
        <f>IFERROR(INDEX('06_BANG_GIA_VAT_TU_AP_DUNG'!$E$1:$E$5000, MATCH(E209, '06_BANG_GIA_VAT_TU_AP_DUNG'!$B$1:$B$5000, 0)), 0)</f>
        <v/>
      </c>
      <c r="K209" s="16">
        <f>I209*J209</f>
        <v/>
      </c>
      <c r="L209" t="inlineStr">
        <is>
          <t>Khung OBD 950x450mm</t>
        </is>
      </c>
    </row>
    <row r="210">
      <c r="A210" t="inlineStr">
        <is>
          <t>SW-DIFF-098-OBD-BLADE</t>
        </is>
      </c>
      <c r="B210" t="inlineStr">
        <is>
          <t>SW-DIFF-098</t>
        </is>
      </c>
      <c r="C210" t="inlineStr">
        <is>
          <t>Nan nhôm &amp; thanh truyền van OBD (SOBD)</t>
        </is>
      </c>
      <c r="D210" t="inlineStr">
        <is>
          <t>NHÔM_ĐỊNH_HÌNH</t>
        </is>
      </c>
      <c r="E210" t="inlineStr">
        <is>
          <t>MAT-ALU-NAN-OBD</t>
        </is>
      </c>
      <c r="F210" t="inlineStr">
        <is>
          <t>kg</t>
        </is>
      </c>
      <c r="G210" s="20" t="n">
        <v>0.9288241987888872</v>
      </c>
      <c r="H210" s="16">
        <f>'00_TONG_HOP_BAO_GIA'!G99</f>
        <v/>
      </c>
      <c r="I210" s="21">
        <f>G210*H210</f>
        <v/>
      </c>
      <c r="J210" s="16">
        <f>IFERROR(INDEX('06_BANG_GIA_VAT_TU_AP_DUNG'!$E$1:$E$5000, MATCH(E210, '06_BANG_GIA_VAT_TU_AP_DUNG'!$B$1:$B$5000, 0)), 0)</f>
        <v/>
      </c>
      <c r="K210" s="16">
        <f>I210*J210</f>
        <v/>
      </c>
      <c r="L210" t="inlineStr">
        <is>
          <t>Nan OBD đối xứng &amp; thanh liên kết</t>
        </is>
      </c>
    </row>
    <row r="211">
      <c r="A211" t="inlineStr">
        <is>
          <t>SW-DIFF-098-OBD-ACC</t>
        </is>
      </c>
      <c r="B211" t="inlineStr">
        <is>
          <t>SW-DIFF-098</t>
        </is>
      </c>
      <c r="C211" t="inlineStr">
        <is>
          <t>Bánh răng nhựa &amp; phụ kiện van OBD</t>
        </is>
      </c>
      <c r="D211" t="inlineStr">
        <is>
          <t>PHỤ_KIỆN_CỬA</t>
        </is>
      </c>
      <c r="E211" t="inlineStr">
        <is>
          <t>MAT-DOOR-ACCESSORY</t>
        </is>
      </c>
      <c r="F211" t="inlineStr">
        <is>
          <t>Bộ</t>
        </is>
      </c>
      <c r="G211" s="20" t="n">
        <v>1.956550974300665</v>
      </c>
      <c r="H211" s="16">
        <f>'00_TONG_HOP_BAO_GIA'!G99</f>
        <v/>
      </c>
      <c r="I211" s="21">
        <f>G211*H211</f>
        <v/>
      </c>
      <c r="J211" s="16">
        <f>IFERROR(INDEX('06_BANG_GIA_VAT_TU_AP_DUNG'!$E$1:$E$5000, MATCH(E211, '06_BANG_GIA_VAT_TU_AP_DUNG'!$B$1:$B$5000, 0)), 0)</f>
        <v/>
      </c>
      <c r="K211" s="16">
        <f>I211*J211</f>
        <v/>
      </c>
      <c r="L211" t="inlineStr">
        <is>
          <t>Cơ cấu bánh răng đóng mở OBD</t>
        </is>
      </c>
    </row>
    <row r="212">
      <c r="A212" t="inlineStr">
        <is>
          <t>SW-DIFF-099-FRAME</t>
        </is>
      </c>
      <c r="B212" t="inlineStr">
        <is>
          <t>SW-DIFF-099</t>
        </is>
      </c>
      <c r="C212" t="inlineStr">
        <is>
          <t>Khung nhôm định hình (1 lớp BD)</t>
        </is>
      </c>
      <c r="D212" t="inlineStr">
        <is>
          <t>NHÔM_ĐỊNH_HÌNH</t>
        </is>
      </c>
      <c r="E212" t="inlineStr">
        <is>
          <t>MAT-ALU-KHUNG-BD</t>
        </is>
      </c>
      <c r="F212" t="inlineStr">
        <is>
          <t>kg</t>
        </is>
      </c>
      <c r="G212" s="20" t="n">
        <v>0.5116696330948682</v>
      </c>
      <c r="H212" s="16">
        <f>'00_TONG_HOP_BAO_GIA'!G100</f>
        <v/>
      </c>
      <c r="I212" s="21">
        <f>G212*H212</f>
        <v/>
      </c>
      <c r="J212" s="16">
        <f>IFERROR(INDEX('06_BANG_GIA_VAT_TU_AP_DUNG'!$E$1:$E$5000, MATCH(E212, '06_BANG_GIA_VAT_TU_AP_DUNG'!$B$1:$B$5000, 0)), 0)</f>
        <v/>
      </c>
      <c r="K212" s="16">
        <f>I212*J212</f>
        <v/>
      </c>
      <c r="L212" t="inlineStr">
        <is>
          <t>Khung bao 900x500mm (cổ 850x450mm)</t>
        </is>
      </c>
    </row>
    <row r="213">
      <c r="A213" t="inlineStr">
        <is>
          <t>SW-DIFF-099-BLADE</t>
        </is>
      </c>
      <c r="B213" t="inlineStr">
        <is>
          <t>SW-DIFF-099</t>
        </is>
      </c>
      <c r="C213" t="inlineStr">
        <is>
          <t>Nan nhôm bầu dục (22 nan)</t>
        </is>
      </c>
      <c r="D213" t="inlineStr">
        <is>
          <t>NHÔM_ĐỊNH_HÌNH</t>
        </is>
      </c>
      <c r="E213" t="inlineStr">
        <is>
          <t>MAT-ALU-NAN-BD</t>
        </is>
      </c>
      <c r="F213" t="inlineStr">
        <is>
          <t>kg</t>
        </is>
      </c>
      <c r="G213" s="20" t="n">
        <v>1.012695043895427</v>
      </c>
      <c r="H213" s="16">
        <f>'00_TONG_HOP_BAO_GIA'!G100</f>
        <v/>
      </c>
      <c r="I213" s="21">
        <f>G213*H213</f>
        <v/>
      </c>
      <c r="J213" s="16">
        <f>IFERROR(INDEX('06_BANG_GIA_VAT_TU_AP_DUNG'!$E$1:$E$5000, MATCH(E213, '06_BANG_GIA_VAT_TU_AP_DUNG'!$B$1:$B$5000, 0)), 0)</f>
        <v/>
      </c>
      <c r="K213" s="16">
        <f>I213*J213</f>
        <v/>
      </c>
      <c r="L213" t="inlineStr">
        <is>
          <t>Nan bầu dục @ 0.058kg/m</t>
        </is>
      </c>
    </row>
    <row r="214">
      <c r="A214" t="inlineStr">
        <is>
          <t>SW-DIFF-099-ACCESSORY</t>
        </is>
      </c>
      <c r="B214" t="inlineStr">
        <is>
          <t>SW-DIFF-099</t>
        </is>
      </c>
      <c r="C214" t="inlineStr">
        <is>
          <t>Phụ kiện lắp ghép / Ke góc cửa gió</t>
        </is>
      </c>
      <c r="D214" t="inlineStr">
        <is>
          <t>PHỤ_KIỆN_CỬA</t>
        </is>
      </c>
      <c r="E214" t="inlineStr">
        <is>
          <t>MAT-DOOR-ACCESSORY</t>
        </is>
      </c>
      <c r="F214" t="inlineStr">
        <is>
          <t>Bộ</t>
        </is>
      </c>
      <c r="G214" s="20" t="n">
        <v>0.09777745251404123</v>
      </c>
      <c r="H214" s="16">
        <f>'00_TONG_HOP_BAO_GIA'!G100</f>
        <v/>
      </c>
      <c r="I214" s="21">
        <f>G214*H214</f>
        <v/>
      </c>
      <c r="J214" s="16">
        <f>IFERROR(INDEX('06_BANG_GIA_VAT_TU_AP_DUNG'!$E$1:$E$5000, MATCH(E214, '06_BANG_GIA_VAT_TU_AP_DUNG'!$B$1:$B$5000, 0)), 0)</f>
        <v/>
      </c>
      <c r="K214" s="16">
        <f>I214*J214</f>
        <v/>
      </c>
      <c r="L214" t="inlineStr">
        <is>
          <t>4 ke góc chìm và vít ghép khung</t>
        </is>
      </c>
    </row>
    <row r="215">
      <c r="A215" t="inlineStr">
        <is>
          <t>SW-DIFF-099-PAINT</t>
        </is>
      </c>
      <c r="B215" t="inlineStr">
        <is>
          <t>SW-DIFF-099</t>
        </is>
      </c>
      <c r="C215" t="inlineStr">
        <is>
          <t>Sơn tĩnh điện tiêu chuẩn Polyester</t>
        </is>
      </c>
      <c r="D215" t="inlineStr">
        <is>
          <t>SƠN_TĨNH_ĐIỆN</t>
        </is>
      </c>
      <c r="E215" t="inlineStr">
        <is>
          <t>MAT-PAINT-POWDER</t>
        </is>
      </c>
      <c r="F215" t="inlineStr">
        <is>
          <t>m2</t>
        </is>
      </c>
      <c r="G215" s="20" t="n">
        <v>0.3322551038797987</v>
      </c>
      <c r="H215" s="16">
        <f>'00_TONG_HOP_BAO_GIA'!G100</f>
        <v/>
      </c>
      <c r="I215" s="21">
        <f>G215*H215</f>
        <v/>
      </c>
      <c r="J215" s="16">
        <f>IFERROR(INDEX('06_BANG_GIA_VAT_TU_AP_DUNG'!$E$1:$E$5000, MATCH(E215, '06_BANG_GIA_VAT_TU_AP_DUNG'!$B$1:$B$5000, 0)), 0)</f>
        <v/>
      </c>
      <c r="K215" s="16">
        <f>I215*J215</f>
        <v/>
      </c>
      <c r="L215" t="inlineStr">
        <is>
          <t>Sơn tĩnh điện hoàn thiện</t>
        </is>
      </c>
    </row>
    <row r="216">
      <c r="A216" t="inlineStr">
        <is>
          <t>SW-DIFF-099-OBD-FRAME</t>
        </is>
      </c>
      <c r="B216" t="inlineStr">
        <is>
          <t>SW-DIFF-099</t>
        </is>
      </c>
      <c r="C216" t="inlineStr">
        <is>
          <t>Khung nhôm van OBD gắn cửa (SOBD)</t>
        </is>
      </c>
      <c r="D216" t="inlineStr">
        <is>
          <t>NHÔM_ĐỊNH_HÌNH</t>
        </is>
      </c>
      <c r="E216" t="inlineStr">
        <is>
          <t>MAT-ALU-KHUNG-OBD</t>
        </is>
      </c>
      <c r="F216" t="inlineStr">
        <is>
          <t>kg</t>
        </is>
      </c>
      <c r="G216" s="20" t="n">
        <v>0.3568324849958905</v>
      </c>
      <c r="H216" s="16">
        <f>'00_TONG_HOP_BAO_GIA'!G100</f>
        <v/>
      </c>
      <c r="I216" s="21">
        <f>G216*H216</f>
        <v/>
      </c>
      <c r="J216" s="16">
        <f>IFERROR(INDEX('06_BANG_GIA_VAT_TU_AP_DUNG'!$E$1:$E$5000, MATCH(E216, '06_BANG_GIA_VAT_TU_AP_DUNG'!$B$1:$B$5000, 0)), 0)</f>
        <v/>
      </c>
      <c r="K216" s="16">
        <f>I216*J216</f>
        <v/>
      </c>
      <c r="L216" t="inlineStr">
        <is>
          <t>Khung OBD 850x450mm</t>
        </is>
      </c>
    </row>
    <row r="217">
      <c r="A217" t="inlineStr">
        <is>
          <t>SW-DIFF-099-OBD-BLADE</t>
        </is>
      </c>
      <c r="B217" t="inlineStr">
        <is>
          <t>SW-DIFF-099</t>
        </is>
      </c>
      <c r="C217" t="inlineStr">
        <is>
          <t>Nan nhôm &amp; thanh truyền van OBD (SOBD)</t>
        </is>
      </c>
      <c r="D217" t="inlineStr">
        <is>
          <t>NHÔM_ĐỊNH_HÌNH</t>
        </is>
      </c>
      <c r="E217" t="inlineStr">
        <is>
          <t>MAT-ALU-NAN-OBD</t>
        </is>
      </c>
      <c r="F217" t="inlineStr">
        <is>
          <t>kg</t>
        </is>
      </c>
      <c r="G217" s="20" t="n">
        <v>0.8306257638201566</v>
      </c>
      <c r="H217" s="16">
        <f>'00_TONG_HOP_BAO_GIA'!G100</f>
        <v/>
      </c>
      <c r="I217" s="21">
        <f>G217*H217</f>
        <v/>
      </c>
      <c r="J217" s="16">
        <f>IFERROR(INDEX('06_BANG_GIA_VAT_TU_AP_DUNG'!$E$1:$E$5000, MATCH(E217, '06_BANG_GIA_VAT_TU_AP_DUNG'!$B$1:$B$5000, 0)), 0)</f>
        <v/>
      </c>
      <c r="K217" s="16">
        <f>I217*J217</f>
        <v/>
      </c>
      <c r="L217" t="inlineStr">
        <is>
          <t>Nan OBD đối xứng &amp; thanh liên kết</t>
        </is>
      </c>
    </row>
    <row r="218">
      <c r="A218" t="inlineStr">
        <is>
          <t>SW-DIFF-099-OBD-ACC</t>
        </is>
      </c>
      <c r="B218" t="inlineStr">
        <is>
          <t>SW-DIFF-099</t>
        </is>
      </c>
      <c r="C218" t="inlineStr">
        <is>
          <t>Bánh răng nhựa &amp; phụ kiện van OBD</t>
        </is>
      </c>
      <c r="D218" t="inlineStr">
        <is>
          <t>PHỤ_KIỆN_CỬA</t>
        </is>
      </c>
      <c r="E218" t="inlineStr">
        <is>
          <t>MAT-DOOR-ACCESSORY</t>
        </is>
      </c>
      <c r="F218" t="inlineStr">
        <is>
          <t>Bộ</t>
        </is>
      </c>
      <c r="G218" s="20" t="n">
        <v>1.775032780146178</v>
      </c>
      <c r="H218" s="16">
        <f>'00_TONG_HOP_BAO_GIA'!G100</f>
        <v/>
      </c>
      <c r="I218" s="21">
        <f>G218*H218</f>
        <v/>
      </c>
      <c r="J218" s="16">
        <f>IFERROR(INDEX('06_BANG_GIA_VAT_TU_AP_DUNG'!$E$1:$E$5000, MATCH(E218, '06_BANG_GIA_VAT_TU_AP_DUNG'!$B$1:$B$5000, 0)), 0)</f>
        <v/>
      </c>
      <c r="K218" s="16">
        <f>I218*J218</f>
        <v/>
      </c>
      <c r="L218" t="inlineStr">
        <is>
          <t>Cơ cấu bánh răng đóng mở OBD</t>
        </is>
      </c>
    </row>
    <row r="219">
      <c r="A219" t="inlineStr">
        <is>
          <t>SW-DIFF-100-FRAME</t>
        </is>
      </c>
      <c r="B219" t="inlineStr">
        <is>
          <t>SW-DIFF-100</t>
        </is>
      </c>
      <c r="C219" t="inlineStr">
        <is>
          <t>Khung nhôm định hình (1 lớp BD)</t>
        </is>
      </c>
      <c r="D219" t="inlineStr">
        <is>
          <t>NHÔM_ĐỊNH_HÌNH</t>
        </is>
      </c>
      <c r="E219" t="inlineStr">
        <is>
          <t>MAT-ALU-KHUNG-BD</t>
        </is>
      </c>
      <c r="F219" t="inlineStr">
        <is>
          <t>kg</t>
        </is>
      </c>
      <c r="G219" s="20" t="n">
        <v>0.4358396488527693</v>
      </c>
      <c r="H219" s="16">
        <f>'00_TONG_HOP_BAO_GIA'!G101</f>
        <v/>
      </c>
      <c r="I219" s="21">
        <f>G219*H219</f>
        <v/>
      </c>
      <c r="J219" s="16">
        <f>IFERROR(INDEX('06_BANG_GIA_VAT_TU_AP_DUNG'!$E$1:$E$5000, MATCH(E219, '06_BANG_GIA_VAT_TU_AP_DUNG'!$B$1:$B$5000, 0)), 0)</f>
        <v/>
      </c>
      <c r="K219" s="16">
        <f>I219*J219</f>
        <v/>
      </c>
      <c r="L219" t="inlineStr">
        <is>
          <t>Khung bao 800x400mm (cổ 750x350mm)</t>
        </is>
      </c>
    </row>
    <row r="220">
      <c r="A220" t="inlineStr">
        <is>
          <t>SW-DIFF-100-BLADE</t>
        </is>
      </c>
      <c r="B220" t="inlineStr">
        <is>
          <t>SW-DIFF-100</t>
        </is>
      </c>
      <c r="C220" t="inlineStr">
        <is>
          <t>Nan nhôm bầu dục (17 nan)</t>
        </is>
      </c>
      <c r="D220" t="inlineStr">
        <is>
          <t>NHÔM_ĐỊNH_HÌNH</t>
        </is>
      </c>
      <c r="E220" t="inlineStr">
        <is>
          <t>MAT-ALU-NAN-BD</t>
        </is>
      </c>
      <c r="F220" t="inlineStr">
        <is>
          <t>kg</t>
        </is>
      </c>
      <c r="G220" s="20" t="n">
        <v>0.6898617729593812</v>
      </c>
      <c r="H220" s="16">
        <f>'00_TONG_HOP_BAO_GIA'!G101</f>
        <v/>
      </c>
      <c r="I220" s="21">
        <f>G220*H220</f>
        <v/>
      </c>
      <c r="J220" s="16">
        <f>IFERROR(INDEX('06_BANG_GIA_VAT_TU_AP_DUNG'!$E$1:$E$5000, MATCH(E220, '06_BANG_GIA_VAT_TU_AP_DUNG'!$B$1:$B$5000, 0)), 0)</f>
        <v/>
      </c>
      <c r="K220" s="16">
        <f>I220*J220</f>
        <v/>
      </c>
      <c r="L220" t="inlineStr">
        <is>
          <t>Nan bầu dục @ 0.058kg/m</t>
        </is>
      </c>
    </row>
    <row r="221">
      <c r="A221" t="inlineStr">
        <is>
          <t>SW-DIFF-100-ACCESSORY</t>
        </is>
      </c>
      <c r="B221" t="inlineStr">
        <is>
          <t>SW-DIFF-100</t>
        </is>
      </c>
      <c r="C221" t="inlineStr">
        <is>
          <t>Phụ kiện lắp ghép / Ke góc cửa gió</t>
        </is>
      </c>
      <c r="D221" t="inlineStr">
        <is>
          <t>PHỤ_KIỆN_CỬA</t>
        </is>
      </c>
      <c r="E221" t="inlineStr">
        <is>
          <t>MAT-DOOR-ACCESSORY</t>
        </is>
      </c>
      <c r="F221" t="inlineStr">
        <is>
          <t>Bộ</t>
        </is>
      </c>
      <c r="G221" s="20" t="n">
        <v>0.07548832274222195</v>
      </c>
      <c r="H221" s="16">
        <f>'00_TONG_HOP_BAO_GIA'!G101</f>
        <v/>
      </c>
      <c r="I221" s="21">
        <f>G221*H221</f>
        <v/>
      </c>
      <c r="J221" s="16">
        <f>IFERROR(INDEX('06_BANG_GIA_VAT_TU_AP_DUNG'!$E$1:$E$5000, MATCH(E221, '06_BANG_GIA_VAT_TU_AP_DUNG'!$B$1:$B$5000, 0)), 0)</f>
        <v/>
      </c>
      <c r="K221" s="16">
        <f>I221*J221</f>
        <v/>
      </c>
      <c r="L221" t="inlineStr">
        <is>
          <t>4 ke góc chìm và vít ghép khung</t>
        </is>
      </c>
    </row>
    <row r="222">
      <c r="A222" t="inlineStr">
        <is>
          <t>SW-DIFF-100-PAINT</t>
        </is>
      </c>
      <c r="B222" t="inlineStr">
        <is>
          <t>SW-DIFF-100</t>
        </is>
      </c>
      <c r="C222" t="inlineStr">
        <is>
          <t>Sơn tĩnh điện tiêu chuẩn Polyester</t>
        </is>
      </c>
      <c r="D222" t="inlineStr">
        <is>
          <t>SƠN_TĨNH_ĐIỆN</t>
        </is>
      </c>
      <c r="E222" t="inlineStr">
        <is>
          <t>MAT-PAINT-POWDER</t>
        </is>
      </c>
      <c r="F222" t="inlineStr">
        <is>
          <t>m2</t>
        </is>
      </c>
      <c r="G222" s="20" t="n">
        <v>0.2448015781107626</v>
      </c>
      <c r="H222" s="16">
        <f>'00_TONG_HOP_BAO_GIA'!G101</f>
        <v/>
      </c>
      <c r="I222" s="21">
        <f>G222*H222</f>
        <v/>
      </c>
      <c r="J222" s="16">
        <f>IFERROR(INDEX('06_BANG_GIA_VAT_TU_AP_DUNG'!$E$1:$E$5000, MATCH(E222, '06_BANG_GIA_VAT_TU_AP_DUNG'!$B$1:$B$5000, 0)), 0)</f>
        <v/>
      </c>
      <c r="K222" s="16">
        <f>I222*J222</f>
        <v/>
      </c>
      <c r="L222" t="inlineStr">
        <is>
          <t>Sơn tĩnh điện hoàn thiện</t>
        </is>
      </c>
    </row>
    <row r="223">
      <c r="A223" t="inlineStr">
        <is>
          <t>SW-DIFF-100-OBD-FRAME</t>
        </is>
      </c>
      <c r="B223" t="inlineStr">
        <is>
          <t>SW-DIFF-100</t>
        </is>
      </c>
      <c r="C223" t="inlineStr">
        <is>
          <t>Khung nhôm van OBD gắn cửa (SOBD)</t>
        </is>
      </c>
      <c r="D223" t="inlineStr">
        <is>
          <t>NHÔM_ĐỊNH_HÌNH</t>
        </is>
      </c>
      <c r="E223" t="inlineStr">
        <is>
          <t>MAT-ALU-KHUNG-OBD</t>
        </is>
      </c>
      <c r="F223" t="inlineStr">
        <is>
          <t>kg</t>
        </is>
      </c>
      <c r="G223" s="20" t="n">
        <v>0.3021451724630184</v>
      </c>
      <c r="H223" s="16">
        <f>'00_TONG_HOP_BAO_GIA'!G101</f>
        <v/>
      </c>
      <c r="I223" s="21">
        <f>G223*H223</f>
        <v/>
      </c>
      <c r="J223" s="16">
        <f>IFERROR(INDEX('06_BANG_GIA_VAT_TU_AP_DUNG'!$E$1:$E$5000, MATCH(E223, '06_BANG_GIA_VAT_TU_AP_DUNG'!$B$1:$B$5000, 0)), 0)</f>
        <v/>
      </c>
      <c r="K223" s="16">
        <f>I223*J223</f>
        <v/>
      </c>
      <c r="L223" t="inlineStr">
        <is>
          <t>Khung OBD 750x350mm</t>
        </is>
      </c>
    </row>
    <row r="224">
      <c r="A224" t="inlineStr">
        <is>
          <t>SW-DIFF-100-OBD-BLADE</t>
        </is>
      </c>
      <c r="B224" t="inlineStr">
        <is>
          <t>SW-DIFF-100</t>
        </is>
      </c>
      <c r="C224" t="inlineStr">
        <is>
          <t>Nan nhôm &amp; thanh truyền van OBD (SOBD)</t>
        </is>
      </c>
      <c r="D224" t="inlineStr">
        <is>
          <t>NHÔM_ĐỊNH_HÌNH</t>
        </is>
      </c>
      <c r="E224" t="inlineStr">
        <is>
          <t>MAT-ALU-NAN-OBD</t>
        </is>
      </c>
      <c r="F224" t="inlineStr">
        <is>
          <t>kg</t>
        </is>
      </c>
      <c r="G224" s="20" t="n">
        <v>0.5704337440415874</v>
      </c>
      <c r="H224" s="16">
        <f>'00_TONG_HOP_BAO_GIA'!G101</f>
        <v/>
      </c>
      <c r="I224" s="21">
        <f>G224*H224</f>
        <v/>
      </c>
      <c r="J224" s="16">
        <f>IFERROR(INDEX('06_BANG_GIA_VAT_TU_AP_DUNG'!$E$1:$E$5000, MATCH(E224, '06_BANG_GIA_VAT_TU_AP_DUNG'!$B$1:$B$5000, 0)), 0)</f>
        <v/>
      </c>
      <c r="K224" s="16">
        <f>I224*J224</f>
        <v/>
      </c>
      <c r="L224" t="inlineStr">
        <is>
          <t>Nan OBD đối xứng &amp; thanh liên kết</t>
        </is>
      </c>
    </row>
    <row r="225">
      <c r="A225" t="inlineStr">
        <is>
          <t>SW-DIFF-100-OBD-ACC</t>
        </is>
      </c>
      <c r="B225" t="inlineStr">
        <is>
          <t>SW-DIFF-100</t>
        </is>
      </c>
      <c r="C225" t="inlineStr">
        <is>
          <t>Bánh răng nhựa &amp; phụ kiện van OBD</t>
        </is>
      </c>
      <c r="D225" t="inlineStr">
        <is>
          <t>PHỤ_KIỆN_CỬA</t>
        </is>
      </c>
      <c r="E225" t="inlineStr">
        <is>
          <t>MAT-DOOR-ACCESSORY</t>
        </is>
      </c>
      <c r="F225" t="inlineStr">
        <is>
          <t>Bộ</t>
        </is>
      </c>
      <c r="G225" s="20" t="n">
        <v>1.595629945138551</v>
      </c>
      <c r="H225" s="16">
        <f>'00_TONG_HOP_BAO_GIA'!G101</f>
        <v/>
      </c>
      <c r="I225" s="21">
        <f>G225*H225</f>
        <v/>
      </c>
      <c r="J225" s="16">
        <f>IFERROR(INDEX('06_BANG_GIA_VAT_TU_AP_DUNG'!$E$1:$E$5000, MATCH(E225, '06_BANG_GIA_VAT_TU_AP_DUNG'!$B$1:$B$5000, 0)), 0)</f>
        <v/>
      </c>
      <c r="K225" s="16">
        <f>I225*J225</f>
        <v/>
      </c>
      <c r="L225" t="inlineStr">
        <is>
          <t>Cơ cấu bánh răng đóng mở OBD</t>
        </is>
      </c>
    </row>
    <row r="226">
      <c r="A226" t="inlineStr">
        <is>
          <t>SW-DIFF-101-FRAME</t>
        </is>
      </c>
      <c r="B226" t="inlineStr">
        <is>
          <t>SW-DIFF-101</t>
        </is>
      </c>
      <c r="C226" t="inlineStr">
        <is>
          <t>Khung nhôm định hình Louver (SWL)</t>
        </is>
      </c>
      <c r="D226" t="inlineStr">
        <is>
          <t>NHÔM_ĐỊNH_HÌNH</t>
        </is>
      </c>
      <c r="E226" t="inlineStr">
        <is>
          <t>MAT-ALU-KHUNG-Z-2-LOP</t>
        </is>
      </c>
      <c r="F226" t="inlineStr">
        <is>
          <t>kg</t>
        </is>
      </c>
      <c r="G226" s="20" t="n">
        <v>0.6069287563444937</v>
      </c>
      <c r="H226" s="16">
        <f>'00_TONG_HOP_BAO_GIA'!G102</f>
        <v/>
      </c>
      <c r="I226" s="21">
        <f>G226*H226</f>
        <v/>
      </c>
      <c r="J226" s="16">
        <f>IFERROR(INDEX('06_BANG_GIA_VAT_TU_AP_DUNG'!$E$1:$E$5000, MATCH(E226, '06_BANG_GIA_VAT_TU_AP_DUNG'!$B$1:$B$5000, 0)), 0)</f>
        <v/>
      </c>
      <c r="K226" s="16">
        <f>I226*J226</f>
        <v/>
      </c>
      <c r="L226" t="inlineStr">
        <is>
          <t>Khung Louver phủ bì 1000x300mm</t>
        </is>
      </c>
    </row>
    <row r="227">
      <c r="A227" t="inlineStr">
        <is>
          <t>SW-DIFF-101-BLADE</t>
        </is>
      </c>
      <c r="B227" t="inlineStr">
        <is>
          <t>SW-DIFF-101</t>
        </is>
      </c>
      <c r="C227" t="inlineStr">
        <is>
          <t>Nan Z Louver &amp; thanh tăng cứng (6 nan)</t>
        </is>
      </c>
      <c r="D227" t="inlineStr">
        <is>
          <t>NHÔM_ĐỊNH_HÌNH</t>
        </is>
      </c>
      <c r="E227" t="inlineStr">
        <is>
          <t>MAT-ALU-NAN-Z-DAY</t>
        </is>
      </c>
      <c r="F227" t="inlineStr">
        <is>
          <t>kg</t>
        </is>
      </c>
      <c r="G227" s="20" t="n">
        <v>1.312866493815466</v>
      </c>
      <c r="H227" s="16">
        <f>'00_TONG_HOP_BAO_GIA'!G102</f>
        <v/>
      </c>
      <c r="I227" s="21">
        <f>G227*H227</f>
        <v/>
      </c>
      <c r="J227" s="16">
        <f>IFERROR(INDEX('06_BANG_GIA_VAT_TU_AP_DUNG'!$E$1:$E$5000, MATCH(E227, '06_BANG_GIA_VAT_TU_AP_DUNG'!$B$1:$B$5000, 0)), 0)</f>
        <v/>
      </c>
      <c r="K227" s="16">
        <f>I227*J227</f>
        <v/>
      </c>
      <c r="L227" t="inlineStr">
        <is>
          <t>6 nan Z dày @ 0.217kg/m + thanh giằng</t>
        </is>
      </c>
    </row>
    <row r="228">
      <c r="A228" t="inlineStr">
        <is>
          <t>SW-DIFF-101-ACCESSORY</t>
        </is>
      </c>
      <c r="B228" t="inlineStr">
        <is>
          <t>SW-DIFF-101</t>
        </is>
      </c>
      <c r="C228" t="inlineStr">
        <is>
          <t>Phụ kiện lắp ghép / Ke góc cửa gió</t>
        </is>
      </c>
      <c r="D228" t="inlineStr">
        <is>
          <t>PHỤ_KIỆN_CỬA</t>
        </is>
      </c>
      <c r="E228" t="inlineStr">
        <is>
          <t>MAT-DOOR-ACCESSORY</t>
        </is>
      </c>
      <c r="F228" t="inlineStr">
        <is>
          <t>Bộ</t>
        </is>
      </c>
      <c r="G228" s="20" t="n">
        <v>0.05339911056713822</v>
      </c>
      <c r="H228" s="16">
        <f>'00_TONG_HOP_BAO_GIA'!G102</f>
        <v/>
      </c>
      <c r="I228" s="21">
        <f>G228*H228</f>
        <v/>
      </c>
      <c r="J228" s="16">
        <f>IFERROR(INDEX('06_BANG_GIA_VAT_TU_AP_DUNG'!$E$1:$E$5000, MATCH(E228, '06_BANG_GIA_VAT_TU_AP_DUNG'!$B$1:$B$5000, 0)), 0)</f>
        <v/>
      </c>
      <c r="K228" s="16">
        <f>I228*J228</f>
        <v/>
      </c>
      <c r="L228" t="inlineStr">
        <is>
          <t>Ke góc và vít ghép khung Louver</t>
        </is>
      </c>
    </row>
    <row r="229">
      <c r="A229" t="inlineStr">
        <is>
          <t>SW-DIFF-101-PAINT</t>
        </is>
      </c>
      <c r="B229" t="inlineStr">
        <is>
          <t>SW-DIFF-101</t>
        </is>
      </c>
      <c r="C229" t="inlineStr">
        <is>
          <t>Sơn tĩnh điện tiêu chuẩn Polyester</t>
        </is>
      </c>
      <c r="D229" t="inlineStr">
        <is>
          <t>SƠN_TĨNH_ĐIỆN</t>
        </is>
      </c>
      <c r="E229" t="inlineStr">
        <is>
          <t>MAT-PAINT-POWDER</t>
        </is>
      </c>
      <c r="F229" t="inlineStr">
        <is>
          <t>m2</t>
        </is>
      </c>
      <c r="G229" s="20" t="n">
        <v>0.3798833666573886</v>
      </c>
      <c r="H229" s="16">
        <f>'00_TONG_HOP_BAO_GIA'!G102</f>
        <v/>
      </c>
      <c r="I229" s="21">
        <f>G229*H229</f>
        <v/>
      </c>
      <c r="J229" s="16">
        <f>IFERROR(INDEX('06_BANG_GIA_VAT_TU_AP_DUNG'!$E$1:$E$5000, MATCH(E229, '06_BANG_GIA_VAT_TU_AP_DUNG'!$B$1:$B$5000, 0)), 0)</f>
        <v/>
      </c>
      <c r="K229" s="16">
        <f>I229*J229</f>
        <v/>
      </c>
      <c r="L229" t="inlineStr">
        <is>
          <t>Sơn tĩnh điện khung và nan Louver</t>
        </is>
      </c>
    </row>
    <row r="230">
      <c r="A230" t="inlineStr">
        <is>
          <t>SW-DIFF-101-MESH</t>
        </is>
      </c>
      <c r="B230" t="inlineStr">
        <is>
          <t>SW-DIFF-101</t>
        </is>
      </c>
      <c r="C230" t="inlineStr">
        <is>
          <t>Lưới chắn côn trùng Inox 304 (LCCT)</t>
        </is>
      </c>
      <c r="D230" t="inlineStr">
        <is>
          <t>PHỤ_KIỆN_CỬA</t>
        </is>
      </c>
      <c r="E230" t="inlineStr">
        <is>
          <t>MAT-MESH-INOX-304</t>
        </is>
      </c>
      <c r="F230" t="inlineStr">
        <is>
          <t>m2</t>
        </is>
      </c>
      <c r="G230" s="20" t="n">
        <v>0.1506591337099812</v>
      </c>
      <c r="H230" s="16">
        <f>'00_TONG_HOP_BAO_GIA'!G102</f>
        <v/>
      </c>
      <c r="I230" s="21">
        <f>G230*H230</f>
        <v/>
      </c>
      <c r="J230" s="16">
        <f>IFERROR(INDEX('06_BANG_GIA_VAT_TU_AP_DUNG'!$E$1:$E$5000, MATCH(E230, '06_BANG_GIA_VAT_TU_AP_DUNG'!$B$1:$B$5000, 0)), 0)</f>
        <v/>
      </c>
      <c r="K230" s="16">
        <f>I230*J230</f>
        <v/>
      </c>
      <c r="L230" t="inlineStr">
        <is>
          <t>Lưới chắn côn trùng cổ 950x250mm</t>
        </is>
      </c>
    </row>
    <row r="231">
      <c r="A231" t="inlineStr">
        <is>
          <t>SW-DIFF-102-FRAME</t>
        </is>
      </c>
      <c r="B231" t="inlineStr">
        <is>
          <t>SW-DIFF-102</t>
        </is>
      </c>
      <c r="C231" t="inlineStr">
        <is>
          <t>Khung nhôm định hình Louver (SWL)</t>
        </is>
      </c>
      <c r="D231" t="inlineStr">
        <is>
          <t>NHÔM_ĐỊNH_HÌNH</t>
        </is>
      </c>
      <c r="E231" t="inlineStr">
        <is>
          <t>MAT-ALU-KHUNG-Z-2-LOP</t>
        </is>
      </c>
      <c r="F231" t="inlineStr">
        <is>
          <t>kg</t>
        </is>
      </c>
      <c r="G231" s="20" t="n">
        <v>0.7928439202946976</v>
      </c>
      <c r="H231" s="16">
        <f>'00_TONG_HOP_BAO_GIA'!G103</f>
        <v/>
      </c>
      <c r="I231" s="21">
        <f>G231*H231</f>
        <v/>
      </c>
      <c r="J231" s="16">
        <f>IFERROR(INDEX('06_BANG_GIA_VAT_TU_AP_DUNG'!$E$1:$E$5000, MATCH(E231, '06_BANG_GIA_VAT_TU_AP_DUNG'!$B$1:$B$5000, 0)), 0)</f>
        <v/>
      </c>
      <c r="K231" s="16">
        <f>I231*J231</f>
        <v/>
      </c>
      <c r="L231" t="inlineStr">
        <is>
          <t>Khung Louver phủ bì 1000x700mm</t>
        </is>
      </c>
    </row>
    <row r="232">
      <c r="A232" t="inlineStr">
        <is>
          <t>SW-DIFF-102-BLADE</t>
        </is>
      </c>
      <c r="B232" t="inlineStr">
        <is>
          <t>SW-DIFF-102</t>
        </is>
      </c>
      <c r="C232" t="inlineStr">
        <is>
          <t>Nan Z Louver &amp; thanh tăng cứng (14 nan)</t>
        </is>
      </c>
      <c r="D232" t="inlineStr">
        <is>
          <t>NHÔM_ĐỊNH_HÌNH</t>
        </is>
      </c>
      <c r="E232" t="inlineStr">
        <is>
          <t>MAT-ALU-NAN-Z-DAY</t>
        </is>
      </c>
      <c r="F232" t="inlineStr">
        <is>
          <t>kg</t>
        </is>
      </c>
      <c r="G232" s="20" t="n">
        <v>3.060143315683183</v>
      </c>
      <c r="H232" s="16">
        <f>'00_TONG_HOP_BAO_GIA'!G103</f>
        <v/>
      </c>
      <c r="I232" s="21">
        <f>G232*H232</f>
        <v/>
      </c>
      <c r="J232" s="16">
        <f>IFERROR(INDEX('06_BANG_GIA_VAT_TU_AP_DUNG'!$E$1:$E$5000, MATCH(E232, '06_BANG_GIA_VAT_TU_AP_DUNG'!$B$1:$B$5000, 0)), 0)</f>
        <v/>
      </c>
      <c r="K232" s="16">
        <f>I232*J232</f>
        <v/>
      </c>
      <c r="L232" t="inlineStr">
        <is>
          <t>14 nan Z dày @ 0.217kg/m + thanh giằng</t>
        </is>
      </c>
    </row>
    <row r="233">
      <c r="A233" t="inlineStr">
        <is>
          <t>SW-DIFF-102-ACCESSORY</t>
        </is>
      </c>
      <c r="B233" t="inlineStr">
        <is>
          <t>SW-DIFF-102</t>
        </is>
      </c>
      <c r="C233" t="inlineStr">
        <is>
          <t>Phụ kiện lắp ghép / Ke góc cửa gió</t>
        </is>
      </c>
      <c r="D233" t="inlineStr">
        <is>
          <t>PHỤ_KIỆN_CỬA</t>
        </is>
      </c>
      <c r="E233" t="inlineStr">
        <is>
          <t>MAT-DOOR-ACCESSORY</t>
        </is>
      </c>
      <c r="F233" t="inlineStr">
        <is>
          <t>Bộ</t>
        </is>
      </c>
      <c r="G233" s="20" t="n">
        <v>0.1244672874471452</v>
      </c>
      <c r="H233" s="16">
        <f>'00_TONG_HOP_BAO_GIA'!G103</f>
        <v/>
      </c>
      <c r="I233" s="21">
        <f>G233*H233</f>
        <v/>
      </c>
      <c r="J233" s="16">
        <f>IFERROR(INDEX('06_BANG_GIA_VAT_TU_AP_DUNG'!$E$1:$E$5000, MATCH(E233, '06_BANG_GIA_VAT_TU_AP_DUNG'!$B$1:$B$5000, 0)), 0)</f>
        <v/>
      </c>
      <c r="K233" s="16">
        <f>I233*J233</f>
        <v/>
      </c>
      <c r="L233" t="inlineStr">
        <is>
          <t>Ke góc và vít ghép khung Louver</t>
        </is>
      </c>
    </row>
    <row r="234">
      <c r="A234" t="inlineStr">
        <is>
          <t>SW-DIFF-102-PAINT</t>
        </is>
      </c>
      <c r="B234" t="inlineStr">
        <is>
          <t>SW-DIFF-102</t>
        </is>
      </c>
      <c r="C234" t="inlineStr">
        <is>
          <t>Sơn tĩnh điện tiêu chuẩn Polyester</t>
        </is>
      </c>
      <c r="D234" t="inlineStr">
        <is>
          <t>SƠN_TĨNH_ĐIỆN</t>
        </is>
      </c>
      <c r="E234" t="inlineStr">
        <is>
          <t>MAT-PAINT-POWDER</t>
        </is>
      </c>
      <c r="F234" t="inlineStr">
        <is>
          <t>m2</t>
        </is>
      </c>
      <c r="G234" s="20" t="n">
        <v>0.7588362597651563</v>
      </c>
      <c r="H234" s="16">
        <f>'00_TONG_HOP_BAO_GIA'!G103</f>
        <v/>
      </c>
      <c r="I234" s="21">
        <f>G234*H234</f>
        <v/>
      </c>
      <c r="J234" s="16">
        <f>IFERROR(INDEX('06_BANG_GIA_VAT_TU_AP_DUNG'!$E$1:$E$5000, MATCH(E234, '06_BANG_GIA_VAT_TU_AP_DUNG'!$B$1:$B$5000, 0)), 0)</f>
        <v/>
      </c>
      <c r="K234" s="16">
        <f>I234*J234</f>
        <v/>
      </c>
      <c r="L234" t="inlineStr">
        <is>
          <t>Sơn tĩnh điện khung và nan Louver</t>
        </is>
      </c>
    </row>
    <row r="235">
      <c r="A235" t="inlineStr">
        <is>
          <t>SW-DIFF-102-MESH</t>
        </is>
      </c>
      <c r="B235" t="inlineStr">
        <is>
          <t>SW-DIFF-102</t>
        </is>
      </c>
      <c r="C235" t="inlineStr">
        <is>
          <t>Lưới chắn côn trùng Inox 304 (LCCT)</t>
        </is>
      </c>
      <c r="D235" t="inlineStr">
        <is>
          <t>PHỤ_KIỆN_CỬA</t>
        </is>
      </c>
      <c r="E235" t="inlineStr">
        <is>
          <t>MAT-MESH-INOX-304</t>
        </is>
      </c>
      <c r="F235" t="inlineStr">
        <is>
          <t>m2</t>
        </is>
      </c>
      <c r="G235" s="20" t="n">
        <v>0.389202762084118</v>
      </c>
      <c r="H235" s="16">
        <f>'00_TONG_HOP_BAO_GIA'!G103</f>
        <v/>
      </c>
      <c r="I235" s="21">
        <f>G235*H235</f>
        <v/>
      </c>
      <c r="J235" s="16">
        <f>IFERROR(INDEX('06_BANG_GIA_VAT_TU_AP_DUNG'!$E$1:$E$5000, MATCH(E235, '06_BANG_GIA_VAT_TU_AP_DUNG'!$B$1:$B$5000, 0)), 0)</f>
        <v/>
      </c>
      <c r="K235" s="16">
        <f>I235*J235</f>
        <v/>
      </c>
      <c r="L235" t="inlineStr">
        <is>
          <t>Lưới chắn côn trùng cổ 950x650mm</t>
        </is>
      </c>
    </row>
    <row r="236">
      <c r="A236" t="inlineStr">
        <is>
          <t>SW-DIFF-103-FRAME</t>
        </is>
      </c>
      <c r="B236" t="inlineStr">
        <is>
          <t>SW-DIFF-103</t>
        </is>
      </c>
      <c r="C236" t="inlineStr">
        <is>
          <t>Khung nhôm định hình Louver (SWL)</t>
        </is>
      </c>
      <c r="D236" t="inlineStr">
        <is>
          <t>NHÔM_ĐỊNH_HÌNH</t>
        </is>
      </c>
      <c r="E236" t="inlineStr">
        <is>
          <t>MAT-ALU-KHUNG-Z-2-LOP</t>
        </is>
      </c>
      <c r="F236" t="inlineStr">
        <is>
          <t>kg</t>
        </is>
      </c>
      <c r="G236" s="20" t="n">
        <v>0.7226319549951338</v>
      </c>
      <c r="H236" s="16">
        <f>'00_TONG_HOP_BAO_GIA'!G104</f>
        <v/>
      </c>
      <c r="I236" s="21">
        <f>G236*H236</f>
        <v/>
      </c>
      <c r="J236" s="16">
        <f>IFERROR(INDEX('06_BANG_GIA_VAT_TU_AP_DUNG'!$E$1:$E$5000, MATCH(E236, '06_BANG_GIA_VAT_TU_AP_DUNG'!$B$1:$B$5000, 0)), 0)</f>
        <v/>
      </c>
      <c r="K236" s="16">
        <f>I236*J236</f>
        <v/>
      </c>
      <c r="L236" t="inlineStr">
        <is>
          <t>Khung Louver phủ bì 1200x350mm</t>
        </is>
      </c>
    </row>
    <row r="237">
      <c r="A237" t="inlineStr">
        <is>
          <t>SW-DIFF-103-BLADE</t>
        </is>
      </c>
      <c r="B237" t="inlineStr">
        <is>
          <t>SW-DIFF-103</t>
        </is>
      </c>
      <c r="C237" t="inlineStr">
        <is>
          <t>Nan Z Louver &amp; thanh tăng cứng (7 nan)</t>
        </is>
      </c>
      <c r="D237" t="inlineStr">
        <is>
          <t>NHÔM_ĐỊNH_HÌNH</t>
        </is>
      </c>
      <c r="E237" t="inlineStr">
        <is>
          <t>MAT-ALU-NAN-Z-DAY</t>
        </is>
      </c>
      <c r="F237" t="inlineStr">
        <is>
          <t>kg</t>
        </is>
      </c>
      <c r="G237" s="20" t="n">
        <v>1.841504873688466</v>
      </c>
      <c r="H237" s="16">
        <f>'00_TONG_HOP_BAO_GIA'!G104</f>
        <v/>
      </c>
      <c r="I237" s="21">
        <f>G237*H237</f>
        <v/>
      </c>
      <c r="J237" s="16">
        <f>IFERROR(INDEX('06_BANG_GIA_VAT_TU_AP_DUNG'!$E$1:$E$5000, MATCH(E237, '06_BANG_GIA_VAT_TU_AP_DUNG'!$B$1:$B$5000, 0)), 0)</f>
        <v/>
      </c>
      <c r="K237" s="16">
        <f>I237*J237</f>
        <v/>
      </c>
      <c r="L237" t="inlineStr">
        <is>
          <t>7 nan Z dày @ 0.217kg/m + thanh giằng</t>
        </is>
      </c>
    </row>
    <row r="238">
      <c r="A238" t="inlineStr">
        <is>
          <t>SW-DIFF-103-ACCESSORY</t>
        </is>
      </c>
      <c r="B238" t="inlineStr">
        <is>
          <t>SW-DIFF-103</t>
        </is>
      </c>
      <c r="C238" t="inlineStr">
        <is>
          <t>Phụ kiện lắp ghép / Ke góc cửa gió</t>
        </is>
      </c>
      <c r="D238" t="inlineStr">
        <is>
          <t>PHỤ_KIỆN_CỬA</t>
        </is>
      </c>
      <c r="E238" t="inlineStr">
        <is>
          <t>MAT-DOOR-ACCESSORY</t>
        </is>
      </c>
      <c r="F238" t="inlineStr">
        <is>
          <t>Bộ</t>
        </is>
      </c>
      <c r="G238" s="20" t="n">
        <v>0.06221167785972292</v>
      </c>
      <c r="H238" s="16">
        <f>'00_TONG_HOP_BAO_GIA'!G104</f>
        <v/>
      </c>
      <c r="I238" s="21">
        <f>G238*H238</f>
        <v/>
      </c>
      <c r="J238" s="16">
        <f>IFERROR(INDEX('06_BANG_GIA_VAT_TU_AP_DUNG'!$E$1:$E$5000, MATCH(E238, '06_BANG_GIA_VAT_TU_AP_DUNG'!$B$1:$B$5000, 0)), 0)</f>
        <v/>
      </c>
      <c r="K238" s="16">
        <f>I238*J238</f>
        <v/>
      </c>
      <c r="L238" t="inlineStr">
        <is>
          <t>Ke góc và vít ghép khung Louver</t>
        </is>
      </c>
    </row>
    <row r="239">
      <c r="A239" t="inlineStr">
        <is>
          <t>SW-DIFF-103-PAINT</t>
        </is>
      </c>
      <c r="B239" t="inlineStr">
        <is>
          <t>SW-DIFF-103</t>
        </is>
      </c>
      <c r="C239" t="inlineStr">
        <is>
          <t>Sơn tĩnh điện tiêu chuẩn Polyester</t>
        </is>
      </c>
      <c r="D239" t="inlineStr">
        <is>
          <t>SƠN_TĨNH_ĐIỆN</t>
        </is>
      </c>
      <c r="E239" t="inlineStr">
        <is>
          <t>MAT-PAINT-POWDER</t>
        </is>
      </c>
      <c r="F239" t="inlineStr">
        <is>
          <t>m2</t>
        </is>
      </c>
      <c r="G239" s="20" t="n">
        <v>0.5092700228317809</v>
      </c>
      <c r="H239" s="16">
        <f>'00_TONG_HOP_BAO_GIA'!G104</f>
        <v/>
      </c>
      <c r="I239" s="21">
        <f>G239*H239</f>
        <v/>
      </c>
      <c r="J239" s="16">
        <f>IFERROR(INDEX('06_BANG_GIA_VAT_TU_AP_DUNG'!$E$1:$E$5000, MATCH(E239, '06_BANG_GIA_VAT_TU_AP_DUNG'!$B$1:$B$5000, 0)), 0)</f>
        <v/>
      </c>
      <c r="K239" s="16">
        <f>I239*J239</f>
        <v/>
      </c>
      <c r="L239" t="inlineStr">
        <is>
          <t>Sơn tĩnh điện khung và nan Louver</t>
        </is>
      </c>
    </row>
    <row r="240">
      <c r="A240" t="inlineStr">
        <is>
          <t>SW-DIFF-103-MESH</t>
        </is>
      </c>
      <c r="B240" t="inlineStr">
        <is>
          <t>SW-DIFF-103</t>
        </is>
      </c>
      <c r="C240" t="inlineStr">
        <is>
          <t>Lưới chắn côn trùng Inox 304 (LCCT)</t>
        </is>
      </c>
      <c r="D240" t="inlineStr">
        <is>
          <t>PHỤ_KIỆN_CỬA</t>
        </is>
      </c>
      <c r="E240" t="inlineStr">
        <is>
          <t>MAT-MESH-INOX-304</t>
        </is>
      </c>
      <c r="F240" t="inlineStr">
        <is>
          <t>m2</t>
        </is>
      </c>
      <c r="G240" s="20" t="n">
        <v>0.217618748692195</v>
      </c>
      <c r="H240" s="16">
        <f>'00_TONG_HOP_BAO_GIA'!G104</f>
        <v/>
      </c>
      <c r="I240" s="21">
        <f>G240*H240</f>
        <v/>
      </c>
      <c r="J240" s="16">
        <f>IFERROR(INDEX('06_BANG_GIA_VAT_TU_AP_DUNG'!$E$1:$E$5000, MATCH(E240, '06_BANG_GIA_VAT_TU_AP_DUNG'!$B$1:$B$5000, 0)), 0)</f>
        <v/>
      </c>
      <c r="K240" s="16">
        <f>I240*J240</f>
        <v/>
      </c>
      <c r="L240" t="inlineStr">
        <is>
          <t>Lưới chắn côn trùng cổ 1150x300mm</t>
        </is>
      </c>
    </row>
    <row r="241">
      <c r="A241" t="inlineStr">
        <is>
          <t>SW-DIFF-104-FRAME</t>
        </is>
      </c>
      <c r="B241" t="inlineStr">
        <is>
          <t>SW-DIFF-104</t>
        </is>
      </c>
      <c r="C241" t="inlineStr">
        <is>
          <t>Khung nhôm định hình Louver (SWL)</t>
        </is>
      </c>
      <c r="D241" t="inlineStr">
        <is>
          <t>NHÔM_ĐỊNH_HÌNH</t>
        </is>
      </c>
      <c r="E241" t="inlineStr">
        <is>
          <t>MAT-ALU-KHUNG-Z-2-LOP</t>
        </is>
      </c>
      <c r="F241" t="inlineStr">
        <is>
          <t>kg</t>
        </is>
      </c>
      <c r="G241" s="20" t="n">
        <v>0.746591299415225</v>
      </c>
      <c r="H241" s="16">
        <f>'00_TONG_HOP_BAO_GIA'!G105</f>
        <v/>
      </c>
      <c r="I241" s="21">
        <f>G241*H241</f>
        <v/>
      </c>
      <c r="J241" s="16">
        <f>IFERROR(INDEX('06_BANG_GIA_VAT_TU_AP_DUNG'!$E$1:$E$5000, MATCH(E241, '06_BANG_GIA_VAT_TU_AP_DUNG'!$B$1:$B$5000, 0)), 0)</f>
        <v/>
      </c>
      <c r="K241" s="16">
        <f>I241*J241</f>
        <v/>
      </c>
      <c r="L241" t="inlineStr">
        <is>
          <t>Khung Louver phủ bì 1200x400mm</t>
        </is>
      </c>
    </row>
    <row r="242">
      <c r="A242" t="inlineStr">
        <is>
          <t>SW-DIFF-104-BLADE</t>
        </is>
      </c>
      <c r="B242" t="inlineStr">
        <is>
          <t>SW-DIFF-104</t>
        </is>
      </c>
      <c r="C242" t="inlineStr">
        <is>
          <t>Nan Z Louver &amp; thanh tăng cứng (8 nan)</t>
        </is>
      </c>
      <c r="D242" t="inlineStr">
        <is>
          <t>NHÔM_ĐỊNH_HÌNH</t>
        </is>
      </c>
      <c r="E242" t="inlineStr">
        <is>
          <t>MAT-ALU-NAN-Z-DAY</t>
        </is>
      </c>
      <c r="F242" t="inlineStr">
        <is>
          <t>kg</t>
        </is>
      </c>
      <c r="G242" s="20" t="n">
        <v>2.106407038372162</v>
      </c>
      <c r="H242" s="16">
        <f>'00_TONG_HOP_BAO_GIA'!G105</f>
        <v/>
      </c>
      <c r="I242" s="21">
        <f>G242*H242</f>
        <v/>
      </c>
      <c r="J242" s="16">
        <f>IFERROR(INDEX('06_BANG_GIA_VAT_TU_AP_DUNG'!$E$1:$E$5000, MATCH(E242, '06_BANG_GIA_VAT_TU_AP_DUNG'!$B$1:$B$5000, 0)), 0)</f>
        <v/>
      </c>
      <c r="K242" s="16">
        <f>I242*J242</f>
        <v/>
      </c>
      <c r="L242" t="inlineStr">
        <is>
          <t>8 nan Z dày @ 0.217kg/m + thanh giằng</t>
        </is>
      </c>
    </row>
    <row r="243">
      <c r="A243" t="inlineStr">
        <is>
          <t>SW-DIFF-104-ACCESSORY</t>
        </is>
      </c>
      <c r="B243" t="inlineStr">
        <is>
          <t>SW-DIFF-104</t>
        </is>
      </c>
      <c r="C243" t="inlineStr">
        <is>
          <t>Phụ kiện lắp ghép / Ke góc cửa gió</t>
        </is>
      </c>
      <c r="D243" t="inlineStr">
        <is>
          <t>PHỤ_KIỆN_CỬA</t>
        </is>
      </c>
      <c r="E243" t="inlineStr">
        <is>
          <t>MAT-DOOR-ACCESSORY</t>
        </is>
      </c>
      <c r="F243" t="inlineStr">
        <is>
          <t>Bộ</t>
        </is>
      </c>
      <c r="G243" s="20" t="n">
        <v>0.07116088476604868</v>
      </c>
      <c r="H243" s="16">
        <f>'00_TONG_HOP_BAO_GIA'!G105</f>
        <v/>
      </c>
      <c r="I243" s="21">
        <f>G243*H243</f>
        <v/>
      </c>
      <c r="J243" s="16">
        <f>IFERROR(INDEX('06_BANG_GIA_VAT_TU_AP_DUNG'!$E$1:$E$5000, MATCH(E243, '06_BANG_GIA_VAT_TU_AP_DUNG'!$B$1:$B$5000, 0)), 0)</f>
        <v/>
      </c>
      <c r="K243" s="16">
        <f>I243*J243</f>
        <v/>
      </c>
      <c r="L243" t="inlineStr">
        <is>
          <t>Ke góc và vít ghép khung Louver</t>
        </is>
      </c>
    </row>
    <row r="244">
      <c r="A244" t="inlineStr">
        <is>
          <t>SW-DIFF-104-PAINT</t>
        </is>
      </c>
      <c r="B244" t="inlineStr">
        <is>
          <t>SW-DIFF-104</t>
        </is>
      </c>
      <c r="C244" t="inlineStr">
        <is>
          <t>Sơn tĩnh điện tiêu chuẩn Polyester</t>
        </is>
      </c>
      <c r="D244" t="inlineStr">
        <is>
          <t>SƠN_TĨNH_ĐIỆN</t>
        </is>
      </c>
      <c r="E244" t="inlineStr">
        <is>
          <t>MAT-PAINT-POWDER</t>
        </is>
      </c>
      <c r="F244" t="inlineStr">
        <is>
          <t>m2</t>
        </is>
      </c>
      <c r="G244" s="20" t="n">
        <v>0.5662397178866433</v>
      </c>
      <c r="H244" s="16">
        <f>'00_TONG_HOP_BAO_GIA'!G105</f>
        <v/>
      </c>
      <c r="I244" s="21">
        <f>G244*H244</f>
        <v/>
      </c>
      <c r="J244" s="16">
        <f>IFERROR(INDEX('06_BANG_GIA_VAT_TU_AP_DUNG'!$E$1:$E$5000, MATCH(E244, '06_BANG_GIA_VAT_TU_AP_DUNG'!$B$1:$B$5000, 0)), 0)</f>
        <v/>
      </c>
      <c r="K244" s="16">
        <f>I244*J244</f>
        <v/>
      </c>
      <c r="L244" t="inlineStr">
        <is>
          <t>Sơn tĩnh điện khung và nan Louver</t>
        </is>
      </c>
    </row>
    <row r="245">
      <c r="A245" t="inlineStr">
        <is>
          <t>SW-DIFF-104-MESH</t>
        </is>
      </c>
      <c r="B245" t="inlineStr">
        <is>
          <t>SW-DIFF-104</t>
        </is>
      </c>
      <c r="C245" t="inlineStr">
        <is>
          <t>Lưới chắn côn trùng Inox 304 (LCCT)</t>
        </is>
      </c>
      <c r="D245" t="inlineStr">
        <is>
          <t>PHỤ_KIỆN_CỬA</t>
        </is>
      </c>
      <c r="E245" t="inlineStr">
        <is>
          <t>MAT-MESH-INOX-304</t>
        </is>
      </c>
      <c r="F245" t="inlineStr">
        <is>
          <t>m2</t>
        </is>
      </c>
      <c r="G245" s="20" t="n">
        <v>0.251098556183302</v>
      </c>
      <c r="H245" s="16">
        <f>'00_TONG_HOP_BAO_GIA'!G105</f>
        <v/>
      </c>
      <c r="I245" s="21">
        <f>G245*H245</f>
        <v/>
      </c>
      <c r="J245" s="16">
        <f>IFERROR(INDEX('06_BANG_GIA_VAT_TU_AP_DUNG'!$E$1:$E$5000, MATCH(E245, '06_BANG_GIA_VAT_TU_AP_DUNG'!$B$1:$B$5000, 0)), 0)</f>
        <v/>
      </c>
      <c r="K245" s="16">
        <f>I245*J245</f>
        <v/>
      </c>
      <c r="L245" t="inlineStr">
        <is>
          <t>Lưới chắn côn trùng cổ 1150x350mm</t>
        </is>
      </c>
    </row>
    <row r="246">
      <c r="A246" t="inlineStr">
        <is>
          <t>SW-DIFF-105-FRAME</t>
        </is>
      </c>
      <c r="B246" t="inlineStr">
        <is>
          <t>SW-DIFF-105</t>
        </is>
      </c>
      <c r="C246" t="inlineStr">
        <is>
          <t>Khung nhôm định hình Louver (SWL)</t>
        </is>
      </c>
      <c r="D246" t="inlineStr">
        <is>
          <t>NHÔM_ĐỊNH_HÌNH</t>
        </is>
      </c>
      <c r="E246" t="inlineStr">
        <is>
          <t>MAT-ALU-KHUNG-Z-2-LOP</t>
        </is>
      </c>
      <c r="F246" t="inlineStr">
        <is>
          <t>kg</t>
        </is>
      </c>
      <c r="G246" s="20" t="n">
        <v>1.399843252054849</v>
      </c>
      <c r="H246" s="16">
        <f>'00_TONG_HOP_BAO_GIA'!G106</f>
        <v/>
      </c>
      <c r="I246" s="21">
        <f>G246*H246</f>
        <v/>
      </c>
      <c r="J246" s="16">
        <f>IFERROR(INDEX('06_BANG_GIA_VAT_TU_AP_DUNG'!$E$1:$E$5000, MATCH(E246, '06_BANG_GIA_VAT_TU_AP_DUNG'!$B$1:$B$5000, 0)), 0)</f>
        <v/>
      </c>
      <c r="K246" s="16">
        <f>I246*J246</f>
        <v/>
      </c>
      <c r="L246" t="inlineStr">
        <is>
          <t>Khung Louver phủ bì 2500x500mm</t>
        </is>
      </c>
    </row>
    <row r="247">
      <c r="A247" t="inlineStr">
        <is>
          <t>SW-DIFF-105-BLADE</t>
        </is>
      </c>
      <c r="B247" t="inlineStr">
        <is>
          <t>SW-DIFF-105</t>
        </is>
      </c>
      <c r="C247" t="inlineStr">
        <is>
          <t>Nan Z Louver &amp; thanh tăng cứng (10 nan)</t>
        </is>
      </c>
      <c r="D247" t="inlineStr">
        <is>
          <t>NHÔM_ĐỊNH_HÌNH</t>
        </is>
      </c>
      <c r="E247" t="inlineStr">
        <is>
          <t>MAT-ALU-NAN-Z-DAY</t>
        </is>
      </c>
      <c r="F247" t="inlineStr">
        <is>
          <t>kg</t>
        </is>
      </c>
      <c r="G247" s="20" t="n">
        <v>5.532361422291366</v>
      </c>
      <c r="H247" s="16">
        <f>'00_TONG_HOP_BAO_GIA'!G106</f>
        <v/>
      </c>
      <c r="I247" s="21">
        <f>G247*H247</f>
        <v/>
      </c>
      <c r="J247" s="16">
        <f>IFERROR(INDEX('06_BANG_GIA_VAT_TU_AP_DUNG'!$E$1:$E$5000, MATCH(E247, '06_BANG_GIA_VAT_TU_AP_DUNG'!$B$1:$B$5000, 0)), 0)</f>
        <v/>
      </c>
      <c r="K247" s="16">
        <f>I247*J247</f>
        <v/>
      </c>
      <c r="L247" t="inlineStr">
        <is>
          <t>10 nan Z dày @ 0.217kg/m + thanh giằng</t>
        </is>
      </c>
    </row>
    <row r="248">
      <c r="A248" t="inlineStr">
        <is>
          <t>SW-DIFF-105-ACCESSORY</t>
        </is>
      </c>
      <c r="B248" t="inlineStr">
        <is>
          <t>SW-DIFF-105</t>
        </is>
      </c>
      <c r="C248" t="inlineStr">
        <is>
          <t>Phụ kiện lắp ghép / Ke góc cửa gió</t>
        </is>
      </c>
      <c r="D248" t="inlineStr">
        <is>
          <t>PHỤ_KIỆN_CỬA</t>
        </is>
      </c>
      <c r="E248" t="inlineStr">
        <is>
          <t>MAT-DOOR-ACCESSORY</t>
        </is>
      </c>
      <c r="F248" t="inlineStr">
        <is>
          <t>Bộ</t>
        </is>
      </c>
      <c r="G248" s="20" t="n">
        <v>0.08895012521400454</v>
      </c>
      <c r="H248" s="16">
        <f>'00_TONG_HOP_BAO_GIA'!G106</f>
        <v/>
      </c>
      <c r="I248" s="21">
        <f>G248*H248</f>
        <v/>
      </c>
      <c r="J248" s="16">
        <f>IFERROR(INDEX('06_BANG_GIA_VAT_TU_AP_DUNG'!$E$1:$E$5000, MATCH(E248, '06_BANG_GIA_VAT_TU_AP_DUNG'!$B$1:$B$5000, 0)), 0)</f>
        <v/>
      </c>
      <c r="K248" s="16">
        <f>I248*J248</f>
        <v/>
      </c>
      <c r="L248" t="inlineStr">
        <is>
          <t>Ke góc và vít ghép khung Louver</t>
        </is>
      </c>
    </row>
    <row r="249">
      <c r="A249" t="inlineStr">
        <is>
          <t>SW-DIFF-105-PAINT</t>
        </is>
      </c>
      <c r="B249" t="inlineStr">
        <is>
          <t>SW-DIFF-105</t>
        </is>
      </c>
      <c r="C249" t="inlineStr">
        <is>
          <t>Sơn tĩnh điện tiêu chuẩn Polyester</t>
        </is>
      </c>
      <c r="D249" t="inlineStr">
        <is>
          <t>SƠN_TĨNH_ĐIỆN</t>
        </is>
      </c>
      <c r="E249" t="inlineStr">
        <is>
          <t>MAT-PAINT-POWDER</t>
        </is>
      </c>
      <c r="F249" t="inlineStr">
        <is>
          <t>m2</t>
        </is>
      </c>
      <c r="G249" s="20" t="n">
        <v>1.39323104358726</v>
      </c>
      <c r="H249" s="16">
        <f>'00_TONG_HOP_BAO_GIA'!G106</f>
        <v/>
      </c>
      <c r="I249" s="21">
        <f>G249*H249</f>
        <v/>
      </c>
      <c r="J249" s="16">
        <f>IFERROR(INDEX('06_BANG_GIA_VAT_TU_AP_DUNG'!$E$1:$E$5000, MATCH(E249, '06_BANG_GIA_VAT_TU_AP_DUNG'!$B$1:$B$5000, 0)), 0)</f>
        <v/>
      </c>
      <c r="K249" s="16">
        <f>I249*J249</f>
        <v/>
      </c>
      <c r="L249" t="inlineStr">
        <is>
          <t>Sơn tĩnh điện khung và nan Louver</t>
        </is>
      </c>
    </row>
    <row r="250">
      <c r="A250" t="inlineStr">
        <is>
          <t>SW-DIFF-105-MESH</t>
        </is>
      </c>
      <c r="B250" t="inlineStr">
        <is>
          <t>SW-DIFF-105</t>
        </is>
      </c>
      <c r="C250" t="inlineStr">
        <is>
          <t>Lưới chắn côn trùng Inox 304 (LCCT)</t>
        </is>
      </c>
      <c r="D250" t="inlineStr">
        <is>
          <t>PHỤ_KIỆN_CỬA</t>
        </is>
      </c>
      <c r="E250" t="inlineStr">
        <is>
          <t>MAT-MESH-INOX-304</t>
        </is>
      </c>
      <c r="F250" t="inlineStr">
        <is>
          <t>m2</t>
        </is>
      </c>
      <c r="G250" s="20" t="n">
        <v>0.6905210295040803</v>
      </c>
      <c r="H250" s="16">
        <f>'00_TONG_HOP_BAO_GIA'!G106</f>
        <v/>
      </c>
      <c r="I250" s="21">
        <f>G250*H250</f>
        <v/>
      </c>
      <c r="J250" s="16">
        <f>IFERROR(INDEX('06_BANG_GIA_VAT_TU_AP_DUNG'!$E$1:$E$5000, MATCH(E250, '06_BANG_GIA_VAT_TU_AP_DUNG'!$B$1:$B$5000, 0)), 0)</f>
        <v/>
      </c>
      <c r="K250" s="16">
        <f>I250*J250</f>
        <v/>
      </c>
      <c r="L250" t="inlineStr">
        <is>
          <t>Lưới chắn côn trùng cổ 2450x450mm</t>
        </is>
      </c>
    </row>
    <row r="251">
      <c r="A251" t="inlineStr">
        <is>
          <t>SW-DIFF-106-FRAME</t>
        </is>
      </c>
      <c r="B251" t="inlineStr">
        <is>
          <t>SW-DIFF-106</t>
        </is>
      </c>
      <c r="C251" t="inlineStr">
        <is>
          <t>Khung nhôm định hình Louver (SWL)</t>
        </is>
      </c>
      <c r="D251" t="inlineStr">
        <is>
          <t>NHÔM_ĐỊNH_HÌNH</t>
        </is>
      </c>
      <c r="E251" t="inlineStr">
        <is>
          <t>MAT-ALU-KHUNG-Z-2-LOP</t>
        </is>
      </c>
      <c r="F251" t="inlineStr">
        <is>
          <t>kg</t>
        </is>
      </c>
      <c r="G251" s="20" t="n">
        <v>0.5124962818298662</v>
      </c>
      <c r="H251" s="16">
        <f>'00_TONG_HOP_BAO_GIA'!G107</f>
        <v/>
      </c>
      <c r="I251" s="21">
        <f>G251*H251</f>
        <v/>
      </c>
      <c r="J251" s="16">
        <f>IFERROR(INDEX('06_BANG_GIA_VAT_TU_AP_DUNG'!$E$1:$E$5000, MATCH(E251, '06_BANG_GIA_VAT_TU_AP_DUNG'!$B$1:$B$5000, 0)), 0)</f>
        <v/>
      </c>
      <c r="K251" s="16">
        <f>I251*J251</f>
        <v/>
      </c>
      <c r="L251" t="inlineStr">
        <is>
          <t>Khung Louver phủ bì 800x300mm</t>
        </is>
      </c>
    </row>
    <row r="252">
      <c r="A252" t="inlineStr">
        <is>
          <t>SW-DIFF-106-BLADE</t>
        </is>
      </c>
      <c r="B252" t="inlineStr">
        <is>
          <t>SW-DIFF-106</t>
        </is>
      </c>
      <c r="C252" t="inlineStr">
        <is>
          <t>Nan Z Louver &amp; thanh tăng cứng (6 nan)</t>
        </is>
      </c>
      <c r="D252" t="inlineStr">
        <is>
          <t>NHÔM_ĐỊNH_HÌNH</t>
        </is>
      </c>
      <c r="E252" t="inlineStr">
        <is>
          <t>MAT-ALU-NAN-Z-DAY</t>
        </is>
      </c>
      <c r="F252" t="inlineStr">
        <is>
          <t>kg</t>
        </is>
      </c>
      <c r="G252" s="20" t="n">
        <v>1.04293095974781</v>
      </c>
      <c r="H252" s="16">
        <f>'00_TONG_HOP_BAO_GIA'!G107</f>
        <v/>
      </c>
      <c r="I252" s="21">
        <f>G252*H252</f>
        <v/>
      </c>
      <c r="J252" s="16">
        <f>IFERROR(INDEX('06_BANG_GIA_VAT_TU_AP_DUNG'!$E$1:$E$5000, MATCH(E252, '06_BANG_GIA_VAT_TU_AP_DUNG'!$B$1:$B$5000, 0)), 0)</f>
        <v/>
      </c>
      <c r="K252" s="16">
        <f>I252*J252</f>
        <v/>
      </c>
      <c r="L252" t="inlineStr">
        <is>
          <t>6 nan Z dày @ 0.217kg/m + thanh giằng</t>
        </is>
      </c>
    </row>
    <row r="253">
      <c r="A253" t="inlineStr">
        <is>
          <t>SW-DIFF-106-ACCESSORY</t>
        </is>
      </c>
      <c r="B253" t="inlineStr">
        <is>
          <t>SW-DIFF-106</t>
        </is>
      </c>
      <c r="C253" t="inlineStr">
        <is>
          <t>Phụ kiện lắp ghép / Ke góc cửa gió</t>
        </is>
      </c>
      <c r="D253" t="inlineStr">
        <is>
          <t>PHỤ_KIỆN_CỬA</t>
        </is>
      </c>
      <c r="E253" t="inlineStr">
        <is>
          <t>MAT-DOOR-ACCESSORY</t>
        </is>
      </c>
      <c r="F253" t="inlineStr">
        <is>
          <t>Bộ</t>
        </is>
      </c>
      <c r="G253" s="20" t="n">
        <v>0.05328901521484319</v>
      </c>
      <c r="H253" s="16">
        <f>'00_TONG_HOP_BAO_GIA'!G107</f>
        <v/>
      </c>
      <c r="I253" s="21">
        <f>G253*H253</f>
        <v/>
      </c>
      <c r="J253" s="16">
        <f>IFERROR(INDEX('06_BANG_GIA_VAT_TU_AP_DUNG'!$E$1:$E$5000, MATCH(E253, '06_BANG_GIA_VAT_TU_AP_DUNG'!$B$1:$B$5000, 0)), 0)</f>
        <v/>
      </c>
      <c r="K253" s="16">
        <f>I253*J253</f>
        <v/>
      </c>
      <c r="L253" t="inlineStr">
        <is>
          <t>Ke góc và vít ghép khung Louver</t>
        </is>
      </c>
    </row>
    <row r="254">
      <c r="A254" t="inlineStr">
        <is>
          <t>SW-DIFF-106-PAINT</t>
        </is>
      </c>
      <c r="B254" t="inlineStr">
        <is>
          <t>SW-DIFF-106</t>
        </is>
      </c>
      <c r="C254" t="inlineStr">
        <is>
          <t>Sơn tĩnh điện tiêu chuẩn Polyester</t>
        </is>
      </c>
      <c r="D254" t="inlineStr">
        <is>
          <t>SƠN_TĨNH_ĐIỆN</t>
        </is>
      </c>
      <c r="E254" t="inlineStr">
        <is>
          <t>MAT-PAINT-POWDER</t>
        </is>
      </c>
      <c r="F254" t="inlineStr">
        <is>
          <t>m2</t>
        </is>
      </c>
      <c r="G254" s="20" t="n">
        <v>0.3057075865783914</v>
      </c>
      <c r="H254" s="16">
        <f>'00_TONG_HOP_BAO_GIA'!G107</f>
        <v/>
      </c>
      <c r="I254" s="21">
        <f>G254*H254</f>
        <v/>
      </c>
      <c r="J254" s="16">
        <f>IFERROR(INDEX('06_BANG_GIA_VAT_TU_AP_DUNG'!$E$1:$E$5000, MATCH(E254, '06_BANG_GIA_VAT_TU_AP_DUNG'!$B$1:$B$5000, 0)), 0)</f>
        <v/>
      </c>
      <c r="K254" s="16">
        <f>I254*J254</f>
        <v/>
      </c>
      <c r="L254" t="inlineStr">
        <is>
          <t>Sơn tĩnh điện khung và nan Louver</t>
        </is>
      </c>
    </row>
    <row r="255">
      <c r="A255" t="inlineStr">
        <is>
          <t>SW-DIFF-106-MESH</t>
        </is>
      </c>
      <c r="B255" t="inlineStr">
        <is>
          <t>SW-DIFF-106</t>
        </is>
      </c>
      <c r="C255" t="inlineStr">
        <is>
          <t>Lưới chắn côn trùng Inox 304 (LCCT)</t>
        </is>
      </c>
      <c r="D255" t="inlineStr">
        <is>
          <t>PHỤ_KIỆN_CỬA</t>
        </is>
      </c>
      <c r="E255" t="inlineStr">
        <is>
          <t>MAT-MESH-INOX-304</t>
        </is>
      </c>
      <c r="F255" t="inlineStr">
        <is>
          <t>m2</t>
        </is>
      </c>
      <c r="G255" s="20" t="n">
        <v>0.1171793262188742</v>
      </c>
      <c r="H255" s="16">
        <f>'00_TONG_HOP_BAO_GIA'!G107</f>
        <v/>
      </c>
      <c r="I255" s="21">
        <f>G255*H255</f>
        <v/>
      </c>
      <c r="J255" s="16">
        <f>IFERROR(INDEX('06_BANG_GIA_VAT_TU_AP_DUNG'!$E$1:$E$5000, MATCH(E255, '06_BANG_GIA_VAT_TU_AP_DUNG'!$B$1:$B$5000, 0)), 0)</f>
        <v/>
      </c>
      <c r="K255" s="16">
        <f>I255*J255</f>
        <v/>
      </c>
      <c r="L255" t="inlineStr">
        <is>
          <t>Lưới chắn côn trùng cổ 750x250mm</t>
        </is>
      </c>
    </row>
    <row r="256">
      <c r="A256" t="inlineStr">
        <is>
          <t>SW-DIFF-107-FRAME</t>
        </is>
      </c>
      <c r="B256" t="inlineStr">
        <is>
          <t>SW-DIFF-107</t>
        </is>
      </c>
      <c r="C256" t="inlineStr">
        <is>
          <t>Khung nhôm định hình Louver (SWL)</t>
        </is>
      </c>
      <c r="D256" t="inlineStr">
        <is>
          <t>NHÔM_ĐỊNH_HÌNH</t>
        </is>
      </c>
      <c r="E256" t="inlineStr">
        <is>
          <t>MAT-ALU-KHUNG-Z-2-LOP</t>
        </is>
      </c>
      <c r="F256" t="inlineStr">
        <is>
          <t>kg</t>
        </is>
      </c>
      <c r="G256" s="20" t="n">
        <v>0.6536427752534737</v>
      </c>
      <c r="H256" s="16">
        <f>'00_TONG_HOP_BAO_GIA'!G108</f>
        <v/>
      </c>
      <c r="I256" s="21">
        <f>G256*H256</f>
        <v/>
      </c>
      <c r="J256" s="16">
        <f>IFERROR(INDEX('06_BANG_GIA_VAT_TU_AP_DUNG'!$E$1:$E$5000, MATCH(E256, '06_BANG_GIA_VAT_TU_AP_DUNG'!$B$1:$B$5000, 0)), 0)</f>
        <v/>
      </c>
      <c r="K256" s="16">
        <f>I256*J256</f>
        <v/>
      </c>
      <c r="L256" t="inlineStr">
        <is>
          <t>Khung Louver phủ bì 1000x400mm</t>
        </is>
      </c>
    </row>
    <row r="257">
      <c r="A257" t="inlineStr">
        <is>
          <t>SW-DIFF-107-BLADE</t>
        </is>
      </c>
      <c r="B257" t="inlineStr">
        <is>
          <t>SW-DIFF-107</t>
        </is>
      </c>
      <c r="C257" t="inlineStr">
        <is>
          <t>Nan Z Louver &amp; thanh tăng cứng (8 nan)</t>
        </is>
      </c>
      <c r="D257" t="inlineStr">
        <is>
          <t>NHÔM_ĐỊNH_HÌNH</t>
        </is>
      </c>
      <c r="E257" t="inlineStr">
        <is>
          <t>MAT-ALU-NAN-Z-DAY</t>
        </is>
      </c>
      <c r="F257" t="inlineStr">
        <is>
          <t>kg</t>
        </is>
      </c>
      <c r="G257" s="20" t="n">
        <v>1.750561481666887</v>
      </c>
      <c r="H257" s="16">
        <f>'00_TONG_HOP_BAO_GIA'!G108</f>
        <v/>
      </c>
      <c r="I257" s="21">
        <f>G257*H257</f>
        <v/>
      </c>
      <c r="J257" s="16">
        <f>IFERROR(INDEX('06_BANG_GIA_VAT_TU_AP_DUNG'!$E$1:$E$5000, MATCH(E257, '06_BANG_GIA_VAT_TU_AP_DUNG'!$B$1:$B$5000, 0)), 0)</f>
        <v/>
      </c>
      <c r="K257" s="16">
        <f>I257*J257</f>
        <v/>
      </c>
      <c r="L257" t="inlineStr">
        <is>
          <t>8 nan Z dày @ 0.217kg/m + thanh giằng</t>
        </is>
      </c>
    </row>
    <row r="258">
      <c r="A258" t="inlineStr">
        <is>
          <t>SW-DIFF-107-ACCESSORY</t>
        </is>
      </c>
      <c r="B258" t="inlineStr">
        <is>
          <t>SW-DIFF-107</t>
        </is>
      </c>
      <c r="C258" t="inlineStr">
        <is>
          <t>Phụ kiện lắp ghép / Ke góc cửa gió</t>
        </is>
      </c>
      <c r="D258" t="inlineStr">
        <is>
          <t>PHỤ_KIỆN_CỬA</t>
        </is>
      </c>
      <c r="E258" t="inlineStr">
        <is>
          <t>MAT-DOOR-ACCESSORY</t>
        </is>
      </c>
      <c r="F258" t="inlineStr">
        <is>
          <t>Bộ</t>
        </is>
      </c>
      <c r="G258" s="20" t="n">
        <v>0.07120177607887258</v>
      </c>
      <c r="H258" s="16">
        <f>'00_TONG_HOP_BAO_GIA'!G108</f>
        <v/>
      </c>
      <c r="I258" s="21">
        <f>G258*H258</f>
        <v/>
      </c>
      <c r="J258" s="16">
        <f>IFERROR(INDEX('06_BANG_GIA_VAT_TU_AP_DUNG'!$E$1:$E$5000, MATCH(E258, '06_BANG_GIA_VAT_TU_AP_DUNG'!$B$1:$B$5000, 0)), 0)</f>
        <v/>
      </c>
      <c r="K258" s="16">
        <f>I258*J258</f>
        <v/>
      </c>
      <c r="L258" t="inlineStr">
        <is>
          <t>Ke góc và vít ghép khung Louver</t>
        </is>
      </c>
    </row>
    <row r="259">
      <c r="A259" t="inlineStr">
        <is>
          <t>SW-DIFF-107-PAINT</t>
        </is>
      </c>
      <c r="B259" t="inlineStr">
        <is>
          <t>SW-DIFF-107</t>
        </is>
      </c>
      <c r="C259" t="inlineStr">
        <is>
          <t>Sơn tĩnh điện tiêu chuẩn Polyester</t>
        </is>
      </c>
      <c r="D259" t="inlineStr">
        <is>
          <t>SƠN_TĨNH_ĐIỆN</t>
        </is>
      </c>
      <c r="E259" t="inlineStr">
        <is>
          <t>MAT-PAINT-POWDER</t>
        </is>
      </c>
      <c r="F259" t="inlineStr">
        <is>
          <t>m2</t>
        </is>
      </c>
      <c r="G259" s="20" t="n">
        <v>0.4748404563302319</v>
      </c>
      <c r="H259" s="16">
        <f>'00_TONG_HOP_BAO_GIA'!G108</f>
        <v/>
      </c>
      <c r="I259" s="21">
        <f>G259*H259</f>
        <v/>
      </c>
      <c r="J259" s="16">
        <f>IFERROR(INDEX('06_BANG_GIA_VAT_TU_AP_DUNG'!$E$1:$E$5000, MATCH(E259, '06_BANG_GIA_VAT_TU_AP_DUNG'!$B$1:$B$5000, 0)), 0)</f>
        <v/>
      </c>
      <c r="K259" s="16">
        <f>I259*J259</f>
        <v/>
      </c>
      <c r="L259" t="inlineStr">
        <is>
          <t>Sơn tĩnh điện khung và nan Louver</t>
        </is>
      </c>
    </row>
    <row r="260">
      <c r="A260" t="inlineStr">
        <is>
          <t>SW-DIFF-107-MESH</t>
        </is>
      </c>
      <c r="B260" t="inlineStr">
        <is>
          <t>SW-DIFF-107</t>
        </is>
      </c>
      <c r="C260" t="inlineStr">
        <is>
          <t>Lưới chắn côn trùng Inox 304 (LCCT)</t>
        </is>
      </c>
      <c r="D260" t="inlineStr">
        <is>
          <t>PHỤ_KIỆN_CỬA</t>
        </is>
      </c>
      <c r="E260" t="inlineStr">
        <is>
          <t>MAT-MESH-INOX-304</t>
        </is>
      </c>
      <c r="F260" t="inlineStr">
        <is>
          <t>m2</t>
        </is>
      </c>
      <c r="G260" s="20" t="n">
        <v>0.2092487968194183</v>
      </c>
      <c r="H260" s="16">
        <f>'00_TONG_HOP_BAO_GIA'!G108</f>
        <v/>
      </c>
      <c r="I260" s="21">
        <f>G260*H260</f>
        <v/>
      </c>
      <c r="J260" s="16">
        <f>IFERROR(INDEX('06_BANG_GIA_VAT_TU_AP_DUNG'!$E$1:$E$5000, MATCH(E260, '06_BANG_GIA_VAT_TU_AP_DUNG'!$B$1:$B$5000, 0)), 0)</f>
        <v/>
      </c>
      <c r="K260" s="16">
        <f>I260*J260</f>
        <v/>
      </c>
      <c r="L260" t="inlineStr">
        <is>
          <t>Lưới chắn côn trùng cổ 950x350mm</t>
        </is>
      </c>
    </row>
    <row r="261">
      <c r="A261" t="inlineStr">
        <is>
          <t>SW-DIFF-108-FRAME</t>
        </is>
      </c>
      <c r="B261" t="inlineStr">
        <is>
          <t>SW-DIFF-108</t>
        </is>
      </c>
      <c r="C261" t="inlineStr">
        <is>
          <t>Khung nhôm định hình Louver (SWL)</t>
        </is>
      </c>
      <c r="D261" t="inlineStr">
        <is>
          <t>NHÔM_ĐỊNH_HÌNH</t>
        </is>
      </c>
      <c r="E261" t="inlineStr">
        <is>
          <t>MAT-ALU-KHUNG-Z-2-LOP</t>
        </is>
      </c>
      <c r="F261" t="inlineStr">
        <is>
          <t>kg</t>
        </is>
      </c>
      <c r="G261" s="20" t="n">
        <v>0.6527326671408326</v>
      </c>
      <c r="H261" s="16">
        <f>'00_TONG_HOP_BAO_GIA'!G109</f>
        <v/>
      </c>
      <c r="I261" s="21">
        <f>G261*H261</f>
        <v/>
      </c>
      <c r="J261" s="16">
        <f>IFERROR(INDEX('06_BANG_GIA_VAT_TU_AP_DUNG'!$E$1:$E$5000, MATCH(E261, '06_BANG_GIA_VAT_TU_AP_DUNG'!$B$1:$B$5000, 0)), 0)</f>
        <v/>
      </c>
      <c r="K261" s="16">
        <f>I261*J261</f>
        <v/>
      </c>
      <c r="L261" t="inlineStr">
        <is>
          <t>Khung Louver phủ bì 1100x300mm</t>
        </is>
      </c>
    </row>
    <row r="262">
      <c r="A262" t="inlineStr">
        <is>
          <t>SW-DIFF-108-BLADE</t>
        </is>
      </c>
      <c r="B262" t="inlineStr">
        <is>
          <t>SW-DIFF-108</t>
        </is>
      </c>
      <c r="C262" t="inlineStr">
        <is>
          <t>Nan Z Louver &amp; thanh tăng cứng (6 nan)</t>
        </is>
      </c>
      <c r="D262" t="inlineStr">
        <is>
          <t>NHÔM_ĐỊNH_HÌNH</t>
        </is>
      </c>
      <c r="E262" t="inlineStr">
        <is>
          <t>MAT-ALU-NAN-Z-DAY</t>
        </is>
      </c>
      <c r="F262" t="inlineStr">
        <is>
          <t>kg</t>
        </is>
      </c>
      <c r="G262" s="20" t="n">
        <v>1.444802603440992</v>
      </c>
      <c r="H262" s="16">
        <f>'00_TONG_HOP_BAO_GIA'!G109</f>
        <v/>
      </c>
      <c r="I262" s="21">
        <f>G262*H262</f>
        <v/>
      </c>
      <c r="J262" s="16">
        <f>IFERROR(INDEX('06_BANG_GIA_VAT_TU_AP_DUNG'!$E$1:$E$5000, MATCH(E262, '06_BANG_GIA_VAT_TU_AP_DUNG'!$B$1:$B$5000, 0)), 0)</f>
        <v/>
      </c>
      <c r="K262" s="16">
        <f>I262*J262</f>
        <v/>
      </c>
      <c r="L262" t="inlineStr">
        <is>
          <t>6 nan Z dày @ 0.217kg/m + thanh giằng</t>
        </is>
      </c>
    </row>
    <row r="263">
      <c r="A263" t="inlineStr">
        <is>
          <t>SW-DIFF-108-ACCESSORY</t>
        </is>
      </c>
      <c r="B263" t="inlineStr">
        <is>
          <t>SW-DIFF-108</t>
        </is>
      </c>
      <c r="C263" t="inlineStr">
        <is>
          <t>Phụ kiện lắp ghép / Ke góc cửa gió</t>
        </is>
      </c>
      <c r="D263" t="inlineStr">
        <is>
          <t>PHỤ_KIỆN_CỬA</t>
        </is>
      </c>
      <c r="E263" t="inlineStr">
        <is>
          <t>MAT-DOOR-ACCESSORY</t>
        </is>
      </c>
      <c r="F263" t="inlineStr">
        <is>
          <t>Bộ</t>
        </is>
      </c>
      <c r="G263" s="20" t="n">
        <v>0.0533269780123067</v>
      </c>
      <c r="H263" s="16">
        <f>'00_TONG_HOP_BAO_GIA'!G109</f>
        <v/>
      </c>
      <c r="I263" s="21">
        <f>G263*H263</f>
        <v/>
      </c>
      <c r="J263" s="16">
        <f>IFERROR(INDEX('06_BANG_GIA_VAT_TU_AP_DUNG'!$E$1:$E$5000, MATCH(E263, '06_BANG_GIA_VAT_TU_AP_DUNG'!$B$1:$B$5000, 0)), 0)</f>
        <v/>
      </c>
      <c r="K263" s="16">
        <f>I263*J263</f>
        <v/>
      </c>
      <c r="L263" t="inlineStr">
        <is>
          <t>Ke góc và vít ghép khung Louver</t>
        </is>
      </c>
    </row>
    <row r="264">
      <c r="A264" t="inlineStr">
        <is>
          <t>SW-DIFF-108-PAINT</t>
        </is>
      </c>
      <c r="B264" t="inlineStr">
        <is>
          <t>SW-DIFF-108</t>
        </is>
      </c>
      <c r="C264" t="inlineStr">
        <is>
          <t>Sơn tĩnh điện tiêu chuẩn Polyester</t>
        </is>
      </c>
      <c r="D264" t="inlineStr">
        <is>
          <t>SƠN_TĨNH_ĐIỆN</t>
        </is>
      </c>
      <c r="E264" t="inlineStr">
        <is>
          <t>MAT-PAINT-POWDER</t>
        </is>
      </c>
      <c r="F264" t="inlineStr">
        <is>
          <t>m2</t>
        </is>
      </c>
      <c r="G264" s="20" t="n">
        <v>0.4160926337706918</v>
      </c>
      <c r="H264" s="16">
        <f>'00_TONG_HOP_BAO_GIA'!G109</f>
        <v/>
      </c>
      <c r="I264" s="21">
        <f>G264*H264</f>
        <v/>
      </c>
      <c r="J264" s="16">
        <f>IFERROR(INDEX('06_BANG_GIA_VAT_TU_AP_DUNG'!$E$1:$E$5000, MATCH(E264, '06_BANG_GIA_VAT_TU_AP_DUNG'!$B$1:$B$5000, 0)), 0)</f>
        <v/>
      </c>
      <c r="K264" s="16">
        <f>I264*J264</f>
        <v/>
      </c>
      <c r="L264" t="inlineStr">
        <is>
          <t>Sơn tĩnh điện khung và nan Louver</t>
        </is>
      </c>
    </row>
    <row r="265">
      <c r="A265" t="inlineStr">
        <is>
          <t>SW-DIFF-108-MESH</t>
        </is>
      </c>
      <c r="B265" t="inlineStr">
        <is>
          <t>SW-DIFF-108</t>
        </is>
      </c>
      <c r="C265" t="inlineStr">
        <is>
          <t>Lưới chắn côn trùng Inox 304 (LCCT)</t>
        </is>
      </c>
      <c r="D265" t="inlineStr">
        <is>
          <t>PHỤ_KIỆN_CỬA</t>
        </is>
      </c>
      <c r="E265" t="inlineStr">
        <is>
          <t>MAT-MESH-INOX-304</t>
        </is>
      </c>
      <c r="F265" t="inlineStr">
        <is>
          <t>m2</t>
        </is>
      </c>
      <c r="G265" s="20" t="n">
        <v>0.1632140615191463</v>
      </c>
      <c r="H265" s="16">
        <f>'00_TONG_HOP_BAO_GIA'!G109</f>
        <v/>
      </c>
      <c r="I265" s="21">
        <f>G265*H265</f>
        <v/>
      </c>
      <c r="J265" s="16">
        <f>IFERROR(INDEX('06_BANG_GIA_VAT_TU_AP_DUNG'!$E$1:$E$5000, MATCH(E265, '06_BANG_GIA_VAT_TU_AP_DUNG'!$B$1:$B$5000, 0)), 0)</f>
        <v/>
      </c>
      <c r="K265" s="16">
        <f>I265*J265</f>
        <v/>
      </c>
      <c r="L265" t="inlineStr">
        <is>
          <t>Lưới chắn côn trùng cổ 1050x250mm</t>
        </is>
      </c>
    </row>
    <row r="266">
      <c r="A266" t="inlineStr">
        <is>
          <t>SW-DIFF-109-FRAME</t>
        </is>
      </c>
      <c r="B266" t="inlineStr">
        <is>
          <t>SW-DIFF-109</t>
        </is>
      </c>
      <c r="C266" t="inlineStr">
        <is>
          <t>Khung nhôm định hình Louver (SWL)</t>
        </is>
      </c>
      <c r="D266" t="inlineStr">
        <is>
          <t>NHÔM_ĐỊNH_HÌNH</t>
        </is>
      </c>
      <c r="E266" t="inlineStr">
        <is>
          <t>MAT-ALU-KHUNG-Z-2-LOP</t>
        </is>
      </c>
      <c r="F266" t="inlineStr">
        <is>
          <t>kg</t>
        </is>
      </c>
      <c r="G266" s="20" t="n">
        <v>1.865654662602022</v>
      </c>
      <c r="H266" s="16">
        <f>'00_TONG_HOP_BAO_GIA'!G110</f>
        <v/>
      </c>
      <c r="I266" s="21">
        <f>G266*H266</f>
        <v/>
      </c>
      <c r="J266" s="16">
        <f>IFERROR(INDEX('06_BANG_GIA_VAT_TU_AP_DUNG'!$E$1:$E$5000, MATCH(E266, '06_BANG_GIA_VAT_TU_AP_DUNG'!$B$1:$B$5000, 0)), 0)</f>
        <v/>
      </c>
      <c r="K266" s="16">
        <f>I266*J266</f>
        <v/>
      </c>
      <c r="L266" t="inlineStr">
        <is>
          <t>Khung Louver phủ bì 3500x500mm</t>
        </is>
      </c>
    </row>
    <row r="267">
      <c r="A267" t="inlineStr">
        <is>
          <t>SW-DIFF-109-BLADE</t>
        </is>
      </c>
      <c r="B267" t="inlineStr">
        <is>
          <t>SW-DIFF-109</t>
        </is>
      </c>
      <c r="C267" t="inlineStr">
        <is>
          <t>Nan Z Louver &amp; thanh tăng cứng (10 nan)</t>
        </is>
      </c>
      <c r="D267" t="inlineStr">
        <is>
          <t>NHÔM_ĐỊNH_HÌNH</t>
        </is>
      </c>
      <c r="E267" t="inlineStr">
        <is>
          <t>MAT-ALU-NAN-Z-DAY</t>
        </is>
      </c>
      <c r="F267" t="inlineStr">
        <is>
          <t>kg</t>
        </is>
      </c>
      <c r="G267" s="20" t="n">
        <v>7.759315272962859</v>
      </c>
      <c r="H267" s="16">
        <f>'00_TONG_HOP_BAO_GIA'!G110</f>
        <v/>
      </c>
      <c r="I267" s="21">
        <f>G267*H267</f>
        <v/>
      </c>
      <c r="J267" s="16">
        <f>IFERROR(INDEX('06_BANG_GIA_VAT_TU_AP_DUNG'!$E$1:$E$5000, MATCH(E267, '06_BANG_GIA_VAT_TU_AP_DUNG'!$B$1:$B$5000, 0)), 0)</f>
        <v/>
      </c>
      <c r="K267" s="16">
        <f>I267*J267</f>
        <v/>
      </c>
      <c r="L267" t="inlineStr">
        <is>
          <t>10 nan Z dày @ 0.217kg/m + thanh giằng</t>
        </is>
      </c>
    </row>
    <row r="268">
      <c r="A268" t="inlineStr">
        <is>
          <t>SW-DIFF-109-ACCESSORY</t>
        </is>
      </c>
      <c r="B268" t="inlineStr">
        <is>
          <t>SW-DIFF-109</t>
        </is>
      </c>
      <c r="C268" t="inlineStr">
        <is>
          <t>Phụ kiện lắp ghép / Ke góc cửa gió</t>
        </is>
      </c>
      <c r="D268" t="inlineStr">
        <is>
          <t>PHỤ_KIỆN_CỬA</t>
        </is>
      </c>
      <c r="E268" t="inlineStr">
        <is>
          <t>MAT-DOOR-ACCESSORY</t>
        </is>
      </c>
      <c r="F268" t="inlineStr">
        <is>
          <t>Bộ</t>
        </is>
      </c>
      <c r="G268" s="20" t="n">
        <v>0.08891185616725696</v>
      </c>
      <c r="H268" s="16">
        <f>'00_TONG_HOP_BAO_GIA'!G110</f>
        <v/>
      </c>
      <c r="I268" s="21">
        <f>G268*H268</f>
        <v/>
      </c>
      <c r="J268" s="16">
        <f>IFERROR(INDEX('06_BANG_GIA_VAT_TU_AP_DUNG'!$E$1:$E$5000, MATCH(E268, '06_BANG_GIA_VAT_TU_AP_DUNG'!$B$1:$B$5000, 0)), 0)</f>
        <v/>
      </c>
      <c r="K268" s="16">
        <f>I268*J268</f>
        <v/>
      </c>
      <c r="L268" t="inlineStr">
        <is>
          <t>Ke góc và vít ghép khung Louver</t>
        </is>
      </c>
    </row>
    <row r="269">
      <c r="A269" t="inlineStr">
        <is>
          <t>SW-DIFF-109-PAINT</t>
        </is>
      </c>
      <c r="B269" t="inlineStr">
        <is>
          <t>SW-DIFF-109</t>
        </is>
      </c>
      <c r="C269" t="inlineStr">
        <is>
          <t>Sơn tĩnh điện tiêu chuẩn Polyester</t>
        </is>
      </c>
      <c r="D269" t="inlineStr">
        <is>
          <t>SƠN_TĨNH_ĐIỆN</t>
        </is>
      </c>
      <c r="E269" t="inlineStr">
        <is>
          <t>MAT-PAINT-POWDER</t>
        </is>
      </c>
      <c r="F269" t="inlineStr">
        <is>
          <t>m2</t>
        </is>
      </c>
      <c r="G269" s="20" t="n">
        <v>1.941583893451949</v>
      </c>
      <c r="H269" s="16">
        <f>'00_TONG_HOP_BAO_GIA'!G110</f>
        <v/>
      </c>
      <c r="I269" s="21">
        <f>G269*H269</f>
        <v/>
      </c>
      <c r="J269" s="16">
        <f>IFERROR(INDEX('06_BANG_GIA_VAT_TU_AP_DUNG'!$E$1:$E$5000, MATCH(E269, '06_BANG_GIA_VAT_TU_AP_DUNG'!$B$1:$B$5000, 0)), 0)</f>
        <v/>
      </c>
      <c r="K269" s="16">
        <f>I269*J269</f>
        <v/>
      </c>
      <c r="L269" t="inlineStr">
        <is>
          <t>Sơn tĩnh điện khung và nan Louver</t>
        </is>
      </c>
    </row>
    <row r="270">
      <c r="A270" t="inlineStr">
        <is>
          <t>SW-DIFF-109-MESH</t>
        </is>
      </c>
      <c r="B270" t="inlineStr">
        <is>
          <t>SW-DIFF-109</t>
        </is>
      </c>
      <c r="C270" t="inlineStr">
        <is>
          <t>Lưới chắn côn trùng Inox 304 (LCCT)</t>
        </is>
      </c>
      <c r="D270" t="inlineStr">
        <is>
          <t>PHỤ_KIỆN_CỬA</t>
        </is>
      </c>
      <c r="E270" t="inlineStr">
        <is>
          <t>MAT-MESH-INOX-304</t>
        </is>
      </c>
      <c r="F270" t="inlineStr">
        <is>
          <t>m2</t>
        </is>
      </c>
      <c r="G270" s="20" t="n">
        <v>0.9750993931784893</v>
      </c>
      <c r="H270" s="16">
        <f>'00_TONG_HOP_BAO_GIA'!G110</f>
        <v/>
      </c>
      <c r="I270" s="21">
        <f>G270*H270</f>
        <v/>
      </c>
      <c r="J270" s="16">
        <f>IFERROR(INDEX('06_BANG_GIA_VAT_TU_AP_DUNG'!$E$1:$E$5000, MATCH(E270, '06_BANG_GIA_VAT_TU_AP_DUNG'!$B$1:$B$5000, 0)), 0)</f>
        <v/>
      </c>
      <c r="K270" s="16">
        <f>I270*J270</f>
        <v/>
      </c>
      <c r="L270" t="inlineStr">
        <is>
          <t>Lưới chắn côn trùng cổ 3450x450mm</t>
        </is>
      </c>
    </row>
    <row r="271">
      <c r="A271" t="inlineStr">
        <is>
          <t>SW-DIFF-110-FRAME</t>
        </is>
      </c>
      <c r="B271" t="inlineStr">
        <is>
          <t>SW-DIFF-110</t>
        </is>
      </c>
      <c r="C271" t="inlineStr">
        <is>
          <t>Khung nhôm định hình Louver (SWL)</t>
        </is>
      </c>
      <c r="D271" t="inlineStr">
        <is>
          <t>NHÔM_ĐỊNH_HÌNH</t>
        </is>
      </c>
      <c r="E271" t="inlineStr">
        <is>
          <t>MAT-ALU-KHUNG-Z-2-LOP</t>
        </is>
      </c>
      <c r="F271" t="inlineStr">
        <is>
          <t>kg</t>
        </is>
      </c>
      <c r="G271" s="20" t="n">
        <v>1.959311668734243</v>
      </c>
      <c r="H271" s="16">
        <f>'00_TONG_HOP_BAO_GIA'!G111</f>
        <v/>
      </c>
      <c r="I271" s="21">
        <f>G271*H271</f>
        <v/>
      </c>
      <c r="J271" s="16">
        <f>IFERROR(INDEX('06_BANG_GIA_VAT_TU_AP_DUNG'!$E$1:$E$5000, MATCH(E271, '06_BANG_GIA_VAT_TU_AP_DUNG'!$B$1:$B$5000, 0)), 0)</f>
        <v/>
      </c>
      <c r="K271" s="16">
        <f>I271*J271</f>
        <v/>
      </c>
      <c r="L271" t="inlineStr">
        <is>
          <t>Khung Louver phủ bì 3500x700mm</t>
        </is>
      </c>
    </row>
    <row r="272">
      <c r="A272" t="inlineStr">
        <is>
          <t>SW-DIFF-110-BLADE</t>
        </is>
      </c>
      <c r="B272" t="inlineStr">
        <is>
          <t>SW-DIFF-110</t>
        </is>
      </c>
      <c r="C272" t="inlineStr">
        <is>
          <t>Nan Z Louver &amp; thanh tăng cứng (14 nan)</t>
        </is>
      </c>
      <c r="D272" t="inlineStr">
        <is>
          <t>NHÔM_ĐỊNH_HÌNH</t>
        </is>
      </c>
      <c r="E272" t="inlineStr">
        <is>
          <t>MAT-ALU-NAN-Z-DAY</t>
        </is>
      </c>
      <c r="F272" t="inlineStr">
        <is>
          <t>kg</t>
        </is>
      </c>
      <c r="G272" s="20" t="n">
        <v>10.86511686609103</v>
      </c>
      <c r="H272" s="16">
        <f>'00_TONG_HOP_BAO_GIA'!G111</f>
        <v/>
      </c>
      <c r="I272" s="21">
        <f>G272*H272</f>
        <v/>
      </c>
      <c r="J272" s="16">
        <f>IFERROR(INDEX('06_BANG_GIA_VAT_TU_AP_DUNG'!$E$1:$E$5000, MATCH(E272, '06_BANG_GIA_VAT_TU_AP_DUNG'!$B$1:$B$5000, 0)), 0)</f>
        <v/>
      </c>
      <c r="K272" s="16">
        <f>I272*J272</f>
        <v/>
      </c>
      <c r="L272" t="inlineStr">
        <is>
          <t>14 nan Z dày @ 0.217kg/m + thanh giằng</t>
        </is>
      </c>
    </row>
    <row r="273">
      <c r="A273" t="inlineStr">
        <is>
          <t>SW-DIFF-110-ACCESSORY</t>
        </is>
      </c>
      <c r="B273" t="inlineStr">
        <is>
          <t>SW-DIFF-110</t>
        </is>
      </c>
      <c r="C273" t="inlineStr">
        <is>
          <t>Phụ kiện lắp ghép / Ke góc cửa gió</t>
        </is>
      </c>
      <c r="D273" t="inlineStr">
        <is>
          <t>PHỤ_KIỆN_CỬA</t>
        </is>
      </c>
      <c r="E273" t="inlineStr">
        <is>
          <t>MAT-DOOR-ACCESSORY</t>
        </is>
      </c>
      <c r="F273" t="inlineStr">
        <is>
          <t>Bộ</t>
        </is>
      </c>
      <c r="G273" s="20" t="n">
        <v>0.1245003810329061</v>
      </c>
      <c r="H273" s="16">
        <f>'00_TONG_HOP_BAO_GIA'!G111</f>
        <v/>
      </c>
      <c r="I273" s="21">
        <f>G273*H273</f>
        <v/>
      </c>
      <c r="J273" s="16">
        <f>IFERROR(INDEX('06_BANG_GIA_VAT_TU_AP_DUNG'!$E$1:$E$5000, MATCH(E273, '06_BANG_GIA_VAT_TU_AP_DUNG'!$B$1:$B$5000, 0)), 0)</f>
        <v/>
      </c>
      <c r="K273" s="16">
        <f>I273*J273</f>
        <v/>
      </c>
      <c r="L273" t="inlineStr">
        <is>
          <t>Ke góc và vít ghép khung Louver</t>
        </is>
      </c>
    </row>
    <row r="274">
      <c r="A274" t="inlineStr">
        <is>
          <t>SW-DIFF-110-PAINT</t>
        </is>
      </c>
      <c r="B274" t="inlineStr">
        <is>
          <t>SW-DIFF-110</t>
        </is>
      </c>
      <c r="C274" t="inlineStr">
        <is>
          <t>Sơn tĩnh điện tiêu chuẩn Polyester</t>
        </is>
      </c>
      <c r="D274" t="inlineStr">
        <is>
          <t>SƠN_TĨNH_ĐIỆN</t>
        </is>
      </c>
      <c r="E274" t="inlineStr">
        <is>
          <t>MAT-PAINT-POWDER</t>
        </is>
      </c>
      <c r="F274" t="inlineStr">
        <is>
          <t>m2</t>
        </is>
      </c>
      <c r="G274" s="20" t="n">
        <v>2.585741090120601</v>
      </c>
      <c r="H274" s="16">
        <f>'00_TONG_HOP_BAO_GIA'!G111</f>
        <v/>
      </c>
      <c r="I274" s="21">
        <f>G274*H274</f>
        <v/>
      </c>
      <c r="J274" s="16">
        <f>IFERROR(INDEX('06_BANG_GIA_VAT_TU_AP_DUNG'!$E$1:$E$5000, MATCH(E274, '06_BANG_GIA_VAT_TU_AP_DUNG'!$B$1:$B$5000, 0)), 0)</f>
        <v/>
      </c>
      <c r="K274" s="16">
        <f>I274*J274</f>
        <v/>
      </c>
      <c r="L274" t="inlineStr">
        <is>
          <t>Sơn tĩnh điện khung và nan Louver</t>
        </is>
      </c>
    </row>
    <row r="275">
      <c r="A275" t="inlineStr">
        <is>
          <t>SW-DIFF-110-MESH</t>
        </is>
      </c>
      <c r="B275" t="inlineStr">
        <is>
          <t>SW-DIFF-110</t>
        </is>
      </c>
      <c r="C275" t="inlineStr">
        <is>
          <t>Lưới chắn côn trùng Inox 304 (LCCT)</t>
        </is>
      </c>
      <c r="D275" t="inlineStr">
        <is>
          <t>PHỤ_KIỆN_CỬA</t>
        </is>
      </c>
      <c r="E275" t="inlineStr">
        <is>
          <t>MAT-MESH-INOX-304</t>
        </is>
      </c>
      <c r="F275" t="inlineStr">
        <is>
          <t>m2</t>
        </is>
      </c>
      <c r="G275" s="20" t="n">
        <v>1.406151914626491</v>
      </c>
      <c r="H275" s="16">
        <f>'00_TONG_HOP_BAO_GIA'!G111</f>
        <v/>
      </c>
      <c r="I275" s="21">
        <f>G275*H275</f>
        <v/>
      </c>
      <c r="J275" s="16">
        <f>IFERROR(INDEX('06_BANG_GIA_VAT_TU_AP_DUNG'!$E$1:$E$5000, MATCH(E275, '06_BANG_GIA_VAT_TU_AP_DUNG'!$B$1:$B$5000, 0)), 0)</f>
        <v/>
      </c>
      <c r="K275" s="16">
        <f>I275*J275</f>
        <v/>
      </c>
      <c r="L275" t="inlineStr">
        <is>
          <t>Lưới chắn côn trùng cổ 3450x650mm</t>
        </is>
      </c>
    </row>
    <row r="276">
      <c r="A276" t="inlineStr">
        <is>
          <t>SW-DIFF-111-FRAME</t>
        </is>
      </c>
      <c r="B276" t="inlineStr">
        <is>
          <t>SW-DIFF-111</t>
        </is>
      </c>
      <c r="C276" t="inlineStr">
        <is>
          <t>Khung nhôm định hình (1 lớp BD)</t>
        </is>
      </c>
      <c r="D276" t="inlineStr">
        <is>
          <t>NHÔM_ĐỊNH_HÌNH</t>
        </is>
      </c>
      <c r="E276" t="inlineStr">
        <is>
          <t>MAT-ALU-KHUNG-BD</t>
        </is>
      </c>
      <c r="F276" t="inlineStr">
        <is>
          <t>kg</t>
        </is>
      </c>
      <c r="G276" s="20" t="n">
        <v>0.3939953926061178</v>
      </c>
      <c r="H276" s="16">
        <f>'00_TONG_HOP_BAO_GIA'!G112</f>
        <v/>
      </c>
      <c r="I276" s="21">
        <f>G276*H276</f>
        <v/>
      </c>
      <c r="J276" s="16">
        <f>IFERROR(INDEX('06_BANG_GIA_VAT_TU_AP_DUNG'!$E$1:$E$5000, MATCH(E276, '06_BANG_GIA_VAT_TU_AP_DUNG'!$B$1:$B$5000, 0)), 0)</f>
        <v/>
      </c>
      <c r="K276" s="16">
        <f>I276*J276</f>
        <v/>
      </c>
      <c r="L276" t="inlineStr">
        <is>
          <t>Khung bao 800x300mm (cổ 750x250mm)</t>
        </is>
      </c>
    </row>
    <row r="277">
      <c r="A277" t="inlineStr">
        <is>
          <t>SW-DIFF-111-BLADE</t>
        </is>
      </c>
      <c r="B277" t="inlineStr">
        <is>
          <t>SW-DIFF-111</t>
        </is>
      </c>
      <c r="C277" t="inlineStr">
        <is>
          <t>Nan nhôm bầu dục (12 nan)</t>
        </is>
      </c>
      <c r="D277" t="inlineStr">
        <is>
          <t>NHÔM_ĐỊNH_HÌNH</t>
        </is>
      </c>
      <c r="E277" t="inlineStr">
        <is>
          <t>MAT-ALU-NAN-BD</t>
        </is>
      </c>
      <c r="F277" t="inlineStr">
        <is>
          <t>kg</t>
        </is>
      </c>
      <c r="G277" s="20" t="n">
        <v>0.4868977152944922</v>
      </c>
      <c r="H277" s="16">
        <f>'00_TONG_HOP_BAO_GIA'!G112</f>
        <v/>
      </c>
      <c r="I277" s="21">
        <f>G277*H277</f>
        <v/>
      </c>
      <c r="J277" s="16">
        <f>IFERROR(INDEX('06_BANG_GIA_VAT_TU_AP_DUNG'!$E$1:$E$5000, MATCH(E277, '06_BANG_GIA_VAT_TU_AP_DUNG'!$B$1:$B$5000, 0)), 0)</f>
        <v/>
      </c>
      <c r="K277" s="16">
        <f>I277*J277</f>
        <v/>
      </c>
      <c r="L277" t="inlineStr">
        <is>
          <t>Nan bầu dục @ 0.058kg/m</t>
        </is>
      </c>
    </row>
    <row r="278">
      <c r="A278" t="inlineStr">
        <is>
          <t>SW-DIFF-111-ACCESSORY</t>
        </is>
      </c>
      <c r="B278" t="inlineStr">
        <is>
          <t>SW-DIFF-111</t>
        </is>
      </c>
      <c r="C278" t="inlineStr">
        <is>
          <t>Phụ kiện lắp ghép / Ke góc cửa gió</t>
        </is>
      </c>
      <c r="D278" t="inlineStr">
        <is>
          <t>PHỤ_KIỆN_CỬA</t>
        </is>
      </c>
      <c r="E278" t="inlineStr">
        <is>
          <t>MAT-DOOR-ACCESSORY</t>
        </is>
      </c>
      <c r="F278" t="inlineStr">
        <is>
          <t>Bộ</t>
        </is>
      </c>
      <c r="G278" s="20" t="n">
        <v>0.05327892240923639</v>
      </c>
      <c r="H278" s="16">
        <f>'00_TONG_HOP_BAO_GIA'!G112</f>
        <v/>
      </c>
      <c r="I278" s="21">
        <f>G278*H278</f>
        <v/>
      </c>
      <c r="J278" s="16">
        <f>IFERROR(INDEX('06_BANG_GIA_VAT_TU_AP_DUNG'!$E$1:$E$5000, MATCH(E278, '06_BANG_GIA_VAT_TU_AP_DUNG'!$B$1:$B$5000, 0)), 0)</f>
        <v/>
      </c>
      <c r="K278" s="16">
        <f>I278*J278</f>
        <v/>
      </c>
      <c r="L278" t="inlineStr">
        <is>
          <t>4 ke góc chìm và vít ghép khung</t>
        </is>
      </c>
    </row>
    <row r="279">
      <c r="A279" t="inlineStr">
        <is>
          <t>SW-DIFF-111-PAINT</t>
        </is>
      </c>
      <c r="B279" t="inlineStr">
        <is>
          <t>SW-DIFF-111</t>
        </is>
      </c>
      <c r="C279" t="inlineStr">
        <is>
          <t>Sơn tĩnh điện tiêu chuẩn Polyester</t>
        </is>
      </c>
      <c r="D279" t="inlineStr">
        <is>
          <t>SƠN_TĨNH_ĐIỆN</t>
        </is>
      </c>
      <c r="E279" t="inlineStr">
        <is>
          <t>MAT-PAINT-POWDER</t>
        </is>
      </c>
      <c r="F279" t="inlineStr">
        <is>
          <t>m2</t>
        </is>
      </c>
      <c r="G279" s="20" t="n">
        <v>0.191804120673251</v>
      </c>
      <c r="H279" s="16">
        <f>'00_TONG_HOP_BAO_GIA'!G112</f>
        <v/>
      </c>
      <c r="I279" s="21">
        <f>G279*H279</f>
        <v/>
      </c>
      <c r="J279" s="16">
        <f>IFERROR(INDEX('06_BANG_GIA_VAT_TU_AP_DUNG'!$E$1:$E$5000, MATCH(E279, '06_BANG_GIA_VAT_TU_AP_DUNG'!$B$1:$B$5000, 0)), 0)</f>
        <v/>
      </c>
      <c r="K279" s="16">
        <f>I279*J279</f>
        <v/>
      </c>
      <c r="L279" t="inlineStr">
        <is>
          <t>Sơn tĩnh điện hoàn thiện</t>
        </is>
      </c>
    </row>
    <row r="280">
      <c r="A280" t="inlineStr">
        <is>
          <t>SW-DIFF-112-FRAME</t>
        </is>
      </c>
      <c r="B280" t="inlineStr">
        <is>
          <t>SW-DIFF-112</t>
        </is>
      </c>
      <c r="C280" t="inlineStr">
        <is>
          <t>Khung nhôm định hình (1 lớp BD)</t>
        </is>
      </c>
      <c r="D280" t="inlineStr">
        <is>
          <t>NHÔM_ĐỊNH_HÌNH</t>
        </is>
      </c>
      <c r="E280" t="inlineStr">
        <is>
          <t>MAT-ALU-KHUNG-BD</t>
        </is>
      </c>
      <c r="F280" t="inlineStr">
        <is>
          <t>kg</t>
        </is>
      </c>
      <c r="G280" s="20" t="n">
        <v>0.4358396488527693</v>
      </c>
      <c r="H280" s="16">
        <f>'00_TONG_HOP_BAO_GIA'!G113</f>
        <v/>
      </c>
      <c r="I280" s="21">
        <f>G280*H280</f>
        <v/>
      </c>
      <c r="J280" s="16">
        <f>IFERROR(INDEX('06_BANG_GIA_VAT_TU_AP_DUNG'!$E$1:$E$5000, MATCH(E280, '06_BANG_GIA_VAT_TU_AP_DUNG'!$B$1:$B$5000, 0)), 0)</f>
        <v/>
      </c>
      <c r="K280" s="16">
        <f>I280*J280</f>
        <v/>
      </c>
      <c r="L280" t="inlineStr">
        <is>
          <t>Khung bao 800x400mm (cổ 750x350mm)</t>
        </is>
      </c>
    </row>
    <row r="281">
      <c r="A281" t="inlineStr">
        <is>
          <t>SW-DIFF-112-BLADE</t>
        </is>
      </c>
      <c r="B281" t="inlineStr">
        <is>
          <t>SW-DIFF-112</t>
        </is>
      </c>
      <c r="C281" t="inlineStr">
        <is>
          <t>Nan nhôm bầu dục (17 nan)</t>
        </is>
      </c>
      <c r="D281" t="inlineStr">
        <is>
          <t>NHÔM_ĐỊNH_HÌNH</t>
        </is>
      </c>
      <c r="E281" t="inlineStr">
        <is>
          <t>MAT-ALU-NAN-BD</t>
        </is>
      </c>
      <c r="F281" t="inlineStr">
        <is>
          <t>kg</t>
        </is>
      </c>
      <c r="G281" s="20" t="n">
        <v>0.6898617729593812</v>
      </c>
      <c r="H281" s="16">
        <f>'00_TONG_HOP_BAO_GIA'!G113</f>
        <v/>
      </c>
      <c r="I281" s="21">
        <f>G281*H281</f>
        <v/>
      </c>
      <c r="J281" s="16">
        <f>IFERROR(INDEX('06_BANG_GIA_VAT_TU_AP_DUNG'!$E$1:$E$5000, MATCH(E281, '06_BANG_GIA_VAT_TU_AP_DUNG'!$B$1:$B$5000, 0)), 0)</f>
        <v/>
      </c>
      <c r="K281" s="16">
        <f>I281*J281</f>
        <v/>
      </c>
      <c r="L281" t="inlineStr">
        <is>
          <t>Nan bầu dục @ 0.058kg/m</t>
        </is>
      </c>
    </row>
    <row r="282">
      <c r="A282" t="inlineStr">
        <is>
          <t>SW-DIFF-112-ACCESSORY</t>
        </is>
      </c>
      <c r="B282" t="inlineStr">
        <is>
          <t>SW-DIFF-112</t>
        </is>
      </c>
      <c r="C282" t="inlineStr">
        <is>
          <t>Phụ kiện lắp ghép / Ke góc cửa gió</t>
        </is>
      </c>
      <c r="D282" t="inlineStr">
        <is>
          <t>PHỤ_KIỆN_CỬA</t>
        </is>
      </c>
      <c r="E282" t="inlineStr">
        <is>
          <t>MAT-DOOR-ACCESSORY</t>
        </is>
      </c>
      <c r="F282" t="inlineStr">
        <is>
          <t>Bộ</t>
        </is>
      </c>
      <c r="G282" s="20" t="n">
        <v>0.07548832274222195</v>
      </c>
      <c r="H282" s="16">
        <f>'00_TONG_HOP_BAO_GIA'!G113</f>
        <v/>
      </c>
      <c r="I282" s="21">
        <f>G282*H282</f>
        <v/>
      </c>
      <c r="J282" s="16">
        <f>IFERROR(INDEX('06_BANG_GIA_VAT_TU_AP_DUNG'!$E$1:$E$5000, MATCH(E282, '06_BANG_GIA_VAT_TU_AP_DUNG'!$B$1:$B$5000, 0)), 0)</f>
        <v/>
      </c>
      <c r="K282" s="16">
        <f>I282*J282</f>
        <v/>
      </c>
      <c r="L282" t="inlineStr">
        <is>
          <t>4 ke góc chìm và vít ghép khung</t>
        </is>
      </c>
    </row>
    <row r="283">
      <c r="A283" t="inlineStr">
        <is>
          <t>SW-DIFF-112-PAINT</t>
        </is>
      </c>
      <c r="B283" t="inlineStr">
        <is>
          <t>SW-DIFF-112</t>
        </is>
      </c>
      <c r="C283" t="inlineStr">
        <is>
          <t>Sơn tĩnh điện tiêu chuẩn Polyester</t>
        </is>
      </c>
      <c r="D283" t="inlineStr">
        <is>
          <t>SƠN_TĨNH_ĐIỆN</t>
        </is>
      </c>
      <c r="E283" t="inlineStr">
        <is>
          <t>MAT-PAINT-POWDER</t>
        </is>
      </c>
      <c r="F283" t="inlineStr">
        <is>
          <t>m2</t>
        </is>
      </c>
      <c r="G283" s="20" t="n">
        <v>0.2448015781107626</v>
      </c>
      <c r="H283" s="16">
        <f>'00_TONG_HOP_BAO_GIA'!G113</f>
        <v/>
      </c>
      <c r="I283" s="21">
        <f>G283*H283</f>
        <v/>
      </c>
      <c r="J283" s="16">
        <f>IFERROR(INDEX('06_BANG_GIA_VAT_TU_AP_DUNG'!$E$1:$E$5000, MATCH(E283, '06_BANG_GIA_VAT_TU_AP_DUNG'!$B$1:$B$5000, 0)), 0)</f>
        <v/>
      </c>
      <c r="K283" s="16">
        <f>I283*J283</f>
        <v/>
      </c>
      <c r="L283" t="inlineStr">
        <is>
          <t>Sơn tĩnh điện hoàn thiện</t>
        </is>
      </c>
    </row>
    <row r="284">
      <c r="A284" t="inlineStr">
        <is>
          <t>SW-DIFF-113-FRAME</t>
        </is>
      </c>
      <c r="B284" t="inlineStr">
        <is>
          <t>SW-DIFF-113</t>
        </is>
      </c>
      <c r="C284" t="inlineStr">
        <is>
          <t>Khung nhôm định hình (1 lớp BD)</t>
        </is>
      </c>
      <c r="D284" t="inlineStr">
        <is>
          <t>NHÔM_ĐỊNH_HÌNH</t>
        </is>
      </c>
      <c r="E284" t="inlineStr">
        <is>
          <t>MAT-ALU-KHUNG-BD</t>
        </is>
      </c>
      <c r="F284" t="inlineStr">
        <is>
          <t>kg</t>
        </is>
      </c>
      <c r="G284" s="20" t="n">
        <v>0.4776725200435986</v>
      </c>
      <c r="H284" s="16">
        <f>'00_TONG_HOP_BAO_GIA'!G114</f>
        <v/>
      </c>
      <c r="I284" s="21">
        <f>G284*H284</f>
        <v/>
      </c>
      <c r="J284" s="16">
        <f>IFERROR(INDEX('06_BANG_GIA_VAT_TU_AP_DUNG'!$E$1:$E$5000, MATCH(E284, '06_BANG_GIA_VAT_TU_AP_DUNG'!$B$1:$B$5000, 0)), 0)</f>
        <v/>
      </c>
      <c r="K284" s="16">
        <f>I284*J284</f>
        <v/>
      </c>
      <c r="L284" t="inlineStr">
        <is>
          <t>Khung bao 800x500mm (cổ 750x450mm)</t>
        </is>
      </c>
    </row>
    <row r="285">
      <c r="A285" t="inlineStr">
        <is>
          <t>SW-DIFF-113-BLADE</t>
        </is>
      </c>
      <c r="B285" t="inlineStr">
        <is>
          <t>SW-DIFF-113</t>
        </is>
      </c>
      <c r="C285" t="inlineStr">
        <is>
          <t>Nan nhôm bầu dục (22 nan)</t>
        </is>
      </c>
      <c r="D285" t="inlineStr">
        <is>
          <t>NHÔM_ĐỊNH_HÌNH</t>
        </is>
      </c>
      <c r="E285" t="inlineStr">
        <is>
          <t>MAT-ALU-NAN-BD</t>
        </is>
      </c>
      <c r="F285" t="inlineStr">
        <is>
          <t>kg</t>
        </is>
      </c>
      <c r="G285" s="20" t="n">
        <v>0.8928371126596171</v>
      </c>
      <c r="H285" s="16">
        <f>'00_TONG_HOP_BAO_GIA'!G114</f>
        <v/>
      </c>
      <c r="I285" s="21">
        <f>G285*H285</f>
        <v/>
      </c>
      <c r="J285" s="16">
        <f>IFERROR(INDEX('06_BANG_GIA_VAT_TU_AP_DUNG'!$E$1:$E$5000, MATCH(E285, '06_BANG_GIA_VAT_TU_AP_DUNG'!$B$1:$B$5000, 0)), 0)</f>
        <v/>
      </c>
      <c r="K285" s="16">
        <f>I285*J285</f>
        <v/>
      </c>
      <c r="L285" t="inlineStr">
        <is>
          <t>Nan bầu dục @ 0.058kg/m</t>
        </is>
      </c>
    </row>
    <row r="286">
      <c r="A286" t="inlineStr">
        <is>
          <t>SW-DIFF-113-ACCESSORY</t>
        </is>
      </c>
      <c r="B286" t="inlineStr">
        <is>
          <t>SW-DIFF-113</t>
        </is>
      </c>
      <c r="C286" t="inlineStr">
        <is>
          <t>Phụ kiện lắp ghép / Ke góc cửa gió</t>
        </is>
      </c>
      <c r="D286" t="inlineStr">
        <is>
          <t>PHỤ_KIỆN_CỬA</t>
        </is>
      </c>
      <c r="E286" t="inlineStr">
        <is>
          <t>MAT-DOOR-ACCESSORY</t>
        </is>
      </c>
      <c r="F286" t="inlineStr">
        <is>
          <t>Bộ</t>
        </is>
      </c>
      <c r="G286" s="20" t="n">
        <v>0.0976989576151673</v>
      </c>
      <c r="H286" s="16">
        <f>'00_TONG_HOP_BAO_GIA'!G114</f>
        <v/>
      </c>
      <c r="I286" s="21">
        <f>G286*H286</f>
        <v/>
      </c>
      <c r="J286" s="16">
        <f>IFERROR(INDEX('06_BANG_GIA_VAT_TU_AP_DUNG'!$E$1:$E$5000, MATCH(E286, '06_BANG_GIA_VAT_TU_AP_DUNG'!$B$1:$B$5000, 0)), 0)</f>
        <v/>
      </c>
      <c r="K286" s="16">
        <f>I286*J286</f>
        <v/>
      </c>
      <c r="L286" t="inlineStr">
        <is>
          <t>4 ke góc chìm và vít ghép khung</t>
        </is>
      </c>
    </row>
    <row r="287">
      <c r="A287" t="inlineStr">
        <is>
          <t>SW-DIFF-113-PAINT</t>
        </is>
      </c>
      <c r="B287" t="inlineStr">
        <is>
          <t>SW-DIFF-113</t>
        </is>
      </c>
      <c r="C287" t="inlineStr">
        <is>
          <t>Sơn tĩnh điện tiêu chuẩn Polyester</t>
        </is>
      </c>
      <c r="D287" t="inlineStr">
        <is>
          <t>SƠN_TĨNH_ĐIỆN</t>
        </is>
      </c>
      <c r="E287" t="inlineStr">
        <is>
          <t>MAT-PAINT-POWDER</t>
        </is>
      </c>
      <c r="F287" t="inlineStr">
        <is>
          <t>m2</t>
        </is>
      </c>
      <c r="G287" s="20" t="n">
        <v>0.2977989617146811</v>
      </c>
      <c r="H287" s="16">
        <f>'00_TONG_HOP_BAO_GIA'!G114</f>
        <v/>
      </c>
      <c r="I287" s="21">
        <f>G287*H287</f>
        <v/>
      </c>
      <c r="J287" s="16">
        <f>IFERROR(INDEX('06_BANG_GIA_VAT_TU_AP_DUNG'!$E$1:$E$5000, MATCH(E287, '06_BANG_GIA_VAT_TU_AP_DUNG'!$B$1:$B$5000, 0)), 0)</f>
        <v/>
      </c>
      <c r="K287" s="16">
        <f>I287*J287</f>
        <v/>
      </c>
      <c r="L287" t="inlineStr">
        <is>
          <t>Sơn tĩnh điện hoàn thiện</t>
        </is>
      </c>
    </row>
    <row r="288">
      <c r="A288" t="inlineStr">
        <is>
          <t>SW-DIFF-114-FRAME</t>
        </is>
      </c>
      <c r="B288" t="inlineStr">
        <is>
          <t>SW-DIFF-114</t>
        </is>
      </c>
      <c r="C288" t="inlineStr">
        <is>
          <t>Khung nhôm định hình (1 lớp BD)</t>
        </is>
      </c>
      <c r="D288" t="inlineStr">
        <is>
          <t>NHÔM_ĐỊNH_HÌNH</t>
        </is>
      </c>
      <c r="E288" t="inlineStr">
        <is>
          <t>MAT-ALU-KHUNG-BD</t>
        </is>
      </c>
      <c r="F288" t="inlineStr">
        <is>
          <t>kg</t>
        </is>
      </c>
      <c r="G288" s="20" t="n">
        <v>0.6121770358007117</v>
      </c>
      <c r="H288" s="16">
        <f>'00_TONG_HOP_BAO_GIA'!G115</f>
        <v/>
      </c>
      <c r="I288" s="21">
        <f>G288*H288</f>
        <v/>
      </c>
      <c r="J288" s="16">
        <f>IFERROR(INDEX('06_BANG_GIA_VAT_TU_AP_DUNG'!$E$1:$E$5000, MATCH(E288, '06_BANG_GIA_VAT_TU_AP_DUNG'!$B$1:$B$5000, 0)), 0)</f>
        <v/>
      </c>
      <c r="K288" s="16">
        <f>I288*J288</f>
        <v/>
      </c>
      <c r="L288" t="inlineStr">
        <is>
          <t>Khung bao 1200x500mm (cổ 1150x450mm)</t>
        </is>
      </c>
    </row>
    <row r="289">
      <c r="A289" t="inlineStr">
        <is>
          <t>SW-DIFF-114-BLADE</t>
        </is>
      </c>
      <c r="B289" t="inlineStr">
        <is>
          <t>SW-DIFF-114</t>
        </is>
      </c>
      <c r="C289" t="inlineStr">
        <is>
          <t>Nan nhôm bầu dục (22 nan)</t>
        </is>
      </c>
      <c r="D289" t="inlineStr">
        <is>
          <t>NHÔM_ĐỊNH_HÌNH</t>
        </is>
      </c>
      <c r="E289" t="inlineStr">
        <is>
          <t>MAT-ALU-NAN-BD</t>
        </is>
      </c>
      <c r="F289" t="inlineStr">
        <is>
          <t>kg</t>
        </is>
      </c>
      <c r="G289" s="20" t="n">
        <v>1.369372838923726</v>
      </c>
      <c r="H289" s="16">
        <f>'00_TONG_HOP_BAO_GIA'!G115</f>
        <v/>
      </c>
      <c r="I289" s="21">
        <f>G289*H289</f>
        <v/>
      </c>
      <c r="J289" s="16">
        <f>IFERROR(INDEX('06_BANG_GIA_VAT_TU_AP_DUNG'!$E$1:$E$5000, MATCH(E289, '06_BANG_GIA_VAT_TU_AP_DUNG'!$B$1:$B$5000, 0)), 0)</f>
        <v/>
      </c>
      <c r="K289" s="16">
        <f>I289*J289</f>
        <v/>
      </c>
      <c r="L289" t="inlineStr">
        <is>
          <t>Nan bầu dục @ 0.058kg/m</t>
        </is>
      </c>
    </row>
    <row r="290">
      <c r="A290" t="inlineStr">
        <is>
          <t>SW-DIFF-114-ACCESSORY</t>
        </is>
      </c>
      <c r="B290" t="inlineStr">
        <is>
          <t>SW-DIFF-114</t>
        </is>
      </c>
      <c r="C290" t="inlineStr">
        <is>
          <t>Phụ kiện lắp ghép / Ke góc cửa gió</t>
        </is>
      </c>
      <c r="D290" t="inlineStr">
        <is>
          <t>PHỤ_KIỆN_CỬA</t>
        </is>
      </c>
      <c r="E290" t="inlineStr">
        <is>
          <t>MAT-DOOR-ACCESSORY</t>
        </is>
      </c>
      <c r="F290" t="inlineStr">
        <is>
          <t>Bộ</t>
        </is>
      </c>
      <c r="G290" s="20" t="n">
        <v>0.0977243585198941</v>
      </c>
      <c r="H290" s="16">
        <f>'00_TONG_HOP_BAO_GIA'!G115</f>
        <v/>
      </c>
      <c r="I290" s="21">
        <f>G290*H290</f>
        <v/>
      </c>
      <c r="J290" s="16">
        <f>IFERROR(INDEX('06_BANG_GIA_VAT_TU_AP_DUNG'!$E$1:$E$5000, MATCH(E290, '06_BANG_GIA_VAT_TU_AP_DUNG'!$B$1:$B$5000, 0)), 0)</f>
        <v/>
      </c>
      <c r="K290" s="16">
        <f>I290*J290</f>
        <v/>
      </c>
      <c r="L290" t="inlineStr">
        <is>
          <t>4 ke góc chìm và vít ghép khung</t>
        </is>
      </c>
    </row>
    <row r="291">
      <c r="A291" t="inlineStr">
        <is>
          <t>SW-DIFF-114-PAINT</t>
        </is>
      </c>
      <c r="B291" t="inlineStr">
        <is>
          <t>SW-DIFF-114</t>
        </is>
      </c>
      <c r="C291" t="inlineStr">
        <is>
          <t>Sơn tĩnh điện tiêu chuẩn Polyester</t>
        </is>
      </c>
      <c r="D291" t="inlineStr">
        <is>
          <t>SƠN_TĨNH_ĐIỆN</t>
        </is>
      </c>
      <c r="E291" t="inlineStr">
        <is>
          <t>MAT-PAINT-POWDER</t>
        </is>
      </c>
      <c r="F291" t="inlineStr">
        <is>
          <t>m2</t>
        </is>
      </c>
      <c r="G291" s="20" t="n">
        <v>0.4346695852540488</v>
      </c>
      <c r="H291" s="16">
        <f>'00_TONG_HOP_BAO_GIA'!G115</f>
        <v/>
      </c>
      <c r="I291" s="21">
        <f>G291*H291</f>
        <v/>
      </c>
      <c r="J291" s="16">
        <f>IFERROR(INDEX('06_BANG_GIA_VAT_TU_AP_DUNG'!$E$1:$E$5000, MATCH(E291, '06_BANG_GIA_VAT_TU_AP_DUNG'!$B$1:$B$5000, 0)), 0)</f>
        <v/>
      </c>
      <c r="K291" s="16">
        <f>I291*J291</f>
        <v/>
      </c>
      <c r="L291" t="inlineStr">
        <is>
          <t>Sơn tĩnh điện hoàn thiện</t>
        </is>
      </c>
    </row>
    <row r="292">
      <c r="A292" t="inlineStr">
        <is>
          <t>SW-DIFF-115-FRAME</t>
        </is>
      </c>
      <c r="B292" t="inlineStr">
        <is>
          <t>SW-DIFF-115</t>
        </is>
      </c>
      <c r="C292" t="inlineStr">
        <is>
          <t>Khung nhôm định hình (1 lớp BD)</t>
        </is>
      </c>
      <c r="D292" t="inlineStr">
        <is>
          <t>NHÔM_ĐỊNH_HÌNH</t>
        </is>
      </c>
      <c r="E292" t="inlineStr">
        <is>
          <t>MAT-ALU-KHUNG-BD</t>
        </is>
      </c>
      <c r="F292" t="inlineStr">
        <is>
          <t>kg</t>
        </is>
      </c>
      <c r="G292" s="20" t="n">
        <v>1.470033435452808</v>
      </c>
      <c r="H292" s="16">
        <f>'00_TONG_HOP_BAO_GIA'!G116</f>
        <v/>
      </c>
      <c r="I292" s="21">
        <f>G292*H292</f>
        <v/>
      </c>
      <c r="J292" s="16">
        <f>IFERROR(INDEX('06_BANG_GIA_VAT_TU_AP_DUNG'!$E$1:$E$5000, MATCH(E292, '06_BANG_GIA_VAT_TU_AP_DUNG'!$B$1:$B$5000, 0)), 0)</f>
        <v/>
      </c>
      <c r="K292" s="16">
        <f>I292*J292</f>
        <v/>
      </c>
      <c r="L292" t="inlineStr">
        <is>
          <t>Khung bao 3500x700mm (cổ 3450x650mm)</t>
        </is>
      </c>
    </row>
    <row r="293">
      <c r="A293" t="inlineStr">
        <is>
          <t>SW-DIFF-115-BLADE</t>
        </is>
      </c>
      <c r="B293" t="inlineStr">
        <is>
          <t>SW-DIFF-115</t>
        </is>
      </c>
      <c r="C293" t="inlineStr">
        <is>
          <t>Nan nhôm bầu dục (32 nan)</t>
        </is>
      </c>
      <c r="D293" t="inlineStr">
        <is>
          <t>NHÔM_ĐỊNH_HÌNH</t>
        </is>
      </c>
      <c r="E293" t="inlineStr">
        <is>
          <t>MAT-ALU-NAN-BD</t>
        </is>
      </c>
      <c r="F293" t="inlineStr">
        <is>
          <t>kg</t>
        </is>
      </c>
      <c r="G293" s="20" t="n">
        <v>5.981773064242134</v>
      </c>
      <c r="H293" s="16">
        <f>'00_TONG_HOP_BAO_GIA'!G116</f>
        <v/>
      </c>
      <c r="I293" s="21">
        <f>G293*H293</f>
        <v/>
      </c>
      <c r="J293" s="16">
        <f>IFERROR(INDEX('06_BANG_GIA_VAT_TU_AP_DUNG'!$E$1:$E$5000, MATCH(E293, '06_BANG_GIA_VAT_TU_AP_DUNG'!$B$1:$B$5000, 0)), 0)</f>
        <v/>
      </c>
      <c r="K293" s="16">
        <f>I293*J293</f>
        <v/>
      </c>
      <c r="L293" t="inlineStr">
        <is>
          <t>Nan bầu dục @ 0.058kg/m</t>
        </is>
      </c>
    </row>
    <row r="294">
      <c r="A294" t="inlineStr">
        <is>
          <t>SW-DIFF-115-ACCESSORY</t>
        </is>
      </c>
      <c r="B294" t="inlineStr">
        <is>
          <t>SW-DIFF-115</t>
        </is>
      </c>
      <c r="C294" t="inlineStr">
        <is>
          <t>Phụ kiện lắp ghép / Ke góc cửa gió</t>
        </is>
      </c>
      <c r="D294" t="inlineStr">
        <is>
          <t>PHỤ_KIỆN_CỬA</t>
        </is>
      </c>
      <c r="E294" t="inlineStr">
        <is>
          <t>MAT-DOOR-ACCESSORY</t>
        </is>
      </c>
      <c r="F294" t="inlineStr">
        <is>
          <t>Bộ</t>
        </is>
      </c>
      <c r="G294" s="20" t="n">
        <v>0.1422950514032611</v>
      </c>
      <c r="H294" s="16">
        <f>'00_TONG_HOP_BAO_GIA'!G116</f>
        <v/>
      </c>
      <c r="I294" s="21">
        <f>G294*H294</f>
        <v/>
      </c>
      <c r="J294" s="16">
        <f>IFERROR(INDEX('06_BANG_GIA_VAT_TU_AP_DUNG'!$E$1:$E$5000, MATCH(E294, '06_BANG_GIA_VAT_TU_AP_DUNG'!$B$1:$B$5000, 0)), 0)</f>
        <v/>
      </c>
      <c r="K294" s="16">
        <f>I294*J294</f>
        <v/>
      </c>
      <c r="L294" t="inlineStr">
        <is>
          <t>4 ke góc chìm và vít ghép khung</t>
        </is>
      </c>
    </row>
    <row r="295">
      <c r="A295" t="inlineStr">
        <is>
          <t>SW-DIFF-115-PAINT</t>
        </is>
      </c>
      <c r="B295" t="inlineStr">
        <is>
          <t>SW-DIFF-115</t>
        </is>
      </c>
      <c r="C295" t="inlineStr">
        <is>
          <t>Sơn tĩnh điện tiêu chuẩn Polyester</t>
        </is>
      </c>
      <c r="D295" t="inlineStr">
        <is>
          <t>SƠN_TĨNH_ĐIỆN</t>
        </is>
      </c>
      <c r="E295" t="inlineStr">
        <is>
          <t>MAT-PAINT-POWDER</t>
        </is>
      </c>
      <c r="F295" t="inlineStr">
        <is>
          <t>m2</t>
        </is>
      </c>
      <c r="G295" s="20" t="n">
        <v>1.65631439833396</v>
      </c>
      <c r="H295" s="16">
        <f>'00_TONG_HOP_BAO_GIA'!G116</f>
        <v/>
      </c>
      <c r="I295" s="21">
        <f>G295*H295</f>
        <v/>
      </c>
      <c r="J295" s="16">
        <f>IFERROR(INDEX('06_BANG_GIA_VAT_TU_AP_DUNG'!$E$1:$E$5000, MATCH(E295, '06_BANG_GIA_VAT_TU_AP_DUNG'!$B$1:$B$5000, 0)), 0)</f>
        <v/>
      </c>
      <c r="K295" s="16">
        <f>I295*J295</f>
        <v/>
      </c>
      <c r="L295" t="inlineStr">
        <is>
          <t>Sơn tĩnh điện hoàn thiện</t>
        </is>
      </c>
    </row>
    <row r="296">
      <c r="A296" t="inlineStr">
        <is>
          <t>SW-DIFF-120-FRAME</t>
        </is>
      </c>
      <c r="B296" t="inlineStr">
        <is>
          <t>SW-DIFF-120</t>
        </is>
      </c>
      <c r="C296" t="inlineStr">
        <is>
          <t>Khung nhôm định hình (1 lớp BD)</t>
        </is>
      </c>
      <c r="D296" t="inlineStr">
        <is>
          <t>NHÔM_ĐỊNH_HÌNH</t>
        </is>
      </c>
      <c r="E296" t="inlineStr">
        <is>
          <t>MAT-ALU-KHUNG-BD</t>
        </is>
      </c>
      <c r="F296" t="inlineStr">
        <is>
          <t>kg</t>
        </is>
      </c>
      <c r="G296" s="20" t="n">
        <v>0.1900908552674013</v>
      </c>
      <c r="H296" s="16">
        <f>'00_TONG_HOP_BAO_GIA'!G121</f>
        <v/>
      </c>
      <c r="I296" s="21">
        <f>G296*H296</f>
        <v/>
      </c>
      <c r="J296" s="16">
        <f>IFERROR(INDEX('06_BANG_GIA_VAT_TU_AP_DUNG'!$E$1:$E$5000, MATCH(E296, '06_BANG_GIA_VAT_TU_AP_DUNG'!$B$1:$B$5000, 0)), 0)</f>
        <v/>
      </c>
      <c r="K296" s="16">
        <f>I296*J296</f>
        <v/>
      </c>
      <c r="L296" t="inlineStr">
        <is>
          <t>Khung bao 250x250mm (cổ 200x200mm)</t>
        </is>
      </c>
    </row>
    <row r="297">
      <c r="A297" t="inlineStr">
        <is>
          <t>SW-DIFF-120-BLADE</t>
        </is>
      </c>
      <c r="B297" t="inlineStr">
        <is>
          <t>SW-DIFF-120</t>
        </is>
      </c>
      <c r="C297" t="inlineStr">
        <is>
          <t>Nan nhôm bầu dục (9 nan)</t>
        </is>
      </c>
      <c r="D297" t="inlineStr">
        <is>
          <t>NHÔM_ĐỊNH_HÌNH</t>
        </is>
      </c>
      <c r="E297" t="inlineStr">
        <is>
          <t>MAT-ALU-NAN-BD</t>
        </is>
      </c>
      <c r="F297" t="inlineStr">
        <is>
          <t>kg</t>
        </is>
      </c>
      <c r="G297" s="20" t="n">
        <v>0.09824497668275591</v>
      </c>
      <c r="H297" s="16">
        <f>'00_TONG_HOP_BAO_GIA'!G121</f>
        <v/>
      </c>
      <c r="I297" s="21">
        <f>G297*H297</f>
        <v/>
      </c>
      <c r="J297" s="16">
        <f>IFERROR(INDEX('06_BANG_GIA_VAT_TU_AP_DUNG'!$E$1:$E$5000, MATCH(E297, '06_BANG_GIA_VAT_TU_AP_DUNG'!$B$1:$B$5000, 0)), 0)</f>
        <v/>
      </c>
      <c r="K297" s="16">
        <f>I297*J297</f>
        <v/>
      </c>
      <c r="L297" t="inlineStr">
        <is>
          <t>Nan bầu dục @ 0.058kg/m</t>
        </is>
      </c>
    </row>
    <row r="298">
      <c r="A298" t="inlineStr">
        <is>
          <t>SW-DIFF-120-ACCESSORY</t>
        </is>
      </c>
      <c r="B298" t="inlineStr">
        <is>
          <t>SW-DIFF-120</t>
        </is>
      </c>
      <c r="C298" t="inlineStr">
        <is>
          <t>Phụ kiện lắp ghép / Ke góc cửa gió</t>
        </is>
      </c>
      <c r="D298" t="inlineStr">
        <is>
          <t>PHỤ_KIỆN_CỬA</t>
        </is>
      </c>
      <c r="E298" t="inlineStr">
        <is>
          <t>MAT-DOOR-ACCESSORY</t>
        </is>
      </c>
      <c r="F298" t="inlineStr">
        <is>
          <t>Bộ</t>
        </is>
      </c>
      <c r="G298" s="20" t="n">
        <v>0.04031431801809639</v>
      </c>
      <c r="H298" s="16">
        <f>'00_TONG_HOP_BAO_GIA'!G121</f>
        <v/>
      </c>
      <c r="I298" s="21">
        <f>G298*H298</f>
        <v/>
      </c>
      <c r="J298" s="16">
        <f>IFERROR(INDEX('06_BANG_GIA_VAT_TU_AP_DUNG'!$E$1:$E$5000, MATCH(E298, '06_BANG_GIA_VAT_TU_AP_DUNG'!$B$1:$B$5000, 0)), 0)</f>
        <v/>
      </c>
      <c r="K298" s="16">
        <f>I298*J298</f>
        <v/>
      </c>
      <c r="L298" t="inlineStr">
        <is>
          <t>4 ke góc chìm và vít ghép khung</t>
        </is>
      </c>
    </row>
    <row r="299">
      <c r="A299" t="inlineStr">
        <is>
          <t>SW-DIFF-120-PAINT</t>
        </is>
      </c>
      <c r="B299" t="inlineStr">
        <is>
          <t>SW-DIFF-120</t>
        </is>
      </c>
      <c r="C299" t="inlineStr">
        <is>
          <t>Sơn tĩnh điện tiêu chuẩn Polyester</t>
        </is>
      </c>
      <c r="D299" t="inlineStr">
        <is>
          <t>SƠN_TĨNH_ĐIỆN</t>
        </is>
      </c>
      <c r="E299" t="inlineStr">
        <is>
          <t>MAT-PAINT-POWDER</t>
        </is>
      </c>
      <c r="F299" t="inlineStr">
        <is>
          <t>m2</t>
        </is>
      </c>
      <c r="G299" s="20" t="n">
        <v>0.05994976232338097</v>
      </c>
      <c r="H299" s="16">
        <f>'00_TONG_HOP_BAO_GIA'!G121</f>
        <v/>
      </c>
      <c r="I299" s="21">
        <f>G299*H299</f>
        <v/>
      </c>
      <c r="J299" s="16">
        <f>IFERROR(INDEX('06_BANG_GIA_VAT_TU_AP_DUNG'!$E$1:$E$5000, MATCH(E299, '06_BANG_GIA_VAT_TU_AP_DUNG'!$B$1:$B$5000, 0)), 0)</f>
        <v/>
      </c>
      <c r="K299" s="16">
        <f>I299*J299</f>
        <v/>
      </c>
      <c r="L299" t="inlineStr">
        <is>
          <t>Sơn tĩnh điện hoàn thiện</t>
        </is>
      </c>
    </row>
    <row r="300">
      <c r="A300" t="inlineStr">
        <is>
          <t>SW-DIFF-120-OBD-FRAME</t>
        </is>
      </c>
      <c r="B300" t="inlineStr">
        <is>
          <t>SW-DIFF-120</t>
        </is>
      </c>
      <c r="C300" t="inlineStr">
        <is>
          <t>Khung nhôm van OBD gắn cửa (SOBD)</t>
        </is>
      </c>
      <c r="D300" t="inlineStr">
        <is>
          <t>NHÔM_ĐỊNH_HÌNH</t>
        </is>
      </c>
      <c r="E300" t="inlineStr">
        <is>
          <t>MAT-ALU-KHUNG-OBD</t>
        </is>
      </c>
      <c r="F300" t="inlineStr">
        <is>
          <t>kg</t>
        </is>
      </c>
      <c r="G300" s="20" t="n">
        <v>0.1097096254358837</v>
      </c>
      <c r="H300" s="16">
        <f>'00_TONG_HOP_BAO_GIA'!G121</f>
        <v/>
      </c>
      <c r="I300" s="21">
        <f>G300*H300</f>
        <v/>
      </c>
      <c r="J300" s="16">
        <f>IFERROR(INDEX('06_BANG_GIA_VAT_TU_AP_DUNG'!$E$1:$E$5000, MATCH(E300, '06_BANG_GIA_VAT_TU_AP_DUNG'!$B$1:$B$5000, 0)), 0)</f>
        <v/>
      </c>
      <c r="K300" s="16">
        <f>I300*J300</f>
        <v/>
      </c>
      <c r="L300" t="inlineStr">
        <is>
          <t>Khung OBD 200x200mm</t>
        </is>
      </c>
    </row>
    <row r="301">
      <c r="A301" t="inlineStr">
        <is>
          <t>SW-DIFF-120-OBD-BLADE</t>
        </is>
      </c>
      <c r="B301" t="inlineStr">
        <is>
          <t>SW-DIFF-120</t>
        </is>
      </c>
      <c r="C301" t="inlineStr">
        <is>
          <t>Nan nhôm &amp; thanh truyền van OBD (SOBD)</t>
        </is>
      </c>
      <c r="D301" t="inlineStr">
        <is>
          <t>NHÔM_ĐỊNH_HÌNH</t>
        </is>
      </c>
      <c r="E301" t="inlineStr">
        <is>
          <t>MAT-ALU-NAN-OBD</t>
        </is>
      </c>
      <c r="F301" t="inlineStr">
        <is>
          <t>kg</t>
        </is>
      </c>
      <c r="G301" s="20" t="n">
        <v>0.08679558974357889</v>
      </c>
      <c r="H301" s="16">
        <f>'00_TONG_HOP_BAO_GIA'!G121</f>
        <v/>
      </c>
      <c r="I301" s="21">
        <f>G301*H301</f>
        <v/>
      </c>
      <c r="J301" s="16">
        <f>IFERROR(INDEX('06_BANG_GIA_VAT_TU_AP_DUNG'!$E$1:$E$5000, MATCH(E301, '06_BANG_GIA_VAT_TU_AP_DUNG'!$B$1:$B$5000, 0)), 0)</f>
        <v/>
      </c>
      <c r="K301" s="16">
        <f>I301*J301</f>
        <v/>
      </c>
      <c r="L301" t="inlineStr">
        <is>
          <t>Nan OBD đối xứng &amp; thanh liên kết</t>
        </is>
      </c>
    </row>
    <row r="302">
      <c r="A302" t="inlineStr">
        <is>
          <t>SW-DIFF-120-OBD-ACC</t>
        </is>
      </c>
      <c r="B302" t="inlineStr">
        <is>
          <t>SW-DIFF-120</t>
        </is>
      </c>
      <c r="C302" t="inlineStr">
        <is>
          <t>Bánh răng nhựa &amp; phụ kiện van OBD</t>
        </is>
      </c>
      <c r="D302" t="inlineStr">
        <is>
          <t>PHỤ_KIỆN_CỬA</t>
        </is>
      </c>
      <c r="E302" t="inlineStr">
        <is>
          <t>MAT-DOOR-ACCESSORY</t>
        </is>
      </c>
      <c r="F302" t="inlineStr">
        <is>
          <t>Bộ</t>
        </is>
      </c>
      <c r="G302" s="20" t="n">
        <v>0.6012402831195829</v>
      </c>
      <c r="H302" s="16">
        <f>'00_TONG_HOP_BAO_GIA'!G121</f>
        <v/>
      </c>
      <c r="I302" s="21">
        <f>G302*H302</f>
        <v/>
      </c>
      <c r="J302" s="16">
        <f>IFERROR(INDEX('06_BANG_GIA_VAT_TU_AP_DUNG'!$E$1:$E$5000, MATCH(E302, '06_BANG_GIA_VAT_TU_AP_DUNG'!$B$1:$B$5000, 0)), 0)</f>
        <v/>
      </c>
      <c r="K302" s="16">
        <f>I302*J302</f>
        <v/>
      </c>
      <c r="L302" t="inlineStr">
        <is>
          <t>Cơ cấu bánh răng đóng mở OBD</t>
        </is>
      </c>
    </row>
    <row r="303">
      <c r="A303" t="inlineStr">
        <is>
          <t>SW-DIFF-121-FRAME</t>
        </is>
      </c>
      <c r="B303" t="inlineStr">
        <is>
          <t>SW-DIFF-121</t>
        </is>
      </c>
      <c r="C303" t="inlineStr">
        <is>
          <t>Khung nhôm định hình (1 lớp BD)</t>
        </is>
      </c>
      <c r="D303" t="inlineStr">
        <is>
          <t>NHÔM_ĐỊNH_HÌNH</t>
        </is>
      </c>
      <c r="E303" t="inlineStr">
        <is>
          <t>MAT-ALU-KHUNG-BD</t>
        </is>
      </c>
      <c r="F303" t="inlineStr">
        <is>
          <t>kg</t>
        </is>
      </c>
      <c r="G303" s="20" t="n">
        <v>0.1522746013870727</v>
      </c>
      <c r="H303" s="16">
        <f>'00_TONG_HOP_BAO_GIA'!G122</f>
        <v/>
      </c>
      <c r="I303" s="21">
        <f>G303*H303</f>
        <v/>
      </c>
      <c r="J303" s="16">
        <f>IFERROR(INDEX('06_BANG_GIA_VAT_TU_AP_DUNG'!$E$1:$E$5000, MATCH(E303, '06_BANG_GIA_VAT_TU_AP_DUNG'!$B$1:$B$5000, 0)), 0)</f>
        <v/>
      </c>
      <c r="K303" s="16">
        <f>I303*J303</f>
        <v/>
      </c>
      <c r="L303" t="inlineStr">
        <is>
          <t>Khung bao 200x200mm (cổ 150x150mm)</t>
        </is>
      </c>
    </row>
    <row r="304">
      <c r="A304" t="inlineStr">
        <is>
          <t>SW-DIFF-121-BLADE</t>
        </is>
      </c>
      <c r="B304" t="inlineStr">
        <is>
          <t>SW-DIFF-121</t>
        </is>
      </c>
      <c r="C304" t="inlineStr">
        <is>
          <t>Nan nhôm bầu dục (7 nan)</t>
        </is>
      </c>
      <c r="D304" t="inlineStr">
        <is>
          <t>NHÔM_ĐỊNH_HÌNH</t>
        </is>
      </c>
      <c r="E304" t="inlineStr">
        <is>
          <t>MAT-ALU-NAN-BD</t>
        </is>
      </c>
      <c r="F304" t="inlineStr">
        <is>
          <t>kg</t>
        </is>
      </c>
      <c r="G304" s="20" t="n">
        <v>0.0573856635177768</v>
      </c>
      <c r="H304" s="16">
        <f>'00_TONG_HOP_BAO_GIA'!G122</f>
        <v/>
      </c>
      <c r="I304" s="21">
        <f>G304*H304</f>
        <v/>
      </c>
      <c r="J304" s="16">
        <f>IFERROR(INDEX('06_BANG_GIA_VAT_TU_AP_DUNG'!$E$1:$E$5000, MATCH(E304, '06_BANG_GIA_VAT_TU_AP_DUNG'!$B$1:$B$5000, 0)), 0)</f>
        <v/>
      </c>
      <c r="K304" s="16">
        <f>I304*J304</f>
        <v/>
      </c>
      <c r="L304" t="inlineStr">
        <is>
          <t>Nan bầu dục @ 0.058kg/m</t>
        </is>
      </c>
    </row>
    <row r="305">
      <c r="A305" t="inlineStr">
        <is>
          <t>SW-DIFF-121-ACCESSORY</t>
        </is>
      </c>
      <c r="B305" t="inlineStr">
        <is>
          <t>SW-DIFF-121</t>
        </is>
      </c>
      <c r="C305" t="inlineStr">
        <is>
          <t>Phụ kiện lắp ghép / Ke góc cửa gió</t>
        </is>
      </c>
      <c r="D305" t="inlineStr">
        <is>
          <t>PHỤ_KIỆN_CỬA</t>
        </is>
      </c>
      <c r="E305" t="inlineStr">
        <is>
          <t>MAT-DOOR-ACCESSORY</t>
        </is>
      </c>
      <c r="F305" t="inlineStr">
        <is>
          <t>Bộ</t>
        </is>
      </c>
      <c r="G305" s="20" t="n">
        <v>0.0313972136028296</v>
      </c>
      <c r="H305" s="16">
        <f>'00_TONG_HOP_BAO_GIA'!G122</f>
        <v/>
      </c>
      <c r="I305" s="21">
        <f>G305*H305</f>
        <v/>
      </c>
      <c r="J305" s="16">
        <f>IFERROR(INDEX('06_BANG_GIA_VAT_TU_AP_DUNG'!$E$1:$E$5000, MATCH(E305, '06_BANG_GIA_VAT_TU_AP_DUNG'!$B$1:$B$5000, 0)), 0)</f>
        <v/>
      </c>
      <c r="K305" s="16">
        <f>I305*J305</f>
        <v/>
      </c>
      <c r="L305" t="inlineStr">
        <is>
          <t>4 ke góc chìm và vít ghép khung</t>
        </is>
      </c>
    </row>
    <row r="306">
      <c r="A306" t="inlineStr">
        <is>
          <t>SW-DIFF-121-PAINT</t>
        </is>
      </c>
      <c r="B306" t="inlineStr">
        <is>
          <t>SW-DIFF-121</t>
        </is>
      </c>
      <c r="C306" t="inlineStr">
        <is>
          <t>Sơn tĩnh điện tiêu chuẩn Polyester</t>
        </is>
      </c>
      <c r="D306" t="inlineStr">
        <is>
          <t>SƠN_TĨNH_ĐIỆN</t>
        </is>
      </c>
      <c r="E306" t="inlineStr">
        <is>
          <t>MAT-PAINT-POWDER</t>
        </is>
      </c>
      <c r="F306" t="inlineStr">
        <is>
          <t>m2</t>
        </is>
      </c>
      <c r="G306" s="20" t="n">
        <v>0.04324900213256998</v>
      </c>
      <c r="H306" s="16">
        <f>'00_TONG_HOP_BAO_GIA'!G122</f>
        <v/>
      </c>
      <c r="I306" s="21">
        <f>G306*H306</f>
        <v/>
      </c>
      <c r="J306" s="16">
        <f>IFERROR(INDEX('06_BANG_GIA_VAT_TU_AP_DUNG'!$E$1:$E$5000, MATCH(E306, '06_BANG_GIA_VAT_TU_AP_DUNG'!$B$1:$B$5000, 0)), 0)</f>
        <v/>
      </c>
      <c r="K306" s="16">
        <f>I306*J306</f>
        <v/>
      </c>
      <c r="L306" t="inlineStr">
        <is>
          <t>Sơn tĩnh điện hoàn thiện</t>
        </is>
      </c>
    </row>
    <row r="307">
      <c r="A307" t="inlineStr">
        <is>
          <t>SW-DIFF-122-FRAME</t>
        </is>
      </c>
      <c r="B307" t="inlineStr">
        <is>
          <t>SW-DIFF-122</t>
        </is>
      </c>
      <c r="C307" t="inlineStr">
        <is>
          <t>Khung nhôm định hình (1 lớp BD)</t>
        </is>
      </c>
      <c r="D307" t="inlineStr">
        <is>
          <t>NHÔM_ĐỊNH_HÌNH</t>
        </is>
      </c>
      <c r="E307" t="inlineStr">
        <is>
          <t>MAT-ALU-KHUNG-BD</t>
        </is>
      </c>
      <c r="F307" t="inlineStr">
        <is>
          <t>kg</t>
        </is>
      </c>
      <c r="G307" s="20" t="n">
        <v>0.5370744017502842</v>
      </c>
      <c r="H307" s="16">
        <f>'00_TONG_HOP_BAO_GIA'!G123</f>
        <v/>
      </c>
      <c r="I307" s="21">
        <f>G307*H307</f>
        <v/>
      </c>
      <c r="J307" s="16">
        <f>IFERROR(INDEX('06_BANG_GIA_VAT_TU_AP_DUNG'!$E$1:$E$5000, MATCH(E307, '06_BANG_GIA_VAT_TU_AP_DUNG'!$B$1:$B$5000, 0)), 0)</f>
        <v/>
      </c>
      <c r="K307" s="16">
        <f>I307*J307</f>
        <v/>
      </c>
      <c r="L307" t="inlineStr">
        <is>
          <t>Khung bao 1100x400mm (cổ 1050x350mm)</t>
        </is>
      </c>
    </row>
    <row r="308">
      <c r="A308" t="inlineStr">
        <is>
          <t>SW-DIFF-122-BLADE</t>
        </is>
      </c>
      <c r="B308" t="inlineStr">
        <is>
          <t>SW-DIFF-122</t>
        </is>
      </c>
      <c r="C308" t="inlineStr">
        <is>
          <t>Nan nhôm bầu dục (17 nan)</t>
        </is>
      </c>
      <c r="D308" t="inlineStr">
        <is>
          <t>NHÔM_ĐỊNH_HÌNH</t>
        </is>
      </c>
      <c r="E308" t="inlineStr">
        <is>
          <t>MAT-ALU-NAN-BD</t>
        </is>
      </c>
      <c r="F308" t="inlineStr">
        <is>
          <t>kg</t>
        </is>
      </c>
      <c r="G308" s="20" t="n">
        <v>0.9666779000905238</v>
      </c>
      <c r="H308" s="16">
        <f>'00_TONG_HOP_BAO_GIA'!G123</f>
        <v/>
      </c>
      <c r="I308" s="21">
        <f>G308*H308</f>
        <v/>
      </c>
      <c r="J308" s="16">
        <f>IFERROR(INDEX('06_BANG_GIA_VAT_TU_AP_DUNG'!$E$1:$E$5000, MATCH(E308, '06_BANG_GIA_VAT_TU_AP_DUNG'!$B$1:$B$5000, 0)), 0)</f>
        <v/>
      </c>
      <c r="K308" s="16">
        <f>I308*J308</f>
        <v/>
      </c>
      <c r="L308" t="inlineStr">
        <is>
          <t>Nan bầu dục @ 0.058kg/m</t>
        </is>
      </c>
    </row>
    <row r="309">
      <c r="A309" t="inlineStr">
        <is>
          <t>SW-DIFF-122-ACCESSORY</t>
        </is>
      </c>
      <c r="B309" t="inlineStr">
        <is>
          <t>SW-DIFF-122</t>
        </is>
      </c>
      <c r="C309" t="inlineStr">
        <is>
          <t>Phụ kiện lắp ghép / Ke góc cửa gió</t>
        </is>
      </c>
      <c r="D309" t="inlineStr">
        <is>
          <t>PHỤ_KIỆN_CỬA</t>
        </is>
      </c>
      <c r="E309" t="inlineStr">
        <is>
          <t>MAT-DOOR-ACCESSORY</t>
        </is>
      </c>
      <c r="F309" t="inlineStr">
        <is>
          <t>Bộ</t>
        </is>
      </c>
      <c r="G309" s="20" t="n">
        <v>0.07555643357029379</v>
      </c>
      <c r="H309" s="16">
        <f>'00_TONG_HOP_BAO_GIA'!G123</f>
        <v/>
      </c>
      <c r="I309" s="21">
        <f>G309*H309</f>
        <v/>
      </c>
      <c r="J309" s="16">
        <f>IFERROR(INDEX('06_BANG_GIA_VAT_TU_AP_DUNG'!$E$1:$E$5000, MATCH(E309, '06_BANG_GIA_VAT_TU_AP_DUNG'!$B$1:$B$5000, 0)), 0)</f>
        <v/>
      </c>
      <c r="K309" s="16">
        <f>I309*J309</f>
        <v/>
      </c>
      <c r="L309" t="inlineStr">
        <is>
          <t>4 ke góc chìm và vít ghép khung</t>
        </is>
      </c>
    </row>
    <row r="310">
      <c r="A310" t="inlineStr">
        <is>
          <t>SW-DIFF-122-PAINT</t>
        </is>
      </c>
      <c r="B310" t="inlineStr">
        <is>
          <t>SW-DIFF-122</t>
        </is>
      </c>
      <c r="C310" t="inlineStr">
        <is>
          <t>Sơn tĩnh điện tiêu chuẩn Polyester</t>
        </is>
      </c>
      <c r="D310" t="inlineStr">
        <is>
          <t>SƠN_TĨNH_ĐIỆN</t>
        </is>
      </c>
      <c r="E310" t="inlineStr">
        <is>
          <t>MAT-PAINT-POWDER</t>
        </is>
      </c>
      <c r="F310" t="inlineStr">
        <is>
          <t>m2</t>
        </is>
      </c>
      <c r="G310" s="20" t="n">
        <v>0.329478338555803</v>
      </c>
      <c r="H310" s="16">
        <f>'00_TONG_HOP_BAO_GIA'!G123</f>
        <v/>
      </c>
      <c r="I310" s="21">
        <f>G310*H310</f>
        <v/>
      </c>
      <c r="J310" s="16">
        <f>IFERROR(INDEX('06_BANG_GIA_VAT_TU_AP_DUNG'!$E$1:$E$5000, MATCH(E310, '06_BANG_GIA_VAT_TU_AP_DUNG'!$B$1:$B$5000, 0)), 0)</f>
        <v/>
      </c>
      <c r="K310" s="16">
        <f>I310*J310</f>
        <v/>
      </c>
      <c r="L310" t="inlineStr">
        <is>
          <t>Sơn tĩnh điện hoàn thiện</t>
        </is>
      </c>
    </row>
    <row r="311">
      <c r="A311" t="inlineStr">
        <is>
          <t>SW-DIFF-123-FRAME</t>
        </is>
      </c>
      <c r="B311" t="inlineStr">
        <is>
          <t>SW-DIFF-123</t>
        </is>
      </c>
      <c r="C311" t="inlineStr">
        <is>
          <t>Khung nhôm định hình (1 lớp BD)</t>
        </is>
      </c>
      <c r="D311" t="inlineStr">
        <is>
          <t>NHÔM_ĐỊNH_HÌNH</t>
        </is>
      </c>
      <c r="E311" t="inlineStr">
        <is>
          <t>MAT-ALU-KHUNG-BD</t>
        </is>
      </c>
      <c r="F311" t="inlineStr">
        <is>
          <t>kg</t>
        </is>
      </c>
      <c r="G311" s="20" t="n">
        <v>0.3020428523918986</v>
      </c>
      <c r="H311" s="16">
        <f>'00_TONG_HOP_BAO_GIA'!G124</f>
        <v/>
      </c>
      <c r="I311" s="21">
        <f>G311*H311</f>
        <v/>
      </c>
      <c r="J311" s="16">
        <f>IFERROR(INDEX('06_BANG_GIA_VAT_TU_AP_DUNG'!$E$1:$E$5000, MATCH(E311, '06_BANG_GIA_VAT_TU_AP_DUNG'!$B$1:$B$5000, 0)), 0)</f>
        <v/>
      </c>
      <c r="K311" s="16">
        <f>I311*J311</f>
        <v/>
      </c>
      <c r="L311" t="inlineStr">
        <is>
          <t>Khung bao 400x400mm (cổ 350x350mm)</t>
        </is>
      </c>
    </row>
    <row r="312">
      <c r="A312" t="inlineStr">
        <is>
          <t>SW-DIFF-123-BLADE</t>
        </is>
      </c>
      <c r="B312" t="inlineStr">
        <is>
          <t>SW-DIFF-123</t>
        </is>
      </c>
      <c r="C312" t="inlineStr">
        <is>
          <t>Nan nhôm bầu dục (17 nan)</t>
        </is>
      </c>
      <c r="D312" t="inlineStr">
        <is>
          <t>NHÔM_ĐỊNH_HÌNH</t>
        </is>
      </c>
      <c r="E312" t="inlineStr">
        <is>
          <t>MAT-ALU-NAN-BD</t>
        </is>
      </c>
      <c r="F312" t="inlineStr">
        <is>
          <t>kg</t>
        </is>
      </c>
      <c r="G312" s="20" t="n">
        <v>0.3225092461647407</v>
      </c>
      <c r="H312" s="16">
        <f>'00_TONG_HOP_BAO_GIA'!G124</f>
        <v/>
      </c>
      <c r="I312" s="21">
        <f>G312*H312</f>
        <v/>
      </c>
      <c r="J312" s="16">
        <f>IFERROR(INDEX('06_BANG_GIA_VAT_TU_AP_DUNG'!$E$1:$E$5000, MATCH(E312, '06_BANG_GIA_VAT_TU_AP_DUNG'!$B$1:$B$5000, 0)), 0)</f>
        <v/>
      </c>
      <c r="K312" s="16">
        <f>I312*J312</f>
        <v/>
      </c>
      <c r="L312" t="inlineStr">
        <is>
          <t>Nan bầu dục @ 0.058kg/m</t>
        </is>
      </c>
    </row>
    <row r="313">
      <c r="A313" t="inlineStr">
        <is>
          <t>SW-DIFF-123-ACCESSORY</t>
        </is>
      </c>
      <c r="B313" t="inlineStr">
        <is>
          <t>SW-DIFF-123</t>
        </is>
      </c>
      <c r="C313" t="inlineStr">
        <is>
          <t>Phụ kiện lắp ghép / Ke góc cửa gió</t>
        </is>
      </c>
      <c r="D313" t="inlineStr">
        <is>
          <t>PHỤ_KIỆN_CỬA</t>
        </is>
      </c>
      <c r="E313" t="inlineStr">
        <is>
          <t>MAT-DOOR-ACCESSORY</t>
        </is>
      </c>
      <c r="F313" t="inlineStr">
        <is>
          <t>Bộ</t>
        </is>
      </c>
      <c r="G313" s="20" t="n">
        <v>0.07562285772138748</v>
      </c>
      <c r="H313" s="16">
        <f>'00_TONG_HOP_BAO_GIA'!G124</f>
        <v/>
      </c>
      <c r="I313" s="21">
        <f>G313*H313</f>
        <v/>
      </c>
      <c r="J313" s="16">
        <f>IFERROR(INDEX('06_BANG_GIA_VAT_TU_AP_DUNG'!$E$1:$E$5000, MATCH(E313, '06_BANG_GIA_VAT_TU_AP_DUNG'!$B$1:$B$5000, 0)), 0)</f>
        <v/>
      </c>
      <c r="K313" s="16">
        <f>I313*J313</f>
        <v/>
      </c>
      <c r="L313" t="inlineStr">
        <is>
          <t>4 ke góc chìm và vít ghép khung</t>
        </is>
      </c>
    </row>
    <row r="314">
      <c r="A314" t="inlineStr">
        <is>
          <t>SW-DIFF-123-PAINT</t>
        </is>
      </c>
      <c r="B314" t="inlineStr">
        <is>
          <t>SW-DIFF-123</t>
        </is>
      </c>
      <c r="C314" t="inlineStr">
        <is>
          <t>Sơn tĩnh điện tiêu chuẩn Polyester</t>
        </is>
      </c>
      <c r="D314" t="inlineStr">
        <is>
          <t>SƠN_TĨNH_ĐIỆN</t>
        </is>
      </c>
      <c r="E314" t="inlineStr">
        <is>
          <t>MAT-PAINT-POWDER</t>
        </is>
      </c>
      <c r="F314" t="inlineStr">
        <is>
          <t>m2</t>
        </is>
      </c>
      <c r="G314" s="20" t="n">
        <v>0.1325310206876413</v>
      </c>
      <c r="H314" s="16">
        <f>'00_TONG_HOP_BAO_GIA'!G124</f>
        <v/>
      </c>
      <c r="I314" s="21">
        <f>G314*H314</f>
        <v/>
      </c>
      <c r="J314" s="16">
        <f>IFERROR(INDEX('06_BANG_GIA_VAT_TU_AP_DUNG'!$E$1:$E$5000, MATCH(E314, '06_BANG_GIA_VAT_TU_AP_DUNG'!$B$1:$B$5000, 0)), 0)</f>
        <v/>
      </c>
      <c r="K314" s="16">
        <f>I314*J314</f>
        <v/>
      </c>
      <c r="L314" t="inlineStr">
        <is>
          <t>Sơn tĩnh điện hoàn thiện</t>
        </is>
      </c>
    </row>
    <row r="315">
      <c r="A315" t="inlineStr">
        <is>
          <t>SW-DIFF-123-OBD-FRAME</t>
        </is>
      </c>
      <c r="B315" t="inlineStr">
        <is>
          <t>SW-DIFF-123</t>
        </is>
      </c>
      <c r="C315" t="inlineStr">
        <is>
          <t>Khung nhôm van OBD gắn cửa (SOBD)</t>
        </is>
      </c>
      <c r="D315" t="inlineStr">
        <is>
          <t>NHÔM_ĐỊNH_HÌNH</t>
        </is>
      </c>
      <c r="E315" t="inlineStr">
        <is>
          <t>MAT-ALU-KHUNG-OBD</t>
        </is>
      </c>
      <c r="F315" t="inlineStr">
        <is>
          <t>kg</t>
        </is>
      </c>
      <c r="G315" s="20" t="n">
        <v>0.192275436997365</v>
      </c>
      <c r="H315" s="16">
        <f>'00_TONG_HOP_BAO_GIA'!G124</f>
        <v/>
      </c>
      <c r="I315" s="21">
        <f>G315*H315</f>
        <v/>
      </c>
      <c r="J315" s="16">
        <f>IFERROR(INDEX('06_BANG_GIA_VAT_TU_AP_DUNG'!$E$1:$E$5000, MATCH(E315, '06_BANG_GIA_VAT_TU_AP_DUNG'!$B$1:$B$5000, 0)), 0)</f>
        <v/>
      </c>
      <c r="K315" s="16">
        <f>I315*J315</f>
        <v/>
      </c>
      <c r="L315" t="inlineStr">
        <is>
          <t>Khung OBD 350x350mm</t>
        </is>
      </c>
    </row>
    <row r="316">
      <c r="A316" t="inlineStr">
        <is>
          <t>SW-DIFF-123-OBD-BLADE</t>
        </is>
      </c>
      <c r="B316" t="inlineStr">
        <is>
          <t>SW-DIFF-123</t>
        </is>
      </c>
      <c r="C316" t="inlineStr">
        <is>
          <t>Nan nhôm &amp; thanh truyền van OBD (SOBD)</t>
        </is>
      </c>
      <c r="D316" t="inlineStr">
        <is>
          <t>NHÔM_ĐỊNH_HÌNH</t>
        </is>
      </c>
      <c r="E316" t="inlineStr">
        <is>
          <t>MAT-ALU-NAN-OBD</t>
        </is>
      </c>
      <c r="F316" t="inlineStr">
        <is>
          <t>kg</t>
        </is>
      </c>
      <c r="G316" s="20" t="n">
        <v>0.2662041255897064</v>
      </c>
      <c r="H316" s="16">
        <f>'00_TONG_HOP_BAO_GIA'!G124</f>
        <v/>
      </c>
      <c r="I316" s="21">
        <f>G316*H316</f>
        <v/>
      </c>
      <c r="J316" s="16">
        <f>IFERROR(INDEX('06_BANG_GIA_VAT_TU_AP_DUNG'!$E$1:$E$5000, MATCH(E316, '06_BANG_GIA_VAT_TU_AP_DUNG'!$B$1:$B$5000, 0)), 0)</f>
        <v/>
      </c>
      <c r="K316" s="16">
        <f>I316*J316</f>
        <v/>
      </c>
      <c r="L316" t="inlineStr">
        <is>
          <t>Nan OBD đối xứng &amp; thanh liên kết</t>
        </is>
      </c>
    </row>
    <row r="317">
      <c r="A317" t="inlineStr">
        <is>
          <t>SW-DIFF-123-OBD-ACC</t>
        </is>
      </c>
      <c r="B317" t="inlineStr">
        <is>
          <t>SW-DIFF-123</t>
        </is>
      </c>
      <c r="C317" t="inlineStr">
        <is>
          <t>Bánh răng nhựa &amp; phụ kiện van OBD</t>
        </is>
      </c>
      <c r="D317" t="inlineStr">
        <is>
          <t>PHỤ_KIỆN_CỬA</t>
        </is>
      </c>
      <c r="E317" t="inlineStr">
        <is>
          <t>MAT-DOOR-ACCESSORY</t>
        </is>
      </c>
      <c r="F317" t="inlineStr">
        <is>
          <t>Bộ</t>
        </is>
      </c>
      <c r="G317" s="20" t="n">
        <v>0.8730861499995725</v>
      </c>
      <c r="H317" s="16">
        <f>'00_TONG_HOP_BAO_GIA'!G124</f>
        <v/>
      </c>
      <c r="I317" s="21">
        <f>G317*H317</f>
        <v/>
      </c>
      <c r="J317" s="16">
        <f>IFERROR(INDEX('06_BANG_GIA_VAT_TU_AP_DUNG'!$E$1:$E$5000, MATCH(E317, '06_BANG_GIA_VAT_TU_AP_DUNG'!$B$1:$B$5000, 0)), 0)</f>
        <v/>
      </c>
      <c r="K317" s="16">
        <f>I317*J317</f>
        <v/>
      </c>
      <c r="L317" t="inlineStr">
        <is>
          <t>Cơ cấu bánh răng đóng mở OBD</t>
        </is>
      </c>
    </row>
    <row r="318">
      <c r="A318" t="inlineStr">
        <is>
          <t>SW-DIFF-124-FRAME</t>
        </is>
      </c>
      <c r="B318" t="inlineStr">
        <is>
          <t>SW-DIFF-124</t>
        </is>
      </c>
      <c r="C318" t="inlineStr">
        <is>
          <t>Khung nhôm định hình (1 lớp BD)</t>
        </is>
      </c>
      <c r="D318" t="inlineStr">
        <is>
          <t>NHÔM_ĐỊNH_HÌNH</t>
        </is>
      </c>
      <c r="E318" t="inlineStr">
        <is>
          <t>MAT-ALU-KHUNG-BD</t>
        </is>
      </c>
      <c r="F318" t="inlineStr">
        <is>
          <t>kg</t>
        </is>
      </c>
      <c r="G318" s="20" t="n">
        <v>0.5456412315449407</v>
      </c>
      <c r="H318" s="16">
        <f>'00_TONG_HOP_BAO_GIA'!G125</f>
        <v/>
      </c>
      <c r="I318" s="21">
        <f>G318*H318</f>
        <v/>
      </c>
      <c r="J318" s="16">
        <f>IFERROR(INDEX('06_BANG_GIA_VAT_TU_AP_DUNG'!$E$1:$E$5000, MATCH(E318, '06_BANG_GIA_VAT_TU_AP_DUNG'!$B$1:$B$5000, 0)), 0)</f>
        <v/>
      </c>
      <c r="K318" s="16">
        <f>I318*J318</f>
        <v/>
      </c>
      <c r="L318" t="inlineStr">
        <is>
          <t>Khung bao 1000x500mm (cổ 950x450mm)</t>
        </is>
      </c>
    </row>
    <row r="319">
      <c r="A319" t="inlineStr">
        <is>
          <t>SW-DIFF-124-BLADE</t>
        </is>
      </c>
      <c r="B319" t="inlineStr">
        <is>
          <t>SW-DIFF-124</t>
        </is>
      </c>
      <c r="C319" t="inlineStr">
        <is>
          <t>Nan nhôm bầu dục (22 nan)</t>
        </is>
      </c>
      <c r="D319" t="inlineStr">
        <is>
          <t>NHÔM_ĐỊNH_HÌNH</t>
        </is>
      </c>
      <c r="E319" t="inlineStr">
        <is>
          <t>MAT-ALU-NAN-BD</t>
        </is>
      </c>
      <c r="F319" t="inlineStr">
        <is>
          <t>kg</t>
        </is>
      </c>
      <c r="G319" s="20" t="n">
        <v>1.132579282326673</v>
      </c>
      <c r="H319" s="16">
        <f>'00_TONG_HOP_BAO_GIA'!G125</f>
        <v/>
      </c>
      <c r="I319" s="21">
        <f>G319*H319</f>
        <v/>
      </c>
      <c r="J319" s="16">
        <f>IFERROR(INDEX('06_BANG_GIA_VAT_TU_AP_DUNG'!$E$1:$E$5000, MATCH(E319, '06_BANG_GIA_VAT_TU_AP_DUNG'!$B$1:$B$5000, 0)), 0)</f>
        <v/>
      </c>
      <c r="K319" s="16">
        <f>I319*J319</f>
        <v/>
      </c>
      <c r="L319" t="inlineStr">
        <is>
          <t>Nan bầu dục @ 0.058kg/m</t>
        </is>
      </c>
    </row>
    <row r="320">
      <c r="A320" t="inlineStr">
        <is>
          <t>SW-DIFF-124-ACCESSORY</t>
        </is>
      </c>
      <c r="B320" t="inlineStr">
        <is>
          <t>SW-DIFF-124</t>
        </is>
      </c>
      <c r="C320" t="inlineStr">
        <is>
          <t>Phụ kiện lắp ghép / Ke góc cửa gió</t>
        </is>
      </c>
      <c r="D320" t="inlineStr">
        <is>
          <t>PHỤ_KIỆN_CỬA</t>
        </is>
      </c>
      <c r="E320" t="inlineStr">
        <is>
          <t>MAT-DOOR-ACCESSORY</t>
        </is>
      </c>
      <c r="F320" t="inlineStr">
        <is>
          <t>Bộ</t>
        </is>
      </c>
      <c r="G320" s="20" t="n">
        <v>0.09784169480716814</v>
      </c>
      <c r="H320" s="16">
        <f>'00_TONG_HOP_BAO_GIA'!G125</f>
        <v/>
      </c>
      <c r="I320" s="21">
        <f>G320*H320</f>
        <v/>
      </c>
      <c r="J320" s="16">
        <f>IFERROR(INDEX('06_BANG_GIA_VAT_TU_AP_DUNG'!$E$1:$E$5000, MATCH(E320, '06_BANG_GIA_VAT_TU_AP_DUNG'!$B$1:$B$5000, 0)), 0)</f>
        <v/>
      </c>
      <c r="K320" s="16">
        <f>I320*J320</f>
        <v/>
      </c>
      <c r="L320" t="inlineStr">
        <is>
          <t>4 ke góc chìm và vít ghép khung</t>
        </is>
      </c>
    </row>
    <row r="321">
      <c r="A321" t="inlineStr">
        <is>
          <t>SW-DIFF-124-PAINT</t>
        </is>
      </c>
      <c r="B321" t="inlineStr">
        <is>
          <t>SW-DIFF-124</t>
        </is>
      </c>
      <c r="C321" t="inlineStr">
        <is>
          <t>Sơn tĩnh điện tiêu chuẩn Polyester</t>
        </is>
      </c>
      <c r="D321" t="inlineStr">
        <is>
          <t>SƠN_TĨNH_ĐIỆN</t>
        </is>
      </c>
      <c r="E321" t="inlineStr">
        <is>
          <t>MAT-PAINT-POWDER</t>
        </is>
      </c>
      <c r="F321" t="inlineStr">
        <is>
          <t>m2</t>
        </is>
      </c>
      <c r="G321" s="20" t="n">
        <v>0.3667127650077433</v>
      </c>
      <c r="H321" s="16">
        <f>'00_TONG_HOP_BAO_GIA'!G125</f>
        <v/>
      </c>
      <c r="I321" s="21">
        <f>G321*H321</f>
        <v/>
      </c>
      <c r="J321" s="16">
        <f>IFERROR(INDEX('06_BANG_GIA_VAT_TU_AP_DUNG'!$E$1:$E$5000, MATCH(E321, '06_BANG_GIA_VAT_TU_AP_DUNG'!$B$1:$B$5000, 0)), 0)</f>
        <v/>
      </c>
      <c r="K321" s="16">
        <f>I321*J321</f>
        <v/>
      </c>
      <c r="L321" t="inlineStr">
        <is>
          <t>Sơn tĩnh điện hoàn thiện</t>
        </is>
      </c>
    </row>
    <row r="322">
      <c r="A322" t="inlineStr">
        <is>
          <t>SW-DIFF-125-FRAME</t>
        </is>
      </c>
      <c r="B322" t="inlineStr">
        <is>
          <t>SW-DIFF-125</t>
        </is>
      </c>
      <c r="C322" t="inlineStr">
        <is>
          <t>Khung nhôm định hình Louver (SWL)</t>
        </is>
      </c>
      <c r="D322" t="inlineStr">
        <is>
          <t>NHÔM_ĐỊNH_HÌNH</t>
        </is>
      </c>
      <c r="E322" t="inlineStr">
        <is>
          <t>MAT-ALU-KHUNG-Z-2-LOP</t>
        </is>
      </c>
      <c r="F322" t="inlineStr">
        <is>
          <t>kg</t>
        </is>
      </c>
      <c r="G322" s="20" t="n">
        <v>0.8402278394226783</v>
      </c>
      <c r="H322" s="16">
        <f>'00_TONG_HOP_BAO_GIA'!G126</f>
        <v/>
      </c>
      <c r="I322" s="21">
        <f>G322*H322</f>
        <v/>
      </c>
      <c r="J322" s="16">
        <f>IFERROR(INDEX('06_BANG_GIA_VAT_TU_AP_DUNG'!$E$1:$E$5000, MATCH(E322, '06_BANG_GIA_VAT_TU_AP_DUNG'!$B$1:$B$5000, 0)), 0)</f>
        <v/>
      </c>
      <c r="K322" s="16">
        <f>I322*J322</f>
        <v/>
      </c>
      <c r="L322" t="inlineStr">
        <is>
          <t>Khung Louver phủ bì 1300x500mm</t>
        </is>
      </c>
    </row>
    <row r="323">
      <c r="A323" t="inlineStr">
        <is>
          <t>SW-DIFF-125-BLADE</t>
        </is>
      </c>
      <c r="B323" t="inlineStr">
        <is>
          <t>SW-DIFF-125</t>
        </is>
      </c>
      <c r="C323" t="inlineStr">
        <is>
          <t>Nan Z Louver &amp; thanh tăng cứng (10 nan)</t>
        </is>
      </c>
      <c r="D323" t="inlineStr">
        <is>
          <t>NHÔM_ĐỊNH_HÌNH</t>
        </is>
      </c>
      <c r="E323" t="inlineStr">
        <is>
          <t>MAT-ALU-NAN-Z-DAY</t>
        </is>
      </c>
      <c r="F323" t="inlineStr">
        <is>
          <t>kg</t>
        </is>
      </c>
      <c r="G323" s="20" t="n">
        <v>2.857103671301687</v>
      </c>
      <c r="H323" s="16">
        <f>'00_TONG_HOP_BAO_GIA'!G126</f>
        <v/>
      </c>
      <c r="I323" s="21">
        <f>G323*H323</f>
        <v/>
      </c>
      <c r="J323" s="16">
        <f>IFERROR(INDEX('06_BANG_GIA_VAT_TU_AP_DUNG'!$E$1:$E$5000, MATCH(E323, '06_BANG_GIA_VAT_TU_AP_DUNG'!$B$1:$B$5000, 0)), 0)</f>
        <v/>
      </c>
      <c r="K323" s="16">
        <f>I323*J323</f>
        <v/>
      </c>
      <c r="L323" t="inlineStr">
        <is>
          <t>10 nan Z dày @ 0.217kg/m + thanh giằng</t>
        </is>
      </c>
    </row>
    <row r="324">
      <c r="A324" t="inlineStr">
        <is>
          <t>SW-DIFF-125-ACCESSORY</t>
        </is>
      </c>
      <c r="B324" t="inlineStr">
        <is>
          <t>SW-DIFF-125</t>
        </is>
      </c>
      <c r="C324" t="inlineStr">
        <is>
          <t>Phụ kiện lắp ghép / Ke góc cửa gió</t>
        </is>
      </c>
      <c r="D324" t="inlineStr">
        <is>
          <t>PHỤ_KIỆN_CỬA</t>
        </is>
      </c>
      <c r="E324" t="inlineStr">
        <is>
          <t>MAT-DOOR-ACCESSORY</t>
        </is>
      </c>
      <c r="F324" t="inlineStr">
        <is>
          <t>Bộ</t>
        </is>
      </c>
      <c r="G324" s="20" t="n">
        <v>0.08898421473884104</v>
      </c>
      <c r="H324" s="16">
        <f>'00_TONG_HOP_BAO_GIA'!G126</f>
        <v/>
      </c>
      <c r="I324" s="21">
        <f>G324*H324</f>
        <v/>
      </c>
      <c r="J324" s="16">
        <f>IFERROR(INDEX('06_BANG_GIA_VAT_TU_AP_DUNG'!$E$1:$E$5000, MATCH(E324, '06_BANG_GIA_VAT_TU_AP_DUNG'!$B$1:$B$5000, 0)), 0)</f>
        <v/>
      </c>
      <c r="K324" s="16">
        <f>I324*J324</f>
        <v/>
      </c>
      <c r="L324" t="inlineStr">
        <is>
          <t>Ke góc và vít ghép khung Louver</t>
        </is>
      </c>
    </row>
    <row r="325">
      <c r="A325" t="inlineStr">
        <is>
          <t>SW-DIFF-125-PAINT</t>
        </is>
      </c>
      <c r="B325" t="inlineStr">
        <is>
          <t>SW-DIFF-125</t>
        </is>
      </c>
      <c r="C325" t="inlineStr">
        <is>
          <t>Sơn tĩnh điện tiêu chuẩn Polyester</t>
        </is>
      </c>
      <c r="D325" t="inlineStr">
        <is>
          <t>SƠN_TĨNH_ĐIỆN</t>
        </is>
      </c>
      <c r="E325" t="inlineStr">
        <is>
          <t>MAT-PAINT-POWDER</t>
        </is>
      </c>
      <c r="F325" t="inlineStr">
        <is>
          <t>m2</t>
        </is>
      </c>
      <c r="G325" s="20" t="n">
        <v>0.7344861771855395</v>
      </c>
      <c r="H325" s="16">
        <f>'00_TONG_HOP_BAO_GIA'!G126</f>
        <v/>
      </c>
      <c r="I325" s="21">
        <f>G325*H325</f>
        <v/>
      </c>
      <c r="J325" s="16">
        <f>IFERROR(INDEX('06_BANG_GIA_VAT_TU_AP_DUNG'!$E$1:$E$5000, MATCH(E325, '06_BANG_GIA_VAT_TU_AP_DUNG'!$B$1:$B$5000, 0)), 0)</f>
        <v/>
      </c>
      <c r="K325" s="16">
        <f>I325*J325</f>
        <v/>
      </c>
      <c r="L325" t="inlineStr">
        <is>
          <t>Sơn tĩnh điện khung và nan Louver</t>
        </is>
      </c>
    </row>
    <row r="326">
      <c r="A326" t="inlineStr">
        <is>
          <t>SW-DIFF-125-MESH</t>
        </is>
      </c>
      <c r="B326" t="inlineStr">
        <is>
          <t>SW-DIFF-125</t>
        </is>
      </c>
      <c r="C326" t="inlineStr">
        <is>
          <t>Lưới chắn côn trùng Inox 304 (LCCT)</t>
        </is>
      </c>
      <c r="D326" t="inlineStr">
        <is>
          <t>PHỤ_KIỆN_CỬA</t>
        </is>
      </c>
      <c r="E326" t="inlineStr">
        <is>
          <t>MAT-MESH-INOX-304</t>
        </is>
      </c>
      <c r="F326" t="inlineStr">
        <is>
          <t>m2</t>
        </is>
      </c>
      <c r="G326" s="20" t="n">
        <v>0.3515379786566227</v>
      </c>
      <c r="H326" s="16">
        <f>'00_TONG_HOP_BAO_GIA'!G126</f>
        <v/>
      </c>
      <c r="I326" s="21">
        <f>G326*H326</f>
        <v/>
      </c>
      <c r="J326" s="16">
        <f>IFERROR(INDEX('06_BANG_GIA_VAT_TU_AP_DUNG'!$E$1:$E$5000, MATCH(E326, '06_BANG_GIA_VAT_TU_AP_DUNG'!$B$1:$B$5000, 0)), 0)</f>
        <v/>
      </c>
      <c r="K326" s="16">
        <f>I326*J326</f>
        <v/>
      </c>
      <c r="L326" t="inlineStr">
        <is>
          <t>Lưới chắn côn trùng cổ 1250x450mm</t>
        </is>
      </c>
    </row>
    <row r="327">
      <c r="A327" t="inlineStr">
        <is>
          <t>SW-DIFF-126-MESH</t>
        </is>
      </c>
      <c r="B327" t="inlineStr">
        <is>
          <t>SW-DIFF-126</t>
        </is>
      </c>
      <c r="C327" t="inlineStr">
        <is>
          <t>Lưới chắn côn trùng Inox 304 (LCCT)</t>
        </is>
      </c>
      <c r="D327" t="inlineStr">
        <is>
          <t>PHỤ_KIỆN_CỬA</t>
        </is>
      </c>
      <c r="E327" t="inlineStr">
        <is>
          <t>MAT-MESH-INOX-304</t>
        </is>
      </c>
      <c r="F327" t="inlineStr">
        <is>
          <t>m2</t>
        </is>
      </c>
      <c r="G327" s="20" t="n">
        <v>0.5356769198577108</v>
      </c>
      <c r="H327" s="16">
        <f>'00_TONG_HOP_BAO_GIA'!G127</f>
        <v/>
      </c>
      <c r="I327" s="21">
        <f>G327*H327</f>
        <v/>
      </c>
      <c r="J327" s="16">
        <f>IFERROR(INDEX('06_BANG_GIA_VAT_TU_AP_DUNG'!$E$1:$E$5000, MATCH(E327, '06_BANG_GIA_VAT_TU_AP_DUNG'!$B$1:$B$5000, 0)), 0)</f>
        <v/>
      </c>
      <c r="K327" s="16">
        <f>I327*J327</f>
        <v/>
      </c>
      <c r="L327" t="inlineStr">
        <is>
          <t>Lưới chắn côn trùng 800x800mm</t>
        </is>
      </c>
    </row>
    <row r="328">
      <c r="A328" t="inlineStr">
        <is>
          <t>SW-DIFF-127-MESH</t>
        </is>
      </c>
      <c r="B328" t="inlineStr">
        <is>
          <t>SW-DIFF-127</t>
        </is>
      </c>
      <c r="C328" t="inlineStr">
        <is>
          <t>Lưới chắn côn trùng Inox 304 (LCCT)</t>
        </is>
      </c>
      <c r="D328" t="inlineStr">
        <is>
          <t>PHỤ_KIỆN_CỬA</t>
        </is>
      </c>
      <c r="E328" t="inlineStr">
        <is>
          <t>MAT-MESH-INOX-304</t>
        </is>
      </c>
      <c r="F328" t="inlineStr">
        <is>
          <t>m2</t>
        </is>
      </c>
      <c r="G328" s="20" t="n">
        <v>0.8038501778614773</v>
      </c>
      <c r="H328" s="16">
        <f>'00_TONG_HOP_BAO_GIA'!G128</f>
        <v/>
      </c>
      <c r="I328" s="21">
        <f>G328*H328</f>
        <v/>
      </c>
      <c r="J328" s="16">
        <f>IFERROR(INDEX('06_BANG_GIA_VAT_TU_AP_DUNG'!$E$1:$E$5000, MATCH(E328, '06_BANG_GIA_VAT_TU_AP_DUNG'!$B$1:$B$5000, 0)), 0)</f>
        <v/>
      </c>
      <c r="K328" s="16">
        <f>I328*J328</f>
        <v/>
      </c>
      <c r="L328" t="inlineStr">
        <is>
          <t>Lưới chắn côn trùng 980x980mm</t>
        </is>
      </c>
    </row>
    <row r="329">
      <c r="A329" t="inlineStr">
        <is>
          <t>SW-DIFF-130-FRAME</t>
        </is>
      </c>
      <c r="B329" t="inlineStr">
        <is>
          <t>SW-DIFF-130</t>
        </is>
      </c>
      <c r="C329" t="inlineStr">
        <is>
          <t>Khung nhôm định hình (1 lớp BD)</t>
        </is>
      </c>
      <c r="D329" t="inlineStr">
        <is>
          <t>NHÔM_ĐỊNH_HÌNH</t>
        </is>
      </c>
      <c r="E329" t="inlineStr">
        <is>
          <t>MAT-ALU-KHUNG-BD</t>
        </is>
      </c>
      <c r="F329" t="inlineStr">
        <is>
          <t>kg</t>
        </is>
      </c>
      <c r="G329" s="20" t="n">
        <v>0.1140277747914228</v>
      </c>
      <c r="H329" s="16">
        <f>'00_TONG_HOP_BAO_GIA'!G131</f>
        <v/>
      </c>
      <c r="I329" s="21">
        <f>G329*H329</f>
        <v/>
      </c>
      <c r="J329" s="16">
        <f>IFERROR(INDEX('06_BANG_GIA_VAT_TU_AP_DUNG'!$E$1:$E$5000, MATCH(E329, '06_BANG_GIA_VAT_TU_AP_DUNG'!$B$1:$B$5000, 0)), 0)</f>
        <v/>
      </c>
      <c r="K329" s="16">
        <f>I329*J329</f>
        <v/>
      </c>
      <c r="L329" t="inlineStr">
        <is>
          <t>Khung bao 150x150mm (cổ 100x100mm)</t>
        </is>
      </c>
    </row>
    <row r="330">
      <c r="A330" t="inlineStr">
        <is>
          <t>SW-DIFF-130-BLADE</t>
        </is>
      </c>
      <c r="B330" t="inlineStr">
        <is>
          <t>SW-DIFF-130</t>
        </is>
      </c>
      <c r="C330" t="inlineStr">
        <is>
          <t>Nan nhôm bầu dục (4 nan)</t>
        </is>
      </c>
      <c r="D330" t="inlineStr">
        <is>
          <t>NHÔM_ĐỊNH_HÌNH</t>
        </is>
      </c>
      <c r="E330" t="inlineStr">
        <is>
          <t>MAT-ALU-NAN-BD</t>
        </is>
      </c>
      <c r="F330" t="inlineStr">
        <is>
          <t>kg</t>
        </is>
      </c>
      <c r="G330" s="20" t="n">
        <v>0.02182709880495882</v>
      </c>
      <c r="H330" s="16">
        <f>'00_TONG_HOP_BAO_GIA'!G131</f>
        <v/>
      </c>
      <c r="I330" s="21">
        <f>G330*H330</f>
        <v/>
      </c>
      <c r="J330" s="16">
        <f>IFERROR(INDEX('06_BANG_GIA_VAT_TU_AP_DUNG'!$E$1:$E$5000, MATCH(E330, '06_BANG_GIA_VAT_TU_AP_DUNG'!$B$1:$B$5000, 0)), 0)</f>
        <v/>
      </c>
      <c r="K330" s="16">
        <f>I330*J330</f>
        <v/>
      </c>
      <c r="L330" t="inlineStr">
        <is>
          <t>Nan bầu dục @ 0.058kg/m</t>
        </is>
      </c>
    </row>
    <row r="331">
      <c r="A331" t="inlineStr">
        <is>
          <t>SW-DIFF-130-ACCESSORY</t>
        </is>
      </c>
      <c r="B331" t="inlineStr">
        <is>
          <t>SW-DIFF-130</t>
        </is>
      </c>
      <c r="C331" t="inlineStr">
        <is>
          <t>Phụ kiện lắp ghép / Ke góc cửa gió</t>
        </is>
      </c>
      <c r="D331" t="inlineStr">
        <is>
          <t>PHỤ_KIỆN_CỬA</t>
        </is>
      </c>
      <c r="E331" t="inlineStr">
        <is>
          <t>MAT-DOOR-ACCESSORY</t>
        </is>
      </c>
      <c r="F331" t="inlineStr">
        <is>
          <t>Bộ</t>
        </is>
      </c>
      <c r="G331" s="20" t="n">
        <v>0.01791327419165585</v>
      </c>
      <c r="H331" s="16">
        <f>'00_TONG_HOP_BAO_GIA'!G131</f>
        <v/>
      </c>
      <c r="I331" s="21">
        <f>G331*H331</f>
        <v/>
      </c>
      <c r="J331" s="16">
        <f>IFERROR(INDEX('06_BANG_GIA_VAT_TU_AP_DUNG'!$E$1:$E$5000, MATCH(E331, '06_BANG_GIA_VAT_TU_AP_DUNG'!$B$1:$B$5000, 0)), 0)</f>
        <v/>
      </c>
      <c r="K331" s="16">
        <f>I331*J331</f>
        <v/>
      </c>
      <c r="L331" t="inlineStr">
        <is>
          <t>4 ke góc chìm và vít ghép khung</t>
        </is>
      </c>
    </row>
    <row r="332">
      <c r="A332" t="inlineStr">
        <is>
          <t>SW-DIFF-130-PAINT</t>
        </is>
      </c>
      <c r="B332" t="inlineStr">
        <is>
          <t>SW-DIFF-130</t>
        </is>
      </c>
      <c r="C332" t="inlineStr">
        <is>
          <t>Sơn tĩnh điện tiêu chuẩn Polyester</t>
        </is>
      </c>
      <c r="D332" t="inlineStr">
        <is>
          <t>SƠN_TĨNH_ĐIỆN</t>
        </is>
      </c>
      <c r="E332" t="inlineStr">
        <is>
          <t>MAT-PAINT-POWDER</t>
        </is>
      </c>
      <c r="F332" t="inlineStr">
        <is>
          <t>m2</t>
        </is>
      </c>
      <c r="G332" s="20" t="n">
        <v>0.02764966557582645</v>
      </c>
      <c r="H332" s="16">
        <f>'00_TONG_HOP_BAO_GIA'!G131</f>
        <v/>
      </c>
      <c r="I332" s="21">
        <f>G332*H332</f>
        <v/>
      </c>
      <c r="J332" s="16">
        <f>IFERROR(INDEX('06_BANG_GIA_VAT_TU_AP_DUNG'!$E$1:$E$5000, MATCH(E332, '06_BANG_GIA_VAT_TU_AP_DUNG'!$B$1:$B$5000, 0)), 0)</f>
        <v/>
      </c>
      <c r="K332" s="16">
        <f>I332*J332</f>
        <v/>
      </c>
      <c r="L332" t="inlineStr">
        <is>
          <t>Sơn tĩnh điện hoàn thiện</t>
        </is>
      </c>
    </row>
    <row r="333">
      <c r="A333" t="inlineStr">
        <is>
          <t>SW-DIFF-130-OBD-FRAME</t>
        </is>
      </c>
      <c r="B333" t="inlineStr">
        <is>
          <t>SW-DIFF-130</t>
        </is>
      </c>
      <c r="C333" t="inlineStr">
        <is>
          <t>Khung nhôm van OBD gắn cửa (SOBD)</t>
        </is>
      </c>
      <c r="D333" t="inlineStr">
        <is>
          <t>NHÔM_ĐỊNH_HÌNH</t>
        </is>
      </c>
      <c r="E333" t="inlineStr">
        <is>
          <t>MAT-ALU-KHUNG-OBD</t>
        </is>
      </c>
      <c r="F333" t="inlineStr">
        <is>
          <t>kg</t>
        </is>
      </c>
      <c r="G333" s="20" t="n">
        <v>0.05427861678346008</v>
      </c>
      <c r="H333" s="16">
        <f>'00_TONG_HOP_BAO_GIA'!G131</f>
        <v/>
      </c>
      <c r="I333" s="21">
        <f>G333*H333</f>
        <v/>
      </c>
      <c r="J333" s="16">
        <f>IFERROR(INDEX('06_BANG_GIA_VAT_TU_AP_DUNG'!$E$1:$E$5000, MATCH(E333, '06_BANG_GIA_VAT_TU_AP_DUNG'!$B$1:$B$5000, 0)), 0)</f>
        <v/>
      </c>
      <c r="K333" s="16">
        <f>I333*J333</f>
        <v/>
      </c>
      <c r="L333" t="inlineStr">
        <is>
          <t>Khung OBD 100x100mm</t>
        </is>
      </c>
    </row>
    <row r="334">
      <c r="A334" t="inlineStr">
        <is>
          <t>SW-DIFF-130-OBD-BLADE</t>
        </is>
      </c>
      <c r="B334" t="inlineStr">
        <is>
          <t>SW-DIFF-130</t>
        </is>
      </c>
      <c r="C334" t="inlineStr">
        <is>
          <t>Nan nhôm &amp; thanh truyền van OBD (SOBD)</t>
        </is>
      </c>
      <c r="D334" t="inlineStr">
        <is>
          <t>NHÔM_ĐỊNH_HÌNH</t>
        </is>
      </c>
      <c r="E334" t="inlineStr">
        <is>
          <t>MAT-ALU-NAN-OBD</t>
        </is>
      </c>
      <c r="F334" t="inlineStr">
        <is>
          <t>kg</t>
        </is>
      </c>
      <c r="G334" s="20" t="n">
        <v>0.02147097182890035</v>
      </c>
      <c r="H334" s="16">
        <f>'00_TONG_HOP_BAO_GIA'!G131</f>
        <v/>
      </c>
      <c r="I334" s="21">
        <f>G334*H334</f>
        <v/>
      </c>
      <c r="J334" s="16">
        <f>IFERROR(INDEX('06_BANG_GIA_VAT_TU_AP_DUNG'!$E$1:$E$5000, MATCH(E334, '06_BANG_GIA_VAT_TU_AP_DUNG'!$B$1:$B$5000, 0)), 0)</f>
        <v/>
      </c>
      <c r="K334" s="16">
        <f>I334*J334</f>
        <v/>
      </c>
      <c r="L334" t="inlineStr">
        <is>
          <t>Nan OBD đối xứng &amp; thanh liên kết</t>
        </is>
      </c>
    </row>
    <row r="335">
      <c r="A335" t="inlineStr">
        <is>
          <t>SW-DIFF-130-OBD-ACC</t>
        </is>
      </c>
      <c r="B335" t="inlineStr">
        <is>
          <t>SW-DIFF-130</t>
        </is>
      </c>
      <c r="C335" t="inlineStr">
        <is>
          <t>Bánh răng nhựa &amp; phụ kiện van OBD</t>
        </is>
      </c>
      <c r="D335" t="inlineStr">
        <is>
          <t>PHỤ_KIỆN_CỬA</t>
        </is>
      </c>
      <c r="E335" t="inlineStr">
        <is>
          <t>MAT-DOOR-ACCESSORY</t>
        </is>
      </c>
      <c r="F335" t="inlineStr">
        <is>
          <t>Bộ</t>
        </is>
      </c>
      <c r="G335" s="20" t="n">
        <v>0.4164473910980462</v>
      </c>
      <c r="H335" s="16">
        <f>'00_TONG_HOP_BAO_GIA'!G131</f>
        <v/>
      </c>
      <c r="I335" s="21">
        <f>G335*H335</f>
        <v/>
      </c>
      <c r="J335" s="16">
        <f>IFERROR(INDEX('06_BANG_GIA_VAT_TU_AP_DUNG'!$E$1:$E$5000, MATCH(E335, '06_BANG_GIA_VAT_TU_AP_DUNG'!$B$1:$B$5000, 0)), 0)</f>
        <v/>
      </c>
      <c r="K335" s="16">
        <f>I335*J335</f>
        <v/>
      </c>
      <c r="L335" t="inlineStr">
        <is>
          <t>Cơ cấu bánh răng đóng mở OBD</t>
        </is>
      </c>
    </row>
    <row r="336">
      <c r="A336" t="inlineStr">
        <is>
          <t>SW-DIFF-131-MESH</t>
        </is>
      </c>
      <c r="B336" t="inlineStr">
        <is>
          <t>SW-DIFF-131</t>
        </is>
      </c>
      <c r="C336" t="inlineStr">
        <is>
          <t>Lưới chắn côn trùng Inox 304 (LCCT)</t>
        </is>
      </c>
      <c r="D336" t="inlineStr">
        <is>
          <t>PHỤ_KIỆN_CỬA</t>
        </is>
      </c>
      <c r="E336" t="inlineStr">
        <is>
          <t>MAT-MESH-INOX-304</t>
        </is>
      </c>
      <c r="F336" t="inlineStr">
        <is>
          <t>m2</t>
        </is>
      </c>
      <c r="G336" s="20" t="n">
        <v>0.1757689893283114</v>
      </c>
      <c r="H336" s="16">
        <f>'00_TONG_HOP_BAO_GIA'!G132</f>
        <v/>
      </c>
      <c r="I336" s="21">
        <f>G336*H336</f>
        <v/>
      </c>
      <c r="J336" s="16">
        <f>IFERROR(INDEX('06_BANG_GIA_VAT_TU_AP_DUNG'!$E$1:$E$5000, MATCH(E336, '06_BANG_GIA_VAT_TU_AP_DUNG'!$B$1:$B$5000, 0)), 0)</f>
        <v/>
      </c>
      <c r="K336" s="16">
        <f>I336*J336</f>
        <v/>
      </c>
      <c r="L336" t="inlineStr">
        <is>
          <t>Lưới chắn côn trùng 700x300mm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8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5" t="inlineStr">
        <is>
          <t>SUB_KEY</t>
        </is>
      </c>
      <c r="B1" s="15" t="inlineStr">
        <is>
          <t>PARENT_ITEM_ID</t>
        </is>
      </c>
      <c r="C1" s="15" t="inlineStr">
        <is>
          <t>TÊN CẤU KIỆN</t>
        </is>
      </c>
      <c r="D1" s="15" t="inlineStr">
        <is>
          <t>PHÂN LOẠI</t>
        </is>
      </c>
      <c r="E1" s="15" t="inlineStr">
        <is>
          <t>MÃ VẬT TƯ (MAT_ID)</t>
        </is>
      </c>
      <c r="F1" s="15" t="inlineStr">
        <is>
          <t>ĐVT</t>
        </is>
      </c>
      <c r="G1" s="15" t="inlineStr">
        <is>
          <t>ĐỊNH MỨC / 1 SP</t>
        </is>
      </c>
      <c r="H1" s="15" t="inlineStr">
        <is>
          <t>SL DỰ ÁN</t>
        </is>
      </c>
      <c r="I1" s="15" t="inlineStr">
        <is>
          <t>TỔNG NHU CẦU</t>
        </is>
      </c>
      <c r="J1" s="15" t="inlineStr">
        <is>
          <t>ĐƠN GIÁ GỐC</t>
        </is>
      </c>
      <c r="K1" s="15" t="inlineStr">
        <is>
          <t>THÀNH TIỀN (VNĐ)</t>
        </is>
      </c>
      <c r="L1" s="15" t="inlineStr">
        <is>
          <t>GHI CHÚ KỸ THUẬT</t>
        </is>
      </c>
    </row>
    <row r="2">
      <c r="A2" t="inlineStr">
        <is>
          <t>SW-DAMPER-001-BODY</t>
        </is>
      </c>
      <c r="B2" t="inlineStr">
        <is>
          <t>SW-DAMPER-001</t>
        </is>
      </c>
      <c r="C2" t="inlineStr">
        <is>
          <t>Thân vỏ van NRD bích C30/TDF (0.95mm)</t>
        </is>
      </c>
      <c r="D2" t="inlineStr">
        <is>
          <t>TÔN_CUỘN_MẠ_KẼM</t>
        </is>
      </c>
      <c r="E2" t="inlineStr">
        <is>
          <t>MAT-STEEL-PN-0.95</t>
        </is>
      </c>
      <c r="F2" t="inlineStr">
        <is>
          <t>kg</t>
        </is>
      </c>
      <c r="G2" s="20" t="n">
        <v>3.616256656381188</v>
      </c>
      <c r="H2" s="16">
        <f>'00_TONG_HOP_BAO_GIA'!G2</f>
        <v/>
      </c>
      <c r="I2" s="21">
        <f>G2*H2</f>
        <v/>
      </c>
      <c r="J2" s="16">
        <f>IFERROR(INDEX('06_BANG_GIA_VAT_TU_AP_DUNG'!$E$1:$E$5000, MATCH(E2, '06_BANG_GIA_VAT_TU_AP_DUNG'!$B$1:$B$5000, 0)), 0)</f>
        <v/>
      </c>
      <c r="K2" s="16">
        <f>I2*J2</f>
        <v/>
      </c>
      <c r="L2" t="inlineStr">
        <is>
          <t>Kích thước vỏ 500x500x210mm</t>
        </is>
      </c>
    </row>
    <row r="3">
      <c r="A3" t="inlineStr">
        <is>
          <t>SW-DAMPER-001-BLADE</t>
        </is>
      </c>
      <c r="B3" t="inlineStr">
        <is>
          <t>SW-DAMPER-001</t>
        </is>
      </c>
      <c r="C3" t="inlineStr">
        <is>
          <t>Lá cánh / Tôn tấm bọc van (3 cánh)</t>
        </is>
      </c>
      <c r="D3" t="inlineStr">
        <is>
          <t>TÔN_CUỘN_MẠ_KẼM</t>
        </is>
      </c>
      <c r="E3" t="inlineStr">
        <is>
          <t>MAT-STEEL-PN-0.75</t>
        </is>
      </c>
      <c r="F3" t="inlineStr">
        <is>
          <t>kg</t>
        </is>
      </c>
      <c r="G3" s="20" t="n">
        <v>1.439465276755006</v>
      </c>
      <c r="H3" s="16">
        <f>'00_TONG_HOP_BAO_GIA'!G2</f>
        <v/>
      </c>
      <c r="I3" s="21">
        <f>G3*H3</f>
        <v/>
      </c>
      <c r="J3" s="16">
        <f>IFERROR(INDEX('06_BANG_GIA_VAT_TU_AP_DUNG'!$E$1:$E$5000, MATCH(E3, '06_BANG_GIA_VAT_TU_AP_DUNG'!$B$1:$B$5000, 0)), 0)</f>
        <v/>
      </c>
      <c r="K3" s="16">
        <f>I3*J3</f>
        <v/>
      </c>
      <c r="L3" t="inlineStr">
        <is>
          <t>3 cánh cao 187mm</t>
        </is>
      </c>
    </row>
    <row r="4">
      <c r="A4" t="inlineStr">
        <is>
          <t>SW-DAMPER-001-AXLE</t>
        </is>
      </c>
      <c r="B4" t="inlineStr">
        <is>
          <t>SW-DAMPER-001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0" t="n">
        <v>1.358306465444686</v>
      </c>
      <c r="H4" s="16">
        <f>'00_TONG_HOP_BAO_GIA'!G2</f>
        <v/>
      </c>
      <c r="I4" s="21">
        <f>G4*H4</f>
        <v/>
      </c>
      <c r="J4" s="16">
        <f>IFERROR(INDEX('06_BANG_GIA_VAT_TU_AP_DUNG'!$E$1:$E$5000, MATCH(E4, '06_BANG_GIA_VAT_TU_AP_DUNG'!$B$1:$B$5000, 0)), 0)</f>
        <v/>
      </c>
      <c r="K4" s="16">
        <f>I4*J4</f>
        <v/>
      </c>
      <c r="L4" t="inlineStr">
        <is>
          <t>3 trục dài 560mm</t>
        </is>
      </c>
    </row>
    <row r="5">
      <c r="A5" t="inlineStr">
        <is>
          <t>SW-DAMPER-001-BEARING</t>
        </is>
      </c>
      <c r="B5" t="inlineStr">
        <is>
          <t>SW-DAMPER-001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0" t="n">
        <v>3</v>
      </c>
      <c r="H5" s="16">
        <f>'00_TONG_HOP_BAO_GIA'!G2</f>
        <v/>
      </c>
      <c r="I5" s="21">
        <f>G5*H5</f>
        <v/>
      </c>
      <c r="J5" s="16">
        <f>IFERROR(INDEX('06_BANG_GIA_VAT_TU_AP_DUNG'!$E$1:$E$5000, MATCH(E5, '06_BANG_GIA_VAT_TU_AP_DUNG'!$B$1:$B$5000, 0)), 0)</f>
        <v/>
      </c>
      <c r="K5" s="16">
        <f>I5*J5</f>
        <v/>
      </c>
      <c r="L5" t="inlineStr">
        <is>
          <t>3 đôi bạc đỡ 2 bên thân</t>
        </is>
      </c>
    </row>
    <row r="6">
      <c r="A6" t="inlineStr">
        <is>
          <t>SW-DAMPER-001-GEAR</t>
        </is>
      </c>
      <c r="B6" t="inlineStr">
        <is>
          <t>SW-DAMPER-001</t>
        </is>
      </c>
      <c r="C6" t="inlineStr">
        <is>
          <t>Bánh răng van nhôm</t>
        </is>
      </c>
      <c r="D6" t="inlineStr">
        <is>
          <t>PHỤ_KIỆN_VAN</t>
        </is>
      </c>
      <c r="E6" t="inlineStr">
        <is>
          <t>MAT-DAMPER-BANH-RANG-VAN-NHOM</t>
        </is>
      </c>
      <c r="F6" t="inlineStr">
        <is>
          <t>Bộ</t>
        </is>
      </c>
      <c r="G6" s="20" t="n">
        <v>1</v>
      </c>
      <c r="H6" s="16">
        <f>'00_TONG_HOP_BAO_GIA'!G2</f>
        <v/>
      </c>
      <c r="I6" s="21">
        <f>G6*H6</f>
        <v/>
      </c>
      <c r="J6" s="16">
        <f>IFERROR(INDEX('06_BANG_GIA_VAT_TU_AP_DUNG'!$E$1:$E$5000, MATCH(E6, '06_BANG_GIA_VAT_TU_AP_DUNG'!$B$1:$B$5000, 0)), 0)</f>
        <v/>
      </c>
      <c r="K6" s="16">
        <f>I6*J6</f>
        <v/>
      </c>
      <c r="L6" t="inlineStr">
        <is>
          <t>Cơ cấu liên động cánh (1 bộ)</t>
        </is>
      </c>
    </row>
    <row r="7">
      <c r="A7" t="inlineStr">
        <is>
          <t>SW-DAMPER-001-ECCENTRIC</t>
        </is>
      </c>
      <c r="B7" t="inlineStr">
        <is>
          <t>SW-DAMPER-001</t>
        </is>
      </c>
      <c r="C7" t="inlineStr">
        <is>
          <t>Cơ cấu lệch tâm / Lò xo đóng mở (NRD)</t>
        </is>
      </c>
      <c r="D7" t="inlineStr">
        <is>
          <t>PHỤ_KIỆN_VAN</t>
        </is>
      </c>
      <c r="E7" t="inlineStr">
        <is>
          <t>ECCENTRIC_SHAFT</t>
        </is>
      </c>
      <c r="F7" t="inlineStr">
        <is>
          <t>Bộ</t>
        </is>
      </c>
      <c r="G7" s="20" t="n">
        <v>1</v>
      </c>
      <c r="H7" s="16">
        <f>'00_TONG_HOP_BAO_GIA'!G2</f>
        <v/>
      </c>
      <c r="I7" s="21">
        <f>G7*H7</f>
        <v/>
      </c>
      <c r="J7" s="16">
        <f>IFERROR(INDEX('06_BANG_GIA_VAT_TU_AP_DUNG'!$E$1:$E$5000, MATCH(E7, '06_BANG_GIA_VAT_TU_AP_DUNG'!$B$1:$B$5000, 0)), 0)</f>
        <v/>
      </c>
      <c r="K7" s="16">
        <f>I7*J7</f>
        <v/>
      </c>
      <c r="L7" t="inlineStr">
        <is>
          <t>Cơ cấu đóng mở một chiều</t>
        </is>
      </c>
    </row>
    <row r="8">
      <c r="A8" t="inlineStr">
        <is>
          <t>SW-DAMPER-002-BODY</t>
        </is>
      </c>
      <c r="B8" t="inlineStr">
        <is>
          <t>SW-DAMPER-002</t>
        </is>
      </c>
      <c r="C8" t="inlineStr">
        <is>
          <t>Thân vỏ van NRD bích C30/TDF (0.95mm)</t>
        </is>
      </c>
      <c r="D8" t="inlineStr">
        <is>
          <t>TÔN_CUỘN_MẠ_KẼM</t>
        </is>
      </c>
      <c r="E8" t="inlineStr">
        <is>
          <t>MAT-STEEL-PN-0.95</t>
        </is>
      </c>
      <c r="F8" t="inlineStr">
        <is>
          <t>kg</t>
        </is>
      </c>
      <c r="G8" s="20" t="n">
        <v>3.881662657482023</v>
      </c>
      <c r="H8" s="16">
        <f>'00_TONG_HOP_BAO_GIA'!G3</f>
        <v/>
      </c>
      <c r="I8" s="21">
        <f>G8*H8</f>
        <v/>
      </c>
      <c r="J8" s="16">
        <f>IFERROR(INDEX('06_BANG_GIA_VAT_TU_AP_DUNG'!$E$1:$E$5000, MATCH(E8, '06_BANG_GIA_VAT_TU_AP_DUNG'!$B$1:$B$5000, 0)), 0)</f>
        <v/>
      </c>
      <c r="K8" s="16">
        <f>I8*J8</f>
        <v/>
      </c>
      <c r="L8" t="inlineStr">
        <is>
          <t>Kích thước vỏ 600x500x210mm</t>
        </is>
      </c>
    </row>
    <row r="9">
      <c r="A9" t="inlineStr">
        <is>
          <t>SW-DAMPER-002-BLADE</t>
        </is>
      </c>
      <c r="B9" t="inlineStr">
        <is>
          <t>SW-DAMPER-002</t>
        </is>
      </c>
      <c r="C9" t="inlineStr">
        <is>
          <t>Lá cánh / Tôn tấm bọc van (3 cánh)</t>
        </is>
      </c>
      <c r="D9" t="inlineStr">
        <is>
          <t>TÔN_CUỘN_MẠ_KẼM</t>
        </is>
      </c>
      <c r="E9" t="inlineStr">
        <is>
          <t>MAT-STEEL-PN-0.75</t>
        </is>
      </c>
      <c r="F9" t="inlineStr">
        <is>
          <t>kg</t>
        </is>
      </c>
      <c r="G9" s="20" t="n">
        <v>1.688585796219354</v>
      </c>
      <c r="H9" s="16">
        <f>'00_TONG_HOP_BAO_GIA'!G3</f>
        <v/>
      </c>
      <c r="I9" s="21">
        <f>G9*H9</f>
        <v/>
      </c>
      <c r="J9" s="16">
        <f>IFERROR(INDEX('06_BANG_GIA_VAT_TU_AP_DUNG'!$E$1:$E$5000, MATCH(E9, '06_BANG_GIA_VAT_TU_AP_DUNG'!$B$1:$B$5000, 0)), 0)</f>
        <v/>
      </c>
      <c r="K9" s="16">
        <f>I9*J9</f>
        <v/>
      </c>
      <c r="L9" t="inlineStr">
        <is>
          <t>3 cánh cao 187mm</t>
        </is>
      </c>
    </row>
    <row r="10">
      <c r="A10" t="inlineStr">
        <is>
          <t>SW-DAMPER-002-AXLE</t>
        </is>
      </c>
      <c r="B10" t="inlineStr">
        <is>
          <t>SW-DAMPER-002</t>
        </is>
      </c>
      <c r="C10" t="inlineStr">
        <is>
          <t>Trục Sus 201 D10</t>
        </is>
      </c>
      <c r="D10" t="inlineStr">
        <is>
          <t>PHỤ_KIỆN_VAN</t>
        </is>
      </c>
      <c r="E10" t="inlineStr">
        <is>
          <t>MAT-DAMPER-TRUC-SUS-201-D10</t>
        </is>
      </c>
      <c r="F10" t="inlineStr">
        <is>
          <t>m</t>
        </is>
      </c>
      <c r="G10" s="20" t="n">
        <v>1.564928028714058</v>
      </c>
      <c r="H10" s="16">
        <f>'00_TONG_HOP_BAO_GIA'!G3</f>
        <v/>
      </c>
      <c r="I10" s="21">
        <f>G10*H10</f>
        <v/>
      </c>
      <c r="J10" s="16">
        <f>IFERROR(INDEX('06_BANG_GIA_VAT_TU_AP_DUNG'!$E$1:$E$5000, MATCH(E10, '06_BANG_GIA_VAT_TU_AP_DUNG'!$B$1:$B$5000, 0)), 0)</f>
        <v/>
      </c>
      <c r="K10" s="16">
        <f>I10*J10</f>
        <v/>
      </c>
      <c r="L10" t="inlineStr">
        <is>
          <t>3 trục dài 660mm</t>
        </is>
      </c>
    </row>
    <row r="11">
      <c r="A11" t="inlineStr">
        <is>
          <t>SW-DAMPER-002-BEARING</t>
        </is>
      </c>
      <c r="B11" t="inlineStr">
        <is>
          <t>SW-DAMPER-002</t>
        </is>
      </c>
      <c r="C11" t="inlineStr">
        <is>
          <t>Bạc đồng D10</t>
        </is>
      </c>
      <c r="D11" t="inlineStr">
        <is>
          <t>PHỤ_KIỆN_VAN</t>
        </is>
      </c>
      <c r="E11" t="inlineStr">
        <is>
          <t>MAT-DAMPER-BAC-DONG-D10</t>
        </is>
      </c>
      <c r="F11" t="inlineStr">
        <is>
          <t>Đôi</t>
        </is>
      </c>
      <c r="G11" s="20" t="n">
        <v>3</v>
      </c>
      <c r="H11" s="16">
        <f>'00_TONG_HOP_BAO_GIA'!G3</f>
        <v/>
      </c>
      <c r="I11" s="21">
        <f>G11*H11</f>
        <v/>
      </c>
      <c r="J11" s="16">
        <f>IFERROR(INDEX('06_BANG_GIA_VAT_TU_AP_DUNG'!$E$1:$E$5000, MATCH(E11, '06_BANG_GIA_VAT_TU_AP_DUNG'!$B$1:$B$5000, 0)), 0)</f>
        <v/>
      </c>
      <c r="K11" s="16">
        <f>I11*J11</f>
        <v/>
      </c>
      <c r="L11" t="inlineStr">
        <is>
          <t>3 đôi bạc đỡ 2 bên thân</t>
        </is>
      </c>
    </row>
    <row r="12">
      <c r="A12" t="inlineStr">
        <is>
          <t>SW-DAMPER-002-GEAR</t>
        </is>
      </c>
      <c r="B12" t="inlineStr">
        <is>
          <t>SW-DAMPER-002</t>
        </is>
      </c>
      <c r="C12" t="inlineStr">
        <is>
          <t>Bánh răng van nhôm</t>
        </is>
      </c>
      <c r="D12" t="inlineStr">
        <is>
          <t>PHỤ_KIỆN_VAN</t>
        </is>
      </c>
      <c r="E12" t="inlineStr">
        <is>
          <t>MAT-DAMPER-BANH-RANG-VAN-NHOM</t>
        </is>
      </c>
      <c r="F12" t="inlineStr">
        <is>
          <t>Bộ</t>
        </is>
      </c>
      <c r="G12" s="20" t="n">
        <v>1</v>
      </c>
      <c r="H12" s="16">
        <f>'00_TONG_HOP_BAO_GIA'!G3</f>
        <v/>
      </c>
      <c r="I12" s="21">
        <f>G12*H12</f>
        <v/>
      </c>
      <c r="J12" s="16">
        <f>IFERROR(INDEX('06_BANG_GIA_VAT_TU_AP_DUNG'!$E$1:$E$5000, MATCH(E12, '06_BANG_GIA_VAT_TU_AP_DUNG'!$B$1:$B$5000, 0)), 0)</f>
        <v/>
      </c>
      <c r="K12" s="16">
        <f>I12*J12</f>
        <v/>
      </c>
      <c r="L12" t="inlineStr">
        <is>
          <t>Cơ cấu liên động cánh (1 bộ)</t>
        </is>
      </c>
    </row>
    <row r="13">
      <c r="A13" t="inlineStr">
        <is>
          <t>SW-DAMPER-002-ECCENTRIC</t>
        </is>
      </c>
      <c r="B13" t="inlineStr">
        <is>
          <t>SW-DAMPER-002</t>
        </is>
      </c>
      <c r="C13" t="inlineStr">
        <is>
          <t>Cơ cấu lệch tâm / Lò xo đóng mở (NRD)</t>
        </is>
      </c>
      <c r="D13" t="inlineStr">
        <is>
          <t>PHỤ_KIỆN_VAN</t>
        </is>
      </c>
      <c r="E13" t="inlineStr">
        <is>
          <t>ECCENTRIC_SHAFT</t>
        </is>
      </c>
      <c r="F13" t="inlineStr">
        <is>
          <t>Bộ</t>
        </is>
      </c>
      <c r="G13" s="20" t="n">
        <v>1</v>
      </c>
      <c r="H13" s="16">
        <f>'00_TONG_HOP_BAO_GIA'!G3</f>
        <v/>
      </c>
      <c r="I13" s="21">
        <f>G13*H13</f>
        <v/>
      </c>
      <c r="J13" s="16">
        <f>IFERROR(INDEX('06_BANG_GIA_VAT_TU_AP_DUNG'!$E$1:$E$5000, MATCH(E13, '06_BANG_GIA_VAT_TU_AP_DUNG'!$B$1:$B$5000, 0)), 0)</f>
        <v/>
      </c>
      <c r="K13" s="16">
        <f>I13*J13</f>
        <v/>
      </c>
      <c r="L13" t="inlineStr">
        <is>
          <t>Cơ cấu đóng mở một chiều</t>
        </is>
      </c>
    </row>
    <row r="14">
      <c r="A14" t="inlineStr">
        <is>
          <t>SW-DAMPER-003-BODY</t>
        </is>
      </c>
      <c r="B14" t="inlineStr">
        <is>
          <t>SW-DAMPER-003</t>
        </is>
      </c>
      <c r="C14" t="inlineStr">
        <is>
          <t>Thân vỏ van NRD bích C30/TDF (0.75mm)</t>
        </is>
      </c>
      <c r="D14" t="inlineStr">
        <is>
          <t>TÔN_CUỘN_MẠ_KẼM</t>
        </is>
      </c>
      <c r="E14" t="inlineStr">
        <is>
          <t>MAT-STEEL-PN-0.75</t>
        </is>
      </c>
      <c r="F14" t="inlineStr">
        <is>
          <t>kg</t>
        </is>
      </c>
      <c r="G14" s="20" t="n">
        <v>2.686629932294251</v>
      </c>
      <c r="H14" s="16">
        <f>'00_TONG_HOP_BAO_GIA'!G4</f>
        <v/>
      </c>
      <c r="I14" s="21">
        <f>G14*H14</f>
        <v/>
      </c>
      <c r="J14" s="16">
        <f>IFERROR(INDEX('06_BANG_GIA_VAT_TU_AP_DUNG'!$E$1:$E$5000, MATCH(E14, '06_BANG_GIA_VAT_TU_AP_DUNG'!$B$1:$B$5000, 0)), 0)</f>
        <v/>
      </c>
      <c r="K14" s="16">
        <f>I14*J14</f>
        <v/>
      </c>
      <c r="L14" t="inlineStr">
        <is>
          <t>Kích thước vỏ 900x300x210mm</t>
        </is>
      </c>
    </row>
    <row r="15">
      <c r="A15" t="inlineStr">
        <is>
          <t>SW-DAMPER-003-BLADE</t>
        </is>
      </c>
      <c r="B15" t="inlineStr">
        <is>
          <t>SW-DAMPER-003</t>
        </is>
      </c>
      <c r="C15" t="inlineStr">
        <is>
          <t>Lá cánh / Tôn tấm bọc van (2 cánh)</t>
        </is>
      </c>
      <c r="D15" t="inlineStr">
        <is>
          <t>TÔN_CUỘN_MẠ_KẼM</t>
        </is>
      </c>
      <c r="E15" t="inlineStr">
        <is>
          <t>MAT-STEEL-PN-0.75</t>
        </is>
      </c>
      <c r="F15" t="inlineStr">
        <is>
          <t>kg</t>
        </is>
      </c>
      <c r="G15" s="20" t="n">
        <v>1.237701377306518</v>
      </c>
      <c r="H15" s="16">
        <f>'00_TONG_HOP_BAO_GIA'!G4</f>
        <v/>
      </c>
      <c r="I15" s="21">
        <f>G15*H15</f>
        <v/>
      </c>
      <c r="J15" s="16">
        <f>IFERROR(INDEX('06_BANG_GIA_VAT_TU_AP_DUNG'!$E$1:$E$5000, MATCH(E15, '06_BANG_GIA_VAT_TU_AP_DUNG'!$B$1:$B$5000, 0)), 0)</f>
        <v/>
      </c>
      <c r="K15" s="16">
        <f>I15*J15</f>
        <v/>
      </c>
      <c r="L15" t="inlineStr">
        <is>
          <t>2 cánh cao 170mm</t>
        </is>
      </c>
    </row>
    <row r="16">
      <c r="A16" t="inlineStr">
        <is>
          <t>SW-DAMPER-003-AXLE</t>
        </is>
      </c>
      <c r="B16" t="inlineStr">
        <is>
          <t>SW-DAMPER-003</t>
        </is>
      </c>
      <c r="C16" t="inlineStr">
        <is>
          <t>Trục Sus 201 D10</t>
        </is>
      </c>
      <c r="D16" t="inlineStr">
        <is>
          <t>PHỤ_KIỆN_VAN</t>
        </is>
      </c>
      <c r="E16" t="inlineStr">
        <is>
          <t>MAT-DAMPER-TRUC-SUS-201-D10</t>
        </is>
      </c>
      <c r="F16" t="inlineStr">
        <is>
          <t>m</t>
        </is>
      </c>
      <c r="G16" s="20" t="n">
        <v>1.221352430012892</v>
      </c>
      <c r="H16" s="16">
        <f>'00_TONG_HOP_BAO_GIA'!G4</f>
        <v/>
      </c>
      <c r="I16" s="21">
        <f>G16*H16</f>
        <v/>
      </c>
      <c r="J16" s="16">
        <f>IFERROR(INDEX('06_BANG_GIA_VAT_TU_AP_DUNG'!$E$1:$E$5000, MATCH(E16, '06_BANG_GIA_VAT_TU_AP_DUNG'!$B$1:$B$5000, 0)), 0)</f>
        <v/>
      </c>
      <c r="K16" s="16">
        <f>I16*J16</f>
        <v/>
      </c>
      <c r="L16" t="inlineStr">
        <is>
          <t>2 trục dài 960mm</t>
        </is>
      </c>
    </row>
    <row r="17">
      <c r="A17" t="inlineStr">
        <is>
          <t>SW-DAMPER-003-BEARING</t>
        </is>
      </c>
      <c r="B17" t="inlineStr">
        <is>
          <t>SW-DAMPER-003</t>
        </is>
      </c>
      <c r="C17" t="inlineStr">
        <is>
          <t>Bạc đồng D10</t>
        </is>
      </c>
      <c r="D17" t="inlineStr">
        <is>
          <t>PHỤ_KIỆN_VAN</t>
        </is>
      </c>
      <c r="E17" t="inlineStr">
        <is>
          <t>MAT-DAMPER-BAC-DONG-D10</t>
        </is>
      </c>
      <c r="F17" t="inlineStr">
        <is>
          <t>Đôi</t>
        </is>
      </c>
      <c r="G17" s="20" t="n">
        <v>2</v>
      </c>
      <c r="H17" s="16">
        <f>'00_TONG_HOP_BAO_GIA'!G4</f>
        <v/>
      </c>
      <c r="I17" s="21">
        <f>G17*H17</f>
        <v/>
      </c>
      <c r="J17" s="16">
        <f>IFERROR(INDEX('06_BANG_GIA_VAT_TU_AP_DUNG'!$E$1:$E$5000, MATCH(E17, '06_BANG_GIA_VAT_TU_AP_DUNG'!$B$1:$B$5000, 0)), 0)</f>
        <v/>
      </c>
      <c r="K17" s="16">
        <f>I17*J17</f>
        <v/>
      </c>
      <c r="L17" t="inlineStr">
        <is>
          <t>2 đôi bạc đỡ 2 bên thân</t>
        </is>
      </c>
    </row>
    <row r="18">
      <c r="A18" t="inlineStr">
        <is>
          <t>SW-DAMPER-003-GEAR</t>
        </is>
      </c>
      <c r="B18" t="inlineStr">
        <is>
          <t>SW-DAMPER-003</t>
        </is>
      </c>
      <c r="C18" t="inlineStr">
        <is>
          <t>Bánh răng van nhôm</t>
        </is>
      </c>
      <c r="D18" t="inlineStr">
        <is>
          <t>PHỤ_KIỆN_VAN</t>
        </is>
      </c>
      <c r="E18" t="inlineStr">
        <is>
          <t>MAT-DAMPER-BANH-RANG-VAN-NHOM</t>
        </is>
      </c>
      <c r="F18" t="inlineStr">
        <is>
          <t>Bộ</t>
        </is>
      </c>
      <c r="G18" s="20" t="n">
        <v>1</v>
      </c>
      <c r="H18" s="16">
        <f>'00_TONG_HOP_BAO_GIA'!G4</f>
        <v/>
      </c>
      <c r="I18" s="21">
        <f>G18*H18</f>
        <v/>
      </c>
      <c r="J18" s="16">
        <f>IFERROR(INDEX('06_BANG_GIA_VAT_TU_AP_DUNG'!$E$1:$E$5000, MATCH(E18, '06_BANG_GIA_VAT_TU_AP_DUNG'!$B$1:$B$5000, 0)), 0)</f>
        <v/>
      </c>
      <c r="K18" s="16">
        <f>I18*J18</f>
        <v/>
      </c>
      <c r="L18" t="inlineStr">
        <is>
          <t>Cơ cấu liên động cánh (1 bộ)</t>
        </is>
      </c>
    </row>
    <row r="19">
      <c r="A19" t="inlineStr">
        <is>
          <t>SW-DAMPER-003-ECCENTRIC</t>
        </is>
      </c>
      <c r="B19" t="inlineStr">
        <is>
          <t>SW-DAMPER-003</t>
        </is>
      </c>
      <c r="C19" t="inlineStr">
        <is>
          <t>Cơ cấu lệch tâm / Lò xo đóng mở (NRD)</t>
        </is>
      </c>
      <c r="D19" t="inlineStr">
        <is>
          <t>PHỤ_KIỆN_VAN</t>
        </is>
      </c>
      <c r="E19" t="inlineStr">
        <is>
          <t>ECCENTRIC_SHAFT</t>
        </is>
      </c>
      <c r="F19" t="inlineStr">
        <is>
          <t>Bộ</t>
        </is>
      </c>
      <c r="G19" s="20" t="n">
        <v>1</v>
      </c>
      <c r="H19" s="16">
        <f>'00_TONG_HOP_BAO_GIA'!G4</f>
        <v/>
      </c>
      <c r="I19" s="21">
        <f>G19*H19</f>
        <v/>
      </c>
      <c r="J19" s="16">
        <f>IFERROR(INDEX('06_BANG_GIA_VAT_TU_AP_DUNG'!$E$1:$E$5000, MATCH(E19, '06_BANG_GIA_VAT_TU_AP_DUNG'!$B$1:$B$5000, 0)), 0)</f>
        <v/>
      </c>
      <c r="K19" s="16">
        <f>I19*J19</f>
        <v/>
      </c>
      <c r="L19" t="inlineStr">
        <is>
          <t>Cơ cấu đóng mở một chiều</t>
        </is>
      </c>
    </row>
    <row r="20">
      <c r="A20" t="inlineStr">
        <is>
          <t>SW-DAMPER-004-BODY</t>
        </is>
      </c>
      <c r="B20" t="inlineStr">
        <is>
          <t>SW-DAMPER-004</t>
        </is>
      </c>
      <c r="C20" t="inlineStr">
        <is>
          <t>Thân vỏ van PRD bích C30/TDF (1.15mm)</t>
        </is>
      </c>
      <c r="D20" t="inlineStr">
        <is>
          <t>TÔN_CUỘN_MẠ_KẼM</t>
        </is>
      </c>
      <c r="E20" t="inlineStr">
        <is>
          <t>MAT-STEEL-PN-1.15</t>
        </is>
      </c>
      <c r="F20" t="inlineStr">
        <is>
          <t>kg</t>
        </is>
      </c>
      <c r="G20" s="20" t="n">
        <v>11.9735792480331</v>
      </c>
      <c r="H20" s="16">
        <f>'00_TONG_HOP_BAO_GIA'!G5</f>
        <v/>
      </c>
      <c r="I20" s="21">
        <f>G20*H20</f>
        <v/>
      </c>
      <c r="J20" s="16">
        <f>IFERROR(INDEX('06_BANG_GIA_VAT_TU_AP_DUNG'!$E$1:$E$5000, MATCH(E20, '06_BANG_GIA_VAT_TU_AP_DUNG'!$B$1:$B$5000, 0)), 0)</f>
        <v/>
      </c>
      <c r="K20" s="16">
        <f>I20*J20</f>
        <v/>
      </c>
      <c r="L20" t="inlineStr">
        <is>
          <t>Kích thước vỏ 1100x400x210mm</t>
        </is>
      </c>
    </row>
    <row r="21">
      <c r="A21" t="inlineStr">
        <is>
          <t>SW-DAMPER-004-BLADE</t>
        </is>
      </c>
      <c r="B21" t="inlineStr">
        <is>
          <t>SW-DAMPER-004</t>
        </is>
      </c>
      <c r="C21" t="inlineStr">
        <is>
          <t>Lá cánh / Tôn tấm bọc van (3 cánh)</t>
        </is>
      </c>
      <c r="D21" t="inlineStr">
        <is>
          <t>TÔN_CUỘN_MẠ_KẼM</t>
        </is>
      </c>
      <c r="E21" t="inlineStr">
        <is>
          <t>MAT-STEEL-PN-0.75</t>
        </is>
      </c>
      <c r="F21" t="inlineStr">
        <is>
          <t>kg</t>
        </is>
      </c>
      <c r="G21" s="20" t="n">
        <v>4.774641563729636</v>
      </c>
      <c r="H21" s="16">
        <f>'00_TONG_HOP_BAO_GIA'!G5</f>
        <v/>
      </c>
      <c r="I21" s="21">
        <f>G21*H21</f>
        <v/>
      </c>
      <c r="J21" s="16">
        <f>IFERROR(INDEX('06_BANG_GIA_VAT_TU_AP_DUNG'!$E$1:$E$5000, MATCH(E21, '06_BANG_GIA_VAT_TU_AP_DUNG'!$B$1:$B$5000, 0)), 0)</f>
        <v/>
      </c>
      <c r="K21" s="16">
        <f>I21*J21</f>
        <v/>
      </c>
      <c r="L21" t="inlineStr">
        <is>
          <t>3 cánh cao 153mm</t>
        </is>
      </c>
    </row>
    <row r="22">
      <c r="A22" t="inlineStr">
        <is>
          <t>SW-DAMPER-004-AXLE</t>
        </is>
      </c>
      <c r="B22" t="inlineStr">
        <is>
          <t>SW-DAMPER-004</t>
        </is>
      </c>
      <c r="C22" t="inlineStr">
        <is>
          <t>Trục Sus 201 D10</t>
        </is>
      </c>
      <c r="D22" t="inlineStr">
        <is>
          <t>PHỤ_KIỆN_VAN</t>
        </is>
      </c>
      <c r="E22" t="inlineStr">
        <is>
          <t>MAT-DAMPER-TRUC-SUS-201-D10</t>
        </is>
      </c>
      <c r="F22" t="inlineStr">
        <is>
          <t>m</t>
        </is>
      </c>
      <c r="G22" s="20" t="n">
        <v>5.164339988014901</v>
      </c>
      <c r="H22" s="16">
        <f>'00_TONG_HOP_BAO_GIA'!G5</f>
        <v/>
      </c>
      <c r="I22" s="21">
        <f>G22*H22</f>
        <v/>
      </c>
      <c r="J22" s="16">
        <f>IFERROR(INDEX('06_BANG_GIA_VAT_TU_AP_DUNG'!$E$1:$E$5000, MATCH(E22, '06_BANG_GIA_VAT_TU_AP_DUNG'!$B$1:$B$5000, 0)), 0)</f>
        <v/>
      </c>
      <c r="K22" s="16">
        <f>I22*J22</f>
        <v/>
      </c>
      <c r="L22" t="inlineStr">
        <is>
          <t>3 trục dài 1160mm</t>
        </is>
      </c>
    </row>
    <row r="23">
      <c r="A23" t="inlineStr">
        <is>
          <t>SW-DAMPER-004-BEARING</t>
        </is>
      </c>
      <c r="B23" t="inlineStr">
        <is>
          <t>SW-DAMPER-004</t>
        </is>
      </c>
      <c r="C23" t="inlineStr">
        <is>
          <t>Bạc đồng D10</t>
        </is>
      </c>
      <c r="D23" t="inlineStr">
        <is>
          <t>PHỤ_KIỆN_VAN</t>
        </is>
      </c>
      <c r="E23" t="inlineStr">
        <is>
          <t>MAT-DAMPER-BAC-DONG-D10</t>
        </is>
      </c>
      <c r="F23" t="inlineStr">
        <is>
          <t>Đôi</t>
        </is>
      </c>
      <c r="G23" s="20" t="n">
        <v>3</v>
      </c>
      <c r="H23" s="16">
        <f>'00_TONG_HOP_BAO_GIA'!G5</f>
        <v/>
      </c>
      <c r="I23" s="21">
        <f>G23*H23</f>
        <v/>
      </c>
      <c r="J23" s="16">
        <f>IFERROR(INDEX('06_BANG_GIA_VAT_TU_AP_DUNG'!$E$1:$E$5000, MATCH(E23, '06_BANG_GIA_VAT_TU_AP_DUNG'!$B$1:$B$5000, 0)), 0)</f>
        <v/>
      </c>
      <c r="K23" s="16">
        <f>I23*J23</f>
        <v/>
      </c>
      <c r="L23" t="inlineStr">
        <is>
          <t>3 đôi bạc đỡ 2 bên thân</t>
        </is>
      </c>
    </row>
    <row r="24">
      <c r="A24" t="inlineStr">
        <is>
          <t>SW-DAMPER-004-GEAR</t>
        </is>
      </c>
      <c r="B24" t="inlineStr">
        <is>
          <t>SW-DAMPER-004</t>
        </is>
      </c>
      <c r="C24" t="inlineStr">
        <is>
          <t>Bánh răng van nhôm</t>
        </is>
      </c>
      <c r="D24" t="inlineStr">
        <is>
          <t>PHỤ_KIỆN_VAN</t>
        </is>
      </c>
      <c r="E24" t="inlineStr">
        <is>
          <t>MAT-DAMPER-BANH-RANG-VAN-NHOM</t>
        </is>
      </c>
      <c r="F24" t="inlineStr">
        <is>
          <t>Bộ</t>
        </is>
      </c>
      <c r="G24" s="20" t="n">
        <v>1</v>
      </c>
      <c r="H24" s="16">
        <f>'00_TONG_HOP_BAO_GIA'!G5</f>
        <v/>
      </c>
      <c r="I24" s="21">
        <f>G24*H24</f>
        <v/>
      </c>
      <c r="J24" s="16">
        <f>IFERROR(INDEX('06_BANG_GIA_VAT_TU_AP_DUNG'!$E$1:$E$5000, MATCH(E24, '06_BANG_GIA_VAT_TU_AP_DUNG'!$B$1:$B$5000, 0)), 0)</f>
        <v/>
      </c>
      <c r="K24" s="16">
        <f>I24*J24</f>
        <v/>
      </c>
      <c r="L24" t="inlineStr">
        <is>
          <t>Cơ cấu liên động cánh (1 bộ)</t>
        </is>
      </c>
    </row>
    <row r="25">
      <c r="A25" t="inlineStr">
        <is>
          <t>SW-DAMPER-004-ECCENTRIC</t>
        </is>
      </c>
      <c r="B25" t="inlineStr">
        <is>
          <t>SW-DAMPER-004</t>
        </is>
      </c>
      <c r="C25" t="inlineStr">
        <is>
          <t>Cơ cấu đối trọng xả áp (PRD)</t>
        </is>
      </c>
      <c r="D25" t="inlineStr">
        <is>
          <t>PHỤ_KIỆN_VAN</t>
        </is>
      </c>
      <c r="E25" t="inlineStr">
        <is>
          <t>ECCENTRIC_SHAFT</t>
        </is>
      </c>
      <c r="F25" t="inlineStr">
        <is>
          <t>Bộ</t>
        </is>
      </c>
      <c r="G25" s="20" t="n">
        <v>1</v>
      </c>
      <c r="H25" s="16">
        <f>'00_TONG_HOP_BAO_GIA'!G5</f>
        <v/>
      </c>
      <c r="I25" s="21">
        <f>G25*H25</f>
        <v/>
      </c>
      <c r="J25" s="16">
        <f>IFERROR(INDEX('06_BANG_GIA_VAT_TU_AP_DUNG'!$E$1:$E$5000, MATCH(E25, '06_BANG_GIA_VAT_TU_AP_DUNG'!$B$1:$B$5000, 0)), 0)</f>
        <v/>
      </c>
      <c r="K25" s="16">
        <f>I25*J25</f>
        <v/>
      </c>
      <c r="L25" t="inlineStr">
        <is>
          <t>Cơ cấu van xả áp đối trọng</t>
        </is>
      </c>
    </row>
    <row r="26">
      <c r="A26" t="inlineStr">
        <is>
          <t>SW-DAMPER-005-BODY</t>
        </is>
      </c>
      <c r="B26" t="inlineStr">
        <is>
          <t>SW-DAMPER-005</t>
        </is>
      </c>
      <c r="C26" t="inlineStr">
        <is>
          <t>Thân vỏ van MFD bích C30/TDF (1.15mm)</t>
        </is>
      </c>
      <c r="D26" t="inlineStr">
        <is>
          <t>TÔN_CUỘN_MẠ_KẼM</t>
        </is>
      </c>
      <c r="E26" t="inlineStr">
        <is>
          <t>MAT-STEEL-PN-1.15</t>
        </is>
      </c>
      <c r="F26" t="inlineStr">
        <is>
          <t>kg</t>
        </is>
      </c>
      <c r="G26" s="20" t="n">
        <v>4.441025412677573</v>
      </c>
      <c r="H26" s="16">
        <f>'00_TONG_HOP_BAO_GIA'!G6</f>
        <v/>
      </c>
      <c r="I26" s="21">
        <f>G26*H26</f>
        <v/>
      </c>
      <c r="J26" s="16">
        <f>IFERROR(INDEX('06_BANG_GIA_VAT_TU_AP_DUNG'!$E$1:$E$5000, MATCH(E26, '06_BANG_GIA_VAT_TU_AP_DUNG'!$B$1:$B$5000, 0)), 0)</f>
        <v/>
      </c>
      <c r="K26" s="16">
        <f>I26*J26</f>
        <v/>
      </c>
      <c r="L26" t="inlineStr">
        <is>
          <t>Kích thước vỏ 400x250x200mm</t>
        </is>
      </c>
    </row>
    <row r="27">
      <c r="A27" t="inlineStr">
        <is>
          <t>SW-DAMPER-005-BLADE</t>
        </is>
      </c>
      <c r="B27" t="inlineStr">
        <is>
          <t>SW-DAMPER-005</t>
        </is>
      </c>
      <c r="C27" t="inlineStr">
        <is>
          <t>Lá cánh / Tôn tấm bọc van (1 cánh)</t>
        </is>
      </c>
      <c r="D27" t="inlineStr">
        <is>
          <t>TÔN_CUỘN_MẠ_KẼM</t>
        </is>
      </c>
      <c r="E27" t="inlineStr">
        <is>
          <t>MAT-STEEL-PN-1.15</t>
        </is>
      </c>
      <c r="F27" t="inlineStr">
        <is>
          <t>kg</t>
        </is>
      </c>
      <c r="G27" s="20" t="n">
        <v>2.33805860258368</v>
      </c>
      <c r="H27" s="16">
        <f>'00_TONG_HOP_BAO_GIA'!G6</f>
        <v/>
      </c>
      <c r="I27" s="21">
        <f>G27*H27</f>
        <v/>
      </c>
      <c r="J27" s="16">
        <f>IFERROR(INDEX('06_BANG_GIA_VAT_TU_AP_DUNG'!$E$1:$E$5000, MATCH(E27, '06_BANG_GIA_VAT_TU_AP_DUNG'!$B$1:$B$5000, 0)), 0)</f>
        <v/>
      </c>
      <c r="K27" s="16">
        <f>I27*J27</f>
        <v/>
      </c>
      <c r="L27" t="inlineStr">
        <is>
          <t>Tôn bọc cánh &amp; thân (1 cánh/modul)</t>
        </is>
      </c>
    </row>
    <row r="28">
      <c r="A28" t="inlineStr">
        <is>
          <t>SW-DAMPER-005-AXLE</t>
        </is>
      </c>
      <c r="B28" t="inlineStr">
        <is>
          <t>SW-DAMPER-005</t>
        </is>
      </c>
      <c r="C28" t="inlineStr">
        <is>
          <t>Trục Sus 201 D10</t>
        </is>
      </c>
      <c r="D28" t="inlineStr">
        <is>
          <t>PHỤ_KIỆN_VAN</t>
        </is>
      </c>
      <c r="E28" t="inlineStr">
        <is>
          <t>MAT-DAMPER-TRUC-SUS-201-D10</t>
        </is>
      </c>
      <c r="F28" t="inlineStr">
        <is>
          <t>m</t>
        </is>
      </c>
      <c r="G28" s="20" t="n">
        <v>0.5956837204034856</v>
      </c>
      <c r="H28" s="16">
        <f>'00_TONG_HOP_BAO_GIA'!G6</f>
        <v/>
      </c>
      <c r="I28" s="21">
        <f>G28*H28</f>
        <v/>
      </c>
      <c r="J28" s="16">
        <f>IFERROR(INDEX('06_BANG_GIA_VAT_TU_AP_DUNG'!$E$1:$E$5000, MATCH(E28, '06_BANG_GIA_VAT_TU_AP_DUNG'!$B$1:$B$5000, 0)), 0)</f>
        <v/>
      </c>
      <c r="K28" s="16">
        <f>I28*J28</f>
        <v/>
      </c>
      <c r="L28" t="inlineStr">
        <is>
          <t>1 trục dài 460mm</t>
        </is>
      </c>
    </row>
    <row r="29">
      <c r="A29" t="inlineStr">
        <is>
          <t>SW-DAMPER-005-BEARING</t>
        </is>
      </c>
      <c r="B29" t="inlineStr">
        <is>
          <t>SW-DAMPER-005</t>
        </is>
      </c>
      <c r="C29" t="inlineStr">
        <is>
          <t>Bạc đồng D10</t>
        </is>
      </c>
      <c r="D29" t="inlineStr">
        <is>
          <t>PHỤ_KIỆN_VAN</t>
        </is>
      </c>
      <c r="E29" t="inlineStr">
        <is>
          <t>MAT-DAMPER-BAC-DONG-D10</t>
        </is>
      </c>
      <c r="F29" t="inlineStr">
        <is>
          <t>Đôi</t>
        </is>
      </c>
      <c r="G29" s="20" t="n">
        <v>1</v>
      </c>
      <c r="H29" s="16">
        <f>'00_TONG_HOP_BAO_GIA'!G6</f>
        <v/>
      </c>
      <c r="I29" s="21">
        <f>G29*H29</f>
        <v/>
      </c>
      <c r="J29" s="16">
        <f>IFERROR(INDEX('06_BANG_GIA_VAT_TU_AP_DUNG'!$E$1:$E$5000, MATCH(E29, '06_BANG_GIA_VAT_TU_AP_DUNG'!$B$1:$B$5000, 0)), 0)</f>
        <v/>
      </c>
      <c r="K29" s="16">
        <f>I29*J29</f>
        <v/>
      </c>
      <c r="L29" t="inlineStr">
        <is>
          <t>1 đôi bạc đỡ 2 bên thân</t>
        </is>
      </c>
    </row>
    <row r="30">
      <c r="A30" t="inlineStr">
        <is>
          <t>SW-DAMPER-005-ACTUATOR</t>
        </is>
      </c>
      <c r="B30" t="inlineStr">
        <is>
          <t>SW-DAMPER-005</t>
        </is>
      </c>
      <c r="C30" t="inlineStr">
        <is>
          <t>Động cơ chặn lửa ON/OFF KLB (Swin V6006FS500S EI90) 5Nm</t>
        </is>
      </c>
      <c r="D30" t="inlineStr">
        <is>
          <t>ĐỘNG_CƠ_VÀ_CẢM_BIẾN</t>
        </is>
      </c>
      <c r="E30" t="inlineStr">
        <is>
          <t>MAT-ACTUATOR-KLB-V6006FS500S</t>
        </is>
      </c>
      <c r="F30" t="inlineStr">
        <is>
          <t>Cái</t>
        </is>
      </c>
      <c r="G30" s="20" t="n">
        <v>1</v>
      </c>
      <c r="H30" s="16">
        <f>'00_TONG_HOP_BAO_GIA'!G6</f>
        <v/>
      </c>
      <c r="I30" s="21">
        <f>G30*H30</f>
        <v/>
      </c>
      <c r="J30" s="16">
        <f>IFERROR(INDEX('06_BANG_GIA_VAT_TU_AP_DUNG'!$E$1:$E$5000, MATCH(E30, '06_BANG_GIA_VAT_TU_AP_DUNG'!$B$1:$B$5000, 0)), 0)</f>
        <v/>
      </c>
      <c r="K30" s="16">
        <f>I30*J30</f>
        <v/>
      </c>
      <c r="L30" t="inlineStr">
        <is>
          <t>Động cơ lò xo phản hồi MFD (1 bộ)</t>
        </is>
      </c>
    </row>
    <row r="31">
      <c r="A31" t="inlineStr">
        <is>
          <t>SW-DAMPER-005-FB10-BODY</t>
        </is>
      </c>
      <c r="B31" t="inlineStr">
        <is>
          <t>SW-DAMPER-005</t>
        </is>
      </c>
      <c r="C31" t="inlineStr">
        <is>
          <t>Tấm chống cháy dày 10mm bọc thân van FD/MFD (2 lớp)</t>
        </is>
      </c>
      <c r="D31" t="inlineStr">
        <is>
          <t>VẬT_LIỆU_CÁCH_NHIỆT</t>
        </is>
      </c>
      <c r="E31" t="inlineStr">
        <is>
          <t>MAT-FIREBOARD-10MM-BODY</t>
        </is>
      </c>
      <c r="F31" t="inlineStr">
        <is>
          <t>m2</t>
        </is>
      </c>
      <c r="G31" s="20" t="n">
        <v>1.01007239546678</v>
      </c>
      <c r="H31" s="16">
        <f>'00_TONG_HOP_BAO_GIA'!G6</f>
        <v/>
      </c>
      <c r="I31" s="21">
        <f>G31*H31</f>
        <v/>
      </c>
      <c r="J31" s="16">
        <f>IFERROR(INDEX('06_BANG_GIA_VAT_TU_AP_DUNG'!$E$1:$E$5000, MATCH(E31, '06_BANG_GIA_VAT_TU_AP_DUNG'!$B$1:$B$5000, 0)), 0)</f>
        <v/>
      </c>
      <c r="K31" s="16">
        <f>I31*J31</f>
        <v/>
      </c>
      <c r="L31" t="inlineStr">
        <is>
          <t>Bọc 2 lớp tấm 10mm quanh thân L=300mm</t>
        </is>
      </c>
    </row>
    <row r="32">
      <c r="A32" t="inlineStr">
        <is>
          <t>SW-DAMPER-005-FB20-BLADE</t>
        </is>
      </c>
      <c r="B32" t="inlineStr">
        <is>
          <t>SW-DAMPER-005</t>
        </is>
      </c>
      <c r="C32" t="inlineStr">
        <is>
          <t>Tấm chống cháy dày 20mm làm lõi cánh van FD/MFD</t>
        </is>
      </c>
      <c r="D32" t="inlineStr">
        <is>
          <t>VẬT_LIỆU_CÁCH_NHIỆT</t>
        </is>
      </c>
      <c r="E32" t="inlineStr">
        <is>
          <t>MAT-FIREBOARD-20MM-BLADE</t>
        </is>
      </c>
      <c r="F32" t="inlineStr">
        <is>
          <t>m2</t>
        </is>
      </c>
      <c r="G32" s="20" t="n">
        <v>0.1294964609572795</v>
      </c>
      <c r="H32" s="16">
        <f>'00_TONG_HOP_BAO_GIA'!G6</f>
        <v/>
      </c>
      <c r="I32" s="21">
        <f>G32*H32</f>
        <v/>
      </c>
      <c r="J32" s="16">
        <f>IFERROR(INDEX('06_BANG_GIA_VAT_TU_AP_DUNG'!$E$1:$E$5000, MATCH(E32, '06_BANG_GIA_VAT_TU_AP_DUNG'!$B$1:$B$5000, 0)), 0)</f>
        <v/>
      </c>
      <c r="K32" s="16">
        <f>I32*J32</f>
        <v/>
      </c>
      <c r="L32" t="inlineStr">
        <is>
          <t>Lõi cánh tấm 20mm (Cánh đơn 400x250mm)</t>
        </is>
      </c>
    </row>
    <row r="33">
      <c r="A33" t="inlineStr">
        <is>
          <t>SW-DAMPER-005-FB10-BLADE</t>
        </is>
      </c>
      <c r="B33" t="inlineStr">
        <is>
          <t>SW-DAMPER-005</t>
        </is>
      </c>
      <c r="C33" t="inlineStr">
        <is>
          <t>Tấm chống cháy dày 10mm ốp 2 mặt cánh van FD/MFD</t>
        </is>
      </c>
      <c r="D33" t="inlineStr">
        <is>
          <t>VẬT_LIỆU_CÁCH_NHIỆT</t>
        </is>
      </c>
      <c r="E33" t="inlineStr">
        <is>
          <t>MAT-FIREBOARD-10MM-BLADE</t>
        </is>
      </c>
      <c r="F33" t="inlineStr">
        <is>
          <t>m2</t>
        </is>
      </c>
      <c r="G33" s="20" t="n">
        <v>0.258992921914559</v>
      </c>
      <c r="H33" s="16">
        <f>'00_TONG_HOP_BAO_GIA'!G6</f>
        <v/>
      </c>
      <c r="I33" s="21">
        <f>G33*H33</f>
        <v/>
      </c>
      <c r="J33" s="16">
        <f>IFERROR(INDEX('06_BANG_GIA_VAT_TU_AP_DUNG'!$E$1:$E$5000, MATCH(E33, '06_BANG_GIA_VAT_TU_AP_DUNG'!$B$1:$B$5000, 0)), 0)</f>
        <v/>
      </c>
      <c r="K33" s="16">
        <f>I33*J33</f>
        <v/>
      </c>
      <c r="L33" t="inlineStr">
        <is>
          <t>Ốp 2 mặt cánh tấm 10mm (Cánh đơn 400x250mm)</t>
        </is>
      </c>
    </row>
    <row r="34">
      <c r="A34" t="inlineStr">
        <is>
          <t>SW-DAMPER-005-SPRING-BOX</t>
        </is>
      </c>
      <c r="B34" t="inlineStr">
        <is>
          <t>SW-DAMPER-005</t>
        </is>
      </c>
      <c r="C34" t="inlineStr">
        <is>
          <t>Hộp lò xo van chặn lửa FD/MFD</t>
        </is>
      </c>
      <c r="D34" t="inlineStr">
        <is>
          <t>PHỤ_KIỆN_VAN</t>
        </is>
      </c>
      <c r="E34" t="inlineStr">
        <is>
          <t>MAT-DAMPER-HOP-LO-XO</t>
        </is>
      </c>
      <c r="F34" t="inlineStr">
        <is>
          <t>Bộ</t>
        </is>
      </c>
      <c r="G34" s="20" t="n">
        <v>1</v>
      </c>
      <c r="H34" s="16">
        <f>'00_TONG_HOP_BAO_GIA'!G6</f>
        <v/>
      </c>
      <c r="I34" s="21">
        <f>G34*H34</f>
        <v/>
      </c>
      <c r="J34" s="16">
        <f>IFERROR(INDEX('06_BANG_GIA_VAT_TU_AP_DUNG'!$E$1:$E$5000, MATCH(E34, '06_BANG_GIA_VAT_TU_AP_DUNG'!$B$1:$B$5000, 0)), 0)</f>
        <v/>
      </c>
      <c r="K34" s="16">
        <f>I34*J34</f>
        <v/>
      </c>
      <c r="L34" t="inlineStr">
        <is>
          <t>Hộp lò xo cơ cấu đóng sập (1 bộ)</t>
        </is>
      </c>
    </row>
    <row r="35">
      <c r="A35" t="inlineStr">
        <is>
          <t>SW-DAMPER-005-SILICON-BOLT</t>
        </is>
      </c>
      <c r="B35" t="inlineStr">
        <is>
          <t>SW-DAMPER-005</t>
        </is>
      </c>
      <c r="C35" t="inlineStr">
        <is>
          <t>Silicon chống cháy + bu lông, ốc vít van FD/MFD</t>
        </is>
      </c>
      <c r="D35" t="inlineStr">
        <is>
          <t>PHỤ_KIỆN_VAN</t>
        </is>
      </c>
      <c r="E35" t="inlineStr">
        <is>
          <t>MAT-DAMPER-SILICON-BULONG-VIT</t>
        </is>
      </c>
      <c r="F35" t="inlineStr">
        <is>
          <t>Bộ</t>
        </is>
      </c>
      <c r="G35" s="20" t="n">
        <v>1</v>
      </c>
      <c r="H35" s="16">
        <f>'00_TONG_HOP_BAO_GIA'!G6</f>
        <v/>
      </c>
      <c r="I35" s="21">
        <f>G35*H35</f>
        <v/>
      </c>
      <c r="J35" s="16">
        <f>IFERROR(INDEX('06_BANG_GIA_VAT_TU_AP_DUNG'!$E$1:$E$5000, MATCH(E35, '06_BANG_GIA_VAT_TU_AP_DUNG'!$B$1:$B$5000, 0)), 0)</f>
        <v/>
      </c>
      <c r="K35" s="16">
        <f>I35*J35</f>
        <v/>
      </c>
      <c r="L35" t="inlineStr">
        <is>
          <t>Keo silicon chống cháy &amp; phụ kiện lắp ghép (1 bộ)</t>
        </is>
      </c>
    </row>
    <row r="36">
      <c r="A36" t="inlineStr">
        <is>
          <t>SW-DAMPER-006-BODY</t>
        </is>
      </c>
      <c r="B36" t="inlineStr">
        <is>
          <t>SW-DAMPER-006</t>
        </is>
      </c>
      <c r="C36" t="inlineStr">
        <is>
          <t>Thân vỏ van MFD bích C30/TDF (1.15mm)</t>
        </is>
      </c>
      <c r="D36" t="inlineStr">
        <is>
          <t>TÔN_CUỘN_MẠ_KẼM</t>
        </is>
      </c>
      <c r="E36" t="inlineStr">
        <is>
          <t>MAT-STEEL-PN-1.15</t>
        </is>
      </c>
      <c r="F36" t="inlineStr">
        <is>
          <t>kg</t>
        </is>
      </c>
      <c r="G36" s="20" t="n">
        <v>6.531303361272339</v>
      </c>
      <c r="H36" s="16">
        <f>'00_TONG_HOP_BAO_GIA'!G7</f>
        <v/>
      </c>
      <c r="I36" s="21">
        <f>G36*H36</f>
        <v/>
      </c>
      <c r="J36" s="16">
        <f>IFERROR(INDEX('06_BANG_GIA_VAT_TU_AP_DUNG'!$E$1:$E$5000, MATCH(E36, '06_BANG_GIA_VAT_TU_AP_DUNG'!$B$1:$B$5000, 0)), 0)</f>
        <v/>
      </c>
      <c r="K36" s="16">
        <f>I36*J36</f>
        <v/>
      </c>
      <c r="L36" t="inlineStr">
        <is>
          <t>Kích thước vỏ 500x500x200mm</t>
        </is>
      </c>
    </row>
    <row r="37">
      <c r="A37" t="inlineStr">
        <is>
          <t>SW-DAMPER-006-BLADE</t>
        </is>
      </c>
      <c r="B37" t="inlineStr">
        <is>
          <t>SW-DAMPER-006</t>
        </is>
      </c>
      <c r="C37" t="inlineStr">
        <is>
          <t>Lá cánh / Tôn tấm bọc van (1 cánh)</t>
        </is>
      </c>
      <c r="D37" t="inlineStr">
        <is>
          <t>TÔN_CUỘN_MẠ_KẼM</t>
        </is>
      </c>
      <c r="E37" t="inlineStr">
        <is>
          <t>MAT-STEEL-PN-1.15</t>
        </is>
      </c>
      <c r="F37" t="inlineStr">
        <is>
          <t>kg</t>
        </is>
      </c>
      <c r="G37" s="20" t="n">
        <v>5.646594876087025</v>
      </c>
      <c r="H37" s="16">
        <f>'00_TONG_HOP_BAO_GIA'!G7</f>
        <v/>
      </c>
      <c r="I37" s="21">
        <f>G37*H37</f>
        <v/>
      </c>
      <c r="J37" s="16">
        <f>IFERROR(INDEX('06_BANG_GIA_VAT_TU_AP_DUNG'!$E$1:$E$5000, MATCH(E37, '06_BANG_GIA_VAT_TU_AP_DUNG'!$B$1:$B$5000, 0)), 0)</f>
        <v/>
      </c>
      <c r="K37" s="16">
        <f>I37*J37</f>
        <v/>
      </c>
      <c r="L37" t="inlineStr">
        <is>
          <t>Tôn bọc cánh &amp; thân (1 cánh/modul)</t>
        </is>
      </c>
    </row>
    <row r="38">
      <c r="A38" t="inlineStr">
        <is>
          <t>SW-DAMPER-006-AXLE</t>
        </is>
      </c>
      <c r="B38" t="inlineStr">
        <is>
          <t>SW-DAMPER-006</t>
        </is>
      </c>
      <c r="C38" t="inlineStr">
        <is>
          <t>Trục Sus 201 D10</t>
        </is>
      </c>
      <c r="D38" t="inlineStr">
        <is>
          <t>PHỤ_KIỆN_VAN</t>
        </is>
      </c>
      <c r="E38" t="inlineStr">
        <is>
          <t>MAT-DAMPER-TRUC-SUS-201-D10</t>
        </is>
      </c>
      <c r="F38" t="inlineStr">
        <is>
          <t>m</t>
        </is>
      </c>
      <c r="G38" s="20" t="n">
        <v>0.700546802682633</v>
      </c>
      <c r="H38" s="16">
        <f>'00_TONG_HOP_BAO_GIA'!G7</f>
        <v/>
      </c>
      <c r="I38" s="21">
        <f>G38*H38</f>
        <v/>
      </c>
      <c r="J38" s="16">
        <f>IFERROR(INDEX('06_BANG_GIA_VAT_TU_AP_DUNG'!$E$1:$E$5000, MATCH(E38, '06_BANG_GIA_VAT_TU_AP_DUNG'!$B$1:$B$5000, 0)), 0)</f>
        <v/>
      </c>
      <c r="K38" s="16">
        <f>I38*J38</f>
        <v/>
      </c>
      <c r="L38" t="inlineStr">
        <is>
          <t>1 trục dài 560mm</t>
        </is>
      </c>
    </row>
    <row r="39">
      <c r="A39" t="inlineStr">
        <is>
          <t>SW-DAMPER-006-BEARING</t>
        </is>
      </c>
      <c r="B39" t="inlineStr">
        <is>
          <t>SW-DAMPER-006</t>
        </is>
      </c>
      <c r="C39" t="inlineStr">
        <is>
          <t>Bạc đồng D10</t>
        </is>
      </c>
      <c r="D39" t="inlineStr">
        <is>
          <t>PHỤ_KIỆN_VAN</t>
        </is>
      </c>
      <c r="E39" t="inlineStr">
        <is>
          <t>MAT-DAMPER-BAC-DONG-D10</t>
        </is>
      </c>
      <c r="F39" t="inlineStr">
        <is>
          <t>Đôi</t>
        </is>
      </c>
      <c r="G39" s="20" t="n">
        <v>1</v>
      </c>
      <c r="H39" s="16">
        <f>'00_TONG_HOP_BAO_GIA'!G7</f>
        <v/>
      </c>
      <c r="I39" s="21">
        <f>G39*H39</f>
        <v/>
      </c>
      <c r="J39" s="16">
        <f>IFERROR(INDEX('06_BANG_GIA_VAT_TU_AP_DUNG'!$E$1:$E$5000, MATCH(E39, '06_BANG_GIA_VAT_TU_AP_DUNG'!$B$1:$B$5000, 0)), 0)</f>
        <v/>
      </c>
      <c r="K39" s="16">
        <f>I39*J39</f>
        <v/>
      </c>
      <c r="L39" t="inlineStr">
        <is>
          <t>1 đôi bạc đỡ 2 bên thân</t>
        </is>
      </c>
    </row>
    <row r="40">
      <c r="A40" t="inlineStr">
        <is>
          <t>SW-DAMPER-006-ACTUATOR</t>
        </is>
      </c>
      <c r="B40" t="inlineStr">
        <is>
          <t>SW-DAMPER-006</t>
        </is>
      </c>
      <c r="C40" t="inlineStr">
        <is>
          <t>Động cơ chặn lửa ON/OFF KLB (Swin V6006FS500S EI90) 5Nm</t>
        </is>
      </c>
      <c r="D40" t="inlineStr">
        <is>
          <t>ĐỘNG_CƠ_VÀ_CẢM_BIẾN</t>
        </is>
      </c>
      <c r="E40" t="inlineStr">
        <is>
          <t>MAT-ACTUATOR-KLB-V6006FS500S</t>
        </is>
      </c>
      <c r="F40" t="inlineStr">
        <is>
          <t>Cái</t>
        </is>
      </c>
      <c r="G40" s="20" t="n">
        <v>1</v>
      </c>
      <c r="H40" s="16">
        <f>'00_TONG_HOP_BAO_GIA'!G7</f>
        <v/>
      </c>
      <c r="I40" s="21">
        <f>G40*H40</f>
        <v/>
      </c>
      <c r="J40" s="16">
        <f>IFERROR(INDEX('06_BANG_GIA_VAT_TU_AP_DUNG'!$E$1:$E$5000, MATCH(E40, '06_BANG_GIA_VAT_TU_AP_DUNG'!$B$1:$B$5000, 0)), 0)</f>
        <v/>
      </c>
      <c r="K40" s="16">
        <f>I40*J40</f>
        <v/>
      </c>
      <c r="L40" t="inlineStr">
        <is>
          <t>Động cơ lò xo phản hồi MFD (1 bộ)</t>
        </is>
      </c>
    </row>
    <row r="41">
      <c r="A41" t="inlineStr">
        <is>
          <t>SW-DAMPER-006-FB10-BODY</t>
        </is>
      </c>
      <c r="B41" t="inlineStr">
        <is>
          <t>SW-DAMPER-006</t>
        </is>
      </c>
      <c r="C41" t="inlineStr">
        <is>
          <t>Tấm chống cháy dày 10mm bọc thân van FD/MFD (2 lớp)</t>
        </is>
      </c>
      <c r="D41" t="inlineStr">
        <is>
          <t>VẬT_LIỆU_CÁCH_NHIỆT</t>
        </is>
      </c>
      <c r="E41" t="inlineStr">
        <is>
          <t>MAT-FIREBOARD-10MM-BODY</t>
        </is>
      </c>
      <c r="F41" t="inlineStr">
        <is>
          <t>m2</t>
        </is>
      </c>
      <c r="G41" s="20" t="n">
        <v>1.501171720034213</v>
      </c>
      <c r="H41" s="16">
        <f>'00_TONG_HOP_BAO_GIA'!G7</f>
        <v/>
      </c>
      <c r="I41" s="21">
        <f>G41*H41</f>
        <v/>
      </c>
      <c r="J41" s="16">
        <f>IFERROR(INDEX('06_BANG_GIA_VAT_TU_AP_DUNG'!$E$1:$E$5000, MATCH(E41, '06_BANG_GIA_VAT_TU_AP_DUNG'!$B$1:$B$5000, 0)), 0)</f>
        <v/>
      </c>
      <c r="K41" s="16">
        <f>I41*J41</f>
        <v/>
      </c>
      <c r="L41" t="inlineStr">
        <is>
          <t>Bọc 2 lớp tấm 10mm quanh thân L=300mm</t>
        </is>
      </c>
    </row>
    <row r="42">
      <c r="A42" t="inlineStr">
        <is>
          <t>SW-DAMPER-006-FB20-BLADE</t>
        </is>
      </c>
      <c r="B42" t="inlineStr">
        <is>
          <t>SW-DAMPER-006</t>
        </is>
      </c>
      <c r="C42" t="inlineStr">
        <is>
          <t>Tấm chống cháy dày 20mm làm lõi cánh van FD/MFD</t>
        </is>
      </c>
      <c r="D42" t="inlineStr">
        <is>
          <t>VẬT_LIỆU_CÁCH_NHIỆT</t>
        </is>
      </c>
      <c r="E42" t="inlineStr">
        <is>
          <t>MAT-FIREBOARD-20MM-BLADE</t>
        </is>
      </c>
      <c r="F42" t="inlineStr">
        <is>
          <t>m2</t>
        </is>
      </c>
      <c r="G42" s="20" t="n">
        <v>0.3127441083404611</v>
      </c>
      <c r="H42" s="16">
        <f>'00_TONG_HOP_BAO_GIA'!G7</f>
        <v/>
      </c>
      <c r="I42" s="21">
        <f>G42*H42</f>
        <v/>
      </c>
      <c r="J42" s="16">
        <f>IFERROR(INDEX('06_BANG_GIA_VAT_TU_AP_DUNG'!$E$1:$E$5000, MATCH(E42, '06_BANG_GIA_VAT_TU_AP_DUNG'!$B$1:$B$5000, 0)), 0)</f>
        <v/>
      </c>
      <c r="K42" s="16">
        <f>I42*J42</f>
        <v/>
      </c>
      <c r="L42" t="inlineStr">
        <is>
          <t>Lõi cánh tấm 20mm (Cánh đơn 500x500mm)</t>
        </is>
      </c>
    </row>
    <row r="43">
      <c r="A43" t="inlineStr">
        <is>
          <t>SW-DAMPER-006-FB10-BLADE</t>
        </is>
      </c>
      <c r="B43" t="inlineStr">
        <is>
          <t>SW-DAMPER-006</t>
        </is>
      </c>
      <c r="C43" t="inlineStr">
        <is>
          <t>Tấm chống cháy dày 10mm ốp 2 mặt cánh van FD/MFD</t>
        </is>
      </c>
      <c r="D43" t="inlineStr">
        <is>
          <t>VẬT_LIỆU_CÁCH_NHIỆT</t>
        </is>
      </c>
      <c r="E43" t="inlineStr">
        <is>
          <t>MAT-FIREBOARD-10MM-BLADE</t>
        </is>
      </c>
      <c r="F43" t="inlineStr">
        <is>
          <t>m2</t>
        </is>
      </c>
      <c r="G43" s="20" t="n">
        <v>0.6254882166809222</v>
      </c>
      <c r="H43" s="16">
        <f>'00_TONG_HOP_BAO_GIA'!G7</f>
        <v/>
      </c>
      <c r="I43" s="21">
        <f>G43*H43</f>
        <v/>
      </c>
      <c r="J43" s="16">
        <f>IFERROR(INDEX('06_BANG_GIA_VAT_TU_AP_DUNG'!$E$1:$E$5000, MATCH(E43, '06_BANG_GIA_VAT_TU_AP_DUNG'!$B$1:$B$5000, 0)), 0)</f>
        <v/>
      </c>
      <c r="K43" s="16">
        <f>I43*J43</f>
        <v/>
      </c>
      <c r="L43" t="inlineStr">
        <is>
          <t>Ốp 2 mặt cánh tấm 10mm (Cánh đơn 500x500mm)</t>
        </is>
      </c>
    </row>
    <row r="44">
      <c r="A44" t="inlineStr">
        <is>
          <t>SW-DAMPER-006-SPRING-BOX</t>
        </is>
      </c>
      <c r="B44" t="inlineStr">
        <is>
          <t>SW-DAMPER-006</t>
        </is>
      </c>
      <c r="C44" t="inlineStr">
        <is>
          <t>Hộp lò xo van chặn lửa FD/MFD</t>
        </is>
      </c>
      <c r="D44" t="inlineStr">
        <is>
          <t>PHỤ_KIỆN_VAN</t>
        </is>
      </c>
      <c r="E44" t="inlineStr">
        <is>
          <t>MAT-DAMPER-HOP-LO-XO</t>
        </is>
      </c>
      <c r="F44" t="inlineStr">
        <is>
          <t>Bộ</t>
        </is>
      </c>
      <c r="G44" s="20" t="n">
        <v>1</v>
      </c>
      <c r="H44" s="16">
        <f>'00_TONG_HOP_BAO_GIA'!G7</f>
        <v/>
      </c>
      <c r="I44" s="21">
        <f>G44*H44</f>
        <v/>
      </c>
      <c r="J44" s="16">
        <f>IFERROR(INDEX('06_BANG_GIA_VAT_TU_AP_DUNG'!$E$1:$E$5000, MATCH(E44, '06_BANG_GIA_VAT_TU_AP_DUNG'!$B$1:$B$5000, 0)), 0)</f>
        <v/>
      </c>
      <c r="K44" s="16">
        <f>I44*J44</f>
        <v/>
      </c>
      <c r="L44" t="inlineStr">
        <is>
          <t>Hộp lò xo cơ cấu đóng sập (1 bộ)</t>
        </is>
      </c>
    </row>
    <row r="45">
      <c r="A45" t="inlineStr">
        <is>
          <t>SW-DAMPER-006-SILICON-BOLT</t>
        </is>
      </c>
      <c r="B45" t="inlineStr">
        <is>
          <t>SW-DAMPER-006</t>
        </is>
      </c>
      <c r="C45" t="inlineStr">
        <is>
          <t>Silicon chống cháy + bu lông, ốc vít van FD/MFD</t>
        </is>
      </c>
      <c r="D45" t="inlineStr">
        <is>
          <t>PHỤ_KIỆN_VAN</t>
        </is>
      </c>
      <c r="E45" t="inlineStr">
        <is>
          <t>MAT-DAMPER-SILICON-BULONG-VIT</t>
        </is>
      </c>
      <c r="F45" t="inlineStr">
        <is>
          <t>Bộ</t>
        </is>
      </c>
      <c r="G45" s="20" t="n">
        <v>1</v>
      </c>
      <c r="H45" s="16">
        <f>'00_TONG_HOP_BAO_GIA'!G7</f>
        <v/>
      </c>
      <c r="I45" s="21">
        <f>G45*H45</f>
        <v/>
      </c>
      <c r="J45" s="16">
        <f>IFERROR(INDEX('06_BANG_GIA_VAT_TU_AP_DUNG'!$E$1:$E$5000, MATCH(E45, '06_BANG_GIA_VAT_TU_AP_DUNG'!$B$1:$B$5000, 0)), 0)</f>
        <v/>
      </c>
      <c r="K45" s="16">
        <f>I45*J45</f>
        <v/>
      </c>
      <c r="L45" t="inlineStr">
        <is>
          <t>Keo silicon chống cháy &amp; phụ kiện lắp ghép (1 bộ)</t>
        </is>
      </c>
    </row>
    <row r="46">
      <c r="A46" t="inlineStr">
        <is>
          <t>SW-DAMPER-007-BODY</t>
        </is>
      </c>
      <c r="B46" t="inlineStr">
        <is>
          <t>SW-DAMPER-007</t>
        </is>
      </c>
      <c r="C46" t="inlineStr">
        <is>
          <t>Thân vỏ van MFD bích C30/TDF (1.15mm)</t>
        </is>
      </c>
      <c r="D46" t="inlineStr">
        <is>
          <t>TÔN_CUỘN_MẠ_KẼM</t>
        </is>
      </c>
      <c r="E46" t="inlineStr">
        <is>
          <t>MAT-STEEL-PN-1.15</t>
        </is>
      </c>
      <c r="F46" t="inlineStr">
        <is>
          <t>kg</t>
        </is>
      </c>
      <c r="G46" s="20" t="n">
        <v>7.120367324174124</v>
      </c>
      <c r="H46" s="16">
        <f>'00_TONG_HOP_BAO_GIA'!G8</f>
        <v/>
      </c>
      <c r="I46" s="21">
        <f>G46*H46</f>
        <v/>
      </c>
      <c r="J46" s="16">
        <f>IFERROR(INDEX('06_BANG_GIA_VAT_TU_AP_DUNG'!$E$1:$E$5000, MATCH(E46, '06_BANG_GIA_VAT_TU_AP_DUNG'!$B$1:$B$5000, 0)), 0)</f>
        <v/>
      </c>
      <c r="K46" s="16">
        <f>I46*J46</f>
        <v/>
      </c>
      <c r="L46" t="inlineStr">
        <is>
          <t>Kích thước vỏ 600x500x200mm</t>
        </is>
      </c>
    </row>
    <row r="47">
      <c r="A47" t="inlineStr">
        <is>
          <t>SW-DAMPER-007-BLADE</t>
        </is>
      </c>
      <c r="B47" t="inlineStr">
        <is>
          <t>SW-DAMPER-007</t>
        </is>
      </c>
      <c r="C47" t="inlineStr">
        <is>
          <t>Lá cánh / Tôn tấm bọc van (1 cánh)</t>
        </is>
      </c>
      <c r="D47" t="inlineStr">
        <is>
          <t>TÔN_CUỘN_MẠ_KẼM</t>
        </is>
      </c>
      <c r="E47" t="inlineStr">
        <is>
          <t>MAT-STEEL-PN-1.15</t>
        </is>
      </c>
      <c r="F47" t="inlineStr">
        <is>
          <t>kg</t>
        </is>
      </c>
      <c r="G47" s="20" t="n">
        <v>6.727482354661868</v>
      </c>
      <c r="H47" s="16">
        <f>'00_TONG_HOP_BAO_GIA'!G8</f>
        <v/>
      </c>
      <c r="I47" s="21">
        <f>G47*H47</f>
        <v/>
      </c>
      <c r="J47" s="16">
        <f>IFERROR(INDEX('06_BANG_GIA_VAT_TU_AP_DUNG'!$E$1:$E$5000, MATCH(E47, '06_BANG_GIA_VAT_TU_AP_DUNG'!$B$1:$B$5000, 0)), 0)</f>
        <v/>
      </c>
      <c r="K47" s="16">
        <f>I47*J47</f>
        <v/>
      </c>
      <c r="L47" t="inlineStr">
        <is>
          <t>Tôn bọc cánh &amp; thân (1 cánh/modul)</t>
        </is>
      </c>
    </row>
    <row r="48">
      <c r="A48" t="inlineStr">
        <is>
          <t>SW-DAMPER-007-AXLE</t>
        </is>
      </c>
      <c r="B48" t="inlineStr">
        <is>
          <t>SW-DAMPER-007</t>
        </is>
      </c>
      <c r="C48" t="inlineStr">
        <is>
          <t>Trục Sus 201 D10</t>
        </is>
      </c>
      <c r="D48" t="inlineStr">
        <is>
          <t>PHỤ_KIỆN_VAN</t>
        </is>
      </c>
      <c r="E48" t="inlineStr">
        <is>
          <t>MAT-DAMPER-TRUC-SUS-201-D10</t>
        </is>
      </c>
      <c r="F48" t="inlineStr">
        <is>
          <t>m</t>
        </is>
      </c>
      <c r="G48" s="20" t="n">
        <v>0.8197430728471955</v>
      </c>
      <c r="H48" s="16">
        <f>'00_TONG_HOP_BAO_GIA'!G8</f>
        <v/>
      </c>
      <c r="I48" s="21">
        <f>G48*H48</f>
        <v/>
      </c>
      <c r="J48" s="16">
        <f>IFERROR(INDEX('06_BANG_GIA_VAT_TU_AP_DUNG'!$E$1:$E$5000, MATCH(E48, '06_BANG_GIA_VAT_TU_AP_DUNG'!$B$1:$B$5000, 0)), 0)</f>
        <v/>
      </c>
      <c r="K48" s="16">
        <f>I48*J48</f>
        <v/>
      </c>
      <c r="L48" t="inlineStr">
        <is>
          <t>1 trục dài 660mm</t>
        </is>
      </c>
    </row>
    <row r="49">
      <c r="A49" t="inlineStr">
        <is>
          <t>SW-DAMPER-007-BEARING</t>
        </is>
      </c>
      <c r="B49" t="inlineStr">
        <is>
          <t>SW-DAMPER-007</t>
        </is>
      </c>
      <c r="C49" t="inlineStr">
        <is>
          <t>Bạc đồng D10</t>
        </is>
      </c>
      <c r="D49" t="inlineStr">
        <is>
          <t>PHỤ_KIỆN_VAN</t>
        </is>
      </c>
      <c r="E49" t="inlineStr">
        <is>
          <t>MAT-DAMPER-BAC-DONG-D10</t>
        </is>
      </c>
      <c r="F49" t="inlineStr">
        <is>
          <t>Đôi</t>
        </is>
      </c>
      <c r="G49" s="20" t="n">
        <v>1</v>
      </c>
      <c r="H49" s="16">
        <f>'00_TONG_HOP_BAO_GIA'!G8</f>
        <v/>
      </c>
      <c r="I49" s="21">
        <f>G49*H49</f>
        <v/>
      </c>
      <c r="J49" s="16">
        <f>IFERROR(INDEX('06_BANG_GIA_VAT_TU_AP_DUNG'!$E$1:$E$5000, MATCH(E49, '06_BANG_GIA_VAT_TU_AP_DUNG'!$B$1:$B$5000, 0)), 0)</f>
        <v/>
      </c>
      <c r="K49" s="16">
        <f>I49*J49</f>
        <v/>
      </c>
      <c r="L49" t="inlineStr">
        <is>
          <t>1 đôi bạc đỡ 2 bên thân</t>
        </is>
      </c>
    </row>
    <row r="50">
      <c r="A50" t="inlineStr">
        <is>
          <t>SW-DAMPER-007-ACTUATOR</t>
        </is>
      </c>
      <c r="B50" t="inlineStr">
        <is>
          <t>SW-DAMPER-007</t>
        </is>
      </c>
      <c r="C50" t="inlineStr">
        <is>
          <t>Động cơ chặn lửa ON/OFF KLB (Swin V6006FS500S EI90) 5Nm</t>
        </is>
      </c>
      <c r="D50" t="inlineStr">
        <is>
          <t>ĐỘNG_CƠ_VÀ_CẢM_BIẾN</t>
        </is>
      </c>
      <c r="E50" t="inlineStr">
        <is>
          <t>MAT-ACTUATOR-KLB-V6006FS500S</t>
        </is>
      </c>
      <c r="F50" t="inlineStr">
        <is>
          <t>Cái</t>
        </is>
      </c>
      <c r="G50" s="20" t="n">
        <v>1</v>
      </c>
      <c r="H50" s="16">
        <f>'00_TONG_HOP_BAO_GIA'!G8</f>
        <v/>
      </c>
      <c r="I50" s="21">
        <f>G50*H50</f>
        <v/>
      </c>
      <c r="J50" s="16">
        <f>IFERROR(INDEX('06_BANG_GIA_VAT_TU_AP_DUNG'!$E$1:$E$5000, MATCH(E50, '06_BANG_GIA_VAT_TU_AP_DUNG'!$B$1:$B$5000, 0)), 0)</f>
        <v/>
      </c>
      <c r="K50" s="16">
        <f>I50*J50</f>
        <v/>
      </c>
      <c r="L50" t="inlineStr">
        <is>
          <t>Động cơ lò xo phản hồi MFD (1 bộ)</t>
        </is>
      </c>
    </row>
    <row r="51">
      <c r="A51" t="inlineStr">
        <is>
          <t>SW-DAMPER-007-FB10-BODY</t>
        </is>
      </c>
      <c r="B51" t="inlineStr">
        <is>
          <t>SW-DAMPER-007</t>
        </is>
      </c>
      <c r="C51" t="inlineStr">
        <is>
          <t>Tấm chống cháy dày 10mm bọc thân van FD/MFD (2 lớp)</t>
        </is>
      </c>
      <c r="D51" t="inlineStr">
        <is>
          <t>VẬT_LIỆU_CÁCH_NHIỆT</t>
        </is>
      </c>
      <c r="E51" t="inlineStr">
        <is>
          <t>MAT-FIREBOARD-10MM-BODY</t>
        </is>
      </c>
      <c r="F51" t="inlineStr">
        <is>
          <t>m2</t>
        </is>
      </c>
      <c r="G51" s="20" t="n">
        <v>1.639486145694391</v>
      </c>
      <c r="H51" s="16">
        <f>'00_TONG_HOP_BAO_GIA'!G8</f>
        <v/>
      </c>
      <c r="I51" s="21">
        <f>G51*H51</f>
        <v/>
      </c>
      <c r="J51" s="16">
        <f>IFERROR(INDEX('06_BANG_GIA_VAT_TU_AP_DUNG'!$E$1:$E$5000, MATCH(E51, '06_BANG_GIA_VAT_TU_AP_DUNG'!$B$1:$B$5000, 0)), 0)</f>
        <v/>
      </c>
      <c r="K51" s="16">
        <f>I51*J51</f>
        <v/>
      </c>
      <c r="L51" t="inlineStr">
        <is>
          <t>Bọc 2 lớp tấm 10mm quanh thân L=300mm</t>
        </is>
      </c>
    </row>
    <row r="52">
      <c r="A52" t="inlineStr">
        <is>
          <t>SW-DAMPER-007-FB20-BLADE</t>
        </is>
      </c>
      <c r="B52" t="inlineStr">
        <is>
          <t>SW-DAMPER-007</t>
        </is>
      </c>
      <c r="C52" t="inlineStr">
        <is>
          <t>Tấm chống cháy dày 20mm làm lõi cánh van FD/MFD</t>
        </is>
      </c>
      <c r="D52" t="inlineStr">
        <is>
          <t>VẬT_LIỆU_CÁCH_NHIỆT</t>
        </is>
      </c>
      <c r="E52" t="inlineStr">
        <is>
          <t>MAT-FIREBOARD-20MM-BLADE</t>
        </is>
      </c>
      <c r="F52" t="inlineStr">
        <is>
          <t>m2</t>
        </is>
      </c>
      <c r="G52" s="20" t="n">
        <v>0.3726104876578161</v>
      </c>
      <c r="H52" s="16">
        <f>'00_TONG_HOP_BAO_GIA'!G8</f>
        <v/>
      </c>
      <c r="I52" s="21">
        <f>G52*H52</f>
        <v/>
      </c>
      <c r="J52" s="16">
        <f>IFERROR(INDEX('06_BANG_GIA_VAT_TU_AP_DUNG'!$E$1:$E$5000, MATCH(E52, '06_BANG_GIA_VAT_TU_AP_DUNG'!$B$1:$B$5000, 0)), 0)</f>
        <v/>
      </c>
      <c r="K52" s="16">
        <f>I52*J52</f>
        <v/>
      </c>
      <c r="L52" t="inlineStr">
        <is>
          <t>Lõi cánh tấm 20mm (Cánh đơn 600x500mm)</t>
        </is>
      </c>
    </row>
    <row r="53">
      <c r="A53" t="inlineStr">
        <is>
          <t>SW-DAMPER-007-FB10-BLADE</t>
        </is>
      </c>
      <c r="B53" t="inlineStr">
        <is>
          <t>SW-DAMPER-007</t>
        </is>
      </c>
      <c r="C53" t="inlineStr">
        <is>
          <t>Tấm chống cháy dày 10mm ốp 2 mặt cánh van FD/MFD</t>
        </is>
      </c>
      <c r="D53" t="inlineStr">
        <is>
          <t>VẬT_LIỆU_CÁCH_NHIỆT</t>
        </is>
      </c>
      <c r="E53" t="inlineStr">
        <is>
          <t>MAT-FIREBOARD-10MM-BLADE</t>
        </is>
      </c>
      <c r="F53" t="inlineStr">
        <is>
          <t>m2</t>
        </is>
      </c>
      <c r="G53" s="20" t="n">
        <v>0.7452209753156323</v>
      </c>
      <c r="H53" s="16">
        <f>'00_TONG_HOP_BAO_GIA'!G8</f>
        <v/>
      </c>
      <c r="I53" s="21">
        <f>G53*H53</f>
        <v/>
      </c>
      <c r="J53" s="16">
        <f>IFERROR(INDEX('06_BANG_GIA_VAT_TU_AP_DUNG'!$E$1:$E$5000, MATCH(E53, '06_BANG_GIA_VAT_TU_AP_DUNG'!$B$1:$B$5000, 0)), 0)</f>
        <v/>
      </c>
      <c r="K53" s="16">
        <f>I53*J53</f>
        <v/>
      </c>
      <c r="L53" t="inlineStr">
        <is>
          <t>Ốp 2 mặt cánh tấm 10mm (Cánh đơn 600x500mm)</t>
        </is>
      </c>
    </row>
    <row r="54">
      <c r="A54" t="inlineStr">
        <is>
          <t>SW-DAMPER-007-SPRING-BOX</t>
        </is>
      </c>
      <c r="B54" t="inlineStr">
        <is>
          <t>SW-DAMPER-007</t>
        </is>
      </c>
      <c r="C54" t="inlineStr">
        <is>
          <t>Hộp lò xo van chặn lửa FD/MFD</t>
        </is>
      </c>
      <c r="D54" t="inlineStr">
        <is>
          <t>PHỤ_KIỆN_VAN</t>
        </is>
      </c>
      <c r="E54" t="inlineStr">
        <is>
          <t>MAT-DAMPER-HOP-LO-XO</t>
        </is>
      </c>
      <c r="F54" t="inlineStr">
        <is>
          <t>Bộ</t>
        </is>
      </c>
      <c r="G54" s="20" t="n">
        <v>1</v>
      </c>
      <c r="H54" s="16">
        <f>'00_TONG_HOP_BAO_GIA'!G8</f>
        <v/>
      </c>
      <c r="I54" s="21">
        <f>G54*H54</f>
        <v/>
      </c>
      <c r="J54" s="16">
        <f>IFERROR(INDEX('06_BANG_GIA_VAT_TU_AP_DUNG'!$E$1:$E$5000, MATCH(E54, '06_BANG_GIA_VAT_TU_AP_DUNG'!$B$1:$B$5000, 0)), 0)</f>
        <v/>
      </c>
      <c r="K54" s="16">
        <f>I54*J54</f>
        <v/>
      </c>
      <c r="L54" t="inlineStr">
        <is>
          <t>Hộp lò xo cơ cấu đóng sập (1 bộ)</t>
        </is>
      </c>
    </row>
    <row r="55">
      <c r="A55" t="inlineStr">
        <is>
          <t>SW-DAMPER-007-SILICON-BOLT</t>
        </is>
      </c>
      <c r="B55" t="inlineStr">
        <is>
          <t>SW-DAMPER-007</t>
        </is>
      </c>
      <c r="C55" t="inlineStr">
        <is>
          <t>Silicon chống cháy + bu lông, ốc vít van FD/MFD</t>
        </is>
      </c>
      <c r="D55" t="inlineStr">
        <is>
          <t>PHỤ_KIỆN_VAN</t>
        </is>
      </c>
      <c r="E55" t="inlineStr">
        <is>
          <t>MAT-DAMPER-SILICON-BULONG-VIT</t>
        </is>
      </c>
      <c r="F55" t="inlineStr">
        <is>
          <t>Bộ</t>
        </is>
      </c>
      <c r="G55" s="20" t="n">
        <v>1</v>
      </c>
      <c r="H55" s="16">
        <f>'00_TONG_HOP_BAO_GIA'!G8</f>
        <v/>
      </c>
      <c r="I55" s="21">
        <f>G55*H55</f>
        <v/>
      </c>
      <c r="J55" s="16">
        <f>IFERROR(INDEX('06_BANG_GIA_VAT_TU_AP_DUNG'!$E$1:$E$5000, MATCH(E55, '06_BANG_GIA_VAT_TU_AP_DUNG'!$B$1:$B$5000, 0)), 0)</f>
        <v/>
      </c>
      <c r="K55" s="16">
        <f>I55*J55</f>
        <v/>
      </c>
      <c r="L55" t="inlineStr">
        <is>
          <t>Keo silicon chống cháy &amp; phụ kiện lắp ghép (1 bộ)</t>
        </is>
      </c>
    </row>
    <row r="56">
      <c r="A56" t="inlineStr">
        <is>
          <t>SW-DAMPER-008-BODY</t>
        </is>
      </c>
      <c r="B56" t="inlineStr">
        <is>
          <t>SW-DAMPER-008</t>
        </is>
      </c>
      <c r="C56" t="inlineStr">
        <is>
          <t>Thân vỏ van MFD bích C30/TDF (1.15mm)</t>
        </is>
      </c>
      <c r="D56" t="inlineStr">
        <is>
          <t>TÔN_CUỘN_MẠ_KẼM</t>
        </is>
      </c>
      <c r="E56" t="inlineStr">
        <is>
          <t>MAT-STEEL-PN-1.15</t>
        </is>
      </c>
      <c r="F56" t="inlineStr">
        <is>
          <t>kg</t>
        </is>
      </c>
      <c r="G56" s="20" t="n">
        <v>7.641768063072973</v>
      </c>
      <c r="H56" s="16">
        <f>'00_TONG_HOP_BAO_GIA'!G9</f>
        <v/>
      </c>
      <c r="I56" s="21">
        <f>G56*H56</f>
        <v/>
      </c>
      <c r="J56" s="16">
        <f>IFERROR(INDEX('06_BANG_GIA_VAT_TU_AP_DUNG'!$E$1:$E$5000, MATCH(E56, '06_BANG_GIA_VAT_TU_AP_DUNG'!$B$1:$B$5000, 0)), 0)</f>
        <v/>
      </c>
      <c r="K56" s="16">
        <f>I56*J56</f>
        <v/>
      </c>
      <c r="L56" t="inlineStr">
        <is>
          <t>Kích thước vỏ 900x300x200mm</t>
        </is>
      </c>
    </row>
    <row r="57">
      <c r="A57" t="inlineStr">
        <is>
          <t>SW-DAMPER-008-BLADE</t>
        </is>
      </c>
      <c r="B57" t="inlineStr">
        <is>
          <t>SW-DAMPER-008</t>
        </is>
      </c>
      <c r="C57" t="inlineStr">
        <is>
          <t>Lá cánh / Tôn tấm bọc van (1 cánh)</t>
        </is>
      </c>
      <c r="D57" t="inlineStr">
        <is>
          <t>TÔN_CUỘN_MẠ_KẼM</t>
        </is>
      </c>
      <c r="E57" t="inlineStr">
        <is>
          <t>MAT-STEEL-PN-1.15</t>
        </is>
      </c>
      <c r="F57" t="inlineStr">
        <is>
          <t>kg</t>
        </is>
      </c>
      <c r="G57" s="20" t="n">
        <v>5.965470775232609</v>
      </c>
      <c r="H57" s="16">
        <f>'00_TONG_HOP_BAO_GIA'!G9</f>
        <v/>
      </c>
      <c r="I57" s="21">
        <f>G57*H57</f>
        <v/>
      </c>
      <c r="J57" s="16">
        <f>IFERROR(INDEX('06_BANG_GIA_VAT_TU_AP_DUNG'!$E$1:$E$5000, MATCH(E57, '06_BANG_GIA_VAT_TU_AP_DUNG'!$B$1:$B$5000, 0)), 0)</f>
        <v/>
      </c>
      <c r="K57" s="16">
        <f>I57*J57</f>
        <v/>
      </c>
      <c r="L57" t="inlineStr">
        <is>
          <t>Tôn bọc cánh &amp; thân (1 cánh/modul)</t>
        </is>
      </c>
    </row>
    <row r="58">
      <c r="A58" t="inlineStr">
        <is>
          <t>SW-DAMPER-008-AXLE</t>
        </is>
      </c>
      <c r="B58" t="inlineStr">
        <is>
          <t>SW-DAMPER-008</t>
        </is>
      </c>
      <c r="C58" t="inlineStr">
        <is>
          <t>Trục Sus 201 D10</t>
        </is>
      </c>
      <c r="D58" t="inlineStr">
        <is>
          <t>PHỤ_KIỆN_VAN</t>
        </is>
      </c>
      <c r="E58" t="inlineStr">
        <is>
          <t>MAT-DAMPER-TRUC-SUS-201-D10</t>
        </is>
      </c>
      <c r="F58" t="inlineStr">
        <is>
          <t>m</t>
        </is>
      </c>
      <c r="G58" s="20" t="n">
        <v>1.174775007276799</v>
      </c>
      <c r="H58" s="16">
        <f>'00_TONG_HOP_BAO_GIA'!G9</f>
        <v/>
      </c>
      <c r="I58" s="21">
        <f>G58*H58</f>
        <v/>
      </c>
      <c r="J58" s="16">
        <f>IFERROR(INDEX('06_BANG_GIA_VAT_TU_AP_DUNG'!$E$1:$E$5000, MATCH(E58, '06_BANG_GIA_VAT_TU_AP_DUNG'!$B$1:$B$5000, 0)), 0)</f>
        <v/>
      </c>
      <c r="K58" s="16">
        <f>I58*J58</f>
        <v/>
      </c>
      <c r="L58" t="inlineStr">
        <is>
          <t>1 trục dài 960mm</t>
        </is>
      </c>
    </row>
    <row r="59">
      <c r="A59" t="inlineStr">
        <is>
          <t>SW-DAMPER-008-BEARING</t>
        </is>
      </c>
      <c r="B59" t="inlineStr">
        <is>
          <t>SW-DAMPER-008</t>
        </is>
      </c>
      <c r="C59" t="inlineStr">
        <is>
          <t>Bạc đồng D10</t>
        </is>
      </c>
      <c r="D59" t="inlineStr">
        <is>
          <t>PHỤ_KIỆN_VAN</t>
        </is>
      </c>
      <c r="E59" t="inlineStr">
        <is>
          <t>MAT-DAMPER-BAC-DONG-D10</t>
        </is>
      </c>
      <c r="F59" t="inlineStr">
        <is>
          <t>Đôi</t>
        </is>
      </c>
      <c r="G59" s="20" t="n">
        <v>1</v>
      </c>
      <c r="H59" s="16">
        <f>'00_TONG_HOP_BAO_GIA'!G9</f>
        <v/>
      </c>
      <c r="I59" s="21">
        <f>G59*H59</f>
        <v/>
      </c>
      <c r="J59" s="16">
        <f>IFERROR(INDEX('06_BANG_GIA_VAT_TU_AP_DUNG'!$E$1:$E$5000, MATCH(E59, '06_BANG_GIA_VAT_TU_AP_DUNG'!$B$1:$B$5000, 0)), 0)</f>
        <v/>
      </c>
      <c r="K59" s="16">
        <f>I59*J59</f>
        <v/>
      </c>
      <c r="L59" t="inlineStr">
        <is>
          <t>1 đôi bạc đỡ 2 bên thân</t>
        </is>
      </c>
    </row>
    <row r="60">
      <c r="A60" t="inlineStr">
        <is>
          <t>SW-DAMPER-008-ACTUATOR</t>
        </is>
      </c>
      <c r="B60" t="inlineStr">
        <is>
          <t>SW-DAMPER-008</t>
        </is>
      </c>
      <c r="C60" t="inlineStr">
        <is>
          <t>Động cơ chặn lửa ON/OFF KLB (Swin V6006FS500S EI90) 5Nm</t>
        </is>
      </c>
      <c r="D60" t="inlineStr">
        <is>
          <t>ĐỘNG_CƠ_VÀ_CẢM_BIẾN</t>
        </is>
      </c>
      <c r="E60" t="inlineStr">
        <is>
          <t>MAT-ACTUATOR-KLB-V6006FS500S</t>
        </is>
      </c>
      <c r="F60" t="inlineStr">
        <is>
          <t>Cái</t>
        </is>
      </c>
      <c r="G60" s="20" t="n">
        <v>1</v>
      </c>
      <c r="H60" s="16">
        <f>'00_TONG_HOP_BAO_GIA'!G9</f>
        <v/>
      </c>
      <c r="I60" s="21">
        <f>G60*H60</f>
        <v/>
      </c>
      <c r="J60" s="16">
        <f>IFERROR(INDEX('06_BANG_GIA_VAT_TU_AP_DUNG'!$E$1:$E$5000, MATCH(E60, '06_BANG_GIA_VAT_TU_AP_DUNG'!$B$1:$B$5000, 0)), 0)</f>
        <v/>
      </c>
      <c r="K60" s="16">
        <f>I60*J60</f>
        <v/>
      </c>
      <c r="L60" t="inlineStr">
        <is>
          <t>Động cơ lò xo phản hồi MFD (1 bộ)</t>
        </is>
      </c>
    </row>
    <row r="61">
      <c r="A61" t="inlineStr">
        <is>
          <t>SW-DAMPER-008-FB10-BODY</t>
        </is>
      </c>
      <c r="B61" t="inlineStr">
        <is>
          <t>SW-DAMPER-008</t>
        </is>
      </c>
      <c r="C61" t="inlineStr">
        <is>
          <t>Tấm chống cháy dày 10mm bọc thân van FD/MFD (2 lớp)</t>
        </is>
      </c>
      <c r="D61" t="inlineStr">
        <is>
          <t>VẬT_LIỆU_CÁCH_NHIỆT</t>
        </is>
      </c>
      <c r="E61" t="inlineStr">
        <is>
          <t>MAT-FIREBOARD-10MM-BODY</t>
        </is>
      </c>
      <c r="F61" t="inlineStr">
        <is>
          <t>m2</t>
        </is>
      </c>
      <c r="G61" s="20" t="n">
        <v>1.762162510915199</v>
      </c>
      <c r="H61" s="16">
        <f>'00_TONG_HOP_BAO_GIA'!G9</f>
        <v/>
      </c>
      <c r="I61" s="21">
        <f>G61*H61</f>
        <v/>
      </c>
      <c r="J61" s="16">
        <f>IFERROR(INDEX('06_BANG_GIA_VAT_TU_AP_DUNG'!$E$1:$E$5000, MATCH(E61, '06_BANG_GIA_VAT_TU_AP_DUNG'!$B$1:$B$5000, 0)), 0)</f>
        <v/>
      </c>
      <c r="K61" s="16">
        <f>I61*J61</f>
        <v/>
      </c>
      <c r="L61" t="inlineStr">
        <is>
          <t>Bọc 2 lớp tấm 10mm quanh thân L=300mm</t>
        </is>
      </c>
    </row>
    <row r="62">
      <c r="A62" t="inlineStr">
        <is>
          <t>SW-DAMPER-008-FB20-BLADE</t>
        </is>
      </c>
      <c r="B62" t="inlineStr">
        <is>
          <t>SW-DAMPER-008</t>
        </is>
      </c>
      <c r="C62" t="inlineStr">
        <is>
          <t>Tấm chống cháy dày 20mm làm lõi cánh van FD/MFD</t>
        </is>
      </c>
      <c r="D62" t="inlineStr">
        <is>
          <t>VẬT_LIỆU_CÁCH_NHIỆT</t>
        </is>
      </c>
      <c r="E62" t="inlineStr">
        <is>
          <t>MAT-FIREBOARD-20MM-BLADE</t>
        </is>
      </c>
      <c r="F62" t="inlineStr">
        <is>
          <t>m2</t>
        </is>
      </c>
      <c r="G62" s="20" t="n">
        <v>0.3304054707965998</v>
      </c>
      <c r="H62" s="16">
        <f>'00_TONG_HOP_BAO_GIA'!G9</f>
        <v/>
      </c>
      <c r="I62" s="21">
        <f>G62*H62</f>
        <v/>
      </c>
      <c r="J62" s="16">
        <f>IFERROR(INDEX('06_BANG_GIA_VAT_TU_AP_DUNG'!$E$1:$E$5000, MATCH(E62, '06_BANG_GIA_VAT_TU_AP_DUNG'!$B$1:$B$5000, 0)), 0)</f>
        <v/>
      </c>
      <c r="K62" s="16">
        <f>I62*J62</f>
        <v/>
      </c>
      <c r="L62" t="inlineStr">
        <is>
          <t>Lõi cánh tấm 20mm (Cánh đơn 900x300mm)</t>
        </is>
      </c>
    </row>
    <row r="63">
      <c r="A63" t="inlineStr">
        <is>
          <t>SW-DAMPER-008-FB10-BLADE</t>
        </is>
      </c>
      <c r="B63" t="inlineStr">
        <is>
          <t>SW-DAMPER-008</t>
        </is>
      </c>
      <c r="C63" t="inlineStr">
        <is>
          <t>Tấm chống cháy dày 10mm ốp 2 mặt cánh van FD/MFD</t>
        </is>
      </c>
      <c r="D63" t="inlineStr">
        <is>
          <t>VẬT_LIỆU_CÁCH_NHIỆT</t>
        </is>
      </c>
      <c r="E63" t="inlineStr">
        <is>
          <t>MAT-FIREBOARD-10MM-BLADE</t>
        </is>
      </c>
      <c r="F63" t="inlineStr">
        <is>
          <t>m2</t>
        </is>
      </c>
      <c r="G63" s="20" t="n">
        <v>0.6608109415931996</v>
      </c>
      <c r="H63" s="16">
        <f>'00_TONG_HOP_BAO_GIA'!G9</f>
        <v/>
      </c>
      <c r="I63" s="21">
        <f>G63*H63</f>
        <v/>
      </c>
      <c r="J63" s="16">
        <f>IFERROR(INDEX('06_BANG_GIA_VAT_TU_AP_DUNG'!$E$1:$E$5000, MATCH(E63, '06_BANG_GIA_VAT_TU_AP_DUNG'!$B$1:$B$5000, 0)), 0)</f>
        <v/>
      </c>
      <c r="K63" s="16">
        <f>I63*J63</f>
        <v/>
      </c>
      <c r="L63" t="inlineStr">
        <is>
          <t>Ốp 2 mặt cánh tấm 10mm (Cánh đơn 900x300mm)</t>
        </is>
      </c>
    </row>
    <row r="64">
      <c r="A64" t="inlineStr">
        <is>
          <t>SW-DAMPER-008-SPRING-BOX</t>
        </is>
      </c>
      <c r="B64" t="inlineStr">
        <is>
          <t>SW-DAMPER-008</t>
        </is>
      </c>
      <c r="C64" t="inlineStr">
        <is>
          <t>Hộp lò xo van chặn lửa FD/MFD</t>
        </is>
      </c>
      <c r="D64" t="inlineStr">
        <is>
          <t>PHỤ_KIỆN_VAN</t>
        </is>
      </c>
      <c r="E64" t="inlineStr">
        <is>
          <t>MAT-DAMPER-HOP-LO-XO</t>
        </is>
      </c>
      <c r="F64" t="inlineStr">
        <is>
          <t>Bộ</t>
        </is>
      </c>
      <c r="G64" s="20" t="n">
        <v>1</v>
      </c>
      <c r="H64" s="16">
        <f>'00_TONG_HOP_BAO_GIA'!G9</f>
        <v/>
      </c>
      <c r="I64" s="21">
        <f>G64*H64</f>
        <v/>
      </c>
      <c r="J64" s="16">
        <f>IFERROR(INDEX('06_BANG_GIA_VAT_TU_AP_DUNG'!$E$1:$E$5000, MATCH(E64, '06_BANG_GIA_VAT_TU_AP_DUNG'!$B$1:$B$5000, 0)), 0)</f>
        <v/>
      </c>
      <c r="K64" s="16">
        <f>I64*J64</f>
        <v/>
      </c>
      <c r="L64" t="inlineStr">
        <is>
          <t>Hộp lò xo cơ cấu đóng sập (1 bộ)</t>
        </is>
      </c>
    </row>
    <row r="65">
      <c r="A65" t="inlineStr">
        <is>
          <t>SW-DAMPER-008-SILICON-BOLT</t>
        </is>
      </c>
      <c r="B65" t="inlineStr">
        <is>
          <t>SW-DAMPER-008</t>
        </is>
      </c>
      <c r="C65" t="inlineStr">
        <is>
          <t>Silicon chống cháy + bu lông, ốc vít van FD/MFD</t>
        </is>
      </c>
      <c r="D65" t="inlineStr">
        <is>
          <t>PHỤ_KIỆN_VAN</t>
        </is>
      </c>
      <c r="E65" t="inlineStr">
        <is>
          <t>MAT-DAMPER-SILICON-BULONG-VIT</t>
        </is>
      </c>
      <c r="F65" t="inlineStr">
        <is>
          <t>Bộ</t>
        </is>
      </c>
      <c r="G65" s="20" t="n">
        <v>1</v>
      </c>
      <c r="H65" s="16">
        <f>'00_TONG_HOP_BAO_GIA'!G9</f>
        <v/>
      </c>
      <c r="I65" s="21">
        <f>G65*H65</f>
        <v/>
      </c>
      <c r="J65" s="16">
        <f>IFERROR(INDEX('06_BANG_GIA_VAT_TU_AP_DUNG'!$E$1:$E$5000, MATCH(E65, '06_BANG_GIA_VAT_TU_AP_DUNG'!$B$1:$B$5000, 0)), 0)</f>
        <v/>
      </c>
      <c r="K65" s="16">
        <f>I65*J65</f>
        <v/>
      </c>
      <c r="L65" t="inlineStr">
        <is>
          <t>Keo silicon chống cháy &amp; phụ kiện lắp ghép (1 bộ)</t>
        </is>
      </c>
    </row>
    <row r="66">
      <c r="A66" t="inlineStr">
        <is>
          <t>SW-DAMPER-043-BODY</t>
        </is>
      </c>
      <c r="B66" t="inlineStr">
        <is>
          <t>SW-DAMPER-043</t>
        </is>
      </c>
      <c r="C66" t="inlineStr">
        <is>
          <t>Thân vỏ van NRD bích C30/TDF (1.15mm)</t>
        </is>
      </c>
      <c r="D66" t="inlineStr">
        <is>
          <t>TÔN_CUỘN_MẠ_KẼM</t>
        </is>
      </c>
      <c r="E66" t="inlineStr">
        <is>
          <t>MAT-STEEL-PN-1.15</t>
        </is>
      </c>
      <c r="F66" t="inlineStr">
        <is>
          <t>kg</t>
        </is>
      </c>
      <c r="G66" s="20" t="n">
        <v>11.05427956123551</v>
      </c>
      <c r="H66" s="16">
        <f>'00_TONG_HOP_BAO_GIA'!G44</f>
        <v/>
      </c>
      <c r="I66" s="21">
        <f>G66*H66</f>
        <v/>
      </c>
      <c r="J66" s="16">
        <f>IFERROR(INDEX('06_BANG_GIA_VAT_TU_AP_DUNG'!$E$1:$E$5000, MATCH(E66, '06_BANG_GIA_VAT_TU_AP_DUNG'!$B$1:$B$5000, 0)), 0)</f>
        <v/>
      </c>
      <c r="K66" s="16">
        <f>I66*J66</f>
        <v/>
      </c>
      <c r="L66" t="inlineStr">
        <is>
          <t>Kích thước vỏ 1000x350x210mm</t>
        </is>
      </c>
    </row>
    <row r="67">
      <c r="A67" t="inlineStr">
        <is>
          <t>SW-DAMPER-043-BLADE</t>
        </is>
      </c>
      <c r="B67" t="inlineStr">
        <is>
          <t>SW-DAMPER-043</t>
        </is>
      </c>
      <c r="C67" t="inlineStr">
        <is>
          <t>Lá cánh / Tôn tấm bọc van (2 cánh)</t>
        </is>
      </c>
      <c r="D67" t="inlineStr">
        <is>
          <t>TÔN_CUỘN_MẠ_KẼM</t>
        </is>
      </c>
      <c r="E67" t="inlineStr">
        <is>
          <t>MAT-STEEL-PN-0.75</t>
        </is>
      </c>
      <c r="F67" t="inlineStr">
        <is>
          <t>kg</t>
        </is>
      </c>
      <c r="G67" s="20" t="n">
        <v>3.769505106244534</v>
      </c>
      <c r="H67" s="16">
        <f>'00_TONG_HOP_BAO_GIA'!G44</f>
        <v/>
      </c>
      <c r="I67" s="21">
        <f>G67*H67</f>
        <v/>
      </c>
      <c r="J67" s="16">
        <f>IFERROR(INDEX('06_BANG_GIA_VAT_TU_AP_DUNG'!$E$1:$E$5000, MATCH(E67, '06_BANG_GIA_VAT_TU_AP_DUNG'!$B$1:$B$5000, 0)), 0)</f>
        <v/>
      </c>
      <c r="K67" s="16">
        <f>I67*J67</f>
        <v/>
      </c>
      <c r="L67" t="inlineStr">
        <is>
          <t>2 cánh cao 195mm</t>
        </is>
      </c>
    </row>
    <row r="68">
      <c r="A68" t="inlineStr">
        <is>
          <t>SW-DAMPER-043-AXLE</t>
        </is>
      </c>
      <c r="B68" t="inlineStr">
        <is>
          <t>SW-DAMPER-043</t>
        </is>
      </c>
      <c r="C68" t="inlineStr">
        <is>
          <t>Trục Sus 201 D10</t>
        </is>
      </c>
      <c r="D68" t="inlineStr">
        <is>
          <t>PHỤ_KIỆN_VAN</t>
        </is>
      </c>
      <c r="E68" t="inlineStr">
        <is>
          <t>MAT-DAMPER-TRUC-SUS-201-D10</t>
        </is>
      </c>
      <c r="F68" t="inlineStr">
        <is>
          <t>m</t>
        </is>
      </c>
      <c r="G68" s="20" t="n">
        <v>3.222559273670984</v>
      </c>
      <c r="H68" s="16">
        <f>'00_TONG_HOP_BAO_GIA'!G44</f>
        <v/>
      </c>
      <c r="I68" s="21">
        <f>G68*H68</f>
        <v/>
      </c>
      <c r="J68" s="16">
        <f>IFERROR(INDEX('06_BANG_GIA_VAT_TU_AP_DUNG'!$E$1:$E$5000, MATCH(E68, '06_BANG_GIA_VAT_TU_AP_DUNG'!$B$1:$B$5000, 0)), 0)</f>
        <v/>
      </c>
      <c r="K68" s="16">
        <f>I68*J68</f>
        <v/>
      </c>
      <c r="L68" t="inlineStr">
        <is>
          <t>2 trục dài 1060mm</t>
        </is>
      </c>
    </row>
    <row r="69">
      <c r="A69" t="inlineStr">
        <is>
          <t>SW-DAMPER-043-BEARING</t>
        </is>
      </c>
      <c r="B69" t="inlineStr">
        <is>
          <t>SW-DAMPER-043</t>
        </is>
      </c>
      <c r="C69" t="inlineStr">
        <is>
          <t>Bạc đồng D10</t>
        </is>
      </c>
      <c r="D69" t="inlineStr">
        <is>
          <t>PHỤ_KIỆN_VAN</t>
        </is>
      </c>
      <c r="E69" t="inlineStr">
        <is>
          <t>MAT-DAMPER-BAC-DONG-D10</t>
        </is>
      </c>
      <c r="F69" t="inlineStr">
        <is>
          <t>Đôi</t>
        </is>
      </c>
      <c r="G69" s="20" t="n">
        <v>2</v>
      </c>
      <c r="H69" s="16">
        <f>'00_TONG_HOP_BAO_GIA'!G44</f>
        <v/>
      </c>
      <c r="I69" s="21">
        <f>G69*H69</f>
        <v/>
      </c>
      <c r="J69" s="16">
        <f>IFERROR(INDEX('06_BANG_GIA_VAT_TU_AP_DUNG'!$E$1:$E$5000, MATCH(E69, '06_BANG_GIA_VAT_TU_AP_DUNG'!$B$1:$B$5000, 0)), 0)</f>
        <v/>
      </c>
      <c r="K69" s="16">
        <f>I69*J69</f>
        <v/>
      </c>
      <c r="L69" t="inlineStr">
        <is>
          <t>2 đôi bạc đỡ 2 bên thân</t>
        </is>
      </c>
    </row>
    <row r="70">
      <c r="A70" t="inlineStr">
        <is>
          <t>SW-DAMPER-043-GEAR</t>
        </is>
      </c>
      <c r="B70" t="inlineStr">
        <is>
          <t>SW-DAMPER-043</t>
        </is>
      </c>
      <c r="C70" t="inlineStr">
        <is>
          <t>Bánh răng van nhôm</t>
        </is>
      </c>
      <c r="D70" t="inlineStr">
        <is>
          <t>PHỤ_KIỆN_VAN</t>
        </is>
      </c>
      <c r="E70" t="inlineStr">
        <is>
          <t>MAT-DAMPER-BANH-RANG-VAN-NHOM</t>
        </is>
      </c>
      <c r="F70" t="inlineStr">
        <is>
          <t>Bộ</t>
        </is>
      </c>
      <c r="G70" s="20" t="n">
        <v>1</v>
      </c>
      <c r="H70" s="16">
        <f>'00_TONG_HOP_BAO_GIA'!G44</f>
        <v/>
      </c>
      <c r="I70" s="21">
        <f>G70*H70</f>
        <v/>
      </c>
      <c r="J70" s="16">
        <f>IFERROR(INDEX('06_BANG_GIA_VAT_TU_AP_DUNG'!$E$1:$E$5000, MATCH(E70, '06_BANG_GIA_VAT_TU_AP_DUNG'!$B$1:$B$5000, 0)), 0)</f>
        <v/>
      </c>
      <c r="K70" s="16">
        <f>I70*J70</f>
        <v/>
      </c>
      <c r="L70" t="inlineStr">
        <is>
          <t>Cơ cấu liên động cánh (1 bộ)</t>
        </is>
      </c>
    </row>
    <row r="71">
      <c r="A71" t="inlineStr">
        <is>
          <t>SW-DAMPER-043-ECCENTRIC</t>
        </is>
      </c>
      <c r="B71" t="inlineStr">
        <is>
          <t>SW-DAMPER-043</t>
        </is>
      </c>
      <c r="C71" t="inlineStr">
        <is>
          <t>Cơ cấu lệch tâm / Lò xo đóng mở (NRD)</t>
        </is>
      </c>
      <c r="D71" t="inlineStr">
        <is>
          <t>PHỤ_KIỆN_VAN</t>
        </is>
      </c>
      <c r="E71" t="inlineStr">
        <is>
          <t>ECCENTRIC_SHAFT</t>
        </is>
      </c>
      <c r="F71" t="inlineStr">
        <is>
          <t>Bộ</t>
        </is>
      </c>
      <c r="G71" s="20" t="n">
        <v>1</v>
      </c>
      <c r="H71" s="16">
        <f>'00_TONG_HOP_BAO_GIA'!G44</f>
        <v/>
      </c>
      <c r="I71" s="21">
        <f>G71*H71</f>
        <v/>
      </c>
      <c r="J71" s="16">
        <f>IFERROR(INDEX('06_BANG_GIA_VAT_TU_AP_DUNG'!$E$1:$E$5000, MATCH(E71, '06_BANG_GIA_VAT_TU_AP_DUNG'!$B$1:$B$5000, 0)), 0)</f>
        <v/>
      </c>
      <c r="K71" s="16">
        <f>I71*J71</f>
        <v/>
      </c>
      <c r="L71" t="inlineStr">
        <is>
          <t>Cơ cấu đóng mở một chiều</t>
        </is>
      </c>
    </row>
    <row r="72">
      <c r="A72" t="inlineStr">
        <is>
          <t>SW-DAMPER-044-BODY</t>
        </is>
      </c>
      <c r="B72" t="inlineStr">
        <is>
          <t>SW-DAMPER-044</t>
        </is>
      </c>
      <c r="C72" t="inlineStr">
        <is>
          <t>Thân vỏ van NRD bích C30/TDF (1.15mm)</t>
        </is>
      </c>
      <c r="D72" t="inlineStr">
        <is>
          <t>TÔN_CUỘN_MẠ_KẼM</t>
        </is>
      </c>
      <c r="E72" t="inlineStr">
        <is>
          <t>MAT-STEEL-PN-1.15</t>
        </is>
      </c>
      <c r="F72" t="inlineStr">
        <is>
          <t>kg</t>
        </is>
      </c>
      <c r="G72" s="20" t="n">
        <v>10.92934643626076</v>
      </c>
      <c r="H72" s="16">
        <f>'00_TONG_HOP_BAO_GIA'!G45</f>
        <v/>
      </c>
      <c r="I72" s="21">
        <f>G72*H72</f>
        <v/>
      </c>
      <c r="J72" s="16">
        <f>IFERROR(INDEX('06_BANG_GIA_VAT_TU_AP_DUNG'!$E$1:$E$5000, MATCH(E72, '06_BANG_GIA_VAT_TU_AP_DUNG'!$B$1:$B$5000, 0)), 0)</f>
        <v/>
      </c>
      <c r="K72" s="16">
        <f>I72*J72</f>
        <v/>
      </c>
      <c r="L72" t="inlineStr">
        <is>
          <t>Kích thước vỏ 1050x500x210mm</t>
        </is>
      </c>
    </row>
    <row r="73">
      <c r="A73" t="inlineStr">
        <is>
          <t>SW-DAMPER-044-BLADE</t>
        </is>
      </c>
      <c r="B73" t="inlineStr">
        <is>
          <t>SW-DAMPER-044</t>
        </is>
      </c>
      <c r="C73" t="inlineStr">
        <is>
          <t>Lá cánh / Tôn tấm bọc van (3 cánh)</t>
        </is>
      </c>
      <c r="D73" t="inlineStr">
        <is>
          <t>TÔN_CUỘN_MẠ_KẼM</t>
        </is>
      </c>
      <c r="E73" t="inlineStr">
        <is>
          <t>MAT-STEEL-PN-0.75</t>
        </is>
      </c>
      <c r="F73" t="inlineStr">
        <is>
          <t>kg</t>
        </is>
      </c>
      <c r="G73" s="20" t="n">
        <v>4.903223823523244</v>
      </c>
      <c r="H73" s="16">
        <f>'00_TONG_HOP_BAO_GIA'!G45</f>
        <v/>
      </c>
      <c r="I73" s="21">
        <f>G73*H73</f>
        <v/>
      </c>
      <c r="J73" s="16">
        <f>IFERROR(INDEX('06_BANG_GIA_VAT_TU_AP_DUNG'!$E$1:$E$5000, MATCH(E73, '06_BANG_GIA_VAT_TU_AP_DUNG'!$B$1:$B$5000, 0)), 0)</f>
        <v/>
      </c>
      <c r="K73" s="16">
        <f>I73*J73</f>
        <v/>
      </c>
      <c r="L73" t="inlineStr">
        <is>
          <t>3 cánh cao 187mm</t>
        </is>
      </c>
    </row>
    <row r="74">
      <c r="A74" t="inlineStr">
        <is>
          <t>SW-DAMPER-044-AXLE</t>
        </is>
      </c>
      <c r="B74" t="inlineStr">
        <is>
          <t>SW-DAMPER-044</t>
        </is>
      </c>
      <c r="C74" t="inlineStr">
        <is>
          <t>Trục Sus 201 D10</t>
        </is>
      </c>
      <c r="D74" t="inlineStr">
        <is>
          <t>PHỤ_KIỆN_VAN</t>
        </is>
      </c>
      <c r="E74" t="inlineStr">
        <is>
          <t>MAT-DAMPER-TRUC-SUS-201-D10</t>
        </is>
      </c>
      <c r="F74" t="inlineStr">
        <is>
          <t>m</t>
        </is>
      </c>
      <c r="G74" s="20" t="n">
        <v>4.367108180846466</v>
      </c>
      <c r="H74" s="16">
        <f>'00_TONG_HOP_BAO_GIA'!G45</f>
        <v/>
      </c>
      <c r="I74" s="21">
        <f>G74*H74</f>
        <v/>
      </c>
      <c r="J74" s="16">
        <f>IFERROR(INDEX('06_BANG_GIA_VAT_TU_AP_DUNG'!$E$1:$E$5000, MATCH(E74, '06_BANG_GIA_VAT_TU_AP_DUNG'!$B$1:$B$5000, 0)), 0)</f>
        <v/>
      </c>
      <c r="K74" s="16">
        <f>I74*J74</f>
        <v/>
      </c>
      <c r="L74" t="inlineStr">
        <is>
          <t>3 trục dài 1110mm</t>
        </is>
      </c>
    </row>
    <row r="75">
      <c r="A75" t="inlineStr">
        <is>
          <t>SW-DAMPER-044-BEARING</t>
        </is>
      </c>
      <c r="B75" t="inlineStr">
        <is>
          <t>SW-DAMPER-044</t>
        </is>
      </c>
      <c r="C75" t="inlineStr">
        <is>
          <t>Bạc đồng D10</t>
        </is>
      </c>
      <c r="D75" t="inlineStr">
        <is>
          <t>PHỤ_KIỆN_VAN</t>
        </is>
      </c>
      <c r="E75" t="inlineStr">
        <is>
          <t>MAT-DAMPER-BAC-DONG-D10</t>
        </is>
      </c>
      <c r="F75" t="inlineStr">
        <is>
          <t>Đôi</t>
        </is>
      </c>
      <c r="G75" s="20" t="n">
        <v>3</v>
      </c>
      <c r="H75" s="16">
        <f>'00_TONG_HOP_BAO_GIA'!G45</f>
        <v/>
      </c>
      <c r="I75" s="21">
        <f>G75*H75</f>
        <v/>
      </c>
      <c r="J75" s="16">
        <f>IFERROR(INDEX('06_BANG_GIA_VAT_TU_AP_DUNG'!$E$1:$E$5000, MATCH(E75, '06_BANG_GIA_VAT_TU_AP_DUNG'!$B$1:$B$5000, 0)), 0)</f>
        <v/>
      </c>
      <c r="K75" s="16">
        <f>I75*J75</f>
        <v/>
      </c>
      <c r="L75" t="inlineStr">
        <is>
          <t>3 đôi bạc đỡ 2 bên thân</t>
        </is>
      </c>
    </row>
    <row r="76">
      <c r="A76" t="inlineStr">
        <is>
          <t>SW-DAMPER-044-GEAR</t>
        </is>
      </c>
      <c r="B76" t="inlineStr">
        <is>
          <t>SW-DAMPER-044</t>
        </is>
      </c>
      <c r="C76" t="inlineStr">
        <is>
          <t>Bánh răng van nhôm</t>
        </is>
      </c>
      <c r="D76" t="inlineStr">
        <is>
          <t>PHỤ_KIỆN_VAN</t>
        </is>
      </c>
      <c r="E76" t="inlineStr">
        <is>
          <t>MAT-DAMPER-BANH-RANG-VAN-NHOM</t>
        </is>
      </c>
      <c r="F76" t="inlineStr">
        <is>
          <t>Bộ</t>
        </is>
      </c>
      <c r="G76" s="20" t="n">
        <v>1</v>
      </c>
      <c r="H76" s="16">
        <f>'00_TONG_HOP_BAO_GIA'!G45</f>
        <v/>
      </c>
      <c r="I76" s="21">
        <f>G76*H76</f>
        <v/>
      </c>
      <c r="J76" s="16">
        <f>IFERROR(INDEX('06_BANG_GIA_VAT_TU_AP_DUNG'!$E$1:$E$5000, MATCH(E76, '06_BANG_GIA_VAT_TU_AP_DUNG'!$B$1:$B$5000, 0)), 0)</f>
        <v/>
      </c>
      <c r="K76" s="16">
        <f>I76*J76</f>
        <v/>
      </c>
      <c r="L76" t="inlineStr">
        <is>
          <t>Cơ cấu liên động cánh (1 bộ)</t>
        </is>
      </c>
    </row>
    <row r="77">
      <c r="A77" t="inlineStr">
        <is>
          <t>SW-DAMPER-044-ECCENTRIC</t>
        </is>
      </c>
      <c r="B77" t="inlineStr">
        <is>
          <t>SW-DAMPER-044</t>
        </is>
      </c>
      <c r="C77" t="inlineStr">
        <is>
          <t>Cơ cấu lệch tâm / Lò xo đóng mở (NRD)</t>
        </is>
      </c>
      <c r="D77" t="inlineStr">
        <is>
          <t>PHỤ_KIỆN_VAN</t>
        </is>
      </c>
      <c r="E77" t="inlineStr">
        <is>
          <t>ECCENTRIC_SHAFT</t>
        </is>
      </c>
      <c r="F77" t="inlineStr">
        <is>
          <t>Bộ</t>
        </is>
      </c>
      <c r="G77" s="20" t="n">
        <v>1</v>
      </c>
      <c r="H77" s="16">
        <f>'00_TONG_HOP_BAO_GIA'!G45</f>
        <v/>
      </c>
      <c r="I77" s="21">
        <f>G77*H77</f>
        <v/>
      </c>
      <c r="J77" s="16">
        <f>IFERROR(INDEX('06_BANG_GIA_VAT_TU_AP_DUNG'!$E$1:$E$5000, MATCH(E77, '06_BANG_GIA_VAT_TU_AP_DUNG'!$B$1:$B$5000, 0)), 0)</f>
        <v/>
      </c>
      <c r="K77" s="16">
        <f>I77*J77</f>
        <v/>
      </c>
      <c r="L77" t="inlineStr">
        <is>
          <t>Cơ cấu đóng mở một chiều</t>
        </is>
      </c>
    </row>
    <row r="78">
      <c r="A78" t="inlineStr">
        <is>
          <t>SW-DAMPER-045-BODY</t>
        </is>
      </c>
      <c r="B78" t="inlineStr">
        <is>
          <t>SW-DAMPER-045</t>
        </is>
      </c>
      <c r="C78" t="inlineStr">
        <is>
          <t>Thân vỏ van NRD bích C30/TDF (1.15mm)</t>
        </is>
      </c>
      <c r="D78" t="inlineStr">
        <is>
          <t>TÔN_CUỘN_MẠ_KẼM</t>
        </is>
      </c>
      <c r="E78" t="inlineStr">
        <is>
          <t>MAT-STEEL-PN-1.15</t>
        </is>
      </c>
      <c r="F78" t="inlineStr">
        <is>
          <t>kg</t>
        </is>
      </c>
      <c r="G78" s="20" t="n">
        <v>9.963446135161764</v>
      </c>
      <c r="H78" s="16">
        <f>'00_TONG_HOP_BAO_GIA'!G46</f>
        <v/>
      </c>
      <c r="I78" s="21">
        <f>G78*H78</f>
        <v/>
      </c>
      <c r="J78" s="16">
        <f>IFERROR(INDEX('06_BANG_GIA_VAT_TU_AP_DUNG'!$E$1:$E$5000, MATCH(E78, '06_BANG_GIA_VAT_TU_AP_DUNG'!$B$1:$B$5000, 0)), 0)</f>
        <v/>
      </c>
      <c r="K78" s="16">
        <f>I78*J78</f>
        <v/>
      </c>
      <c r="L78" t="inlineStr">
        <is>
          <t>Kích thước vỏ 1050x550x210mm</t>
        </is>
      </c>
    </row>
    <row r="79">
      <c r="A79" t="inlineStr">
        <is>
          <t>SW-DAMPER-045-BLADE</t>
        </is>
      </c>
      <c r="B79" t="inlineStr">
        <is>
          <t>SW-DAMPER-045</t>
        </is>
      </c>
      <c r="C79" t="inlineStr">
        <is>
          <t>Lá cánh / Tôn tấm bọc van (4 cánh)</t>
        </is>
      </c>
      <c r="D79" t="inlineStr">
        <is>
          <t>TÔN_CUỘN_MẠ_KẼM</t>
        </is>
      </c>
      <c r="E79" t="inlineStr">
        <is>
          <t>MAT-STEEL-PN-0.75</t>
        </is>
      </c>
      <c r="F79" t="inlineStr">
        <is>
          <t>kg</t>
        </is>
      </c>
      <c r="G79" s="20" t="n">
        <v>4.873424740024777</v>
      </c>
      <c r="H79" s="16">
        <f>'00_TONG_HOP_BAO_GIA'!G46</f>
        <v/>
      </c>
      <c r="I79" s="21">
        <f>G79*H79</f>
        <v/>
      </c>
      <c r="J79" s="16">
        <f>IFERROR(INDEX('06_BANG_GIA_VAT_TU_AP_DUNG'!$E$1:$E$5000, MATCH(E79, '06_BANG_GIA_VAT_TU_AP_DUNG'!$B$1:$B$5000, 0)), 0)</f>
        <v/>
      </c>
      <c r="K79" s="16">
        <f>I79*J79</f>
        <v/>
      </c>
      <c r="L79" t="inlineStr">
        <is>
          <t>4 cánh cao 158mm</t>
        </is>
      </c>
    </row>
    <row r="80">
      <c r="A80" t="inlineStr">
        <is>
          <t>SW-DAMPER-045-AXLE</t>
        </is>
      </c>
      <c r="B80" t="inlineStr">
        <is>
          <t>SW-DAMPER-045</t>
        </is>
      </c>
      <c r="C80" t="inlineStr">
        <is>
          <t>Trục Sus 201 D10</t>
        </is>
      </c>
      <c r="D80" t="inlineStr">
        <is>
          <t>PHỤ_KIỆN_VAN</t>
        </is>
      </c>
      <c r="E80" t="inlineStr">
        <is>
          <t>MAT-DAMPER-TRUC-SUS-201-D10</t>
        </is>
      </c>
      <c r="F80" t="inlineStr">
        <is>
          <t>m</t>
        </is>
      </c>
      <c r="G80" s="20" t="n">
        <v>5.144376073263239</v>
      </c>
      <c r="H80" s="16">
        <f>'00_TONG_HOP_BAO_GIA'!G46</f>
        <v/>
      </c>
      <c r="I80" s="21">
        <f>G80*H80</f>
        <v/>
      </c>
      <c r="J80" s="16">
        <f>IFERROR(INDEX('06_BANG_GIA_VAT_TU_AP_DUNG'!$E$1:$E$5000, MATCH(E80, '06_BANG_GIA_VAT_TU_AP_DUNG'!$B$1:$B$5000, 0)), 0)</f>
        <v/>
      </c>
      <c r="K80" s="16">
        <f>I80*J80</f>
        <v/>
      </c>
      <c r="L80" t="inlineStr">
        <is>
          <t>4 trục dài 1110mm</t>
        </is>
      </c>
    </row>
    <row r="81">
      <c r="A81" t="inlineStr">
        <is>
          <t>SW-DAMPER-045-BEARING</t>
        </is>
      </c>
      <c r="B81" t="inlineStr">
        <is>
          <t>SW-DAMPER-045</t>
        </is>
      </c>
      <c r="C81" t="inlineStr">
        <is>
          <t>Bạc đồng D10</t>
        </is>
      </c>
      <c r="D81" t="inlineStr">
        <is>
          <t>PHỤ_KIỆN_VAN</t>
        </is>
      </c>
      <c r="E81" t="inlineStr">
        <is>
          <t>MAT-DAMPER-BAC-DONG-D10</t>
        </is>
      </c>
      <c r="F81" t="inlineStr">
        <is>
          <t>Đôi</t>
        </is>
      </c>
      <c r="G81" s="20" t="n">
        <v>4</v>
      </c>
      <c r="H81" s="16">
        <f>'00_TONG_HOP_BAO_GIA'!G46</f>
        <v/>
      </c>
      <c r="I81" s="21">
        <f>G81*H81</f>
        <v/>
      </c>
      <c r="J81" s="16">
        <f>IFERROR(INDEX('06_BANG_GIA_VAT_TU_AP_DUNG'!$E$1:$E$5000, MATCH(E81, '06_BANG_GIA_VAT_TU_AP_DUNG'!$B$1:$B$5000, 0)), 0)</f>
        <v/>
      </c>
      <c r="K81" s="16">
        <f>I81*J81</f>
        <v/>
      </c>
      <c r="L81" t="inlineStr">
        <is>
          <t>4 đôi bạc đỡ 2 bên thân</t>
        </is>
      </c>
    </row>
    <row r="82">
      <c r="A82" t="inlineStr">
        <is>
          <t>SW-DAMPER-045-GEAR</t>
        </is>
      </c>
      <c r="B82" t="inlineStr">
        <is>
          <t>SW-DAMPER-045</t>
        </is>
      </c>
      <c r="C82" t="inlineStr">
        <is>
          <t>Bánh răng van nhôm</t>
        </is>
      </c>
      <c r="D82" t="inlineStr">
        <is>
          <t>PHỤ_KIỆN_VAN</t>
        </is>
      </c>
      <c r="E82" t="inlineStr">
        <is>
          <t>MAT-DAMPER-BANH-RANG-VAN-NHOM</t>
        </is>
      </c>
      <c r="F82" t="inlineStr">
        <is>
          <t>Bộ</t>
        </is>
      </c>
      <c r="G82" s="20" t="n">
        <v>1</v>
      </c>
      <c r="H82" s="16">
        <f>'00_TONG_HOP_BAO_GIA'!G46</f>
        <v/>
      </c>
      <c r="I82" s="21">
        <f>G82*H82</f>
        <v/>
      </c>
      <c r="J82" s="16">
        <f>IFERROR(INDEX('06_BANG_GIA_VAT_TU_AP_DUNG'!$E$1:$E$5000, MATCH(E82, '06_BANG_GIA_VAT_TU_AP_DUNG'!$B$1:$B$5000, 0)), 0)</f>
        <v/>
      </c>
      <c r="K82" s="16">
        <f>I82*J82</f>
        <v/>
      </c>
      <c r="L82" t="inlineStr">
        <is>
          <t>Cơ cấu liên động cánh (1 bộ)</t>
        </is>
      </c>
    </row>
    <row r="83">
      <c r="A83" t="inlineStr">
        <is>
          <t>SW-DAMPER-045-ECCENTRIC</t>
        </is>
      </c>
      <c r="B83" t="inlineStr">
        <is>
          <t>SW-DAMPER-045</t>
        </is>
      </c>
      <c r="C83" t="inlineStr">
        <is>
          <t>Cơ cấu lệch tâm / Lò xo đóng mở (NRD)</t>
        </is>
      </c>
      <c r="D83" t="inlineStr">
        <is>
          <t>PHỤ_KIỆN_VAN</t>
        </is>
      </c>
      <c r="E83" t="inlineStr">
        <is>
          <t>ECCENTRIC_SHAFT</t>
        </is>
      </c>
      <c r="F83" t="inlineStr">
        <is>
          <t>Bộ</t>
        </is>
      </c>
      <c r="G83" s="20" t="n">
        <v>1</v>
      </c>
      <c r="H83" s="16">
        <f>'00_TONG_HOP_BAO_GIA'!G46</f>
        <v/>
      </c>
      <c r="I83" s="21">
        <f>G83*H83</f>
        <v/>
      </c>
      <c r="J83" s="16">
        <f>IFERROR(INDEX('06_BANG_GIA_VAT_TU_AP_DUNG'!$E$1:$E$5000, MATCH(E83, '06_BANG_GIA_VAT_TU_AP_DUNG'!$B$1:$B$5000, 0)), 0)</f>
        <v/>
      </c>
      <c r="K83" s="16">
        <f>I83*J83</f>
        <v/>
      </c>
      <c r="L83" t="inlineStr">
        <is>
          <t>Cơ cấu đóng mở một chiều</t>
        </is>
      </c>
    </row>
    <row r="84">
      <c r="A84" t="inlineStr">
        <is>
          <t>SW-DAMPER-046-BODY</t>
        </is>
      </c>
      <c r="B84" t="inlineStr">
        <is>
          <t>SW-DAMPER-046</t>
        </is>
      </c>
      <c r="C84" t="inlineStr">
        <is>
          <t>Thân vỏ van NRD bích C30/TDF (1.15mm)</t>
        </is>
      </c>
      <c r="D84" t="inlineStr">
        <is>
          <t>TÔN_CUỘN_MẠ_KẼM</t>
        </is>
      </c>
      <c r="E84" t="inlineStr">
        <is>
          <t>MAT-STEEL-PN-1.15</t>
        </is>
      </c>
      <c r="F84" t="inlineStr">
        <is>
          <t>kg</t>
        </is>
      </c>
      <c r="G84" s="20" t="n">
        <v>10.6633556609916</v>
      </c>
      <c r="H84" s="16">
        <f>'00_TONG_HOP_BAO_GIA'!G47</f>
        <v/>
      </c>
      <c r="I84" s="21">
        <f>G84*H84</f>
        <v/>
      </c>
      <c r="J84" s="16">
        <f>IFERROR(INDEX('06_BANG_GIA_VAT_TU_AP_DUNG'!$E$1:$E$5000, MATCH(E84, '06_BANG_GIA_VAT_TU_AP_DUNG'!$B$1:$B$5000, 0)), 0)</f>
        <v/>
      </c>
      <c r="K84" s="16">
        <f>I84*J84</f>
        <v/>
      </c>
      <c r="L84" t="inlineStr">
        <is>
          <t>Kích thước vỏ 1100x450x210mm</t>
        </is>
      </c>
    </row>
    <row r="85">
      <c r="A85" t="inlineStr">
        <is>
          <t>SW-DAMPER-046-BLADE</t>
        </is>
      </c>
      <c r="B85" t="inlineStr">
        <is>
          <t>SW-DAMPER-046</t>
        </is>
      </c>
      <c r="C85" t="inlineStr">
        <is>
          <t>Lá cánh / Tôn tấm bọc van (3 cánh)</t>
        </is>
      </c>
      <c r="D85" t="inlineStr">
        <is>
          <t>TÔN_CUỘN_MẠ_KẼM</t>
        </is>
      </c>
      <c r="E85" t="inlineStr">
        <is>
          <t>MAT-STEEL-PN-0.75</t>
        </is>
      </c>
      <c r="F85" t="inlineStr">
        <is>
          <t>kg</t>
        </is>
      </c>
      <c r="G85" s="20" t="n">
        <v>4.564224060185709</v>
      </c>
      <c r="H85" s="16">
        <f>'00_TONG_HOP_BAO_GIA'!G47</f>
        <v/>
      </c>
      <c r="I85" s="21">
        <f>G85*H85</f>
        <v/>
      </c>
      <c r="J85" s="16">
        <f>IFERROR(INDEX('06_BANG_GIA_VAT_TU_AP_DUNG'!$E$1:$E$5000, MATCH(E85, '06_BANG_GIA_VAT_TU_AP_DUNG'!$B$1:$B$5000, 0)), 0)</f>
        <v/>
      </c>
      <c r="K85" s="16">
        <f>I85*J85</f>
        <v/>
      </c>
      <c r="L85" t="inlineStr">
        <is>
          <t>3 cánh cao 170mm</t>
        </is>
      </c>
    </row>
    <row r="86">
      <c r="A86" t="inlineStr">
        <is>
          <t>SW-DAMPER-046-AXLE</t>
        </is>
      </c>
      <c r="B86" t="inlineStr">
        <is>
          <t>SW-DAMPER-046</t>
        </is>
      </c>
      <c r="C86" t="inlineStr">
        <is>
          <t>Trục Sus 201 D10</t>
        </is>
      </c>
      <c r="D86" t="inlineStr">
        <is>
          <t>PHỤ_KIỆN_VAN</t>
        </is>
      </c>
      <c r="E86" t="inlineStr">
        <is>
          <t>MAT-DAMPER-TRUC-SUS-201-D10</t>
        </is>
      </c>
      <c r="F86" t="inlineStr">
        <is>
          <t>m</t>
        </is>
      </c>
      <c r="G86" s="20" t="n">
        <v>4.45275359634009</v>
      </c>
      <c r="H86" s="16">
        <f>'00_TONG_HOP_BAO_GIA'!G47</f>
        <v/>
      </c>
      <c r="I86" s="21">
        <f>G86*H86</f>
        <v/>
      </c>
      <c r="J86" s="16">
        <f>IFERROR(INDEX('06_BANG_GIA_VAT_TU_AP_DUNG'!$E$1:$E$5000, MATCH(E86, '06_BANG_GIA_VAT_TU_AP_DUNG'!$B$1:$B$5000, 0)), 0)</f>
        <v/>
      </c>
      <c r="K86" s="16">
        <f>I86*J86</f>
        <v/>
      </c>
      <c r="L86" t="inlineStr">
        <is>
          <t>3 trục dài 1160mm</t>
        </is>
      </c>
    </row>
    <row r="87">
      <c r="A87" t="inlineStr">
        <is>
          <t>SW-DAMPER-046-BEARING</t>
        </is>
      </c>
      <c r="B87" t="inlineStr">
        <is>
          <t>SW-DAMPER-046</t>
        </is>
      </c>
      <c r="C87" t="inlineStr">
        <is>
          <t>Bạc đồng D10</t>
        </is>
      </c>
      <c r="D87" t="inlineStr">
        <is>
          <t>PHỤ_KIỆN_VAN</t>
        </is>
      </c>
      <c r="E87" t="inlineStr">
        <is>
          <t>MAT-DAMPER-BAC-DONG-D10</t>
        </is>
      </c>
      <c r="F87" t="inlineStr">
        <is>
          <t>Đôi</t>
        </is>
      </c>
      <c r="G87" s="20" t="n">
        <v>3</v>
      </c>
      <c r="H87" s="16">
        <f>'00_TONG_HOP_BAO_GIA'!G47</f>
        <v/>
      </c>
      <c r="I87" s="21">
        <f>G87*H87</f>
        <v/>
      </c>
      <c r="J87" s="16">
        <f>IFERROR(INDEX('06_BANG_GIA_VAT_TU_AP_DUNG'!$E$1:$E$5000, MATCH(E87, '06_BANG_GIA_VAT_TU_AP_DUNG'!$B$1:$B$5000, 0)), 0)</f>
        <v/>
      </c>
      <c r="K87" s="16">
        <f>I87*J87</f>
        <v/>
      </c>
      <c r="L87" t="inlineStr">
        <is>
          <t>3 đôi bạc đỡ 2 bên thân</t>
        </is>
      </c>
    </row>
    <row r="88">
      <c r="A88" t="inlineStr">
        <is>
          <t>SW-DAMPER-046-GEAR</t>
        </is>
      </c>
      <c r="B88" t="inlineStr">
        <is>
          <t>SW-DAMPER-046</t>
        </is>
      </c>
      <c r="C88" t="inlineStr">
        <is>
          <t>Bánh răng van nhôm</t>
        </is>
      </c>
      <c r="D88" t="inlineStr">
        <is>
          <t>PHỤ_KIỆN_VAN</t>
        </is>
      </c>
      <c r="E88" t="inlineStr">
        <is>
          <t>MAT-DAMPER-BANH-RANG-VAN-NHOM</t>
        </is>
      </c>
      <c r="F88" t="inlineStr">
        <is>
          <t>Bộ</t>
        </is>
      </c>
      <c r="G88" s="20" t="n">
        <v>1</v>
      </c>
      <c r="H88" s="16">
        <f>'00_TONG_HOP_BAO_GIA'!G47</f>
        <v/>
      </c>
      <c r="I88" s="21">
        <f>G88*H88</f>
        <v/>
      </c>
      <c r="J88" s="16">
        <f>IFERROR(INDEX('06_BANG_GIA_VAT_TU_AP_DUNG'!$E$1:$E$5000, MATCH(E88, '06_BANG_GIA_VAT_TU_AP_DUNG'!$B$1:$B$5000, 0)), 0)</f>
        <v/>
      </c>
      <c r="K88" s="16">
        <f>I88*J88</f>
        <v/>
      </c>
      <c r="L88" t="inlineStr">
        <is>
          <t>Cơ cấu liên động cánh (1 bộ)</t>
        </is>
      </c>
    </row>
    <row r="89">
      <c r="A89" t="inlineStr">
        <is>
          <t>SW-DAMPER-046-ECCENTRIC</t>
        </is>
      </c>
      <c r="B89" t="inlineStr">
        <is>
          <t>SW-DAMPER-046</t>
        </is>
      </c>
      <c r="C89" t="inlineStr">
        <is>
          <t>Cơ cấu lệch tâm / Lò xo đóng mở (NRD)</t>
        </is>
      </c>
      <c r="D89" t="inlineStr">
        <is>
          <t>PHỤ_KIỆN_VAN</t>
        </is>
      </c>
      <c r="E89" t="inlineStr">
        <is>
          <t>ECCENTRIC_SHAFT</t>
        </is>
      </c>
      <c r="F89" t="inlineStr">
        <is>
          <t>Bộ</t>
        </is>
      </c>
      <c r="G89" s="20" t="n">
        <v>1</v>
      </c>
      <c r="H89" s="16">
        <f>'00_TONG_HOP_BAO_GIA'!G47</f>
        <v/>
      </c>
      <c r="I89" s="21">
        <f>G89*H89</f>
        <v/>
      </c>
      <c r="J89" s="16">
        <f>IFERROR(INDEX('06_BANG_GIA_VAT_TU_AP_DUNG'!$E$1:$E$5000, MATCH(E89, '06_BANG_GIA_VAT_TU_AP_DUNG'!$B$1:$B$5000, 0)), 0)</f>
        <v/>
      </c>
      <c r="K89" s="16">
        <f>I89*J89</f>
        <v/>
      </c>
      <c r="L89" t="inlineStr">
        <is>
          <t>Cơ cấu đóng mở một chiều</t>
        </is>
      </c>
    </row>
    <row r="90">
      <c r="A90" t="inlineStr">
        <is>
          <t>SW-DAMPER-047-BODY</t>
        </is>
      </c>
      <c r="B90" t="inlineStr">
        <is>
          <t>SW-DAMPER-047</t>
        </is>
      </c>
      <c r="C90" t="inlineStr">
        <is>
          <t>Thân vỏ van NRD bích C30/TDF (1.15mm)</t>
        </is>
      </c>
      <c r="D90" t="inlineStr">
        <is>
          <t>TÔN_CUỘN_MẠ_KẼM</t>
        </is>
      </c>
      <c r="E90" t="inlineStr">
        <is>
          <t>MAT-STEEL-PN-1.15</t>
        </is>
      </c>
      <c r="F90" t="inlineStr">
        <is>
          <t>kg</t>
        </is>
      </c>
      <c r="G90" s="20" t="n">
        <v>11.16630706299079</v>
      </c>
      <c r="H90" s="16">
        <f>'00_TONG_HOP_BAO_GIA'!G48</f>
        <v/>
      </c>
      <c r="I90" s="21">
        <f>G90*H90</f>
        <v/>
      </c>
      <c r="J90" s="16">
        <f>IFERROR(INDEX('06_BANG_GIA_VAT_TU_AP_DUNG'!$E$1:$E$5000, MATCH(E90, '06_BANG_GIA_VAT_TU_AP_DUNG'!$B$1:$B$5000, 0)), 0)</f>
        <v/>
      </c>
      <c r="K90" s="16">
        <f>I90*J90</f>
        <v/>
      </c>
      <c r="L90" t="inlineStr">
        <is>
          <t>Kích thước vỏ 1100x500x210mm</t>
        </is>
      </c>
    </row>
    <row r="91">
      <c r="A91" t="inlineStr">
        <is>
          <t>SW-DAMPER-047-BLADE</t>
        </is>
      </c>
      <c r="B91" t="inlineStr">
        <is>
          <t>SW-DAMPER-047</t>
        </is>
      </c>
      <c r="C91" t="inlineStr">
        <is>
          <t>Lá cánh / Tôn tấm bọc van (3 cánh)</t>
        </is>
      </c>
      <c r="D91" t="inlineStr">
        <is>
          <t>TÔN_CUỘN_MẠ_KẼM</t>
        </is>
      </c>
      <c r="E91" t="inlineStr">
        <is>
          <t>MAT-STEEL-PN-0.75</t>
        </is>
      </c>
      <c r="F91" t="inlineStr">
        <is>
          <t>kg</t>
        </is>
      </c>
      <c r="G91" s="20" t="n">
        <v>5.08610259597924</v>
      </c>
      <c r="H91" s="16">
        <f>'00_TONG_HOP_BAO_GIA'!G48</f>
        <v/>
      </c>
      <c r="I91" s="21">
        <f>G91*H91</f>
        <v/>
      </c>
      <c r="J91" s="16">
        <f>IFERROR(INDEX('06_BANG_GIA_VAT_TU_AP_DUNG'!$E$1:$E$5000, MATCH(E91, '06_BANG_GIA_VAT_TU_AP_DUNG'!$B$1:$B$5000, 0)), 0)</f>
        <v/>
      </c>
      <c r="K91" s="16">
        <f>I91*J91</f>
        <v/>
      </c>
      <c r="L91" t="inlineStr">
        <is>
          <t>3 cánh cao 187mm</t>
        </is>
      </c>
    </row>
    <row r="92">
      <c r="A92" t="inlineStr">
        <is>
          <t>SW-DAMPER-047-AXLE</t>
        </is>
      </c>
      <c r="B92" t="inlineStr">
        <is>
          <t>SW-DAMPER-047</t>
        </is>
      </c>
      <c r="C92" t="inlineStr">
        <is>
          <t>Trục Sus 201 D10</t>
        </is>
      </c>
      <c r="D92" t="inlineStr">
        <is>
          <t>PHỤ_KIỆN_VAN</t>
        </is>
      </c>
      <c r="E92" t="inlineStr">
        <is>
          <t>MAT-DAMPER-TRUC-SUS-201-D10</t>
        </is>
      </c>
      <c r="F92" t="inlineStr">
        <is>
          <t>m</t>
        </is>
      </c>
      <c r="G92" s="20" t="n">
        <v>4.518860895377736</v>
      </c>
      <c r="H92" s="16">
        <f>'00_TONG_HOP_BAO_GIA'!G48</f>
        <v/>
      </c>
      <c r="I92" s="21">
        <f>G92*H92</f>
        <v/>
      </c>
      <c r="J92" s="16">
        <f>IFERROR(INDEX('06_BANG_GIA_VAT_TU_AP_DUNG'!$E$1:$E$5000, MATCH(E92, '06_BANG_GIA_VAT_TU_AP_DUNG'!$B$1:$B$5000, 0)), 0)</f>
        <v/>
      </c>
      <c r="K92" s="16">
        <f>I92*J92</f>
        <v/>
      </c>
      <c r="L92" t="inlineStr">
        <is>
          <t>3 trục dài 1160mm</t>
        </is>
      </c>
    </row>
    <row r="93">
      <c r="A93" t="inlineStr">
        <is>
          <t>SW-DAMPER-047-BEARING</t>
        </is>
      </c>
      <c r="B93" t="inlineStr">
        <is>
          <t>SW-DAMPER-047</t>
        </is>
      </c>
      <c r="C93" t="inlineStr">
        <is>
          <t>Bạc đồng D10</t>
        </is>
      </c>
      <c r="D93" t="inlineStr">
        <is>
          <t>PHỤ_KIỆN_VAN</t>
        </is>
      </c>
      <c r="E93" t="inlineStr">
        <is>
          <t>MAT-DAMPER-BAC-DONG-D10</t>
        </is>
      </c>
      <c r="F93" t="inlineStr">
        <is>
          <t>Đôi</t>
        </is>
      </c>
      <c r="G93" s="20" t="n">
        <v>3</v>
      </c>
      <c r="H93" s="16">
        <f>'00_TONG_HOP_BAO_GIA'!G48</f>
        <v/>
      </c>
      <c r="I93" s="21">
        <f>G93*H93</f>
        <v/>
      </c>
      <c r="J93" s="16">
        <f>IFERROR(INDEX('06_BANG_GIA_VAT_TU_AP_DUNG'!$E$1:$E$5000, MATCH(E93, '06_BANG_GIA_VAT_TU_AP_DUNG'!$B$1:$B$5000, 0)), 0)</f>
        <v/>
      </c>
      <c r="K93" s="16">
        <f>I93*J93</f>
        <v/>
      </c>
      <c r="L93" t="inlineStr">
        <is>
          <t>3 đôi bạc đỡ 2 bên thân</t>
        </is>
      </c>
    </row>
    <row r="94">
      <c r="A94" t="inlineStr">
        <is>
          <t>SW-DAMPER-047-GEAR</t>
        </is>
      </c>
      <c r="B94" t="inlineStr">
        <is>
          <t>SW-DAMPER-047</t>
        </is>
      </c>
      <c r="C94" t="inlineStr">
        <is>
          <t>Bánh răng van nhôm</t>
        </is>
      </c>
      <c r="D94" t="inlineStr">
        <is>
          <t>PHỤ_KIỆN_VAN</t>
        </is>
      </c>
      <c r="E94" t="inlineStr">
        <is>
          <t>MAT-DAMPER-BANH-RANG-VAN-NHOM</t>
        </is>
      </c>
      <c r="F94" t="inlineStr">
        <is>
          <t>Bộ</t>
        </is>
      </c>
      <c r="G94" s="20" t="n">
        <v>1</v>
      </c>
      <c r="H94" s="16">
        <f>'00_TONG_HOP_BAO_GIA'!G48</f>
        <v/>
      </c>
      <c r="I94" s="21">
        <f>G94*H94</f>
        <v/>
      </c>
      <c r="J94" s="16">
        <f>IFERROR(INDEX('06_BANG_GIA_VAT_TU_AP_DUNG'!$E$1:$E$5000, MATCH(E94, '06_BANG_GIA_VAT_TU_AP_DUNG'!$B$1:$B$5000, 0)), 0)</f>
        <v/>
      </c>
      <c r="K94" s="16">
        <f>I94*J94</f>
        <v/>
      </c>
      <c r="L94" t="inlineStr">
        <is>
          <t>Cơ cấu liên động cánh (1 bộ)</t>
        </is>
      </c>
    </row>
    <row r="95">
      <c r="A95" t="inlineStr">
        <is>
          <t>SW-DAMPER-047-ECCENTRIC</t>
        </is>
      </c>
      <c r="B95" t="inlineStr">
        <is>
          <t>SW-DAMPER-047</t>
        </is>
      </c>
      <c r="C95" t="inlineStr">
        <is>
          <t>Cơ cấu lệch tâm / Lò xo đóng mở (NRD)</t>
        </is>
      </c>
      <c r="D95" t="inlineStr">
        <is>
          <t>PHỤ_KIỆN_VAN</t>
        </is>
      </c>
      <c r="E95" t="inlineStr">
        <is>
          <t>ECCENTRIC_SHAFT</t>
        </is>
      </c>
      <c r="F95" t="inlineStr">
        <is>
          <t>Bộ</t>
        </is>
      </c>
      <c r="G95" s="20" t="n">
        <v>1</v>
      </c>
      <c r="H95" s="16">
        <f>'00_TONG_HOP_BAO_GIA'!G48</f>
        <v/>
      </c>
      <c r="I95" s="21">
        <f>G95*H95</f>
        <v/>
      </c>
      <c r="J95" s="16">
        <f>IFERROR(INDEX('06_BANG_GIA_VAT_TU_AP_DUNG'!$E$1:$E$5000, MATCH(E95, '06_BANG_GIA_VAT_TU_AP_DUNG'!$B$1:$B$5000, 0)), 0)</f>
        <v/>
      </c>
      <c r="K95" s="16">
        <f>I95*J95</f>
        <v/>
      </c>
      <c r="L95" t="inlineStr">
        <is>
          <t>Cơ cấu đóng mở một chiều</t>
        </is>
      </c>
    </row>
    <row r="96">
      <c r="A96" t="inlineStr">
        <is>
          <t>SW-DAMPER-048-BODY</t>
        </is>
      </c>
      <c r="B96" t="inlineStr">
        <is>
          <t>SW-DAMPER-048</t>
        </is>
      </c>
      <c r="C96" t="inlineStr">
        <is>
          <t>Thân vỏ van NRD bích C30/TDF (1.15mm)</t>
        </is>
      </c>
      <c r="D96" t="inlineStr">
        <is>
          <t>TÔN_CUỘN_MẠ_KẼM</t>
        </is>
      </c>
      <c r="E96" t="inlineStr">
        <is>
          <t>MAT-STEEL-PN-1.15</t>
        </is>
      </c>
      <c r="F96" t="inlineStr">
        <is>
          <t>kg</t>
        </is>
      </c>
      <c r="G96" s="20" t="n">
        <v>10.15770961817165</v>
      </c>
      <c r="H96" s="16">
        <f>'00_TONG_HOP_BAO_GIA'!G49</f>
        <v/>
      </c>
      <c r="I96" s="21">
        <f>G96*H96</f>
        <v/>
      </c>
      <c r="J96" s="16">
        <f>IFERROR(INDEX('06_BANG_GIA_VAT_TU_AP_DUNG'!$E$1:$E$5000, MATCH(E96, '06_BANG_GIA_VAT_TU_AP_DUNG'!$B$1:$B$5000, 0)), 0)</f>
        <v/>
      </c>
      <c r="K96" s="16">
        <f>I96*J96</f>
        <v/>
      </c>
      <c r="L96" t="inlineStr">
        <is>
          <t>Kích thước vỏ 1100x550x210mm</t>
        </is>
      </c>
    </row>
    <row r="97">
      <c r="A97" t="inlineStr">
        <is>
          <t>SW-DAMPER-048-BLADE</t>
        </is>
      </c>
      <c r="B97" t="inlineStr">
        <is>
          <t>SW-DAMPER-048</t>
        </is>
      </c>
      <c r="C97" t="inlineStr">
        <is>
          <t>Lá cánh / Tôn tấm bọc van (4 cánh)</t>
        </is>
      </c>
      <c r="D97" t="inlineStr">
        <is>
          <t>TÔN_CUỘN_MẠ_KẼM</t>
        </is>
      </c>
      <c r="E97" t="inlineStr">
        <is>
          <t>MAT-STEEL-PN-0.75</t>
        </is>
      </c>
      <c r="F97" t="inlineStr">
        <is>
          <t>kg</t>
        </is>
      </c>
      <c r="G97" s="20" t="n">
        <v>5.049198090038463</v>
      </c>
      <c r="H97" s="16">
        <f>'00_TONG_HOP_BAO_GIA'!G49</f>
        <v/>
      </c>
      <c r="I97" s="21">
        <f>G97*H97</f>
        <v/>
      </c>
      <c r="J97" s="16">
        <f>IFERROR(INDEX('06_BANG_GIA_VAT_TU_AP_DUNG'!$E$1:$E$5000, MATCH(E97, '06_BANG_GIA_VAT_TU_AP_DUNG'!$B$1:$B$5000, 0)), 0)</f>
        <v/>
      </c>
      <c r="K97" s="16">
        <f>I97*J97</f>
        <v/>
      </c>
      <c r="L97" t="inlineStr">
        <is>
          <t>4 cánh cao 158mm</t>
        </is>
      </c>
    </row>
    <row r="98">
      <c r="A98" t="inlineStr">
        <is>
          <t>SW-DAMPER-048-AXLE</t>
        </is>
      </c>
      <c r="B98" t="inlineStr">
        <is>
          <t>SW-DAMPER-048</t>
        </is>
      </c>
      <c r="C98" t="inlineStr">
        <is>
          <t>Trục Sus 201 D10</t>
        </is>
      </c>
      <c r="D98" t="inlineStr">
        <is>
          <t>PHỤ_KIỆN_VAN</t>
        </is>
      </c>
      <c r="E98" t="inlineStr">
        <is>
          <t>MAT-DAMPER-TRUC-SUS-201-D10</t>
        </is>
      </c>
      <c r="F98" t="inlineStr">
        <is>
          <t>m</t>
        </is>
      </c>
      <c r="G98" s="20" t="n">
        <v>5.316826390320819</v>
      </c>
      <c r="H98" s="16">
        <f>'00_TONG_HOP_BAO_GIA'!G49</f>
        <v/>
      </c>
      <c r="I98" s="21">
        <f>G98*H98</f>
        <v/>
      </c>
      <c r="J98" s="16">
        <f>IFERROR(INDEX('06_BANG_GIA_VAT_TU_AP_DUNG'!$E$1:$E$5000, MATCH(E98, '06_BANG_GIA_VAT_TU_AP_DUNG'!$B$1:$B$5000, 0)), 0)</f>
        <v/>
      </c>
      <c r="K98" s="16">
        <f>I98*J98</f>
        <v/>
      </c>
      <c r="L98" t="inlineStr">
        <is>
          <t>4 trục dài 1160mm</t>
        </is>
      </c>
    </row>
    <row r="99">
      <c r="A99" t="inlineStr">
        <is>
          <t>SW-DAMPER-048-BEARING</t>
        </is>
      </c>
      <c r="B99" t="inlineStr">
        <is>
          <t>SW-DAMPER-048</t>
        </is>
      </c>
      <c r="C99" t="inlineStr">
        <is>
          <t>Bạc đồng D10</t>
        </is>
      </c>
      <c r="D99" t="inlineStr">
        <is>
          <t>PHỤ_KIỆN_VAN</t>
        </is>
      </c>
      <c r="E99" t="inlineStr">
        <is>
          <t>MAT-DAMPER-BAC-DONG-D10</t>
        </is>
      </c>
      <c r="F99" t="inlineStr">
        <is>
          <t>Đôi</t>
        </is>
      </c>
      <c r="G99" s="20" t="n">
        <v>4</v>
      </c>
      <c r="H99" s="16">
        <f>'00_TONG_HOP_BAO_GIA'!G49</f>
        <v/>
      </c>
      <c r="I99" s="21">
        <f>G99*H99</f>
        <v/>
      </c>
      <c r="J99" s="16">
        <f>IFERROR(INDEX('06_BANG_GIA_VAT_TU_AP_DUNG'!$E$1:$E$5000, MATCH(E99, '06_BANG_GIA_VAT_TU_AP_DUNG'!$B$1:$B$5000, 0)), 0)</f>
        <v/>
      </c>
      <c r="K99" s="16">
        <f>I99*J99</f>
        <v/>
      </c>
      <c r="L99" t="inlineStr">
        <is>
          <t>4 đôi bạc đỡ 2 bên thân</t>
        </is>
      </c>
    </row>
    <row r="100">
      <c r="A100" t="inlineStr">
        <is>
          <t>SW-DAMPER-048-GEAR</t>
        </is>
      </c>
      <c r="B100" t="inlineStr">
        <is>
          <t>SW-DAMPER-048</t>
        </is>
      </c>
      <c r="C100" t="inlineStr">
        <is>
          <t>Bánh răng van nhôm</t>
        </is>
      </c>
      <c r="D100" t="inlineStr">
        <is>
          <t>PHỤ_KIỆN_VAN</t>
        </is>
      </c>
      <c r="E100" t="inlineStr">
        <is>
          <t>MAT-DAMPER-BANH-RANG-VAN-NHOM</t>
        </is>
      </c>
      <c r="F100" t="inlineStr">
        <is>
          <t>Bộ</t>
        </is>
      </c>
      <c r="G100" s="20" t="n">
        <v>1</v>
      </c>
      <c r="H100" s="16">
        <f>'00_TONG_HOP_BAO_GIA'!G49</f>
        <v/>
      </c>
      <c r="I100" s="21">
        <f>G100*H100</f>
        <v/>
      </c>
      <c r="J100" s="16">
        <f>IFERROR(INDEX('06_BANG_GIA_VAT_TU_AP_DUNG'!$E$1:$E$5000, MATCH(E100, '06_BANG_GIA_VAT_TU_AP_DUNG'!$B$1:$B$5000, 0)), 0)</f>
        <v/>
      </c>
      <c r="K100" s="16">
        <f>I100*J100</f>
        <v/>
      </c>
      <c r="L100" t="inlineStr">
        <is>
          <t>Cơ cấu liên động cánh (1 bộ)</t>
        </is>
      </c>
    </row>
    <row r="101">
      <c r="A101" t="inlineStr">
        <is>
          <t>SW-DAMPER-048-ECCENTRIC</t>
        </is>
      </c>
      <c r="B101" t="inlineStr">
        <is>
          <t>SW-DAMPER-048</t>
        </is>
      </c>
      <c r="C101" t="inlineStr">
        <is>
          <t>Cơ cấu lệch tâm / Lò xo đóng mở (NRD)</t>
        </is>
      </c>
      <c r="D101" t="inlineStr">
        <is>
          <t>PHỤ_KIỆN_VAN</t>
        </is>
      </c>
      <c r="E101" t="inlineStr">
        <is>
          <t>ECCENTRIC_SHAFT</t>
        </is>
      </c>
      <c r="F101" t="inlineStr">
        <is>
          <t>Bộ</t>
        </is>
      </c>
      <c r="G101" s="20" t="n">
        <v>1</v>
      </c>
      <c r="H101" s="16">
        <f>'00_TONG_HOP_BAO_GIA'!G49</f>
        <v/>
      </c>
      <c r="I101" s="21">
        <f>G101*H101</f>
        <v/>
      </c>
      <c r="J101" s="16">
        <f>IFERROR(INDEX('06_BANG_GIA_VAT_TU_AP_DUNG'!$E$1:$E$5000, MATCH(E101, '06_BANG_GIA_VAT_TU_AP_DUNG'!$B$1:$B$5000, 0)), 0)</f>
        <v/>
      </c>
      <c r="K101" s="16">
        <f>I101*J101</f>
        <v/>
      </c>
      <c r="L101" t="inlineStr">
        <is>
          <t>Cơ cấu đóng mở một chiều</t>
        </is>
      </c>
    </row>
    <row r="102">
      <c r="A102" t="inlineStr">
        <is>
          <t>SW-DAMPER-049-BODY</t>
        </is>
      </c>
      <c r="B102" t="inlineStr">
        <is>
          <t>SW-DAMPER-049</t>
        </is>
      </c>
      <c r="C102" t="inlineStr">
        <is>
          <t>Thân vỏ van NRD bích C30/TDF (1.15mm)</t>
        </is>
      </c>
      <c r="D102" t="inlineStr">
        <is>
          <t>TÔN_CUỘN_MẠ_KẼM</t>
        </is>
      </c>
      <c r="E102" t="inlineStr">
        <is>
          <t>MAT-STEEL-PN-1.15</t>
        </is>
      </c>
      <c r="F102" t="inlineStr">
        <is>
          <t>kg</t>
        </is>
      </c>
      <c r="G102" s="20" t="n">
        <v>10.63695373970294</v>
      </c>
      <c r="H102" s="16">
        <f>'00_TONG_HOP_BAO_GIA'!G50</f>
        <v/>
      </c>
      <c r="I102" s="21">
        <f>G102*H102</f>
        <v/>
      </c>
      <c r="J102" s="16">
        <f>IFERROR(INDEX('06_BANG_GIA_VAT_TU_AP_DUNG'!$E$1:$E$5000, MATCH(E102, '06_BANG_GIA_VAT_TU_AP_DUNG'!$B$1:$B$5000, 0)), 0)</f>
        <v/>
      </c>
      <c r="K102" s="16">
        <f>I102*J102</f>
        <v/>
      </c>
      <c r="L102" t="inlineStr">
        <is>
          <t>Kích thước vỏ 1100x600x210mm</t>
        </is>
      </c>
    </row>
    <row r="103">
      <c r="A103" t="inlineStr">
        <is>
          <t>SW-DAMPER-049-BLADE</t>
        </is>
      </c>
      <c r="B103" t="inlineStr">
        <is>
          <t>SW-DAMPER-049</t>
        </is>
      </c>
      <c r="C103" t="inlineStr">
        <is>
          <t>Lá cánh / Tôn tấm bọc van (4 cánh)</t>
        </is>
      </c>
      <c r="D103" t="inlineStr">
        <is>
          <t>TÔN_CUỘN_MẠ_KẼM</t>
        </is>
      </c>
      <c r="E103" t="inlineStr">
        <is>
          <t>MAT-STEEL-PN-0.75</t>
        </is>
      </c>
      <c r="F103" t="inlineStr">
        <is>
          <t>kg</t>
        </is>
      </c>
      <c r="G103" s="20" t="n">
        <v>5.541154684360636</v>
      </c>
      <c r="H103" s="16">
        <f>'00_TONG_HOP_BAO_GIA'!G50</f>
        <v/>
      </c>
      <c r="I103" s="21">
        <f>G103*H103</f>
        <v/>
      </c>
      <c r="J103" s="16">
        <f>IFERROR(INDEX('06_BANG_GIA_VAT_TU_AP_DUNG'!$E$1:$E$5000, MATCH(E103, '06_BANG_GIA_VAT_TU_AP_DUNG'!$B$1:$B$5000, 0)), 0)</f>
        <v/>
      </c>
      <c r="K103" s="16">
        <f>I103*J103</f>
        <v/>
      </c>
      <c r="L103" t="inlineStr">
        <is>
          <t>4 cánh cao 170mm</t>
        </is>
      </c>
    </row>
    <row r="104">
      <c r="A104" t="inlineStr">
        <is>
          <t>SW-DAMPER-049-AXLE</t>
        </is>
      </c>
      <c r="B104" t="inlineStr">
        <is>
          <t>SW-DAMPER-049</t>
        </is>
      </c>
      <c r="C104" t="inlineStr">
        <is>
          <t>Trục Sus 201 D10</t>
        </is>
      </c>
      <c r="D104" t="inlineStr">
        <is>
          <t>PHỤ_KIỆN_VAN</t>
        </is>
      </c>
      <c r="E104" t="inlineStr">
        <is>
          <t>MAT-DAMPER-TRUC-SUS-201-D10</t>
        </is>
      </c>
      <c r="F104" t="inlineStr">
        <is>
          <t>m</t>
        </is>
      </c>
      <c r="G104" s="20" t="n">
        <v>5.405824982145957</v>
      </c>
      <c r="H104" s="16">
        <f>'00_TONG_HOP_BAO_GIA'!G50</f>
        <v/>
      </c>
      <c r="I104" s="21">
        <f>G104*H104</f>
        <v/>
      </c>
      <c r="J104" s="16">
        <f>IFERROR(INDEX('06_BANG_GIA_VAT_TU_AP_DUNG'!$E$1:$E$5000, MATCH(E104, '06_BANG_GIA_VAT_TU_AP_DUNG'!$B$1:$B$5000, 0)), 0)</f>
        <v/>
      </c>
      <c r="K104" s="16">
        <f>I104*J104</f>
        <v/>
      </c>
      <c r="L104" t="inlineStr">
        <is>
          <t>4 trục dài 1160mm</t>
        </is>
      </c>
    </row>
    <row r="105">
      <c r="A105" t="inlineStr">
        <is>
          <t>SW-DAMPER-049-BEARING</t>
        </is>
      </c>
      <c r="B105" t="inlineStr">
        <is>
          <t>SW-DAMPER-049</t>
        </is>
      </c>
      <c r="C105" t="inlineStr">
        <is>
          <t>Bạc đồng D10</t>
        </is>
      </c>
      <c r="D105" t="inlineStr">
        <is>
          <t>PHỤ_KIỆN_VAN</t>
        </is>
      </c>
      <c r="E105" t="inlineStr">
        <is>
          <t>MAT-DAMPER-BAC-DONG-D10</t>
        </is>
      </c>
      <c r="F105" t="inlineStr">
        <is>
          <t>Đôi</t>
        </is>
      </c>
      <c r="G105" s="20" t="n">
        <v>4</v>
      </c>
      <c r="H105" s="16">
        <f>'00_TONG_HOP_BAO_GIA'!G50</f>
        <v/>
      </c>
      <c r="I105" s="21">
        <f>G105*H105</f>
        <v/>
      </c>
      <c r="J105" s="16">
        <f>IFERROR(INDEX('06_BANG_GIA_VAT_TU_AP_DUNG'!$E$1:$E$5000, MATCH(E105, '06_BANG_GIA_VAT_TU_AP_DUNG'!$B$1:$B$5000, 0)), 0)</f>
        <v/>
      </c>
      <c r="K105" s="16">
        <f>I105*J105</f>
        <v/>
      </c>
      <c r="L105" t="inlineStr">
        <is>
          <t>4 đôi bạc đỡ 2 bên thân</t>
        </is>
      </c>
    </row>
    <row r="106">
      <c r="A106" t="inlineStr">
        <is>
          <t>SW-DAMPER-049-GEAR</t>
        </is>
      </c>
      <c r="B106" t="inlineStr">
        <is>
          <t>SW-DAMPER-049</t>
        </is>
      </c>
      <c r="C106" t="inlineStr">
        <is>
          <t>Bánh răng van nhôm</t>
        </is>
      </c>
      <c r="D106" t="inlineStr">
        <is>
          <t>PHỤ_KIỆN_VAN</t>
        </is>
      </c>
      <c r="E106" t="inlineStr">
        <is>
          <t>MAT-DAMPER-BANH-RANG-VAN-NHOM</t>
        </is>
      </c>
      <c r="F106" t="inlineStr">
        <is>
          <t>Bộ</t>
        </is>
      </c>
      <c r="G106" s="20" t="n">
        <v>1</v>
      </c>
      <c r="H106" s="16">
        <f>'00_TONG_HOP_BAO_GIA'!G50</f>
        <v/>
      </c>
      <c r="I106" s="21">
        <f>G106*H106</f>
        <v/>
      </c>
      <c r="J106" s="16">
        <f>IFERROR(INDEX('06_BANG_GIA_VAT_TU_AP_DUNG'!$E$1:$E$5000, MATCH(E106, '06_BANG_GIA_VAT_TU_AP_DUNG'!$B$1:$B$5000, 0)), 0)</f>
        <v/>
      </c>
      <c r="K106" s="16">
        <f>I106*J106</f>
        <v/>
      </c>
      <c r="L106" t="inlineStr">
        <is>
          <t>Cơ cấu liên động cánh (1 bộ)</t>
        </is>
      </c>
    </row>
    <row r="107">
      <c r="A107" t="inlineStr">
        <is>
          <t>SW-DAMPER-049-ECCENTRIC</t>
        </is>
      </c>
      <c r="B107" t="inlineStr">
        <is>
          <t>SW-DAMPER-049</t>
        </is>
      </c>
      <c r="C107" t="inlineStr">
        <is>
          <t>Cơ cấu lệch tâm / Lò xo đóng mở (NRD)</t>
        </is>
      </c>
      <c r="D107" t="inlineStr">
        <is>
          <t>PHỤ_KIỆN_VAN</t>
        </is>
      </c>
      <c r="E107" t="inlineStr">
        <is>
          <t>ECCENTRIC_SHAFT</t>
        </is>
      </c>
      <c r="F107" t="inlineStr">
        <is>
          <t>Bộ</t>
        </is>
      </c>
      <c r="G107" s="20" t="n">
        <v>1</v>
      </c>
      <c r="H107" s="16">
        <f>'00_TONG_HOP_BAO_GIA'!G50</f>
        <v/>
      </c>
      <c r="I107" s="21">
        <f>G107*H107</f>
        <v/>
      </c>
      <c r="J107" s="16">
        <f>IFERROR(INDEX('06_BANG_GIA_VAT_TU_AP_DUNG'!$E$1:$E$5000, MATCH(E107, '06_BANG_GIA_VAT_TU_AP_DUNG'!$B$1:$B$5000, 0)), 0)</f>
        <v/>
      </c>
      <c r="K107" s="16">
        <f>I107*J107</f>
        <v/>
      </c>
      <c r="L107" t="inlineStr">
        <is>
          <t>Cơ cấu đóng mở một chiều</t>
        </is>
      </c>
    </row>
    <row r="108">
      <c r="A108" t="inlineStr">
        <is>
          <t>SW-DAMPER-050-BODY</t>
        </is>
      </c>
      <c r="B108" t="inlineStr">
        <is>
          <t>SW-DAMPER-050</t>
        </is>
      </c>
      <c r="C108" t="inlineStr">
        <is>
          <t>Thân vỏ van NRD bích C30/TDF (1.15mm)</t>
        </is>
      </c>
      <c r="D108" t="inlineStr">
        <is>
          <t>TÔN_CUỘN_MẠ_KẼM</t>
        </is>
      </c>
      <c r="E108" t="inlineStr">
        <is>
          <t>MAT-STEEL-PN-1.15</t>
        </is>
      </c>
      <c r="F108" t="inlineStr">
        <is>
          <t>kg</t>
        </is>
      </c>
      <c r="G108" s="20" t="n">
        <v>10.61729546347295</v>
      </c>
      <c r="H108" s="16">
        <f>'00_TONG_HOP_BAO_GIA'!G51</f>
        <v/>
      </c>
      <c r="I108" s="21">
        <f>G108*H108</f>
        <v/>
      </c>
      <c r="J108" s="16">
        <f>IFERROR(INDEX('06_BANG_GIA_VAT_TU_AP_DUNG'!$E$1:$E$5000, MATCH(E108, '06_BANG_GIA_VAT_TU_AP_DUNG'!$B$1:$B$5000, 0)), 0)</f>
        <v/>
      </c>
      <c r="K108" s="16">
        <f>I108*J108</f>
        <v/>
      </c>
      <c r="L108" t="inlineStr">
        <is>
          <t>Kích thước vỏ 1200x400x210mm</t>
        </is>
      </c>
    </row>
    <row r="109">
      <c r="A109" t="inlineStr">
        <is>
          <t>SW-DAMPER-050-BLADE</t>
        </is>
      </c>
      <c r="B109" t="inlineStr">
        <is>
          <t>SW-DAMPER-050</t>
        </is>
      </c>
      <c r="C109" t="inlineStr">
        <is>
          <t>Lá cánh / Tôn tấm bọc van (3 cánh)</t>
        </is>
      </c>
      <c r="D109" t="inlineStr">
        <is>
          <t>TÔN_CUỘN_MẠ_KẼM</t>
        </is>
      </c>
      <c r="E109" t="inlineStr">
        <is>
          <t>MAT-STEEL-PN-0.75</t>
        </is>
      </c>
      <c r="F109" t="inlineStr">
        <is>
          <t>kg</t>
        </is>
      </c>
      <c r="G109" s="20" t="n">
        <v>4.333589985091002</v>
      </c>
      <c r="H109" s="16">
        <f>'00_TONG_HOP_BAO_GIA'!G51</f>
        <v/>
      </c>
      <c r="I109" s="21">
        <f>G109*H109</f>
        <v/>
      </c>
      <c r="J109" s="16">
        <f>IFERROR(INDEX('06_BANG_GIA_VAT_TU_AP_DUNG'!$E$1:$E$5000, MATCH(E109, '06_BANG_GIA_VAT_TU_AP_DUNG'!$B$1:$B$5000, 0)), 0)</f>
        <v/>
      </c>
      <c r="K109" s="16">
        <f>I109*J109</f>
        <v/>
      </c>
      <c r="L109" t="inlineStr">
        <is>
          <t>3 cánh cao 153mm</t>
        </is>
      </c>
    </row>
    <row r="110">
      <c r="A110" t="inlineStr">
        <is>
          <t>SW-DAMPER-050-AXLE</t>
        </is>
      </c>
      <c r="B110" t="inlineStr">
        <is>
          <t>SW-DAMPER-050</t>
        </is>
      </c>
      <c r="C110" t="inlineStr">
        <is>
          <t>Trục Sus 201 D10</t>
        </is>
      </c>
      <c r="D110" t="inlineStr">
        <is>
          <t>PHỤ_KIỆN_VAN</t>
        </is>
      </c>
      <c r="E110" t="inlineStr">
        <is>
          <t>MAT-DAMPER-TRUC-SUS-201-D10</t>
        </is>
      </c>
      <c r="F110" t="inlineStr">
        <is>
          <t>m</t>
        </is>
      </c>
      <c r="G110" s="20" t="n">
        <v>4.667086663533803</v>
      </c>
      <c r="H110" s="16">
        <f>'00_TONG_HOP_BAO_GIA'!G51</f>
        <v/>
      </c>
      <c r="I110" s="21">
        <f>G110*H110</f>
        <v/>
      </c>
      <c r="J110" s="16">
        <f>IFERROR(INDEX('06_BANG_GIA_VAT_TU_AP_DUNG'!$E$1:$E$5000, MATCH(E110, '06_BANG_GIA_VAT_TU_AP_DUNG'!$B$1:$B$5000, 0)), 0)</f>
        <v/>
      </c>
      <c r="K110" s="16">
        <f>I110*J110</f>
        <v/>
      </c>
      <c r="L110" t="inlineStr">
        <is>
          <t>3 trục dài 1260mm</t>
        </is>
      </c>
    </row>
    <row r="111">
      <c r="A111" t="inlineStr">
        <is>
          <t>SW-DAMPER-050-BEARING</t>
        </is>
      </c>
      <c r="B111" t="inlineStr">
        <is>
          <t>SW-DAMPER-050</t>
        </is>
      </c>
      <c r="C111" t="inlineStr">
        <is>
          <t>Bạc đồng D10</t>
        </is>
      </c>
      <c r="D111" t="inlineStr">
        <is>
          <t>PHỤ_KIỆN_VAN</t>
        </is>
      </c>
      <c r="E111" t="inlineStr">
        <is>
          <t>MAT-DAMPER-BAC-DONG-D10</t>
        </is>
      </c>
      <c r="F111" t="inlineStr">
        <is>
          <t>Đôi</t>
        </is>
      </c>
      <c r="G111" s="20" t="n">
        <v>3</v>
      </c>
      <c r="H111" s="16">
        <f>'00_TONG_HOP_BAO_GIA'!G51</f>
        <v/>
      </c>
      <c r="I111" s="21">
        <f>G111*H111</f>
        <v/>
      </c>
      <c r="J111" s="16">
        <f>IFERROR(INDEX('06_BANG_GIA_VAT_TU_AP_DUNG'!$E$1:$E$5000, MATCH(E111, '06_BANG_GIA_VAT_TU_AP_DUNG'!$B$1:$B$5000, 0)), 0)</f>
        <v/>
      </c>
      <c r="K111" s="16">
        <f>I111*J111</f>
        <v/>
      </c>
      <c r="L111" t="inlineStr">
        <is>
          <t>3 đôi bạc đỡ 2 bên thân</t>
        </is>
      </c>
    </row>
    <row r="112">
      <c r="A112" t="inlineStr">
        <is>
          <t>SW-DAMPER-050-GEAR</t>
        </is>
      </c>
      <c r="B112" t="inlineStr">
        <is>
          <t>SW-DAMPER-050</t>
        </is>
      </c>
      <c r="C112" t="inlineStr">
        <is>
          <t>Bánh răng van nhôm</t>
        </is>
      </c>
      <c r="D112" t="inlineStr">
        <is>
          <t>PHỤ_KIỆN_VAN</t>
        </is>
      </c>
      <c r="E112" t="inlineStr">
        <is>
          <t>MAT-DAMPER-BANH-RANG-VAN-NHOM</t>
        </is>
      </c>
      <c r="F112" t="inlineStr">
        <is>
          <t>Bộ</t>
        </is>
      </c>
      <c r="G112" s="20" t="n">
        <v>1</v>
      </c>
      <c r="H112" s="16">
        <f>'00_TONG_HOP_BAO_GIA'!G51</f>
        <v/>
      </c>
      <c r="I112" s="21">
        <f>G112*H112</f>
        <v/>
      </c>
      <c r="J112" s="16">
        <f>IFERROR(INDEX('06_BANG_GIA_VAT_TU_AP_DUNG'!$E$1:$E$5000, MATCH(E112, '06_BANG_GIA_VAT_TU_AP_DUNG'!$B$1:$B$5000, 0)), 0)</f>
        <v/>
      </c>
      <c r="K112" s="16">
        <f>I112*J112</f>
        <v/>
      </c>
      <c r="L112" t="inlineStr">
        <is>
          <t>Cơ cấu liên động cánh (1 bộ)</t>
        </is>
      </c>
    </row>
    <row r="113">
      <c r="A113" t="inlineStr">
        <is>
          <t>SW-DAMPER-050-ECCENTRIC</t>
        </is>
      </c>
      <c r="B113" t="inlineStr">
        <is>
          <t>SW-DAMPER-050</t>
        </is>
      </c>
      <c r="C113" t="inlineStr">
        <is>
          <t>Cơ cấu lệch tâm / Lò xo đóng mở (NRD)</t>
        </is>
      </c>
      <c r="D113" t="inlineStr">
        <is>
          <t>PHỤ_KIỆN_VAN</t>
        </is>
      </c>
      <c r="E113" t="inlineStr">
        <is>
          <t>ECCENTRIC_SHAFT</t>
        </is>
      </c>
      <c r="F113" t="inlineStr">
        <is>
          <t>Bộ</t>
        </is>
      </c>
      <c r="G113" s="20" t="n">
        <v>1</v>
      </c>
      <c r="H113" s="16">
        <f>'00_TONG_HOP_BAO_GIA'!G51</f>
        <v/>
      </c>
      <c r="I113" s="21">
        <f>G113*H113</f>
        <v/>
      </c>
      <c r="J113" s="16">
        <f>IFERROR(INDEX('06_BANG_GIA_VAT_TU_AP_DUNG'!$E$1:$E$5000, MATCH(E113, '06_BANG_GIA_VAT_TU_AP_DUNG'!$B$1:$B$5000, 0)), 0)</f>
        <v/>
      </c>
      <c r="K113" s="16">
        <f>I113*J113</f>
        <v/>
      </c>
      <c r="L113" t="inlineStr">
        <is>
          <t>Cơ cấu đóng mở một chiều</t>
        </is>
      </c>
    </row>
    <row r="114">
      <c r="A114" t="inlineStr">
        <is>
          <t>SW-DAMPER-051-BODY</t>
        </is>
      </c>
      <c r="B114" t="inlineStr">
        <is>
          <t>SW-DAMPER-051</t>
        </is>
      </c>
      <c r="C114" t="inlineStr">
        <is>
          <t>Thân vỏ van NRD bích C30/TDF (1.15mm)</t>
        </is>
      </c>
      <c r="D114" t="inlineStr">
        <is>
          <t>TÔN_CUỘN_MẠ_KẼM</t>
        </is>
      </c>
      <c r="E114" t="inlineStr">
        <is>
          <t>MAT-STEEL-PN-1.15</t>
        </is>
      </c>
      <c r="F114" t="inlineStr">
        <is>
          <t>kg</t>
        </is>
      </c>
      <c r="G114" s="20" t="n">
        <v>11.1159943510536</v>
      </c>
      <c r="H114" s="16">
        <f>'00_TONG_HOP_BAO_GIA'!G52</f>
        <v/>
      </c>
      <c r="I114" s="21">
        <f>G114*H114</f>
        <v/>
      </c>
      <c r="J114" s="16">
        <f>IFERROR(INDEX('06_BANG_GIA_VAT_TU_AP_DUNG'!$E$1:$E$5000, MATCH(E114, '06_BANG_GIA_VAT_TU_AP_DUNG'!$B$1:$B$5000, 0)), 0)</f>
        <v/>
      </c>
      <c r="K114" s="16">
        <f>I114*J114</f>
        <v/>
      </c>
      <c r="L114" t="inlineStr">
        <is>
          <t>Kích thước vỏ 1200x450x210mm</t>
        </is>
      </c>
    </row>
    <row r="115">
      <c r="A115" t="inlineStr">
        <is>
          <t>SW-DAMPER-051-BLADE</t>
        </is>
      </c>
      <c r="B115" t="inlineStr">
        <is>
          <t>SW-DAMPER-051</t>
        </is>
      </c>
      <c r="C115" t="inlineStr">
        <is>
          <t>Lá cánh / Tôn tấm bọc van (3 cánh)</t>
        </is>
      </c>
      <c r="D115" t="inlineStr">
        <is>
          <t>TÔN_CUỘN_MẠ_KẼM</t>
        </is>
      </c>
      <c r="E115" t="inlineStr">
        <is>
          <t>MAT-STEEL-PN-0.75</t>
        </is>
      </c>
      <c r="F115" t="inlineStr">
        <is>
          <t>kg</t>
        </is>
      </c>
      <c r="G115" s="20" t="n">
        <v>4.879699978662278</v>
      </c>
      <c r="H115" s="16">
        <f>'00_TONG_HOP_BAO_GIA'!G52</f>
        <v/>
      </c>
      <c r="I115" s="21">
        <f>G115*H115</f>
        <v/>
      </c>
      <c r="J115" s="16">
        <f>IFERROR(INDEX('06_BANG_GIA_VAT_TU_AP_DUNG'!$E$1:$E$5000, MATCH(E115, '06_BANG_GIA_VAT_TU_AP_DUNG'!$B$1:$B$5000, 0)), 0)</f>
        <v/>
      </c>
      <c r="K115" s="16">
        <f>I115*J115</f>
        <v/>
      </c>
      <c r="L115" t="inlineStr">
        <is>
          <t>3 cánh cao 170mm</t>
        </is>
      </c>
    </row>
    <row r="116">
      <c r="A116" t="inlineStr">
        <is>
          <t>SW-DAMPER-051-AXLE</t>
        </is>
      </c>
      <c r="B116" t="inlineStr">
        <is>
          <t>SW-DAMPER-051</t>
        </is>
      </c>
      <c r="C116" t="inlineStr">
        <is>
          <t>Trục Sus 201 D10</t>
        </is>
      </c>
      <c r="D116" t="inlineStr">
        <is>
          <t>PHỤ_KIỆN_VAN</t>
        </is>
      </c>
      <c r="E116" t="inlineStr">
        <is>
          <t>MAT-DAMPER-TRUC-SUS-201-D10</t>
        </is>
      </c>
      <c r="F116" t="inlineStr">
        <is>
          <t>m</t>
        </is>
      </c>
      <c r="G116" s="20" t="n">
        <v>4.740005252436889</v>
      </c>
      <c r="H116" s="16">
        <f>'00_TONG_HOP_BAO_GIA'!G52</f>
        <v/>
      </c>
      <c r="I116" s="21">
        <f>G116*H116</f>
        <v/>
      </c>
      <c r="J116" s="16">
        <f>IFERROR(INDEX('06_BANG_GIA_VAT_TU_AP_DUNG'!$E$1:$E$5000, MATCH(E116, '06_BANG_GIA_VAT_TU_AP_DUNG'!$B$1:$B$5000, 0)), 0)</f>
        <v/>
      </c>
      <c r="K116" s="16">
        <f>I116*J116</f>
        <v/>
      </c>
      <c r="L116" t="inlineStr">
        <is>
          <t>3 trục dài 1260mm</t>
        </is>
      </c>
    </row>
    <row r="117">
      <c r="A117" t="inlineStr">
        <is>
          <t>SW-DAMPER-051-BEARING</t>
        </is>
      </c>
      <c r="B117" t="inlineStr">
        <is>
          <t>SW-DAMPER-051</t>
        </is>
      </c>
      <c r="C117" t="inlineStr">
        <is>
          <t>Bạc đồng D10</t>
        </is>
      </c>
      <c r="D117" t="inlineStr">
        <is>
          <t>PHỤ_KIỆN_VAN</t>
        </is>
      </c>
      <c r="E117" t="inlineStr">
        <is>
          <t>MAT-DAMPER-BAC-DONG-D10</t>
        </is>
      </c>
      <c r="F117" t="inlineStr">
        <is>
          <t>Đôi</t>
        </is>
      </c>
      <c r="G117" s="20" t="n">
        <v>3</v>
      </c>
      <c r="H117" s="16">
        <f>'00_TONG_HOP_BAO_GIA'!G52</f>
        <v/>
      </c>
      <c r="I117" s="21">
        <f>G117*H117</f>
        <v/>
      </c>
      <c r="J117" s="16">
        <f>IFERROR(INDEX('06_BANG_GIA_VAT_TU_AP_DUNG'!$E$1:$E$5000, MATCH(E117, '06_BANG_GIA_VAT_TU_AP_DUNG'!$B$1:$B$5000, 0)), 0)</f>
        <v/>
      </c>
      <c r="K117" s="16">
        <f>I117*J117</f>
        <v/>
      </c>
      <c r="L117" t="inlineStr">
        <is>
          <t>3 đôi bạc đỡ 2 bên thân</t>
        </is>
      </c>
    </row>
    <row r="118">
      <c r="A118" t="inlineStr">
        <is>
          <t>SW-DAMPER-051-GEAR</t>
        </is>
      </c>
      <c r="B118" t="inlineStr">
        <is>
          <t>SW-DAMPER-051</t>
        </is>
      </c>
      <c r="C118" t="inlineStr">
        <is>
          <t>Bánh răng van nhôm</t>
        </is>
      </c>
      <c r="D118" t="inlineStr">
        <is>
          <t>PHỤ_KIỆN_VAN</t>
        </is>
      </c>
      <c r="E118" t="inlineStr">
        <is>
          <t>MAT-DAMPER-BANH-RANG-VAN-NHOM</t>
        </is>
      </c>
      <c r="F118" t="inlineStr">
        <is>
          <t>Bộ</t>
        </is>
      </c>
      <c r="G118" s="20" t="n">
        <v>1</v>
      </c>
      <c r="H118" s="16">
        <f>'00_TONG_HOP_BAO_GIA'!G52</f>
        <v/>
      </c>
      <c r="I118" s="21">
        <f>G118*H118</f>
        <v/>
      </c>
      <c r="J118" s="16">
        <f>IFERROR(INDEX('06_BANG_GIA_VAT_TU_AP_DUNG'!$E$1:$E$5000, MATCH(E118, '06_BANG_GIA_VAT_TU_AP_DUNG'!$B$1:$B$5000, 0)), 0)</f>
        <v/>
      </c>
      <c r="K118" s="16">
        <f>I118*J118</f>
        <v/>
      </c>
      <c r="L118" t="inlineStr">
        <is>
          <t>Cơ cấu liên động cánh (1 bộ)</t>
        </is>
      </c>
    </row>
    <row r="119">
      <c r="A119" t="inlineStr">
        <is>
          <t>SW-DAMPER-051-ECCENTRIC</t>
        </is>
      </c>
      <c r="B119" t="inlineStr">
        <is>
          <t>SW-DAMPER-051</t>
        </is>
      </c>
      <c r="C119" t="inlineStr">
        <is>
          <t>Cơ cấu lệch tâm / Lò xo đóng mở (NRD)</t>
        </is>
      </c>
      <c r="D119" t="inlineStr">
        <is>
          <t>PHỤ_KIỆN_VAN</t>
        </is>
      </c>
      <c r="E119" t="inlineStr">
        <is>
          <t>ECCENTRIC_SHAFT</t>
        </is>
      </c>
      <c r="F119" t="inlineStr">
        <is>
          <t>Bộ</t>
        </is>
      </c>
      <c r="G119" s="20" t="n">
        <v>1</v>
      </c>
      <c r="H119" s="16">
        <f>'00_TONG_HOP_BAO_GIA'!G52</f>
        <v/>
      </c>
      <c r="I119" s="21">
        <f>G119*H119</f>
        <v/>
      </c>
      <c r="J119" s="16">
        <f>IFERROR(INDEX('06_BANG_GIA_VAT_TU_AP_DUNG'!$E$1:$E$5000, MATCH(E119, '06_BANG_GIA_VAT_TU_AP_DUNG'!$B$1:$B$5000, 0)), 0)</f>
        <v/>
      </c>
      <c r="K119" s="16">
        <f>I119*J119</f>
        <v/>
      </c>
      <c r="L119" t="inlineStr">
        <is>
          <t>Cơ cấu đóng mở một chiều</t>
        </is>
      </c>
    </row>
    <row r="120">
      <c r="A120" t="inlineStr">
        <is>
          <t>SW-DAMPER-052-BODY</t>
        </is>
      </c>
      <c r="B120" t="inlineStr">
        <is>
          <t>SW-DAMPER-052</t>
        </is>
      </c>
      <c r="C120" t="inlineStr">
        <is>
          <t>Thân vỏ van NRD bích C30/TDF (1.15mm)</t>
        </is>
      </c>
      <c r="D120" t="inlineStr">
        <is>
          <t>TÔN_CUỘN_MẠ_KẼM</t>
        </is>
      </c>
      <c r="E120" t="inlineStr">
        <is>
          <t>MAT-STEEL-PN-1.15</t>
        </is>
      </c>
      <c r="F120" t="inlineStr">
        <is>
          <t>kg</t>
        </is>
      </c>
      <c r="G120" s="20" t="n">
        <v>11.61458010666438</v>
      </c>
      <c r="H120" s="16">
        <f>'00_TONG_HOP_BAO_GIA'!G53</f>
        <v/>
      </c>
      <c r="I120" s="21">
        <f>G120*H120</f>
        <v/>
      </c>
      <c r="J120" s="16">
        <f>IFERROR(INDEX('06_BANG_GIA_VAT_TU_AP_DUNG'!$E$1:$E$5000, MATCH(E120, '06_BANG_GIA_VAT_TU_AP_DUNG'!$B$1:$B$5000, 0)), 0)</f>
        <v/>
      </c>
      <c r="K120" s="16">
        <f>I120*J120</f>
        <v/>
      </c>
      <c r="L120" t="inlineStr">
        <is>
          <t>Kích thước vỏ 1200x500x210mm</t>
        </is>
      </c>
    </row>
    <row r="121">
      <c r="A121" t="inlineStr">
        <is>
          <t>SW-DAMPER-052-BLADE</t>
        </is>
      </c>
      <c r="B121" t="inlineStr">
        <is>
          <t>SW-DAMPER-052</t>
        </is>
      </c>
      <c r="C121" t="inlineStr">
        <is>
          <t>Lá cánh / Tôn tấm bọc van (3 cánh)</t>
        </is>
      </c>
      <c r="D121" t="inlineStr">
        <is>
          <t>TÔN_CUỘN_MẠ_KẼM</t>
        </is>
      </c>
      <c r="E121" t="inlineStr">
        <is>
          <t>MAT-STEEL-PN-0.75</t>
        </is>
      </c>
      <c r="F121" t="inlineStr">
        <is>
          <t>kg</t>
        </is>
      </c>
      <c r="G121" s="20" t="n">
        <v>5.435683886406556</v>
      </c>
      <c r="H121" s="16">
        <f>'00_TONG_HOP_BAO_GIA'!G53</f>
        <v/>
      </c>
      <c r="I121" s="21">
        <f>G121*H121</f>
        <v/>
      </c>
      <c r="J121" s="16">
        <f>IFERROR(INDEX('06_BANG_GIA_VAT_TU_AP_DUNG'!$E$1:$E$5000, MATCH(E121, '06_BANG_GIA_VAT_TU_AP_DUNG'!$B$1:$B$5000, 0)), 0)</f>
        <v/>
      </c>
      <c r="K121" s="16">
        <f>I121*J121</f>
        <v/>
      </c>
      <c r="L121" t="inlineStr">
        <is>
          <t>3 cánh cao 187mm</t>
        </is>
      </c>
    </row>
    <row r="122">
      <c r="A122" t="inlineStr">
        <is>
          <t>SW-DAMPER-052-AXLE</t>
        </is>
      </c>
      <c r="B122" t="inlineStr">
        <is>
          <t>SW-DAMPER-052</t>
        </is>
      </c>
      <c r="C122" t="inlineStr">
        <is>
          <t>Trục Sus 201 D10</t>
        </is>
      </c>
      <c r="D122" t="inlineStr">
        <is>
          <t>PHỤ_KIỆN_VAN</t>
        </is>
      </c>
      <c r="E122" t="inlineStr">
        <is>
          <t>MAT-DAMPER-TRUC-SUS-201-D10</t>
        </is>
      </c>
      <c r="F122" t="inlineStr">
        <is>
          <t>m</t>
        </is>
      </c>
      <c r="G122" s="20" t="n">
        <v>4.808637549899644</v>
      </c>
      <c r="H122" s="16">
        <f>'00_TONG_HOP_BAO_GIA'!G53</f>
        <v/>
      </c>
      <c r="I122" s="21">
        <f>G122*H122</f>
        <v/>
      </c>
      <c r="J122" s="16">
        <f>IFERROR(INDEX('06_BANG_GIA_VAT_TU_AP_DUNG'!$E$1:$E$5000, MATCH(E122, '06_BANG_GIA_VAT_TU_AP_DUNG'!$B$1:$B$5000, 0)), 0)</f>
        <v/>
      </c>
      <c r="K122" s="16">
        <f>I122*J122</f>
        <v/>
      </c>
      <c r="L122" t="inlineStr">
        <is>
          <t>3 trục dài 1260mm</t>
        </is>
      </c>
    </row>
    <row r="123">
      <c r="A123" t="inlineStr">
        <is>
          <t>SW-DAMPER-052-BEARING</t>
        </is>
      </c>
      <c r="B123" t="inlineStr">
        <is>
          <t>SW-DAMPER-052</t>
        </is>
      </c>
      <c r="C123" t="inlineStr">
        <is>
          <t>Bạc đồng D10</t>
        </is>
      </c>
      <c r="D123" t="inlineStr">
        <is>
          <t>PHỤ_KIỆN_VAN</t>
        </is>
      </c>
      <c r="E123" t="inlineStr">
        <is>
          <t>MAT-DAMPER-BAC-DONG-D10</t>
        </is>
      </c>
      <c r="F123" t="inlineStr">
        <is>
          <t>Đôi</t>
        </is>
      </c>
      <c r="G123" s="20" t="n">
        <v>3</v>
      </c>
      <c r="H123" s="16">
        <f>'00_TONG_HOP_BAO_GIA'!G53</f>
        <v/>
      </c>
      <c r="I123" s="21">
        <f>G123*H123</f>
        <v/>
      </c>
      <c r="J123" s="16">
        <f>IFERROR(INDEX('06_BANG_GIA_VAT_TU_AP_DUNG'!$E$1:$E$5000, MATCH(E123, '06_BANG_GIA_VAT_TU_AP_DUNG'!$B$1:$B$5000, 0)), 0)</f>
        <v/>
      </c>
      <c r="K123" s="16">
        <f>I123*J123</f>
        <v/>
      </c>
      <c r="L123" t="inlineStr">
        <is>
          <t>3 đôi bạc đỡ 2 bên thân</t>
        </is>
      </c>
    </row>
    <row r="124">
      <c r="A124" t="inlineStr">
        <is>
          <t>SW-DAMPER-052-GEAR</t>
        </is>
      </c>
      <c r="B124" t="inlineStr">
        <is>
          <t>SW-DAMPER-052</t>
        </is>
      </c>
      <c r="C124" t="inlineStr">
        <is>
          <t>Bánh răng van nhôm</t>
        </is>
      </c>
      <c r="D124" t="inlineStr">
        <is>
          <t>PHỤ_KIỆN_VAN</t>
        </is>
      </c>
      <c r="E124" t="inlineStr">
        <is>
          <t>MAT-DAMPER-BANH-RANG-VAN-NHOM</t>
        </is>
      </c>
      <c r="F124" t="inlineStr">
        <is>
          <t>Bộ</t>
        </is>
      </c>
      <c r="G124" s="20" t="n">
        <v>1</v>
      </c>
      <c r="H124" s="16">
        <f>'00_TONG_HOP_BAO_GIA'!G53</f>
        <v/>
      </c>
      <c r="I124" s="21">
        <f>G124*H124</f>
        <v/>
      </c>
      <c r="J124" s="16">
        <f>IFERROR(INDEX('06_BANG_GIA_VAT_TU_AP_DUNG'!$E$1:$E$5000, MATCH(E124, '06_BANG_GIA_VAT_TU_AP_DUNG'!$B$1:$B$5000, 0)), 0)</f>
        <v/>
      </c>
      <c r="K124" s="16">
        <f>I124*J124</f>
        <v/>
      </c>
      <c r="L124" t="inlineStr">
        <is>
          <t>Cơ cấu liên động cánh (1 bộ)</t>
        </is>
      </c>
    </row>
    <row r="125">
      <c r="A125" t="inlineStr">
        <is>
          <t>SW-DAMPER-052-ECCENTRIC</t>
        </is>
      </c>
      <c r="B125" t="inlineStr">
        <is>
          <t>SW-DAMPER-052</t>
        </is>
      </c>
      <c r="C125" t="inlineStr">
        <is>
          <t>Cơ cấu lệch tâm / Lò xo đóng mở (NRD)</t>
        </is>
      </c>
      <c r="D125" t="inlineStr">
        <is>
          <t>PHỤ_KIỆN_VAN</t>
        </is>
      </c>
      <c r="E125" t="inlineStr">
        <is>
          <t>ECCENTRIC_SHAFT</t>
        </is>
      </c>
      <c r="F125" t="inlineStr">
        <is>
          <t>Bộ</t>
        </is>
      </c>
      <c r="G125" s="20" t="n">
        <v>1</v>
      </c>
      <c r="H125" s="16">
        <f>'00_TONG_HOP_BAO_GIA'!G53</f>
        <v/>
      </c>
      <c r="I125" s="21">
        <f>G125*H125</f>
        <v/>
      </c>
      <c r="J125" s="16">
        <f>IFERROR(INDEX('06_BANG_GIA_VAT_TU_AP_DUNG'!$E$1:$E$5000, MATCH(E125, '06_BANG_GIA_VAT_TU_AP_DUNG'!$B$1:$B$5000, 0)), 0)</f>
        <v/>
      </c>
      <c r="K125" s="16">
        <f>I125*J125</f>
        <v/>
      </c>
      <c r="L125" t="inlineStr">
        <is>
          <t>Cơ cấu đóng mở một chiều</t>
        </is>
      </c>
    </row>
    <row r="126">
      <c r="A126" t="inlineStr">
        <is>
          <t>SW-DAMPER-053-BODY</t>
        </is>
      </c>
      <c r="B126" t="inlineStr">
        <is>
          <t>SW-DAMPER-053</t>
        </is>
      </c>
      <c r="C126" t="inlineStr">
        <is>
          <t>Thân vỏ van NRD bích C30/TDF (1.15mm)</t>
        </is>
      </c>
      <c r="D126" t="inlineStr">
        <is>
          <t>TÔN_CUỘN_MẠ_KẼM</t>
        </is>
      </c>
      <c r="E126" t="inlineStr">
        <is>
          <t>MAT-STEEL-PN-1.15</t>
        </is>
      </c>
      <c r="F126" t="inlineStr">
        <is>
          <t>kg</t>
        </is>
      </c>
      <c r="G126" s="20" t="n">
        <v>10.56523641638746</v>
      </c>
      <c r="H126" s="16">
        <f>'00_TONG_HOP_BAO_GIA'!G54</f>
        <v/>
      </c>
      <c r="I126" s="21">
        <f>G126*H126</f>
        <v/>
      </c>
      <c r="J126" s="16">
        <f>IFERROR(INDEX('06_BANG_GIA_VAT_TU_AP_DUNG'!$E$1:$E$5000, MATCH(E126, '06_BANG_GIA_VAT_TU_AP_DUNG'!$B$1:$B$5000, 0)), 0)</f>
        <v/>
      </c>
      <c r="K126" s="16">
        <f>I126*J126</f>
        <v/>
      </c>
      <c r="L126" t="inlineStr">
        <is>
          <t>Kích thước vỏ 1200x550x210mm</t>
        </is>
      </c>
    </row>
    <row r="127">
      <c r="A127" t="inlineStr">
        <is>
          <t>SW-DAMPER-053-BLADE</t>
        </is>
      </c>
      <c r="B127" t="inlineStr">
        <is>
          <t>SW-DAMPER-053</t>
        </is>
      </c>
      <c r="C127" t="inlineStr">
        <is>
          <t>Lá cánh / Tôn tấm bọc van (4 cánh)</t>
        </is>
      </c>
      <c r="D127" t="inlineStr">
        <is>
          <t>TÔN_CUỘN_MẠ_KẼM</t>
        </is>
      </c>
      <c r="E127" t="inlineStr">
        <is>
          <t>MAT-STEEL-PN-0.75</t>
        </is>
      </c>
      <c r="F127" t="inlineStr">
        <is>
          <t>kg</t>
        </is>
      </c>
      <c r="G127" s="20" t="n">
        <v>5.405521526859992</v>
      </c>
      <c r="H127" s="16">
        <f>'00_TONG_HOP_BAO_GIA'!G54</f>
        <v/>
      </c>
      <c r="I127" s="21">
        <f>G127*H127</f>
        <v/>
      </c>
      <c r="J127" s="16">
        <f>IFERROR(INDEX('06_BANG_GIA_VAT_TU_AP_DUNG'!$E$1:$E$5000, MATCH(E127, '06_BANG_GIA_VAT_TU_AP_DUNG'!$B$1:$B$5000, 0)), 0)</f>
        <v/>
      </c>
      <c r="K127" s="16">
        <f>I127*J127</f>
        <v/>
      </c>
      <c r="L127" t="inlineStr">
        <is>
          <t>4 cánh cao 158mm</t>
        </is>
      </c>
    </row>
    <row r="128">
      <c r="A128" t="inlineStr">
        <is>
          <t>SW-DAMPER-053-AXLE</t>
        </is>
      </c>
      <c r="B128" t="inlineStr">
        <is>
          <t>SW-DAMPER-053</t>
        </is>
      </c>
      <c r="C128" t="inlineStr">
        <is>
          <t>Trục Sus 201 D10</t>
        </is>
      </c>
      <c r="D128" t="inlineStr">
        <is>
          <t>PHỤ_KIỆN_VAN</t>
        </is>
      </c>
      <c r="E128" t="inlineStr">
        <is>
          <t>MAT-DAMPER-TRUC-SUS-201-D10</t>
        </is>
      </c>
      <c r="F128" t="inlineStr">
        <is>
          <t>m</t>
        </is>
      </c>
      <c r="G128" s="20" t="n">
        <v>5.66750179744698</v>
      </c>
      <c r="H128" s="16">
        <f>'00_TONG_HOP_BAO_GIA'!G54</f>
        <v/>
      </c>
      <c r="I128" s="21">
        <f>G128*H128</f>
        <v/>
      </c>
      <c r="J128" s="16">
        <f>IFERROR(INDEX('06_BANG_GIA_VAT_TU_AP_DUNG'!$E$1:$E$5000, MATCH(E128, '06_BANG_GIA_VAT_TU_AP_DUNG'!$B$1:$B$5000, 0)), 0)</f>
        <v/>
      </c>
      <c r="K128" s="16">
        <f>I128*J128</f>
        <v/>
      </c>
      <c r="L128" t="inlineStr">
        <is>
          <t>4 trục dài 1260mm</t>
        </is>
      </c>
    </row>
    <row r="129">
      <c r="A129" t="inlineStr">
        <is>
          <t>SW-DAMPER-053-BEARING</t>
        </is>
      </c>
      <c r="B129" t="inlineStr">
        <is>
          <t>SW-DAMPER-053</t>
        </is>
      </c>
      <c r="C129" t="inlineStr">
        <is>
          <t>Bạc đồng D10</t>
        </is>
      </c>
      <c r="D129" t="inlineStr">
        <is>
          <t>PHỤ_KIỆN_VAN</t>
        </is>
      </c>
      <c r="E129" t="inlineStr">
        <is>
          <t>MAT-DAMPER-BAC-DONG-D10</t>
        </is>
      </c>
      <c r="F129" t="inlineStr">
        <is>
          <t>Đôi</t>
        </is>
      </c>
      <c r="G129" s="20" t="n">
        <v>4</v>
      </c>
      <c r="H129" s="16">
        <f>'00_TONG_HOP_BAO_GIA'!G54</f>
        <v/>
      </c>
      <c r="I129" s="21">
        <f>G129*H129</f>
        <v/>
      </c>
      <c r="J129" s="16">
        <f>IFERROR(INDEX('06_BANG_GIA_VAT_TU_AP_DUNG'!$E$1:$E$5000, MATCH(E129, '06_BANG_GIA_VAT_TU_AP_DUNG'!$B$1:$B$5000, 0)), 0)</f>
        <v/>
      </c>
      <c r="K129" s="16">
        <f>I129*J129</f>
        <v/>
      </c>
      <c r="L129" t="inlineStr">
        <is>
          <t>4 đôi bạc đỡ 2 bên thân</t>
        </is>
      </c>
    </row>
    <row r="130">
      <c r="A130" t="inlineStr">
        <is>
          <t>SW-DAMPER-053-GEAR</t>
        </is>
      </c>
      <c r="B130" t="inlineStr">
        <is>
          <t>SW-DAMPER-053</t>
        </is>
      </c>
      <c r="C130" t="inlineStr">
        <is>
          <t>Bánh răng van nhôm</t>
        </is>
      </c>
      <c r="D130" t="inlineStr">
        <is>
          <t>PHỤ_KIỆN_VAN</t>
        </is>
      </c>
      <c r="E130" t="inlineStr">
        <is>
          <t>MAT-DAMPER-BANH-RANG-VAN-NHOM</t>
        </is>
      </c>
      <c r="F130" t="inlineStr">
        <is>
          <t>Bộ</t>
        </is>
      </c>
      <c r="G130" s="20" t="n">
        <v>1</v>
      </c>
      <c r="H130" s="16">
        <f>'00_TONG_HOP_BAO_GIA'!G54</f>
        <v/>
      </c>
      <c r="I130" s="21">
        <f>G130*H130</f>
        <v/>
      </c>
      <c r="J130" s="16">
        <f>IFERROR(INDEX('06_BANG_GIA_VAT_TU_AP_DUNG'!$E$1:$E$5000, MATCH(E130, '06_BANG_GIA_VAT_TU_AP_DUNG'!$B$1:$B$5000, 0)), 0)</f>
        <v/>
      </c>
      <c r="K130" s="16">
        <f>I130*J130</f>
        <v/>
      </c>
      <c r="L130" t="inlineStr">
        <is>
          <t>Cơ cấu liên động cánh (1 bộ)</t>
        </is>
      </c>
    </row>
    <row r="131">
      <c r="A131" t="inlineStr">
        <is>
          <t>SW-DAMPER-053-ECCENTRIC</t>
        </is>
      </c>
      <c r="B131" t="inlineStr">
        <is>
          <t>SW-DAMPER-053</t>
        </is>
      </c>
      <c r="C131" t="inlineStr">
        <is>
          <t>Cơ cấu lệch tâm / Lò xo đóng mở (NRD)</t>
        </is>
      </c>
      <c r="D131" t="inlineStr">
        <is>
          <t>PHỤ_KIỆN_VAN</t>
        </is>
      </c>
      <c r="E131" t="inlineStr">
        <is>
          <t>ECCENTRIC_SHAFT</t>
        </is>
      </c>
      <c r="F131" t="inlineStr">
        <is>
          <t>Bộ</t>
        </is>
      </c>
      <c r="G131" s="20" t="n">
        <v>1</v>
      </c>
      <c r="H131" s="16">
        <f>'00_TONG_HOP_BAO_GIA'!G54</f>
        <v/>
      </c>
      <c r="I131" s="21">
        <f>G131*H131</f>
        <v/>
      </c>
      <c r="J131" s="16">
        <f>IFERROR(INDEX('06_BANG_GIA_VAT_TU_AP_DUNG'!$E$1:$E$5000, MATCH(E131, '06_BANG_GIA_VAT_TU_AP_DUNG'!$B$1:$B$5000, 0)), 0)</f>
        <v/>
      </c>
      <c r="K131" s="16">
        <f>I131*J131</f>
        <v/>
      </c>
      <c r="L131" t="inlineStr">
        <is>
          <t>Cơ cấu đóng mở một chiều</t>
        </is>
      </c>
    </row>
    <row r="132">
      <c r="A132" t="inlineStr">
        <is>
          <t>SW-DAMPER-054-BODY</t>
        </is>
      </c>
      <c r="B132" t="inlineStr">
        <is>
          <t>SW-DAMPER-054</t>
        </is>
      </c>
      <c r="C132" t="inlineStr">
        <is>
          <t>Thân vỏ van NRD bích C30/TDF (1.15mm)</t>
        </is>
      </c>
      <c r="D132" t="inlineStr">
        <is>
          <t>TÔN_CUỘN_MẠ_KẼM</t>
        </is>
      </c>
      <c r="E132" t="inlineStr">
        <is>
          <t>MAT-STEEL-PN-1.15</t>
        </is>
      </c>
      <c r="F132" t="inlineStr">
        <is>
          <t>kg</t>
        </is>
      </c>
      <c r="G132" s="20" t="n">
        <v>11.04053665736497</v>
      </c>
      <c r="H132" s="16">
        <f>'00_TONG_HOP_BAO_GIA'!G55</f>
        <v/>
      </c>
      <c r="I132" s="21">
        <f>G132*H132</f>
        <v/>
      </c>
      <c r="J132" s="16">
        <f>IFERROR(INDEX('06_BANG_GIA_VAT_TU_AP_DUNG'!$E$1:$E$5000, MATCH(E132, '06_BANG_GIA_VAT_TU_AP_DUNG'!$B$1:$B$5000, 0)), 0)</f>
        <v/>
      </c>
      <c r="K132" s="16">
        <f>I132*J132</f>
        <v/>
      </c>
      <c r="L132" t="inlineStr">
        <is>
          <t>Kích thước vỏ 1200x600x210mm</t>
        </is>
      </c>
    </row>
    <row r="133">
      <c r="A133" t="inlineStr">
        <is>
          <t>SW-DAMPER-054-BLADE</t>
        </is>
      </c>
      <c r="B133" t="inlineStr">
        <is>
          <t>SW-DAMPER-054</t>
        </is>
      </c>
      <c r="C133" t="inlineStr">
        <is>
          <t>Lá cánh / Tôn tấm bọc van (4 cánh)</t>
        </is>
      </c>
      <c r="D133" t="inlineStr">
        <is>
          <t>TÔN_CUỘN_MẠ_KẼM</t>
        </is>
      </c>
      <c r="E133" t="inlineStr">
        <is>
          <t>MAT-STEEL-PN-0.75</t>
        </is>
      </c>
      <c r="F133" t="inlineStr">
        <is>
          <t>kg</t>
        </is>
      </c>
      <c r="G133" s="20" t="n">
        <v>5.929510019673573</v>
      </c>
      <c r="H133" s="16">
        <f>'00_TONG_HOP_BAO_GIA'!G55</f>
        <v/>
      </c>
      <c r="I133" s="21">
        <f>G133*H133</f>
        <v/>
      </c>
      <c r="J133" s="16">
        <f>IFERROR(INDEX('06_BANG_GIA_VAT_TU_AP_DUNG'!$E$1:$E$5000, MATCH(E133, '06_BANG_GIA_VAT_TU_AP_DUNG'!$B$1:$B$5000, 0)), 0)</f>
        <v/>
      </c>
      <c r="K133" s="16">
        <f>I133*J133</f>
        <v/>
      </c>
      <c r="L133" t="inlineStr">
        <is>
          <t>4 cánh cao 170mm</t>
        </is>
      </c>
    </row>
    <row r="134">
      <c r="A134" t="inlineStr">
        <is>
          <t>SW-DAMPER-054-AXLE</t>
        </is>
      </c>
      <c r="B134" t="inlineStr">
        <is>
          <t>SW-DAMPER-054</t>
        </is>
      </c>
      <c r="C134" t="inlineStr">
        <is>
          <t>Trục Sus 201 D10</t>
        </is>
      </c>
      <c r="D134" t="inlineStr">
        <is>
          <t>PHỤ_KIỆN_VAN</t>
        </is>
      </c>
      <c r="E134" t="inlineStr">
        <is>
          <t>MAT-DAMPER-TRUC-SUS-201-D10</t>
        </is>
      </c>
      <c r="F134" t="inlineStr">
        <is>
          <t>m</t>
        </is>
      </c>
      <c r="G134" s="20" t="n">
        <v>5.759761616601446</v>
      </c>
      <c r="H134" s="16">
        <f>'00_TONG_HOP_BAO_GIA'!G55</f>
        <v/>
      </c>
      <c r="I134" s="21">
        <f>G134*H134</f>
        <v/>
      </c>
      <c r="J134" s="16">
        <f>IFERROR(INDEX('06_BANG_GIA_VAT_TU_AP_DUNG'!$E$1:$E$5000, MATCH(E134, '06_BANG_GIA_VAT_TU_AP_DUNG'!$B$1:$B$5000, 0)), 0)</f>
        <v/>
      </c>
      <c r="K134" s="16">
        <f>I134*J134</f>
        <v/>
      </c>
      <c r="L134" t="inlineStr">
        <is>
          <t>4 trục dài 1260mm</t>
        </is>
      </c>
    </row>
    <row r="135">
      <c r="A135" t="inlineStr">
        <is>
          <t>SW-DAMPER-054-BEARING</t>
        </is>
      </c>
      <c r="B135" t="inlineStr">
        <is>
          <t>SW-DAMPER-054</t>
        </is>
      </c>
      <c r="C135" t="inlineStr">
        <is>
          <t>Bạc đồng D10</t>
        </is>
      </c>
      <c r="D135" t="inlineStr">
        <is>
          <t>PHỤ_KIỆN_VAN</t>
        </is>
      </c>
      <c r="E135" t="inlineStr">
        <is>
          <t>MAT-DAMPER-BAC-DONG-D10</t>
        </is>
      </c>
      <c r="F135" t="inlineStr">
        <is>
          <t>Đôi</t>
        </is>
      </c>
      <c r="G135" s="20" t="n">
        <v>4</v>
      </c>
      <c r="H135" s="16">
        <f>'00_TONG_HOP_BAO_GIA'!G55</f>
        <v/>
      </c>
      <c r="I135" s="21">
        <f>G135*H135</f>
        <v/>
      </c>
      <c r="J135" s="16">
        <f>IFERROR(INDEX('06_BANG_GIA_VAT_TU_AP_DUNG'!$E$1:$E$5000, MATCH(E135, '06_BANG_GIA_VAT_TU_AP_DUNG'!$B$1:$B$5000, 0)), 0)</f>
        <v/>
      </c>
      <c r="K135" s="16">
        <f>I135*J135</f>
        <v/>
      </c>
      <c r="L135" t="inlineStr">
        <is>
          <t>4 đôi bạc đỡ 2 bên thân</t>
        </is>
      </c>
    </row>
    <row r="136">
      <c r="A136" t="inlineStr">
        <is>
          <t>SW-DAMPER-054-GEAR</t>
        </is>
      </c>
      <c r="B136" t="inlineStr">
        <is>
          <t>SW-DAMPER-054</t>
        </is>
      </c>
      <c r="C136" t="inlineStr">
        <is>
          <t>Bánh răng van nhôm</t>
        </is>
      </c>
      <c r="D136" t="inlineStr">
        <is>
          <t>PHỤ_KIỆN_VAN</t>
        </is>
      </c>
      <c r="E136" t="inlineStr">
        <is>
          <t>MAT-DAMPER-BANH-RANG-VAN-NHOM</t>
        </is>
      </c>
      <c r="F136" t="inlineStr">
        <is>
          <t>Bộ</t>
        </is>
      </c>
      <c r="G136" s="20" t="n">
        <v>1</v>
      </c>
      <c r="H136" s="16">
        <f>'00_TONG_HOP_BAO_GIA'!G55</f>
        <v/>
      </c>
      <c r="I136" s="21">
        <f>G136*H136</f>
        <v/>
      </c>
      <c r="J136" s="16">
        <f>IFERROR(INDEX('06_BANG_GIA_VAT_TU_AP_DUNG'!$E$1:$E$5000, MATCH(E136, '06_BANG_GIA_VAT_TU_AP_DUNG'!$B$1:$B$5000, 0)), 0)</f>
        <v/>
      </c>
      <c r="K136" s="16">
        <f>I136*J136</f>
        <v/>
      </c>
      <c r="L136" t="inlineStr">
        <is>
          <t>Cơ cấu liên động cánh (1 bộ)</t>
        </is>
      </c>
    </row>
    <row r="137">
      <c r="A137" t="inlineStr">
        <is>
          <t>SW-DAMPER-054-ECCENTRIC</t>
        </is>
      </c>
      <c r="B137" t="inlineStr">
        <is>
          <t>SW-DAMPER-054</t>
        </is>
      </c>
      <c r="C137" t="inlineStr">
        <is>
          <t>Cơ cấu lệch tâm / Lò xo đóng mở (NRD)</t>
        </is>
      </c>
      <c r="D137" t="inlineStr">
        <is>
          <t>PHỤ_KIỆN_VAN</t>
        </is>
      </c>
      <c r="E137" t="inlineStr">
        <is>
          <t>ECCENTRIC_SHAFT</t>
        </is>
      </c>
      <c r="F137" t="inlineStr">
        <is>
          <t>Bộ</t>
        </is>
      </c>
      <c r="G137" s="20" t="n">
        <v>1</v>
      </c>
      <c r="H137" s="16">
        <f>'00_TONG_HOP_BAO_GIA'!G55</f>
        <v/>
      </c>
      <c r="I137" s="21">
        <f>G137*H137</f>
        <v/>
      </c>
      <c r="J137" s="16">
        <f>IFERROR(INDEX('06_BANG_GIA_VAT_TU_AP_DUNG'!$E$1:$E$5000, MATCH(E137, '06_BANG_GIA_VAT_TU_AP_DUNG'!$B$1:$B$5000, 0)), 0)</f>
        <v/>
      </c>
      <c r="K137" s="16">
        <f>I137*J137</f>
        <v/>
      </c>
      <c r="L137" t="inlineStr">
        <is>
          <t>Cơ cấu đóng mở một chiều</t>
        </is>
      </c>
    </row>
    <row r="138">
      <c r="A138" t="inlineStr">
        <is>
          <t>SW-DAMPER-055-BODY</t>
        </is>
      </c>
      <c r="B138" t="inlineStr">
        <is>
          <t>SW-DAMPER-055</t>
        </is>
      </c>
      <c r="C138" t="inlineStr">
        <is>
          <t>Thân vỏ van NRD bích C30/TDF (1.15mm)</t>
        </is>
      </c>
      <c r="D138" t="inlineStr">
        <is>
          <t>TÔN_CUỘN_MẠ_KẼM</t>
        </is>
      </c>
      <c r="E138" t="inlineStr">
        <is>
          <t>MAT-STEEL-PN-1.15</t>
        </is>
      </c>
      <c r="F138" t="inlineStr">
        <is>
          <t>kg</t>
        </is>
      </c>
      <c r="G138" s="20" t="n">
        <v>11.85620004543571</v>
      </c>
      <c r="H138" s="16">
        <f>'00_TONG_HOP_BAO_GIA'!G56</f>
        <v/>
      </c>
      <c r="I138" s="21">
        <f>G138*H138</f>
        <v/>
      </c>
      <c r="J138" s="16">
        <f>IFERROR(INDEX('06_BANG_GIA_VAT_TU_AP_DUNG'!$E$1:$E$5000, MATCH(E138, '06_BANG_GIA_VAT_TU_AP_DUNG'!$B$1:$B$5000, 0)), 0)</f>
        <v/>
      </c>
      <c r="K138" s="16">
        <f>I138*J138</f>
        <v/>
      </c>
      <c r="L138" t="inlineStr">
        <is>
          <t>Kích thước vỏ 1250x500x210mm</t>
        </is>
      </c>
    </row>
    <row r="139">
      <c r="A139" t="inlineStr">
        <is>
          <t>SW-DAMPER-055-BLADE</t>
        </is>
      </c>
      <c r="B139" t="inlineStr">
        <is>
          <t>SW-DAMPER-055</t>
        </is>
      </c>
      <c r="C139" t="inlineStr">
        <is>
          <t>Lá cánh / Tôn tấm bọc van (3 cánh)</t>
        </is>
      </c>
      <c r="D139" t="inlineStr">
        <is>
          <t>TÔN_CUỘN_MẠ_KẼM</t>
        </is>
      </c>
      <c r="E139" t="inlineStr">
        <is>
          <t>MAT-STEEL-PN-0.75</t>
        </is>
      </c>
      <c r="F139" t="inlineStr">
        <is>
          <t>kg</t>
        </is>
      </c>
      <c r="G139" s="20" t="n">
        <v>5.616685988468334</v>
      </c>
      <c r="H139" s="16">
        <f>'00_TONG_HOP_BAO_GIA'!G56</f>
        <v/>
      </c>
      <c r="I139" s="21">
        <f>G139*H139</f>
        <v/>
      </c>
      <c r="J139" s="16">
        <f>IFERROR(INDEX('06_BANG_GIA_VAT_TU_AP_DUNG'!$E$1:$E$5000, MATCH(E139, '06_BANG_GIA_VAT_TU_AP_DUNG'!$B$1:$B$5000, 0)), 0)</f>
        <v/>
      </c>
      <c r="K139" s="16">
        <f>I139*J139</f>
        <v/>
      </c>
      <c r="L139" t="inlineStr">
        <is>
          <t>3 cánh cao 187mm</t>
        </is>
      </c>
    </row>
    <row r="140">
      <c r="A140" t="inlineStr">
        <is>
          <t>SW-DAMPER-055-AXLE</t>
        </is>
      </c>
      <c r="B140" t="inlineStr">
        <is>
          <t>SW-DAMPER-055</t>
        </is>
      </c>
      <c r="C140" t="inlineStr">
        <is>
          <t>Trục Sus 201 D10</t>
        </is>
      </c>
      <c r="D140" t="inlineStr">
        <is>
          <t>PHỤ_KIỆN_VAN</t>
        </is>
      </c>
      <c r="E140" t="inlineStr">
        <is>
          <t>MAT-DAMPER-TRUC-SUS-201-D10</t>
        </is>
      </c>
      <c r="F140" t="inlineStr">
        <is>
          <t>m</t>
        </is>
      </c>
      <c r="G140" s="20" t="n">
        <v>4.959295416637023</v>
      </c>
      <c r="H140" s="16">
        <f>'00_TONG_HOP_BAO_GIA'!G56</f>
        <v/>
      </c>
      <c r="I140" s="21">
        <f>G140*H140</f>
        <v/>
      </c>
      <c r="J140" s="16">
        <f>IFERROR(INDEX('06_BANG_GIA_VAT_TU_AP_DUNG'!$E$1:$E$5000, MATCH(E140, '06_BANG_GIA_VAT_TU_AP_DUNG'!$B$1:$B$5000, 0)), 0)</f>
        <v/>
      </c>
      <c r="K140" s="16">
        <f>I140*J140</f>
        <v/>
      </c>
      <c r="L140" t="inlineStr">
        <is>
          <t>3 trục dài 1310mm</t>
        </is>
      </c>
    </row>
    <row r="141">
      <c r="A141" t="inlineStr">
        <is>
          <t>SW-DAMPER-055-BEARING</t>
        </is>
      </c>
      <c r="B141" t="inlineStr">
        <is>
          <t>SW-DAMPER-055</t>
        </is>
      </c>
      <c r="C141" t="inlineStr">
        <is>
          <t>Bạc đồng D10</t>
        </is>
      </c>
      <c r="D141" t="inlineStr">
        <is>
          <t>PHỤ_KIỆN_VAN</t>
        </is>
      </c>
      <c r="E141" t="inlineStr">
        <is>
          <t>MAT-DAMPER-BAC-DONG-D10</t>
        </is>
      </c>
      <c r="F141" t="inlineStr">
        <is>
          <t>Đôi</t>
        </is>
      </c>
      <c r="G141" s="20" t="n">
        <v>3</v>
      </c>
      <c r="H141" s="16">
        <f>'00_TONG_HOP_BAO_GIA'!G56</f>
        <v/>
      </c>
      <c r="I141" s="21">
        <f>G141*H141</f>
        <v/>
      </c>
      <c r="J141" s="16">
        <f>IFERROR(INDEX('06_BANG_GIA_VAT_TU_AP_DUNG'!$E$1:$E$5000, MATCH(E141, '06_BANG_GIA_VAT_TU_AP_DUNG'!$B$1:$B$5000, 0)), 0)</f>
        <v/>
      </c>
      <c r="K141" s="16">
        <f>I141*J141</f>
        <v/>
      </c>
      <c r="L141" t="inlineStr">
        <is>
          <t>3 đôi bạc đỡ 2 bên thân</t>
        </is>
      </c>
    </row>
    <row r="142">
      <c r="A142" t="inlineStr">
        <is>
          <t>SW-DAMPER-055-GEAR</t>
        </is>
      </c>
      <c r="B142" t="inlineStr">
        <is>
          <t>SW-DAMPER-055</t>
        </is>
      </c>
      <c r="C142" t="inlineStr">
        <is>
          <t>Bánh răng van nhôm</t>
        </is>
      </c>
      <c r="D142" t="inlineStr">
        <is>
          <t>PHỤ_KIỆN_VAN</t>
        </is>
      </c>
      <c r="E142" t="inlineStr">
        <is>
          <t>MAT-DAMPER-BANH-RANG-VAN-NHOM</t>
        </is>
      </c>
      <c r="F142" t="inlineStr">
        <is>
          <t>Bộ</t>
        </is>
      </c>
      <c r="G142" s="20" t="n">
        <v>1</v>
      </c>
      <c r="H142" s="16">
        <f>'00_TONG_HOP_BAO_GIA'!G56</f>
        <v/>
      </c>
      <c r="I142" s="21">
        <f>G142*H142</f>
        <v/>
      </c>
      <c r="J142" s="16">
        <f>IFERROR(INDEX('06_BANG_GIA_VAT_TU_AP_DUNG'!$E$1:$E$5000, MATCH(E142, '06_BANG_GIA_VAT_TU_AP_DUNG'!$B$1:$B$5000, 0)), 0)</f>
        <v/>
      </c>
      <c r="K142" s="16">
        <f>I142*J142</f>
        <v/>
      </c>
      <c r="L142" t="inlineStr">
        <is>
          <t>Cơ cấu liên động cánh (1 bộ)</t>
        </is>
      </c>
    </row>
    <row r="143">
      <c r="A143" t="inlineStr">
        <is>
          <t>SW-DAMPER-055-ECCENTRIC</t>
        </is>
      </c>
      <c r="B143" t="inlineStr">
        <is>
          <t>SW-DAMPER-055</t>
        </is>
      </c>
      <c r="C143" t="inlineStr">
        <is>
          <t>Cơ cấu lệch tâm / Lò xo đóng mở (NRD)</t>
        </is>
      </c>
      <c r="D143" t="inlineStr">
        <is>
          <t>PHỤ_KIỆN_VAN</t>
        </is>
      </c>
      <c r="E143" t="inlineStr">
        <is>
          <t>ECCENTRIC_SHAFT</t>
        </is>
      </c>
      <c r="F143" t="inlineStr">
        <is>
          <t>Bộ</t>
        </is>
      </c>
      <c r="G143" s="20" t="n">
        <v>1</v>
      </c>
      <c r="H143" s="16">
        <f>'00_TONG_HOP_BAO_GIA'!G56</f>
        <v/>
      </c>
      <c r="I143" s="21">
        <f>G143*H143</f>
        <v/>
      </c>
      <c r="J143" s="16">
        <f>IFERROR(INDEX('06_BANG_GIA_VAT_TU_AP_DUNG'!$E$1:$E$5000, MATCH(E143, '06_BANG_GIA_VAT_TU_AP_DUNG'!$B$1:$B$5000, 0)), 0)</f>
        <v/>
      </c>
      <c r="K143" s="16">
        <f>I143*J143</f>
        <v/>
      </c>
      <c r="L143" t="inlineStr">
        <is>
          <t>Cơ cấu đóng mở một chiều</t>
        </is>
      </c>
    </row>
    <row r="144">
      <c r="A144" t="inlineStr">
        <is>
          <t>SW-DAMPER-056-BODY</t>
        </is>
      </c>
      <c r="B144" t="inlineStr">
        <is>
          <t>SW-DAMPER-056</t>
        </is>
      </c>
      <c r="C144" t="inlineStr">
        <is>
          <t>Thân vỏ van NRD bích C30/TDF (1.15mm)</t>
        </is>
      </c>
      <c r="D144" t="inlineStr">
        <is>
          <t>TÔN_CUỘN_MẠ_KẼM</t>
        </is>
      </c>
      <c r="E144" t="inlineStr">
        <is>
          <t>MAT-STEEL-PN-1.15</t>
        </is>
      </c>
      <c r="F144" t="inlineStr">
        <is>
          <t>kg</t>
        </is>
      </c>
      <c r="G144" s="20" t="n">
        <v>11.0632920563023</v>
      </c>
      <c r="H144" s="16">
        <f>'00_TONG_HOP_BAO_GIA'!G57</f>
        <v/>
      </c>
      <c r="I144" s="21">
        <f>G144*H144</f>
        <v/>
      </c>
      <c r="J144" s="16">
        <f>IFERROR(INDEX('06_BANG_GIA_VAT_TU_AP_DUNG'!$E$1:$E$5000, MATCH(E144, '06_BANG_GIA_VAT_TU_AP_DUNG'!$B$1:$B$5000, 0)), 0)</f>
        <v/>
      </c>
      <c r="K144" s="16">
        <f>I144*J144</f>
        <v/>
      </c>
      <c r="L144" t="inlineStr">
        <is>
          <t>Kích thước vỏ 1300x400x210mm</t>
        </is>
      </c>
    </row>
    <row r="145">
      <c r="A145" t="inlineStr">
        <is>
          <t>SW-DAMPER-056-BLADE</t>
        </is>
      </c>
      <c r="B145" t="inlineStr">
        <is>
          <t>SW-DAMPER-056</t>
        </is>
      </c>
      <c r="C145" t="inlineStr">
        <is>
          <t>Lá cánh / Tôn tấm bọc van (3 cánh)</t>
        </is>
      </c>
      <c r="D145" t="inlineStr">
        <is>
          <t>TÔN_CUỘN_MẠ_KẼM</t>
        </is>
      </c>
      <c r="E145" t="inlineStr">
        <is>
          <t>MAT-STEEL-PN-0.75</t>
        </is>
      </c>
      <c r="F145" t="inlineStr">
        <is>
          <t>kg</t>
        </is>
      </c>
      <c r="G145" s="20" t="n">
        <v>4.607517218512232</v>
      </c>
      <c r="H145" s="16">
        <f>'00_TONG_HOP_BAO_GIA'!G57</f>
        <v/>
      </c>
      <c r="I145" s="21">
        <f>G145*H145</f>
        <v/>
      </c>
      <c r="J145" s="16">
        <f>IFERROR(INDEX('06_BANG_GIA_VAT_TU_AP_DUNG'!$E$1:$E$5000, MATCH(E145, '06_BANG_GIA_VAT_TU_AP_DUNG'!$B$1:$B$5000, 0)), 0)</f>
        <v/>
      </c>
      <c r="K145" s="16">
        <f>I145*J145</f>
        <v/>
      </c>
      <c r="L145" t="inlineStr">
        <is>
          <t>3 cánh cao 153mm</t>
        </is>
      </c>
    </row>
    <row r="146">
      <c r="A146" t="inlineStr">
        <is>
          <t>SW-DAMPER-056-AXLE</t>
        </is>
      </c>
      <c r="B146" t="inlineStr">
        <is>
          <t>SW-DAMPER-056</t>
        </is>
      </c>
      <c r="C146" t="inlineStr">
        <is>
          <t>Trục Sus 201 D10</t>
        </is>
      </c>
      <c r="D146" t="inlineStr">
        <is>
          <t>PHỤ_KIỆN_VAN</t>
        </is>
      </c>
      <c r="E146" t="inlineStr">
        <is>
          <t>MAT-DAMPER-TRUC-SUS-201-D10</t>
        </is>
      </c>
      <c r="F146" t="inlineStr">
        <is>
          <t>m</t>
        </is>
      </c>
      <c r="G146" s="20" t="n">
        <v>4.943918130164663</v>
      </c>
      <c r="H146" s="16">
        <f>'00_TONG_HOP_BAO_GIA'!G57</f>
        <v/>
      </c>
      <c r="I146" s="21">
        <f>G146*H146</f>
        <v/>
      </c>
      <c r="J146" s="16">
        <f>IFERROR(INDEX('06_BANG_GIA_VAT_TU_AP_DUNG'!$E$1:$E$5000, MATCH(E146, '06_BANG_GIA_VAT_TU_AP_DUNG'!$B$1:$B$5000, 0)), 0)</f>
        <v/>
      </c>
      <c r="K146" s="16">
        <f>I146*J146</f>
        <v/>
      </c>
      <c r="L146" t="inlineStr">
        <is>
          <t>3 trục dài 1360mm</t>
        </is>
      </c>
    </row>
    <row r="147">
      <c r="A147" t="inlineStr">
        <is>
          <t>SW-DAMPER-056-BEARING</t>
        </is>
      </c>
      <c r="B147" t="inlineStr">
        <is>
          <t>SW-DAMPER-056</t>
        </is>
      </c>
      <c r="C147" t="inlineStr">
        <is>
          <t>Bạc đồng D10</t>
        </is>
      </c>
      <c r="D147" t="inlineStr">
        <is>
          <t>PHỤ_KIỆN_VAN</t>
        </is>
      </c>
      <c r="E147" t="inlineStr">
        <is>
          <t>MAT-DAMPER-BAC-DONG-D10</t>
        </is>
      </c>
      <c r="F147" t="inlineStr">
        <is>
          <t>Đôi</t>
        </is>
      </c>
      <c r="G147" s="20" t="n">
        <v>3</v>
      </c>
      <c r="H147" s="16">
        <f>'00_TONG_HOP_BAO_GIA'!G57</f>
        <v/>
      </c>
      <c r="I147" s="21">
        <f>G147*H147</f>
        <v/>
      </c>
      <c r="J147" s="16">
        <f>IFERROR(INDEX('06_BANG_GIA_VAT_TU_AP_DUNG'!$E$1:$E$5000, MATCH(E147, '06_BANG_GIA_VAT_TU_AP_DUNG'!$B$1:$B$5000, 0)), 0)</f>
        <v/>
      </c>
      <c r="K147" s="16">
        <f>I147*J147</f>
        <v/>
      </c>
      <c r="L147" t="inlineStr">
        <is>
          <t>3 đôi bạc đỡ 2 bên thân</t>
        </is>
      </c>
    </row>
    <row r="148">
      <c r="A148" t="inlineStr">
        <is>
          <t>SW-DAMPER-056-GEAR</t>
        </is>
      </c>
      <c r="B148" t="inlineStr">
        <is>
          <t>SW-DAMPER-056</t>
        </is>
      </c>
      <c r="C148" t="inlineStr">
        <is>
          <t>Bánh răng van nhôm</t>
        </is>
      </c>
      <c r="D148" t="inlineStr">
        <is>
          <t>PHỤ_KIỆN_VAN</t>
        </is>
      </c>
      <c r="E148" t="inlineStr">
        <is>
          <t>MAT-DAMPER-BANH-RANG-VAN-NHOM</t>
        </is>
      </c>
      <c r="F148" t="inlineStr">
        <is>
          <t>Bộ</t>
        </is>
      </c>
      <c r="G148" s="20" t="n">
        <v>1</v>
      </c>
      <c r="H148" s="16">
        <f>'00_TONG_HOP_BAO_GIA'!G57</f>
        <v/>
      </c>
      <c r="I148" s="21">
        <f>G148*H148</f>
        <v/>
      </c>
      <c r="J148" s="16">
        <f>IFERROR(INDEX('06_BANG_GIA_VAT_TU_AP_DUNG'!$E$1:$E$5000, MATCH(E148, '06_BANG_GIA_VAT_TU_AP_DUNG'!$B$1:$B$5000, 0)), 0)</f>
        <v/>
      </c>
      <c r="K148" s="16">
        <f>I148*J148</f>
        <v/>
      </c>
      <c r="L148" t="inlineStr">
        <is>
          <t>Cơ cấu liên động cánh (1 bộ)</t>
        </is>
      </c>
    </row>
    <row r="149">
      <c r="A149" t="inlineStr">
        <is>
          <t>SW-DAMPER-056-ECCENTRIC</t>
        </is>
      </c>
      <c r="B149" t="inlineStr">
        <is>
          <t>SW-DAMPER-056</t>
        </is>
      </c>
      <c r="C149" t="inlineStr">
        <is>
          <t>Cơ cấu lệch tâm / Lò xo đóng mở (NRD)</t>
        </is>
      </c>
      <c r="D149" t="inlineStr">
        <is>
          <t>PHỤ_KIỆN_VAN</t>
        </is>
      </c>
      <c r="E149" t="inlineStr">
        <is>
          <t>ECCENTRIC_SHAFT</t>
        </is>
      </c>
      <c r="F149" t="inlineStr">
        <is>
          <t>Bộ</t>
        </is>
      </c>
      <c r="G149" s="20" t="n">
        <v>1</v>
      </c>
      <c r="H149" s="16">
        <f>'00_TONG_HOP_BAO_GIA'!G57</f>
        <v/>
      </c>
      <c r="I149" s="21">
        <f>G149*H149</f>
        <v/>
      </c>
      <c r="J149" s="16">
        <f>IFERROR(INDEX('06_BANG_GIA_VAT_TU_AP_DUNG'!$E$1:$E$5000, MATCH(E149, '06_BANG_GIA_VAT_TU_AP_DUNG'!$B$1:$B$5000, 0)), 0)</f>
        <v/>
      </c>
      <c r="K149" s="16">
        <f>I149*J149</f>
        <v/>
      </c>
      <c r="L149" t="inlineStr">
        <is>
          <t>Cơ cấu đóng mở một chiều</t>
        </is>
      </c>
    </row>
    <row r="150">
      <c r="A150" t="inlineStr">
        <is>
          <t>SW-DAMPER-057-BODY</t>
        </is>
      </c>
      <c r="B150" t="inlineStr">
        <is>
          <t>SW-DAMPER-057</t>
        </is>
      </c>
      <c r="C150" t="inlineStr">
        <is>
          <t>Thân vỏ van NRD bích C30/TDF (1.15mm)</t>
        </is>
      </c>
      <c r="D150" t="inlineStr">
        <is>
          <t>TÔN_CUỘN_MẠ_KẼM</t>
        </is>
      </c>
      <c r="E150" t="inlineStr">
        <is>
          <t>MAT-STEEL-PN-1.15</t>
        </is>
      </c>
      <c r="F150" t="inlineStr">
        <is>
          <t>kg</t>
        </is>
      </c>
      <c r="G150" s="20" t="n">
        <v>12.08397104368138</v>
      </c>
      <c r="H150" s="16">
        <f>'00_TONG_HOP_BAO_GIA'!G58</f>
        <v/>
      </c>
      <c r="I150" s="21">
        <f>G150*H150</f>
        <v/>
      </c>
      <c r="J150" s="16">
        <f>IFERROR(INDEX('06_BANG_GIA_VAT_TU_AP_DUNG'!$E$1:$E$5000, MATCH(E150, '06_BANG_GIA_VAT_TU_AP_DUNG'!$B$1:$B$5000, 0)), 0)</f>
        <v/>
      </c>
      <c r="K150" s="16">
        <f>I150*J150</f>
        <v/>
      </c>
      <c r="L150" t="inlineStr">
        <is>
          <t>Kích thước vỏ 1300x500x210mm</t>
        </is>
      </c>
    </row>
    <row r="151">
      <c r="A151" t="inlineStr">
        <is>
          <t>SW-DAMPER-057-BLADE</t>
        </is>
      </c>
      <c r="B151" t="inlineStr">
        <is>
          <t>SW-DAMPER-057</t>
        </is>
      </c>
      <c r="C151" t="inlineStr">
        <is>
          <t>Lá cánh / Tôn tấm bọc van (3 cánh)</t>
        </is>
      </c>
      <c r="D151" t="inlineStr">
        <is>
          <t>TÔN_CUỘN_MẠ_KẼM</t>
        </is>
      </c>
      <c r="E151" t="inlineStr">
        <is>
          <t>MAT-STEEL-PN-0.75</t>
        </is>
      </c>
      <c r="F151" t="inlineStr">
        <is>
          <t>kg</t>
        </is>
      </c>
      <c r="G151" s="20" t="n">
        <v>5.790012744975993</v>
      </c>
      <c r="H151" s="16">
        <f>'00_TONG_HOP_BAO_GIA'!G58</f>
        <v/>
      </c>
      <c r="I151" s="21">
        <f>G151*H151</f>
        <v/>
      </c>
      <c r="J151" s="16">
        <f>IFERROR(INDEX('06_BANG_GIA_VAT_TU_AP_DUNG'!$E$1:$E$5000, MATCH(E151, '06_BANG_GIA_VAT_TU_AP_DUNG'!$B$1:$B$5000, 0)), 0)</f>
        <v/>
      </c>
      <c r="K151" s="16">
        <f>I151*J151</f>
        <v/>
      </c>
      <c r="L151" t="inlineStr">
        <is>
          <t>3 cánh cao 187mm</t>
        </is>
      </c>
    </row>
    <row r="152">
      <c r="A152" t="inlineStr">
        <is>
          <t>SW-DAMPER-057-AXLE</t>
        </is>
      </c>
      <c r="B152" t="inlineStr">
        <is>
          <t>SW-DAMPER-057</t>
        </is>
      </c>
      <c r="C152" t="inlineStr">
        <is>
          <t>Trục Sus 201 D10</t>
        </is>
      </c>
      <c r="D152" t="inlineStr">
        <is>
          <t>PHỤ_KIỆN_VAN</t>
        </is>
      </c>
      <c r="E152" t="inlineStr">
        <is>
          <t>MAT-DAMPER-TRUC-SUS-201-D10</t>
        </is>
      </c>
      <c r="F152" t="inlineStr">
        <is>
          <t>m</t>
        </is>
      </c>
      <c r="G152" s="20" t="n">
        <v>5.103329712563967</v>
      </c>
      <c r="H152" s="16">
        <f>'00_TONG_HOP_BAO_GIA'!G58</f>
        <v/>
      </c>
      <c r="I152" s="21">
        <f>G152*H152</f>
        <v/>
      </c>
      <c r="J152" s="16">
        <f>IFERROR(INDEX('06_BANG_GIA_VAT_TU_AP_DUNG'!$E$1:$E$5000, MATCH(E152, '06_BANG_GIA_VAT_TU_AP_DUNG'!$B$1:$B$5000, 0)), 0)</f>
        <v/>
      </c>
      <c r="K152" s="16">
        <f>I152*J152</f>
        <v/>
      </c>
      <c r="L152" t="inlineStr">
        <is>
          <t>3 trục dài 1360mm</t>
        </is>
      </c>
    </row>
    <row r="153">
      <c r="A153" t="inlineStr">
        <is>
          <t>SW-DAMPER-057-BEARING</t>
        </is>
      </c>
      <c r="B153" t="inlineStr">
        <is>
          <t>SW-DAMPER-057</t>
        </is>
      </c>
      <c r="C153" t="inlineStr">
        <is>
          <t>Bạc đồng D10</t>
        </is>
      </c>
      <c r="D153" t="inlineStr">
        <is>
          <t>PHỤ_KIỆN_VAN</t>
        </is>
      </c>
      <c r="E153" t="inlineStr">
        <is>
          <t>MAT-DAMPER-BAC-DONG-D10</t>
        </is>
      </c>
      <c r="F153" t="inlineStr">
        <is>
          <t>Đôi</t>
        </is>
      </c>
      <c r="G153" s="20" t="n">
        <v>3</v>
      </c>
      <c r="H153" s="16">
        <f>'00_TONG_HOP_BAO_GIA'!G58</f>
        <v/>
      </c>
      <c r="I153" s="21">
        <f>G153*H153</f>
        <v/>
      </c>
      <c r="J153" s="16">
        <f>IFERROR(INDEX('06_BANG_GIA_VAT_TU_AP_DUNG'!$E$1:$E$5000, MATCH(E153, '06_BANG_GIA_VAT_TU_AP_DUNG'!$B$1:$B$5000, 0)), 0)</f>
        <v/>
      </c>
      <c r="K153" s="16">
        <f>I153*J153</f>
        <v/>
      </c>
      <c r="L153" t="inlineStr">
        <is>
          <t>3 đôi bạc đỡ 2 bên thân</t>
        </is>
      </c>
    </row>
    <row r="154">
      <c r="A154" t="inlineStr">
        <is>
          <t>SW-DAMPER-057-GEAR</t>
        </is>
      </c>
      <c r="B154" t="inlineStr">
        <is>
          <t>SW-DAMPER-057</t>
        </is>
      </c>
      <c r="C154" t="inlineStr">
        <is>
          <t>Bánh răng van nhôm</t>
        </is>
      </c>
      <c r="D154" t="inlineStr">
        <is>
          <t>PHỤ_KIỆN_VAN</t>
        </is>
      </c>
      <c r="E154" t="inlineStr">
        <is>
          <t>MAT-DAMPER-BANH-RANG-VAN-NHOM</t>
        </is>
      </c>
      <c r="F154" t="inlineStr">
        <is>
          <t>Bộ</t>
        </is>
      </c>
      <c r="G154" s="20" t="n">
        <v>1</v>
      </c>
      <c r="H154" s="16">
        <f>'00_TONG_HOP_BAO_GIA'!G58</f>
        <v/>
      </c>
      <c r="I154" s="21">
        <f>G154*H154</f>
        <v/>
      </c>
      <c r="J154" s="16">
        <f>IFERROR(INDEX('06_BANG_GIA_VAT_TU_AP_DUNG'!$E$1:$E$5000, MATCH(E154, '06_BANG_GIA_VAT_TU_AP_DUNG'!$B$1:$B$5000, 0)), 0)</f>
        <v/>
      </c>
      <c r="K154" s="16">
        <f>I154*J154</f>
        <v/>
      </c>
      <c r="L154" t="inlineStr">
        <is>
          <t>Cơ cấu liên động cánh (1 bộ)</t>
        </is>
      </c>
    </row>
    <row r="155">
      <c r="A155" t="inlineStr">
        <is>
          <t>SW-DAMPER-057-ECCENTRIC</t>
        </is>
      </c>
      <c r="B155" t="inlineStr">
        <is>
          <t>SW-DAMPER-057</t>
        </is>
      </c>
      <c r="C155" t="inlineStr">
        <is>
          <t>Cơ cấu lệch tâm / Lò xo đóng mở (NRD)</t>
        </is>
      </c>
      <c r="D155" t="inlineStr">
        <is>
          <t>PHỤ_KIỆN_VAN</t>
        </is>
      </c>
      <c r="E155" t="inlineStr">
        <is>
          <t>ECCENTRIC_SHAFT</t>
        </is>
      </c>
      <c r="F155" t="inlineStr">
        <is>
          <t>Bộ</t>
        </is>
      </c>
      <c r="G155" s="20" t="n">
        <v>1</v>
      </c>
      <c r="H155" s="16">
        <f>'00_TONG_HOP_BAO_GIA'!G58</f>
        <v/>
      </c>
      <c r="I155" s="21">
        <f>G155*H155</f>
        <v/>
      </c>
      <c r="J155" s="16">
        <f>IFERROR(INDEX('06_BANG_GIA_VAT_TU_AP_DUNG'!$E$1:$E$5000, MATCH(E155, '06_BANG_GIA_VAT_TU_AP_DUNG'!$B$1:$B$5000, 0)), 0)</f>
        <v/>
      </c>
      <c r="K155" s="16">
        <f>I155*J155</f>
        <v/>
      </c>
      <c r="L155" t="inlineStr">
        <is>
          <t>Cơ cấu đóng mở một chiều</t>
        </is>
      </c>
    </row>
    <row r="156">
      <c r="A156" t="inlineStr">
        <is>
          <t>SW-DAMPER-058-BODY</t>
        </is>
      </c>
      <c r="B156" t="inlineStr">
        <is>
          <t>SW-DAMPER-058</t>
        </is>
      </c>
      <c r="C156" t="inlineStr">
        <is>
          <t>Thân vỏ van NRD bích C30/TDF (1.15mm)</t>
        </is>
      </c>
      <c r="D156" t="inlineStr">
        <is>
          <t>TÔN_CUỘN_MẠ_KẼM</t>
        </is>
      </c>
      <c r="E156" t="inlineStr">
        <is>
          <t>MAT-STEEL-PN-1.15</t>
        </is>
      </c>
      <c r="F156" t="inlineStr">
        <is>
          <t>kg</t>
        </is>
      </c>
      <c r="G156" s="20" t="n">
        <v>11.45078399630876</v>
      </c>
      <c r="H156" s="16">
        <f>'00_TONG_HOP_BAO_GIA'!G59</f>
        <v/>
      </c>
      <c r="I156" s="21">
        <f>G156*H156</f>
        <v/>
      </c>
      <c r="J156" s="16">
        <f>IFERROR(INDEX('06_BANG_GIA_VAT_TU_AP_DUNG'!$E$1:$E$5000, MATCH(E156, '06_BANG_GIA_VAT_TU_AP_DUNG'!$B$1:$B$5000, 0)), 0)</f>
        <v/>
      </c>
      <c r="K156" s="16">
        <f>I156*J156</f>
        <v/>
      </c>
      <c r="L156" t="inlineStr">
        <is>
          <t>Kích thước vỏ 1300x600x210mm</t>
        </is>
      </c>
    </row>
    <row r="157">
      <c r="A157" t="inlineStr">
        <is>
          <t>SW-DAMPER-058-BLADE</t>
        </is>
      </c>
      <c r="B157" t="inlineStr">
        <is>
          <t>SW-DAMPER-058</t>
        </is>
      </c>
      <c r="C157" t="inlineStr">
        <is>
          <t>Lá cánh / Tôn tấm bọc van (4 cánh)</t>
        </is>
      </c>
      <c r="D157" t="inlineStr">
        <is>
          <t>TÔN_CUỘN_MẠ_KẼM</t>
        </is>
      </c>
      <c r="E157" t="inlineStr">
        <is>
          <t>MAT-STEEL-PN-0.75</t>
        </is>
      </c>
      <c r="F157" t="inlineStr">
        <is>
          <t>kg</t>
        </is>
      </c>
      <c r="G157" s="20" t="n">
        <v>6.315330903021883</v>
      </c>
      <c r="H157" s="16">
        <f>'00_TONG_HOP_BAO_GIA'!G59</f>
        <v/>
      </c>
      <c r="I157" s="21">
        <f>G157*H157</f>
        <v/>
      </c>
      <c r="J157" s="16">
        <f>IFERROR(INDEX('06_BANG_GIA_VAT_TU_AP_DUNG'!$E$1:$E$5000, MATCH(E157, '06_BANG_GIA_VAT_TU_AP_DUNG'!$B$1:$B$5000, 0)), 0)</f>
        <v/>
      </c>
      <c r="K157" s="16">
        <f>I157*J157</f>
        <v/>
      </c>
      <c r="L157" t="inlineStr">
        <is>
          <t>4 cánh cao 170mm</t>
        </is>
      </c>
    </row>
    <row r="158">
      <c r="A158" t="inlineStr">
        <is>
          <t>SW-DAMPER-058-AXLE</t>
        </is>
      </c>
      <c r="B158" t="inlineStr">
        <is>
          <t>SW-DAMPER-058</t>
        </is>
      </c>
      <c r="C158" t="inlineStr">
        <is>
          <t>Trục Sus 201 D10</t>
        </is>
      </c>
      <c r="D158" t="inlineStr">
        <is>
          <t>PHỤ_KIỆN_VAN</t>
        </is>
      </c>
      <c r="E158" t="inlineStr">
        <is>
          <t>MAT-DAMPER-TRUC-SUS-201-D10</t>
        </is>
      </c>
      <c r="F158" t="inlineStr">
        <is>
          <t>m</t>
        </is>
      </c>
      <c r="G158" s="20" t="n">
        <v>6.112066491755441</v>
      </c>
      <c r="H158" s="16">
        <f>'00_TONG_HOP_BAO_GIA'!G59</f>
        <v/>
      </c>
      <c r="I158" s="21">
        <f>G158*H158</f>
        <v/>
      </c>
      <c r="J158" s="16">
        <f>IFERROR(INDEX('06_BANG_GIA_VAT_TU_AP_DUNG'!$E$1:$E$5000, MATCH(E158, '06_BANG_GIA_VAT_TU_AP_DUNG'!$B$1:$B$5000, 0)), 0)</f>
        <v/>
      </c>
      <c r="K158" s="16">
        <f>I158*J158</f>
        <v/>
      </c>
      <c r="L158" t="inlineStr">
        <is>
          <t>4 trục dài 1360mm</t>
        </is>
      </c>
    </row>
    <row r="159">
      <c r="A159" t="inlineStr">
        <is>
          <t>SW-DAMPER-058-BEARING</t>
        </is>
      </c>
      <c r="B159" t="inlineStr">
        <is>
          <t>SW-DAMPER-058</t>
        </is>
      </c>
      <c r="C159" t="inlineStr">
        <is>
          <t>Bạc đồng D10</t>
        </is>
      </c>
      <c r="D159" t="inlineStr">
        <is>
          <t>PHỤ_KIỆN_VAN</t>
        </is>
      </c>
      <c r="E159" t="inlineStr">
        <is>
          <t>MAT-DAMPER-BAC-DONG-D10</t>
        </is>
      </c>
      <c r="F159" t="inlineStr">
        <is>
          <t>Đôi</t>
        </is>
      </c>
      <c r="G159" s="20" t="n">
        <v>4</v>
      </c>
      <c r="H159" s="16">
        <f>'00_TONG_HOP_BAO_GIA'!G59</f>
        <v/>
      </c>
      <c r="I159" s="21">
        <f>G159*H159</f>
        <v/>
      </c>
      <c r="J159" s="16">
        <f>IFERROR(INDEX('06_BANG_GIA_VAT_TU_AP_DUNG'!$E$1:$E$5000, MATCH(E159, '06_BANG_GIA_VAT_TU_AP_DUNG'!$B$1:$B$5000, 0)), 0)</f>
        <v/>
      </c>
      <c r="K159" s="16">
        <f>I159*J159</f>
        <v/>
      </c>
      <c r="L159" t="inlineStr">
        <is>
          <t>4 đôi bạc đỡ 2 bên thân</t>
        </is>
      </c>
    </row>
    <row r="160">
      <c r="A160" t="inlineStr">
        <is>
          <t>SW-DAMPER-058-GEAR</t>
        </is>
      </c>
      <c r="B160" t="inlineStr">
        <is>
          <t>SW-DAMPER-058</t>
        </is>
      </c>
      <c r="C160" t="inlineStr">
        <is>
          <t>Bánh răng van nhôm</t>
        </is>
      </c>
      <c r="D160" t="inlineStr">
        <is>
          <t>PHỤ_KIỆN_VAN</t>
        </is>
      </c>
      <c r="E160" t="inlineStr">
        <is>
          <t>MAT-DAMPER-BANH-RANG-VAN-NHOM</t>
        </is>
      </c>
      <c r="F160" t="inlineStr">
        <is>
          <t>Bộ</t>
        </is>
      </c>
      <c r="G160" s="20" t="n">
        <v>1</v>
      </c>
      <c r="H160" s="16">
        <f>'00_TONG_HOP_BAO_GIA'!G59</f>
        <v/>
      </c>
      <c r="I160" s="21">
        <f>G160*H160</f>
        <v/>
      </c>
      <c r="J160" s="16">
        <f>IFERROR(INDEX('06_BANG_GIA_VAT_TU_AP_DUNG'!$E$1:$E$5000, MATCH(E160, '06_BANG_GIA_VAT_TU_AP_DUNG'!$B$1:$B$5000, 0)), 0)</f>
        <v/>
      </c>
      <c r="K160" s="16">
        <f>I160*J160</f>
        <v/>
      </c>
      <c r="L160" t="inlineStr">
        <is>
          <t>Cơ cấu liên động cánh (1 bộ)</t>
        </is>
      </c>
    </row>
    <row r="161">
      <c r="A161" t="inlineStr">
        <is>
          <t>SW-DAMPER-058-ECCENTRIC</t>
        </is>
      </c>
      <c r="B161" t="inlineStr">
        <is>
          <t>SW-DAMPER-058</t>
        </is>
      </c>
      <c r="C161" t="inlineStr">
        <is>
          <t>Cơ cấu lệch tâm / Lò xo đóng mở (NRD)</t>
        </is>
      </c>
      <c r="D161" t="inlineStr">
        <is>
          <t>PHỤ_KIỆN_VAN</t>
        </is>
      </c>
      <c r="E161" t="inlineStr">
        <is>
          <t>ECCENTRIC_SHAFT</t>
        </is>
      </c>
      <c r="F161" t="inlineStr">
        <is>
          <t>Bộ</t>
        </is>
      </c>
      <c r="G161" s="20" t="n">
        <v>1</v>
      </c>
      <c r="H161" s="16">
        <f>'00_TONG_HOP_BAO_GIA'!G59</f>
        <v/>
      </c>
      <c r="I161" s="21">
        <f>G161*H161</f>
        <v/>
      </c>
      <c r="J161" s="16">
        <f>IFERROR(INDEX('06_BANG_GIA_VAT_TU_AP_DUNG'!$E$1:$E$5000, MATCH(E161, '06_BANG_GIA_VAT_TU_AP_DUNG'!$B$1:$B$5000, 0)), 0)</f>
        <v/>
      </c>
      <c r="K161" s="16">
        <f>I161*J161</f>
        <v/>
      </c>
      <c r="L161" t="inlineStr">
        <is>
          <t>Cơ cấu đóng mở một chiều</t>
        </is>
      </c>
    </row>
    <row r="162">
      <c r="A162" t="inlineStr">
        <is>
          <t>SW-DAMPER-059-BODY</t>
        </is>
      </c>
      <c r="B162" t="inlineStr">
        <is>
          <t>SW-DAMPER-059</t>
        </is>
      </c>
      <c r="C162" t="inlineStr">
        <is>
          <t>Thân vỏ van NRD bích C30/TDF (1.15mm)</t>
        </is>
      </c>
      <c r="D162" t="inlineStr">
        <is>
          <t>TÔN_CUỘN_MẠ_KẼM</t>
        </is>
      </c>
      <c r="E162" t="inlineStr">
        <is>
          <t>MAT-STEEL-PN-1.15</t>
        </is>
      </c>
      <c r="F162" t="inlineStr">
        <is>
          <t>kg</t>
        </is>
      </c>
      <c r="G162" s="20" t="n">
        <v>11.93691296073166</v>
      </c>
      <c r="H162" s="16">
        <f>'00_TONG_HOP_BAO_GIA'!G60</f>
        <v/>
      </c>
      <c r="I162" s="21">
        <f>G162*H162</f>
        <v/>
      </c>
      <c r="J162" s="16">
        <f>IFERROR(INDEX('06_BANG_GIA_VAT_TU_AP_DUNG'!$E$1:$E$5000, MATCH(E162, '06_BANG_GIA_VAT_TU_AP_DUNG'!$B$1:$B$5000, 0)), 0)</f>
        <v/>
      </c>
      <c r="K162" s="16">
        <f>I162*J162</f>
        <v/>
      </c>
      <c r="L162" t="inlineStr">
        <is>
          <t>Kích thước vỏ 1300x650x210mm</t>
        </is>
      </c>
    </row>
    <row r="163">
      <c r="A163" t="inlineStr">
        <is>
          <t>SW-DAMPER-059-BLADE</t>
        </is>
      </c>
      <c r="B163" t="inlineStr">
        <is>
          <t>SW-DAMPER-059</t>
        </is>
      </c>
      <c r="C163" t="inlineStr">
        <is>
          <t>Lá cánh / Tôn tấm bọc van (4 cánh)</t>
        </is>
      </c>
      <c r="D163" t="inlineStr">
        <is>
          <t>TÔN_CUỘN_MẠ_KẼM</t>
        </is>
      </c>
      <c r="E163" t="inlineStr">
        <is>
          <t>MAT-STEEL-PN-0.75</t>
        </is>
      </c>
      <c r="F163" t="inlineStr">
        <is>
          <t>kg</t>
        </is>
      </c>
      <c r="G163" s="20" t="n">
        <v>6.888138420424095</v>
      </c>
      <c r="H163" s="16">
        <f>'00_TONG_HOP_BAO_GIA'!G60</f>
        <v/>
      </c>
      <c r="I163" s="21">
        <f>G163*H163</f>
        <v/>
      </c>
      <c r="J163" s="16">
        <f>IFERROR(INDEX('06_BANG_GIA_VAT_TU_AP_DUNG'!$E$1:$E$5000, MATCH(E163, '06_BANG_GIA_VAT_TU_AP_DUNG'!$B$1:$B$5000, 0)), 0)</f>
        <v/>
      </c>
      <c r="K163" s="16">
        <f>I163*J163</f>
        <v/>
      </c>
      <c r="L163" t="inlineStr">
        <is>
          <t>4 cánh cao 182mm</t>
        </is>
      </c>
    </row>
    <row r="164">
      <c r="A164" t="inlineStr">
        <is>
          <t>SW-DAMPER-059-AXLE</t>
        </is>
      </c>
      <c r="B164" t="inlineStr">
        <is>
          <t>SW-DAMPER-059</t>
        </is>
      </c>
      <c r="C164" t="inlineStr">
        <is>
          <t>Trục Sus 201 D10</t>
        </is>
      </c>
      <c r="D164" t="inlineStr">
        <is>
          <t>PHỤ_KIỆN_VAN</t>
        </is>
      </c>
      <c r="E164" t="inlineStr">
        <is>
          <t>MAT-DAMPER-TRUC-SUS-201-D10</t>
        </is>
      </c>
      <c r="F164" t="inlineStr">
        <is>
          <t>m</t>
        </is>
      </c>
      <c r="G164" s="20" t="n">
        <v>6.209832379581854</v>
      </c>
      <c r="H164" s="16">
        <f>'00_TONG_HOP_BAO_GIA'!G60</f>
        <v/>
      </c>
      <c r="I164" s="21">
        <f>G164*H164</f>
        <v/>
      </c>
      <c r="J164" s="16">
        <f>IFERROR(INDEX('06_BANG_GIA_VAT_TU_AP_DUNG'!$E$1:$E$5000, MATCH(E164, '06_BANG_GIA_VAT_TU_AP_DUNG'!$B$1:$B$5000, 0)), 0)</f>
        <v/>
      </c>
      <c r="K164" s="16">
        <f>I164*J164</f>
        <v/>
      </c>
      <c r="L164" t="inlineStr">
        <is>
          <t>4 trục dài 1360mm</t>
        </is>
      </c>
    </row>
    <row r="165">
      <c r="A165" t="inlineStr">
        <is>
          <t>SW-DAMPER-059-BEARING</t>
        </is>
      </c>
      <c r="B165" t="inlineStr">
        <is>
          <t>SW-DAMPER-059</t>
        </is>
      </c>
      <c r="C165" t="inlineStr">
        <is>
          <t>Bạc đồng D10</t>
        </is>
      </c>
      <c r="D165" t="inlineStr">
        <is>
          <t>PHỤ_KIỆN_VAN</t>
        </is>
      </c>
      <c r="E165" t="inlineStr">
        <is>
          <t>MAT-DAMPER-BAC-DONG-D10</t>
        </is>
      </c>
      <c r="F165" t="inlineStr">
        <is>
          <t>Đôi</t>
        </is>
      </c>
      <c r="G165" s="20" t="n">
        <v>4</v>
      </c>
      <c r="H165" s="16">
        <f>'00_TONG_HOP_BAO_GIA'!G60</f>
        <v/>
      </c>
      <c r="I165" s="21">
        <f>G165*H165</f>
        <v/>
      </c>
      <c r="J165" s="16">
        <f>IFERROR(INDEX('06_BANG_GIA_VAT_TU_AP_DUNG'!$E$1:$E$5000, MATCH(E165, '06_BANG_GIA_VAT_TU_AP_DUNG'!$B$1:$B$5000, 0)), 0)</f>
        <v/>
      </c>
      <c r="K165" s="16">
        <f>I165*J165</f>
        <v/>
      </c>
      <c r="L165" t="inlineStr">
        <is>
          <t>4 đôi bạc đỡ 2 bên thân</t>
        </is>
      </c>
    </row>
    <row r="166">
      <c r="A166" t="inlineStr">
        <is>
          <t>SW-DAMPER-059-GEAR</t>
        </is>
      </c>
      <c r="B166" t="inlineStr">
        <is>
          <t>SW-DAMPER-059</t>
        </is>
      </c>
      <c r="C166" t="inlineStr">
        <is>
          <t>Bánh răng van nhôm</t>
        </is>
      </c>
      <c r="D166" t="inlineStr">
        <is>
          <t>PHỤ_KIỆN_VAN</t>
        </is>
      </c>
      <c r="E166" t="inlineStr">
        <is>
          <t>MAT-DAMPER-BANH-RANG-VAN-NHOM</t>
        </is>
      </c>
      <c r="F166" t="inlineStr">
        <is>
          <t>Bộ</t>
        </is>
      </c>
      <c r="G166" s="20" t="n">
        <v>1</v>
      </c>
      <c r="H166" s="16">
        <f>'00_TONG_HOP_BAO_GIA'!G60</f>
        <v/>
      </c>
      <c r="I166" s="21">
        <f>G166*H166</f>
        <v/>
      </c>
      <c r="J166" s="16">
        <f>IFERROR(INDEX('06_BANG_GIA_VAT_TU_AP_DUNG'!$E$1:$E$5000, MATCH(E166, '06_BANG_GIA_VAT_TU_AP_DUNG'!$B$1:$B$5000, 0)), 0)</f>
        <v/>
      </c>
      <c r="K166" s="16">
        <f>I166*J166</f>
        <v/>
      </c>
      <c r="L166" t="inlineStr">
        <is>
          <t>Cơ cấu liên động cánh (1 bộ)</t>
        </is>
      </c>
    </row>
    <row r="167">
      <c r="A167" t="inlineStr">
        <is>
          <t>SW-DAMPER-059-ECCENTRIC</t>
        </is>
      </c>
      <c r="B167" t="inlineStr">
        <is>
          <t>SW-DAMPER-059</t>
        </is>
      </c>
      <c r="C167" t="inlineStr">
        <is>
          <t>Cơ cấu lệch tâm / Lò xo đóng mở (NRD)</t>
        </is>
      </c>
      <c r="D167" t="inlineStr">
        <is>
          <t>PHỤ_KIỆN_VAN</t>
        </is>
      </c>
      <c r="E167" t="inlineStr">
        <is>
          <t>ECCENTRIC_SHAFT</t>
        </is>
      </c>
      <c r="F167" t="inlineStr">
        <is>
          <t>Bộ</t>
        </is>
      </c>
      <c r="G167" s="20" t="n">
        <v>1</v>
      </c>
      <c r="H167" s="16">
        <f>'00_TONG_HOP_BAO_GIA'!G60</f>
        <v/>
      </c>
      <c r="I167" s="21">
        <f>G167*H167</f>
        <v/>
      </c>
      <c r="J167" s="16">
        <f>IFERROR(INDEX('06_BANG_GIA_VAT_TU_AP_DUNG'!$E$1:$E$5000, MATCH(E167, '06_BANG_GIA_VAT_TU_AP_DUNG'!$B$1:$B$5000, 0)), 0)</f>
        <v/>
      </c>
      <c r="K167" s="16">
        <f>I167*J167</f>
        <v/>
      </c>
      <c r="L167" t="inlineStr">
        <is>
          <t>Cơ cấu đóng mở một chiều</t>
        </is>
      </c>
    </row>
    <row r="168">
      <c r="A168" t="inlineStr">
        <is>
          <t>SW-DAMPER-060-BODY</t>
        </is>
      </c>
      <c r="B168" t="inlineStr">
        <is>
          <t>SW-DAMPER-060</t>
        </is>
      </c>
      <c r="C168" t="inlineStr">
        <is>
          <t>Thân vỏ van NRD bích C30/TDF (1.15mm)</t>
        </is>
      </c>
      <c r="D168" t="inlineStr">
        <is>
          <t>TÔN_CUỘN_MẠ_KẼM</t>
        </is>
      </c>
      <c r="E168" t="inlineStr">
        <is>
          <t>MAT-STEEL-PN-1.15</t>
        </is>
      </c>
      <c r="F168" t="inlineStr">
        <is>
          <t>kg</t>
        </is>
      </c>
      <c r="G168" s="20" t="n">
        <v>11.16747150521726</v>
      </c>
      <c r="H168" s="16">
        <f>'00_TONG_HOP_BAO_GIA'!G61</f>
        <v/>
      </c>
      <c r="I168" s="21">
        <f>G168*H168</f>
        <v/>
      </c>
      <c r="J168" s="16">
        <f>IFERROR(INDEX('06_BANG_GIA_VAT_TU_AP_DUNG'!$E$1:$E$5000, MATCH(E168, '06_BANG_GIA_VAT_TU_AP_DUNG'!$B$1:$B$5000, 0)), 0)</f>
        <v/>
      </c>
      <c r="K168" s="16">
        <f>I168*J168</f>
        <v/>
      </c>
      <c r="L168" t="inlineStr">
        <is>
          <t>Kích thước vỏ 1350x550x210mm</t>
        </is>
      </c>
    </row>
    <row r="169">
      <c r="A169" t="inlineStr">
        <is>
          <t>SW-DAMPER-060-BLADE</t>
        </is>
      </c>
      <c r="B169" t="inlineStr">
        <is>
          <t>SW-DAMPER-060</t>
        </is>
      </c>
      <c r="C169" t="inlineStr">
        <is>
          <t>Lá cánh / Tôn tấm bọc van (4 cánh)</t>
        </is>
      </c>
      <c r="D169" t="inlineStr">
        <is>
          <t>TÔN_CUỘN_MẠ_KẼM</t>
        </is>
      </c>
      <c r="E169" t="inlineStr">
        <is>
          <t>MAT-STEEL-PN-0.75</t>
        </is>
      </c>
      <c r="F169" t="inlineStr">
        <is>
          <t>kg</t>
        </is>
      </c>
      <c r="G169" s="20" t="n">
        <v>5.925674539477426</v>
      </c>
      <c r="H169" s="16">
        <f>'00_TONG_HOP_BAO_GIA'!G61</f>
        <v/>
      </c>
      <c r="I169" s="21">
        <f>G169*H169</f>
        <v/>
      </c>
      <c r="J169" s="16">
        <f>IFERROR(INDEX('06_BANG_GIA_VAT_TU_AP_DUNG'!$E$1:$E$5000, MATCH(E169, '06_BANG_GIA_VAT_TU_AP_DUNG'!$B$1:$B$5000, 0)), 0)</f>
        <v/>
      </c>
      <c r="K169" s="16">
        <f>I169*J169</f>
        <v/>
      </c>
      <c r="L169" t="inlineStr">
        <is>
          <t>4 cánh cao 158mm</t>
        </is>
      </c>
    </row>
    <row r="170">
      <c r="A170" t="inlineStr">
        <is>
          <t>SW-DAMPER-060-AXLE</t>
        </is>
      </c>
      <c r="B170" t="inlineStr">
        <is>
          <t>SW-DAMPER-060</t>
        </is>
      </c>
      <c r="C170" t="inlineStr">
        <is>
          <t>Trục Sus 201 D10</t>
        </is>
      </c>
      <c r="D170" t="inlineStr">
        <is>
          <t>PHỤ_KIỆN_VAN</t>
        </is>
      </c>
      <c r="E170" t="inlineStr">
        <is>
          <t>MAT-DAMPER-TRUC-SUS-201-D10</t>
        </is>
      </c>
      <c r="F170" t="inlineStr">
        <is>
          <t>m</t>
        </is>
      </c>
      <c r="G170" s="20" t="n">
        <v>6.179991889215249</v>
      </c>
      <c r="H170" s="16">
        <f>'00_TONG_HOP_BAO_GIA'!G61</f>
        <v/>
      </c>
      <c r="I170" s="21">
        <f>G170*H170</f>
        <v/>
      </c>
      <c r="J170" s="16">
        <f>IFERROR(INDEX('06_BANG_GIA_VAT_TU_AP_DUNG'!$E$1:$E$5000, MATCH(E170, '06_BANG_GIA_VAT_TU_AP_DUNG'!$B$1:$B$5000, 0)), 0)</f>
        <v/>
      </c>
      <c r="K170" s="16">
        <f>I170*J170</f>
        <v/>
      </c>
      <c r="L170" t="inlineStr">
        <is>
          <t>4 trục dài 1410mm</t>
        </is>
      </c>
    </row>
    <row r="171">
      <c r="A171" t="inlineStr">
        <is>
          <t>SW-DAMPER-060-BEARING</t>
        </is>
      </c>
      <c r="B171" t="inlineStr">
        <is>
          <t>SW-DAMPER-060</t>
        </is>
      </c>
      <c r="C171" t="inlineStr">
        <is>
          <t>Bạc đồng D10</t>
        </is>
      </c>
      <c r="D171" t="inlineStr">
        <is>
          <t>PHỤ_KIỆN_VAN</t>
        </is>
      </c>
      <c r="E171" t="inlineStr">
        <is>
          <t>MAT-DAMPER-BAC-DONG-D10</t>
        </is>
      </c>
      <c r="F171" t="inlineStr">
        <is>
          <t>Đôi</t>
        </is>
      </c>
      <c r="G171" s="20" t="n">
        <v>4</v>
      </c>
      <c r="H171" s="16">
        <f>'00_TONG_HOP_BAO_GIA'!G61</f>
        <v/>
      </c>
      <c r="I171" s="21">
        <f>G171*H171</f>
        <v/>
      </c>
      <c r="J171" s="16">
        <f>IFERROR(INDEX('06_BANG_GIA_VAT_TU_AP_DUNG'!$E$1:$E$5000, MATCH(E171, '06_BANG_GIA_VAT_TU_AP_DUNG'!$B$1:$B$5000, 0)), 0)</f>
        <v/>
      </c>
      <c r="K171" s="16">
        <f>I171*J171</f>
        <v/>
      </c>
      <c r="L171" t="inlineStr">
        <is>
          <t>4 đôi bạc đỡ 2 bên thân</t>
        </is>
      </c>
    </row>
    <row r="172">
      <c r="A172" t="inlineStr">
        <is>
          <t>SW-DAMPER-060-GEAR</t>
        </is>
      </c>
      <c r="B172" t="inlineStr">
        <is>
          <t>SW-DAMPER-060</t>
        </is>
      </c>
      <c r="C172" t="inlineStr">
        <is>
          <t>Bánh răng van nhôm</t>
        </is>
      </c>
      <c r="D172" t="inlineStr">
        <is>
          <t>PHỤ_KIỆN_VAN</t>
        </is>
      </c>
      <c r="E172" t="inlineStr">
        <is>
          <t>MAT-DAMPER-BANH-RANG-VAN-NHOM</t>
        </is>
      </c>
      <c r="F172" t="inlineStr">
        <is>
          <t>Bộ</t>
        </is>
      </c>
      <c r="G172" s="20" t="n">
        <v>1</v>
      </c>
      <c r="H172" s="16">
        <f>'00_TONG_HOP_BAO_GIA'!G61</f>
        <v/>
      </c>
      <c r="I172" s="21">
        <f>G172*H172</f>
        <v/>
      </c>
      <c r="J172" s="16">
        <f>IFERROR(INDEX('06_BANG_GIA_VAT_TU_AP_DUNG'!$E$1:$E$5000, MATCH(E172, '06_BANG_GIA_VAT_TU_AP_DUNG'!$B$1:$B$5000, 0)), 0)</f>
        <v/>
      </c>
      <c r="K172" s="16">
        <f>I172*J172</f>
        <v/>
      </c>
      <c r="L172" t="inlineStr">
        <is>
          <t>Cơ cấu liên động cánh (1 bộ)</t>
        </is>
      </c>
    </row>
    <row r="173">
      <c r="A173" t="inlineStr">
        <is>
          <t>SW-DAMPER-060-ECCENTRIC</t>
        </is>
      </c>
      <c r="B173" t="inlineStr">
        <is>
          <t>SW-DAMPER-060</t>
        </is>
      </c>
      <c r="C173" t="inlineStr">
        <is>
          <t>Cơ cấu lệch tâm / Lò xo đóng mở (NRD)</t>
        </is>
      </c>
      <c r="D173" t="inlineStr">
        <is>
          <t>PHỤ_KIỆN_VAN</t>
        </is>
      </c>
      <c r="E173" t="inlineStr">
        <is>
          <t>ECCENTRIC_SHAFT</t>
        </is>
      </c>
      <c r="F173" t="inlineStr">
        <is>
          <t>Bộ</t>
        </is>
      </c>
      <c r="G173" s="20" t="n">
        <v>1</v>
      </c>
      <c r="H173" s="16">
        <f>'00_TONG_HOP_BAO_GIA'!G61</f>
        <v/>
      </c>
      <c r="I173" s="21">
        <f>G173*H173</f>
        <v/>
      </c>
      <c r="J173" s="16">
        <f>IFERROR(INDEX('06_BANG_GIA_VAT_TU_AP_DUNG'!$E$1:$E$5000, MATCH(E173, '06_BANG_GIA_VAT_TU_AP_DUNG'!$B$1:$B$5000, 0)), 0)</f>
        <v/>
      </c>
      <c r="K173" s="16">
        <f>I173*J173</f>
        <v/>
      </c>
      <c r="L173" t="inlineStr">
        <is>
          <t>Cơ cấu đóng mở một chiều</t>
        </is>
      </c>
    </row>
    <row r="174">
      <c r="A174" t="inlineStr">
        <is>
          <t>SW-DAMPER-061-BODY</t>
        </is>
      </c>
      <c r="B174" t="inlineStr">
        <is>
          <t>SW-DAMPER-061</t>
        </is>
      </c>
      <c r="C174" t="inlineStr">
        <is>
          <t>Thân vỏ van NRD bích C30/TDF (1.15mm)</t>
        </is>
      </c>
      <c r="D174" t="inlineStr">
        <is>
          <t>TÔN_CUỘN_MẠ_KẼM</t>
        </is>
      </c>
      <c r="E174" t="inlineStr">
        <is>
          <t>MAT-STEEL-PN-1.15</t>
        </is>
      </c>
      <c r="F174" t="inlineStr">
        <is>
          <t>kg</t>
        </is>
      </c>
      <c r="G174" s="20" t="n">
        <v>11.65800303911373</v>
      </c>
      <c r="H174" s="16">
        <f>'00_TONG_HOP_BAO_GIA'!G62</f>
        <v/>
      </c>
      <c r="I174" s="21">
        <f>G174*H174</f>
        <v/>
      </c>
      <c r="J174" s="16">
        <f>IFERROR(INDEX('06_BANG_GIA_VAT_TU_AP_DUNG'!$E$1:$E$5000, MATCH(E174, '06_BANG_GIA_VAT_TU_AP_DUNG'!$B$1:$B$5000, 0)), 0)</f>
        <v/>
      </c>
      <c r="K174" s="16">
        <f>I174*J174</f>
        <v/>
      </c>
      <c r="L174" t="inlineStr">
        <is>
          <t>Kích thước vỏ 1350x600x210mm</t>
        </is>
      </c>
    </row>
    <row r="175">
      <c r="A175" t="inlineStr">
        <is>
          <t>SW-DAMPER-061-BLADE</t>
        </is>
      </c>
      <c r="B175" t="inlineStr">
        <is>
          <t>SW-DAMPER-061</t>
        </is>
      </c>
      <c r="C175" t="inlineStr">
        <is>
          <t>Lá cánh / Tôn tấm bọc van (4 cánh)</t>
        </is>
      </c>
      <c r="D175" t="inlineStr">
        <is>
          <t>TÔN_CUỘN_MẠ_KẼM</t>
        </is>
      </c>
      <c r="E175" t="inlineStr">
        <is>
          <t>MAT-STEEL-PN-0.75</t>
        </is>
      </c>
      <c r="F175" t="inlineStr">
        <is>
          <t>kg</t>
        </is>
      </c>
      <c r="G175" s="20" t="n">
        <v>6.507444482847707</v>
      </c>
      <c r="H175" s="16">
        <f>'00_TONG_HOP_BAO_GIA'!G62</f>
        <v/>
      </c>
      <c r="I175" s="21">
        <f>G175*H175</f>
        <v/>
      </c>
      <c r="J175" s="16">
        <f>IFERROR(INDEX('06_BANG_GIA_VAT_TU_AP_DUNG'!$E$1:$E$5000, MATCH(E175, '06_BANG_GIA_VAT_TU_AP_DUNG'!$B$1:$B$5000, 0)), 0)</f>
        <v/>
      </c>
      <c r="K175" s="16">
        <f>I175*J175</f>
        <v/>
      </c>
      <c r="L175" t="inlineStr">
        <is>
          <t>4 cánh cao 170mm</t>
        </is>
      </c>
    </row>
    <row r="176">
      <c r="A176" t="inlineStr">
        <is>
          <t>SW-DAMPER-061-AXLE</t>
        </is>
      </c>
      <c r="B176" t="inlineStr">
        <is>
          <t>SW-DAMPER-061</t>
        </is>
      </c>
      <c r="C176" t="inlineStr">
        <is>
          <t>Trục Sus 201 D10</t>
        </is>
      </c>
      <c r="D176" t="inlineStr">
        <is>
          <t>PHỤ_KIỆN_VAN</t>
        </is>
      </c>
      <c r="E176" t="inlineStr">
        <is>
          <t>MAT-DAMPER-TRUC-SUS-201-D10</t>
        </is>
      </c>
      <c r="F176" t="inlineStr">
        <is>
          <t>m</t>
        </is>
      </c>
      <c r="G176" s="20" t="n">
        <v>6.287705884796115</v>
      </c>
      <c r="H176" s="16">
        <f>'00_TONG_HOP_BAO_GIA'!G62</f>
        <v/>
      </c>
      <c r="I176" s="21">
        <f>G176*H176</f>
        <v/>
      </c>
      <c r="J176" s="16">
        <f>IFERROR(INDEX('06_BANG_GIA_VAT_TU_AP_DUNG'!$E$1:$E$5000, MATCH(E176, '06_BANG_GIA_VAT_TU_AP_DUNG'!$B$1:$B$5000, 0)), 0)</f>
        <v/>
      </c>
      <c r="K176" s="16">
        <f>I176*J176</f>
        <v/>
      </c>
      <c r="L176" t="inlineStr">
        <is>
          <t>4 trục dài 1410mm</t>
        </is>
      </c>
    </row>
    <row r="177">
      <c r="A177" t="inlineStr">
        <is>
          <t>SW-DAMPER-061-BEARING</t>
        </is>
      </c>
      <c r="B177" t="inlineStr">
        <is>
          <t>SW-DAMPER-061</t>
        </is>
      </c>
      <c r="C177" t="inlineStr">
        <is>
          <t>Bạc đồng D10</t>
        </is>
      </c>
      <c r="D177" t="inlineStr">
        <is>
          <t>PHỤ_KIỆN_VAN</t>
        </is>
      </c>
      <c r="E177" t="inlineStr">
        <is>
          <t>MAT-DAMPER-BAC-DONG-D10</t>
        </is>
      </c>
      <c r="F177" t="inlineStr">
        <is>
          <t>Đôi</t>
        </is>
      </c>
      <c r="G177" s="20" t="n">
        <v>4</v>
      </c>
      <c r="H177" s="16">
        <f>'00_TONG_HOP_BAO_GIA'!G62</f>
        <v/>
      </c>
      <c r="I177" s="21">
        <f>G177*H177</f>
        <v/>
      </c>
      <c r="J177" s="16">
        <f>IFERROR(INDEX('06_BANG_GIA_VAT_TU_AP_DUNG'!$E$1:$E$5000, MATCH(E177, '06_BANG_GIA_VAT_TU_AP_DUNG'!$B$1:$B$5000, 0)), 0)</f>
        <v/>
      </c>
      <c r="K177" s="16">
        <f>I177*J177</f>
        <v/>
      </c>
      <c r="L177" t="inlineStr">
        <is>
          <t>4 đôi bạc đỡ 2 bên thân</t>
        </is>
      </c>
    </row>
    <row r="178">
      <c r="A178" t="inlineStr">
        <is>
          <t>SW-DAMPER-061-GEAR</t>
        </is>
      </c>
      <c r="B178" t="inlineStr">
        <is>
          <t>SW-DAMPER-061</t>
        </is>
      </c>
      <c r="C178" t="inlineStr">
        <is>
          <t>Bánh răng van nhôm</t>
        </is>
      </c>
      <c r="D178" t="inlineStr">
        <is>
          <t>PHỤ_KIỆN_VAN</t>
        </is>
      </c>
      <c r="E178" t="inlineStr">
        <is>
          <t>MAT-DAMPER-BANH-RANG-VAN-NHOM</t>
        </is>
      </c>
      <c r="F178" t="inlineStr">
        <is>
          <t>Bộ</t>
        </is>
      </c>
      <c r="G178" s="20" t="n">
        <v>1</v>
      </c>
      <c r="H178" s="16">
        <f>'00_TONG_HOP_BAO_GIA'!G62</f>
        <v/>
      </c>
      <c r="I178" s="21">
        <f>G178*H178</f>
        <v/>
      </c>
      <c r="J178" s="16">
        <f>IFERROR(INDEX('06_BANG_GIA_VAT_TU_AP_DUNG'!$E$1:$E$5000, MATCH(E178, '06_BANG_GIA_VAT_TU_AP_DUNG'!$B$1:$B$5000, 0)), 0)</f>
        <v/>
      </c>
      <c r="K178" s="16">
        <f>I178*J178</f>
        <v/>
      </c>
      <c r="L178" t="inlineStr">
        <is>
          <t>Cơ cấu liên động cánh (1 bộ)</t>
        </is>
      </c>
    </row>
    <row r="179">
      <c r="A179" t="inlineStr">
        <is>
          <t>SW-DAMPER-061-ECCENTRIC</t>
        </is>
      </c>
      <c r="B179" t="inlineStr">
        <is>
          <t>SW-DAMPER-061</t>
        </is>
      </c>
      <c r="C179" t="inlineStr">
        <is>
          <t>Cơ cấu lệch tâm / Lò xo đóng mở (NRD)</t>
        </is>
      </c>
      <c r="D179" t="inlineStr">
        <is>
          <t>PHỤ_KIỆN_VAN</t>
        </is>
      </c>
      <c r="E179" t="inlineStr">
        <is>
          <t>ECCENTRIC_SHAFT</t>
        </is>
      </c>
      <c r="F179" t="inlineStr">
        <is>
          <t>Bộ</t>
        </is>
      </c>
      <c r="G179" s="20" t="n">
        <v>1</v>
      </c>
      <c r="H179" s="16">
        <f>'00_TONG_HOP_BAO_GIA'!G62</f>
        <v/>
      </c>
      <c r="I179" s="21">
        <f>G179*H179</f>
        <v/>
      </c>
      <c r="J179" s="16">
        <f>IFERROR(INDEX('06_BANG_GIA_VAT_TU_AP_DUNG'!$E$1:$E$5000, MATCH(E179, '06_BANG_GIA_VAT_TU_AP_DUNG'!$B$1:$B$5000, 0)), 0)</f>
        <v/>
      </c>
      <c r="K179" s="16">
        <f>I179*J179</f>
        <v/>
      </c>
      <c r="L179" t="inlineStr">
        <is>
          <t>Cơ cấu đóng mở một chiều</t>
        </is>
      </c>
    </row>
    <row r="180">
      <c r="A180" t="inlineStr">
        <is>
          <t>SW-DAMPER-062-BODY</t>
        </is>
      </c>
      <c r="B180" t="inlineStr">
        <is>
          <t>SW-DAMPER-062</t>
        </is>
      </c>
      <c r="C180" t="inlineStr">
        <is>
          <t>Thân vỏ van MFD bích C30/TDF (1.15mm)</t>
        </is>
      </c>
      <c r="D180" t="inlineStr">
        <is>
          <t>TÔN_CUỘN_MẠ_KẼM</t>
        </is>
      </c>
      <c r="E180" t="inlineStr">
        <is>
          <t>MAT-STEEL-PN-1.15</t>
        </is>
      </c>
      <c r="F180" t="inlineStr">
        <is>
          <t>kg</t>
        </is>
      </c>
      <c r="G180" s="20" t="n">
        <v>75.9570428598965</v>
      </c>
      <c r="H180" s="16">
        <f>'00_TONG_HOP_BAO_GIA'!G63</f>
        <v/>
      </c>
      <c r="I180" s="21">
        <f>G180*H180</f>
        <v/>
      </c>
      <c r="J180" s="16">
        <f>IFERROR(INDEX('06_BANG_GIA_VAT_TU_AP_DUNG'!$E$1:$E$5000, MATCH(E180, '06_BANG_GIA_VAT_TU_AP_DUNG'!$B$1:$B$5000, 0)), 0)</f>
        <v/>
      </c>
      <c r="K180" s="16">
        <f>I180*J180</f>
        <v/>
      </c>
      <c r="L180" t="inlineStr">
        <is>
          <t>Kích thước vỏ 4000x1000x200mm (8 modul 1000x500mm)</t>
        </is>
      </c>
    </row>
    <row r="181">
      <c r="A181" t="inlineStr">
        <is>
          <t>SW-DAMPER-062-BLADE</t>
        </is>
      </c>
      <c r="B181" t="inlineStr">
        <is>
          <t>SW-DAMPER-062</t>
        </is>
      </c>
      <c r="C181" t="inlineStr">
        <is>
          <t>Lá cánh / Tôn tấm bọc van (8 cánh)</t>
        </is>
      </c>
      <c r="D181" t="inlineStr">
        <is>
          <t>TÔN_CUỘN_MẠ_KẼM</t>
        </is>
      </c>
      <c r="E181" t="inlineStr">
        <is>
          <t>MAT-STEEL-PN-1.15</t>
        </is>
      </c>
      <c r="F181" t="inlineStr">
        <is>
          <t>kg</t>
        </is>
      </c>
      <c r="G181" s="20" t="n">
        <v>88.1335779957956</v>
      </c>
      <c r="H181" s="16">
        <f>'00_TONG_HOP_BAO_GIA'!G63</f>
        <v/>
      </c>
      <c r="I181" s="21">
        <f>G181*H181</f>
        <v/>
      </c>
      <c r="J181" s="16">
        <f>IFERROR(INDEX('06_BANG_GIA_VAT_TU_AP_DUNG'!$E$1:$E$5000, MATCH(E181, '06_BANG_GIA_VAT_TU_AP_DUNG'!$B$1:$B$5000, 0)), 0)</f>
        <v/>
      </c>
      <c r="K181" s="16">
        <f>I181*J181</f>
        <v/>
      </c>
      <c r="L181" t="inlineStr">
        <is>
          <t>Tôn bọc cánh &amp; thân (1 cánh/modul (8 modul 1000x500mm))</t>
        </is>
      </c>
    </row>
    <row r="182">
      <c r="A182" t="inlineStr">
        <is>
          <t>SW-DAMPER-062-AXLE</t>
        </is>
      </c>
      <c r="B182" t="inlineStr">
        <is>
          <t>SW-DAMPER-062</t>
        </is>
      </c>
      <c r="C182" t="inlineStr">
        <is>
          <t>Trục Sus 201 D10</t>
        </is>
      </c>
      <c r="D182" t="inlineStr">
        <is>
          <t>PHỤ_KIỆN_VAN</t>
        </is>
      </c>
      <c r="E182" t="inlineStr">
        <is>
          <t>MAT-DAMPER-TRUC-SUS-201-D10</t>
        </is>
      </c>
      <c r="F182" t="inlineStr">
        <is>
          <t>m</t>
        </is>
      </c>
      <c r="G182" s="20" t="n">
        <v>10.34855637502557</v>
      </c>
      <c r="H182" s="16">
        <f>'00_TONG_HOP_BAO_GIA'!G63</f>
        <v/>
      </c>
      <c r="I182" s="21">
        <f>G182*H182</f>
        <v/>
      </c>
      <c r="J182" s="16">
        <f>IFERROR(INDEX('06_BANG_GIA_VAT_TU_AP_DUNG'!$E$1:$E$5000, MATCH(E182, '06_BANG_GIA_VAT_TU_AP_DUNG'!$B$1:$B$5000, 0)), 0)</f>
        <v/>
      </c>
      <c r="K182" s="16">
        <f>I182*J182</f>
        <v/>
      </c>
      <c r="L182" t="inlineStr">
        <is>
          <t>8 trục dài 1060mm</t>
        </is>
      </c>
    </row>
    <row r="183">
      <c r="A183" t="inlineStr">
        <is>
          <t>SW-DAMPER-062-BEARING</t>
        </is>
      </c>
      <c r="B183" t="inlineStr">
        <is>
          <t>SW-DAMPER-062</t>
        </is>
      </c>
      <c r="C183" t="inlineStr">
        <is>
          <t>Bạc đồng D10</t>
        </is>
      </c>
      <c r="D183" t="inlineStr">
        <is>
          <t>PHỤ_KIỆN_VAN</t>
        </is>
      </c>
      <c r="E183" t="inlineStr">
        <is>
          <t>MAT-DAMPER-BAC-DONG-D10</t>
        </is>
      </c>
      <c r="F183" t="inlineStr">
        <is>
          <t>Đôi</t>
        </is>
      </c>
      <c r="G183" s="20" t="n">
        <v>8</v>
      </c>
      <c r="H183" s="16">
        <f>'00_TONG_HOP_BAO_GIA'!G63</f>
        <v/>
      </c>
      <c r="I183" s="21">
        <f>G183*H183</f>
        <v/>
      </c>
      <c r="J183" s="16">
        <f>IFERROR(INDEX('06_BANG_GIA_VAT_TU_AP_DUNG'!$E$1:$E$5000, MATCH(E183, '06_BANG_GIA_VAT_TU_AP_DUNG'!$B$1:$B$5000, 0)), 0)</f>
        <v/>
      </c>
      <c r="K183" s="16">
        <f>I183*J183</f>
        <v/>
      </c>
      <c r="L183" t="inlineStr">
        <is>
          <t>8 đôi bạc đỡ 2 bên thân</t>
        </is>
      </c>
    </row>
    <row r="184">
      <c r="A184" t="inlineStr">
        <is>
          <t>SW-DAMPER-062-ACTUATOR</t>
        </is>
      </c>
      <c r="B184" t="inlineStr">
        <is>
          <t>SW-DAMPER-062</t>
        </is>
      </c>
      <c r="C184" t="inlineStr">
        <is>
          <t>Động cơ chặn lửa ON/OFF KLB (Swin V6006FS500S EI90) 5Nm</t>
        </is>
      </c>
      <c r="D184" t="inlineStr">
        <is>
          <t>ĐỘNG_CƠ_VÀ_CẢM_BIẾN</t>
        </is>
      </c>
      <c r="E184" t="inlineStr">
        <is>
          <t>MAT-ACTUATOR-KLB-V6006FS500S</t>
        </is>
      </c>
      <c r="F184" t="inlineStr">
        <is>
          <t>Cái</t>
        </is>
      </c>
      <c r="G184" s="20" t="n">
        <v>8</v>
      </c>
      <c r="H184" s="16">
        <f>'00_TONG_HOP_BAO_GIA'!G63</f>
        <v/>
      </c>
      <c r="I184" s="21">
        <f>G184*H184</f>
        <v/>
      </c>
      <c r="J184" s="16">
        <f>IFERROR(INDEX('06_BANG_GIA_VAT_TU_AP_DUNG'!$E$1:$E$5000, MATCH(E184, '06_BANG_GIA_VAT_TU_AP_DUNG'!$B$1:$B$5000, 0)), 0)</f>
        <v/>
      </c>
      <c r="K184" s="16">
        <f>I184*J184</f>
        <v/>
      </c>
      <c r="L184" t="inlineStr">
        <is>
          <t>Động cơ lò xo phản hồi MFD (8 bộ (8 modul 1000x500mm))</t>
        </is>
      </c>
    </row>
    <row r="185">
      <c r="A185" t="inlineStr">
        <is>
          <t>SW-DAMPER-062-FB10-BODY</t>
        </is>
      </c>
      <c r="B185" t="inlineStr">
        <is>
          <t>SW-DAMPER-062</t>
        </is>
      </c>
      <c r="C185" t="inlineStr">
        <is>
          <t>Tấm chống cháy dày 10mm bọc thân van FD/MFD (2 lớp)</t>
        </is>
      </c>
      <c r="D185" t="inlineStr">
        <is>
          <t>VẬT_LIỆU_CÁCH_NHIỆT</t>
        </is>
      </c>
      <c r="E185" t="inlineStr">
        <is>
          <t>MAT-FIREBOARD-10MM-BODY</t>
        </is>
      </c>
      <c r="F185" t="inlineStr">
        <is>
          <t>m2</t>
        </is>
      </c>
      <c r="G185" s="20" t="n">
        <v>17.57302025947739</v>
      </c>
      <c r="H185" s="16">
        <f>'00_TONG_HOP_BAO_GIA'!G63</f>
        <v/>
      </c>
      <c r="I185" s="21">
        <f>G185*H185</f>
        <v/>
      </c>
      <c r="J185" s="16">
        <f>IFERROR(INDEX('06_BANG_GIA_VAT_TU_AP_DUNG'!$E$1:$E$5000, MATCH(E185, '06_BANG_GIA_VAT_TU_AP_DUNG'!$B$1:$B$5000, 0)), 0)</f>
        <v/>
      </c>
      <c r="K185" s="16">
        <f>I185*J185</f>
        <v/>
      </c>
      <c r="L185" t="inlineStr">
        <is>
          <t>Bọc 2 lớp tấm 10mm quanh thân L=300mm (8 modul 1000x500mm)</t>
        </is>
      </c>
    </row>
    <row r="186">
      <c r="A186" t="inlineStr">
        <is>
          <t>SW-DAMPER-062-FB20-BLADE</t>
        </is>
      </c>
      <c r="B186" t="inlineStr">
        <is>
          <t>SW-DAMPER-062</t>
        </is>
      </c>
      <c r="C186" t="inlineStr">
        <is>
          <t>Tấm chống cháy dày 20mm làm lõi cánh van FD/MFD</t>
        </is>
      </c>
      <c r="D186" t="inlineStr">
        <is>
          <t>VẬT_LIỆU_CÁCH_NHIỆT</t>
        </is>
      </c>
      <c r="E186" t="inlineStr">
        <is>
          <t>MAT-FIREBOARD-20MM-BLADE</t>
        </is>
      </c>
      <c r="F186" t="inlineStr">
        <is>
          <t>m2</t>
        </is>
      </c>
      <c r="G186" s="20" t="n">
        <v>4.881394516521497</v>
      </c>
      <c r="H186" s="16">
        <f>'00_TONG_HOP_BAO_GIA'!G63</f>
        <v/>
      </c>
      <c r="I186" s="21">
        <f>G186*H186</f>
        <v/>
      </c>
      <c r="J186" s="16">
        <f>IFERROR(INDEX('06_BANG_GIA_VAT_TU_AP_DUNG'!$E$1:$E$5000, MATCH(E186, '06_BANG_GIA_VAT_TU_AP_DUNG'!$B$1:$B$5000, 0)), 0)</f>
        <v/>
      </c>
      <c r="K186" s="16">
        <f>I186*J186</f>
        <v/>
      </c>
      <c r="L186" t="inlineStr">
        <is>
          <t>Lõi cánh tấm 20mm (Cánh đơn 1000x500mm (8 modul 1000x500mm))</t>
        </is>
      </c>
    </row>
    <row r="187">
      <c r="A187" t="inlineStr">
        <is>
          <t>SW-DAMPER-062-FB10-BLADE</t>
        </is>
      </c>
      <c r="B187" t="inlineStr">
        <is>
          <t>SW-DAMPER-062</t>
        </is>
      </c>
      <c r="C187" t="inlineStr">
        <is>
          <t>Tấm chống cháy dày 10mm ốp 2 mặt cánh van FD/MFD</t>
        </is>
      </c>
      <c r="D187" t="inlineStr">
        <is>
          <t>VẬT_LIỆU_CÁCH_NHIỆT</t>
        </is>
      </c>
      <c r="E187" t="inlineStr">
        <is>
          <t>MAT-FIREBOARD-10MM-BLADE</t>
        </is>
      </c>
      <c r="F187" t="inlineStr">
        <is>
          <t>m2</t>
        </is>
      </c>
      <c r="G187" s="20" t="n">
        <v>9.762789033042994</v>
      </c>
      <c r="H187" s="16">
        <f>'00_TONG_HOP_BAO_GIA'!G63</f>
        <v/>
      </c>
      <c r="I187" s="21">
        <f>G187*H187</f>
        <v/>
      </c>
      <c r="J187" s="16">
        <f>IFERROR(INDEX('06_BANG_GIA_VAT_TU_AP_DUNG'!$E$1:$E$5000, MATCH(E187, '06_BANG_GIA_VAT_TU_AP_DUNG'!$B$1:$B$5000, 0)), 0)</f>
        <v/>
      </c>
      <c r="K187" s="16">
        <f>I187*J187</f>
        <v/>
      </c>
      <c r="L187" t="inlineStr">
        <is>
          <t>Ốp 2 mặt cánh tấm 10mm (Cánh đơn 1000x500mm (8 modul 1000x500mm))</t>
        </is>
      </c>
    </row>
    <row r="188">
      <c r="A188" t="inlineStr">
        <is>
          <t>SW-DAMPER-062-SPRING-BOX</t>
        </is>
      </c>
      <c r="B188" t="inlineStr">
        <is>
          <t>SW-DAMPER-062</t>
        </is>
      </c>
      <c r="C188" t="inlineStr">
        <is>
          <t>Hộp lò xo van chặn lửa FD/MFD</t>
        </is>
      </c>
      <c r="D188" t="inlineStr">
        <is>
          <t>PHỤ_KIỆN_VAN</t>
        </is>
      </c>
      <c r="E188" t="inlineStr">
        <is>
          <t>MAT-DAMPER-HOP-LO-XO</t>
        </is>
      </c>
      <c r="F188" t="inlineStr">
        <is>
          <t>Bộ</t>
        </is>
      </c>
      <c r="G188" s="20" t="n">
        <v>8</v>
      </c>
      <c r="H188" s="16">
        <f>'00_TONG_HOP_BAO_GIA'!G63</f>
        <v/>
      </c>
      <c r="I188" s="21">
        <f>G188*H188</f>
        <v/>
      </c>
      <c r="J188" s="16">
        <f>IFERROR(INDEX('06_BANG_GIA_VAT_TU_AP_DUNG'!$E$1:$E$5000, MATCH(E188, '06_BANG_GIA_VAT_TU_AP_DUNG'!$B$1:$B$5000, 0)), 0)</f>
        <v/>
      </c>
      <c r="K188" s="16">
        <f>I188*J188</f>
        <v/>
      </c>
      <c r="L188" t="inlineStr">
        <is>
          <t>Hộp lò xo cơ cấu đóng sập (8 bộ)</t>
        </is>
      </c>
    </row>
    <row r="189">
      <c r="A189" t="inlineStr">
        <is>
          <t>SW-DAMPER-062-SILICON-BOLT</t>
        </is>
      </c>
      <c r="B189" t="inlineStr">
        <is>
          <t>SW-DAMPER-062</t>
        </is>
      </c>
      <c r="C189" t="inlineStr">
        <is>
          <t>Silicon chống cháy + bu lông, ốc vít van FD/MFD</t>
        </is>
      </c>
      <c r="D189" t="inlineStr">
        <is>
          <t>PHỤ_KIỆN_VAN</t>
        </is>
      </c>
      <c r="E189" t="inlineStr">
        <is>
          <t>MAT-DAMPER-SILICON-BULONG-VIT</t>
        </is>
      </c>
      <c r="F189" t="inlineStr">
        <is>
          <t>Bộ</t>
        </is>
      </c>
      <c r="G189" s="20" t="n">
        <v>8</v>
      </c>
      <c r="H189" s="16">
        <f>'00_TONG_HOP_BAO_GIA'!G63</f>
        <v/>
      </c>
      <c r="I189" s="21">
        <f>G189*H189</f>
        <v/>
      </c>
      <c r="J189" s="16">
        <f>IFERROR(INDEX('06_BANG_GIA_VAT_TU_AP_DUNG'!$E$1:$E$5000, MATCH(E189, '06_BANG_GIA_VAT_TU_AP_DUNG'!$B$1:$B$5000, 0)), 0)</f>
        <v/>
      </c>
      <c r="K189" s="16">
        <f>I189*J189</f>
        <v/>
      </c>
      <c r="L189" t="inlineStr">
        <is>
          <t>Keo silicon chống cháy &amp; phụ kiện lắp ghép (8 bộ)</t>
        </is>
      </c>
    </row>
    <row r="190">
      <c r="A190" t="inlineStr">
        <is>
          <t>SW-DAMPER-063-BODY</t>
        </is>
      </c>
      <c r="B190" t="inlineStr">
        <is>
          <t>SW-DAMPER-063</t>
        </is>
      </c>
      <c r="C190" t="inlineStr">
        <is>
          <t>Thân vỏ van MFD bích C30/TDF (1.15mm)</t>
        </is>
      </c>
      <c r="D190" t="inlineStr">
        <is>
          <t>TÔN_CUỘN_MẠ_KẼM</t>
        </is>
      </c>
      <c r="E190" t="inlineStr">
        <is>
          <t>MAT-STEEL-PN-1.15</t>
        </is>
      </c>
      <c r="F190" t="inlineStr">
        <is>
          <t>kg</t>
        </is>
      </c>
      <c r="G190" s="20" t="n">
        <v>6.47259113579838</v>
      </c>
      <c r="H190" s="16">
        <f>'00_TONG_HOP_BAO_GIA'!G64</f>
        <v/>
      </c>
      <c r="I190" s="21">
        <f>G190*H190</f>
        <v/>
      </c>
      <c r="J190" s="16">
        <f>IFERROR(INDEX('06_BANG_GIA_VAT_TU_AP_DUNG'!$E$1:$E$5000, MATCH(E190, '06_BANG_GIA_VAT_TU_AP_DUNG'!$B$1:$B$5000, 0)), 0)</f>
        <v/>
      </c>
      <c r="K190" s="16">
        <f>I190*J190</f>
        <v/>
      </c>
      <c r="L190" t="inlineStr">
        <is>
          <t>Kích thước vỏ 700x300x200mm</t>
        </is>
      </c>
    </row>
    <row r="191">
      <c r="A191" t="inlineStr">
        <is>
          <t>SW-DAMPER-063-BLADE</t>
        </is>
      </c>
      <c r="B191" t="inlineStr">
        <is>
          <t>SW-DAMPER-063</t>
        </is>
      </c>
      <c r="C191" t="inlineStr">
        <is>
          <t>Lá cánh / Tôn tấm bọc van (1 cánh)</t>
        </is>
      </c>
      <c r="D191" t="inlineStr">
        <is>
          <t>TÔN_CUỘN_MẠ_KẼM</t>
        </is>
      </c>
      <c r="E191" t="inlineStr">
        <is>
          <t>MAT-STEEL-PN-1.15</t>
        </is>
      </c>
      <c r="F191" t="inlineStr">
        <is>
          <t>kg</t>
        </is>
      </c>
      <c r="G191" s="20" t="n">
        <v>4.700501914160043</v>
      </c>
      <c r="H191" s="16">
        <f>'00_TONG_HOP_BAO_GIA'!G64</f>
        <v/>
      </c>
      <c r="I191" s="21">
        <f>G191*H191</f>
        <v/>
      </c>
      <c r="J191" s="16">
        <f>IFERROR(INDEX('06_BANG_GIA_VAT_TU_AP_DUNG'!$E$1:$E$5000, MATCH(E191, '06_BANG_GIA_VAT_TU_AP_DUNG'!$B$1:$B$5000, 0)), 0)</f>
        <v/>
      </c>
      <c r="K191" s="16">
        <f>I191*J191</f>
        <v/>
      </c>
      <c r="L191" t="inlineStr">
        <is>
          <t>Tôn bọc cánh &amp; thân (1 cánh/modul)</t>
        </is>
      </c>
    </row>
    <row r="192">
      <c r="A192" t="inlineStr">
        <is>
          <t>SW-DAMPER-063-AXLE</t>
        </is>
      </c>
      <c r="B192" t="inlineStr">
        <is>
          <t>SW-DAMPER-063</t>
        </is>
      </c>
      <c r="C192" t="inlineStr">
        <is>
          <t>Trục Sus 201 D10</t>
        </is>
      </c>
      <c r="D192" t="inlineStr">
        <is>
          <t>PHỤ_KIỆN_VAN</t>
        </is>
      </c>
      <c r="E192" t="inlineStr">
        <is>
          <t>MAT-DAMPER-TRUC-SUS-201-D10</t>
        </is>
      </c>
      <c r="F192" t="inlineStr">
        <is>
          <t>m</t>
        </is>
      </c>
      <c r="G192" s="20" t="n">
        <v>0.9421955281511871</v>
      </c>
      <c r="H192" s="16">
        <f>'00_TONG_HOP_BAO_GIA'!G64</f>
        <v/>
      </c>
      <c r="I192" s="21">
        <f>G192*H192</f>
        <v/>
      </c>
      <c r="J192" s="16">
        <f>IFERROR(INDEX('06_BANG_GIA_VAT_TU_AP_DUNG'!$E$1:$E$5000, MATCH(E192, '06_BANG_GIA_VAT_TU_AP_DUNG'!$B$1:$B$5000, 0)), 0)</f>
        <v/>
      </c>
      <c r="K192" s="16">
        <f>I192*J192</f>
        <v/>
      </c>
      <c r="L192" t="inlineStr">
        <is>
          <t>1 trục dài 760mm</t>
        </is>
      </c>
    </row>
    <row r="193">
      <c r="A193" t="inlineStr">
        <is>
          <t>SW-DAMPER-063-BEARING</t>
        </is>
      </c>
      <c r="B193" t="inlineStr">
        <is>
          <t>SW-DAMPER-063</t>
        </is>
      </c>
      <c r="C193" t="inlineStr">
        <is>
          <t>Bạc đồng D10</t>
        </is>
      </c>
      <c r="D193" t="inlineStr">
        <is>
          <t>PHỤ_KIỆN_VAN</t>
        </is>
      </c>
      <c r="E193" t="inlineStr">
        <is>
          <t>MAT-DAMPER-BAC-DONG-D10</t>
        </is>
      </c>
      <c r="F193" t="inlineStr">
        <is>
          <t>Đôi</t>
        </is>
      </c>
      <c r="G193" s="20" t="n">
        <v>1</v>
      </c>
      <c r="H193" s="16">
        <f>'00_TONG_HOP_BAO_GIA'!G64</f>
        <v/>
      </c>
      <c r="I193" s="21">
        <f>G193*H193</f>
        <v/>
      </c>
      <c r="J193" s="16">
        <f>IFERROR(INDEX('06_BANG_GIA_VAT_TU_AP_DUNG'!$E$1:$E$5000, MATCH(E193, '06_BANG_GIA_VAT_TU_AP_DUNG'!$B$1:$B$5000, 0)), 0)</f>
        <v/>
      </c>
      <c r="K193" s="16">
        <f>I193*J193</f>
        <v/>
      </c>
      <c r="L193" t="inlineStr">
        <is>
          <t>1 đôi bạc đỡ 2 bên thân</t>
        </is>
      </c>
    </row>
    <row r="194">
      <c r="A194" t="inlineStr">
        <is>
          <t>SW-DAMPER-063-ACTUATOR</t>
        </is>
      </c>
      <c r="B194" t="inlineStr">
        <is>
          <t>SW-DAMPER-063</t>
        </is>
      </c>
      <c r="C194" t="inlineStr">
        <is>
          <t>Động cơ chặn lửa ON/OFF KLB (Swin V6006FS500S EI90) 5Nm</t>
        </is>
      </c>
      <c r="D194" t="inlineStr">
        <is>
          <t>ĐỘNG_CƠ_VÀ_CẢM_BIẾN</t>
        </is>
      </c>
      <c r="E194" t="inlineStr">
        <is>
          <t>MAT-ACTUATOR-KLB-V6006FS500S</t>
        </is>
      </c>
      <c r="F194" t="inlineStr">
        <is>
          <t>Cái</t>
        </is>
      </c>
      <c r="G194" s="20" t="n">
        <v>1</v>
      </c>
      <c r="H194" s="16">
        <f>'00_TONG_HOP_BAO_GIA'!G64</f>
        <v/>
      </c>
      <c r="I194" s="21">
        <f>G194*H194</f>
        <v/>
      </c>
      <c r="J194" s="16">
        <f>IFERROR(INDEX('06_BANG_GIA_VAT_TU_AP_DUNG'!$E$1:$E$5000, MATCH(E194, '06_BANG_GIA_VAT_TU_AP_DUNG'!$B$1:$B$5000, 0)), 0)</f>
        <v/>
      </c>
      <c r="K194" s="16">
        <f>I194*J194</f>
        <v/>
      </c>
      <c r="L194" t="inlineStr">
        <is>
          <t>Động cơ lò xo phản hồi MFD (1 bộ)</t>
        </is>
      </c>
    </row>
    <row r="195">
      <c r="A195" t="inlineStr">
        <is>
          <t>SW-DAMPER-063-FB10-BODY</t>
        </is>
      </c>
      <c r="B195" t="inlineStr">
        <is>
          <t>SW-DAMPER-063</t>
        </is>
      </c>
      <c r="C195" t="inlineStr">
        <is>
          <t>Tấm chống cháy dày 10mm bọc thân van FD/MFD (2 lớp)</t>
        </is>
      </c>
      <c r="D195" t="inlineStr">
        <is>
          <t>VẬT_LIỆU_CÁCH_NHIỆT</t>
        </is>
      </c>
      <c r="E195" t="inlineStr">
        <is>
          <t>MAT-FIREBOARD-10MM-BODY</t>
        </is>
      </c>
      <c r="F195" t="inlineStr">
        <is>
          <t>m2</t>
        </is>
      </c>
      <c r="G195" s="20" t="n">
        <v>1.487677149712401</v>
      </c>
      <c r="H195" s="16">
        <f>'00_TONG_HOP_BAO_GIA'!G64</f>
        <v/>
      </c>
      <c r="I195" s="21">
        <f>G195*H195</f>
        <v/>
      </c>
      <c r="J195" s="16">
        <f>IFERROR(INDEX('06_BANG_GIA_VAT_TU_AP_DUNG'!$E$1:$E$5000, MATCH(E195, '06_BANG_GIA_VAT_TU_AP_DUNG'!$B$1:$B$5000, 0)), 0)</f>
        <v/>
      </c>
      <c r="K195" s="16">
        <f>I195*J195</f>
        <v/>
      </c>
      <c r="L195" t="inlineStr">
        <is>
          <t>Bọc 2 lớp tấm 10mm quanh thân L=300mm</t>
        </is>
      </c>
    </row>
    <row r="196">
      <c r="A196" t="inlineStr">
        <is>
          <t>SW-DAMPER-063-FB20-BLADE</t>
        </is>
      </c>
      <c r="B196" t="inlineStr">
        <is>
          <t>SW-DAMPER-063</t>
        </is>
      </c>
      <c r="C196" t="inlineStr">
        <is>
          <t>Tấm chống cháy dày 20mm làm lõi cánh van FD/MFD</t>
        </is>
      </c>
      <c r="D196" t="inlineStr">
        <is>
          <t>VẬT_LIỆU_CÁCH_NHIỆT</t>
        </is>
      </c>
      <c r="E196" t="inlineStr">
        <is>
          <t>MAT-FIREBOARD-20MM-BLADE</t>
        </is>
      </c>
      <c r="F196" t="inlineStr">
        <is>
          <t>m2</t>
        </is>
      </c>
      <c r="G196" s="20" t="n">
        <v>0.2603435011996701</v>
      </c>
      <c r="H196" s="16">
        <f>'00_TONG_HOP_BAO_GIA'!G64</f>
        <v/>
      </c>
      <c r="I196" s="21">
        <f>G196*H196</f>
        <v/>
      </c>
      <c r="J196" s="16">
        <f>IFERROR(INDEX('06_BANG_GIA_VAT_TU_AP_DUNG'!$E$1:$E$5000, MATCH(E196, '06_BANG_GIA_VAT_TU_AP_DUNG'!$B$1:$B$5000, 0)), 0)</f>
        <v/>
      </c>
      <c r="K196" s="16">
        <f>I196*J196</f>
        <v/>
      </c>
      <c r="L196" t="inlineStr">
        <is>
          <t>Lõi cánh tấm 20mm (Cánh đơn 700x300mm)</t>
        </is>
      </c>
    </row>
    <row r="197">
      <c r="A197" t="inlineStr">
        <is>
          <t>SW-DAMPER-063-FB10-BLADE</t>
        </is>
      </c>
      <c r="B197" t="inlineStr">
        <is>
          <t>SW-DAMPER-063</t>
        </is>
      </c>
      <c r="C197" t="inlineStr">
        <is>
          <t>Tấm chống cháy dày 10mm ốp 2 mặt cánh van FD/MFD</t>
        </is>
      </c>
      <c r="D197" t="inlineStr">
        <is>
          <t>VẬT_LIỆU_CÁCH_NHIỆT</t>
        </is>
      </c>
      <c r="E197" t="inlineStr">
        <is>
          <t>MAT-FIREBOARD-10MM-BLADE</t>
        </is>
      </c>
      <c r="F197" t="inlineStr">
        <is>
          <t>m2</t>
        </is>
      </c>
      <c r="G197" s="20" t="n">
        <v>0.5206870023993403</v>
      </c>
      <c r="H197" s="16">
        <f>'00_TONG_HOP_BAO_GIA'!G64</f>
        <v/>
      </c>
      <c r="I197" s="21">
        <f>G197*H197</f>
        <v/>
      </c>
      <c r="J197" s="16">
        <f>IFERROR(INDEX('06_BANG_GIA_VAT_TU_AP_DUNG'!$E$1:$E$5000, MATCH(E197, '06_BANG_GIA_VAT_TU_AP_DUNG'!$B$1:$B$5000, 0)), 0)</f>
        <v/>
      </c>
      <c r="K197" s="16">
        <f>I197*J197</f>
        <v/>
      </c>
      <c r="L197" t="inlineStr">
        <is>
          <t>Ốp 2 mặt cánh tấm 10mm (Cánh đơn 700x300mm)</t>
        </is>
      </c>
    </row>
    <row r="198">
      <c r="A198" t="inlineStr">
        <is>
          <t>SW-DAMPER-063-SPRING-BOX</t>
        </is>
      </c>
      <c r="B198" t="inlineStr">
        <is>
          <t>SW-DAMPER-063</t>
        </is>
      </c>
      <c r="C198" t="inlineStr">
        <is>
          <t>Hộp lò xo van chặn lửa FD/MFD</t>
        </is>
      </c>
      <c r="D198" t="inlineStr">
        <is>
          <t>PHỤ_KIỆN_VAN</t>
        </is>
      </c>
      <c r="E198" t="inlineStr">
        <is>
          <t>MAT-DAMPER-HOP-LO-XO</t>
        </is>
      </c>
      <c r="F198" t="inlineStr">
        <is>
          <t>Bộ</t>
        </is>
      </c>
      <c r="G198" s="20" t="n">
        <v>1</v>
      </c>
      <c r="H198" s="16">
        <f>'00_TONG_HOP_BAO_GIA'!G64</f>
        <v/>
      </c>
      <c r="I198" s="21">
        <f>G198*H198</f>
        <v/>
      </c>
      <c r="J198" s="16">
        <f>IFERROR(INDEX('06_BANG_GIA_VAT_TU_AP_DUNG'!$E$1:$E$5000, MATCH(E198, '06_BANG_GIA_VAT_TU_AP_DUNG'!$B$1:$B$5000, 0)), 0)</f>
        <v/>
      </c>
      <c r="K198" s="16">
        <f>I198*J198</f>
        <v/>
      </c>
      <c r="L198" t="inlineStr">
        <is>
          <t>Hộp lò xo cơ cấu đóng sập (1 bộ)</t>
        </is>
      </c>
    </row>
    <row r="199">
      <c r="A199" t="inlineStr">
        <is>
          <t>SW-DAMPER-063-SILICON-BOLT</t>
        </is>
      </c>
      <c r="B199" t="inlineStr">
        <is>
          <t>SW-DAMPER-063</t>
        </is>
      </c>
      <c r="C199" t="inlineStr">
        <is>
          <t>Silicon chống cháy + bu lông, ốc vít van FD/MFD</t>
        </is>
      </c>
      <c r="D199" t="inlineStr">
        <is>
          <t>PHỤ_KIỆN_VAN</t>
        </is>
      </c>
      <c r="E199" t="inlineStr">
        <is>
          <t>MAT-DAMPER-SILICON-BULONG-VIT</t>
        </is>
      </c>
      <c r="F199" t="inlineStr">
        <is>
          <t>Bộ</t>
        </is>
      </c>
      <c r="G199" s="20" t="n">
        <v>1</v>
      </c>
      <c r="H199" s="16">
        <f>'00_TONG_HOP_BAO_GIA'!G64</f>
        <v/>
      </c>
      <c r="I199" s="21">
        <f>G199*H199</f>
        <v/>
      </c>
      <c r="J199" s="16">
        <f>IFERROR(INDEX('06_BANG_GIA_VAT_TU_AP_DUNG'!$E$1:$E$5000, MATCH(E199, '06_BANG_GIA_VAT_TU_AP_DUNG'!$B$1:$B$5000, 0)), 0)</f>
        <v/>
      </c>
      <c r="K199" s="16">
        <f>I199*J199</f>
        <v/>
      </c>
      <c r="L199" t="inlineStr">
        <is>
          <t>Keo silicon chống cháy &amp; phụ kiện lắp ghép (1 bộ)</t>
        </is>
      </c>
    </row>
    <row r="200">
      <c r="A200" t="inlineStr">
        <is>
          <t>SW-DAMPER-064-BODY</t>
        </is>
      </c>
      <c r="B200" t="inlineStr">
        <is>
          <t>SW-DAMPER-064</t>
        </is>
      </c>
      <c r="C200" t="inlineStr">
        <is>
          <t>Thân vỏ van MFD bích C30/TDF (1.15mm)</t>
        </is>
      </c>
      <c r="D200" t="inlineStr">
        <is>
          <t>TÔN_CUỘN_MẠ_KẼM</t>
        </is>
      </c>
      <c r="E200" t="inlineStr">
        <is>
          <t>MAT-STEEL-PN-1.15</t>
        </is>
      </c>
      <c r="F200" t="inlineStr">
        <is>
          <t>kg</t>
        </is>
      </c>
      <c r="G200" s="20" t="n">
        <v>7.366855505109025</v>
      </c>
      <c r="H200" s="16">
        <f>'00_TONG_HOP_BAO_GIA'!G65</f>
        <v/>
      </c>
      <c r="I200" s="21">
        <f>G200*H200</f>
        <v/>
      </c>
      <c r="J200" s="16">
        <f>IFERROR(INDEX('06_BANG_GIA_VAT_TU_AP_DUNG'!$E$1:$E$5000, MATCH(E200, '06_BANG_GIA_VAT_TU_AP_DUNG'!$B$1:$B$5000, 0)), 0)</f>
        <v/>
      </c>
      <c r="K200" s="16">
        <f>I200*J200</f>
        <v/>
      </c>
      <c r="L200" t="inlineStr">
        <is>
          <t>Kích thước vỏ 800x350x200mm</t>
        </is>
      </c>
    </row>
    <row r="201">
      <c r="A201" t="inlineStr">
        <is>
          <t>SW-DAMPER-064-BLADE</t>
        </is>
      </c>
      <c r="B201" t="inlineStr">
        <is>
          <t>SW-DAMPER-064</t>
        </is>
      </c>
      <c r="C201" t="inlineStr">
        <is>
          <t>Lá cánh / Tôn tấm bọc van (1 cánh)</t>
        </is>
      </c>
      <c r="D201" t="inlineStr">
        <is>
          <t>TÔN_CUỘN_MẠ_KẼM</t>
        </is>
      </c>
      <c r="E201" t="inlineStr">
        <is>
          <t>MAT-STEEL-PN-1.15</t>
        </is>
      </c>
      <c r="F201" t="inlineStr">
        <is>
          <t>kg</t>
        </is>
      </c>
      <c r="G201" s="20" t="n">
        <v>6.218723651036425</v>
      </c>
      <c r="H201" s="16">
        <f>'00_TONG_HOP_BAO_GIA'!G65</f>
        <v/>
      </c>
      <c r="I201" s="21">
        <f>G201*H201</f>
        <v/>
      </c>
      <c r="J201" s="16">
        <f>IFERROR(INDEX('06_BANG_GIA_VAT_TU_AP_DUNG'!$E$1:$E$5000, MATCH(E201, '06_BANG_GIA_VAT_TU_AP_DUNG'!$B$1:$B$5000, 0)), 0)</f>
        <v/>
      </c>
      <c r="K201" s="16">
        <f>I201*J201</f>
        <v/>
      </c>
      <c r="L201" t="inlineStr">
        <is>
          <t>Tôn bọc cánh &amp; thân (1 cánh/modul)</t>
        </is>
      </c>
    </row>
    <row r="202">
      <c r="A202" t="inlineStr">
        <is>
          <t>SW-DAMPER-064-AXLE</t>
        </is>
      </c>
      <c r="B202" t="inlineStr">
        <is>
          <t>SW-DAMPER-064</t>
        </is>
      </c>
      <c r="C202" t="inlineStr">
        <is>
          <t>Trục Sus 201 D10</t>
        </is>
      </c>
      <c r="D202" t="inlineStr">
        <is>
          <t>PHỤ_KIỆN_VAN</t>
        </is>
      </c>
      <c r="E202" t="inlineStr">
        <is>
          <t>MAT-DAMPER-TRUC-SUS-201-D10</t>
        </is>
      </c>
      <c r="F202" t="inlineStr">
        <is>
          <t>m</t>
        </is>
      </c>
      <c r="G202" s="20" t="n">
        <v>1.057898947638432</v>
      </c>
      <c r="H202" s="16">
        <f>'00_TONG_HOP_BAO_GIA'!G65</f>
        <v/>
      </c>
      <c r="I202" s="21">
        <f>G202*H202</f>
        <v/>
      </c>
      <c r="J202" s="16">
        <f>IFERROR(INDEX('06_BANG_GIA_VAT_TU_AP_DUNG'!$E$1:$E$5000, MATCH(E202, '06_BANG_GIA_VAT_TU_AP_DUNG'!$B$1:$B$5000, 0)), 0)</f>
        <v/>
      </c>
      <c r="K202" s="16">
        <f>I202*J202</f>
        <v/>
      </c>
      <c r="L202" t="inlineStr">
        <is>
          <t>1 trục dài 860mm</t>
        </is>
      </c>
    </row>
    <row r="203">
      <c r="A203" t="inlineStr">
        <is>
          <t>SW-DAMPER-064-BEARING</t>
        </is>
      </c>
      <c r="B203" t="inlineStr">
        <is>
          <t>SW-DAMPER-064</t>
        </is>
      </c>
      <c r="C203" t="inlineStr">
        <is>
          <t>Bạc đồng D10</t>
        </is>
      </c>
      <c r="D203" t="inlineStr">
        <is>
          <t>PHỤ_KIỆN_VAN</t>
        </is>
      </c>
      <c r="E203" t="inlineStr">
        <is>
          <t>MAT-DAMPER-BAC-DONG-D10</t>
        </is>
      </c>
      <c r="F203" t="inlineStr">
        <is>
          <t>Đôi</t>
        </is>
      </c>
      <c r="G203" s="20" t="n">
        <v>1</v>
      </c>
      <c r="H203" s="16">
        <f>'00_TONG_HOP_BAO_GIA'!G65</f>
        <v/>
      </c>
      <c r="I203" s="21">
        <f>G203*H203</f>
        <v/>
      </c>
      <c r="J203" s="16">
        <f>IFERROR(INDEX('06_BANG_GIA_VAT_TU_AP_DUNG'!$E$1:$E$5000, MATCH(E203, '06_BANG_GIA_VAT_TU_AP_DUNG'!$B$1:$B$5000, 0)), 0)</f>
        <v/>
      </c>
      <c r="K203" s="16">
        <f>I203*J203</f>
        <v/>
      </c>
      <c r="L203" t="inlineStr">
        <is>
          <t>1 đôi bạc đỡ 2 bên thân</t>
        </is>
      </c>
    </row>
    <row r="204">
      <c r="A204" t="inlineStr">
        <is>
          <t>SW-DAMPER-064-ACTUATOR</t>
        </is>
      </c>
      <c r="B204" t="inlineStr">
        <is>
          <t>SW-DAMPER-064</t>
        </is>
      </c>
      <c r="C204" t="inlineStr">
        <is>
          <t>Động cơ chặn lửa ON/OFF KLB (Swin V6006FS500S EI90) 5Nm</t>
        </is>
      </c>
      <c r="D204" t="inlineStr">
        <is>
          <t>ĐỘNG_CƠ_VÀ_CẢM_BIẾN</t>
        </is>
      </c>
      <c r="E204" t="inlineStr">
        <is>
          <t>MAT-ACTUATOR-KLB-V6006FS500S</t>
        </is>
      </c>
      <c r="F204" t="inlineStr">
        <is>
          <t>Cái</t>
        </is>
      </c>
      <c r="G204" s="20" t="n">
        <v>1</v>
      </c>
      <c r="H204" s="16">
        <f>'00_TONG_HOP_BAO_GIA'!G65</f>
        <v/>
      </c>
      <c r="I204" s="21">
        <f>G204*H204</f>
        <v/>
      </c>
      <c r="J204" s="16">
        <f>IFERROR(INDEX('06_BANG_GIA_VAT_TU_AP_DUNG'!$E$1:$E$5000, MATCH(E204, '06_BANG_GIA_VAT_TU_AP_DUNG'!$B$1:$B$5000, 0)), 0)</f>
        <v/>
      </c>
      <c r="K204" s="16">
        <f>I204*J204</f>
        <v/>
      </c>
      <c r="L204" t="inlineStr">
        <is>
          <t>Động cơ lò xo phản hồi MFD (1 bộ)</t>
        </is>
      </c>
    </row>
    <row r="205">
      <c r="A205" t="inlineStr">
        <is>
          <t>SW-DAMPER-064-FB10-BODY</t>
        </is>
      </c>
      <c r="B205" t="inlineStr">
        <is>
          <t>SW-DAMPER-064</t>
        </is>
      </c>
      <c r="C205" t="inlineStr">
        <is>
          <t>Tấm chống cháy dày 10mm bọc thân van FD/MFD (2 lớp)</t>
        </is>
      </c>
      <c r="D205" t="inlineStr">
        <is>
          <t>VẬT_LIỆU_CÁCH_NHIỆT</t>
        </is>
      </c>
      <c r="E205" t="inlineStr">
        <is>
          <t>MAT-FIREBOARD-10MM-BODY</t>
        </is>
      </c>
      <c r="F205" t="inlineStr">
        <is>
          <t>m2</t>
        </is>
      </c>
      <c r="G205" s="20" t="n">
        <v>1.697558776443064</v>
      </c>
      <c r="H205" s="16">
        <f>'00_TONG_HOP_BAO_GIA'!G65</f>
        <v/>
      </c>
      <c r="I205" s="21">
        <f>G205*H205</f>
        <v/>
      </c>
      <c r="J205" s="16">
        <f>IFERROR(INDEX('06_BANG_GIA_VAT_TU_AP_DUNG'!$E$1:$E$5000, MATCH(E205, '06_BANG_GIA_VAT_TU_AP_DUNG'!$B$1:$B$5000, 0)), 0)</f>
        <v/>
      </c>
      <c r="K205" s="16">
        <f>I205*J205</f>
        <v/>
      </c>
      <c r="L205" t="inlineStr">
        <is>
          <t>Bọc 2 lớp tấm 10mm quanh thân L=300mm</t>
        </is>
      </c>
    </row>
    <row r="206">
      <c r="A206" t="inlineStr">
        <is>
          <t>SW-DAMPER-064-FB20-BLADE</t>
        </is>
      </c>
      <c r="B206" t="inlineStr">
        <is>
          <t>SW-DAMPER-064</t>
        </is>
      </c>
      <c r="C206" t="inlineStr">
        <is>
          <t>Tấm chống cháy dày 20mm làm lõi cánh van FD/MFD</t>
        </is>
      </c>
      <c r="D206" t="inlineStr">
        <is>
          <t>VẬT_LIỆU_CÁCH_NHIỆT</t>
        </is>
      </c>
      <c r="E206" t="inlineStr">
        <is>
          <t>MAT-FIREBOARD-20MM-BLADE</t>
        </is>
      </c>
      <c r="F206" t="inlineStr">
        <is>
          <t>m2</t>
        </is>
      </c>
      <c r="G206" s="20" t="n">
        <v>0.3444322155101869</v>
      </c>
      <c r="H206" s="16">
        <f>'00_TONG_HOP_BAO_GIA'!G65</f>
        <v/>
      </c>
      <c r="I206" s="21">
        <f>G206*H206</f>
        <v/>
      </c>
      <c r="J206" s="16">
        <f>IFERROR(INDEX('06_BANG_GIA_VAT_TU_AP_DUNG'!$E$1:$E$5000, MATCH(E206, '06_BANG_GIA_VAT_TU_AP_DUNG'!$B$1:$B$5000, 0)), 0)</f>
        <v/>
      </c>
      <c r="K206" s="16">
        <f>I206*J206</f>
        <v/>
      </c>
      <c r="L206" t="inlineStr">
        <is>
          <t>Lõi cánh tấm 20mm (Cánh đơn 800x350mm)</t>
        </is>
      </c>
    </row>
    <row r="207">
      <c r="A207" t="inlineStr">
        <is>
          <t>SW-DAMPER-064-FB10-BLADE</t>
        </is>
      </c>
      <c r="B207" t="inlineStr">
        <is>
          <t>SW-DAMPER-064</t>
        </is>
      </c>
      <c r="C207" t="inlineStr">
        <is>
          <t>Tấm chống cháy dày 10mm ốp 2 mặt cánh van FD/MFD</t>
        </is>
      </c>
      <c r="D207" t="inlineStr">
        <is>
          <t>VẬT_LIỆU_CÁCH_NHIỆT</t>
        </is>
      </c>
      <c r="E207" t="inlineStr">
        <is>
          <t>MAT-FIREBOARD-10MM-BLADE</t>
        </is>
      </c>
      <c r="F207" t="inlineStr">
        <is>
          <t>m2</t>
        </is>
      </c>
      <c r="G207" s="20" t="n">
        <v>0.6888644310203739</v>
      </c>
      <c r="H207" s="16">
        <f>'00_TONG_HOP_BAO_GIA'!G65</f>
        <v/>
      </c>
      <c r="I207" s="21">
        <f>G207*H207</f>
        <v/>
      </c>
      <c r="J207" s="16">
        <f>IFERROR(INDEX('06_BANG_GIA_VAT_TU_AP_DUNG'!$E$1:$E$5000, MATCH(E207, '06_BANG_GIA_VAT_TU_AP_DUNG'!$B$1:$B$5000, 0)), 0)</f>
        <v/>
      </c>
      <c r="K207" s="16">
        <f>I207*J207</f>
        <v/>
      </c>
      <c r="L207" t="inlineStr">
        <is>
          <t>Ốp 2 mặt cánh tấm 10mm (Cánh đơn 800x350mm)</t>
        </is>
      </c>
    </row>
    <row r="208">
      <c r="A208" t="inlineStr">
        <is>
          <t>SW-DAMPER-064-SPRING-BOX</t>
        </is>
      </c>
      <c r="B208" t="inlineStr">
        <is>
          <t>SW-DAMPER-064</t>
        </is>
      </c>
      <c r="C208" t="inlineStr">
        <is>
          <t>Hộp lò xo van chặn lửa FD/MFD</t>
        </is>
      </c>
      <c r="D208" t="inlineStr">
        <is>
          <t>PHỤ_KIỆN_VAN</t>
        </is>
      </c>
      <c r="E208" t="inlineStr">
        <is>
          <t>MAT-DAMPER-HOP-LO-XO</t>
        </is>
      </c>
      <c r="F208" t="inlineStr">
        <is>
          <t>Bộ</t>
        </is>
      </c>
      <c r="G208" s="20" t="n">
        <v>1</v>
      </c>
      <c r="H208" s="16">
        <f>'00_TONG_HOP_BAO_GIA'!G65</f>
        <v/>
      </c>
      <c r="I208" s="21">
        <f>G208*H208</f>
        <v/>
      </c>
      <c r="J208" s="16">
        <f>IFERROR(INDEX('06_BANG_GIA_VAT_TU_AP_DUNG'!$E$1:$E$5000, MATCH(E208, '06_BANG_GIA_VAT_TU_AP_DUNG'!$B$1:$B$5000, 0)), 0)</f>
        <v/>
      </c>
      <c r="K208" s="16">
        <f>I208*J208</f>
        <v/>
      </c>
      <c r="L208" t="inlineStr">
        <is>
          <t>Hộp lò xo cơ cấu đóng sập (1 bộ)</t>
        </is>
      </c>
    </row>
    <row r="209">
      <c r="A209" t="inlineStr">
        <is>
          <t>SW-DAMPER-064-SILICON-BOLT</t>
        </is>
      </c>
      <c r="B209" t="inlineStr">
        <is>
          <t>SW-DAMPER-064</t>
        </is>
      </c>
      <c r="C209" t="inlineStr">
        <is>
          <t>Silicon chống cháy + bu lông, ốc vít van FD/MFD</t>
        </is>
      </c>
      <c r="D209" t="inlineStr">
        <is>
          <t>PHỤ_KIỆN_VAN</t>
        </is>
      </c>
      <c r="E209" t="inlineStr">
        <is>
          <t>MAT-DAMPER-SILICON-BULONG-VIT</t>
        </is>
      </c>
      <c r="F209" t="inlineStr">
        <is>
          <t>Bộ</t>
        </is>
      </c>
      <c r="G209" s="20" t="n">
        <v>1</v>
      </c>
      <c r="H209" s="16">
        <f>'00_TONG_HOP_BAO_GIA'!G65</f>
        <v/>
      </c>
      <c r="I209" s="21">
        <f>G209*H209</f>
        <v/>
      </c>
      <c r="J209" s="16">
        <f>IFERROR(INDEX('06_BANG_GIA_VAT_TU_AP_DUNG'!$E$1:$E$5000, MATCH(E209, '06_BANG_GIA_VAT_TU_AP_DUNG'!$B$1:$B$5000, 0)), 0)</f>
        <v/>
      </c>
      <c r="K209" s="16">
        <f>I209*J209</f>
        <v/>
      </c>
      <c r="L209" t="inlineStr">
        <is>
          <t>Keo silicon chống cháy &amp; phụ kiện lắp ghép (1 bộ)</t>
        </is>
      </c>
    </row>
    <row r="210">
      <c r="A210" t="inlineStr">
        <is>
          <t>SW-DAMPER-065-BODY</t>
        </is>
      </c>
      <c r="B210" t="inlineStr">
        <is>
          <t>SW-DAMPER-065</t>
        </is>
      </c>
      <c r="C210" t="inlineStr">
        <is>
          <t>Thân vỏ van MFD bích C30/TDF (1.15mm)</t>
        </is>
      </c>
      <c r="D210" t="inlineStr">
        <is>
          <t>TÔN_CUỘN_MẠ_KẼM</t>
        </is>
      </c>
      <c r="E210" t="inlineStr">
        <is>
          <t>MAT-STEEL-PN-1.15</t>
        </is>
      </c>
      <c r="F210" t="inlineStr">
        <is>
          <t>kg</t>
        </is>
      </c>
      <c r="G210" s="20" t="n">
        <v>8.54563932977177</v>
      </c>
      <c r="H210" s="16">
        <f>'00_TONG_HOP_BAO_GIA'!G66</f>
        <v/>
      </c>
      <c r="I210" s="21">
        <f>G210*H210</f>
        <v/>
      </c>
      <c r="J210" s="16">
        <f>IFERROR(INDEX('06_BANG_GIA_VAT_TU_AP_DUNG'!$E$1:$E$5000, MATCH(E210, '06_BANG_GIA_VAT_TU_AP_DUNG'!$B$1:$B$5000, 0)), 0)</f>
        <v/>
      </c>
      <c r="K210" s="16">
        <f>I210*J210</f>
        <v/>
      </c>
      <c r="L210" t="inlineStr">
        <is>
          <t>Kích thước vỏ 1000x350x200mm</t>
        </is>
      </c>
    </row>
    <row r="211">
      <c r="A211" t="inlineStr">
        <is>
          <t>SW-DAMPER-065-BLADE</t>
        </is>
      </c>
      <c r="B211" t="inlineStr">
        <is>
          <t>SW-DAMPER-065</t>
        </is>
      </c>
      <c r="C211" t="inlineStr">
        <is>
          <t>Lá cánh / Tôn tấm bọc van (1 cánh)</t>
        </is>
      </c>
      <c r="D211" t="inlineStr">
        <is>
          <t>TÔN_CUỘN_MẠ_KẼM</t>
        </is>
      </c>
      <c r="E211" t="inlineStr">
        <is>
          <t>MAT-STEEL-PN-1.15</t>
        </is>
      </c>
      <c r="F211" t="inlineStr">
        <is>
          <t>kg</t>
        </is>
      </c>
      <c r="G211" s="20" t="n">
        <v>7.70085548325833</v>
      </c>
      <c r="H211" s="16">
        <f>'00_TONG_HOP_BAO_GIA'!G66</f>
        <v/>
      </c>
      <c r="I211" s="21">
        <f>G211*H211</f>
        <v/>
      </c>
      <c r="J211" s="16">
        <f>IFERROR(INDEX('06_BANG_GIA_VAT_TU_AP_DUNG'!$E$1:$E$5000, MATCH(E211, '06_BANG_GIA_VAT_TU_AP_DUNG'!$B$1:$B$5000, 0)), 0)</f>
        <v/>
      </c>
      <c r="K211" s="16">
        <f>I211*J211</f>
        <v/>
      </c>
      <c r="L211" t="inlineStr">
        <is>
          <t>Tôn bọc cánh &amp; thân (1 cánh/modul)</t>
        </is>
      </c>
    </row>
    <row r="212">
      <c r="A212" t="inlineStr">
        <is>
          <t>SW-DAMPER-065-AXLE</t>
        </is>
      </c>
      <c r="B212" t="inlineStr">
        <is>
          <t>SW-DAMPER-065</t>
        </is>
      </c>
      <c r="C212" t="inlineStr">
        <is>
          <t>Trục Sus 201 D10</t>
        </is>
      </c>
      <c r="D212" t="inlineStr">
        <is>
          <t>PHỤ_KIỆN_VAN</t>
        </is>
      </c>
      <c r="E212" t="inlineStr">
        <is>
          <t>MAT-DAMPER-TRUC-SUS-201-D10</t>
        </is>
      </c>
      <c r="F212" t="inlineStr">
        <is>
          <t>m</t>
        </is>
      </c>
      <c r="G212" s="20" t="n">
        <v>1.291752472564597</v>
      </c>
      <c r="H212" s="16">
        <f>'00_TONG_HOP_BAO_GIA'!G66</f>
        <v/>
      </c>
      <c r="I212" s="21">
        <f>G212*H212</f>
        <v/>
      </c>
      <c r="J212" s="16">
        <f>IFERROR(INDEX('06_BANG_GIA_VAT_TU_AP_DUNG'!$E$1:$E$5000, MATCH(E212, '06_BANG_GIA_VAT_TU_AP_DUNG'!$B$1:$B$5000, 0)), 0)</f>
        <v/>
      </c>
      <c r="K212" s="16">
        <f>I212*J212</f>
        <v/>
      </c>
      <c r="L212" t="inlineStr">
        <is>
          <t>1 trục dài 1060mm</t>
        </is>
      </c>
    </row>
    <row r="213">
      <c r="A213" t="inlineStr">
        <is>
          <t>SW-DAMPER-065-BEARING</t>
        </is>
      </c>
      <c r="B213" t="inlineStr">
        <is>
          <t>SW-DAMPER-065</t>
        </is>
      </c>
      <c r="C213" t="inlineStr">
        <is>
          <t>Bạc đồng D10</t>
        </is>
      </c>
      <c r="D213" t="inlineStr">
        <is>
          <t>PHỤ_KIỆN_VAN</t>
        </is>
      </c>
      <c r="E213" t="inlineStr">
        <is>
          <t>MAT-DAMPER-BAC-DONG-D10</t>
        </is>
      </c>
      <c r="F213" t="inlineStr">
        <is>
          <t>Đôi</t>
        </is>
      </c>
      <c r="G213" s="20" t="n">
        <v>1</v>
      </c>
      <c r="H213" s="16">
        <f>'00_TONG_HOP_BAO_GIA'!G66</f>
        <v/>
      </c>
      <c r="I213" s="21">
        <f>G213*H213</f>
        <v/>
      </c>
      <c r="J213" s="16">
        <f>IFERROR(INDEX('06_BANG_GIA_VAT_TU_AP_DUNG'!$E$1:$E$5000, MATCH(E213, '06_BANG_GIA_VAT_TU_AP_DUNG'!$B$1:$B$5000, 0)), 0)</f>
        <v/>
      </c>
      <c r="K213" s="16">
        <f>I213*J213</f>
        <v/>
      </c>
      <c r="L213" t="inlineStr">
        <is>
          <t>1 đôi bạc đỡ 2 bên thân</t>
        </is>
      </c>
    </row>
    <row r="214">
      <c r="A214" t="inlineStr">
        <is>
          <t>SW-DAMPER-065-ACTUATOR</t>
        </is>
      </c>
      <c r="B214" t="inlineStr">
        <is>
          <t>SW-DAMPER-065</t>
        </is>
      </c>
      <c r="C214" t="inlineStr">
        <is>
          <t>Động cơ chặn lửa ON/OFF KLB (Swin V6006FS500S EI90) 5Nm</t>
        </is>
      </c>
      <c r="D214" t="inlineStr">
        <is>
          <t>ĐỘNG_CƠ_VÀ_CẢM_BIẾN</t>
        </is>
      </c>
      <c r="E214" t="inlineStr">
        <is>
          <t>MAT-ACTUATOR-KLB-V6006FS500S</t>
        </is>
      </c>
      <c r="F214" t="inlineStr">
        <is>
          <t>Cái</t>
        </is>
      </c>
      <c r="G214" s="20" t="n">
        <v>1</v>
      </c>
      <c r="H214" s="16">
        <f>'00_TONG_HOP_BAO_GIA'!G66</f>
        <v/>
      </c>
      <c r="I214" s="21">
        <f>G214*H214</f>
        <v/>
      </c>
      <c r="J214" s="16">
        <f>IFERROR(INDEX('06_BANG_GIA_VAT_TU_AP_DUNG'!$E$1:$E$5000, MATCH(E214, '06_BANG_GIA_VAT_TU_AP_DUNG'!$B$1:$B$5000, 0)), 0)</f>
        <v/>
      </c>
      <c r="K214" s="16">
        <f>I214*J214</f>
        <v/>
      </c>
      <c r="L214" t="inlineStr">
        <is>
          <t>Động cơ lò xo phản hồi MFD (1 bộ)</t>
        </is>
      </c>
    </row>
    <row r="215">
      <c r="A215" t="inlineStr">
        <is>
          <t>SW-DAMPER-065-FB10-BODY</t>
        </is>
      </c>
      <c r="B215" t="inlineStr">
        <is>
          <t>SW-DAMPER-065</t>
        </is>
      </c>
      <c r="C215" t="inlineStr">
        <is>
          <t>Tấm chống cháy dày 10mm bọc thân van FD/MFD (2 lớp)</t>
        </is>
      </c>
      <c r="D215" t="inlineStr">
        <is>
          <t>VẬT_LIỆU_CÁCH_NHIỆT</t>
        </is>
      </c>
      <c r="E215" t="inlineStr">
        <is>
          <t>MAT-FIREBOARD-10MM-BODY</t>
        </is>
      </c>
      <c r="F215" t="inlineStr">
        <is>
          <t>m2</t>
        </is>
      </c>
      <c r="G215" s="20" t="n">
        <v>1.974187741089291</v>
      </c>
      <c r="H215" s="16">
        <f>'00_TONG_HOP_BAO_GIA'!G66</f>
        <v/>
      </c>
      <c r="I215" s="21">
        <f>G215*H215</f>
        <v/>
      </c>
      <c r="J215" s="16">
        <f>IFERROR(INDEX('06_BANG_GIA_VAT_TU_AP_DUNG'!$E$1:$E$5000, MATCH(E215, '06_BANG_GIA_VAT_TU_AP_DUNG'!$B$1:$B$5000, 0)), 0)</f>
        <v/>
      </c>
      <c r="K215" s="16">
        <f>I215*J215</f>
        <v/>
      </c>
      <c r="L215" t="inlineStr">
        <is>
          <t>Bọc 2 lớp tấm 10mm quanh thân L=300mm</t>
        </is>
      </c>
    </row>
    <row r="216">
      <c r="A216" t="inlineStr">
        <is>
          <t>SW-DAMPER-065-FB20-BLADE</t>
        </is>
      </c>
      <c r="B216" t="inlineStr">
        <is>
          <t>SW-DAMPER-065</t>
        </is>
      </c>
      <c r="C216" t="inlineStr">
        <is>
          <t>Tấm chống cháy dày 20mm làm lõi cánh van FD/MFD</t>
        </is>
      </c>
      <c r="D216" t="inlineStr">
        <is>
          <t>VẬT_LIỆU_CÁCH_NHIỆT</t>
        </is>
      </c>
      <c r="E216" t="inlineStr">
        <is>
          <t>MAT-FIREBOARD-20MM-BLADE</t>
        </is>
      </c>
      <c r="F216" t="inlineStr">
        <is>
          <t>m2</t>
        </is>
      </c>
      <c r="G216" s="20" t="n">
        <v>0.426522042827933</v>
      </c>
      <c r="H216" s="16">
        <f>'00_TONG_HOP_BAO_GIA'!G66</f>
        <v/>
      </c>
      <c r="I216" s="21">
        <f>G216*H216</f>
        <v/>
      </c>
      <c r="J216" s="16">
        <f>IFERROR(INDEX('06_BANG_GIA_VAT_TU_AP_DUNG'!$E$1:$E$5000, MATCH(E216, '06_BANG_GIA_VAT_TU_AP_DUNG'!$B$1:$B$5000, 0)), 0)</f>
        <v/>
      </c>
      <c r="K216" s="16">
        <f>I216*J216</f>
        <v/>
      </c>
      <c r="L216" t="inlineStr">
        <is>
          <t>Lõi cánh tấm 20mm (Cánh đơn 1000x350mm)</t>
        </is>
      </c>
    </row>
    <row r="217">
      <c r="A217" t="inlineStr">
        <is>
          <t>SW-DAMPER-065-FB10-BLADE</t>
        </is>
      </c>
      <c r="B217" t="inlineStr">
        <is>
          <t>SW-DAMPER-065</t>
        </is>
      </c>
      <c r="C217" t="inlineStr">
        <is>
          <t>Tấm chống cháy dày 10mm ốp 2 mặt cánh van FD/MFD</t>
        </is>
      </c>
      <c r="D217" t="inlineStr">
        <is>
          <t>VẬT_LIỆU_CÁCH_NHIỆT</t>
        </is>
      </c>
      <c r="E217" t="inlineStr">
        <is>
          <t>MAT-FIREBOARD-10MM-BLADE</t>
        </is>
      </c>
      <c r="F217" t="inlineStr">
        <is>
          <t>m2</t>
        </is>
      </c>
      <c r="G217" s="20" t="n">
        <v>0.8530440856558661</v>
      </c>
      <c r="H217" s="16">
        <f>'00_TONG_HOP_BAO_GIA'!G66</f>
        <v/>
      </c>
      <c r="I217" s="21">
        <f>G217*H217</f>
        <v/>
      </c>
      <c r="J217" s="16">
        <f>IFERROR(INDEX('06_BANG_GIA_VAT_TU_AP_DUNG'!$E$1:$E$5000, MATCH(E217, '06_BANG_GIA_VAT_TU_AP_DUNG'!$B$1:$B$5000, 0)), 0)</f>
        <v/>
      </c>
      <c r="K217" s="16">
        <f>I217*J217</f>
        <v/>
      </c>
      <c r="L217" t="inlineStr">
        <is>
          <t>Ốp 2 mặt cánh tấm 10mm (Cánh đơn 1000x350mm)</t>
        </is>
      </c>
    </row>
    <row r="218">
      <c r="A218" t="inlineStr">
        <is>
          <t>SW-DAMPER-065-SPRING-BOX</t>
        </is>
      </c>
      <c r="B218" t="inlineStr">
        <is>
          <t>SW-DAMPER-065</t>
        </is>
      </c>
      <c r="C218" t="inlineStr">
        <is>
          <t>Hộp lò xo van chặn lửa FD/MFD</t>
        </is>
      </c>
      <c r="D218" t="inlineStr">
        <is>
          <t>PHỤ_KIỆN_VAN</t>
        </is>
      </c>
      <c r="E218" t="inlineStr">
        <is>
          <t>MAT-DAMPER-HOP-LO-XO</t>
        </is>
      </c>
      <c r="F218" t="inlineStr">
        <is>
          <t>Bộ</t>
        </is>
      </c>
      <c r="G218" s="20" t="n">
        <v>1</v>
      </c>
      <c r="H218" s="16">
        <f>'00_TONG_HOP_BAO_GIA'!G66</f>
        <v/>
      </c>
      <c r="I218" s="21">
        <f>G218*H218</f>
        <v/>
      </c>
      <c r="J218" s="16">
        <f>IFERROR(INDEX('06_BANG_GIA_VAT_TU_AP_DUNG'!$E$1:$E$5000, MATCH(E218, '06_BANG_GIA_VAT_TU_AP_DUNG'!$B$1:$B$5000, 0)), 0)</f>
        <v/>
      </c>
      <c r="K218" s="16">
        <f>I218*J218</f>
        <v/>
      </c>
      <c r="L218" t="inlineStr">
        <is>
          <t>Hộp lò xo cơ cấu đóng sập (1 bộ)</t>
        </is>
      </c>
    </row>
    <row r="219">
      <c r="A219" t="inlineStr">
        <is>
          <t>SW-DAMPER-065-SILICON-BOLT</t>
        </is>
      </c>
      <c r="B219" t="inlineStr">
        <is>
          <t>SW-DAMPER-065</t>
        </is>
      </c>
      <c r="C219" t="inlineStr">
        <is>
          <t>Silicon chống cháy + bu lông, ốc vít van FD/MFD</t>
        </is>
      </c>
      <c r="D219" t="inlineStr">
        <is>
          <t>PHỤ_KIỆN_VAN</t>
        </is>
      </c>
      <c r="E219" t="inlineStr">
        <is>
          <t>MAT-DAMPER-SILICON-BULONG-VIT</t>
        </is>
      </c>
      <c r="F219" t="inlineStr">
        <is>
          <t>Bộ</t>
        </is>
      </c>
      <c r="G219" s="20" t="n">
        <v>1</v>
      </c>
      <c r="H219" s="16">
        <f>'00_TONG_HOP_BAO_GIA'!G66</f>
        <v/>
      </c>
      <c r="I219" s="21">
        <f>G219*H219</f>
        <v/>
      </c>
      <c r="J219" s="16">
        <f>IFERROR(INDEX('06_BANG_GIA_VAT_TU_AP_DUNG'!$E$1:$E$5000, MATCH(E219, '06_BANG_GIA_VAT_TU_AP_DUNG'!$B$1:$B$5000, 0)), 0)</f>
        <v/>
      </c>
      <c r="K219" s="16">
        <f>I219*J219</f>
        <v/>
      </c>
      <c r="L219" t="inlineStr">
        <is>
          <t>Keo silicon chống cháy &amp; phụ kiện lắp ghép (1 bộ)</t>
        </is>
      </c>
    </row>
    <row r="220">
      <c r="A220" t="inlineStr">
        <is>
          <t>SW-DAMPER-066-BODY</t>
        </is>
      </c>
      <c r="B220" t="inlineStr">
        <is>
          <t>SW-DAMPER-066</t>
        </is>
      </c>
      <c r="C220" t="inlineStr">
        <is>
          <t>Thân vỏ van MFD bích C30/TDF (1.15mm)</t>
        </is>
      </c>
      <c r="D220" t="inlineStr">
        <is>
          <t>TÔN_CUỘN_MẠ_KẼM</t>
        </is>
      </c>
      <c r="E220" t="inlineStr">
        <is>
          <t>MAT-STEEL-PN-1.15</t>
        </is>
      </c>
      <c r="F220" t="inlineStr">
        <is>
          <t>kg</t>
        </is>
      </c>
      <c r="G220" s="20" t="n">
        <v>8.520628734900511</v>
      </c>
      <c r="H220" s="16">
        <f>'00_TONG_HOP_BAO_GIA'!G67</f>
        <v/>
      </c>
      <c r="I220" s="21">
        <f>G220*H220</f>
        <v/>
      </c>
      <c r="J220" s="16">
        <f>IFERROR(INDEX('06_BANG_GIA_VAT_TU_AP_DUNG'!$E$1:$E$5000, MATCH(E220, '06_BANG_GIA_VAT_TU_AP_DUNG'!$B$1:$B$5000, 0)), 0)</f>
        <v/>
      </c>
      <c r="K220" s="16">
        <f>I220*J220</f>
        <v/>
      </c>
      <c r="L220" t="inlineStr">
        <is>
          <t>Kích thước vỏ 1050x300x200mm</t>
        </is>
      </c>
    </row>
    <row r="221">
      <c r="A221" t="inlineStr">
        <is>
          <t>SW-DAMPER-066-BLADE</t>
        </is>
      </c>
      <c r="B221" t="inlineStr">
        <is>
          <t>SW-DAMPER-066</t>
        </is>
      </c>
      <c r="C221" t="inlineStr">
        <is>
          <t>Lá cánh / Tôn tấm bọc van (1 cánh)</t>
        </is>
      </c>
      <c r="D221" t="inlineStr">
        <is>
          <t>TÔN_CUỘN_MẠ_KẼM</t>
        </is>
      </c>
      <c r="E221" t="inlineStr">
        <is>
          <t>MAT-STEEL-PN-1.15</t>
        </is>
      </c>
      <c r="F221" t="inlineStr">
        <is>
          <t>kg</t>
        </is>
      </c>
      <c r="G221" s="20" t="n">
        <v>6.910485591971216</v>
      </c>
      <c r="H221" s="16">
        <f>'00_TONG_HOP_BAO_GIA'!G67</f>
        <v/>
      </c>
      <c r="I221" s="21">
        <f>G221*H221</f>
        <v/>
      </c>
      <c r="J221" s="16">
        <f>IFERROR(INDEX('06_BANG_GIA_VAT_TU_AP_DUNG'!$E$1:$E$5000, MATCH(E221, '06_BANG_GIA_VAT_TU_AP_DUNG'!$B$1:$B$5000, 0)), 0)</f>
        <v/>
      </c>
      <c r="K221" s="16">
        <f>I221*J221</f>
        <v/>
      </c>
      <c r="L221" t="inlineStr">
        <is>
          <t>Tôn bọc cánh &amp; thân (1 cánh/modul)</t>
        </is>
      </c>
    </row>
    <row r="222">
      <c r="A222" t="inlineStr">
        <is>
          <t>SW-DAMPER-066-AXLE</t>
        </is>
      </c>
      <c r="B222" t="inlineStr">
        <is>
          <t>SW-DAMPER-066</t>
        </is>
      </c>
      <c r="C222" t="inlineStr">
        <is>
          <t>Trục Sus 201 D10</t>
        </is>
      </c>
      <c r="D222" t="inlineStr">
        <is>
          <t>PHỤ_KIỆN_VAN</t>
        </is>
      </c>
      <c r="E222" t="inlineStr">
        <is>
          <t>MAT-DAMPER-TRUC-SUS-201-D10</t>
        </is>
      </c>
      <c r="F222" t="inlineStr">
        <is>
          <t>m</t>
        </is>
      </c>
      <c r="G222" s="20" t="n">
        <v>1.348725280705437</v>
      </c>
      <c r="H222" s="16">
        <f>'00_TONG_HOP_BAO_GIA'!G67</f>
        <v/>
      </c>
      <c r="I222" s="21">
        <f>G222*H222</f>
        <v/>
      </c>
      <c r="J222" s="16">
        <f>IFERROR(INDEX('06_BANG_GIA_VAT_TU_AP_DUNG'!$E$1:$E$5000, MATCH(E222, '06_BANG_GIA_VAT_TU_AP_DUNG'!$B$1:$B$5000, 0)), 0)</f>
        <v/>
      </c>
      <c r="K222" s="16">
        <f>I222*J222</f>
        <v/>
      </c>
      <c r="L222" t="inlineStr">
        <is>
          <t>1 trục dài 1110mm</t>
        </is>
      </c>
    </row>
    <row r="223">
      <c r="A223" t="inlineStr">
        <is>
          <t>SW-DAMPER-066-BEARING</t>
        </is>
      </c>
      <c r="B223" t="inlineStr">
        <is>
          <t>SW-DAMPER-066</t>
        </is>
      </c>
      <c r="C223" t="inlineStr">
        <is>
          <t>Bạc đồng D10</t>
        </is>
      </c>
      <c r="D223" t="inlineStr">
        <is>
          <t>PHỤ_KIỆN_VAN</t>
        </is>
      </c>
      <c r="E223" t="inlineStr">
        <is>
          <t>MAT-DAMPER-BAC-DONG-D10</t>
        </is>
      </c>
      <c r="F223" t="inlineStr">
        <is>
          <t>Đôi</t>
        </is>
      </c>
      <c r="G223" s="20" t="n">
        <v>1</v>
      </c>
      <c r="H223" s="16">
        <f>'00_TONG_HOP_BAO_GIA'!G67</f>
        <v/>
      </c>
      <c r="I223" s="21">
        <f>G223*H223</f>
        <v/>
      </c>
      <c r="J223" s="16">
        <f>IFERROR(INDEX('06_BANG_GIA_VAT_TU_AP_DUNG'!$E$1:$E$5000, MATCH(E223, '06_BANG_GIA_VAT_TU_AP_DUNG'!$B$1:$B$5000, 0)), 0)</f>
        <v/>
      </c>
      <c r="K223" s="16">
        <f>I223*J223</f>
        <v/>
      </c>
      <c r="L223" t="inlineStr">
        <is>
          <t>1 đôi bạc đỡ 2 bên thân</t>
        </is>
      </c>
    </row>
    <row r="224">
      <c r="A224" t="inlineStr">
        <is>
          <t>SW-DAMPER-066-ACTUATOR</t>
        </is>
      </c>
      <c r="B224" t="inlineStr">
        <is>
          <t>SW-DAMPER-066</t>
        </is>
      </c>
      <c r="C224" t="inlineStr">
        <is>
          <t>Động cơ chặn lửa ON/OFF KLB (Swin V6006FS500S EI90) 5Nm</t>
        </is>
      </c>
      <c r="D224" t="inlineStr">
        <is>
          <t>ĐỘNG_CƠ_VÀ_CẢM_BIẾN</t>
        </is>
      </c>
      <c r="E224" t="inlineStr">
        <is>
          <t>MAT-ACTUATOR-KLB-V6006FS500S</t>
        </is>
      </c>
      <c r="F224" t="inlineStr">
        <is>
          <t>Cái</t>
        </is>
      </c>
      <c r="G224" s="20" t="n">
        <v>1</v>
      </c>
      <c r="H224" s="16">
        <f>'00_TONG_HOP_BAO_GIA'!G67</f>
        <v/>
      </c>
      <c r="I224" s="21">
        <f>G224*H224</f>
        <v/>
      </c>
      <c r="J224" s="16">
        <f>IFERROR(INDEX('06_BANG_GIA_VAT_TU_AP_DUNG'!$E$1:$E$5000, MATCH(E224, '06_BANG_GIA_VAT_TU_AP_DUNG'!$B$1:$B$5000, 0)), 0)</f>
        <v/>
      </c>
      <c r="K224" s="16">
        <f>I224*J224</f>
        <v/>
      </c>
      <c r="L224" t="inlineStr">
        <is>
          <t>Động cơ lò xo phản hồi MFD (1 bộ)</t>
        </is>
      </c>
    </row>
    <row r="225">
      <c r="A225" t="inlineStr">
        <is>
          <t>SW-DAMPER-066-FB10-BODY</t>
        </is>
      </c>
      <c r="B225" t="inlineStr">
        <is>
          <t>SW-DAMPER-066</t>
        </is>
      </c>
      <c r="C225" t="inlineStr">
        <is>
          <t>Tấm chống cháy dày 10mm bọc thân van FD/MFD (2 lớp)</t>
        </is>
      </c>
      <c r="D225" t="inlineStr">
        <is>
          <t>VẬT_LIỆU_CÁCH_NHIỆT</t>
        </is>
      </c>
      <c r="E225" t="inlineStr">
        <is>
          <t>MAT-FIREBOARD-10MM-BODY</t>
        </is>
      </c>
      <c r="F225" t="inlineStr">
        <is>
          <t>m2</t>
        </is>
      </c>
      <c r="G225" s="20" t="n">
        <v>1.968409869137665</v>
      </c>
      <c r="H225" s="16">
        <f>'00_TONG_HOP_BAO_GIA'!G67</f>
        <v/>
      </c>
      <c r="I225" s="21">
        <f>G225*H225</f>
        <v/>
      </c>
      <c r="J225" s="16">
        <f>IFERROR(INDEX('06_BANG_GIA_VAT_TU_AP_DUNG'!$E$1:$E$5000, MATCH(E225, '06_BANG_GIA_VAT_TU_AP_DUNG'!$B$1:$B$5000, 0)), 0)</f>
        <v/>
      </c>
      <c r="K225" s="16">
        <f>I225*J225</f>
        <v/>
      </c>
      <c r="L225" t="inlineStr">
        <is>
          <t>Bọc 2 lớp tấm 10mm quanh thân L=300mm</t>
        </is>
      </c>
    </row>
    <row r="226">
      <c r="A226" t="inlineStr">
        <is>
          <t>SW-DAMPER-066-FB20-BLADE</t>
        </is>
      </c>
      <c r="B226" t="inlineStr">
        <is>
          <t>SW-DAMPER-066</t>
        </is>
      </c>
      <c r="C226" t="inlineStr">
        <is>
          <t>Tấm chống cháy dày 20mm làm lõi cánh van FD/MFD</t>
        </is>
      </c>
      <c r="D226" t="inlineStr">
        <is>
          <t>VẬT_LIỆU_CÁCH_NHIỆT</t>
        </is>
      </c>
      <c r="E226" t="inlineStr">
        <is>
          <t>MAT-FIREBOARD-20MM-BLADE</t>
        </is>
      </c>
      <c r="F226" t="inlineStr">
        <is>
          <t>m2</t>
        </is>
      </c>
      <c r="G226" s="20" t="n">
        <v>0.3827463634434349</v>
      </c>
      <c r="H226" s="16">
        <f>'00_TONG_HOP_BAO_GIA'!G67</f>
        <v/>
      </c>
      <c r="I226" s="21">
        <f>G226*H226</f>
        <v/>
      </c>
      <c r="J226" s="16">
        <f>IFERROR(INDEX('06_BANG_GIA_VAT_TU_AP_DUNG'!$E$1:$E$5000, MATCH(E226, '06_BANG_GIA_VAT_TU_AP_DUNG'!$B$1:$B$5000, 0)), 0)</f>
        <v/>
      </c>
      <c r="K226" s="16">
        <f>I226*J226</f>
        <v/>
      </c>
      <c r="L226" t="inlineStr">
        <is>
          <t>Lõi cánh tấm 20mm (Cánh đơn 1050x300mm)</t>
        </is>
      </c>
    </row>
    <row r="227">
      <c r="A227" t="inlineStr">
        <is>
          <t>SW-DAMPER-066-FB10-BLADE</t>
        </is>
      </c>
      <c r="B227" t="inlineStr">
        <is>
          <t>SW-DAMPER-066</t>
        </is>
      </c>
      <c r="C227" t="inlineStr">
        <is>
          <t>Tấm chống cháy dày 10mm ốp 2 mặt cánh van FD/MFD</t>
        </is>
      </c>
      <c r="D227" t="inlineStr">
        <is>
          <t>VẬT_LIỆU_CÁCH_NHIỆT</t>
        </is>
      </c>
      <c r="E227" t="inlineStr">
        <is>
          <t>MAT-FIREBOARD-10MM-BLADE</t>
        </is>
      </c>
      <c r="F227" t="inlineStr">
        <is>
          <t>m2</t>
        </is>
      </c>
      <c r="G227" s="20" t="n">
        <v>0.7654927268868698</v>
      </c>
      <c r="H227" s="16">
        <f>'00_TONG_HOP_BAO_GIA'!G67</f>
        <v/>
      </c>
      <c r="I227" s="21">
        <f>G227*H227</f>
        <v/>
      </c>
      <c r="J227" s="16">
        <f>IFERROR(INDEX('06_BANG_GIA_VAT_TU_AP_DUNG'!$E$1:$E$5000, MATCH(E227, '06_BANG_GIA_VAT_TU_AP_DUNG'!$B$1:$B$5000, 0)), 0)</f>
        <v/>
      </c>
      <c r="K227" s="16">
        <f>I227*J227</f>
        <v/>
      </c>
      <c r="L227" t="inlineStr">
        <is>
          <t>Ốp 2 mặt cánh tấm 10mm (Cánh đơn 1050x300mm)</t>
        </is>
      </c>
    </row>
    <row r="228">
      <c r="A228" t="inlineStr">
        <is>
          <t>SW-DAMPER-066-SPRING-BOX</t>
        </is>
      </c>
      <c r="B228" t="inlineStr">
        <is>
          <t>SW-DAMPER-066</t>
        </is>
      </c>
      <c r="C228" t="inlineStr">
        <is>
          <t>Hộp lò xo van chặn lửa FD/MFD</t>
        </is>
      </c>
      <c r="D228" t="inlineStr">
        <is>
          <t>PHỤ_KIỆN_VAN</t>
        </is>
      </c>
      <c r="E228" t="inlineStr">
        <is>
          <t>MAT-DAMPER-HOP-LO-XO</t>
        </is>
      </c>
      <c r="F228" t="inlineStr">
        <is>
          <t>Bộ</t>
        </is>
      </c>
      <c r="G228" s="20" t="n">
        <v>1</v>
      </c>
      <c r="H228" s="16">
        <f>'00_TONG_HOP_BAO_GIA'!G67</f>
        <v/>
      </c>
      <c r="I228" s="21">
        <f>G228*H228</f>
        <v/>
      </c>
      <c r="J228" s="16">
        <f>IFERROR(INDEX('06_BANG_GIA_VAT_TU_AP_DUNG'!$E$1:$E$5000, MATCH(E228, '06_BANG_GIA_VAT_TU_AP_DUNG'!$B$1:$B$5000, 0)), 0)</f>
        <v/>
      </c>
      <c r="K228" s="16">
        <f>I228*J228</f>
        <v/>
      </c>
      <c r="L228" t="inlineStr">
        <is>
          <t>Hộp lò xo cơ cấu đóng sập (1 bộ)</t>
        </is>
      </c>
    </row>
    <row r="229">
      <c r="A229" t="inlineStr">
        <is>
          <t>SW-DAMPER-066-SILICON-BOLT</t>
        </is>
      </c>
      <c r="B229" t="inlineStr">
        <is>
          <t>SW-DAMPER-066</t>
        </is>
      </c>
      <c r="C229" t="inlineStr">
        <is>
          <t>Silicon chống cháy + bu lông, ốc vít van FD/MFD</t>
        </is>
      </c>
      <c r="D229" t="inlineStr">
        <is>
          <t>PHỤ_KIỆN_VAN</t>
        </is>
      </c>
      <c r="E229" t="inlineStr">
        <is>
          <t>MAT-DAMPER-SILICON-BULONG-VIT</t>
        </is>
      </c>
      <c r="F229" t="inlineStr">
        <is>
          <t>Bộ</t>
        </is>
      </c>
      <c r="G229" s="20" t="n">
        <v>1</v>
      </c>
      <c r="H229" s="16">
        <f>'00_TONG_HOP_BAO_GIA'!G67</f>
        <v/>
      </c>
      <c r="I229" s="21">
        <f>G229*H229</f>
        <v/>
      </c>
      <c r="J229" s="16">
        <f>IFERROR(INDEX('06_BANG_GIA_VAT_TU_AP_DUNG'!$E$1:$E$5000, MATCH(E229, '06_BANG_GIA_VAT_TU_AP_DUNG'!$B$1:$B$5000, 0)), 0)</f>
        <v/>
      </c>
      <c r="K229" s="16">
        <f>I229*J229</f>
        <v/>
      </c>
      <c r="L229" t="inlineStr">
        <is>
          <t>Keo silicon chống cháy &amp; phụ kiện lắp ghép (1 bộ)</t>
        </is>
      </c>
    </row>
    <row r="230">
      <c r="A230" t="inlineStr">
        <is>
          <t>SW-DAMPER-067-BODY</t>
        </is>
      </c>
      <c r="B230" t="inlineStr">
        <is>
          <t>SW-DAMPER-067</t>
        </is>
      </c>
      <c r="C230" t="inlineStr">
        <is>
          <t>Thân vỏ van MFD bích C30/TDF (1.15mm)</t>
        </is>
      </c>
      <c r="D230" t="inlineStr">
        <is>
          <t>TÔN_CUỘN_MẠ_KẼM</t>
        </is>
      </c>
      <c r="E230" t="inlineStr">
        <is>
          <t>MAT-STEEL-PN-1.15</t>
        </is>
      </c>
      <c r="F230" t="inlineStr">
        <is>
          <t>kg</t>
        </is>
      </c>
      <c r="G230" s="20" t="n">
        <v>8.838556253182086</v>
      </c>
      <c r="H230" s="16">
        <f>'00_TONG_HOP_BAO_GIA'!G68</f>
        <v/>
      </c>
      <c r="I230" s="21">
        <f>G230*H230</f>
        <v/>
      </c>
      <c r="J230" s="16">
        <f>IFERROR(INDEX('06_BANG_GIA_VAT_TU_AP_DUNG'!$E$1:$E$5000, MATCH(E230, '06_BANG_GIA_VAT_TU_AP_DUNG'!$B$1:$B$5000, 0)), 0)</f>
        <v/>
      </c>
      <c r="K230" s="16">
        <f>I230*J230</f>
        <v/>
      </c>
      <c r="L230" t="inlineStr">
        <is>
          <t>Kích thước vỏ 1050x350x200mm</t>
        </is>
      </c>
    </row>
    <row r="231">
      <c r="A231" t="inlineStr">
        <is>
          <t>SW-DAMPER-067-BLADE</t>
        </is>
      </c>
      <c r="B231" t="inlineStr">
        <is>
          <t>SW-DAMPER-067</t>
        </is>
      </c>
      <c r="C231" t="inlineStr">
        <is>
          <t>Lá cánh / Tôn tấm bọc van (1 cánh)</t>
        </is>
      </c>
      <c r="D231" t="inlineStr">
        <is>
          <t>TÔN_CUỘN_MẠ_KẼM</t>
        </is>
      </c>
      <c r="E231" t="inlineStr">
        <is>
          <t>MAT-STEEL-PN-1.15</t>
        </is>
      </c>
      <c r="F231" t="inlineStr">
        <is>
          <t>kg</t>
        </is>
      </c>
      <c r="G231" s="20" t="n">
        <v>8.068582912398877</v>
      </c>
      <c r="H231" s="16">
        <f>'00_TONG_HOP_BAO_GIA'!G68</f>
        <v/>
      </c>
      <c r="I231" s="21">
        <f>G231*H231</f>
        <v/>
      </c>
      <c r="J231" s="16">
        <f>IFERROR(INDEX('06_BANG_GIA_VAT_TU_AP_DUNG'!$E$1:$E$5000, MATCH(E231, '06_BANG_GIA_VAT_TU_AP_DUNG'!$B$1:$B$5000, 0)), 0)</f>
        <v/>
      </c>
      <c r="K231" s="16">
        <f>I231*J231</f>
        <v/>
      </c>
      <c r="L231" t="inlineStr">
        <is>
          <t>Tôn bọc cánh &amp; thân (1 cánh/modul)</t>
        </is>
      </c>
    </row>
    <row r="232">
      <c r="A232" t="inlineStr">
        <is>
          <t>SW-DAMPER-067-AXLE</t>
        </is>
      </c>
      <c r="B232" t="inlineStr">
        <is>
          <t>SW-DAMPER-067</t>
        </is>
      </c>
      <c r="C232" t="inlineStr">
        <is>
          <t>Trục Sus 201 D10</t>
        </is>
      </c>
      <c r="D232" t="inlineStr">
        <is>
          <t>PHỤ_KIỆN_VAN</t>
        </is>
      </c>
      <c r="E232" t="inlineStr">
        <is>
          <t>MAT-DAMPER-TRUC-SUS-201-D10</t>
        </is>
      </c>
      <c r="F232" t="inlineStr">
        <is>
          <t>m</t>
        </is>
      </c>
      <c r="G232" s="20" t="n">
        <v>1.349787521162699</v>
      </c>
      <c r="H232" s="16">
        <f>'00_TONG_HOP_BAO_GIA'!G68</f>
        <v/>
      </c>
      <c r="I232" s="21">
        <f>G232*H232</f>
        <v/>
      </c>
      <c r="J232" s="16">
        <f>IFERROR(INDEX('06_BANG_GIA_VAT_TU_AP_DUNG'!$E$1:$E$5000, MATCH(E232, '06_BANG_GIA_VAT_TU_AP_DUNG'!$B$1:$B$5000, 0)), 0)</f>
        <v/>
      </c>
      <c r="K232" s="16">
        <f>I232*J232</f>
        <v/>
      </c>
      <c r="L232" t="inlineStr">
        <is>
          <t>1 trục dài 1110mm</t>
        </is>
      </c>
    </row>
    <row r="233">
      <c r="A233" t="inlineStr">
        <is>
          <t>SW-DAMPER-067-BEARING</t>
        </is>
      </c>
      <c r="B233" t="inlineStr">
        <is>
          <t>SW-DAMPER-067</t>
        </is>
      </c>
      <c r="C233" t="inlineStr">
        <is>
          <t>Bạc đồng D10</t>
        </is>
      </c>
      <c r="D233" t="inlineStr">
        <is>
          <t>PHỤ_KIỆN_VAN</t>
        </is>
      </c>
      <c r="E233" t="inlineStr">
        <is>
          <t>MAT-DAMPER-BAC-DONG-D10</t>
        </is>
      </c>
      <c r="F233" t="inlineStr">
        <is>
          <t>Đôi</t>
        </is>
      </c>
      <c r="G233" s="20" t="n">
        <v>1</v>
      </c>
      <c r="H233" s="16">
        <f>'00_TONG_HOP_BAO_GIA'!G68</f>
        <v/>
      </c>
      <c r="I233" s="21">
        <f>G233*H233</f>
        <v/>
      </c>
      <c r="J233" s="16">
        <f>IFERROR(INDEX('06_BANG_GIA_VAT_TU_AP_DUNG'!$E$1:$E$5000, MATCH(E233, '06_BANG_GIA_VAT_TU_AP_DUNG'!$B$1:$B$5000, 0)), 0)</f>
        <v/>
      </c>
      <c r="K233" s="16">
        <f>I233*J233</f>
        <v/>
      </c>
      <c r="L233" t="inlineStr">
        <is>
          <t>1 đôi bạc đỡ 2 bên thân</t>
        </is>
      </c>
    </row>
    <row r="234">
      <c r="A234" t="inlineStr">
        <is>
          <t>SW-DAMPER-067-ACTUATOR</t>
        </is>
      </c>
      <c r="B234" t="inlineStr">
        <is>
          <t>SW-DAMPER-067</t>
        </is>
      </c>
      <c r="C234" t="inlineStr">
        <is>
          <t>Động cơ chặn lửa ON/OFF KLB (Swin V6006FS500S EI90) 5Nm</t>
        </is>
      </c>
      <c r="D234" t="inlineStr">
        <is>
          <t>ĐỘNG_CƠ_VÀ_CẢM_BIẾN</t>
        </is>
      </c>
      <c r="E234" t="inlineStr">
        <is>
          <t>MAT-ACTUATOR-KLB-V6006FS500S</t>
        </is>
      </c>
      <c r="F234" t="inlineStr">
        <is>
          <t>Cái</t>
        </is>
      </c>
      <c r="G234" s="20" t="n">
        <v>1</v>
      </c>
      <c r="H234" s="16">
        <f>'00_TONG_HOP_BAO_GIA'!G68</f>
        <v/>
      </c>
      <c r="I234" s="21">
        <f>G234*H234</f>
        <v/>
      </c>
      <c r="J234" s="16">
        <f>IFERROR(INDEX('06_BANG_GIA_VAT_TU_AP_DUNG'!$E$1:$E$5000, MATCH(E234, '06_BANG_GIA_VAT_TU_AP_DUNG'!$B$1:$B$5000, 0)), 0)</f>
        <v/>
      </c>
      <c r="K234" s="16">
        <f>I234*J234</f>
        <v/>
      </c>
      <c r="L234" t="inlineStr">
        <is>
          <t>Động cơ lò xo phản hồi MFD (1 bộ)</t>
        </is>
      </c>
    </row>
    <row r="235">
      <c r="A235" t="inlineStr">
        <is>
          <t>SW-DAMPER-067-FB10-BODY</t>
        </is>
      </c>
      <c r="B235" t="inlineStr">
        <is>
          <t>SW-DAMPER-067</t>
        </is>
      </c>
      <c r="C235" t="inlineStr">
        <is>
          <t>Tấm chống cháy dày 10mm bọc thân van FD/MFD (2 lớp)</t>
        </is>
      </c>
      <c r="D235" t="inlineStr">
        <is>
          <t>VẬT_LIỆU_CÁCH_NHIỆT</t>
        </is>
      </c>
      <c r="E235" t="inlineStr">
        <is>
          <t>MAT-FIREBOARD-10MM-BODY</t>
        </is>
      </c>
      <c r="F235" t="inlineStr">
        <is>
          <t>m2</t>
        </is>
      </c>
      <c r="G235" s="20" t="n">
        <v>2.042921653651653</v>
      </c>
      <c r="H235" s="16">
        <f>'00_TONG_HOP_BAO_GIA'!G68</f>
        <v/>
      </c>
      <c r="I235" s="21">
        <f>G235*H235</f>
        <v/>
      </c>
      <c r="J235" s="16">
        <f>IFERROR(INDEX('06_BANG_GIA_VAT_TU_AP_DUNG'!$E$1:$E$5000, MATCH(E235, '06_BANG_GIA_VAT_TU_AP_DUNG'!$B$1:$B$5000, 0)), 0)</f>
        <v/>
      </c>
      <c r="K235" s="16">
        <f>I235*J235</f>
        <v/>
      </c>
      <c r="L235" t="inlineStr">
        <is>
          <t>Bọc 2 lớp tấm 10mm quanh thân L=300mm</t>
        </is>
      </c>
    </row>
    <row r="236">
      <c r="A236" t="inlineStr">
        <is>
          <t>SW-DAMPER-067-FB20-BLADE</t>
        </is>
      </c>
      <c r="B236" t="inlineStr">
        <is>
          <t>SW-DAMPER-067</t>
        </is>
      </c>
      <c r="C236" t="inlineStr">
        <is>
          <t>Tấm chống cháy dày 20mm làm lõi cánh van FD/MFD</t>
        </is>
      </c>
      <c r="D236" t="inlineStr">
        <is>
          <t>VẬT_LIỆU_CÁCH_NHIỆT</t>
        </is>
      </c>
      <c r="E236" t="inlineStr">
        <is>
          <t>MAT-FIREBOARD-20MM-BLADE</t>
        </is>
      </c>
      <c r="F236" t="inlineStr">
        <is>
          <t>m2</t>
        </is>
      </c>
      <c r="G236" s="20" t="n">
        <v>0.446889111736299</v>
      </c>
      <c r="H236" s="16">
        <f>'00_TONG_HOP_BAO_GIA'!G68</f>
        <v/>
      </c>
      <c r="I236" s="21">
        <f>G236*H236</f>
        <v/>
      </c>
      <c r="J236" s="16">
        <f>IFERROR(INDEX('06_BANG_GIA_VAT_TU_AP_DUNG'!$E$1:$E$5000, MATCH(E236, '06_BANG_GIA_VAT_TU_AP_DUNG'!$B$1:$B$5000, 0)), 0)</f>
        <v/>
      </c>
      <c r="K236" s="16">
        <f>I236*J236</f>
        <v/>
      </c>
      <c r="L236" t="inlineStr">
        <is>
          <t>Lõi cánh tấm 20mm (Cánh đơn 1050x350mm)</t>
        </is>
      </c>
    </row>
    <row r="237">
      <c r="A237" t="inlineStr">
        <is>
          <t>SW-DAMPER-067-FB10-BLADE</t>
        </is>
      </c>
      <c r="B237" t="inlineStr">
        <is>
          <t>SW-DAMPER-067</t>
        </is>
      </c>
      <c r="C237" t="inlineStr">
        <is>
          <t>Tấm chống cháy dày 10mm ốp 2 mặt cánh van FD/MFD</t>
        </is>
      </c>
      <c r="D237" t="inlineStr">
        <is>
          <t>VẬT_LIỆU_CÁCH_NHIỆT</t>
        </is>
      </c>
      <c r="E237" t="inlineStr">
        <is>
          <t>MAT-FIREBOARD-10MM-BLADE</t>
        </is>
      </c>
      <c r="F237" t="inlineStr">
        <is>
          <t>m2</t>
        </is>
      </c>
      <c r="G237" s="20" t="n">
        <v>0.8937782234725981</v>
      </c>
      <c r="H237" s="16">
        <f>'00_TONG_HOP_BAO_GIA'!G68</f>
        <v/>
      </c>
      <c r="I237" s="21">
        <f>G237*H237</f>
        <v/>
      </c>
      <c r="J237" s="16">
        <f>IFERROR(INDEX('06_BANG_GIA_VAT_TU_AP_DUNG'!$E$1:$E$5000, MATCH(E237, '06_BANG_GIA_VAT_TU_AP_DUNG'!$B$1:$B$5000, 0)), 0)</f>
        <v/>
      </c>
      <c r="K237" s="16">
        <f>I237*J237</f>
        <v/>
      </c>
      <c r="L237" t="inlineStr">
        <is>
          <t>Ốp 2 mặt cánh tấm 10mm (Cánh đơn 1050x350mm)</t>
        </is>
      </c>
    </row>
    <row r="238">
      <c r="A238" t="inlineStr">
        <is>
          <t>SW-DAMPER-067-SPRING-BOX</t>
        </is>
      </c>
      <c r="B238" t="inlineStr">
        <is>
          <t>SW-DAMPER-067</t>
        </is>
      </c>
      <c r="C238" t="inlineStr">
        <is>
          <t>Hộp lò xo van chặn lửa FD/MFD</t>
        </is>
      </c>
      <c r="D238" t="inlineStr">
        <is>
          <t>PHỤ_KIỆN_VAN</t>
        </is>
      </c>
      <c r="E238" t="inlineStr">
        <is>
          <t>MAT-DAMPER-HOP-LO-XO</t>
        </is>
      </c>
      <c r="F238" t="inlineStr">
        <is>
          <t>Bộ</t>
        </is>
      </c>
      <c r="G238" s="20" t="n">
        <v>1</v>
      </c>
      <c r="H238" s="16">
        <f>'00_TONG_HOP_BAO_GIA'!G68</f>
        <v/>
      </c>
      <c r="I238" s="21">
        <f>G238*H238</f>
        <v/>
      </c>
      <c r="J238" s="16">
        <f>IFERROR(INDEX('06_BANG_GIA_VAT_TU_AP_DUNG'!$E$1:$E$5000, MATCH(E238, '06_BANG_GIA_VAT_TU_AP_DUNG'!$B$1:$B$5000, 0)), 0)</f>
        <v/>
      </c>
      <c r="K238" s="16">
        <f>I238*J238</f>
        <v/>
      </c>
      <c r="L238" t="inlineStr">
        <is>
          <t>Hộp lò xo cơ cấu đóng sập (1 bộ)</t>
        </is>
      </c>
    </row>
    <row r="239">
      <c r="A239" t="inlineStr">
        <is>
          <t>SW-DAMPER-067-SILICON-BOLT</t>
        </is>
      </c>
      <c r="B239" t="inlineStr">
        <is>
          <t>SW-DAMPER-067</t>
        </is>
      </c>
      <c r="C239" t="inlineStr">
        <is>
          <t>Silicon chống cháy + bu lông, ốc vít van FD/MFD</t>
        </is>
      </c>
      <c r="D239" t="inlineStr">
        <is>
          <t>PHỤ_KIỆN_VAN</t>
        </is>
      </c>
      <c r="E239" t="inlineStr">
        <is>
          <t>MAT-DAMPER-SILICON-BULONG-VIT</t>
        </is>
      </c>
      <c r="F239" t="inlineStr">
        <is>
          <t>Bộ</t>
        </is>
      </c>
      <c r="G239" s="20" t="n">
        <v>1</v>
      </c>
      <c r="H239" s="16">
        <f>'00_TONG_HOP_BAO_GIA'!G68</f>
        <v/>
      </c>
      <c r="I239" s="21">
        <f>G239*H239</f>
        <v/>
      </c>
      <c r="J239" s="16">
        <f>IFERROR(INDEX('06_BANG_GIA_VAT_TU_AP_DUNG'!$E$1:$E$5000, MATCH(E239, '06_BANG_GIA_VAT_TU_AP_DUNG'!$B$1:$B$5000, 0)), 0)</f>
        <v/>
      </c>
      <c r="K239" s="16">
        <f>I239*J239</f>
        <v/>
      </c>
      <c r="L239" t="inlineStr">
        <is>
          <t>Keo silicon chống cháy &amp; phụ kiện lắp ghép (1 bộ)</t>
        </is>
      </c>
    </row>
    <row r="240">
      <c r="A240" t="inlineStr">
        <is>
          <t>SW-DAMPER-068-BODY</t>
        </is>
      </c>
      <c r="B240" t="inlineStr">
        <is>
          <t>SW-DAMPER-068</t>
        </is>
      </c>
      <c r="C240" t="inlineStr">
        <is>
          <t>Thân vỏ van MFD bích C30/TDF (1.15mm)</t>
        </is>
      </c>
      <c r="D240" t="inlineStr">
        <is>
          <t>TÔN_CUỘN_MẠ_KẼM</t>
        </is>
      </c>
      <c r="E240" t="inlineStr">
        <is>
          <t>MAT-STEEL-PN-1.15</t>
        </is>
      </c>
      <c r="F240" t="inlineStr">
        <is>
          <t>kg</t>
        </is>
      </c>
      <c r="G240" s="20" t="n">
        <v>9.158953620885487</v>
      </c>
      <c r="H240" s="16">
        <f>'00_TONG_HOP_BAO_GIA'!G69</f>
        <v/>
      </c>
      <c r="I240" s="21">
        <f>G240*H240</f>
        <v/>
      </c>
      <c r="J240" s="16">
        <f>IFERROR(INDEX('06_BANG_GIA_VAT_TU_AP_DUNG'!$E$1:$E$5000, MATCH(E240, '06_BANG_GIA_VAT_TU_AP_DUNG'!$B$1:$B$5000, 0)), 0)</f>
        <v/>
      </c>
      <c r="K240" s="16">
        <f>I240*J240</f>
        <v/>
      </c>
      <c r="L240" t="inlineStr">
        <is>
          <t>Kích thước vỏ 1050x400x200mm</t>
        </is>
      </c>
    </row>
    <row r="241">
      <c r="A241" t="inlineStr">
        <is>
          <t>SW-DAMPER-068-BLADE</t>
        </is>
      </c>
      <c r="B241" t="inlineStr">
        <is>
          <t>SW-DAMPER-068</t>
        </is>
      </c>
      <c r="C241" t="inlineStr">
        <is>
          <t>Lá cánh / Tôn tấm bọc van (1 cánh)</t>
        </is>
      </c>
      <c r="D241" t="inlineStr">
        <is>
          <t>TÔN_CUỘN_MẠ_KẼM</t>
        </is>
      </c>
      <c r="E241" t="inlineStr">
        <is>
          <t>MAT-STEEL-PN-1.15</t>
        </is>
      </c>
      <c r="F241" t="inlineStr">
        <is>
          <t>kg</t>
        </is>
      </c>
      <c r="G241" s="20" t="n">
        <v>9.230489917748034</v>
      </c>
      <c r="H241" s="16">
        <f>'00_TONG_HOP_BAO_GIA'!G69</f>
        <v/>
      </c>
      <c r="I241" s="21">
        <f>G241*H241</f>
        <v/>
      </c>
      <c r="J241" s="16">
        <f>IFERROR(INDEX('06_BANG_GIA_VAT_TU_AP_DUNG'!$E$1:$E$5000, MATCH(E241, '06_BANG_GIA_VAT_TU_AP_DUNG'!$B$1:$B$5000, 0)), 0)</f>
        <v/>
      </c>
      <c r="K241" s="16">
        <f>I241*J241</f>
        <v/>
      </c>
      <c r="L241" t="inlineStr">
        <is>
          <t>Tôn bọc cánh &amp; thân (1 cánh/modul)</t>
        </is>
      </c>
    </row>
    <row r="242">
      <c r="A242" t="inlineStr">
        <is>
          <t>SW-DAMPER-068-AXLE</t>
        </is>
      </c>
      <c r="B242" t="inlineStr">
        <is>
          <t>SW-DAMPER-068</t>
        </is>
      </c>
      <c r="C242" t="inlineStr">
        <is>
          <t>Trục Sus 201 D10</t>
        </is>
      </c>
      <c r="D242" t="inlineStr">
        <is>
          <t>PHỤ_KIỆN_VAN</t>
        </is>
      </c>
      <c r="E242" t="inlineStr">
        <is>
          <t>MAT-DAMPER-TRUC-SUS-201-D10</t>
        </is>
      </c>
      <c r="F242" t="inlineStr">
        <is>
          <t>m</t>
        </is>
      </c>
      <c r="G242" s="20" t="n">
        <v>1.351141856061548</v>
      </c>
      <c r="H242" s="16">
        <f>'00_TONG_HOP_BAO_GIA'!G69</f>
        <v/>
      </c>
      <c r="I242" s="21">
        <f>G242*H242</f>
        <v/>
      </c>
      <c r="J242" s="16">
        <f>IFERROR(INDEX('06_BANG_GIA_VAT_TU_AP_DUNG'!$E$1:$E$5000, MATCH(E242, '06_BANG_GIA_VAT_TU_AP_DUNG'!$B$1:$B$5000, 0)), 0)</f>
        <v/>
      </c>
      <c r="K242" s="16">
        <f>I242*J242</f>
        <v/>
      </c>
      <c r="L242" t="inlineStr">
        <is>
          <t>1 trục dài 1110mm</t>
        </is>
      </c>
    </row>
    <row r="243">
      <c r="A243" t="inlineStr">
        <is>
          <t>SW-DAMPER-068-BEARING</t>
        </is>
      </c>
      <c r="B243" t="inlineStr">
        <is>
          <t>SW-DAMPER-068</t>
        </is>
      </c>
      <c r="C243" t="inlineStr">
        <is>
          <t>Bạc đồng D10</t>
        </is>
      </c>
      <c r="D243" t="inlineStr">
        <is>
          <t>PHỤ_KIỆN_VAN</t>
        </is>
      </c>
      <c r="E243" t="inlineStr">
        <is>
          <t>MAT-DAMPER-BAC-DONG-D10</t>
        </is>
      </c>
      <c r="F243" t="inlineStr">
        <is>
          <t>Đôi</t>
        </is>
      </c>
      <c r="G243" s="20" t="n">
        <v>1</v>
      </c>
      <c r="H243" s="16">
        <f>'00_TONG_HOP_BAO_GIA'!G69</f>
        <v/>
      </c>
      <c r="I243" s="21">
        <f>G243*H243</f>
        <v/>
      </c>
      <c r="J243" s="16">
        <f>IFERROR(INDEX('06_BANG_GIA_VAT_TU_AP_DUNG'!$E$1:$E$5000, MATCH(E243, '06_BANG_GIA_VAT_TU_AP_DUNG'!$B$1:$B$5000, 0)), 0)</f>
        <v/>
      </c>
      <c r="K243" s="16">
        <f>I243*J243</f>
        <v/>
      </c>
      <c r="L243" t="inlineStr">
        <is>
          <t>1 đôi bạc đỡ 2 bên thân</t>
        </is>
      </c>
    </row>
    <row r="244">
      <c r="A244" t="inlineStr">
        <is>
          <t>SW-DAMPER-068-ACTUATOR</t>
        </is>
      </c>
      <c r="B244" t="inlineStr">
        <is>
          <t>SW-DAMPER-068</t>
        </is>
      </c>
      <c r="C244" t="inlineStr">
        <is>
          <t>Động cơ chặn lửa ON/OFF KLB (Swin V6006FS500S EI90) 5Nm</t>
        </is>
      </c>
      <c r="D244" t="inlineStr">
        <is>
          <t>ĐỘNG_CƠ_VÀ_CẢM_BIẾN</t>
        </is>
      </c>
      <c r="E244" t="inlineStr">
        <is>
          <t>MAT-ACTUATOR-KLB-V6006FS500S</t>
        </is>
      </c>
      <c r="F244" t="inlineStr">
        <is>
          <t>Cái</t>
        </is>
      </c>
      <c r="G244" s="20" t="n">
        <v>1</v>
      </c>
      <c r="H244" s="16">
        <f>'00_TONG_HOP_BAO_GIA'!G69</f>
        <v/>
      </c>
      <c r="I244" s="21">
        <f>G244*H244</f>
        <v/>
      </c>
      <c r="J244" s="16">
        <f>IFERROR(INDEX('06_BANG_GIA_VAT_TU_AP_DUNG'!$E$1:$E$5000, MATCH(E244, '06_BANG_GIA_VAT_TU_AP_DUNG'!$B$1:$B$5000, 0)), 0)</f>
        <v/>
      </c>
      <c r="K244" s="16">
        <f>I244*J244</f>
        <v/>
      </c>
      <c r="L244" t="inlineStr">
        <is>
          <t>Động cơ lò xo phản hồi MFD (1 bộ)</t>
        </is>
      </c>
    </row>
    <row r="245">
      <c r="A245" t="inlineStr">
        <is>
          <t>SW-DAMPER-068-FB10-BODY</t>
        </is>
      </c>
      <c r="B245" t="inlineStr">
        <is>
          <t>SW-DAMPER-068</t>
        </is>
      </c>
      <c r="C245" t="inlineStr">
        <is>
          <t>Tấm chống cháy dày 10mm bọc thân van FD/MFD (2 lớp)</t>
        </is>
      </c>
      <c r="D245" t="inlineStr">
        <is>
          <t>VẬT_LIỆU_CÁCH_NHIỆT</t>
        </is>
      </c>
      <c r="E245" t="inlineStr">
        <is>
          <t>MAT-FIREBOARD-10MM-BODY</t>
        </is>
      </c>
      <c r="F245" t="inlineStr">
        <is>
          <t>m2</t>
        </is>
      </c>
      <c r="G245" s="20" t="n">
        <v>2.118006152745128</v>
      </c>
      <c r="H245" s="16">
        <f>'00_TONG_HOP_BAO_GIA'!G69</f>
        <v/>
      </c>
      <c r="I245" s="21">
        <f>G245*H245</f>
        <v/>
      </c>
      <c r="J245" s="16">
        <f>IFERROR(INDEX('06_BANG_GIA_VAT_TU_AP_DUNG'!$E$1:$E$5000, MATCH(E245, '06_BANG_GIA_VAT_TU_AP_DUNG'!$B$1:$B$5000, 0)), 0)</f>
        <v/>
      </c>
      <c r="K245" s="16">
        <f>I245*J245</f>
        <v/>
      </c>
      <c r="L245" t="inlineStr">
        <is>
          <t>Bọc 2 lớp tấm 10mm quanh thân L=300mm</t>
        </is>
      </c>
    </row>
    <row r="246">
      <c r="A246" t="inlineStr">
        <is>
          <t>SW-DAMPER-068-FB20-BLADE</t>
        </is>
      </c>
      <c r="B246" t="inlineStr">
        <is>
          <t>SW-DAMPER-068</t>
        </is>
      </c>
      <c r="C246" t="inlineStr">
        <is>
          <t>Tấm chống cháy dày 20mm làm lõi cánh van FD/MFD</t>
        </is>
      </c>
      <c r="D246" t="inlineStr">
        <is>
          <t>VẬT_LIỆU_CÁCH_NHIỆT</t>
        </is>
      </c>
      <c r="E246" t="inlineStr">
        <is>
          <t>MAT-FIREBOARD-20MM-BLADE</t>
        </is>
      </c>
      <c r="F246" t="inlineStr">
        <is>
          <t>m2</t>
        </is>
      </c>
      <c r="G246" s="20" t="n">
        <v>0.5112428644557206</v>
      </c>
      <c r="H246" s="16">
        <f>'00_TONG_HOP_BAO_GIA'!G69</f>
        <v/>
      </c>
      <c r="I246" s="21">
        <f>G246*H246</f>
        <v/>
      </c>
      <c r="J246" s="16">
        <f>IFERROR(INDEX('06_BANG_GIA_VAT_TU_AP_DUNG'!$E$1:$E$5000, MATCH(E246, '06_BANG_GIA_VAT_TU_AP_DUNG'!$B$1:$B$5000, 0)), 0)</f>
        <v/>
      </c>
      <c r="K246" s="16">
        <f>I246*J246</f>
        <v/>
      </c>
      <c r="L246" t="inlineStr">
        <is>
          <t>Lõi cánh tấm 20mm (Cánh đơn 1050x400mm)</t>
        </is>
      </c>
    </row>
    <row r="247">
      <c r="A247" t="inlineStr">
        <is>
          <t>SW-DAMPER-068-FB10-BLADE</t>
        </is>
      </c>
      <c r="B247" t="inlineStr">
        <is>
          <t>SW-DAMPER-068</t>
        </is>
      </c>
      <c r="C247" t="inlineStr">
        <is>
          <t>Tấm chống cháy dày 10mm ốp 2 mặt cánh van FD/MFD</t>
        </is>
      </c>
      <c r="D247" t="inlineStr">
        <is>
          <t>VẬT_LIỆU_CÁCH_NHIỆT</t>
        </is>
      </c>
      <c r="E247" t="inlineStr">
        <is>
          <t>MAT-FIREBOARD-10MM-BLADE</t>
        </is>
      </c>
      <c r="F247" t="inlineStr">
        <is>
          <t>m2</t>
        </is>
      </c>
      <c r="G247" s="20" t="n">
        <v>1.022485728911441</v>
      </c>
      <c r="H247" s="16">
        <f>'00_TONG_HOP_BAO_GIA'!G69</f>
        <v/>
      </c>
      <c r="I247" s="21">
        <f>G247*H247</f>
        <v/>
      </c>
      <c r="J247" s="16">
        <f>IFERROR(INDEX('06_BANG_GIA_VAT_TU_AP_DUNG'!$E$1:$E$5000, MATCH(E247, '06_BANG_GIA_VAT_TU_AP_DUNG'!$B$1:$B$5000, 0)), 0)</f>
        <v/>
      </c>
      <c r="K247" s="16">
        <f>I247*J247</f>
        <v/>
      </c>
      <c r="L247" t="inlineStr">
        <is>
          <t>Ốp 2 mặt cánh tấm 10mm (Cánh đơn 1050x400mm)</t>
        </is>
      </c>
    </row>
    <row r="248">
      <c r="A248" t="inlineStr">
        <is>
          <t>SW-DAMPER-068-SPRING-BOX</t>
        </is>
      </c>
      <c r="B248" t="inlineStr">
        <is>
          <t>SW-DAMPER-068</t>
        </is>
      </c>
      <c r="C248" t="inlineStr">
        <is>
          <t>Hộp lò xo van chặn lửa FD/MFD</t>
        </is>
      </c>
      <c r="D248" t="inlineStr">
        <is>
          <t>PHỤ_KIỆN_VAN</t>
        </is>
      </c>
      <c r="E248" t="inlineStr">
        <is>
          <t>MAT-DAMPER-HOP-LO-XO</t>
        </is>
      </c>
      <c r="F248" t="inlineStr">
        <is>
          <t>Bộ</t>
        </is>
      </c>
      <c r="G248" s="20" t="n">
        <v>1</v>
      </c>
      <c r="H248" s="16">
        <f>'00_TONG_HOP_BAO_GIA'!G69</f>
        <v/>
      </c>
      <c r="I248" s="21">
        <f>G248*H248</f>
        <v/>
      </c>
      <c r="J248" s="16">
        <f>IFERROR(INDEX('06_BANG_GIA_VAT_TU_AP_DUNG'!$E$1:$E$5000, MATCH(E248, '06_BANG_GIA_VAT_TU_AP_DUNG'!$B$1:$B$5000, 0)), 0)</f>
        <v/>
      </c>
      <c r="K248" s="16">
        <f>I248*J248</f>
        <v/>
      </c>
      <c r="L248" t="inlineStr">
        <is>
          <t>Hộp lò xo cơ cấu đóng sập (1 bộ)</t>
        </is>
      </c>
    </row>
    <row r="249">
      <c r="A249" t="inlineStr">
        <is>
          <t>SW-DAMPER-068-SILICON-BOLT</t>
        </is>
      </c>
      <c r="B249" t="inlineStr">
        <is>
          <t>SW-DAMPER-068</t>
        </is>
      </c>
      <c r="C249" t="inlineStr">
        <is>
          <t>Silicon chống cháy + bu lông, ốc vít van FD/MFD</t>
        </is>
      </c>
      <c r="D249" t="inlineStr">
        <is>
          <t>PHỤ_KIỆN_VAN</t>
        </is>
      </c>
      <c r="E249" t="inlineStr">
        <is>
          <t>MAT-DAMPER-SILICON-BULONG-VIT</t>
        </is>
      </c>
      <c r="F249" t="inlineStr">
        <is>
          <t>Bộ</t>
        </is>
      </c>
      <c r="G249" s="20" t="n">
        <v>1</v>
      </c>
      <c r="H249" s="16">
        <f>'00_TONG_HOP_BAO_GIA'!G69</f>
        <v/>
      </c>
      <c r="I249" s="21">
        <f>G249*H249</f>
        <v/>
      </c>
      <c r="J249" s="16">
        <f>IFERROR(INDEX('06_BANG_GIA_VAT_TU_AP_DUNG'!$E$1:$E$5000, MATCH(E249, '06_BANG_GIA_VAT_TU_AP_DUNG'!$B$1:$B$5000, 0)), 0)</f>
        <v/>
      </c>
      <c r="K249" s="16">
        <f>I249*J249</f>
        <v/>
      </c>
      <c r="L249" t="inlineStr">
        <is>
          <t>Keo silicon chống cháy &amp; phụ kiện lắp ghép (1 bộ)</t>
        </is>
      </c>
    </row>
    <row r="250">
      <c r="A250" t="inlineStr">
        <is>
          <t>SW-DAMPER-069-BODY</t>
        </is>
      </c>
      <c r="B250" t="inlineStr">
        <is>
          <t>SW-DAMPER-069</t>
        </is>
      </c>
      <c r="C250" t="inlineStr">
        <is>
          <t>Thân vỏ van MFD bích C30/TDF (1.15mm)</t>
        </is>
      </c>
      <c r="D250" t="inlineStr">
        <is>
          <t>TÔN_CUỘN_MẠ_KẼM</t>
        </is>
      </c>
      <c r="E250" t="inlineStr">
        <is>
          <t>MAT-STEEL-PN-1.15</t>
        </is>
      </c>
      <c r="F250" t="inlineStr">
        <is>
          <t>kg</t>
        </is>
      </c>
      <c r="G250" s="20" t="n">
        <v>9.795080306381424</v>
      </c>
      <c r="H250" s="16">
        <f>'00_TONG_HOP_BAO_GIA'!G70</f>
        <v/>
      </c>
      <c r="I250" s="21">
        <f>G250*H250</f>
        <v/>
      </c>
      <c r="J250" s="16">
        <f>IFERROR(INDEX('06_BANG_GIA_VAT_TU_AP_DUNG'!$E$1:$E$5000, MATCH(E250, '06_BANG_GIA_VAT_TU_AP_DUNG'!$B$1:$B$5000, 0)), 0)</f>
        <v/>
      </c>
      <c r="K250" s="16">
        <f>I250*J250</f>
        <v/>
      </c>
      <c r="L250" t="inlineStr">
        <is>
          <t>Kích thước vỏ 1050x500x200mm</t>
        </is>
      </c>
    </row>
    <row r="251">
      <c r="A251" t="inlineStr">
        <is>
          <t>SW-DAMPER-069-BLADE</t>
        </is>
      </c>
      <c r="B251" t="inlineStr">
        <is>
          <t>SW-DAMPER-069</t>
        </is>
      </c>
      <c r="C251" t="inlineStr">
        <is>
          <t>Lá cánh / Tôn tấm bọc van (1 cánh)</t>
        </is>
      </c>
      <c r="D251" t="inlineStr">
        <is>
          <t>TÔN_CUỘN_MẠ_KẼM</t>
        </is>
      </c>
      <c r="E251" t="inlineStr">
        <is>
          <t>MAT-STEEL-PN-1.15</t>
        </is>
      </c>
      <c r="F251" t="inlineStr">
        <is>
          <t>kg</t>
        </is>
      </c>
      <c r="G251" s="20" t="n">
        <v>11.55352713656691</v>
      </c>
      <c r="H251" s="16">
        <f>'00_TONG_HOP_BAO_GIA'!G70</f>
        <v/>
      </c>
      <c r="I251" s="21">
        <f>G251*H251</f>
        <v/>
      </c>
      <c r="J251" s="16">
        <f>IFERROR(INDEX('06_BANG_GIA_VAT_TU_AP_DUNG'!$E$1:$E$5000, MATCH(E251, '06_BANG_GIA_VAT_TU_AP_DUNG'!$B$1:$B$5000, 0)), 0)</f>
        <v/>
      </c>
      <c r="K251" s="16">
        <f>I251*J251</f>
        <v/>
      </c>
      <c r="L251" t="inlineStr">
        <is>
          <t>Tôn bọc cánh &amp; thân (1 cánh/modul)</t>
        </is>
      </c>
    </row>
    <row r="252">
      <c r="A252" t="inlineStr">
        <is>
          <t>SW-DAMPER-069-AXLE</t>
        </is>
      </c>
      <c r="B252" t="inlineStr">
        <is>
          <t>SW-DAMPER-069</t>
        </is>
      </c>
      <c r="C252" t="inlineStr">
        <is>
          <t>Trục Sus 201 D10</t>
        </is>
      </c>
      <c r="D252" t="inlineStr">
        <is>
          <t>PHỤ_KIỆN_VAN</t>
        </is>
      </c>
      <c r="E252" t="inlineStr">
        <is>
          <t>MAT-DAMPER-TRUC-SUS-201-D10</t>
        </is>
      </c>
      <c r="F252" t="inlineStr">
        <is>
          <t>m</t>
        </is>
      </c>
      <c r="G252" s="20" t="n">
        <v>1.352946960645569</v>
      </c>
      <c r="H252" s="16">
        <f>'00_TONG_HOP_BAO_GIA'!G70</f>
        <v/>
      </c>
      <c r="I252" s="21">
        <f>G252*H252</f>
        <v/>
      </c>
      <c r="J252" s="16">
        <f>IFERROR(INDEX('06_BANG_GIA_VAT_TU_AP_DUNG'!$E$1:$E$5000, MATCH(E252, '06_BANG_GIA_VAT_TU_AP_DUNG'!$B$1:$B$5000, 0)), 0)</f>
        <v/>
      </c>
      <c r="K252" s="16">
        <f>I252*J252</f>
        <v/>
      </c>
      <c r="L252" t="inlineStr">
        <is>
          <t>1 trục dài 1110mm</t>
        </is>
      </c>
    </row>
    <row r="253">
      <c r="A253" t="inlineStr">
        <is>
          <t>SW-DAMPER-069-BEARING</t>
        </is>
      </c>
      <c r="B253" t="inlineStr">
        <is>
          <t>SW-DAMPER-069</t>
        </is>
      </c>
      <c r="C253" t="inlineStr">
        <is>
          <t>Bạc đồng D10</t>
        </is>
      </c>
      <c r="D253" t="inlineStr">
        <is>
          <t>PHỤ_KIỆN_VAN</t>
        </is>
      </c>
      <c r="E253" t="inlineStr">
        <is>
          <t>MAT-DAMPER-BAC-DONG-D10</t>
        </is>
      </c>
      <c r="F253" t="inlineStr">
        <is>
          <t>Đôi</t>
        </is>
      </c>
      <c r="G253" s="20" t="n">
        <v>1</v>
      </c>
      <c r="H253" s="16">
        <f>'00_TONG_HOP_BAO_GIA'!G70</f>
        <v/>
      </c>
      <c r="I253" s="21">
        <f>G253*H253</f>
        <v/>
      </c>
      <c r="J253" s="16">
        <f>IFERROR(INDEX('06_BANG_GIA_VAT_TU_AP_DUNG'!$E$1:$E$5000, MATCH(E253, '06_BANG_GIA_VAT_TU_AP_DUNG'!$B$1:$B$5000, 0)), 0)</f>
        <v/>
      </c>
      <c r="K253" s="16">
        <f>I253*J253</f>
        <v/>
      </c>
      <c r="L253" t="inlineStr">
        <is>
          <t>1 đôi bạc đỡ 2 bên thân</t>
        </is>
      </c>
    </row>
    <row r="254">
      <c r="A254" t="inlineStr">
        <is>
          <t>SW-DAMPER-069-ACTUATOR</t>
        </is>
      </c>
      <c r="B254" t="inlineStr">
        <is>
          <t>SW-DAMPER-069</t>
        </is>
      </c>
      <c r="C254" t="inlineStr">
        <is>
          <t>Động cơ chặn lửa ON/OFF KLB (Swin V6006FS500S EI90) 5Nm</t>
        </is>
      </c>
      <c r="D254" t="inlineStr">
        <is>
          <t>ĐỘNG_CƠ_VÀ_CẢM_BIẾN</t>
        </is>
      </c>
      <c r="E254" t="inlineStr">
        <is>
          <t>MAT-ACTUATOR-KLB-V6006FS500S</t>
        </is>
      </c>
      <c r="F254" t="inlineStr">
        <is>
          <t>Cái</t>
        </is>
      </c>
      <c r="G254" s="20" t="n">
        <v>1</v>
      </c>
      <c r="H254" s="16">
        <f>'00_TONG_HOP_BAO_GIA'!G70</f>
        <v/>
      </c>
      <c r="I254" s="21">
        <f>G254*H254</f>
        <v/>
      </c>
      <c r="J254" s="16">
        <f>IFERROR(INDEX('06_BANG_GIA_VAT_TU_AP_DUNG'!$E$1:$E$5000, MATCH(E254, '06_BANG_GIA_VAT_TU_AP_DUNG'!$B$1:$B$5000, 0)), 0)</f>
        <v/>
      </c>
      <c r="K254" s="16">
        <f>I254*J254</f>
        <v/>
      </c>
      <c r="L254" t="inlineStr">
        <is>
          <t>Động cơ lò xo phản hồi MFD (1 bộ)</t>
        </is>
      </c>
    </row>
    <row r="255">
      <c r="A255" t="inlineStr">
        <is>
          <t>SW-DAMPER-069-FB10-BODY</t>
        </is>
      </c>
      <c r="B255" t="inlineStr">
        <is>
          <t>SW-DAMPER-069</t>
        </is>
      </c>
      <c r="C255" t="inlineStr">
        <is>
          <t>Tấm chống cháy dày 10mm bọc thân van FD/MFD (2 lớp)</t>
        </is>
      </c>
      <c r="D255" t="inlineStr">
        <is>
          <t>VẬT_LIỆU_CÁCH_NHIỆT</t>
        </is>
      </c>
      <c r="E255" t="inlineStr">
        <is>
          <t>MAT-FIREBOARD-10MM-BODY</t>
        </is>
      </c>
      <c r="F255" t="inlineStr">
        <is>
          <t>m2</t>
        </is>
      </c>
      <c r="G255" s="20" t="n">
        <v>2.267100312433115</v>
      </c>
      <c r="H255" s="16">
        <f>'00_TONG_HOP_BAO_GIA'!G70</f>
        <v/>
      </c>
      <c r="I255" s="21">
        <f>G255*H255</f>
        <v/>
      </c>
      <c r="J255" s="16">
        <f>IFERROR(INDEX('06_BANG_GIA_VAT_TU_AP_DUNG'!$E$1:$E$5000, MATCH(E255, '06_BANG_GIA_VAT_TU_AP_DUNG'!$B$1:$B$5000, 0)), 0)</f>
        <v/>
      </c>
      <c r="K255" s="16">
        <f>I255*J255</f>
        <v/>
      </c>
      <c r="L255" t="inlineStr">
        <is>
          <t>Bọc 2 lớp tấm 10mm quanh thân L=300mm</t>
        </is>
      </c>
    </row>
    <row r="256">
      <c r="A256" t="inlineStr">
        <is>
          <t>SW-DAMPER-069-FB20-BLADE</t>
        </is>
      </c>
      <c r="B256" t="inlineStr">
        <is>
          <t>SW-DAMPER-069</t>
        </is>
      </c>
      <c r="C256" t="inlineStr">
        <is>
          <t>Tấm chống cháy dày 20mm làm lõi cánh van FD/MFD</t>
        </is>
      </c>
      <c r="D256" t="inlineStr">
        <is>
          <t>VẬT_LIỆU_CÁCH_NHIỆT</t>
        </is>
      </c>
      <c r="E256" t="inlineStr">
        <is>
          <t>MAT-FIREBOARD-20MM-BLADE</t>
        </is>
      </c>
      <c r="F256" t="inlineStr">
        <is>
          <t>m2</t>
        </is>
      </c>
      <c r="G256" s="20" t="n">
        <v>0.6399073462512826</v>
      </c>
      <c r="H256" s="16">
        <f>'00_TONG_HOP_BAO_GIA'!G70</f>
        <v/>
      </c>
      <c r="I256" s="21">
        <f>G256*H256</f>
        <v/>
      </c>
      <c r="J256" s="16">
        <f>IFERROR(INDEX('06_BANG_GIA_VAT_TU_AP_DUNG'!$E$1:$E$5000, MATCH(E256, '06_BANG_GIA_VAT_TU_AP_DUNG'!$B$1:$B$5000, 0)), 0)</f>
        <v/>
      </c>
      <c r="K256" s="16">
        <f>I256*J256</f>
        <v/>
      </c>
      <c r="L256" t="inlineStr">
        <is>
          <t>Lõi cánh tấm 20mm (Cánh đơn 1050x500mm)</t>
        </is>
      </c>
    </row>
    <row r="257">
      <c r="A257" t="inlineStr">
        <is>
          <t>SW-DAMPER-069-FB10-BLADE</t>
        </is>
      </c>
      <c r="B257" t="inlineStr">
        <is>
          <t>SW-DAMPER-069</t>
        </is>
      </c>
      <c r="C257" t="inlineStr">
        <is>
          <t>Tấm chống cháy dày 10mm ốp 2 mặt cánh van FD/MFD</t>
        </is>
      </c>
      <c r="D257" t="inlineStr">
        <is>
          <t>VẬT_LIỆU_CÁCH_NHIỆT</t>
        </is>
      </c>
      <c r="E257" t="inlineStr">
        <is>
          <t>MAT-FIREBOARD-10MM-BLADE</t>
        </is>
      </c>
      <c r="F257" t="inlineStr">
        <is>
          <t>m2</t>
        </is>
      </c>
      <c r="G257" s="20" t="n">
        <v>1.279814692502565</v>
      </c>
      <c r="H257" s="16">
        <f>'00_TONG_HOP_BAO_GIA'!G70</f>
        <v/>
      </c>
      <c r="I257" s="21">
        <f>G257*H257</f>
        <v/>
      </c>
      <c r="J257" s="16">
        <f>IFERROR(INDEX('06_BANG_GIA_VAT_TU_AP_DUNG'!$E$1:$E$5000, MATCH(E257, '06_BANG_GIA_VAT_TU_AP_DUNG'!$B$1:$B$5000, 0)), 0)</f>
        <v/>
      </c>
      <c r="K257" s="16">
        <f>I257*J257</f>
        <v/>
      </c>
      <c r="L257" t="inlineStr">
        <is>
          <t>Ốp 2 mặt cánh tấm 10mm (Cánh đơn 1050x500mm)</t>
        </is>
      </c>
    </row>
    <row r="258">
      <c r="A258" t="inlineStr">
        <is>
          <t>SW-DAMPER-069-SPRING-BOX</t>
        </is>
      </c>
      <c r="B258" t="inlineStr">
        <is>
          <t>SW-DAMPER-069</t>
        </is>
      </c>
      <c r="C258" t="inlineStr">
        <is>
          <t>Hộp lò xo van chặn lửa FD/MFD</t>
        </is>
      </c>
      <c r="D258" t="inlineStr">
        <is>
          <t>PHỤ_KIỆN_VAN</t>
        </is>
      </c>
      <c r="E258" t="inlineStr">
        <is>
          <t>MAT-DAMPER-HOP-LO-XO</t>
        </is>
      </c>
      <c r="F258" t="inlineStr">
        <is>
          <t>Bộ</t>
        </is>
      </c>
      <c r="G258" s="20" t="n">
        <v>1</v>
      </c>
      <c r="H258" s="16">
        <f>'00_TONG_HOP_BAO_GIA'!G70</f>
        <v/>
      </c>
      <c r="I258" s="21">
        <f>G258*H258</f>
        <v/>
      </c>
      <c r="J258" s="16">
        <f>IFERROR(INDEX('06_BANG_GIA_VAT_TU_AP_DUNG'!$E$1:$E$5000, MATCH(E258, '06_BANG_GIA_VAT_TU_AP_DUNG'!$B$1:$B$5000, 0)), 0)</f>
        <v/>
      </c>
      <c r="K258" s="16">
        <f>I258*J258</f>
        <v/>
      </c>
      <c r="L258" t="inlineStr">
        <is>
          <t>Hộp lò xo cơ cấu đóng sập (1 bộ)</t>
        </is>
      </c>
    </row>
    <row r="259">
      <c r="A259" t="inlineStr">
        <is>
          <t>SW-DAMPER-069-SILICON-BOLT</t>
        </is>
      </c>
      <c r="B259" t="inlineStr">
        <is>
          <t>SW-DAMPER-069</t>
        </is>
      </c>
      <c r="C259" t="inlineStr">
        <is>
          <t>Silicon chống cháy + bu lông, ốc vít van FD/MFD</t>
        </is>
      </c>
      <c r="D259" t="inlineStr">
        <is>
          <t>PHỤ_KIỆN_VAN</t>
        </is>
      </c>
      <c r="E259" t="inlineStr">
        <is>
          <t>MAT-DAMPER-SILICON-BULONG-VIT</t>
        </is>
      </c>
      <c r="F259" t="inlineStr">
        <is>
          <t>Bộ</t>
        </is>
      </c>
      <c r="G259" s="20" t="n">
        <v>1</v>
      </c>
      <c r="H259" s="16">
        <f>'00_TONG_HOP_BAO_GIA'!G70</f>
        <v/>
      </c>
      <c r="I259" s="21">
        <f>G259*H259</f>
        <v/>
      </c>
      <c r="J259" s="16">
        <f>IFERROR(INDEX('06_BANG_GIA_VAT_TU_AP_DUNG'!$E$1:$E$5000, MATCH(E259, '06_BANG_GIA_VAT_TU_AP_DUNG'!$B$1:$B$5000, 0)), 0)</f>
        <v/>
      </c>
      <c r="K259" s="16">
        <f>I259*J259</f>
        <v/>
      </c>
      <c r="L259" t="inlineStr">
        <is>
          <t>Keo silicon chống cháy &amp; phụ kiện lắp ghép (1 bộ)</t>
        </is>
      </c>
    </row>
    <row r="260">
      <c r="A260" t="inlineStr">
        <is>
          <t>SW-DAMPER-070-BODY</t>
        </is>
      </c>
      <c r="B260" t="inlineStr">
        <is>
          <t>SW-DAMPER-070</t>
        </is>
      </c>
      <c r="C260" t="inlineStr">
        <is>
          <t>Thân vỏ van MFD bích C30/TDF (1.15mm)</t>
        </is>
      </c>
      <c r="D260" t="inlineStr">
        <is>
          <t>TÔN_CUỘN_MẠ_KẼM</t>
        </is>
      </c>
      <c r="E260" t="inlineStr">
        <is>
          <t>MAT-STEEL-PN-1.15</t>
        </is>
      </c>
      <c r="F260" t="inlineStr">
        <is>
          <t>kg</t>
        </is>
      </c>
      <c r="G260" s="20" t="n">
        <v>10.11119613157198</v>
      </c>
      <c r="H260" s="16">
        <f>'00_TONG_HOP_BAO_GIA'!G71</f>
        <v/>
      </c>
      <c r="I260" s="21">
        <f>G260*H260</f>
        <v/>
      </c>
      <c r="J260" s="16">
        <f>IFERROR(INDEX('06_BANG_GIA_VAT_TU_AP_DUNG'!$E$1:$E$5000, MATCH(E260, '06_BANG_GIA_VAT_TU_AP_DUNG'!$B$1:$B$5000, 0)), 0)</f>
        <v/>
      </c>
      <c r="K260" s="16">
        <f>I260*J260</f>
        <v/>
      </c>
      <c r="L260" t="inlineStr">
        <is>
          <t>Kích thước vỏ 1050x550x200mm</t>
        </is>
      </c>
    </row>
    <row r="261">
      <c r="A261" t="inlineStr">
        <is>
          <t>SW-DAMPER-070-BLADE</t>
        </is>
      </c>
      <c r="B261" t="inlineStr">
        <is>
          <t>SW-DAMPER-070</t>
        </is>
      </c>
      <c r="C261" t="inlineStr">
        <is>
          <t>Lá cánh / Tôn tấm bọc van (1 cánh)</t>
        </is>
      </c>
      <c r="D261" t="inlineStr">
        <is>
          <t>TÔN_CUỘN_MẠ_KẼM</t>
        </is>
      </c>
      <c r="E261" t="inlineStr">
        <is>
          <t>MAT-STEEL-PN-1.15</t>
        </is>
      </c>
      <c r="F261" t="inlineStr">
        <is>
          <t>kg</t>
        </is>
      </c>
      <c r="G261" s="20" t="n">
        <v>12.71412407948008</v>
      </c>
      <c r="H261" s="16">
        <f>'00_TONG_HOP_BAO_GIA'!G71</f>
        <v/>
      </c>
      <c r="I261" s="21">
        <f>G261*H261</f>
        <v/>
      </c>
      <c r="J261" s="16">
        <f>IFERROR(INDEX('06_BANG_GIA_VAT_TU_AP_DUNG'!$E$1:$E$5000, MATCH(E261, '06_BANG_GIA_VAT_TU_AP_DUNG'!$B$1:$B$5000, 0)), 0)</f>
        <v/>
      </c>
      <c r="K261" s="16">
        <f>I261*J261</f>
        <v/>
      </c>
      <c r="L261" t="inlineStr">
        <is>
          <t>Tôn bọc cánh &amp; thân (1 cánh/modul)</t>
        </is>
      </c>
    </row>
    <row r="262">
      <c r="A262" t="inlineStr">
        <is>
          <t>SW-DAMPER-070-AXLE</t>
        </is>
      </c>
      <c r="B262" t="inlineStr">
        <is>
          <t>SW-DAMPER-070</t>
        </is>
      </c>
      <c r="C262" t="inlineStr">
        <is>
          <t>Trục Sus 201 D10</t>
        </is>
      </c>
      <c r="D262" t="inlineStr">
        <is>
          <t>PHỤ_KIỆN_VAN</t>
        </is>
      </c>
      <c r="E262" t="inlineStr">
        <is>
          <t>MAT-DAMPER-TRUC-SUS-201-D10</t>
        </is>
      </c>
      <c r="F262" t="inlineStr">
        <is>
          <t>m</t>
        </is>
      </c>
      <c r="G262" s="20" t="n">
        <v>1.353505244626306</v>
      </c>
      <c r="H262" s="16">
        <f>'00_TONG_HOP_BAO_GIA'!G71</f>
        <v/>
      </c>
      <c r="I262" s="21">
        <f>G262*H262</f>
        <v/>
      </c>
      <c r="J262" s="16">
        <f>IFERROR(INDEX('06_BANG_GIA_VAT_TU_AP_DUNG'!$E$1:$E$5000, MATCH(E262, '06_BANG_GIA_VAT_TU_AP_DUNG'!$B$1:$B$5000, 0)), 0)</f>
        <v/>
      </c>
      <c r="K262" s="16">
        <f>I262*J262</f>
        <v/>
      </c>
      <c r="L262" t="inlineStr">
        <is>
          <t>1 trục dài 1110mm</t>
        </is>
      </c>
    </row>
    <row r="263">
      <c r="A263" t="inlineStr">
        <is>
          <t>SW-DAMPER-070-BEARING</t>
        </is>
      </c>
      <c r="B263" t="inlineStr">
        <is>
          <t>SW-DAMPER-070</t>
        </is>
      </c>
      <c r="C263" t="inlineStr">
        <is>
          <t>Bạc đồng D10</t>
        </is>
      </c>
      <c r="D263" t="inlineStr">
        <is>
          <t>PHỤ_KIỆN_VAN</t>
        </is>
      </c>
      <c r="E263" t="inlineStr">
        <is>
          <t>MAT-DAMPER-BAC-DONG-D10</t>
        </is>
      </c>
      <c r="F263" t="inlineStr">
        <is>
          <t>Đôi</t>
        </is>
      </c>
      <c r="G263" s="20" t="n">
        <v>1</v>
      </c>
      <c r="H263" s="16">
        <f>'00_TONG_HOP_BAO_GIA'!G71</f>
        <v/>
      </c>
      <c r="I263" s="21">
        <f>G263*H263</f>
        <v/>
      </c>
      <c r="J263" s="16">
        <f>IFERROR(INDEX('06_BANG_GIA_VAT_TU_AP_DUNG'!$E$1:$E$5000, MATCH(E263, '06_BANG_GIA_VAT_TU_AP_DUNG'!$B$1:$B$5000, 0)), 0)</f>
        <v/>
      </c>
      <c r="K263" s="16">
        <f>I263*J263</f>
        <v/>
      </c>
      <c r="L263" t="inlineStr">
        <is>
          <t>1 đôi bạc đỡ 2 bên thân</t>
        </is>
      </c>
    </row>
    <row r="264">
      <c r="A264" t="inlineStr">
        <is>
          <t>SW-DAMPER-070-ACTUATOR</t>
        </is>
      </c>
      <c r="B264" t="inlineStr">
        <is>
          <t>SW-DAMPER-070</t>
        </is>
      </c>
      <c r="C264" t="inlineStr">
        <is>
          <t>Động cơ chặn lửa ON/OFF KLB (Swin V6006FS500S EI90) 5Nm</t>
        </is>
      </c>
      <c r="D264" t="inlineStr">
        <is>
          <t>ĐỘNG_CƠ_VÀ_CẢM_BIẾN</t>
        </is>
      </c>
      <c r="E264" t="inlineStr">
        <is>
          <t>MAT-ACTUATOR-KLB-V6006FS500S</t>
        </is>
      </c>
      <c r="F264" t="inlineStr">
        <is>
          <t>Cái</t>
        </is>
      </c>
      <c r="G264" s="20" t="n">
        <v>1</v>
      </c>
      <c r="H264" s="16">
        <f>'00_TONG_HOP_BAO_GIA'!G71</f>
        <v/>
      </c>
      <c r="I264" s="21">
        <f>G264*H264</f>
        <v/>
      </c>
      <c r="J264" s="16">
        <f>IFERROR(INDEX('06_BANG_GIA_VAT_TU_AP_DUNG'!$E$1:$E$5000, MATCH(E264, '06_BANG_GIA_VAT_TU_AP_DUNG'!$B$1:$B$5000, 0)), 0)</f>
        <v/>
      </c>
      <c r="K264" s="16">
        <f>I264*J264</f>
        <v/>
      </c>
      <c r="L264" t="inlineStr">
        <is>
          <t>Động cơ lò xo phản hồi MFD (1 bộ)</t>
        </is>
      </c>
    </row>
    <row r="265">
      <c r="A265" t="inlineStr">
        <is>
          <t>SW-DAMPER-070-FB10-BODY</t>
        </is>
      </c>
      <c r="B265" t="inlineStr">
        <is>
          <t>SW-DAMPER-070</t>
        </is>
      </c>
      <c r="C265" t="inlineStr">
        <is>
          <t>Tấm chống cháy dày 10mm bọc thân van FD/MFD (2 lớp)</t>
        </is>
      </c>
      <c r="D265" t="inlineStr">
        <is>
          <t>VẬT_LIỆU_CÁCH_NHIỆT</t>
        </is>
      </c>
      <c r="E265" t="inlineStr">
        <is>
          <t>MAT-FIREBOARD-10MM-BODY</t>
        </is>
      </c>
      <c r="F265" t="inlineStr">
        <is>
          <t>m2</t>
        </is>
      </c>
      <c r="G265" s="20" t="n">
        <v>2.341198260975232</v>
      </c>
      <c r="H265" s="16">
        <f>'00_TONG_HOP_BAO_GIA'!G71</f>
        <v/>
      </c>
      <c r="I265" s="21">
        <f>G265*H265</f>
        <v/>
      </c>
      <c r="J265" s="16">
        <f>IFERROR(INDEX('06_BANG_GIA_VAT_TU_AP_DUNG'!$E$1:$E$5000, MATCH(E265, '06_BANG_GIA_VAT_TU_AP_DUNG'!$B$1:$B$5000, 0)), 0)</f>
        <v/>
      </c>
      <c r="K265" s="16">
        <f>I265*J265</f>
        <v/>
      </c>
      <c r="L265" t="inlineStr">
        <is>
          <t>Bọc 2 lớp tấm 10mm quanh thân L=300mm</t>
        </is>
      </c>
    </row>
    <row r="266">
      <c r="A266" t="inlineStr">
        <is>
          <t>SW-DAMPER-070-FB20-BLADE</t>
        </is>
      </c>
      <c r="B266" t="inlineStr">
        <is>
          <t>SW-DAMPER-070</t>
        </is>
      </c>
      <c r="C266" t="inlineStr">
        <is>
          <t>Tấm chống cháy dày 20mm làm lõi cánh van FD/MFD</t>
        </is>
      </c>
      <c r="D266" t="inlineStr">
        <is>
          <t>VẬT_LIỆU_CÁCH_NHIỆT</t>
        </is>
      </c>
      <c r="E266" t="inlineStr">
        <is>
          <t>MAT-FIREBOARD-20MM-BLADE</t>
        </is>
      </c>
      <c r="F266" t="inlineStr">
        <is>
          <t>m2</t>
        </is>
      </c>
      <c r="G266" s="20" t="n">
        <v>0.7041885394339565</v>
      </c>
      <c r="H266" s="16">
        <f>'00_TONG_HOP_BAO_GIA'!G71</f>
        <v/>
      </c>
      <c r="I266" s="21">
        <f>G266*H266</f>
        <v/>
      </c>
      <c r="J266" s="16">
        <f>IFERROR(INDEX('06_BANG_GIA_VAT_TU_AP_DUNG'!$E$1:$E$5000, MATCH(E266, '06_BANG_GIA_VAT_TU_AP_DUNG'!$B$1:$B$5000, 0)), 0)</f>
        <v/>
      </c>
      <c r="K266" s="16">
        <f>I266*J266</f>
        <v/>
      </c>
      <c r="L266" t="inlineStr">
        <is>
          <t>Lõi cánh tấm 20mm (Cánh đơn 1050x550mm)</t>
        </is>
      </c>
    </row>
    <row r="267">
      <c r="A267" t="inlineStr">
        <is>
          <t>SW-DAMPER-070-FB10-BLADE</t>
        </is>
      </c>
      <c r="B267" t="inlineStr">
        <is>
          <t>SW-DAMPER-070</t>
        </is>
      </c>
      <c r="C267" t="inlineStr">
        <is>
          <t>Tấm chống cháy dày 10mm ốp 2 mặt cánh van FD/MFD</t>
        </is>
      </c>
      <c r="D267" t="inlineStr">
        <is>
          <t>VẬT_LIỆU_CÁCH_NHIỆT</t>
        </is>
      </c>
      <c r="E267" t="inlineStr">
        <is>
          <t>MAT-FIREBOARD-10MM-BLADE</t>
        </is>
      </c>
      <c r="F267" t="inlineStr">
        <is>
          <t>m2</t>
        </is>
      </c>
      <c r="G267" s="20" t="n">
        <v>1.408377078867913</v>
      </c>
      <c r="H267" s="16">
        <f>'00_TONG_HOP_BAO_GIA'!G71</f>
        <v/>
      </c>
      <c r="I267" s="21">
        <f>G267*H267</f>
        <v/>
      </c>
      <c r="J267" s="16">
        <f>IFERROR(INDEX('06_BANG_GIA_VAT_TU_AP_DUNG'!$E$1:$E$5000, MATCH(E267, '06_BANG_GIA_VAT_TU_AP_DUNG'!$B$1:$B$5000, 0)), 0)</f>
        <v/>
      </c>
      <c r="K267" s="16">
        <f>I267*J267</f>
        <v/>
      </c>
      <c r="L267" t="inlineStr">
        <is>
          <t>Ốp 2 mặt cánh tấm 10mm (Cánh đơn 1050x550mm)</t>
        </is>
      </c>
    </row>
    <row r="268">
      <c r="A268" t="inlineStr">
        <is>
          <t>SW-DAMPER-070-SPRING-BOX</t>
        </is>
      </c>
      <c r="B268" t="inlineStr">
        <is>
          <t>SW-DAMPER-070</t>
        </is>
      </c>
      <c r="C268" t="inlineStr">
        <is>
          <t>Hộp lò xo van chặn lửa FD/MFD</t>
        </is>
      </c>
      <c r="D268" t="inlineStr">
        <is>
          <t>PHỤ_KIỆN_VAN</t>
        </is>
      </c>
      <c r="E268" t="inlineStr">
        <is>
          <t>MAT-DAMPER-HOP-LO-XO</t>
        </is>
      </c>
      <c r="F268" t="inlineStr">
        <is>
          <t>Bộ</t>
        </is>
      </c>
      <c r="G268" s="20" t="n">
        <v>1</v>
      </c>
      <c r="H268" s="16">
        <f>'00_TONG_HOP_BAO_GIA'!G71</f>
        <v/>
      </c>
      <c r="I268" s="21">
        <f>G268*H268</f>
        <v/>
      </c>
      <c r="J268" s="16">
        <f>IFERROR(INDEX('06_BANG_GIA_VAT_TU_AP_DUNG'!$E$1:$E$5000, MATCH(E268, '06_BANG_GIA_VAT_TU_AP_DUNG'!$B$1:$B$5000, 0)), 0)</f>
        <v/>
      </c>
      <c r="K268" s="16">
        <f>I268*J268</f>
        <v/>
      </c>
      <c r="L268" t="inlineStr">
        <is>
          <t>Hộp lò xo cơ cấu đóng sập (1 bộ)</t>
        </is>
      </c>
    </row>
    <row r="269">
      <c r="A269" t="inlineStr">
        <is>
          <t>SW-DAMPER-070-SILICON-BOLT</t>
        </is>
      </c>
      <c r="B269" t="inlineStr">
        <is>
          <t>SW-DAMPER-070</t>
        </is>
      </c>
      <c r="C269" t="inlineStr">
        <is>
          <t>Silicon chống cháy + bu lông, ốc vít van FD/MFD</t>
        </is>
      </c>
      <c r="D269" t="inlineStr">
        <is>
          <t>PHỤ_KIỆN_VAN</t>
        </is>
      </c>
      <c r="E269" t="inlineStr">
        <is>
          <t>MAT-DAMPER-SILICON-BULONG-VIT</t>
        </is>
      </c>
      <c r="F269" t="inlineStr">
        <is>
          <t>Bộ</t>
        </is>
      </c>
      <c r="G269" s="20" t="n">
        <v>1</v>
      </c>
      <c r="H269" s="16">
        <f>'00_TONG_HOP_BAO_GIA'!G71</f>
        <v/>
      </c>
      <c r="I269" s="21">
        <f>G269*H269</f>
        <v/>
      </c>
      <c r="J269" s="16">
        <f>IFERROR(INDEX('06_BANG_GIA_VAT_TU_AP_DUNG'!$E$1:$E$5000, MATCH(E269, '06_BANG_GIA_VAT_TU_AP_DUNG'!$B$1:$B$5000, 0)), 0)</f>
        <v/>
      </c>
      <c r="K269" s="16">
        <f>I269*J269</f>
        <v/>
      </c>
      <c r="L269" t="inlineStr">
        <is>
          <t>Keo silicon chống cháy &amp; phụ kiện lắp ghép (1 bộ)</t>
        </is>
      </c>
    </row>
    <row r="270">
      <c r="A270" t="inlineStr">
        <is>
          <t>SW-DAMPER-071-BODY</t>
        </is>
      </c>
      <c r="B270" t="inlineStr">
        <is>
          <t>SW-DAMPER-071</t>
        </is>
      </c>
      <c r="C270" t="inlineStr">
        <is>
          <t>Thân vỏ van MFD bích C30/TDF (1.15mm)</t>
        </is>
      </c>
      <c r="D270" t="inlineStr">
        <is>
          <t>TÔN_CUỘN_MẠ_KẼM</t>
        </is>
      </c>
      <c r="E270" t="inlineStr">
        <is>
          <t>MAT-STEEL-PN-1.15</t>
        </is>
      </c>
      <c r="F270" t="inlineStr">
        <is>
          <t>kg</t>
        </is>
      </c>
      <c r="G270" s="20" t="n">
        <v>8.81176552378108</v>
      </c>
      <c r="H270" s="16">
        <f>'00_TONG_HOP_BAO_GIA'!G72</f>
        <v/>
      </c>
      <c r="I270" s="21">
        <f>G270*H270</f>
        <v/>
      </c>
      <c r="J270" s="16">
        <f>IFERROR(INDEX('06_BANG_GIA_VAT_TU_AP_DUNG'!$E$1:$E$5000, MATCH(E270, '06_BANG_GIA_VAT_TU_AP_DUNG'!$B$1:$B$5000, 0)), 0)</f>
        <v/>
      </c>
      <c r="K270" s="16">
        <f>I270*J270</f>
        <v/>
      </c>
      <c r="L270" t="inlineStr">
        <is>
          <t>Kích thước vỏ 1100x300x200mm</t>
        </is>
      </c>
    </row>
    <row r="271">
      <c r="A271" t="inlineStr">
        <is>
          <t>SW-DAMPER-071-BLADE</t>
        </is>
      </c>
      <c r="B271" t="inlineStr">
        <is>
          <t>SW-DAMPER-071</t>
        </is>
      </c>
      <c r="C271" t="inlineStr">
        <is>
          <t>Lá cánh / Tôn tấm bọc van (1 cánh)</t>
        </is>
      </c>
      <c r="D271" t="inlineStr">
        <is>
          <t>TÔN_CUỘN_MẠ_KẼM</t>
        </is>
      </c>
      <c r="E271" t="inlineStr">
        <is>
          <t>MAT-STEEL-PN-1.15</t>
        </is>
      </c>
      <c r="F271" t="inlineStr">
        <is>
          <t>kg</t>
        </is>
      </c>
      <c r="G271" s="20" t="n">
        <v>7.223296874699447</v>
      </c>
      <c r="H271" s="16">
        <f>'00_TONG_HOP_BAO_GIA'!G72</f>
        <v/>
      </c>
      <c r="I271" s="21">
        <f>G271*H271</f>
        <v/>
      </c>
      <c r="J271" s="16">
        <f>IFERROR(INDEX('06_BANG_GIA_VAT_TU_AP_DUNG'!$E$1:$E$5000, MATCH(E271, '06_BANG_GIA_VAT_TU_AP_DUNG'!$B$1:$B$5000, 0)), 0)</f>
        <v/>
      </c>
      <c r="K271" s="16">
        <f>I271*J271</f>
        <v/>
      </c>
      <c r="L271" t="inlineStr">
        <is>
          <t>Tôn bọc cánh &amp; thân (1 cánh/modul)</t>
        </is>
      </c>
    </row>
    <row r="272">
      <c r="A272" t="inlineStr">
        <is>
          <t>SW-DAMPER-071-AXLE</t>
        </is>
      </c>
      <c r="B272" t="inlineStr">
        <is>
          <t>SW-DAMPER-071</t>
        </is>
      </c>
      <c r="C272" t="inlineStr">
        <is>
          <t>Trục Sus 201 D10</t>
        </is>
      </c>
      <c r="D272" t="inlineStr">
        <is>
          <t>PHỤ_KIỆN_VAN</t>
        </is>
      </c>
      <c r="E272" t="inlineStr">
        <is>
          <t>MAT-DAMPER-TRUC-SUS-201-D10</t>
        </is>
      </c>
      <c r="F272" t="inlineStr">
        <is>
          <t>m</t>
        </is>
      </c>
      <c r="G272" s="20" t="n">
        <v>1.406313096288506</v>
      </c>
      <c r="H272" s="16">
        <f>'00_TONG_HOP_BAO_GIA'!G72</f>
        <v/>
      </c>
      <c r="I272" s="21">
        <f>G272*H272</f>
        <v/>
      </c>
      <c r="J272" s="16">
        <f>IFERROR(INDEX('06_BANG_GIA_VAT_TU_AP_DUNG'!$E$1:$E$5000, MATCH(E272, '06_BANG_GIA_VAT_TU_AP_DUNG'!$B$1:$B$5000, 0)), 0)</f>
        <v/>
      </c>
      <c r="K272" s="16">
        <f>I272*J272</f>
        <v/>
      </c>
      <c r="L272" t="inlineStr">
        <is>
          <t>1 trục dài 1160mm</t>
        </is>
      </c>
    </row>
    <row r="273">
      <c r="A273" t="inlineStr">
        <is>
          <t>SW-DAMPER-071-BEARING</t>
        </is>
      </c>
      <c r="B273" t="inlineStr">
        <is>
          <t>SW-DAMPER-071</t>
        </is>
      </c>
      <c r="C273" t="inlineStr">
        <is>
          <t>Bạc đồng D10</t>
        </is>
      </c>
      <c r="D273" t="inlineStr">
        <is>
          <t>PHỤ_KIỆN_VAN</t>
        </is>
      </c>
      <c r="E273" t="inlineStr">
        <is>
          <t>MAT-DAMPER-BAC-DONG-D10</t>
        </is>
      </c>
      <c r="F273" t="inlineStr">
        <is>
          <t>Đôi</t>
        </is>
      </c>
      <c r="G273" s="20" t="n">
        <v>1</v>
      </c>
      <c r="H273" s="16">
        <f>'00_TONG_HOP_BAO_GIA'!G72</f>
        <v/>
      </c>
      <c r="I273" s="21">
        <f>G273*H273</f>
        <v/>
      </c>
      <c r="J273" s="16">
        <f>IFERROR(INDEX('06_BANG_GIA_VAT_TU_AP_DUNG'!$E$1:$E$5000, MATCH(E273, '06_BANG_GIA_VAT_TU_AP_DUNG'!$B$1:$B$5000, 0)), 0)</f>
        <v/>
      </c>
      <c r="K273" s="16">
        <f>I273*J273</f>
        <v/>
      </c>
      <c r="L273" t="inlineStr">
        <is>
          <t>1 đôi bạc đỡ 2 bên thân</t>
        </is>
      </c>
    </row>
    <row r="274">
      <c r="A274" t="inlineStr">
        <is>
          <t>SW-DAMPER-071-ACTUATOR</t>
        </is>
      </c>
      <c r="B274" t="inlineStr">
        <is>
          <t>SW-DAMPER-071</t>
        </is>
      </c>
      <c r="C274" t="inlineStr">
        <is>
          <t>Động cơ chặn lửa ON/OFF KLB (Swin V6006FS500S EI90) 5Nm</t>
        </is>
      </c>
      <c r="D274" t="inlineStr">
        <is>
          <t>ĐỘNG_CƠ_VÀ_CẢM_BIẾN</t>
        </is>
      </c>
      <c r="E274" t="inlineStr">
        <is>
          <t>MAT-ACTUATOR-KLB-V6006FS500S</t>
        </is>
      </c>
      <c r="F274" t="inlineStr">
        <is>
          <t>Cái</t>
        </is>
      </c>
      <c r="G274" s="20" t="n">
        <v>1</v>
      </c>
      <c r="H274" s="16">
        <f>'00_TONG_HOP_BAO_GIA'!G72</f>
        <v/>
      </c>
      <c r="I274" s="21">
        <f>G274*H274</f>
        <v/>
      </c>
      <c r="J274" s="16">
        <f>IFERROR(INDEX('06_BANG_GIA_VAT_TU_AP_DUNG'!$E$1:$E$5000, MATCH(E274, '06_BANG_GIA_VAT_TU_AP_DUNG'!$B$1:$B$5000, 0)), 0)</f>
        <v/>
      </c>
      <c r="K274" s="16">
        <f>I274*J274</f>
        <v/>
      </c>
      <c r="L274" t="inlineStr">
        <is>
          <t>Động cơ lò xo phản hồi MFD (1 bộ)</t>
        </is>
      </c>
    </row>
    <row r="275">
      <c r="A275" t="inlineStr">
        <is>
          <t>SW-DAMPER-071-FB10-BODY</t>
        </is>
      </c>
      <c r="B275" t="inlineStr">
        <is>
          <t>SW-DAMPER-071</t>
        </is>
      </c>
      <c r="C275" t="inlineStr">
        <is>
          <t>Tấm chống cháy dày 10mm bọc thân van FD/MFD (2 lớp)</t>
        </is>
      </c>
      <c r="D275" t="inlineStr">
        <is>
          <t>VẬT_LIỆU_CÁCH_NHIỆT</t>
        </is>
      </c>
      <c r="E275" t="inlineStr">
        <is>
          <t>MAT-FIREBOARD-10MM-BODY</t>
        </is>
      </c>
      <c r="F275" t="inlineStr">
        <is>
          <t>m2</t>
        </is>
      </c>
      <c r="G275" s="20" t="n">
        <v>2.036729311866111</v>
      </c>
      <c r="H275" s="16">
        <f>'00_TONG_HOP_BAO_GIA'!G72</f>
        <v/>
      </c>
      <c r="I275" s="21">
        <f>G275*H275</f>
        <v/>
      </c>
      <c r="J275" s="16">
        <f>IFERROR(INDEX('06_BANG_GIA_VAT_TU_AP_DUNG'!$E$1:$E$5000, MATCH(E275, '06_BANG_GIA_VAT_TU_AP_DUNG'!$B$1:$B$5000, 0)), 0)</f>
        <v/>
      </c>
      <c r="K275" s="16">
        <f>I275*J275</f>
        <v/>
      </c>
      <c r="L275" t="inlineStr">
        <is>
          <t>Bọc 2 lớp tấm 10mm quanh thân L=300mm</t>
        </is>
      </c>
    </row>
    <row r="276">
      <c r="A276" t="inlineStr">
        <is>
          <t>SW-DAMPER-071-FB20-BLADE</t>
        </is>
      </c>
      <c r="B276" t="inlineStr">
        <is>
          <t>SW-DAMPER-071</t>
        </is>
      </c>
      <c r="C276" t="inlineStr">
        <is>
          <t>Tấm chống cháy dày 20mm làm lõi cánh van FD/MFD</t>
        </is>
      </c>
      <c r="D276" t="inlineStr">
        <is>
          <t>VẬT_LIỆU_CÁCH_NHIỆT</t>
        </is>
      </c>
      <c r="E276" t="inlineStr">
        <is>
          <t>MAT-FIREBOARD-20MM-BLADE</t>
        </is>
      </c>
      <c r="F276" t="inlineStr">
        <is>
          <t>m2</t>
        </is>
      </c>
      <c r="G276" s="20" t="n">
        <v>0.4000718291165576</v>
      </c>
      <c r="H276" s="16">
        <f>'00_TONG_HOP_BAO_GIA'!G72</f>
        <v/>
      </c>
      <c r="I276" s="21">
        <f>G276*H276</f>
        <v/>
      </c>
      <c r="J276" s="16">
        <f>IFERROR(INDEX('06_BANG_GIA_VAT_TU_AP_DUNG'!$E$1:$E$5000, MATCH(E276, '06_BANG_GIA_VAT_TU_AP_DUNG'!$B$1:$B$5000, 0)), 0)</f>
        <v/>
      </c>
      <c r="K276" s="16">
        <f>I276*J276</f>
        <v/>
      </c>
      <c r="L276" t="inlineStr">
        <is>
          <t>Lõi cánh tấm 20mm (Cánh đơn 1100x300mm)</t>
        </is>
      </c>
    </row>
    <row r="277">
      <c r="A277" t="inlineStr">
        <is>
          <t>SW-DAMPER-071-FB10-BLADE</t>
        </is>
      </c>
      <c r="B277" t="inlineStr">
        <is>
          <t>SW-DAMPER-071</t>
        </is>
      </c>
      <c r="C277" t="inlineStr">
        <is>
          <t>Tấm chống cháy dày 10mm ốp 2 mặt cánh van FD/MFD</t>
        </is>
      </c>
      <c r="D277" t="inlineStr">
        <is>
          <t>VẬT_LIỆU_CÁCH_NHIỆT</t>
        </is>
      </c>
      <c r="E277" t="inlineStr">
        <is>
          <t>MAT-FIREBOARD-10MM-BLADE</t>
        </is>
      </c>
      <c r="F277" t="inlineStr">
        <is>
          <t>m2</t>
        </is>
      </c>
      <c r="G277" s="20" t="n">
        <v>0.8001436582331153</v>
      </c>
      <c r="H277" s="16">
        <f>'00_TONG_HOP_BAO_GIA'!G72</f>
        <v/>
      </c>
      <c r="I277" s="21">
        <f>G277*H277</f>
        <v/>
      </c>
      <c r="J277" s="16">
        <f>IFERROR(INDEX('06_BANG_GIA_VAT_TU_AP_DUNG'!$E$1:$E$5000, MATCH(E277, '06_BANG_GIA_VAT_TU_AP_DUNG'!$B$1:$B$5000, 0)), 0)</f>
        <v/>
      </c>
      <c r="K277" s="16">
        <f>I277*J277</f>
        <v/>
      </c>
      <c r="L277" t="inlineStr">
        <is>
          <t>Ốp 2 mặt cánh tấm 10mm (Cánh đơn 1100x300mm)</t>
        </is>
      </c>
    </row>
    <row r="278">
      <c r="A278" t="inlineStr">
        <is>
          <t>SW-DAMPER-071-SPRING-BOX</t>
        </is>
      </c>
      <c r="B278" t="inlineStr">
        <is>
          <t>SW-DAMPER-071</t>
        </is>
      </c>
      <c r="C278" t="inlineStr">
        <is>
          <t>Hộp lò xo van chặn lửa FD/MFD</t>
        </is>
      </c>
      <c r="D278" t="inlineStr">
        <is>
          <t>PHỤ_KIỆN_VAN</t>
        </is>
      </c>
      <c r="E278" t="inlineStr">
        <is>
          <t>MAT-DAMPER-HOP-LO-XO</t>
        </is>
      </c>
      <c r="F278" t="inlineStr">
        <is>
          <t>Bộ</t>
        </is>
      </c>
      <c r="G278" s="20" t="n">
        <v>1</v>
      </c>
      <c r="H278" s="16">
        <f>'00_TONG_HOP_BAO_GIA'!G72</f>
        <v/>
      </c>
      <c r="I278" s="21">
        <f>G278*H278</f>
        <v/>
      </c>
      <c r="J278" s="16">
        <f>IFERROR(INDEX('06_BANG_GIA_VAT_TU_AP_DUNG'!$E$1:$E$5000, MATCH(E278, '06_BANG_GIA_VAT_TU_AP_DUNG'!$B$1:$B$5000, 0)), 0)</f>
        <v/>
      </c>
      <c r="K278" s="16">
        <f>I278*J278</f>
        <v/>
      </c>
      <c r="L278" t="inlineStr">
        <is>
          <t>Hộp lò xo cơ cấu đóng sập (1 bộ)</t>
        </is>
      </c>
    </row>
    <row r="279">
      <c r="A279" t="inlineStr">
        <is>
          <t>SW-DAMPER-071-SILICON-BOLT</t>
        </is>
      </c>
      <c r="B279" t="inlineStr">
        <is>
          <t>SW-DAMPER-071</t>
        </is>
      </c>
      <c r="C279" t="inlineStr">
        <is>
          <t>Silicon chống cháy + bu lông, ốc vít van FD/MFD</t>
        </is>
      </c>
      <c r="D279" t="inlineStr">
        <is>
          <t>PHỤ_KIỆN_VAN</t>
        </is>
      </c>
      <c r="E279" t="inlineStr">
        <is>
          <t>MAT-DAMPER-SILICON-BULONG-VIT</t>
        </is>
      </c>
      <c r="F279" t="inlineStr">
        <is>
          <t>Bộ</t>
        </is>
      </c>
      <c r="G279" s="20" t="n">
        <v>1</v>
      </c>
      <c r="H279" s="16">
        <f>'00_TONG_HOP_BAO_GIA'!G72</f>
        <v/>
      </c>
      <c r="I279" s="21">
        <f>G279*H279</f>
        <v/>
      </c>
      <c r="J279" s="16">
        <f>IFERROR(INDEX('06_BANG_GIA_VAT_TU_AP_DUNG'!$E$1:$E$5000, MATCH(E279, '06_BANG_GIA_VAT_TU_AP_DUNG'!$B$1:$B$5000, 0)), 0)</f>
        <v/>
      </c>
      <c r="K279" s="16">
        <f>I279*J279</f>
        <v/>
      </c>
      <c r="L279" t="inlineStr">
        <is>
          <t>Keo silicon chống cháy &amp; phụ kiện lắp ghép (1 bộ)</t>
        </is>
      </c>
    </row>
    <row r="280">
      <c r="A280" t="inlineStr">
        <is>
          <t>SW-DAMPER-072-BODY</t>
        </is>
      </c>
      <c r="B280" t="inlineStr">
        <is>
          <t>SW-DAMPER-072</t>
        </is>
      </c>
      <c r="C280" t="inlineStr">
        <is>
          <t>Thân vỏ van MFD bích C30/TDF (1.15mm)</t>
        </is>
      </c>
      <c r="D280" t="inlineStr">
        <is>
          <t>TÔN_CUỘN_MẠ_KẼM</t>
        </is>
      </c>
      <c r="E280" t="inlineStr">
        <is>
          <t>MAT-STEEL-PN-1.15</t>
        </is>
      </c>
      <c r="F280" t="inlineStr">
        <is>
          <t>kg</t>
        </is>
      </c>
      <c r="G280" s="20" t="n">
        <v>9.134807805412855</v>
      </c>
      <c r="H280" s="16">
        <f>'00_TONG_HOP_BAO_GIA'!G73</f>
        <v/>
      </c>
      <c r="I280" s="21">
        <f>G280*H280</f>
        <v/>
      </c>
      <c r="J280" s="16">
        <f>IFERROR(INDEX('06_BANG_GIA_VAT_TU_AP_DUNG'!$E$1:$E$5000, MATCH(E280, '06_BANG_GIA_VAT_TU_AP_DUNG'!$B$1:$B$5000, 0)), 0)</f>
        <v/>
      </c>
      <c r="K280" s="16">
        <f>I280*J280</f>
        <v/>
      </c>
      <c r="L280" t="inlineStr">
        <is>
          <t>Kích thước vỏ 1100x350x200mm</t>
        </is>
      </c>
    </row>
    <row r="281">
      <c r="A281" t="inlineStr">
        <is>
          <t>SW-DAMPER-072-BLADE</t>
        </is>
      </c>
      <c r="B281" t="inlineStr">
        <is>
          <t>SW-DAMPER-072</t>
        </is>
      </c>
      <c r="C281" t="inlineStr">
        <is>
          <t>Lá cánh / Tôn tấm bọc van (1 cánh)</t>
        </is>
      </c>
      <c r="D281" t="inlineStr">
        <is>
          <t>TÔN_CUỘN_MẠ_KẼM</t>
        </is>
      </c>
      <c r="E281" t="inlineStr">
        <is>
          <t>MAT-STEEL-PN-1.15</t>
        </is>
      </c>
      <c r="F281" t="inlineStr">
        <is>
          <t>kg</t>
        </is>
      </c>
      <c r="G281" s="20" t="n">
        <v>8.438975884735147</v>
      </c>
      <c r="H281" s="16">
        <f>'00_TONG_HOP_BAO_GIA'!G73</f>
        <v/>
      </c>
      <c r="I281" s="21">
        <f>G281*H281</f>
        <v/>
      </c>
      <c r="J281" s="16">
        <f>IFERROR(INDEX('06_BANG_GIA_VAT_TU_AP_DUNG'!$E$1:$E$5000, MATCH(E281, '06_BANG_GIA_VAT_TU_AP_DUNG'!$B$1:$B$5000, 0)), 0)</f>
        <v/>
      </c>
      <c r="K281" s="16">
        <f>I281*J281</f>
        <v/>
      </c>
      <c r="L281" t="inlineStr">
        <is>
          <t>Tôn bọc cánh &amp; thân (1 cánh/modul)</t>
        </is>
      </c>
    </row>
    <row r="282">
      <c r="A282" t="inlineStr">
        <is>
          <t>SW-DAMPER-072-AXLE</t>
        </is>
      </c>
      <c r="B282" t="inlineStr">
        <is>
          <t>SW-DAMPER-072</t>
        </is>
      </c>
      <c r="C282" t="inlineStr">
        <is>
          <t>Trục Sus 201 D10</t>
        </is>
      </c>
      <c r="D282" t="inlineStr">
        <is>
          <t>PHỤ_KIỆN_VAN</t>
        </is>
      </c>
      <c r="E282" t="inlineStr">
        <is>
          <t>MAT-DAMPER-TRUC-SUS-201-D10</t>
        </is>
      </c>
      <c r="F282" t="inlineStr">
        <is>
          <t>m</t>
        </is>
      </c>
      <c r="G282" s="20" t="n">
        <v>1.408281625234981</v>
      </c>
      <c r="H282" s="16">
        <f>'00_TONG_HOP_BAO_GIA'!G73</f>
        <v/>
      </c>
      <c r="I282" s="21">
        <f>G282*H282</f>
        <v/>
      </c>
      <c r="J282" s="16">
        <f>IFERROR(INDEX('06_BANG_GIA_VAT_TU_AP_DUNG'!$E$1:$E$5000, MATCH(E282, '06_BANG_GIA_VAT_TU_AP_DUNG'!$B$1:$B$5000, 0)), 0)</f>
        <v/>
      </c>
      <c r="K282" s="16">
        <f>I282*J282</f>
        <v/>
      </c>
      <c r="L282" t="inlineStr">
        <is>
          <t>1 trục dài 1160mm</t>
        </is>
      </c>
    </row>
    <row r="283">
      <c r="A283" t="inlineStr">
        <is>
          <t>SW-DAMPER-072-BEARING</t>
        </is>
      </c>
      <c r="B283" t="inlineStr">
        <is>
          <t>SW-DAMPER-072</t>
        </is>
      </c>
      <c r="C283" t="inlineStr">
        <is>
          <t>Bạc đồng D10</t>
        </is>
      </c>
      <c r="D283" t="inlineStr">
        <is>
          <t>PHỤ_KIỆN_VAN</t>
        </is>
      </c>
      <c r="E283" t="inlineStr">
        <is>
          <t>MAT-DAMPER-BAC-DONG-D10</t>
        </is>
      </c>
      <c r="F283" t="inlineStr">
        <is>
          <t>Đôi</t>
        </is>
      </c>
      <c r="G283" s="20" t="n">
        <v>1</v>
      </c>
      <c r="H283" s="16">
        <f>'00_TONG_HOP_BAO_GIA'!G73</f>
        <v/>
      </c>
      <c r="I283" s="21">
        <f>G283*H283</f>
        <v/>
      </c>
      <c r="J283" s="16">
        <f>IFERROR(INDEX('06_BANG_GIA_VAT_TU_AP_DUNG'!$E$1:$E$5000, MATCH(E283, '06_BANG_GIA_VAT_TU_AP_DUNG'!$B$1:$B$5000, 0)), 0)</f>
        <v/>
      </c>
      <c r="K283" s="16">
        <f>I283*J283</f>
        <v/>
      </c>
      <c r="L283" t="inlineStr">
        <is>
          <t>1 đôi bạc đỡ 2 bên thân</t>
        </is>
      </c>
    </row>
    <row r="284">
      <c r="A284" t="inlineStr">
        <is>
          <t>SW-DAMPER-072-ACTUATOR</t>
        </is>
      </c>
      <c r="B284" t="inlineStr">
        <is>
          <t>SW-DAMPER-072</t>
        </is>
      </c>
      <c r="C284" t="inlineStr">
        <is>
          <t>Động cơ chặn lửa ON/OFF KLB (Swin V6006FS500S EI90) 5Nm</t>
        </is>
      </c>
      <c r="D284" t="inlineStr">
        <is>
          <t>ĐỘNG_CƠ_VÀ_CẢM_BIẾN</t>
        </is>
      </c>
      <c r="E284" t="inlineStr">
        <is>
          <t>MAT-ACTUATOR-KLB-V6006FS500S</t>
        </is>
      </c>
      <c r="F284" t="inlineStr">
        <is>
          <t>Cái</t>
        </is>
      </c>
      <c r="G284" s="20" t="n">
        <v>1</v>
      </c>
      <c r="H284" s="16">
        <f>'00_TONG_HOP_BAO_GIA'!G73</f>
        <v/>
      </c>
      <c r="I284" s="21">
        <f>G284*H284</f>
        <v/>
      </c>
      <c r="J284" s="16">
        <f>IFERROR(INDEX('06_BANG_GIA_VAT_TU_AP_DUNG'!$E$1:$E$5000, MATCH(E284, '06_BANG_GIA_VAT_TU_AP_DUNG'!$B$1:$B$5000, 0)), 0)</f>
        <v/>
      </c>
      <c r="K284" s="16">
        <f>I284*J284</f>
        <v/>
      </c>
      <c r="L284" t="inlineStr">
        <is>
          <t>Động cơ lò xo phản hồi MFD (1 bộ)</t>
        </is>
      </c>
    </row>
    <row r="285">
      <c r="A285" t="inlineStr">
        <is>
          <t>SW-DAMPER-072-FB10-BODY</t>
        </is>
      </c>
      <c r="B285" t="inlineStr">
        <is>
          <t>SW-DAMPER-072</t>
        </is>
      </c>
      <c r="C285" t="inlineStr">
        <is>
          <t>Tấm chống cháy dày 10mm bọc thân van FD/MFD (2 lớp)</t>
        </is>
      </c>
      <c r="D285" t="inlineStr">
        <is>
          <t>VẬT_LIỆU_CÁCH_NHIỆT</t>
        </is>
      </c>
      <c r="E285" t="inlineStr">
        <is>
          <t>MAT-FIREBOARD-10MM-BODY</t>
        </is>
      </c>
      <c r="F285" t="inlineStr">
        <is>
          <t>m2</t>
        </is>
      </c>
      <c r="G285" s="20" t="n">
        <v>2.112422437852472</v>
      </c>
      <c r="H285" s="16">
        <f>'00_TONG_HOP_BAO_GIA'!G73</f>
        <v/>
      </c>
      <c r="I285" s="21">
        <f>G285*H285</f>
        <v/>
      </c>
      <c r="J285" s="16">
        <f>IFERROR(INDEX('06_BANG_GIA_VAT_TU_AP_DUNG'!$E$1:$E$5000, MATCH(E285, '06_BANG_GIA_VAT_TU_AP_DUNG'!$B$1:$B$5000, 0)), 0)</f>
        <v/>
      </c>
      <c r="K285" s="16">
        <f>I285*J285</f>
        <v/>
      </c>
      <c r="L285" t="inlineStr">
        <is>
          <t>Bọc 2 lớp tấm 10mm quanh thân L=300mm</t>
        </is>
      </c>
    </row>
    <row r="286">
      <c r="A286" t="inlineStr">
        <is>
          <t>SW-DAMPER-072-FB20-BLADE</t>
        </is>
      </c>
      <c r="B286" t="inlineStr">
        <is>
          <t>SW-DAMPER-072</t>
        </is>
      </c>
      <c r="C286" t="inlineStr">
        <is>
          <t>Tấm chống cháy dày 20mm làm lõi cánh van FD/MFD</t>
        </is>
      </c>
      <c r="D286" t="inlineStr">
        <is>
          <t>VẬT_LIỆU_CÁCH_NHIỆT</t>
        </is>
      </c>
      <c r="E286" t="inlineStr">
        <is>
          <t>MAT-FIREBOARD-20MM-BLADE</t>
        </is>
      </c>
      <c r="F286" t="inlineStr">
        <is>
          <t>m2</t>
        </is>
      </c>
      <c r="G286" s="20" t="n">
        <v>0.4674038152719551</v>
      </c>
      <c r="H286" s="16">
        <f>'00_TONG_HOP_BAO_GIA'!G73</f>
        <v/>
      </c>
      <c r="I286" s="21">
        <f>G286*H286</f>
        <v/>
      </c>
      <c r="J286" s="16">
        <f>IFERROR(INDEX('06_BANG_GIA_VAT_TU_AP_DUNG'!$E$1:$E$5000, MATCH(E286, '06_BANG_GIA_VAT_TU_AP_DUNG'!$B$1:$B$5000, 0)), 0)</f>
        <v/>
      </c>
      <c r="K286" s="16">
        <f>I286*J286</f>
        <v/>
      </c>
      <c r="L286" t="inlineStr">
        <is>
          <t>Lõi cánh tấm 20mm (Cánh đơn 1100x350mm)</t>
        </is>
      </c>
    </row>
    <row r="287">
      <c r="A287" t="inlineStr">
        <is>
          <t>SW-DAMPER-072-FB10-BLADE</t>
        </is>
      </c>
      <c r="B287" t="inlineStr">
        <is>
          <t>SW-DAMPER-072</t>
        </is>
      </c>
      <c r="C287" t="inlineStr">
        <is>
          <t>Tấm chống cháy dày 10mm ốp 2 mặt cánh van FD/MFD</t>
        </is>
      </c>
      <c r="D287" t="inlineStr">
        <is>
          <t>VẬT_LIỆU_CÁCH_NHIỆT</t>
        </is>
      </c>
      <c r="E287" t="inlineStr">
        <is>
          <t>MAT-FIREBOARD-10MM-BLADE</t>
        </is>
      </c>
      <c r="F287" t="inlineStr">
        <is>
          <t>m2</t>
        </is>
      </c>
      <c r="G287" s="20" t="n">
        <v>0.9348076305439101</v>
      </c>
      <c r="H287" s="16">
        <f>'00_TONG_HOP_BAO_GIA'!G73</f>
        <v/>
      </c>
      <c r="I287" s="21">
        <f>G287*H287</f>
        <v/>
      </c>
      <c r="J287" s="16">
        <f>IFERROR(INDEX('06_BANG_GIA_VAT_TU_AP_DUNG'!$E$1:$E$5000, MATCH(E287, '06_BANG_GIA_VAT_TU_AP_DUNG'!$B$1:$B$5000, 0)), 0)</f>
        <v/>
      </c>
      <c r="K287" s="16">
        <f>I287*J287</f>
        <v/>
      </c>
      <c r="L287" t="inlineStr">
        <is>
          <t>Ốp 2 mặt cánh tấm 10mm (Cánh đơn 1100x350mm)</t>
        </is>
      </c>
    </row>
    <row r="288">
      <c r="A288" t="inlineStr">
        <is>
          <t>SW-DAMPER-072-SPRING-BOX</t>
        </is>
      </c>
      <c r="B288" t="inlineStr">
        <is>
          <t>SW-DAMPER-072</t>
        </is>
      </c>
      <c r="C288" t="inlineStr">
        <is>
          <t>Hộp lò xo van chặn lửa FD/MFD</t>
        </is>
      </c>
      <c r="D288" t="inlineStr">
        <is>
          <t>PHỤ_KIỆN_VAN</t>
        </is>
      </c>
      <c r="E288" t="inlineStr">
        <is>
          <t>MAT-DAMPER-HOP-LO-XO</t>
        </is>
      </c>
      <c r="F288" t="inlineStr">
        <is>
          <t>Bộ</t>
        </is>
      </c>
      <c r="G288" s="20" t="n">
        <v>1</v>
      </c>
      <c r="H288" s="16">
        <f>'00_TONG_HOP_BAO_GIA'!G73</f>
        <v/>
      </c>
      <c r="I288" s="21">
        <f>G288*H288</f>
        <v/>
      </c>
      <c r="J288" s="16">
        <f>IFERROR(INDEX('06_BANG_GIA_VAT_TU_AP_DUNG'!$E$1:$E$5000, MATCH(E288, '06_BANG_GIA_VAT_TU_AP_DUNG'!$B$1:$B$5000, 0)), 0)</f>
        <v/>
      </c>
      <c r="K288" s="16">
        <f>I288*J288</f>
        <v/>
      </c>
      <c r="L288" t="inlineStr">
        <is>
          <t>Hộp lò xo cơ cấu đóng sập (1 bộ)</t>
        </is>
      </c>
    </row>
    <row r="289">
      <c r="A289" t="inlineStr">
        <is>
          <t>SW-DAMPER-072-SILICON-BOLT</t>
        </is>
      </c>
      <c r="B289" t="inlineStr">
        <is>
          <t>SW-DAMPER-072</t>
        </is>
      </c>
      <c r="C289" t="inlineStr">
        <is>
          <t>Silicon chống cháy + bu lông, ốc vít van FD/MFD</t>
        </is>
      </c>
      <c r="D289" t="inlineStr">
        <is>
          <t>PHỤ_KIỆN_VAN</t>
        </is>
      </c>
      <c r="E289" t="inlineStr">
        <is>
          <t>MAT-DAMPER-SILICON-BULONG-VIT</t>
        </is>
      </c>
      <c r="F289" t="inlineStr">
        <is>
          <t>Bộ</t>
        </is>
      </c>
      <c r="G289" s="20" t="n">
        <v>1</v>
      </c>
      <c r="H289" s="16">
        <f>'00_TONG_HOP_BAO_GIA'!G73</f>
        <v/>
      </c>
      <c r="I289" s="21">
        <f>G289*H289</f>
        <v/>
      </c>
      <c r="J289" s="16">
        <f>IFERROR(INDEX('06_BANG_GIA_VAT_TU_AP_DUNG'!$E$1:$E$5000, MATCH(E289, '06_BANG_GIA_VAT_TU_AP_DUNG'!$B$1:$B$5000, 0)), 0)</f>
        <v/>
      </c>
      <c r="K289" s="16">
        <f>I289*J289</f>
        <v/>
      </c>
      <c r="L289" t="inlineStr">
        <is>
          <t>Keo silicon chống cháy &amp; phụ kiện lắp ghép (1 bộ)</t>
        </is>
      </c>
    </row>
    <row r="290">
      <c r="A290" t="inlineStr">
        <is>
          <t>SW-DAMPER-073-BODY</t>
        </is>
      </c>
      <c r="B290" t="inlineStr">
        <is>
          <t>SW-DAMPER-073</t>
        </is>
      </c>
      <c r="C290" t="inlineStr">
        <is>
          <t>Thân vỏ van MFD bích C30/TDF (1.15mm)</t>
        </is>
      </c>
      <c r="D290" t="inlineStr">
        <is>
          <t>TÔN_CUỘN_MẠ_KẼM</t>
        </is>
      </c>
      <c r="E290" t="inlineStr">
        <is>
          <t>MAT-STEEL-PN-1.15</t>
        </is>
      </c>
      <c r="F290" t="inlineStr">
        <is>
          <t>kg</t>
        </is>
      </c>
      <c r="G290" s="20" t="n">
        <v>9.772208323076585</v>
      </c>
      <c r="H290" s="16">
        <f>'00_TONG_HOP_BAO_GIA'!G74</f>
        <v/>
      </c>
      <c r="I290" s="21">
        <f>G290*H290</f>
        <v/>
      </c>
      <c r="J290" s="16">
        <f>IFERROR(INDEX('06_BANG_GIA_VAT_TU_AP_DUNG'!$E$1:$E$5000, MATCH(E290, '06_BANG_GIA_VAT_TU_AP_DUNG'!$B$1:$B$5000, 0)), 0)</f>
        <v/>
      </c>
      <c r="K290" s="16">
        <f>I290*J290</f>
        <v/>
      </c>
      <c r="L290" t="inlineStr">
        <is>
          <t>Kích thước vỏ 1100x450x200mm</t>
        </is>
      </c>
    </row>
    <row r="291">
      <c r="A291" t="inlineStr">
        <is>
          <t>SW-DAMPER-073-BLADE</t>
        </is>
      </c>
      <c r="B291" t="inlineStr">
        <is>
          <t>SW-DAMPER-073</t>
        </is>
      </c>
      <c r="C291" t="inlineStr">
        <is>
          <t>Lá cánh / Tôn tấm bọc van (1 cánh)</t>
        </is>
      </c>
      <c r="D291" t="inlineStr">
        <is>
          <t>TÔN_CUỘN_MẠ_KẼM</t>
        </is>
      </c>
      <c r="E291" t="inlineStr">
        <is>
          <t>MAT-STEEL-PN-1.15</t>
        </is>
      </c>
      <c r="F291" t="inlineStr">
        <is>
          <t>kg</t>
        </is>
      </c>
      <c r="G291" s="20" t="n">
        <v>10.8678891470875</v>
      </c>
      <c r="H291" s="16">
        <f>'00_TONG_HOP_BAO_GIA'!G74</f>
        <v/>
      </c>
      <c r="I291" s="21">
        <f>G291*H291</f>
        <v/>
      </c>
      <c r="J291" s="16">
        <f>IFERROR(INDEX('06_BANG_GIA_VAT_TU_AP_DUNG'!$E$1:$E$5000, MATCH(E291, '06_BANG_GIA_VAT_TU_AP_DUNG'!$B$1:$B$5000, 0)), 0)</f>
        <v/>
      </c>
      <c r="K291" s="16">
        <f>I291*J291</f>
        <v/>
      </c>
      <c r="L291" t="inlineStr">
        <is>
          <t>Tôn bọc cánh &amp; thân (1 cánh/modul)</t>
        </is>
      </c>
    </row>
    <row r="292">
      <c r="A292" t="inlineStr">
        <is>
          <t>SW-DAMPER-073-AXLE</t>
        </is>
      </c>
      <c r="B292" t="inlineStr">
        <is>
          <t>SW-DAMPER-073</t>
        </is>
      </c>
      <c r="C292" t="inlineStr">
        <is>
          <t>Trục Sus 201 D10</t>
        </is>
      </c>
      <c r="D292" t="inlineStr">
        <is>
          <t>PHỤ_KIỆN_VAN</t>
        </is>
      </c>
      <c r="E292" t="inlineStr">
        <is>
          <t>MAT-DAMPER-TRUC-SUS-201-D10</t>
        </is>
      </c>
      <c r="F292" t="inlineStr">
        <is>
          <t>m</t>
        </is>
      </c>
      <c r="G292" s="20" t="n">
        <v>1.410589015116157</v>
      </c>
      <c r="H292" s="16">
        <f>'00_TONG_HOP_BAO_GIA'!G74</f>
        <v/>
      </c>
      <c r="I292" s="21">
        <f>G292*H292</f>
        <v/>
      </c>
      <c r="J292" s="16">
        <f>IFERROR(INDEX('06_BANG_GIA_VAT_TU_AP_DUNG'!$E$1:$E$5000, MATCH(E292, '06_BANG_GIA_VAT_TU_AP_DUNG'!$B$1:$B$5000, 0)), 0)</f>
        <v/>
      </c>
      <c r="K292" s="16">
        <f>I292*J292</f>
        <v/>
      </c>
      <c r="L292" t="inlineStr">
        <is>
          <t>1 trục dài 1160mm</t>
        </is>
      </c>
    </row>
    <row r="293">
      <c r="A293" t="inlineStr">
        <is>
          <t>SW-DAMPER-073-BEARING</t>
        </is>
      </c>
      <c r="B293" t="inlineStr">
        <is>
          <t>SW-DAMPER-073</t>
        </is>
      </c>
      <c r="C293" t="inlineStr">
        <is>
          <t>Bạc đồng D10</t>
        </is>
      </c>
      <c r="D293" t="inlineStr">
        <is>
          <t>PHỤ_KIỆN_VAN</t>
        </is>
      </c>
      <c r="E293" t="inlineStr">
        <is>
          <t>MAT-DAMPER-BAC-DONG-D10</t>
        </is>
      </c>
      <c r="F293" t="inlineStr">
        <is>
          <t>Đôi</t>
        </is>
      </c>
      <c r="G293" s="20" t="n">
        <v>1</v>
      </c>
      <c r="H293" s="16">
        <f>'00_TONG_HOP_BAO_GIA'!G74</f>
        <v/>
      </c>
      <c r="I293" s="21">
        <f>G293*H293</f>
        <v/>
      </c>
      <c r="J293" s="16">
        <f>IFERROR(INDEX('06_BANG_GIA_VAT_TU_AP_DUNG'!$E$1:$E$5000, MATCH(E293, '06_BANG_GIA_VAT_TU_AP_DUNG'!$B$1:$B$5000, 0)), 0)</f>
        <v/>
      </c>
      <c r="K293" s="16">
        <f>I293*J293</f>
        <v/>
      </c>
      <c r="L293" t="inlineStr">
        <is>
          <t>1 đôi bạc đỡ 2 bên thân</t>
        </is>
      </c>
    </row>
    <row r="294">
      <c r="A294" t="inlineStr">
        <is>
          <t>SW-DAMPER-073-ACTUATOR</t>
        </is>
      </c>
      <c r="B294" t="inlineStr">
        <is>
          <t>SW-DAMPER-073</t>
        </is>
      </c>
      <c r="C294" t="inlineStr">
        <is>
          <t>Động cơ chặn lửa ON/OFF KLB (Swin V6006FS500S EI90) 5Nm</t>
        </is>
      </c>
      <c r="D294" t="inlineStr">
        <is>
          <t>ĐỘNG_CƠ_VÀ_CẢM_BIẾN</t>
        </is>
      </c>
      <c r="E294" t="inlineStr">
        <is>
          <t>MAT-ACTUATOR-KLB-V6006FS500S</t>
        </is>
      </c>
      <c r="F294" t="inlineStr">
        <is>
          <t>Cái</t>
        </is>
      </c>
      <c r="G294" s="20" t="n">
        <v>1</v>
      </c>
      <c r="H294" s="16">
        <f>'00_TONG_HOP_BAO_GIA'!G74</f>
        <v/>
      </c>
      <c r="I294" s="21">
        <f>G294*H294</f>
        <v/>
      </c>
      <c r="J294" s="16">
        <f>IFERROR(INDEX('06_BANG_GIA_VAT_TU_AP_DUNG'!$E$1:$E$5000, MATCH(E294, '06_BANG_GIA_VAT_TU_AP_DUNG'!$B$1:$B$5000, 0)), 0)</f>
        <v/>
      </c>
      <c r="K294" s="16">
        <f>I294*J294</f>
        <v/>
      </c>
      <c r="L294" t="inlineStr">
        <is>
          <t>Động cơ lò xo phản hồi MFD (1 bộ)</t>
        </is>
      </c>
    </row>
    <row r="295">
      <c r="A295" t="inlineStr">
        <is>
          <t>SW-DAMPER-073-FB10-BODY</t>
        </is>
      </c>
      <c r="B295" t="inlineStr">
        <is>
          <t>SW-DAMPER-073</t>
        </is>
      </c>
      <c r="C295" t="inlineStr">
        <is>
          <t>Tấm chống cháy dày 10mm bọc thân van FD/MFD (2 lớp)</t>
        </is>
      </c>
      <c r="D295" t="inlineStr">
        <is>
          <t>VẬT_LIỆU_CÁCH_NHIỆT</t>
        </is>
      </c>
      <c r="E295" t="inlineStr">
        <is>
          <t>MAT-FIREBOARD-10MM-BODY</t>
        </is>
      </c>
      <c r="F295" t="inlineStr">
        <is>
          <t>m2</t>
        </is>
      </c>
      <c r="G295" s="20" t="n">
        <v>2.261806524237976</v>
      </c>
      <c r="H295" s="16">
        <f>'00_TONG_HOP_BAO_GIA'!G74</f>
        <v/>
      </c>
      <c r="I295" s="21">
        <f>G295*H295</f>
        <v/>
      </c>
      <c r="J295" s="16">
        <f>IFERROR(INDEX('06_BANG_GIA_VAT_TU_AP_DUNG'!$E$1:$E$5000, MATCH(E295, '06_BANG_GIA_VAT_TU_AP_DUNG'!$B$1:$B$5000, 0)), 0)</f>
        <v/>
      </c>
      <c r="K295" s="16">
        <f>I295*J295</f>
        <v/>
      </c>
      <c r="L295" t="inlineStr">
        <is>
          <t>Bọc 2 lớp tấm 10mm quanh thân L=300mm</t>
        </is>
      </c>
    </row>
    <row r="296">
      <c r="A296" t="inlineStr">
        <is>
          <t>SW-DAMPER-073-FB20-BLADE</t>
        </is>
      </c>
      <c r="B296" t="inlineStr">
        <is>
          <t>SW-DAMPER-073</t>
        </is>
      </c>
      <c r="C296" t="inlineStr">
        <is>
          <t>Tấm chống cháy dày 20mm làm lõi cánh van FD/MFD</t>
        </is>
      </c>
      <c r="D296" t="inlineStr">
        <is>
          <t>VẬT_LIỆU_CÁCH_NHIỆT</t>
        </is>
      </c>
      <c r="E296" t="inlineStr">
        <is>
          <t>MAT-FIREBOARD-20MM-BLADE</t>
        </is>
      </c>
      <c r="F296" t="inlineStr">
        <is>
          <t>m2</t>
        </is>
      </c>
      <c r="G296" s="20" t="n">
        <v>0.6019323814504292</v>
      </c>
      <c r="H296" s="16">
        <f>'00_TONG_HOP_BAO_GIA'!G74</f>
        <v/>
      </c>
      <c r="I296" s="21">
        <f>G296*H296</f>
        <v/>
      </c>
      <c r="J296" s="16">
        <f>IFERROR(INDEX('06_BANG_GIA_VAT_TU_AP_DUNG'!$E$1:$E$5000, MATCH(E296, '06_BANG_GIA_VAT_TU_AP_DUNG'!$B$1:$B$5000, 0)), 0)</f>
        <v/>
      </c>
      <c r="K296" s="16">
        <f>I296*J296</f>
        <v/>
      </c>
      <c r="L296" t="inlineStr">
        <is>
          <t>Lõi cánh tấm 20mm (Cánh đơn 1100x450mm)</t>
        </is>
      </c>
    </row>
    <row r="297">
      <c r="A297" t="inlineStr">
        <is>
          <t>SW-DAMPER-073-FB10-BLADE</t>
        </is>
      </c>
      <c r="B297" t="inlineStr">
        <is>
          <t>SW-DAMPER-073</t>
        </is>
      </c>
      <c r="C297" t="inlineStr">
        <is>
          <t>Tấm chống cháy dày 10mm ốp 2 mặt cánh van FD/MFD</t>
        </is>
      </c>
      <c r="D297" t="inlineStr">
        <is>
          <t>VẬT_LIỆU_CÁCH_NHIỆT</t>
        </is>
      </c>
      <c r="E297" t="inlineStr">
        <is>
          <t>MAT-FIREBOARD-10MM-BLADE</t>
        </is>
      </c>
      <c r="F297" t="inlineStr">
        <is>
          <t>m2</t>
        </is>
      </c>
      <c r="G297" s="20" t="n">
        <v>1.203864762900858</v>
      </c>
      <c r="H297" s="16">
        <f>'00_TONG_HOP_BAO_GIA'!G74</f>
        <v/>
      </c>
      <c r="I297" s="21">
        <f>G297*H297</f>
        <v/>
      </c>
      <c r="J297" s="16">
        <f>IFERROR(INDEX('06_BANG_GIA_VAT_TU_AP_DUNG'!$E$1:$E$5000, MATCH(E297, '06_BANG_GIA_VAT_TU_AP_DUNG'!$B$1:$B$5000, 0)), 0)</f>
        <v/>
      </c>
      <c r="K297" s="16">
        <f>I297*J297</f>
        <v/>
      </c>
      <c r="L297" t="inlineStr">
        <is>
          <t>Ốp 2 mặt cánh tấm 10mm (Cánh đơn 1100x450mm)</t>
        </is>
      </c>
    </row>
    <row r="298">
      <c r="A298" t="inlineStr">
        <is>
          <t>SW-DAMPER-073-SPRING-BOX</t>
        </is>
      </c>
      <c r="B298" t="inlineStr">
        <is>
          <t>SW-DAMPER-073</t>
        </is>
      </c>
      <c r="C298" t="inlineStr">
        <is>
          <t>Hộp lò xo van chặn lửa FD/MFD</t>
        </is>
      </c>
      <c r="D298" t="inlineStr">
        <is>
          <t>PHỤ_KIỆN_VAN</t>
        </is>
      </c>
      <c r="E298" t="inlineStr">
        <is>
          <t>MAT-DAMPER-HOP-LO-XO</t>
        </is>
      </c>
      <c r="F298" t="inlineStr">
        <is>
          <t>Bộ</t>
        </is>
      </c>
      <c r="G298" s="20" t="n">
        <v>1</v>
      </c>
      <c r="H298" s="16">
        <f>'00_TONG_HOP_BAO_GIA'!G74</f>
        <v/>
      </c>
      <c r="I298" s="21">
        <f>G298*H298</f>
        <v/>
      </c>
      <c r="J298" s="16">
        <f>IFERROR(INDEX('06_BANG_GIA_VAT_TU_AP_DUNG'!$E$1:$E$5000, MATCH(E298, '06_BANG_GIA_VAT_TU_AP_DUNG'!$B$1:$B$5000, 0)), 0)</f>
        <v/>
      </c>
      <c r="K298" s="16">
        <f>I298*J298</f>
        <v/>
      </c>
      <c r="L298" t="inlineStr">
        <is>
          <t>Hộp lò xo cơ cấu đóng sập (1 bộ)</t>
        </is>
      </c>
    </row>
    <row r="299">
      <c r="A299" t="inlineStr">
        <is>
          <t>SW-DAMPER-073-SILICON-BOLT</t>
        </is>
      </c>
      <c r="B299" t="inlineStr">
        <is>
          <t>SW-DAMPER-073</t>
        </is>
      </c>
      <c r="C299" t="inlineStr">
        <is>
          <t>Silicon chống cháy + bu lông, ốc vít van FD/MFD</t>
        </is>
      </c>
      <c r="D299" t="inlineStr">
        <is>
          <t>PHỤ_KIỆN_VAN</t>
        </is>
      </c>
      <c r="E299" t="inlineStr">
        <is>
          <t>MAT-DAMPER-SILICON-BULONG-VIT</t>
        </is>
      </c>
      <c r="F299" t="inlineStr">
        <is>
          <t>Bộ</t>
        </is>
      </c>
      <c r="G299" s="20" t="n">
        <v>1</v>
      </c>
      <c r="H299" s="16">
        <f>'00_TONG_HOP_BAO_GIA'!G74</f>
        <v/>
      </c>
      <c r="I299" s="21">
        <f>G299*H299</f>
        <v/>
      </c>
      <c r="J299" s="16">
        <f>IFERROR(INDEX('06_BANG_GIA_VAT_TU_AP_DUNG'!$E$1:$E$5000, MATCH(E299, '06_BANG_GIA_VAT_TU_AP_DUNG'!$B$1:$B$5000, 0)), 0)</f>
        <v/>
      </c>
      <c r="K299" s="16">
        <f>I299*J299</f>
        <v/>
      </c>
      <c r="L299" t="inlineStr">
        <is>
          <t>Keo silicon chống cháy &amp; phụ kiện lắp ghép (1 bộ)</t>
        </is>
      </c>
    </row>
    <row r="300">
      <c r="A300" t="inlineStr">
        <is>
          <t>SW-DAMPER-074-BODY</t>
        </is>
      </c>
      <c r="B300" t="inlineStr">
        <is>
          <t>SW-DAMPER-074</t>
        </is>
      </c>
      <c r="C300" t="inlineStr">
        <is>
          <t>Thân vỏ van MFD bích C30/TDF (1.15mm)</t>
        </is>
      </c>
      <c r="D300" t="inlineStr">
        <is>
          <t>TÔN_CUỘN_MẠ_KẼM</t>
        </is>
      </c>
      <c r="E300" t="inlineStr">
        <is>
          <t>MAT-STEEL-PN-1.15</t>
        </is>
      </c>
      <c r="F300" t="inlineStr">
        <is>
          <t>kg</t>
        </is>
      </c>
      <c r="G300" s="20" t="n">
        <v>10.09291238720782</v>
      </c>
      <c r="H300" s="16">
        <f>'00_TONG_HOP_BAO_GIA'!G75</f>
        <v/>
      </c>
      <c r="I300" s="21">
        <f>G300*H300</f>
        <v/>
      </c>
      <c r="J300" s="16">
        <f>IFERROR(INDEX('06_BANG_GIA_VAT_TU_AP_DUNG'!$E$1:$E$5000, MATCH(E300, '06_BANG_GIA_VAT_TU_AP_DUNG'!$B$1:$B$5000, 0)), 0)</f>
        <v/>
      </c>
      <c r="K300" s="16">
        <f>I300*J300</f>
        <v/>
      </c>
      <c r="L300" t="inlineStr">
        <is>
          <t>Kích thước vỏ 1100x500x200mm</t>
        </is>
      </c>
    </row>
    <row r="301">
      <c r="A301" t="inlineStr">
        <is>
          <t>SW-DAMPER-074-BLADE</t>
        </is>
      </c>
      <c r="B301" t="inlineStr">
        <is>
          <t>SW-DAMPER-074</t>
        </is>
      </c>
      <c r="C301" t="inlineStr">
        <is>
          <t>Lá cánh / Tôn tấm bọc van (1 cánh)</t>
        </is>
      </c>
      <c r="D301" t="inlineStr">
        <is>
          <t>TÔN_CUỘN_MẠ_KẼM</t>
        </is>
      </c>
      <c r="E301" t="inlineStr">
        <is>
          <t>MAT-STEEL-PN-1.15</t>
        </is>
      </c>
      <c r="F301" t="inlineStr">
        <is>
          <t>kg</t>
        </is>
      </c>
      <c r="G301" s="20" t="n">
        <v>12.08679385321118</v>
      </c>
      <c r="H301" s="16">
        <f>'00_TONG_HOP_BAO_GIA'!G75</f>
        <v/>
      </c>
      <c r="I301" s="21">
        <f>G301*H301</f>
        <v/>
      </c>
      <c r="J301" s="16">
        <f>IFERROR(INDEX('06_BANG_GIA_VAT_TU_AP_DUNG'!$E$1:$E$5000, MATCH(E301, '06_BANG_GIA_VAT_TU_AP_DUNG'!$B$1:$B$5000, 0)), 0)</f>
        <v/>
      </c>
      <c r="K301" s="16">
        <f>I301*J301</f>
        <v/>
      </c>
      <c r="L301" t="inlineStr">
        <is>
          <t>Tôn bọc cánh &amp; thân (1 cánh/modul)</t>
        </is>
      </c>
    </row>
    <row r="302">
      <c r="A302" t="inlineStr">
        <is>
          <t>SW-DAMPER-074-AXLE</t>
        </is>
      </c>
      <c r="B302" t="inlineStr">
        <is>
          <t>SW-DAMPER-074</t>
        </is>
      </c>
      <c r="C302" t="inlineStr">
        <is>
          <t>Trục Sus 201 D10</t>
        </is>
      </c>
      <c r="D302" t="inlineStr">
        <is>
          <t>PHỤ_KIỆN_VAN</t>
        </is>
      </c>
      <c r="E302" t="inlineStr">
        <is>
          <t>MAT-DAMPER-TRUC-SUS-201-D10</t>
        </is>
      </c>
      <c r="F302" t="inlineStr">
        <is>
          <t>m</t>
        </is>
      </c>
      <c r="G302" s="20" t="n">
        <v>1.411916202484829</v>
      </c>
      <c r="H302" s="16">
        <f>'00_TONG_HOP_BAO_GIA'!G75</f>
        <v/>
      </c>
      <c r="I302" s="21">
        <f>G302*H302</f>
        <v/>
      </c>
      <c r="J302" s="16">
        <f>IFERROR(INDEX('06_BANG_GIA_VAT_TU_AP_DUNG'!$E$1:$E$5000, MATCH(E302, '06_BANG_GIA_VAT_TU_AP_DUNG'!$B$1:$B$5000, 0)), 0)</f>
        <v/>
      </c>
      <c r="K302" s="16">
        <f>I302*J302</f>
        <v/>
      </c>
      <c r="L302" t="inlineStr">
        <is>
          <t>1 trục dài 1160mm</t>
        </is>
      </c>
    </row>
    <row r="303">
      <c r="A303" t="inlineStr">
        <is>
          <t>SW-DAMPER-074-BEARING</t>
        </is>
      </c>
      <c r="B303" t="inlineStr">
        <is>
          <t>SW-DAMPER-074</t>
        </is>
      </c>
      <c r="C303" t="inlineStr">
        <is>
          <t>Bạc đồng D10</t>
        </is>
      </c>
      <c r="D303" t="inlineStr">
        <is>
          <t>PHỤ_KIỆN_VAN</t>
        </is>
      </c>
      <c r="E303" t="inlineStr">
        <is>
          <t>MAT-DAMPER-BAC-DONG-D10</t>
        </is>
      </c>
      <c r="F303" t="inlineStr">
        <is>
          <t>Đôi</t>
        </is>
      </c>
      <c r="G303" s="20" t="n">
        <v>1</v>
      </c>
      <c r="H303" s="16">
        <f>'00_TONG_HOP_BAO_GIA'!G75</f>
        <v/>
      </c>
      <c r="I303" s="21">
        <f>G303*H303</f>
        <v/>
      </c>
      <c r="J303" s="16">
        <f>IFERROR(INDEX('06_BANG_GIA_VAT_TU_AP_DUNG'!$E$1:$E$5000, MATCH(E303, '06_BANG_GIA_VAT_TU_AP_DUNG'!$B$1:$B$5000, 0)), 0)</f>
        <v/>
      </c>
      <c r="K303" s="16">
        <f>I303*J303</f>
        <v/>
      </c>
      <c r="L303" t="inlineStr">
        <is>
          <t>1 đôi bạc đỡ 2 bên thân</t>
        </is>
      </c>
    </row>
    <row r="304">
      <c r="A304" t="inlineStr">
        <is>
          <t>SW-DAMPER-074-ACTUATOR</t>
        </is>
      </c>
      <c r="B304" t="inlineStr">
        <is>
          <t>SW-DAMPER-074</t>
        </is>
      </c>
      <c r="C304" t="inlineStr">
        <is>
          <t>Động cơ chặn lửa ON/OFF KLB (Swin V6006FS500S EI90) 5Nm</t>
        </is>
      </c>
      <c r="D304" t="inlineStr">
        <is>
          <t>ĐỘNG_CƠ_VÀ_CẢM_BIẾN</t>
        </is>
      </c>
      <c r="E304" t="inlineStr">
        <is>
          <t>MAT-ACTUATOR-KLB-V6006FS500S</t>
        </is>
      </c>
      <c r="F304" t="inlineStr">
        <is>
          <t>Cái</t>
        </is>
      </c>
      <c r="G304" s="20" t="n">
        <v>1</v>
      </c>
      <c r="H304" s="16">
        <f>'00_TONG_HOP_BAO_GIA'!G75</f>
        <v/>
      </c>
      <c r="I304" s="21">
        <f>G304*H304</f>
        <v/>
      </c>
      <c r="J304" s="16">
        <f>IFERROR(INDEX('06_BANG_GIA_VAT_TU_AP_DUNG'!$E$1:$E$5000, MATCH(E304, '06_BANG_GIA_VAT_TU_AP_DUNG'!$B$1:$B$5000, 0)), 0)</f>
        <v/>
      </c>
      <c r="K304" s="16">
        <f>I304*J304</f>
        <v/>
      </c>
      <c r="L304" t="inlineStr">
        <is>
          <t>Động cơ lò xo phản hồi MFD (1 bộ)</t>
        </is>
      </c>
    </row>
    <row r="305">
      <c r="A305" t="inlineStr">
        <is>
          <t>SW-DAMPER-074-FB10-BODY</t>
        </is>
      </c>
      <c r="B305" t="inlineStr">
        <is>
          <t>SW-DAMPER-074</t>
        </is>
      </c>
      <c r="C305" t="inlineStr">
        <is>
          <t>Tấm chống cháy dày 10mm bọc thân van FD/MFD (2 lớp)</t>
        </is>
      </c>
      <c r="D305" t="inlineStr">
        <is>
          <t>VẬT_LIỆU_CÁCH_NHIỆT</t>
        </is>
      </c>
      <c r="E305" t="inlineStr">
        <is>
          <t>MAT-FIREBOARD-10MM-BODY</t>
        </is>
      </c>
      <c r="F305" t="inlineStr">
        <is>
          <t>m2</t>
        </is>
      </c>
      <c r="G305" s="20" t="n">
        <v>2.336964748940407</v>
      </c>
      <c r="H305" s="16">
        <f>'00_TONG_HOP_BAO_GIA'!G75</f>
        <v/>
      </c>
      <c r="I305" s="21">
        <f>G305*H305</f>
        <v/>
      </c>
      <c r="J305" s="16">
        <f>IFERROR(INDEX('06_BANG_GIA_VAT_TU_AP_DUNG'!$E$1:$E$5000, MATCH(E305, '06_BANG_GIA_VAT_TU_AP_DUNG'!$B$1:$B$5000, 0)), 0)</f>
        <v/>
      </c>
      <c r="K305" s="16">
        <f>I305*J305</f>
        <v/>
      </c>
      <c r="L305" t="inlineStr">
        <is>
          <t>Bọc 2 lớp tấm 10mm quanh thân L=300mm</t>
        </is>
      </c>
    </row>
    <row r="306">
      <c r="A306" t="inlineStr">
        <is>
          <t>SW-DAMPER-074-FB20-BLADE</t>
        </is>
      </c>
      <c r="B306" t="inlineStr">
        <is>
          <t>SW-DAMPER-074</t>
        </is>
      </c>
      <c r="C306" t="inlineStr">
        <is>
          <t>Tấm chống cháy dày 20mm làm lõi cánh van FD/MFD</t>
        </is>
      </c>
      <c r="D306" t="inlineStr">
        <is>
          <t>VẬT_LIỆU_CÁCH_NHIỆT</t>
        </is>
      </c>
      <c r="E306" t="inlineStr">
        <is>
          <t>MAT-FIREBOARD-20MM-BLADE</t>
        </is>
      </c>
      <c r="F306" t="inlineStr">
        <is>
          <t>m2</t>
        </is>
      </c>
      <c r="G306" s="20" t="n">
        <v>0.6694430270402207</v>
      </c>
      <c r="H306" s="16">
        <f>'00_TONG_HOP_BAO_GIA'!G75</f>
        <v/>
      </c>
      <c r="I306" s="21">
        <f>G306*H306</f>
        <v/>
      </c>
      <c r="J306" s="16">
        <f>IFERROR(INDEX('06_BANG_GIA_VAT_TU_AP_DUNG'!$E$1:$E$5000, MATCH(E306, '06_BANG_GIA_VAT_TU_AP_DUNG'!$B$1:$B$5000, 0)), 0)</f>
        <v/>
      </c>
      <c r="K306" s="16">
        <f>I306*J306</f>
        <v/>
      </c>
      <c r="L306" t="inlineStr">
        <is>
          <t>Lõi cánh tấm 20mm (Cánh đơn 1100x500mm)</t>
        </is>
      </c>
    </row>
    <row r="307">
      <c r="A307" t="inlineStr">
        <is>
          <t>SW-DAMPER-074-FB10-BLADE</t>
        </is>
      </c>
      <c r="B307" t="inlineStr">
        <is>
          <t>SW-DAMPER-074</t>
        </is>
      </c>
      <c r="C307" t="inlineStr">
        <is>
          <t>Tấm chống cháy dày 10mm ốp 2 mặt cánh van FD/MFD</t>
        </is>
      </c>
      <c r="D307" t="inlineStr">
        <is>
          <t>VẬT_LIỆU_CÁCH_NHIỆT</t>
        </is>
      </c>
      <c r="E307" t="inlineStr">
        <is>
          <t>MAT-FIREBOARD-10MM-BLADE</t>
        </is>
      </c>
      <c r="F307" t="inlineStr">
        <is>
          <t>m2</t>
        </is>
      </c>
      <c r="G307" s="20" t="n">
        <v>1.338886054080441</v>
      </c>
      <c r="H307" s="16">
        <f>'00_TONG_HOP_BAO_GIA'!G75</f>
        <v/>
      </c>
      <c r="I307" s="21">
        <f>G307*H307</f>
        <v/>
      </c>
      <c r="J307" s="16">
        <f>IFERROR(INDEX('06_BANG_GIA_VAT_TU_AP_DUNG'!$E$1:$E$5000, MATCH(E307, '06_BANG_GIA_VAT_TU_AP_DUNG'!$B$1:$B$5000, 0)), 0)</f>
        <v/>
      </c>
      <c r="K307" s="16">
        <f>I307*J307</f>
        <v/>
      </c>
      <c r="L307" t="inlineStr">
        <is>
          <t>Ốp 2 mặt cánh tấm 10mm (Cánh đơn 1100x500mm)</t>
        </is>
      </c>
    </row>
    <row r="308">
      <c r="A308" t="inlineStr">
        <is>
          <t>SW-DAMPER-074-SPRING-BOX</t>
        </is>
      </c>
      <c r="B308" t="inlineStr">
        <is>
          <t>SW-DAMPER-074</t>
        </is>
      </c>
      <c r="C308" t="inlineStr">
        <is>
          <t>Hộp lò xo van chặn lửa FD/MFD</t>
        </is>
      </c>
      <c r="D308" t="inlineStr">
        <is>
          <t>PHỤ_KIỆN_VAN</t>
        </is>
      </c>
      <c r="E308" t="inlineStr">
        <is>
          <t>MAT-DAMPER-HOP-LO-XO</t>
        </is>
      </c>
      <c r="F308" t="inlineStr">
        <is>
          <t>Bộ</t>
        </is>
      </c>
      <c r="G308" s="20" t="n">
        <v>1</v>
      </c>
      <c r="H308" s="16">
        <f>'00_TONG_HOP_BAO_GIA'!G75</f>
        <v/>
      </c>
      <c r="I308" s="21">
        <f>G308*H308</f>
        <v/>
      </c>
      <c r="J308" s="16">
        <f>IFERROR(INDEX('06_BANG_GIA_VAT_TU_AP_DUNG'!$E$1:$E$5000, MATCH(E308, '06_BANG_GIA_VAT_TU_AP_DUNG'!$B$1:$B$5000, 0)), 0)</f>
        <v/>
      </c>
      <c r="K308" s="16">
        <f>I308*J308</f>
        <v/>
      </c>
      <c r="L308" t="inlineStr">
        <is>
          <t>Hộp lò xo cơ cấu đóng sập (1 bộ)</t>
        </is>
      </c>
    </row>
    <row r="309">
      <c r="A309" t="inlineStr">
        <is>
          <t>SW-DAMPER-074-SILICON-BOLT</t>
        </is>
      </c>
      <c r="B309" t="inlineStr">
        <is>
          <t>SW-DAMPER-074</t>
        </is>
      </c>
      <c r="C309" t="inlineStr">
        <is>
          <t>Silicon chống cháy + bu lông, ốc vít van FD/MFD</t>
        </is>
      </c>
      <c r="D309" t="inlineStr">
        <is>
          <t>PHỤ_KIỆN_VAN</t>
        </is>
      </c>
      <c r="E309" t="inlineStr">
        <is>
          <t>MAT-DAMPER-SILICON-BULONG-VIT</t>
        </is>
      </c>
      <c r="F309" t="inlineStr">
        <is>
          <t>Bộ</t>
        </is>
      </c>
      <c r="G309" s="20" t="n">
        <v>1</v>
      </c>
      <c r="H309" s="16">
        <f>'00_TONG_HOP_BAO_GIA'!G75</f>
        <v/>
      </c>
      <c r="I309" s="21">
        <f>G309*H309</f>
        <v/>
      </c>
      <c r="J309" s="16">
        <f>IFERROR(INDEX('06_BANG_GIA_VAT_TU_AP_DUNG'!$E$1:$E$5000, MATCH(E309, '06_BANG_GIA_VAT_TU_AP_DUNG'!$B$1:$B$5000, 0)), 0)</f>
        <v/>
      </c>
      <c r="K309" s="16">
        <f>I309*J309</f>
        <v/>
      </c>
      <c r="L309" t="inlineStr">
        <is>
          <t>Keo silicon chống cháy &amp; phụ kiện lắp ghép (1 bộ)</t>
        </is>
      </c>
    </row>
    <row r="310">
      <c r="A310" t="inlineStr">
        <is>
          <t>SW-DAMPER-075-BODY</t>
        </is>
      </c>
      <c r="B310" t="inlineStr">
        <is>
          <t>SW-DAMPER-075</t>
        </is>
      </c>
      <c r="C310" t="inlineStr">
        <is>
          <t>Thân vỏ van MFD bích C30/TDF (1.15mm)</t>
        </is>
      </c>
      <c r="D310" t="inlineStr">
        <is>
          <t>TÔN_CUỘN_MẠ_KẼM</t>
        </is>
      </c>
      <c r="E310" t="inlineStr">
        <is>
          <t>MAT-STEEL-PN-1.15</t>
        </is>
      </c>
      <c r="F310" t="inlineStr">
        <is>
          <t>kg</t>
        </is>
      </c>
      <c r="G310" s="20" t="n">
        <v>10.41032891623929</v>
      </c>
      <c r="H310" s="16">
        <f>'00_TONG_HOP_BAO_GIA'!G76</f>
        <v/>
      </c>
      <c r="I310" s="21">
        <f>G310*H310</f>
        <v/>
      </c>
      <c r="J310" s="16">
        <f>IFERROR(INDEX('06_BANG_GIA_VAT_TU_AP_DUNG'!$E$1:$E$5000, MATCH(E310, '06_BANG_GIA_VAT_TU_AP_DUNG'!$B$1:$B$5000, 0)), 0)</f>
        <v/>
      </c>
      <c r="K310" s="16">
        <f>I310*J310</f>
        <v/>
      </c>
      <c r="L310" t="inlineStr">
        <is>
          <t>Kích thước vỏ 1100x550x200mm</t>
        </is>
      </c>
    </row>
    <row r="311">
      <c r="A311" t="inlineStr">
        <is>
          <t>SW-DAMPER-075-BLADE</t>
        </is>
      </c>
      <c r="B311" t="inlineStr">
        <is>
          <t>SW-DAMPER-075</t>
        </is>
      </c>
      <c r="C311" t="inlineStr">
        <is>
          <t>Lá cánh / Tôn tấm bọc van (1 cánh)</t>
        </is>
      </c>
      <c r="D311" t="inlineStr">
        <is>
          <t>TÔN_CUỘN_MẠ_KẼM</t>
        </is>
      </c>
      <c r="E311" t="inlineStr">
        <is>
          <t>MAT-STEEL-PN-1.15</t>
        </is>
      </c>
      <c r="F311" t="inlineStr">
        <is>
          <t>kg</t>
        </is>
      </c>
      <c r="G311" s="20" t="n">
        <v>13.30302145829985</v>
      </c>
      <c r="H311" s="16">
        <f>'00_TONG_HOP_BAO_GIA'!G76</f>
        <v/>
      </c>
      <c r="I311" s="21">
        <f>G311*H311</f>
        <v/>
      </c>
      <c r="J311" s="16">
        <f>IFERROR(INDEX('06_BANG_GIA_VAT_TU_AP_DUNG'!$E$1:$E$5000, MATCH(E311, '06_BANG_GIA_VAT_TU_AP_DUNG'!$B$1:$B$5000, 0)), 0)</f>
        <v/>
      </c>
      <c r="K311" s="16">
        <f>I311*J311</f>
        <v/>
      </c>
      <c r="L311" t="inlineStr">
        <is>
          <t>Tôn bọc cánh &amp; thân (1 cánh/modul)</t>
        </is>
      </c>
    </row>
    <row r="312">
      <c r="A312" t="inlineStr">
        <is>
          <t>SW-DAMPER-075-AXLE</t>
        </is>
      </c>
      <c r="B312" t="inlineStr">
        <is>
          <t>SW-DAMPER-075</t>
        </is>
      </c>
      <c r="C312" t="inlineStr">
        <is>
          <t>Trục Sus 201 D10</t>
        </is>
      </c>
      <c r="D312" t="inlineStr">
        <is>
          <t>PHỤ_KIỆN_VAN</t>
        </is>
      </c>
      <c r="E312" t="inlineStr">
        <is>
          <t>MAT-DAMPER-TRUC-SUS-201-D10</t>
        </is>
      </c>
      <c r="F312" t="inlineStr">
        <is>
          <t>m</t>
        </is>
      </c>
      <c r="G312" s="20" t="n">
        <v>1.412717787625764</v>
      </c>
      <c r="H312" s="16">
        <f>'00_TONG_HOP_BAO_GIA'!G76</f>
        <v/>
      </c>
      <c r="I312" s="21">
        <f>G312*H312</f>
        <v/>
      </c>
      <c r="J312" s="16">
        <f>IFERROR(INDEX('06_BANG_GIA_VAT_TU_AP_DUNG'!$E$1:$E$5000, MATCH(E312, '06_BANG_GIA_VAT_TU_AP_DUNG'!$B$1:$B$5000, 0)), 0)</f>
        <v/>
      </c>
      <c r="K312" s="16">
        <f>I312*J312</f>
        <v/>
      </c>
      <c r="L312" t="inlineStr">
        <is>
          <t>1 trục dài 1160mm</t>
        </is>
      </c>
    </row>
    <row r="313">
      <c r="A313" t="inlineStr">
        <is>
          <t>SW-DAMPER-075-BEARING</t>
        </is>
      </c>
      <c r="B313" t="inlineStr">
        <is>
          <t>SW-DAMPER-075</t>
        </is>
      </c>
      <c r="C313" t="inlineStr">
        <is>
          <t>Bạc đồng D10</t>
        </is>
      </c>
      <c r="D313" t="inlineStr">
        <is>
          <t>PHỤ_KIỆN_VAN</t>
        </is>
      </c>
      <c r="E313" t="inlineStr">
        <is>
          <t>MAT-DAMPER-BAC-DONG-D10</t>
        </is>
      </c>
      <c r="F313" t="inlineStr">
        <is>
          <t>Đôi</t>
        </is>
      </c>
      <c r="G313" s="20" t="n">
        <v>1</v>
      </c>
      <c r="H313" s="16">
        <f>'00_TONG_HOP_BAO_GIA'!G76</f>
        <v/>
      </c>
      <c r="I313" s="21">
        <f>G313*H313</f>
        <v/>
      </c>
      <c r="J313" s="16">
        <f>IFERROR(INDEX('06_BANG_GIA_VAT_TU_AP_DUNG'!$E$1:$E$5000, MATCH(E313, '06_BANG_GIA_VAT_TU_AP_DUNG'!$B$1:$B$5000, 0)), 0)</f>
        <v/>
      </c>
      <c r="K313" s="16">
        <f>I313*J313</f>
        <v/>
      </c>
      <c r="L313" t="inlineStr">
        <is>
          <t>1 đôi bạc đỡ 2 bên thân</t>
        </is>
      </c>
    </row>
    <row r="314">
      <c r="A314" t="inlineStr">
        <is>
          <t>SW-DAMPER-075-ACTUATOR</t>
        </is>
      </c>
      <c r="B314" t="inlineStr">
        <is>
          <t>SW-DAMPER-075</t>
        </is>
      </c>
      <c r="C314" t="inlineStr">
        <is>
          <t>Động cơ chặn lửa ON/OFF KLB (Swin V6006FS500S EI90) 5Nm</t>
        </is>
      </c>
      <c r="D314" t="inlineStr">
        <is>
          <t>ĐỘNG_CƠ_VÀ_CẢM_BIẾN</t>
        </is>
      </c>
      <c r="E314" t="inlineStr">
        <is>
          <t>MAT-ACTUATOR-KLB-V6006FS500S</t>
        </is>
      </c>
      <c r="F314" t="inlineStr">
        <is>
          <t>Cái</t>
        </is>
      </c>
      <c r="G314" s="20" t="n">
        <v>1</v>
      </c>
      <c r="H314" s="16">
        <f>'00_TONG_HOP_BAO_GIA'!G76</f>
        <v/>
      </c>
      <c r="I314" s="21">
        <f>G314*H314</f>
        <v/>
      </c>
      <c r="J314" s="16">
        <f>IFERROR(INDEX('06_BANG_GIA_VAT_TU_AP_DUNG'!$E$1:$E$5000, MATCH(E314, '06_BANG_GIA_VAT_TU_AP_DUNG'!$B$1:$B$5000, 0)), 0)</f>
        <v/>
      </c>
      <c r="K314" s="16">
        <f>I314*J314</f>
        <v/>
      </c>
      <c r="L314" t="inlineStr">
        <is>
          <t>Động cơ lò xo phản hồi MFD (1 bộ)</t>
        </is>
      </c>
    </row>
    <row r="315">
      <c r="A315" t="inlineStr">
        <is>
          <t>SW-DAMPER-075-FB10-BODY</t>
        </is>
      </c>
      <c r="B315" t="inlineStr">
        <is>
          <t>SW-DAMPER-075</t>
        </is>
      </c>
      <c r="C315" t="inlineStr">
        <is>
          <t>Tấm chống cháy dày 10mm bọc thân van FD/MFD (2 lớp)</t>
        </is>
      </c>
      <c r="D315" t="inlineStr">
        <is>
          <t>VẬT_LIỆU_CÁCH_NHIỆT</t>
        </is>
      </c>
      <c r="E315" t="inlineStr">
        <is>
          <t>MAT-FIREBOARD-10MM-BODY</t>
        </is>
      </c>
      <c r="F315" t="inlineStr">
        <is>
          <t>m2</t>
        </is>
      </c>
      <c r="G315" s="20" t="n">
        <v>2.411363120257771</v>
      </c>
      <c r="H315" s="16">
        <f>'00_TONG_HOP_BAO_GIA'!G76</f>
        <v/>
      </c>
      <c r="I315" s="21">
        <f>G315*H315</f>
        <v/>
      </c>
      <c r="J315" s="16">
        <f>IFERROR(INDEX('06_BANG_GIA_VAT_TU_AP_DUNG'!$E$1:$E$5000, MATCH(E315, '06_BANG_GIA_VAT_TU_AP_DUNG'!$B$1:$B$5000, 0)), 0)</f>
        <v/>
      </c>
      <c r="K315" s="16">
        <f>I315*J315</f>
        <v/>
      </c>
      <c r="L315" t="inlineStr">
        <is>
          <t>Bọc 2 lớp tấm 10mm quanh thân L=300mm</t>
        </is>
      </c>
    </row>
    <row r="316">
      <c r="A316" t="inlineStr">
        <is>
          <t>SW-DAMPER-075-FB20-BLADE</t>
        </is>
      </c>
      <c r="B316" t="inlineStr">
        <is>
          <t>SW-DAMPER-075</t>
        </is>
      </c>
      <c r="C316" t="inlineStr">
        <is>
          <t>Tấm chống cháy dày 20mm làm lõi cánh van FD/MFD</t>
        </is>
      </c>
      <c r="D316" t="inlineStr">
        <is>
          <t>VẬT_LIỆU_CÁCH_NHIỆT</t>
        </is>
      </c>
      <c r="E316" t="inlineStr">
        <is>
          <t>MAT-FIREBOARD-20MM-BLADE</t>
        </is>
      </c>
      <c r="F316" t="inlineStr">
        <is>
          <t>m2</t>
        </is>
      </c>
      <c r="G316" s="20" t="n">
        <v>0.7368053978565411</v>
      </c>
      <c r="H316" s="16">
        <f>'00_TONG_HOP_BAO_GIA'!G76</f>
        <v/>
      </c>
      <c r="I316" s="21">
        <f>G316*H316</f>
        <v/>
      </c>
      <c r="J316" s="16">
        <f>IFERROR(INDEX('06_BANG_GIA_VAT_TU_AP_DUNG'!$E$1:$E$5000, MATCH(E316, '06_BANG_GIA_VAT_TU_AP_DUNG'!$B$1:$B$5000, 0)), 0)</f>
        <v/>
      </c>
      <c r="K316" s="16">
        <f>I316*J316</f>
        <v/>
      </c>
      <c r="L316" t="inlineStr">
        <is>
          <t>Lõi cánh tấm 20mm (Cánh đơn 1100x550mm)</t>
        </is>
      </c>
    </row>
    <row r="317">
      <c r="A317" t="inlineStr">
        <is>
          <t>SW-DAMPER-075-FB10-BLADE</t>
        </is>
      </c>
      <c r="B317" t="inlineStr">
        <is>
          <t>SW-DAMPER-075</t>
        </is>
      </c>
      <c r="C317" t="inlineStr">
        <is>
          <t>Tấm chống cháy dày 10mm ốp 2 mặt cánh van FD/MFD</t>
        </is>
      </c>
      <c r="D317" t="inlineStr">
        <is>
          <t>VẬT_LIỆU_CÁCH_NHIỆT</t>
        </is>
      </c>
      <c r="E317" t="inlineStr">
        <is>
          <t>MAT-FIREBOARD-10MM-BLADE</t>
        </is>
      </c>
      <c r="F317" t="inlineStr">
        <is>
          <t>m2</t>
        </is>
      </c>
      <c r="G317" s="20" t="n">
        <v>1.473610795713082</v>
      </c>
      <c r="H317" s="16">
        <f>'00_TONG_HOP_BAO_GIA'!G76</f>
        <v/>
      </c>
      <c r="I317" s="21">
        <f>G317*H317</f>
        <v/>
      </c>
      <c r="J317" s="16">
        <f>IFERROR(INDEX('06_BANG_GIA_VAT_TU_AP_DUNG'!$E$1:$E$5000, MATCH(E317, '06_BANG_GIA_VAT_TU_AP_DUNG'!$B$1:$B$5000, 0)), 0)</f>
        <v/>
      </c>
      <c r="K317" s="16">
        <f>I317*J317</f>
        <v/>
      </c>
      <c r="L317" t="inlineStr">
        <is>
          <t>Ốp 2 mặt cánh tấm 10mm (Cánh đơn 1100x550mm)</t>
        </is>
      </c>
    </row>
    <row r="318">
      <c r="A318" t="inlineStr">
        <is>
          <t>SW-DAMPER-075-SPRING-BOX</t>
        </is>
      </c>
      <c r="B318" t="inlineStr">
        <is>
          <t>SW-DAMPER-075</t>
        </is>
      </c>
      <c r="C318" t="inlineStr">
        <is>
          <t>Hộp lò xo van chặn lửa FD/MFD</t>
        </is>
      </c>
      <c r="D318" t="inlineStr">
        <is>
          <t>PHỤ_KIỆN_VAN</t>
        </is>
      </c>
      <c r="E318" t="inlineStr">
        <is>
          <t>MAT-DAMPER-HOP-LO-XO</t>
        </is>
      </c>
      <c r="F318" t="inlineStr">
        <is>
          <t>Bộ</t>
        </is>
      </c>
      <c r="G318" s="20" t="n">
        <v>1</v>
      </c>
      <c r="H318" s="16">
        <f>'00_TONG_HOP_BAO_GIA'!G76</f>
        <v/>
      </c>
      <c r="I318" s="21">
        <f>G318*H318</f>
        <v/>
      </c>
      <c r="J318" s="16">
        <f>IFERROR(INDEX('06_BANG_GIA_VAT_TU_AP_DUNG'!$E$1:$E$5000, MATCH(E318, '06_BANG_GIA_VAT_TU_AP_DUNG'!$B$1:$B$5000, 0)), 0)</f>
        <v/>
      </c>
      <c r="K318" s="16">
        <f>I318*J318</f>
        <v/>
      </c>
      <c r="L318" t="inlineStr">
        <is>
          <t>Hộp lò xo cơ cấu đóng sập (1 bộ)</t>
        </is>
      </c>
    </row>
    <row r="319">
      <c r="A319" t="inlineStr">
        <is>
          <t>SW-DAMPER-075-SILICON-BOLT</t>
        </is>
      </c>
      <c r="B319" t="inlineStr">
        <is>
          <t>SW-DAMPER-075</t>
        </is>
      </c>
      <c r="C319" t="inlineStr">
        <is>
          <t>Silicon chống cháy + bu lông, ốc vít van FD/MFD</t>
        </is>
      </c>
      <c r="D319" t="inlineStr">
        <is>
          <t>PHỤ_KIỆN_VAN</t>
        </is>
      </c>
      <c r="E319" t="inlineStr">
        <is>
          <t>MAT-DAMPER-SILICON-BULONG-VIT</t>
        </is>
      </c>
      <c r="F319" t="inlineStr">
        <is>
          <t>Bộ</t>
        </is>
      </c>
      <c r="G319" s="20" t="n">
        <v>1</v>
      </c>
      <c r="H319" s="16">
        <f>'00_TONG_HOP_BAO_GIA'!G76</f>
        <v/>
      </c>
      <c r="I319" s="21">
        <f>G319*H319</f>
        <v/>
      </c>
      <c r="J319" s="16">
        <f>IFERROR(INDEX('06_BANG_GIA_VAT_TU_AP_DUNG'!$E$1:$E$5000, MATCH(E319, '06_BANG_GIA_VAT_TU_AP_DUNG'!$B$1:$B$5000, 0)), 0)</f>
        <v/>
      </c>
      <c r="K319" s="16">
        <f>I319*J319</f>
        <v/>
      </c>
      <c r="L319" t="inlineStr">
        <is>
          <t>Keo silicon chống cháy &amp; phụ kiện lắp ghép (1 bộ)</t>
        </is>
      </c>
    </row>
    <row r="320">
      <c r="A320" t="inlineStr">
        <is>
          <t>SW-DAMPER-076-BODY</t>
        </is>
      </c>
      <c r="B320" t="inlineStr">
        <is>
          <t>SW-DAMPER-076</t>
        </is>
      </c>
      <c r="C320" t="inlineStr">
        <is>
          <t>Thân vỏ van MFD bích C30/TDF (1.15mm)</t>
        </is>
      </c>
      <c r="D320" t="inlineStr">
        <is>
          <t>TÔN_CUỘN_MẠ_KẼM</t>
        </is>
      </c>
      <c r="E320" t="inlineStr">
        <is>
          <t>MAT-STEEL-PN-1.15</t>
        </is>
      </c>
      <c r="F320" t="inlineStr">
        <is>
          <t>kg</t>
        </is>
      </c>
      <c r="G320" s="20" t="n">
        <v>10.73005741735657</v>
      </c>
      <c r="H320" s="16">
        <f>'00_TONG_HOP_BAO_GIA'!G77</f>
        <v/>
      </c>
      <c r="I320" s="21">
        <f>G320*H320</f>
        <v/>
      </c>
      <c r="J320" s="16">
        <f>IFERROR(INDEX('06_BANG_GIA_VAT_TU_AP_DUNG'!$E$1:$E$5000, MATCH(E320, '06_BANG_GIA_VAT_TU_AP_DUNG'!$B$1:$B$5000, 0)), 0)</f>
        <v/>
      </c>
      <c r="K320" s="16">
        <f>I320*J320</f>
        <v/>
      </c>
      <c r="L320" t="inlineStr">
        <is>
          <t>Kích thước vỏ 1100x600x200mm</t>
        </is>
      </c>
    </row>
    <row r="321">
      <c r="A321" t="inlineStr">
        <is>
          <t>SW-DAMPER-076-BLADE</t>
        </is>
      </c>
      <c r="B321" t="inlineStr">
        <is>
          <t>SW-DAMPER-076</t>
        </is>
      </c>
      <c r="C321" t="inlineStr">
        <is>
          <t>Lá cánh / Tôn tấm bọc van (1 cánh)</t>
        </is>
      </c>
      <c r="D321" t="inlineStr">
        <is>
          <t>TÔN_CUỘN_MẠ_KẼM</t>
        </is>
      </c>
      <c r="E321" t="inlineStr">
        <is>
          <t>MAT-STEEL-PN-1.15</t>
        </is>
      </c>
      <c r="F321" t="inlineStr">
        <is>
          <t>kg</t>
        </is>
      </c>
      <c r="G321" s="20" t="n">
        <v>14.52327200577362</v>
      </c>
      <c r="H321" s="16">
        <f>'00_TONG_HOP_BAO_GIA'!G77</f>
        <v/>
      </c>
      <c r="I321" s="21">
        <f>G321*H321</f>
        <v/>
      </c>
      <c r="J321" s="16">
        <f>IFERROR(INDEX('06_BANG_GIA_VAT_TU_AP_DUNG'!$E$1:$E$5000, MATCH(E321, '06_BANG_GIA_VAT_TU_AP_DUNG'!$B$1:$B$5000, 0)), 0)</f>
        <v/>
      </c>
      <c r="K321" s="16">
        <f>I321*J321</f>
        <v/>
      </c>
      <c r="L321" t="inlineStr">
        <is>
          <t>Tôn bọc cánh &amp; thân (1 cánh/modul)</t>
        </is>
      </c>
    </row>
    <row r="322">
      <c r="A322" t="inlineStr">
        <is>
          <t>SW-DAMPER-076-AXLE</t>
        </is>
      </c>
      <c r="B322" t="inlineStr">
        <is>
          <t>SW-DAMPER-076</t>
        </is>
      </c>
      <c r="C322" t="inlineStr">
        <is>
          <t>Trục Sus 201 D10</t>
        </is>
      </c>
      <c r="D322" t="inlineStr">
        <is>
          <t>PHỤ_KIỆN_VAN</t>
        </is>
      </c>
      <c r="E322" t="inlineStr">
        <is>
          <t>MAT-DAMPER-TRUC-SUS-201-D10</t>
        </is>
      </c>
      <c r="F322" t="inlineStr">
        <is>
          <t>m</t>
        </is>
      </c>
      <c r="G322" s="20" t="n">
        <v>1.413777391195036</v>
      </c>
      <c r="H322" s="16">
        <f>'00_TONG_HOP_BAO_GIA'!G77</f>
        <v/>
      </c>
      <c r="I322" s="21">
        <f>G322*H322</f>
        <v/>
      </c>
      <c r="J322" s="16">
        <f>IFERROR(INDEX('06_BANG_GIA_VAT_TU_AP_DUNG'!$E$1:$E$5000, MATCH(E322, '06_BANG_GIA_VAT_TU_AP_DUNG'!$B$1:$B$5000, 0)), 0)</f>
        <v/>
      </c>
      <c r="K322" s="16">
        <f>I322*J322</f>
        <v/>
      </c>
      <c r="L322" t="inlineStr">
        <is>
          <t>1 trục dài 1160mm</t>
        </is>
      </c>
    </row>
    <row r="323">
      <c r="A323" t="inlineStr">
        <is>
          <t>SW-DAMPER-076-BEARING</t>
        </is>
      </c>
      <c r="B323" t="inlineStr">
        <is>
          <t>SW-DAMPER-076</t>
        </is>
      </c>
      <c r="C323" t="inlineStr">
        <is>
          <t>Bạc đồng D10</t>
        </is>
      </c>
      <c r="D323" t="inlineStr">
        <is>
          <t>PHỤ_KIỆN_VAN</t>
        </is>
      </c>
      <c r="E323" t="inlineStr">
        <is>
          <t>MAT-DAMPER-BAC-DONG-D10</t>
        </is>
      </c>
      <c r="F323" t="inlineStr">
        <is>
          <t>Đôi</t>
        </is>
      </c>
      <c r="G323" s="20" t="n">
        <v>1</v>
      </c>
      <c r="H323" s="16">
        <f>'00_TONG_HOP_BAO_GIA'!G77</f>
        <v/>
      </c>
      <c r="I323" s="21">
        <f>G323*H323</f>
        <v/>
      </c>
      <c r="J323" s="16">
        <f>IFERROR(INDEX('06_BANG_GIA_VAT_TU_AP_DUNG'!$E$1:$E$5000, MATCH(E323, '06_BANG_GIA_VAT_TU_AP_DUNG'!$B$1:$B$5000, 0)), 0)</f>
        <v/>
      </c>
      <c r="K323" s="16">
        <f>I323*J323</f>
        <v/>
      </c>
      <c r="L323" t="inlineStr">
        <is>
          <t>1 đôi bạc đỡ 2 bên thân</t>
        </is>
      </c>
    </row>
    <row r="324">
      <c r="A324" t="inlineStr">
        <is>
          <t>SW-DAMPER-076-ACTUATOR</t>
        </is>
      </c>
      <c r="B324" t="inlineStr">
        <is>
          <t>SW-DAMPER-076</t>
        </is>
      </c>
      <c r="C324" t="inlineStr">
        <is>
          <t>Động cơ chặn lửa ON/OFF KLB (Swin V6006FS500S EI90) 5Nm</t>
        </is>
      </c>
      <c r="D324" t="inlineStr">
        <is>
          <t>ĐỘNG_CƠ_VÀ_CẢM_BIẾN</t>
        </is>
      </c>
      <c r="E324" t="inlineStr">
        <is>
          <t>MAT-ACTUATOR-KLB-V6006FS500S</t>
        </is>
      </c>
      <c r="F324" t="inlineStr">
        <is>
          <t>Cái</t>
        </is>
      </c>
      <c r="G324" s="20" t="n">
        <v>1</v>
      </c>
      <c r="H324" s="16">
        <f>'00_TONG_HOP_BAO_GIA'!G77</f>
        <v/>
      </c>
      <c r="I324" s="21">
        <f>G324*H324</f>
        <v/>
      </c>
      <c r="J324" s="16">
        <f>IFERROR(INDEX('06_BANG_GIA_VAT_TU_AP_DUNG'!$E$1:$E$5000, MATCH(E324, '06_BANG_GIA_VAT_TU_AP_DUNG'!$B$1:$B$5000, 0)), 0)</f>
        <v/>
      </c>
      <c r="K324" s="16">
        <f>I324*J324</f>
        <v/>
      </c>
      <c r="L324" t="inlineStr">
        <is>
          <t>Động cơ lò xo phản hồi MFD (1 bộ)</t>
        </is>
      </c>
    </row>
    <row r="325">
      <c r="A325" t="inlineStr">
        <is>
          <t>SW-DAMPER-076-FB10-BODY</t>
        </is>
      </c>
      <c r="B325" t="inlineStr">
        <is>
          <t>SW-DAMPER-076</t>
        </is>
      </c>
      <c r="C325" t="inlineStr">
        <is>
          <t>Tấm chống cháy dày 10mm bọc thân van FD/MFD (2 lớp)</t>
        </is>
      </c>
      <c r="D325" t="inlineStr">
        <is>
          <t>VẬT_LIỆU_CÁCH_NHIỆT</t>
        </is>
      </c>
      <c r="E325" t="inlineStr">
        <is>
          <t>MAT-FIREBOARD-10MM-BODY</t>
        </is>
      </c>
      <c r="F325" t="inlineStr">
        <is>
          <t>m2</t>
        </is>
      </c>
      <c r="G325" s="20" t="n">
        <v>2.486298170722304</v>
      </c>
      <c r="H325" s="16">
        <f>'00_TONG_HOP_BAO_GIA'!G77</f>
        <v/>
      </c>
      <c r="I325" s="21">
        <f>G325*H325</f>
        <v/>
      </c>
      <c r="J325" s="16">
        <f>IFERROR(INDEX('06_BANG_GIA_VAT_TU_AP_DUNG'!$E$1:$E$5000, MATCH(E325, '06_BANG_GIA_VAT_TU_AP_DUNG'!$B$1:$B$5000, 0)), 0)</f>
        <v/>
      </c>
      <c r="K325" s="16">
        <f>I325*J325</f>
        <v/>
      </c>
      <c r="L325" t="inlineStr">
        <is>
          <t>Bọc 2 lớp tấm 10mm quanh thân L=300mm</t>
        </is>
      </c>
    </row>
    <row r="326">
      <c r="A326" t="inlineStr">
        <is>
          <t>SW-DAMPER-076-FB20-BLADE</t>
        </is>
      </c>
      <c r="B326" t="inlineStr">
        <is>
          <t>SW-DAMPER-076</t>
        </is>
      </c>
      <c r="C326" t="inlineStr">
        <is>
          <t>Tấm chống cháy dày 20mm làm lõi cánh van FD/MFD</t>
        </is>
      </c>
      <c r="D326" t="inlineStr">
        <is>
          <t>VẬT_LIỆU_CÁCH_NHIỆT</t>
        </is>
      </c>
      <c r="E326" t="inlineStr">
        <is>
          <t>MAT-FIREBOARD-20MM-BLADE</t>
        </is>
      </c>
      <c r="F326" t="inlineStr">
        <is>
          <t>m2</t>
        </is>
      </c>
      <c r="G326" s="20" t="n">
        <v>0.8043905846454515</v>
      </c>
      <c r="H326" s="16">
        <f>'00_TONG_HOP_BAO_GIA'!G77</f>
        <v/>
      </c>
      <c r="I326" s="21">
        <f>G326*H326</f>
        <v/>
      </c>
      <c r="J326" s="16">
        <f>IFERROR(INDEX('06_BANG_GIA_VAT_TU_AP_DUNG'!$E$1:$E$5000, MATCH(E326, '06_BANG_GIA_VAT_TU_AP_DUNG'!$B$1:$B$5000, 0)), 0)</f>
        <v/>
      </c>
      <c r="K326" s="16">
        <f>I326*J326</f>
        <v/>
      </c>
      <c r="L326" t="inlineStr">
        <is>
          <t>Lõi cánh tấm 20mm (Cánh đơn 1100x600mm)</t>
        </is>
      </c>
    </row>
    <row r="327">
      <c r="A327" t="inlineStr">
        <is>
          <t>SW-DAMPER-076-FB10-BLADE</t>
        </is>
      </c>
      <c r="B327" t="inlineStr">
        <is>
          <t>SW-DAMPER-076</t>
        </is>
      </c>
      <c r="C327" t="inlineStr">
        <is>
          <t>Tấm chống cháy dày 10mm ốp 2 mặt cánh van FD/MFD</t>
        </is>
      </c>
      <c r="D327" t="inlineStr">
        <is>
          <t>VẬT_LIỆU_CÁCH_NHIỆT</t>
        </is>
      </c>
      <c r="E327" t="inlineStr">
        <is>
          <t>MAT-FIREBOARD-10MM-BLADE</t>
        </is>
      </c>
      <c r="F327" t="inlineStr">
        <is>
          <t>m2</t>
        </is>
      </c>
      <c r="G327" s="20" t="n">
        <v>1.608781169290903</v>
      </c>
      <c r="H327" s="16">
        <f>'00_TONG_HOP_BAO_GIA'!G77</f>
        <v/>
      </c>
      <c r="I327" s="21">
        <f>G327*H327</f>
        <v/>
      </c>
      <c r="J327" s="16">
        <f>IFERROR(INDEX('06_BANG_GIA_VAT_TU_AP_DUNG'!$E$1:$E$5000, MATCH(E327, '06_BANG_GIA_VAT_TU_AP_DUNG'!$B$1:$B$5000, 0)), 0)</f>
        <v/>
      </c>
      <c r="K327" s="16">
        <f>I327*J327</f>
        <v/>
      </c>
      <c r="L327" t="inlineStr">
        <is>
          <t>Ốp 2 mặt cánh tấm 10mm (Cánh đơn 1100x600mm)</t>
        </is>
      </c>
    </row>
    <row r="328">
      <c r="A328" t="inlineStr">
        <is>
          <t>SW-DAMPER-076-SPRING-BOX</t>
        </is>
      </c>
      <c r="B328" t="inlineStr">
        <is>
          <t>SW-DAMPER-076</t>
        </is>
      </c>
      <c r="C328" t="inlineStr">
        <is>
          <t>Hộp lò xo van chặn lửa FD/MFD</t>
        </is>
      </c>
      <c r="D328" t="inlineStr">
        <is>
          <t>PHỤ_KIỆN_VAN</t>
        </is>
      </c>
      <c r="E328" t="inlineStr">
        <is>
          <t>MAT-DAMPER-HOP-LO-XO</t>
        </is>
      </c>
      <c r="F328" t="inlineStr">
        <is>
          <t>Bộ</t>
        </is>
      </c>
      <c r="G328" s="20" t="n">
        <v>1</v>
      </c>
      <c r="H328" s="16">
        <f>'00_TONG_HOP_BAO_GIA'!G77</f>
        <v/>
      </c>
      <c r="I328" s="21">
        <f>G328*H328</f>
        <v/>
      </c>
      <c r="J328" s="16">
        <f>IFERROR(INDEX('06_BANG_GIA_VAT_TU_AP_DUNG'!$E$1:$E$5000, MATCH(E328, '06_BANG_GIA_VAT_TU_AP_DUNG'!$B$1:$B$5000, 0)), 0)</f>
        <v/>
      </c>
      <c r="K328" s="16">
        <f>I328*J328</f>
        <v/>
      </c>
      <c r="L328" t="inlineStr">
        <is>
          <t>Hộp lò xo cơ cấu đóng sập (1 bộ)</t>
        </is>
      </c>
    </row>
    <row r="329">
      <c r="A329" t="inlineStr">
        <is>
          <t>SW-DAMPER-076-SILICON-BOLT</t>
        </is>
      </c>
      <c r="B329" t="inlineStr">
        <is>
          <t>SW-DAMPER-076</t>
        </is>
      </c>
      <c r="C329" t="inlineStr">
        <is>
          <t>Silicon chống cháy + bu lông, ốc vít van FD/MFD</t>
        </is>
      </c>
      <c r="D329" t="inlineStr">
        <is>
          <t>PHỤ_KIỆN_VAN</t>
        </is>
      </c>
      <c r="E329" t="inlineStr">
        <is>
          <t>MAT-DAMPER-SILICON-BULONG-VIT</t>
        </is>
      </c>
      <c r="F329" t="inlineStr">
        <is>
          <t>Bộ</t>
        </is>
      </c>
      <c r="G329" s="20" t="n">
        <v>1</v>
      </c>
      <c r="H329" s="16">
        <f>'00_TONG_HOP_BAO_GIA'!G77</f>
        <v/>
      </c>
      <c r="I329" s="21">
        <f>G329*H329</f>
        <v/>
      </c>
      <c r="J329" s="16">
        <f>IFERROR(INDEX('06_BANG_GIA_VAT_TU_AP_DUNG'!$E$1:$E$5000, MATCH(E329, '06_BANG_GIA_VAT_TU_AP_DUNG'!$B$1:$B$5000, 0)), 0)</f>
        <v/>
      </c>
      <c r="K329" s="16">
        <f>I329*J329</f>
        <v/>
      </c>
      <c r="L329" t="inlineStr">
        <is>
          <t>Keo silicon chống cháy &amp; phụ kiện lắp ghép (1 bộ)</t>
        </is>
      </c>
    </row>
    <row r="330">
      <c r="A330" t="inlineStr">
        <is>
          <t>SW-DAMPER-077-BODY</t>
        </is>
      </c>
      <c r="B330" t="inlineStr">
        <is>
          <t>SW-DAMPER-077</t>
        </is>
      </c>
      <c r="C330" t="inlineStr">
        <is>
          <t>Thân vỏ van MFD bích C30/TDF (1.15mm)</t>
        </is>
      </c>
      <c r="D330" t="inlineStr">
        <is>
          <t>TÔN_CUỘN_MẠ_KẼM</t>
        </is>
      </c>
      <c r="E330" t="inlineStr">
        <is>
          <t>MAT-STEEL-PN-1.15</t>
        </is>
      </c>
      <c r="F330" t="inlineStr">
        <is>
          <t>kg</t>
        </is>
      </c>
      <c r="G330" s="20" t="n">
        <v>10.04704861088303</v>
      </c>
      <c r="H330" s="16">
        <f>'00_TONG_HOP_BAO_GIA'!G78</f>
        <v/>
      </c>
      <c r="I330" s="21">
        <f>G330*H330</f>
        <v/>
      </c>
      <c r="J330" s="16">
        <f>IFERROR(INDEX('06_BANG_GIA_VAT_TU_AP_DUNG'!$E$1:$E$5000, MATCH(E330, '06_BANG_GIA_VAT_TU_AP_DUNG'!$B$1:$B$5000, 0)), 0)</f>
        <v/>
      </c>
      <c r="K330" s="16">
        <f>I330*J330</f>
        <v/>
      </c>
      <c r="L330" t="inlineStr">
        <is>
          <t>Kích thước vỏ 1200x400x200mm</t>
        </is>
      </c>
    </row>
    <row r="331">
      <c r="A331" t="inlineStr">
        <is>
          <t>SW-DAMPER-077-BLADE</t>
        </is>
      </c>
      <c r="B331" t="inlineStr">
        <is>
          <t>SW-DAMPER-077</t>
        </is>
      </c>
      <c r="C331" t="inlineStr">
        <is>
          <t>Lá cánh / Tôn tấm bọc van (1 cánh)</t>
        </is>
      </c>
      <c r="D331" t="inlineStr">
        <is>
          <t>TÔN_CUỘN_MẠ_KẼM</t>
        </is>
      </c>
      <c r="E331" t="inlineStr">
        <is>
          <t>MAT-STEEL-PN-1.15</t>
        </is>
      </c>
      <c r="F331" t="inlineStr">
        <is>
          <t>kg</t>
        </is>
      </c>
      <c r="G331" s="20" t="n">
        <v>10.50054071292236</v>
      </c>
      <c r="H331" s="16">
        <f>'00_TONG_HOP_BAO_GIA'!G78</f>
        <v/>
      </c>
      <c r="I331" s="21">
        <f>G331*H331</f>
        <v/>
      </c>
      <c r="J331" s="16">
        <f>IFERROR(INDEX('06_BANG_GIA_VAT_TU_AP_DUNG'!$E$1:$E$5000, MATCH(E331, '06_BANG_GIA_VAT_TU_AP_DUNG'!$B$1:$B$5000, 0)), 0)</f>
        <v/>
      </c>
      <c r="K331" s="16">
        <f>I331*J331</f>
        <v/>
      </c>
      <c r="L331" t="inlineStr">
        <is>
          <t>Tôn bọc cánh &amp; thân (1 cánh/modul)</t>
        </is>
      </c>
    </row>
    <row r="332">
      <c r="A332" t="inlineStr">
        <is>
          <t>SW-DAMPER-077-AXLE</t>
        </is>
      </c>
      <c r="B332" t="inlineStr">
        <is>
          <t>SW-DAMPER-077</t>
        </is>
      </c>
      <c r="C332" t="inlineStr">
        <is>
          <t>Trục Sus 201 D10</t>
        </is>
      </c>
      <c r="D332" t="inlineStr">
        <is>
          <t>PHỤ_KIỆN_VAN</t>
        </is>
      </c>
      <c r="E332" t="inlineStr">
        <is>
          <t>MAT-DAMPER-TRUC-SUS-201-D10</t>
        </is>
      </c>
      <c r="F332" t="inlineStr">
        <is>
          <t>m</t>
        </is>
      </c>
      <c r="G332" s="20" t="n">
        <v>1.526664047157087</v>
      </c>
      <c r="H332" s="16">
        <f>'00_TONG_HOP_BAO_GIA'!G78</f>
        <v/>
      </c>
      <c r="I332" s="21">
        <f>G332*H332</f>
        <v/>
      </c>
      <c r="J332" s="16">
        <f>IFERROR(INDEX('06_BANG_GIA_VAT_TU_AP_DUNG'!$E$1:$E$5000, MATCH(E332, '06_BANG_GIA_VAT_TU_AP_DUNG'!$B$1:$B$5000, 0)), 0)</f>
        <v/>
      </c>
      <c r="K332" s="16">
        <f>I332*J332</f>
        <v/>
      </c>
      <c r="L332" t="inlineStr">
        <is>
          <t>1 trục dài 1260mm</t>
        </is>
      </c>
    </row>
    <row r="333">
      <c r="A333" t="inlineStr">
        <is>
          <t>SW-DAMPER-077-BEARING</t>
        </is>
      </c>
      <c r="B333" t="inlineStr">
        <is>
          <t>SW-DAMPER-077</t>
        </is>
      </c>
      <c r="C333" t="inlineStr">
        <is>
          <t>Bạc đồng D10</t>
        </is>
      </c>
      <c r="D333" t="inlineStr">
        <is>
          <t>PHỤ_KIỆN_VAN</t>
        </is>
      </c>
      <c r="E333" t="inlineStr">
        <is>
          <t>MAT-DAMPER-BAC-DONG-D10</t>
        </is>
      </c>
      <c r="F333" t="inlineStr">
        <is>
          <t>Đôi</t>
        </is>
      </c>
      <c r="G333" s="20" t="n">
        <v>1</v>
      </c>
      <c r="H333" s="16">
        <f>'00_TONG_HOP_BAO_GIA'!G78</f>
        <v/>
      </c>
      <c r="I333" s="21">
        <f>G333*H333</f>
        <v/>
      </c>
      <c r="J333" s="16">
        <f>IFERROR(INDEX('06_BANG_GIA_VAT_TU_AP_DUNG'!$E$1:$E$5000, MATCH(E333, '06_BANG_GIA_VAT_TU_AP_DUNG'!$B$1:$B$5000, 0)), 0)</f>
        <v/>
      </c>
      <c r="K333" s="16">
        <f>I333*J333</f>
        <v/>
      </c>
      <c r="L333" t="inlineStr">
        <is>
          <t>1 đôi bạc đỡ 2 bên thân</t>
        </is>
      </c>
    </row>
    <row r="334">
      <c r="A334" t="inlineStr">
        <is>
          <t>SW-DAMPER-077-ACTUATOR</t>
        </is>
      </c>
      <c r="B334" t="inlineStr">
        <is>
          <t>SW-DAMPER-077</t>
        </is>
      </c>
      <c r="C334" t="inlineStr">
        <is>
          <t>Động cơ chặn lửa ON/OFF KLB (Swin V6006FS500S EI90) 5Nm</t>
        </is>
      </c>
      <c r="D334" t="inlineStr">
        <is>
          <t>ĐỘNG_CƠ_VÀ_CẢM_BIẾN</t>
        </is>
      </c>
      <c r="E334" t="inlineStr">
        <is>
          <t>MAT-ACTUATOR-KLB-V6006FS500S</t>
        </is>
      </c>
      <c r="F334" t="inlineStr">
        <is>
          <t>Cái</t>
        </is>
      </c>
      <c r="G334" s="20" t="n">
        <v>1</v>
      </c>
      <c r="H334" s="16">
        <f>'00_TONG_HOP_BAO_GIA'!G78</f>
        <v/>
      </c>
      <c r="I334" s="21">
        <f>G334*H334</f>
        <v/>
      </c>
      <c r="J334" s="16">
        <f>IFERROR(INDEX('06_BANG_GIA_VAT_TU_AP_DUNG'!$E$1:$E$5000, MATCH(E334, '06_BANG_GIA_VAT_TU_AP_DUNG'!$B$1:$B$5000, 0)), 0)</f>
        <v/>
      </c>
      <c r="K334" s="16">
        <f>I334*J334</f>
        <v/>
      </c>
      <c r="L334" t="inlineStr">
        <is>
          <t>Động cơ lò xo phản hồi MFD (1 bộ)</t>
        </is>
      </c>
    </row>
    <row r="335">
      <c r="A335" t="inlineStr">
        <is>
          <t>SW-DAMPER-077-FB10-BODY</t>
        </is>
      </c>
      <c r="B335" t="inlineStr">
        <is>
          <t>SW-DAMPER-077</t>
        </is>
      </c>
      <c r="C335" t="inlineStr">
        <is>
          <t>Tấm chống cháy dày 10mm bọc thân van FD/MFD (2 lớp)</t>
        </is>
      </c>
      <c r="D335" t="inlineStr">
        <is>
          <t>VẬT_LIỆU_CÁCH_NHIỆT</t>
        </is>
      </c>
      <c r="E335" t="inlineStr">
        <is>
          <t>MAT-FIREBOARD-10MM-BODY</t>
        </is>
      </c>
      <c r="F335" t="inlineStr">
        <is>
          <t>m2</t>
        </is>
      </c>
      <c r="G335" s="20" t="n">
        <v>2.326345214715562</v>
      </c>
      <c r="H335" s="16">
        <f>'00_TONG_HOP_BAO_GIA'!G78</f>
        <v/>
      </c>
      <c r="I335" s="21">
        <f>G335*H335</f>
        <v/>
      </c>
      <c r="J335" s="16">
        <f>IFERROR(INDEX('06_BANG_GIA_VAT_TU_AP_DUNG'!$E$1:$E$5000, MATCH(E335, '06_BANG_GIA_VAT_TU_AP_DUNG'!$B$1:$B$5000, 0)), 0)</f>
        <v/>
      </c>
      <c r="K335" s="16">
        <f>I335*J335</f>
        <v/>
      </c>
      <c r="L335" t="inlineStr">
        <is>
          <t>Bọc 2 lớp tấm 10mm quanh thân L=300mm</t>
        </is>
      </c>
    </row>
    <row r="336">
      <c r="A336" t="inlineStr">
        <is>
          <t>SW-DAMPER-077-FB20-BLADE</t>
        </is>
      </c>
      <c r="B336" t="inlineStr">
        <is>
          <t>SW-DAMPER-077</t>
        </is>
      </c>
      <c r="C336" t="inlineStr">
        <is>
          <t>Tấm chống cháy dày 20mm làm lõi cánh van FD/MFD</t>
        </is>
      </c>
      <c r="D336" t="inlineStr">
        <is>
          <t>VẬT_LIỆU_CÁCH_NHIỆT</t>
        </is>
      </c>
      <c r="E336" t="inlineStr">
        <is>
          <t>MAT-FIREBOARD-20MM-BLADE</t>
        </is>
      </c>
      <c r="F336" t="inlineStr">
        <is>
          <t>m2</t>
        </is>
      </c>
      <c r="G336" s="20" t="n">
        <v>0.5815863036788904</v>
      </c>
      <c r="H336" s="16">
        <f>'00_TONG_HOP_BAO_GIA'!G78</f>
        <v/>
      </c>
      <c r="I336" s="21">
        <f>G336*H336</f>
        <v/>
      </c>
      <c r="J336" s="16">
        <f>IFERROR(INDEX('06_BANG_GIA_VAT_TU_AP_DUNG'!$E$1:$E$5000, MATCH(E336, '06_BANG_GIA_VAT_TU_AP_DUNG'!$B$1:$B$5000, 0)), 0)</f>
        <v/>
      </c>
      <c r="K336" s="16">
        <f>I336*J336</f>
        <v/>
      </c>
      <c r="L336" t="inlineStr">
        <is>
          <t>Lõi cánh tấm 20mm (Cánh đơn 1200x400mm)</t>
        </is>
      </c>
    </row>
    <row r="337">
      <c r="A337" t="inlineStr">
        <is>
          <t>SW-DAMPER-077-FB10-BLADE</t>
        </is>
      </c>
      <c r="B337" t="inlineStr">
        <is>
          <t>SW-DAMPER-077</t>
        </is>
      </c>
      <c r="C337" t="inlineStr">
        <is>
          <t>Tấm chống cháy dày 10mm ốp 2 mặt cánh van FD/MFD</t>
        </is>
      </c>
      <c r="D337" t="inlineStr">
        <is>
          <t>VẬT_LIỆU_CÁCH_NHIỆT</t>
        </is>
      </c>
      <c r="E337" t="inlineStr">
        <is>
          <t>MAT-FIREBOARD-10MM-BLADE</t>
        </is>
      </c>
      <c r="F337" t="inlineStr">
        <is>
          <t>m2</t>
        </is>
      </c>
      <c r="G337" s="20" t="n">
        <v>1.163172607357781</v>
      </c>
      <c r="H337" s="16">
        <f>'00_TONG_HOP_BAO_GIA'!G78</f>
        <v/>
      </c>
      <c r="I337" s="21">
        <f>G337*H337</f>
        <v/>
      </c>
      <c r="J337" s="16">
        <f>IFERROR(INDEX('06_BANG_GIA_VAT_TU_AP_DUNG'!$E$1:$E$5000, MATCH(E337, '06_BANG_GIA_VAT_TU_AP_DUNG'!$B$1:$B$5000, 0)), 0)</f>
        <v/>
      </c>
      <c r="K337" s="16">
        <f>I337*J337</f>
        <v/>
      </c>
      <c r="L337" t="inlineStr">
        <is>
          <t>Ốp 2 mặt cánh tấm 10mm (Cánh đơn 1200x400mm)</t>
        </is>
      </c>
    </row>
    <row r="338">
      <c r="A338" t="inlineStr">
        <is>
          <t>SW-DAMPER-077-SPRING-BOX</t>
        </is>
      </c>
      <c r="B338" t="inlineStr">
        <is>
          <t>SW-DAMPER-077</t>
        </is>
      </c>
      <c r="C338" t="inlineStr">
        <is>
          <t>Hộp lò xo van chặn lửa FD/MFD</t>
        </is>
      </c>
      <c r="D338" t="inlineStr">
        <is>
          <t>PHỤ_KIỆN_VAN</t>
        </is>
      </c>
      <c r="E338" t="inlineStr">
        <is>
          <t>MAT-DAMPER-HOP-LO-XO</t>
        </is>
      </c>
      <c r="F338" t="inlineStr">
        <is>
          <t>Bộ</t>
        </is>
      </c>
      <c r="G338" s="20" t="n">
        <v>1</v>
      </c>
      <c r="H338" s="16">
        <f>'00_TONG_HOP_BAO_GIA'!G78</f>
        <v/>
      </c>
      <c r="I338" s="21">
        <f>G338*H338</f>
        <v/>
      </c>
      <c r="J338" s="16">
        <f>IFERROR(INDEX('06_BANG_GIA_VAT_TU_AP_DUNG'!$E$1:$E$5000, MATCH(E338, '06_BANG_GIA_VAT_TU_AP_DUNG'!$B$1:$B$5000, 0)), 0)</f>
        <v/>
      </c>
      <c r="K338" s="16">
        <f>I338*J338</f>
        <v/>
      </c>
      <c r="L338" t="inlineStr">
        <is>
          <t>Hộp lò xo cơ cấu đóng sập (1 bộ)</t>
        </is>
      </c>
    </row>
    <row r="339">
      <c r="A339" t="inlineStr">
        <is>
          <t>SW-DAMPER-077-SILICON-BOLT</t>
        </is>
      </c>
      <c r="B339" t="inlineStr">
        <is>
          <t>SW-DAMPER-077</t>
        </is>
      </c>
      <c r="C339" t="inlineStr">
        <is>
          <t>Silicon chống cháy + bu lông, ốc vít van FD/MFD</t>
        </is>
      </c>
      <c r="D339" t="inlineStr">
        <is>
          <t>PHỤ_KIỆN_VAN</t>
        </is>
      </c>
      <c r="E339" t="inlineStr">
        <is>
          <t>MAT-DAMPER-SILICON-BULONG-VIT</t>
        </is>
      </c>
      <c r="F339" t="inlineStr">
        <is>
          <t>Bộ</t>
        </is>
      </c>
      <c r="G339" s="20" t="n">
        <v>1</v>
      </c>
      <c r="H339" s="16">
        <f>'00_TONG_HOP_BAO_GIA'!G78</f>
        <v/>
      </c>
      <c r="I339" s="21">
        <f>G339*H339</f>
        <v/>
      </c>
      <c r="J339" s="16">
        <f>IFERROR(INDEX('06_BANG_GIA_VAT_TU_AP_DUNG'!$E$1:$E$5000, MATCH(E339, '06_BANG_GIA_VAT_TU_AP_DUNG'!$B$1:$B$5000, 0)), 0)</f>
        <v/>
      </c>
      <c r="K339" s="16">
        <f>I339*J339</f>
        <v/>
      </c>
      <c r="L339" t="inlineStr">
        <is>
          <t>Keo silicon chống cháy &amp; phụ kiện lắp ghép (1 bộ)</t>
        </is>
      </c>
    </row>
    <row r="340">
      <c r="A340" t="inlineStr">
        <is>
          <t>SW-DAMPER-078-BODY</t>
        </is>
      </c>
      <c r="B340" t="inlineStr">
        <is>
          <t>SW-DAMPER-078</t>
        </is>
      </c>
      <c r="C340" t="inlineStr">
        <is>
          <t>Thân vỏ van MFD bích C30/TDF (1.15mm)</t>
        </is>
      </c>
      <c r="D340" t="inlineStr">
        <is>
          <t>TÔN_CUỘN_MẠ_KẼM</t>
        </is>
      </c>
      <c r="E340" t="inlineStr">
        <is>
          <t>MAT-STEEL-PN-1.15</t>
        </is>
      </c>
      <c r="F340" t="inlineStr">
        <is>
          <t>kg</t>
        </is>
      </c>
      <c r="G340" s="20" t="n">
        <v>10.36849375819816</v>
      </c>
      <c r="H340" s="16">
        <f>'00_TONG_HOP_BAO_GIA'!G79</f>
        <v/>
      </c>
      <c r="I340" s="21">
        <f>G340*H340</f>
        <v/>
      </c>
      <c r="J340" s="16">
        <f>IFERROR(INDEX('06_BANG_GIA_VAT_TU_AP_DUNG'!$E$1:$E$5000, MATCH(E340, '06_BANG_GIA_VAT_TU_AP_DUNG'!$B$1:$B$5000, 0)), 0)</f>
        <v/>
      </c>
      <c r="K340" s="16">
        <f>I340*J340</f>
        <v/>
      </c>
      <c r="L340" t="inlineStr">
        <is>
          <t>Kích thước vỏ 1200x450x200mm</t>
        </is>
      </c>
    </row>
    <row r="341">
      <c r="A341" t="inlineStr">
        <is>
          <t>SW-DAMPER-078-BLADE</t>
        </is>
      </c>
      <c r="B341" t="inlineStr">
        <is>
          <t>SW-DAMPER-078</t>
        </is>
      </c>
      <c r="C341" t="inlineStr">
        <is>
          <t>Lá cánh / Tôn tấm bọc van (1 cánh)</t>
        </is>
      </c>
      <c r="D341" t="inlineStr">
        <is>
          <t>TÔN_CUỘN_MẠ_KẼM</t>
        </is>
      </c>
      <c r="E341" t="inlineStr">
        <is>
          <t>MAT-STEEL-PN-1.15</t>
        </is>
      </c>
      <c r="F341" t="inlineStr">
        <is>
          <t>kg</t>
        </is>
      </c>
      <c r="G341" s="20" t="n">
        <v>11.82605504214219</v>
      </c>
      <c r="H341" s="16">
        <f>'00_TONG_HOP_BAO_GIA'!G79</f>
        <v/>
      </c>
      <c r="I341" s="21">
        <f>G341*H341</f>
        <v/>
      </c>
      <c r="J341" s="16">
        <f>IFERROR(INDEX('06_BANG_GIA_VAT_TU_AP_DUNG'!$E$1:$E$5000, MATCH(E341, '06_BANG_GIA_VAT_TU_AP_DUNG'!$B$1:$B$5000, 0)), 0)</f>
        <v/>
      </c>
      <c r="K341" s="16">
        <f>I341*J341</f>
        <v/>
      </c>
      <c r="L341" t="inlineStr">
        <is>
          <t>Tôn bọc cánh &amp; thân (1 cánh/modul)</t>
        </is>
      </c>
    </row>
    <row r="342">
      <c r="A342" t="inlineStr">
        <is>
          <t>SW-DAMPER-078-AXLE</t>
        </is>
      </c>
      <c r="B342" t="inlineStr">
        <is>
          <t>SW-DAMPER-078</t>
        </is>
      </c>
      <c r="C342" t="inlineStr">
        <is>
          <t>Trục Sus 201 D10</t>
        </is>
      </c>
      <c r="D342" t="inlineStr">
        <is>
          <t>PHỤ_KIỆN_VAN</t>
        </is>
      </c>
      <c r="E342" t="inlineStr">
        <is>
          <t>MAT-DAMPER-TRUC-SUS-201-D10</t>
        </is>
      </c>
      <c r="F342" t="inlineStr">
        <is>
          <t>m</t>
        </is>
      </c>
      <c r="G342" s="20" t="n">
        <v>1.528337215821939</v>
      </c>
      <c r="H342" s="16">
        <f>'00_TONG_HOP_BAO_GIA'!G79</f>
        <v/>
      </c>
      <c r="I342" s="21">
        <f>G342*H342</f>
        <v/>
      </c>
      <c r="J342" s="16">
        <f>IFERROR(INDEX('06_BANG_GIA_VAT_TU_AP_DUNG'!$E$1:$E$5000, MATCH(E342, '06_BANG_GIA_VAT_TU_AP_DUNG'!$B$1:$B$5000, 0)), 0)</f>
        <v/>
      </c>
      <c r="K342" s="16">
        <f>I342*J342</f>
        <v/>
      </c>
      <c r="L342" t="inlineStr">
        <is>
          <t>1 trục dài 1260mm</t>
        </is>
      </c>
    </row>
    <row r="343">
      <c r="A343" t="inlineStr">
        <is>
          <t>SW-DAMPER-078-BEARING</t>
        </is>
      </c>
      <c r="B343" t="inlineStr">
        <is>
          <t>SW-DAMPER-078</t>
        </is>
      </c>
      <c r="C343" t="inlineStr">
        <is>
          <t>Bạc đồng D10</t>
        </is>
      </c>
      <c r="D343" t="inlineStr">
        <is>
          <t>PHỤ_KIỆN_VAN</t>
        </is>
      </c>
      <c r="E343" t="inlineStr">
        <is>
          <t>MAT-DAMPER-BAC-DONG-D10</t>
        </is>
      </c>
      <c r="F343" t="inlineStr">
        <is>
          <t>Đôi</t>
        </is>
      </c>
      <c r="G343" s="20" t="n">
        <v>1</v>
      </c>
      <c r="H343" s="16">
        <f>'00_TONG_HOP_BAO_GIA'!G79</f>
        <v/>
      </c>
      <c r="I343" s="21">
        <f>G343*H343</f>
        <v/>
      </c>
      <c r="J343" s="16">
        <f>IFERROR(INDEX('06_BANG_GIA_VAT_TU_AP_DUNG'!$E$1:$E$5000, MATCH(E343, '06_BANG_GIA_VAT_TU_AP_DUNG'!$B$1:$B$5000, 0)), 0)</f>
        <v/>
      </c>
      <c r="K343" s="16">
        <f>I343*J343</f>
        <v/>
      </c>
      <c r="L343" t="inlineStr">
        <is>
          <t>1 đôi bạc đỡ 2 bên thân</t>
        </is>
      </c>
    </row>
    <row r="344">
      <c r="A344" t="inlineStr">
        <is>
          <t>SW-DAMPER-078-ACTUATOR</t>
        </is>
      </c>
      <c r="B344" t="inlineStr">
        <is>
          <t>SW-DAMPER-078</t>
        </is>
      </c>
      <c r="C344" t="inlineStr">
        <is>
          <t>Động cơ chặn lửa ON/OFF KLB (Swin V6006FS500S EI90) 5Nm</t>
        </is>
      </c>
      <c r="D344" t="inlineStr">
        <is>
          <t>ĐỘNG_CƠ_VÀ_CẢM_BIẾN</t>
        </is>
      </c>
      <c r="E344" t="inlineStr">
        <is>
          <t>MAT-ACTUATOR-KLB-V6006FS500S</t>
        </is>
      </c>
      <c r="F344" t="inlineStr">
        <is>
          <t>Cái</t>
        </is>
      </c>
      <c r="G344" s="20" t="n">
        <v>1</v>
      </c>
      <c r="H344" s="16">
        <f>'00_TONG_HOP_BAO_GIA'!G79</f>
        <v/>
      </c>
      <c r="I344" s="21">
        <f>G344*H344</f>
        <v/>
      </c>
      <c r="J344" s="16">
        <f>IFERROR(INDEX('06_BANG_GIA_VAT_TU_AP_DUNG'!$E$1:$E$5000, MATCH(E344, '06_BANG_GIA_VAT_TU_AP_DUNG'!$B$1:$B$5000, 0)), 0)</f>
        <v/>
      </c>
      <c r="K344" s="16">
        <f>I344*J344</f>
        <v/>
      </c>
      <c r="L344" t="inlineStr">
        <is>
          <t>Động cơ lò xo phản hồi MFD (1 bộ)</t>
        </is>
      </c>
    </row>
    <row r="345">
      <c r="A345" t="inlineStr">
        <is>
          <t>SW-DAMPER-078-FB10-BODY</t>
        </is>
      </c>
      <c r="B345" t="inlineStr">
        <is>
          <t>SW-DAMPER-078</t>
        </is>
      </c>
      <c r="C345" t="inlineStr">
        <is>
          <t>Tấm chống cháy dày 10mm bọc thân van FD/MFD (2 lớp)</t>
        </is>
      </c>
      <c r="D345" t="inlineStr">
        <is>
          <t>VẬT_LIỆU_CÁCH_NHIỆT</t>
        </is>
      </c>
      <c r="E345" t="inlineStr">
        <is>
          <t>MAT-FIREBOARD-10MM-BODY</t>
        </is>
      </c>
      <c r="F345" t="inlineStr">
        <is>
          <t>m2</t>
        </is>
      </c>
      <c r="G345" s="20" t="n">
        <v>2.40167276772019</v>
      </c>
      <c r="H345" s="16">
        <f>'00_TONG_HOP_BAO_GIA'!G79</f>
        <v/>
      </c>
      <c r="I345" s="21">
        <f>G345*H345</f>
        <v/>
      </c>
      <c r="J345" s="16">
        <f>IFERROR(INDEX('06_BANG_GIA_VAT_TU_AP_DUNG'!$E$1:$E$5000, MATCH(E345, '06_BANG_GIA_VAT_TU_AP_DUNG'!$B$1:$B$5000, 0)), 0)</f>
        <v/>
      </c>
      <c r="K345" s="16">
        <f>I345*J345</f>
        <v/>
      </c>
      <c r="L345" t="inlineStr">
        <is>
          <t>Bọc 2 lớp tấm 10mm quanh thân L=300mm</t>
        </is>
      </c>
    </row>
    <row r="346">
      <c r="A346" t="inlineStr">
        <is>
          <t>SW-DAMPER-078-FB20-BLADE</t>
        </is>
      </c>
      <c r="B346" t="inlineStr">
        <is>
          <t>SW-DAMPER-078</t>
        </is>
      </c>
      <c r="C346" t="inlineStr">
        <is>
          <t>Tấm chống cháy dày 20mm làm lõi cánh van FD/MFD</t>
        </is>
      </c>
      <c r="D346" t="inlineStr">
        <is>
          <t>VẬT_LIỆU_CÁCH_NHIỆT</t>
        </is>
      </c>
      <c r="E346" t="inlineStr">
        <is>
          <t>MAT-FIREBOARD-20MM-BLADE</t>
        </is>
      </c>
      <c r="F346" t="inlineStr">
        <is>
          <t>m2</t>
        </is>
      </c>
      <c r="G346" s="20" t="n">
        <v>0.6550016639236881</v>
      </c>
      <c r="H346" s="16">
        <f>'00_TONG_HOP_BAO_GIA'!G79</f>
        <v/>
      </c>
      <c r="I346" s="21">
        <f>G346*H346</f>
        <v/>
      </c>
      <c r="J346" s="16">
        <f>IFERROR(INDEX('06_BANG_GIA_VAT_TU_AP_DUNG'!$E$1:$E$5000, MATCH(E346, '06_BANG_GIA_VAT_TU_AP_DUNG'!$B$1:$B$5000, 0)), 0)</f>
        <v/>
      </c>
      <c r="K346" s="16">
        <f>I346*J346</f>
        <v/>
      </c>
      <c r="L346" t="inlineStr">
        <is>
          <t>Lõi cánh tấm 20mm (Cánh đơn 1200x450mm)</t>
        </is>
      </c>
    </row>
    <row r="347">
      <c r="A347" t="inlineStr">
        <is>
          <t>SW-DAMPER-078-FB10-BLADE</t>
        </is>
      </c>
      <c r="B347" t="inlineStr">
        <is>
          <t>SW-DAMPER-078</t>
        </is>
      </c>
      <c r="C347" t="inlineStr">
        <is>
          <t>Tấm chống cháy dày 10mm ốp 2 mặt cánh van FD/MFD</t>
        </is>
      </c>
      <c r="D347" t="inlineStr">
        <is>
          <t>VẬT_LIỆU_CÁCH_NHIỆT</t>
        </is>
      </c>
      <c r="E347" t="inlineStr">
        <is>
          <t>MAT-FIREBOARD-10MM-BLADE</t>
        </is>
      </c>
      <c r="F347" t="inlineStr">
        <is>
          <t>m2</t>
        </is>
      </c>
      <c r="G347" s="20" t="n">
        <v>1.310003327847376</v>
      </c>
      <c r="H347" s="16">
        <f>'00_TONG_HOP_BAO_GIA'!G79</f>
        <v/>
      </c>
      <c r="I347" s="21">
        <f>G347*H347</f>
        <v/>
      </c>
      <c r="J347" s="16">
        <f>IFERROR(INDEX('06_BANG_GIA_VAT_TU_AP_DUNG'!$E$1:$E$5000, MATCH(E347, '06_BANG_GIA_VAT_TU_AP_DUNG'!$B$1:$B$5000, 0)), 0)</f>
        <v/>
      </c>
      <c r="K347" s="16">
        <f>I347*J347</f>
        <v/>
      </c>
      <c r="L347" t="inlineStr">
        <is>
          <t>Ốp 2 mặt cánh tấm 10mm (Cánh đơn 1200x450mm)</t>
        </is>
      </c>
    </row>
    <row r="348">
      <c r="A348" t="inlineStr">
        <is>
          <t>SW-DAMPER-078-SPRING-BOX</t>
        </is>
      </c>
      <c r="B348" t="inlineStr">
        <is>
          <t>SW-DAMPER-078</t>
        </is>
      </c>
      <c r="C348" t="inlineStr">
        <is>
          <t>Hộp lò xo van chặn lửa FD/MFD</t>
        </is>
      </c>
      <c r="D348" t="inlineStr">
        <is>
          <t>PHỤ_KIỆN_VAN</t>
        </is>
      </c>
      <c r="E348" t="inlineStr">
        <is>
          <t>MAT-DAMPER-HOP-LO-XO</t>
        </is>
      </c>
      <c r="F348" t="inlineStr">
        <is>
          <t>Bộ</t>
        </is>
      </c>
      <c r="G348" s="20" t="n">
        <v>1</v>
      </c>
      <c r="H348" s="16">
        <f>'00_TONG_HOP_BAO_GIA'!G79</f>
        <v/>
      </c>
      <c r="I348" s="21">
        <f>G348*H348</f>
        <v/>
      </c>
      <c r="J348" s="16">
        <f>IFERROR(INDEX('06_BANG_GIA_VAT_TU_AP_DUNG'!$E$1:$E$5000, MATCH(E348, '06_BANG_GIA_VAT_TU_AP_DUNG'!$B$1:$B$5000, 0)), 0)</f>
        <v/>
      </c>
      <c r="K348" s="16">
        <f>I348*J348</f>
        <v/>
      </c>
      <c r="L348" t="inlineStr">
        <is>
          <t>Hộp lò xo cơ cấu đóng sập (1 bộ)</t>
        </is>
      </c>
    </row>
    <row r="349">
      <c r="A349" t="inlineStr">
        <is>
          <t>SW-DAMPER-078-SILICON-BOLT</t>
        </is>
      </c>
      <c r="B349" t="inlineStr">
        <is>
          <t>SW-DAMPER-078</t>
        </is>
      </c>
      <c r="C349" t="inlineStr">
        <is>
          <t>Silicon chống cháy + bu lông, ốc vít van FD/MFD</t>
        </is>
      </c>
      <c r="D349" t="inlineStr">
        <is>
          <t>PHỤ_KIỆN_VAN</t>
        </is>
      </c>
      <c r="E349" t="inlineStr">
        <is>
          <t>MAT-DAMPER-SILICON-BULONG-VIT</t>
        </is>
      </c>
      <c r="F349" t="inlineStr">
        <is>
          <t>Bộ</t>
        </is>
      </c>
      <c r="G349" s="20" t="n">
        <v>1</v>
      </c>
      <c r="H349" s="16">
        <f>'00_TONG_HOP_BAO_GIA'!G79</f>
        <v/>
      </c>
      <c r="I349" s="21">
        <f>G349*H349</f>
        <v/>
      </c>
      <c r="J349" s="16">
        <f>IFERROR(INDEX('06_BANG_GIA_VAT_TU_AP_DUNG'!$E$1:$E$5000, MATCH(E349, '06_BANG_GIA_VAT_TU_AP_DUNG'!$B$1:$B$5000, 0)), 0)</f>
        <v/>
      </c>
      <c r="K349" s="16">
        <f>I349*J349</f>
        <v/>
      </c>
      <c r="L349" t="inlineStr">
        <is>
          <t>Keo silicon chống cháy &amp; phụ kiện lắp ghép (1 bộ)</t>
        </is>
      </c>
    </row>
    <row r="350">
      <c r="A350" t="inlineStr">
        <is>
          <t>SW-DAMPER-079-BODY</t>
        </is>
      </c>
      <c r="B350" t="inlineStr">
        <is>
          <t>SW-DAMPER-079</t>
        </is>
      </c>
      <c r="C350" t="inlineStr">
        <is>
          <t>Thân vỏ van MFD bích C30/TDF (1.15mm)</t>
        </is>
      </c>
      <c r="D350" t="inlineStr">
        <is>
          <t>TÔN_CUỘN_MẠ_KẼM</t>
        </is>
      </c>
      <c r="E350" t="inlineStr">
        <is>
          <t>MAT-STEEL-PN-1.15</t>
        </is>
      </c>
      <c r="F350" t="inlineStr">
        <is>
          <t>kg</t>
        </is>
      </c>
      <c r="G350" s="20" t="n">
        <v>10.69191722255552</v>
      </c>
      <c r="H350" s="16">
        <f>'00_TONG_HOP_BAO_GIA'!G80</f>
        <v/>
      </c>
      <c r="I350" s="21">
        <f>G350*H350</f>
        <v/>
      </c>
      <c r="J350" s="16">
        <f>IFERROR(INDEX('06_BANG_GIA_VAT_TU_AP_DUNG'!$E$1:$E$5000, MATCH(E350, '06_BANG_GIA_VAT_TU_AP_DUNG'!$B$1:$B$5000, 0)), 0)</f>
        <v/>
      </c>
      <c r="K350" s="16">
        <f>I350*J350</f>
        <v/>
      </c>
      <c r="L350" t="inlineStr">
        <is>
          <t>Kích thước vỏ 1200x500x200mm</t>
        </is>
      </c>
    </row>
    <row r="351">
      <c r="A351" t="inlineStr">
        <is>
          <t>SW-DAMPER-079-BLADE</t>
        </is>
      </c>
      <c r="B351" t="inlineStr">
        <is>
          <t>SW-DAMPER-079</t>
        </is>
      </c>
      <c r="C351" t="inlineStr">
        <is>
          <t>Lá cánh / Tôn tấm bọc van (1 cánh)</t>
        </is>
      </c>
      <c r="D351" t="inlineStr">
        <is>
          <t>TÔN_CUỘN_MẠ_KẼM</t>
        </is>
      </c>
      <c r="E351" t="inlineStr">
        <is>
          <t>MAT-STEEL-PN-1.15</t>
        </is>
      </c>
      <c r="F351" t="inlineStr">
        <is>
          <t>kg</t>
        </is>
      </c>
      <c r="G351" s="20" t="n">
        <v>13.15604432454229</v>
      </c>
      <c r="H351" s="16">
        <f>'00_TONG_HOP_BAO_GIA'!G80</f>
        <v/>
      </c>
      <c r="I351" s="21">
        <f>G351*H351</f>
        <v/>
      </c>
      <c r="J351" s="16">
        <f>IFERROR(INDEX('06_BANG_GIA_VAT_TU_AP_DUNG'!$E$1:$E$5000, MATCH(E351, '06_BANG_GIA_VAT_TU_AP_DUNG'!$B$1:$B$5000, 0)), 0)</f>
        <v/>
      </c>
      <c r="K351" s="16">
        <f>I351*J351</f>
        <v/>
      </c>
      <c r="L351" t="inlineStr">
        <is>
          <t>Tôn bọc cánh &amp; thân (1 cánh/modul)</t>
        </is>
      </c>
    </row>
    <row r="352">
      <c r="A352" t="inlineStr">
        <is>
          <t>SW-DAMPER-079-AXLE</t>
        </is>
      </c>
      <c r="B352" t="inlineStr">
        <is>
          <t>SW-DAMPER-079</t>
        </is>
      </c>
      <c r="C352" t="inlineStr">
        <is>
          <t>Trục Sus 201 D10</t>
        </is>
      </c>
      <c r="D352" t="inlineStr">
        <is>
          <t>PHỤ_KIỆN_VAN</t>
        </is>
      </c>
      <c r="E352" t="inlineStr">
        <is>
          <t>MAT-DAMPER-TRUC-SUS-201-D10</t>
        </is>
      </c>
      <c r="F352" t="inlineStr">
        <is>
          <t>m</t>
        </is>
      </c>
      <c r="G352" s="20" t="n">
        <v>1.530196238246404</v>
      </c>
      <c r="H352" s="16">
        <f>'00_TONG_HOP_BAO_GIA'!G80</f>
        <v/>
      </c>
      <c r="I352" s="21">
        <f>G352*H352</f>
        <v/>
      </c>
      <c r="J352" s="16">
        <f>IFERROR(INDEX('06_BANG_GIA_VAT_TU_AP_DUNG'!$E$1:$E$5000, MATCH(E352, '06_BANG_GIA_VAT_TU_AP_DUNG'!$B$1:$B$5000, 0)), 0)</f>
        <v/>
      </c>
      <c r="K352" s="16">
        <f>I352*J352</f>
        <v/>
      </c>
      <c r="L352" t="inlineStr">
        <is>
          <t>1 trục dài 1260mm</t>
        </is>
      </c>
    </row>
    <row r="353">
      <c r="A353" t="inlineStr">
        <is>
          <t>SW-DAMPER-079-BEARING</t>
        </is>
      </c>
      <c r="B353" t="inlineStr">
        <is>
          <t>SW-DAMPER-079</t>
        </is>
      </c>
      <c r="C353" t="inlineStr">
        <is>
          <t>Bạc đồng D10</t>
        </is>
      </c>
      <c r="D353" t="inlineStr">
        <is>
          <t>PHỤ_KIỆN_VAN</t>
        </is>
      </c>
      <c r="E353" t="inlineStr">
        <is>
          <t>MAT-DAMPER-BAC-DONG-D10</t>
        </is>
      </c>
      <c r="F353" t="inlineStr">
        <is>
          <t>Đôi</t>
        </is>
      </c>
      <c r="G353" s="20" t="n">
        <v>1</v>
      </c>
      <c r="H353" s="16">
        <f>'00_TONG_HOP_BAO_GIA'!G80</f>
        <v/>
      </c>
      <c r="I353" s="21">
        <f>G353*H353</f>
        <v/>
      </c>
      <c r="J353" s="16">
        <f>IFERROR(INDEX('06_BANG_GIA_VAT_TU_AP_DUNG'!$E$1:$E$5000, MATCH(E353, '06_BANG_GIA_VAT_TU_AP_DUNG'!$B$1:$B$5000, 0)), 0)</f>
        <v/>
      </c>
      <c r="K353" s="16">
        <f>I353*J353</f>
        <v/>
      </c>
      <c r="L353" t="inlineStr">
        <is>
          <t>1 đôi bạc đỡ 2 bên thân</t>
        </is>
      </c>
    </row>
    <row r="354">
      <c r="A354" t="inlineStr">
        <is>
          <t>SW-DAMPER-079-ACTUATOR</t>
        </is>
      </c>
      <c r="B354" t="inlineStr">
        <is>
          <t>SW-DAMPER-079</t>
        </is>
      </c>
      <c r="C354" t="inlineStr">
        <is>
          <t>Động cơ chặn lửa ON/OFF KLB (Swin V6006FS500S EI90) 5Nm</t>
        </is>
      </c>
      <c r="D354" t="inlineStr">
        <is>
          <t>ĐỘNG_CƠ_VÀ_CẢM_BIẾN</t>
        </is>
      </c>
      <c r="E354" t="inlineStr">
        <is>
          <t>MAT-ACTUATOR-KLB-V6006FS500S</t>
        </is>
      </c>
      <c r="F354" t="inlineStr">
        <is>
          <t>Cái</t>
        </is>
      </c>
      <c r="G354" s="20" t="n">
        <v>1</v>
      </c>
      <c r="H354" s="16">
        <f>'00_TONG_HOP_BAO_GIA'!G80</f>
        <v/>
      </c>
      <c r="I354" s="21">
        <f>G354*H354</f>
        <v/>
      </c>
      <c r="J354" s="16">
        <f>IFERROR(INDEX('06_BANG_GIA_VAT_TU_AP_DUNG'!$E$1:$E$5000, MATCH(E354, '06_BANG_GIA_VAT_TU_AP_DUNG'!$B$1:$B$5000, 0)), 0)</f>
        <v/>
      </c>
      <c r="K354" s="16">
        <f>I354*J354</f>
        <v/>
      </c>
      <c r="L354" t="inlineStr">
        <is>
          <t>Động cơ lò xo phản hồi MFD (1 bộ)</t>
        </is>
      </c>
    </row>
    <row r="355">
      <c r="A355" t="inlineStr">
        <is>
          <t>SW-DAMPER-079-FB10-BODY</t>
        </is>
      </c>
      <c r="B355" t="inlineStr">
        <is>
          <t>SW-DAMPER-079</t>
        </is>
      </c>
      <c r="C355" t="inlineStr">
        <is>
          <t>Tấm chống cháy dày 10mm bọc thân van FD/MFD (2 lớp)</t>
        </is>
      </c>
      <c r="D355" t="inlineStr">
        <is>
          <t>VẬT_LIỆU_CÁCH_NHIỆT</t>
        </is>
      </c>
      <c r="E355" t="inlineStr">
        <is>
          <t>MAT-FIREBOARD-10MM-BODY</t>
        </is>
      </c>
      <c r="F355" t="inlineStr">
        <is>
          <t>m2</t>
        </is>
      </c>
      <c r="G355" s="20" t="n">
        <v>2.477460576208464</v>
      </c>
      <c r="H355" s="16">
        <f>'00_TONG_HOP_BAO_GIA'!G80</f>
        <v/>
      </c>
      <c r="I355" s="21">
        <f>G355*H355</f>
        <v/>
      </c>
      <c r="J355" s="16">
        <f>IFERROR(INDEX('06_BANG_GIA_VAT_TU_AP_DUNG'!$E$1:$E$5000, MATCH(E355, '06_BANG_GIA_VAT_TU_AP_DUNG'!$B$1:$B$5000, 0)), 0)</f>
        <v/>
      </c>
      <c r="K355" s="16">
        <f>I355*J355</f>
        <v/>
      </c>
      <c r="L355" t="inlineStr">
        <is>
          <t>Bọc 2 lớp tấm 10mm quanh thân L=300mm</t>
        </is>
      </c>
    </row>
    <row r="356">
      <c r="A356" t="inlineStr">
        <is>
          <t>SW-DAMPER-079-FB20-BLADE</t>
        </is>
      </c>
      <c r="B356" t="inlineStr">
        <is>
          <t>SW-DAMPER-079</t>
        </is>
      </c>
      <c r="C356" t="inlineStr">
        <is>
          <t>Tấm chống cháy dày 20mm làm lõi cánh van FD/MFD</t>
        </is>
      </c>
      <c r="D356" t="inlineStr">
        <is>
          <t>VẬT_LIỆU_CÁCH_NHIỆT</t>
        </is>
      </c>
      <c r="E356" t="inlineStr">
        <is>
          <t>MAT-FIREBOARD-20MM-BLADE</t>
        </is>
      </c>
      <c r="F356" t="inlineStr">
        <is>
          <t>m2</t>
        </is>
      </c>
      <c r="G356" s="20" t="n">
        <v>0.7286648753554305</v>
      </c>
      <c r="H356" s="16">
        <f>'00_TONG_HOP_BAO_GIA'!G80</f>
        <v/>
      </c>
      <c r="I356" s="21">
        <f>G356*H356</f>
        <v/>
      </c>
      <c r="J356" s="16">
        <f>IFERROR(INDEX('06_BANG_GIA_VAT_TU_AP_DUNG'!$E$1:$E$5000, MATCH(E356, '06_BANG_GIA_VAT_TU_AP_DUNG'!$B$1:$B$5000, 0)), 0)</f>
        <v/>
      </c>
      <c r="K356" s="16">
        <f>I356*J356</f>
        <v/>
      </c>
      <c r="L356" t="inlineStr">
        <is>
          <t>Lõi cánh tấm 20mm (Cánh đơn 1200x500mm)</t>
        </is>
      </c>
    </row>
    <row r="357">
      <c r="A357" t="inlineStr">
        <is>
          <t>SW-DAMPER-079-FB10-BLADE</t>
        </is>
      </c>
      <c r="B357" t="inlineStr">
        <is>
          <t>SW-DAMPER-079</t>
        </is>
      </c>
      <c r="C357" t="inlineStr">
        <is>
          <t>Tấm chống cháy dày 10mm ốp 2 mặt cánh van FD/MFD</t>
        </is>
      </c>
      <c r="D357" t="inlineStr">
        <is>
          <t>VẬT_LIỆU_CÁCH_NHIỆT</t>
        </is>
      </c>
      <c r="E357" t="inlineStr">
        <is>
          <t>MAT-FIREBOARD-10MM-BLADE</t>
        </is>
      </c>
      <c r="F357" t="inlineStr">
        <is>
          <t>m2</t>
        </is>
      </c>
      <c r="G357" s="20" t="n">
        <v>1.457329750710861</v>
      </c>
      <c r="H357" s="16">
        <f>'00_TONG_HOP_BAO_GIA'!G80</f>
        <v/>
      </c>
      <c r="I357" s="21">
        <f>G357*H357</f>
        <v/>
      </c>
      <c r="J357" s="16">
        <f>IFERROR(INDEX('06_BANG_GIA_VAT_TU_AP_DUNG'!$E$1:$E$5000, MATCH(E357, '06_BANG_GIA_VAT_TU_AP_DUNG'!$B$1:$B$5000, 0)), 0)</f>
        <v/>
      </c>
      <c r="K357" s="16">
        <f>I357*J357</f>
        <v/>
      </c>
      <c r="L357" t="inlineStr">
        <is>
          <t>Ốp 2 mặt cánh tấm 10mm (Cánh đơn 1200x500mm)</t>
        </is>
      </c>
    </row>
    <row r="358">
      <c r="A358" t="inlineStr">
        <is>
          <t>SW-DAMPER-079-SPRING-BOX</t>
        </is>
      </c>
      <c r="B358" t="inlineStr">
        <is>
          <t>SW-DAMPER-079</t>
        </is>
      </c>
      <c r="C358" t="inlineStr">
        <is>
          <t>Hộp lò xo van chặn lửa FD/MFD</t>
        </is>
      </c>
      <c r="D358" t="inlineStr">
        <is>
          <t>PHỤ_KIỆN_VAN</t>
        </is>
      </c>
      <c r="E358" t="inlineStr">
        <is>
          <t>MAT-DAMPER-HOP-LO-XO</t>
        </is>
      </c>
      <c r="F358" t="inlineStr">
        <is>
          <t>Bộ</t>
        </is>
      </c>
      <c r="G358" s="20" t="n">
        <v>1</v>
      </c>
      <c r="H358" s="16">
        <f>'00_TONG_HOP_BAO_GIA'!G80</f>
        <v/>
      </c>
      <c r="I358" s="21">
        <f>G358*H358</f>
        <v/>
      </c>
      <c r="J358" s="16">
        <f>IFERROR(INDEX('06_BANG_GIA_VAT_TU_AP_DUNG'!$E$1:$E$5000, MATCH(E358, '06_BANG_GIA_VAT_TU_AP_DUNG'!$B$1:$B$5000, 0)), 0)</f>
        <v/>
      </c>
      <c r="K358" s="16">
        <f>I358*J358</f>
        <v/>
      </c>
      <c r="L358" t="inlineStr">
        <is>
          <t>Hộp lò xo cơ cấu đóng sập (1 bộ)</t>
        </is>
      </c>
    </row>
    <row r="359">
      <c r="A359" t="inlineStr">
        <is>
          <t>SW-DAMPER-079-SILICON-BOLT</t>
        </is>
      </c>
      <c r="B359" t="inlineStr">
        <is>
          <t>SW-DAMPER-079</t>
        </is>
      </c>
      <c r="C359" t="inlineStr">
        <is>
          <t>Silicon chống cháy + bu lông, ốc vít van FD/MFD</t>
        </is>
      </c>
      <c r="D359" t="inlineStr">
        <is>
          <t>PHỤ_KIỆN_VAN</t>
        </is>
      </c>
      <c r="E359" t="inlineStr">
        <is>
          <t>MAT-DAMPER-SILICON-BULONG-VIT</t>
        </is>
      </c>
      <c r="F359" t="inlineStr">
        <is>
          <t>Bộ</t>
        </is>
      </c>
      <c r="G359" s="20" t="n">
        <v>1</v>
      </c>
      <c r="H359" s="16">
        <f>'00_TONG_HOP_BAO_GIA'!G80</f>
        <v/>
      </c>
      <c r="I359" s="21">
        <f>G359*H359</f>
        <v/>
      </c>
      <c r="J359" s="16">
        <f>IFERROR(INDEX('06_BANG_GIA_VAT_TU_AP_DUNG'!$E$1:$E$5000, MATCH(E359, '06_BANG_GIA_VAT_TU_AP_DUNG'!$B$1:$B$5000, 0)), 0)</f>
        <v/>
      </c>
      <c r="K359" s="16">
        <f>I359*J359</f>
        <v/>
      </c>
      <c r="L359" t="inlineStr">
        <is>
          <t>Keo silicon chống cháy &amp; phụ kiện lắp ghép (1 bộ)</t>
        </is>
      </c>
    </row>
    <row r="360">
      <c r="A360" t="inlineStr">
        <is>
          <t>SW-DAMPER-080-BODY</t>
        </is>
      </c>
      <c r="B360" t="inlineStr">
        <is>
          <t>SW-DAMPER-080</t>
        </is>
      </c>
      <c r="C360" t="inlineStr">
        <is>
          <t>Thân vỏ van MFD bích C30/TDF (1.15mm)</t>
        </is>
      </c>
      <c r="D360" t="inlineStr">
        <is>
          <t>TÔN_CUỘN_MẠ_KẼM</t>
        </is>
      </c>
      <c r="E360" t="inlineStr">
        <is>
          <t>MAT-STEEL-PN-1.15</t>
        </is>
      </c>
      <c r="F360" t="inlineStr">
        <is>
          <t>kg</t>
        </is>
      </c>
      <c r="G360" s="20" t="n">
        <v>11.01184956095909</v>
      </c>
      <c r="H360" s="16">
        <f>'00_TONG_HOP_BAO_GIA'!G81</f>
        <v/>
      </c>
      <c r="I360" s="21">
        <f>G360*H360</f>
        <v/>
      </c>
      <c r="J360" s="16">
        <f>IFERROR(INDEX('06_BANG_GIA_VAT_TU_AP_DUNG'!$E$1:$E$5000, MATCH(E360, '06_BANG_GIA_VAT_TU_AP_DUNG'!$B$1:$B$5000, 0)), 0)</f>
        <v/>
      </c>
      <c r="K360" s="16">
        <f>I360*J360</f>
        <v/>
      </c>
      <c r="L360" t="inlineStr">
        <is>
          <t>Kích thước vỏ 1200x550x200mm</t>
        </is>
      </c>
    </row>
    <row r="361">
      <c r="A361" t="inlineStr">
        <is>
          <t>SW-DAMPER-080-BLADE</t>
        </is>
      </c>
      <c r="B361" t="inlineStr">
        <is>
          <t>SW-DAMPER-080</t>
        </is>
      </c>
      <c r="C361" t="inlineStr">
        <is>
          <t>Lá cánh / Tôn tấm bọc van (1 cánh)</t>
        </is>
      </c>
      <c r="D361" t="inlineStr">
        <is>
          <t>TÔN_CUỘN_MẠ_KẼM</t>
        </is>
      </c>
      <c r="E361" t="inlineStr">
        <is>
          <t>MAT-STEEL-PN-1.15</t>
        </is>
      </c>
      <c r="F361" t="inlineStr">
        <is>
          <t>kg</t>
        </is>
      </c>
      <c r="G361" s="20" t="n">
        <v>14.48364513443338</v>
      </c>
      <c r="H361" s="16">
        <f>'00_TONG_HOP_BAO_GIA'!G81</f>
        <v/>
      </c>
      <c r="I361" s="21">
        <f>G361*H361</f>
        <v/>
      </c>
      <c r="J361" s="16">
        <f>IFERROR(INDEX('06_BANG_GIA_VAT_TU_AP_DUNG'!$E$1:$E$5000, MATCH(E361, '06_BANG_GIA_VAT_TU_AP_DUNG'!$B$1:$B$5000, 0)), 0)</f>
        <v/>
      </c>
      <c r="K361" s="16">
        <f>I361*J361</f>
        <v/>
      </c>
      <c r="L361" t="inlineStr">
        <is>
          <t>Tôn bọc cánh &amp; thân (1 cánh/modul)</t>
        </is>
      </c>
    </row>
    <row r="362">
      <c r="A362" t="inlineStr">
        <is>
          <t>SW-DAMPER-080-AXLE</t>
        </is>
      </c>
      <c r="B362" t="inlineStr">
        <is>
          <t>SW-DAMPER-080</t>
        </is>
      </c>
      <c r="C362" t="inlineStr">
        <is>
          <t>Trục Sus 201 D10</t>
        </is>
      </c>
      <c r="D362" t="inlineStr">
        <is>
          <t>PHỤ_KIỆN_VAN</t>
        </is>
      </c>
      <c r="E362" t="inlineStr">
        <is>
          <t>MAT-DAMPER-TRUC-SUS-201-D10</t>
        </is>
      </c>
      <c r="F362" t="inlineStr">
        <is>
          <t>m</t>
        </is>
      </c>
      <c r="G362" s="20" t="n">
        <v>1.531464705435921</v>
      </c>
      <c r="H362" s="16">
        <f>'00_TONG_HOP_BAO_GIA'!G81</f>
        <v/>
      </c>
      <c r="I362" s="21">
        <f>G362*H362</f>
        <v/>
      </c>
      <c r="J362" s="16">
        <f>IFERROR(INDEX('06_BANG_GIA_VAT_TU_AP_DUNG'!$E$1:$E$5000, MATCH(E362, '06_BANG_GIA_VAT_TU_AP_DUNG'!$B$1:$B$5000, 0)), 0)</f>
        <v/>
      </c>
      <c r="K362" s="16">
        <f>I362*J362</f>
        <v/>
      </c>
      <c r="L362" t="inlineStr">
        <is>
          <t>1 trục dài 1260mm</t>
        </is>
      </c>
    </row>
    <row r="363">
      <c r="A363" t="inlineStr">
        <is>
          <t>SW-DAMPER-080-BEARING</t>
        </is>
      </c>
      <c r="B363" t="inlineStr">
        <is>
          <t>SW-DAMPER-080</t>
        </is>
      </c>
      <c r="C363" t="inlineStr">
        <is>
          <t>Bạc đồng D10</t>
        </is>
      </c>
      <c r="D363" t="inlineStr">
        <is>
          <t>PHỤ_KIỆN_VAN</t>
        </is>
      </c>
      <c r="E363" t="inlineStr">
        <is>
          <t>MAT-DAMPER-BAC-DONG-D10</t>
        </is>
      </c>
      <c r="F363" t="inlineStr">
        <is>
          <t>Đôi</t>
        </is>
      </c>
      <c r="G363" s="20" t="n">
        <v>1</v>
      </c>
      <c r="H363" s="16">
        <f>'00_TONG_HOP_BAO_GIA'!G81</f>
        <v/>
      </c>
      <c r="I363" s="21">
        <f>G363*H363</f>
        <v/>
      </c>
      <c r="J363" s="16">
        <f>IFERROR(INDEX('06_BANG_GIA_VAT_TU_AP_DUNG'!$E$1:$E$5000, MATCH(E363, '06_BANG_GIA_VAT_TU_AP_DUNG'!$B$1:$B$5000, 0)), 0)</f>
        <v/>
      </c>
      <c r="K363" s="16">
        <f>I363*J363</f>
        <v/>
      </c>
      <c r="L363" t="inlineStr">
        <is>
          <t>1 đôi bạc đỡ 2 bên thân</t>
        </is>
      </c>
    </row>
    <row r="364">
      <c r="A364" t="inlineStr">
        <is>
          <t>SW-DAMPER-080-ACTUATOR</t>
        </is>
      </c>
      <c r="B364" t="inlineStr">
        <is>
          <t>SW-DAMPER-080</t>
        </is>
      </c>
      <c r="C364" t="inlineStr">
        <is>
          <t>Động cơ chặn lửa ON/OFF KLB (Swin V6006FS500S EI90) 5Nm</t>
        </is>
      </c>
      <c r="D364" t="inlineStr">
        <is>
          <t>ĐỘNG_CƠ_VÀ_CẢM_BIẾN</t>
        </is>
      </c>
      <c r="E364" t="inlineStr">
        <is>
          <t>MAT-ACTUATOR-KLB-V6006FS500S</t>
        </is>
      </c>
      <c r="F364" t="inlineStr">
        <is>
          <t>Cái</t>
        </is>
      </c>
      <c r="G364" s="20" t="n">
        <v>1</v>
      </c>
      <c r="H364" s="16">
        <f>'00_TONG_HOP_BAO_GIA'!G81</f>
        <v/>
      </c>
      <c r="I364" s="21">
        <f>G364*H364</f>
        <v/>
      </c>
      <c r="J364" s="16">
        <f>IFERROR(INDEX('06_BANG_GIA_VAT_TU_AP_DUNG'!$E$1:$E$5000, MATCH(E364, '06_BANG_GIA_VAT_TU_AP_DUNG'!$B$1:$B$5000, 0)), 0)</f>
        <v/>
      </c>
      <c r="K364" s="16">
        <f>I364*J364</f>
        <v/>
      </c>
      <c r="L364" t="inlineStr">
        <is>
          <t>Động cơ lò xo phản hồi MFD (1 bộ)</t>
        </is>
      </c>
    </row>
    <row r="365">
      <c r="A365" t="inlineStr">
        <is>
          <t>SW-DAMPER-080-FB10-BODY</t>
        </is>
      </c>
      <c r="B365" t="inlineStr">
        <is>
          <t>SW-DAMPER-080</t>
        </is>
      </c>
      <c r="C365" t="inlineStr">
        <is>
          <t>Tấm chống cháy dày 10mm bọc thân van FD/MFD (2 lớp)</t>
        </is>
      </c>
      <c r="D365" t="inlineStr">
        <is>
          <t>VẬT_LIỆU_CÁCH_NHIỆT</t>
        </is>
      </c>
      <c r="E365" t="inlineStr">
        <is>
          <t>MAT-FIREBOARD-10MM-BODY</t>
        </is>
      </c>
      <c r="F365" t="inlineStr">
        <is>
          <t>m2</t>
        </is>
      </c>
      <c r="G365" s="20" t="n">
        <v>2.552441175726535</v>
      </c>
      <c r="H365" s="16">
        <f>'00_TONG_HOP_BAO_GIA'!G81</f>
        <v/>
      </c>
      <c r="I365" s="21">
        <f>G365*H365</f>
        <v/>
      </c>
      <c r="J365" s="16">
        <f>IFERROR(INDEX('06_BANG_GIA_VAT_TU_AP_DUNG'!$E$1:$E$5000, MATCH(E365, '06_BANG_GIA_VAT_TU_AP_DUNG'!$B$1:$B$5000, 0)), 0)</f>
        <v/>
      </c>
      <c r="K365" s="16">
        <f>I365*J365</f>
        <v/>
      </c>
      <c r="L365" t="inlineStr">
        <is>
          <t>Bọc 2 lớp tấm 10mm quanh thân L=300mm</t>
        </is>
      </c>
    </row>
    <row r="366">
      <c r="A366" t="inlineStr">
        <is>
          <t>SW-DAMPER-080-FB20-BLADE</t>
        </is>
      </c>
      <c r="B366" t="inlineStr">
        <is>
          <t>SW-DAMPER-080</t>
        </is>
      </c>
      <c r="C366" t="inlineStr">
        <is>
          <t>Tấm chống cháy dày 20mm làm lõi cánh van FD/MFD</t>
        </is>
      </c>
      <c r="D366" t="inlineStr">
        <is>
          <t>VẬT_LIỆU_CÁCH_NHIỆT</t>
        </is>
      </c>
      <c r="E366" t="inlineStr">
        <is>
          <t>MAT-FIREBOARD-20MM-BLADE</t>
        </is>
      </c>
      <c r="F366" t="inlineStr">
        <is>
          <t>m2</t>
        </is>
      </c>
      <c r="G366" s="20" t="n">
        <v>0.8021957980854824</v>
      </c>
      <c r="H366" s="16">
        <f>'00_TONG_HOP_BAO_GIA'!G81</f>
        <v/>
      </c>
      <c r="I366" s="21">
        <f>G366*H366</f>
        <v/>
      </c>
      <c r="J366" s="16">
        <f>IFERROR(INDEX('06_BANG_GIA_VAT_TU_AP_DUNG'!$E$1:$E$5000, MATCH(E366, '06_BANG_GIA_VAT_TU_AP_DUNG'!$B$1:$B$5000, 0)), 0)</f>
        <v/>
      </c>
      <c r="K366" s="16">
        <f>I366*J366</f>
        <v/>
      </c>
      <c r="L366" t="inlineStr">
        <is>
          <t>Lõi cánh tấm 20mm (Cánh đơn 1200x550mm)</t>
        </is>
      </c>
    </row>
    <row r="367">
      <c r="A367" t="inlineStr">
        <is>
          <t>SW-DAMPER-080-FB10-BLADE</t>
        </is>
      </c>
      <c r="B367" t="inlineStr">
        <is>
          <t>SW-DAMPER-080</t>
        </is>
      </c>
      <c r="C367" t="inlineStr">
        <is>
          <t>Tấm chống cháy dày 10mm ốp 2 mặt cánh van FD/MFD</t>
        </is>
      </c>
      <c r="D367" t="inlineStr">
        <is>
          <t>VẬT_LIỆU_CÁCH_NHIỆT</t>
        </is>
      </c>
      <c r="E367" t="inlineStr">
        <is>
          <t>MAT-FIREBOARD-10MM-BLADE</t>
        </is>
      </c>
      <c r="F367" t="inlineStr">
        <is>
          <t>m2</t>
        </is>
      </c>
      <c r="G367" s="20" t="n">
        <v>1.604391596170965</v>
      </c>
      <c r="H367" s="16">
        <f>'00_TONG_HOP_BAO_GIA'!G81</f>
        <v/>
      </c>
      <c r="I367" s="21">
        <f>G367*H367</f>
        <v/>
      </c>
      <c r="J367" s="16">
        <f>IFERROR(INDEX('06_BANG_GIA_VAT_TU_AP_DUNG'!$E$1:$E$5000, MATCH(E367, '06_BANG_GIA_VAT_TU_AP_DUNG'!$B$1:$B$5000, 0)), 0)</f>
        <v/>
      </c>
      <c r="K367" s="16">
        <f>I367*J367</f>
        <v/>
      </c>
      <c r="L367" t="inlineStr">
        <is>
          <t>Ốp 2 mặt cánh tấm 10mm (Cánh đơn 1200x550mm)</t>
        </is>
      </c>
    </row>
    <row r="368">
      <c r="A368" t="inlineStr">
        <is>
          <t>SW-DAMPER-080-SPRING-BOX</t>
        </is>
      </c>
      <c r="B368" t="inlineStr">
        <is>
          <t>SW-DAMPER-080</t>
        </is>
      </c>
      <c r="C368" t="inlineStr">
        <is>
          <t>Hộp lò xo van chặn lửa FD/MFD</t>
        </is>
      </c>
      <c r="D368" t="inlineStr">
        <is>
          <t>PHỤ_KIỆN_VAN</t>
        </is>
      </c>
      <c r="E368" t="inlineStr">
        <is>
          <t>MAT-DAMPER-HOP-LO-XO</t>
        </is>
      </c>
      <c r="F368" t="inlineStr">
        <is>
          <t>Bộ</t>
        </is>
      </c>
      <c r="G368" s="20" t="n">
        <v>1</v>
      </c>
      <c r="H368" s="16">
        <f>'00_TONG_HOP_BAO_GIA'!G81</f>
        <v/>
      </c>
      <c r="I368" s="21">
        <f>G368*H368</f>
        <v/>
      </c>
      <c r="J368" s="16">
        <f>IFERROR(INDEX('06_BANG_GIA_VAT_TU_AP_DUNG'!$E$1:$E$5000, MATCH(E368, '06_BANG_GIA_VAT_TU_AP_DUNG'!$B$1:$B$5000, 0)), 0)</f>
        <v/>
      </c>
      <c r="K368" s="16">
        <f>I368*J368</f>
        <v/>
      </c>
      <c r="L368" t="inlineStr">
        <is>
          <t>Hộp lò xo cơ cấu đóng sập (1 bộ)</t>
        </is>
      </c>
    </row>
    <row r="369">
      <c r="A369" t="inlineStr">
        <is>
          <t>SW-DAMPER-080-SILICON-BOLT</t>
        </is>
      </c>
      <c r="B369" t="inlineStr">
        <is>
          <t>SW-DAMPER-080</t>
        </is>
      </c>
      <c r="C369" t="inlineStr">
        <is>
          <t>Silicon chống cháy + bu lông, ốc vít van FD/MFD</t>
        </is>
      </c>
      <c r="D369" t="inlineStr">
        <is>
          <t>PHỤ_KIỆN_VAN</t>
        </is>
      </c>
      <c r="E369" t="inlineStr">
        <is>
          <t>MAT-DAMPER-SILICON-BULONG-VIT</t>
        </is>
      </c>
      <c r="F369" t="inlineStr">
        <is>
          <t>Bộ</t>
        </is>
      </c>
      <c r="G369" s="20" t="n">
        <v>1</v>
      </c>
      <c r="H369" s="16">
        <f>'00_TONG_HOP_BAO_GIA'!G81</f>
        <v/>
      </c>
      <c r="I369" s="21">
        <f>G369*H369</f>
        <v/>
      </c>
      <c r="J369" s="16">
        <f>IFERROR(INDEX('06_BANG_GIA_VAT_TU_AP_DUNG'!$E$1:$E$5000, MATCH(E369, '06_BANG_GIA_VAT_TU_AP_DUNG'!$B$1:$B$5000, 0)), 0)</f>
        <v/>
      </c>
      <c r="K369" s="16">
        <f>I369*J369</f>
        <v/>
      </c>
      <c r="L369" t="inlineStr">
        <is>
          <t>Keo silicon chống cháy &amp; phụ kiện lắp ghép (1 bộ)</t>
        </is>
      </c>
    </row>
    <row r="370">
      <c r="A370" t="inlineStr">
        <is>
          <t>SW-DAMPER-081-BODY</t>
        </is>
      </c>
      <c r="B370" t="inlineStr">
        <is>
          <t>SW-DAMPER-081</t>
        </is>
      </c>
      <c r="C370" t="inlineStr">
        <is>
          <t>Thân vỏ van MFD bích C30/TDF (1.15mm)</t>
        </is>
      </c>
      <c r="D370" t="inlineStr">
        <is>
          <t>TÔN_CUỘN_MẠ_KẼM</t>
        </is>
      </c>
      <c r="E370" t="inlineStr">
        <is>
          <t>MAT-STEEL-PN-1.15</t>
        </is>
      </c>
      <c r="F370" t="inlineStr">
        <is>
          <t>kg</t>
        </is>
      </c>
      <c r="G370" s="20" t="n">
        <v>11.33125494950766</v>
      </c>
      <c r="H370" s="16">
        <f>'00_TONG_HOP_BAO_GIA'!G82</f>
        <v/>
      </c>
      <c r="I370" s="21">
        <f>G370*H370</f>
        <v/>
      </c>
      <c r="J370" s="16">
        <f>IFERROR(INDEX('06_BANG_GIA_VAT_TU_AP_DUNG'!$E$1:$E$5000, MATCH(E370, '06_BANG_GIA_VAT_TU_AP_DUNG'!$B$1:$B$5000, 0)), 0)</f>
        <v/>
      </c>
      <c r="K370" s="16">
        <f>I370*J370</f>
        <v/>
      </c>
      <c r="L370" t="inlineStr">
        <is>
          <t>Kích thước vỏ 1200x600x200mm</t>
        </is>
      </c>
    </row>
    <row r="371">
      <c r="A371" t="inlineStr">
        <is>
          <t>SW-DAMPER-081-BLADE</t>
        </is>
      </c>
      <c r="B371" t="inlineStr">
        <is>
          <t>SW-DAMPER-081</t>
        </is>
      </c>
      <c r="C371" t="inlineStr">
        <is>
          <t>Lá cánh / Tôn tấm bọc van (1 cánh)</t>
        </is>
      </c>
      <c r="D371" t="inlineStr">
        <is>
          <t>TÔN_CUỘN_MẠ_KẼM</t>
        </is>
      </c>
      <c r="E371" t="inlineStr">
        <is>
          <t>MAT-STEEL-PN-1.15</t>
        </is>
      </c>
      <c r="F371" t="inlineStr">
        <is>
          <t>kg</t>
        </is>
      </c>
      <c r="G371" s="20" t="n">
        <v>15.81197271865713</v>
      </c>
      <c r="H371" s="16">
        <f>'00_TONG_HOP_BAO_GIA'!G82</f>
        <v/>
      </c>
      <c r="I371" s="21">
        <f>G371*H371</f>
        <v/>
      </c>
      <c r="J371" s="16">
        <f>IFERROR(INDEX('06_BANG_GIA_VAT_TU_AP_DUNG'!$E$1:$E$5000, MATCH(E371, '06_BANG_GIA_VAT_TU_AP_DUNG'!$B$1:$B$5000, 0)), 0)</f>
        <v/>
      </c>
      <c r="K371" s="16">
        <f>I371*J371</f>
        <v/>
      </c>
      <c r="L371" t="inlineStr">
        <is>
          <t>Tôn bọc cánh &amp; thân (1 cánh/modul)</t>
        </is>
      </c>
    </row>
    <row r="372">
      <c r="A372" t="inlineStr">
        <is>
          <t>SW-DAMPER-081-AXLE</t>
        </is>
      </c>
      <c r="B372" t="inlineStr">
        <is>
          <t>SW-DAMPER-081</t>
        </is>
      </c>
      <c r="C372" t="inlineStr">
        <is>
          <t>Trục Sus 201 D10</t>
        </is>
      </c>
      <c r="D372" t="inlineStr">
        <is>
          <t>PHỤ_KIỆN_VAN</t>
        </is>
      </c>
      <c r="E372" t="inlineStr">
        <is>
          <t>MAT-DAMPER-TRUC-SUS-201-D10</t>
        </is>
      </c>
      <c r="F372" t="inlineStr">
        <is>
          <t>m</t>
        </is>
      </c>
      <c r="G372" s="20" t="n">
        <v>1.532592204799223</v>
      </c>
      <c r="H372" s="16">
        <f>'00_TONG_HOP_BAO_GIA'!G82</f>
        <v/>
      </c>
      <c r="I372" s="21">
        <f>G372*H372</f>
        <v/>
      </c>
      <c r="J372" s="16">
        <f>IFERROR(INDEX('06_BANG_GIA_VAT_TU_AP_DUNG'!$E$1:$E$5000, MATCH(E372, '06_BANG_GIA_VAT_TU_AP_DUNG'!$B$1:$B$5000, 0)), 0)</f>
        <v/>
      </c>
      <c r="K372" s="16">
        <f>I372*J372</f>
        <v/>
      </c>
      <c r="L372" t="inlineStr">
        <is>
          <t>1 trục dài 1260mm</t>
        </is>
      </c>
    </row>
    <row r="373">
      <c r="A373" t="inlineStr">
        <is>
          <t>SW-DAMPER-081-BEARING</t>
        </is>
      </c>
      <c r="B373" t="inlineStr">
        <is>
          <t>SW-DAMPER-081</t>
        </is>
      </c>
      <c r="C373" t="inlineStr">
        <is>
          <t>Bạc đồng D10</t>
        </is>
      </c>
      <c r="D373" t="inlineStr">
        <is>
          <t>PHỤ_KIỆN_VAN</t>
        </is>
      </c>
      <c r="E373" t="inlineStr">
        <is>
          <t>MAT-DAMPER-BAC-DONG-D10</t>
        </is>
      </c>
      <c r="F373" t="inlineStr">
        <is>
          <t>Đôi</t>
        </is>
      </c>
      <c r="G373" s="20" t="n">
        <v>1</v>
      </c>
      <c r="H373" s="16">
        <f>'00_TONG_HOP_BAO_GIA'!G82</f>
        <v/>
      </c>
      <c r="I373" s="21">
        <f>G373*H373</f>
        <v/>
      </c>
      <c r="J373" s="16">
        <f>IFERROR(INDEX('06_BANG_GIA_VAT_TU_AP_DUNG'!$E$1:$E$5000, MATCH(E373, '06_BANG_GIA_VAT_TU_AP_DUNG'!$B$1:$B$5000, 0)), 0)</f>
        <v/>
      </c>
      <c r="K373" s="16">
        <f>I373*J373</f>
        <v/>
      </c>
      <c r="L373" t="inlineStr">
        <is>
          <t>1 đôi bạc đỡ 2 bên thân</t>
        </is>
      </c>
    </row>
    <row r="374">
      <c r="A374" t="inlineStr">
        <is>
          <t>SW-DAMPER-081-ACTUATOR</t>
        </is>
      </c>
      <c r="B374" t="inlineStr">
        <is>
          <t>SW-DAMPER-081</t>
        </is>
      </c>
      <c r="C374" t="inlineStr">
        <is>
          <t>Động cơ chặn lửa ON/OFF KLB (Swin V6006FS500S EI90) 5Nm</t>
        </is>
      </c>
      <c r="D374" t="inlineStr">
        <is>
          <t>ĐỘNG_CƠ_VÀ_CẢM_BIẾN</t>
        </is>
      </c>
      <c r="E374" t="inlineStr">
        <is>
          <t>MAT-ACTUATOR-KLB-V6006FS500S</t>
        </is>
      </c>
      <c r="F374" t="inlineStr">
        <is>
          <t>Cái</t>
        </is>
      </c>
      <c r="G374" s="20" t="n">
        <v>1</v>
      </c>
      <c r="H374" s="16">
        <f>'00_TONG_HOP_BAO_GIA'!G82</f>
        <v/>
      </c>
      <c r="I374" s="21">
        <f>G374*H374</f>
        <v/>
      </c>
      <c r="J374" s="16">
        <f>IFERROR(INDEX('06_BANG_GIA_VAT_TU_AP_DUNG'!$E$1:$E$5000, MATCH(E374, '06_BANG_GIA_VAT_TU_AP_DUNG'!$B$1:$B$5000, 0)), 0)</f>
        <v/>
      </c>
      <c r="K374" s="16">
        <f>I374*J374</f>
        <v/>
      </c>
      <c r="L374" t="inlineStr">
        <is>
          <t>Động cơ lò xo phản hồi MFD (1 bộ)</t>
        </is>
      </c>
    </row>
    <row r="375">
      <c r="A375" t="inlineStr">
        <is>
          <t>SW-DAMPER-081-FB10-BODY</t>
        </is>
      </c>
      <c r="B375" t="inlineStr">
        <is>
          <t>SW-DAMPER-081</t>
        </is>
      </c>
      <c r="C375" t="inlineStr">
        <is>
          <t>Tấm chống cháy dày 10mm bọc thân van FD/MFD (2 lớp)</t>
        </is>
      </c>
      <c r="D375" t="inlineStr">
        <is>
          <t>VẬT_LIỆU_CÁCH_NHIỆT</t>
        </is>
      </c>
      <c r="E375" t="inlineStr">
        <is>
          <t>MAT-FIREBOARD-10MM-BODY</t>
        </is>
      </c>
      <c r="F375" t="inlineStr">
        <is>
          <t>m2</t>
        </is>
      </c>
      <c r="G375" s="20" t="n">
        <v>2.627300922512954</v>
      </c>
      <c r="H375" s="16">
        <f>'00_TONG_HOP_BAO_GIA'!G82</f>
        <v/>
      </c>
      <c r="I375" s="21">
        <f>G375*H375</f>
        <v/>
      </c>
      <c r="J375" s="16">
        <f>IFERROR(INDEX('06_BANG_GIA_VAT_TU_AP_DUNG'!$E$1:$E$5000, MATCH(E375, '06_BANG_GIA_VAT_TU_AP_DUNG'!$B$1:$B$5000, 0)), 0)</f>
        <v/>
      </c>
      <c r="K375" s="16">
        <f>I375*J375</f>
        <v/>
      </c>
      <c r="L375" t="inlineStr">
        <is>
          <t>Bọc 2 lớp tấm 10mm quanh thân L=300mm</t>
        </is>
      </c>
    </row>
    <row r="376">
      <c r="A376" t="inlineStr">
        <is>
          <t>SW-DAMPER-081-FB20-BLADE</t>
        </is>
      </c>
      <c r="B376" t="inlineStr">
        <is>
          <t>SW-DAMPER-081</t>
        </is>
      </c>
      <c r="C376" t="inlineStr">
        <is>
          <t>Tấm chống cháy dày 20mm làm lõi cánh van FD/MFD</t>
        </is>
      </c>
      <c r="D376" t="inlineStr">
        <is>
          <t>VẬT_LIỆU_CÁCH_NHIỆT</t>
        </is>
      </c>
      <c r="E376" t="inlineStr">
        <is>
          <t>MAT-FIREBOARD-20MM-BLADE</t>
        </is>
      </c>
      <c r="F376" t="inlineStr">
        <is>
          <t>m2</t>
        </is>
      </c>
      <c r="G376" s="20" t="n">
        <v>0.8757669741709846</v>
      </c>
      <c r="H376" s="16">
        <f>'00_TONG_HOP_BAO_GIA'!G82</f>
        <v/>
      </c>
      <c r="I376" s="21">
        <f>G376*H376</f>
        <v/>
      </c>
      <c r="J376" s="16">
        <f>IFERROR(INDEX('06_BANG_GIA_VAT_TU_AP_DUNG'!$E$1:$E$5000, MATCH(E376, '06_BANG_GIA_VAT_TU_AP_DUNG'!$B$1:$B$5000, 0)), 0)</f>
        <v/>
      </c>
      <c r="K376" s="16">
        <f>I376*J376</f>
        <v/>
      </c>
      <c r="L376" t="inlineStr">
        <is>
          <t>Lõi cánh tấm 20mm (Cánh đơn 1200x600mm)</t>
        </is>
      </c>
    </row>
    <row r="377">
      <c r="A377" t="inlineStr">
        <is>
          <t>SW-DAMPER-081-FB10-BLADE</t>
        </is>
      </c>
      <c r="B377" t="inlineStr">
        <is>
          <t>SW-DAMPER-081</t>
        </is>
      </c>
      <c r="C377" t="inlineStr">
        <is>
          <t>Tấm chống cháy dày 10mm ốp 2 mặt cánh van FD/MFD</t>
        </is>
      </c>
      <c r="D377" t="inlineStr">
        <is>
          <t>VẬT_LIỆU_CÁCH_NHIỆT</t>
        </is>
      </c>
      <c r="E377" t="inlineStr">
        <is>
          <t>MAT-FIREBOARD-10MM-BLADE</t>
        </is>
      </c>
      <c r="F377" t="inlineStr">
        <is>
          <t>m2</t>
        </is>
      </c>
      <c r="G377" s="20" t="n">
        <v>1.751533948341969</v>
      </c>
      <c r="H377" s="16">
        <f>'00_TONG_HOP_BAO_GIA'!G82</f>
        <v/>
      </c>
      <c r="I377" s="21">
        <f>G377*H377</f>
        <v/>
      </c>
      <c r="J377" s="16">
        <f>IFERROR(INDEX('06_BANG_GIA_VAT_TU_AP_DUNG'!$E$1:$E$5000, MATCH(E377, '06_BANG_GIA_VAT_TU_AP_DUNG'!$B$1:$B$5000, 0)), 0)</f>
        <v/>
      </c>
      <c r="K377" s="16">
        <f>I377*J377</f>
        <v/>
      </c>
      <c r="L377" t="inlineStr">
        <is>
          <t>Ốp 2 mặt cánh tấm 10mm (Cánh đơn 1200x600mm)</t>
        </is>
      </c>
    </row>
    <row r="378">
      <c r="A378" t="inlineStr">
        <is>
          <t>SW-DAMPER-081-SPRING-BOX</t>
        </is>
      </c>
      <c r="B378" t="inlineStr">
        <is>
          <t>SW-DAMPER-081</t>
        </is>
      </c>
      <c r="C378" t="inlineStr">
        <is>
          <t>Hộp lò xo van chặn lửa FD/MFD</t>
        </is>
      </c>
      <c r="D378" t="inlineStr">
        <is>
          <t>PHỤ_KIỆN_VAN</t>
        </is>
      </c>
      <c r="E378" t="inlineStr">
        <is>
          <t>MAT-DAMPER-HOP-LO-XO</t>
        </is>
      </c>
      <c r="F378" t="inlineStr">
        <is>
          <t>Bộ</t>
        </is>
      </c>
      <c r="G378" s="20" t="n">
        <v>1</v>
      </c>
      <c r="H378" s="16">
        <f>'00_TONG_HOP_BAO_GIA'!G82</f>
        <v/>
      </c>
      <c r="I378" s="21">
        <f>G378*H378</f>
        <v/>
      </c>
      <c r="J378" s="16">
        <f>IFERROR(INDEX('06_BANG_GIA_VAT_TU_AP_DUNG'!$E$1:$E$5000, MATCH(E378, '06_BANG_GIA_VAT_TU_AP_DUNG'!$B$1:$B$5000, 0)), 0)</f>
        <v/>
      </c>
      <c r="K378" s="16">
        <f>I378*J378</f>
        <v/>
      </c>
      <c r="L378" t="inlineStr">
        <is>
          <t>Hộp lò xo cơ cấu đóng sập (1 bộ)</t>
        </is>
      </c>
    </row>
    <row r="379">
      <c r="A379" t="inlineStr">
        <is>
          <t>SW-DAMPER-081-SILICON-BOLT</t>
        </is>
      </c>
      <c r="B379" t="inlineStr">
        <is>
          <t>SW-DAMPER-081</t>
        </is>
      </c>
      <c r="C379" t="inlineStr">
        <is>
          <t>Silicon chống cháy + bu lông, ốc vít van FD/MFD</t>
        </is>
      </c>
      <c r="D379" t="inlineStr">
        <is>
          <t>PHỤ_KIỆN_VAN</t>
        </is>
      </c>
      <c r="E379" t="inlineStr">
        <is>
          <t>MAT-DAMPER-SILICON-BULONG-VIT</t>
        </is>
      </c>
      <c r="F379" t="inlineStr">
        <is>
          <t>Bộ</t>
        </is>
      </c>
      <c r="G379" s="20" t="n">
        <v>1</v>
      </c>
      <c r="H379" s="16">
        <f>'00_TONG_HOP_BAO_GIA'!G82</f>
        <v/>
      </c>
      <c r="I379" s="21">
        <f>G379*H379</f>
        <v/>
      </c>
      <c r="J379" s="16">
        <f>IFERROR(INDEX('06_BANG_GIA_VAT_TU_AP_DUNG'!$E$1:$E$5000, MATCH(E379, '06_BANG_GIA_VAT_TU_AP_DUNG'!$B$1:$B$5000, 0)), 0)</f>
        <v/>
      </c>
      <c r="K379" s="16">
        <f>I379*J379</f>
        <v/>
      </c>
      <c r="L379" t="inlineStr">
        <is>
          <t>Keo silicon chống cháy &amp; phụ kiện lắp ghép (1 bộ)</t>
        </is>
      </c>
    </row>
    <row r="380">
      <c r="A380" t="inlineStr">
        <is>
          <t>SW-DAMPER-082-BODY</t>
        </is>
      </c>
      <c r="B380" t="inlineStr">
        <is>
          <t>SW-DAMPER-082</t>
        </is>
      </c>
      <c r="C380" t="inlineStr">
        <is>
          <t>Thân vỏ van MFD bích C30/TDF (1.15mm)</t>
        </is>
      </c>
      <c r="D380" t="inlineStr">
        <is>
          <t>TÔN_CUỘN_MẠ_KẼM</t>
        </is>
      </c>
      <c r="E380" t="inlineStr">
        <is>
          <t>MAT-STEEL-PN-1.15</t>
        </is>
      </c>
      <c r="F380" t="inlineStr">
        <is>
          <t>kg</t>
        </is>
      </c>
      <c r="G380" s="20" t="n">
        <v>10.99027265606479</v>
      </c>
      <c r="H380" s="16">
        <f>'00_TONG_HOP_BAO_GIA'!G83</f>
        <v/>
      </c>
      <c r="I380" s="21">
        <f>G380*H380</f>
        <v/>
      </c>
      <c r="J380" s="16">
        <f>IFERROR(INDEX('06_BANG_GIA_VAT_TU_AP_DUNG'!$E$1:$E$5000, MATCH(E380, '06_BANG_GIA_VAT_TU_AP_DUNG'!$B$1:$B$5000, 0)), 0)</f>
        <v/>
      </c>
      <c r="K380" s="16">
        <f>I380*J380</f>
        <v/>
      </c>
      <c r="L380" t="inlineStr">
        <is>
          <t>Kích thước vỏ 1250x500x200mm</t>
        </is>
      </c>
    </row>
    <row r="381">
      <c r="A381" t="inlineStr">
        <is>
          <t>SW-DAMPER-082-BLADE</t>
        </is>
      </c>
      <c r="B381" t="inlineStr">
        <is>
          <t>SW-DAMPER-082</t>
        </is>
      </c>
      <c r="C381" t="inlineStr">
        <is>
          <t>Lá cánh / Tôn tấm bọc van (1 cánh)</t>
        </is>
      </c>
      <c r="D381" t="inlineStr">
        <is>
          <t>TÔN_CUỘN_MẠ_KẼM</t>
        </is>
      </c>
      <c r="E381" t="inlineStr">
        <is>
          <t>MAT-STEEL-PN-1.15</t>
        </is>
      </c>
      <c r="F381" t="inlineStr">
        <is>
          <t>kg</t>
        </is>
      </c>
      <c r="G381" s="20" t="n">
        <v>13.68869839285065</v>
      </c>
      <c r="H381" s="16">
        <f>'00_TONG_HOP_BAO_GIA'!G83</f>
        <v/>
      </c>
      <c r="I381" s="21">
        <f>G381*H381</f>
        <v/>
      </c>
      <c r="J381" s="16">
        <f>IFERROR(INDEX('06_BANG_GIA_VAT_TU_AP_DUNG'!$E$1:$E$5000, MATCH(E381, '06_BANG_GIA_VAT_TU_AP_DUNG'!$B$1:$B$5000, 0)), 0)</f>
        <v/>
      </c>
      <c r="K381" s="16">
        <f>I381*J381</f>
        <v/>
      </c>
      <c r="L381" t="inlineStr">
        <is>
          <t>Tôn bọc cánh &amp; thân (1 cánh/modul)</t>
        </is>
      </c>
    </row>
    <row r="382">
      <c r="A382" t="inlineStr">
        <is>
          <t>SW-DAMPER-082-AXLE</t>
        </is>
      </c>
      <c r="B382" t="inlineStr">
        <is>
          <t>SW-DAMPER-082</t>
        </is>
      </c>
      <c r="C382" t="inlineStr">
        <is>
          <t>Trục Sus 201 D10</t>
        </is>
      </c>
      <c r="D382" t="inlineStr">
        <is>
          <t>PHỤ_KIỆN_VAN</t>
        </is>
      </c>
      <c r="E382" t="inlineStr">
        <is>
          <t>MAT-DAMPER-TRUC-SUS-201-D10</t>
        </is>
      </c>
      <c r="F382" t="inlineStr">
        <is>
          <t>m</t>
        </is>
      </c>
      <c r="G382" s="20" t="n">
        <v>1.589117243501245</v>
      </c>
      <c r="H382" s="16">
        <f>'00_TONG_HOP_BAO_GIA'!G83</f>
        <v/>
      </c>
      <c r="I382" s="21">
        <f>G382*H382</f>
        <v/>
      </c>
      <c r="J382" s="16">
        <f>IFERROR(INDEX('06_BANG_GIA_VAT_TU_AP_DUNG'!$E$1:$E$5000, MATCH(E382, '06_BANG_GIA_VAT_TU_AP_DUNG'!$B$1:$B$5000, 0)), 0)</f>
        <v/>
      </c>
      <c r="K382" s="16">
        <f>I382*J382</f>
        <v/>
      </c>
      <c r="L382" t="inlineStr">
        <is>
          <t>1 trục dài 1310mm</t>
        </is>
      </c>
    </row>
    <row r="383">
      <c r="A383" t="inlineStr">
        <is>
          <t>SW-DAMPER-082-BEARING</t>
        </is>
      </c>
      <c r="B383" t="inlineStr">
        <is>
          <t>SW-DAMPER-082</t>
        </is>
      </c>
      <c r="C383" t="inlineStr">
        <is>
          <t>Bạc đồng D10</t>
        </is>
      </c>
      <c r="D383" t="inlineStr">
        <is>
          <t>PHỤ_KIỆN_VAN</t>
        </is>
      </c>
      <c r="E383" t="inlineStr">
        <is>
          <t>MAT-DAMPER-BAC-DONG-D10</t>
        </is>
      </c>
      <c r="F383" t="inlineStr">
        <is>
          <t>Đôi</t>
        </is>
      </c>
      <c r="G383" s="20" t="n">
        <v>1</v>
      </c>
      <c r="H383" s="16">
        <f>'00_TONG_HOP_BAO_GIA'!G83</f>
        <v/>
      </c>
      <c r="I383" s="21">
        <f>G383*H383</f>
        <v/>
      </c>
      <c r="J383" s="16">
        <f>IFERROR(INDEX('06_BANG_GIA_VAT_TU_AP_DUNG'!$E$1:$E$5000, MATCH(E383, '06_BANG_GIA_VAT_TU_AP_DUNG'!$B$1:$B$5000, 0)), 0)</f>
        <v/>
      </c>
      <c r="K383" s="16">
        <f>I383*J383</f>
        <v/>
      </c>
      <c r="L383" t="inlineStr">
        <is>
          <t>1 đôi bạc đỡ 2 bên thân</t>
        </is>
      </c>
    </row>
    <row r="384">
      <c r="A384" t="inlineStr">
        <is>
          <t>SW-DAMPER-082-ACTUATOR</t>
        </is>
      </c>
      <c r="B384" t="inlineStr">
        <is>
          <t>SW-DAMPER-082</t>
        </is>
      </c>
      <c r="C384" t="inlineStr">
        <is>
          <t>Động cơ chặn lửa ON/OFF KLB (Swin V6006FS500S EI90) 5Nm</t>
        </is>
      </c>
      <c r="D384" t="inlineStr">
        <is>
          <t>ĐỘNG_CƠ_VÀ_CẢM_BIẾN</t>
        </is>
      </c>
      <c r="E384" t="inlineStr">
        <is>
          <t>MAT-ACTUATOR-KLB-V6006FS500S</t>
        </is>
      </c>
      <c r="F384" t="inlineStr">
        <is>
          <t>Cái</t>
        </is>
      </c>
      <c r="G384" s="20" t="n">
        <v>1</v>
      </c>
      <c r="H384" s="16">
        <f>'00_TONG_HOP_BAO_GIA'!G83</f>
        <v/>
      </c>
      <c r="I384" s="21">
        <f>G384*H384</f>
        <v/>
      </c>
      <c r="J384" s="16">
        <f>IFERROR(INDEX('06_BANG_GIA_VAT_TU_AP_DUNG'!$E$1:$E$5000, MATCH(E384, '06_BANG_GIA_VAT_TU_AP_DUNG'!$B$1:$B$5000, 0)), 0)</f>
        <v/>
      </c>
      <c r="K384" s="16">
        <f>I384*J384</f>
        <v/>
      </c>
      <c r="L384" t="inlineStr">
        <is>
          <t>Động cơ lò xo phản hồi MFD (1 bộ)</t>
        </is>
      </c>
    </row>
    <row r="385">
      <c r="A385" t="inlineStr">
        <is>
          <t>SW-DAMPER-082-FB10-BODY</t>
        </is>
      </c>
      <c r="B385" t="inlineStr">
        <is>
          <t>SW-DAMPER-082</t>
        </is>
      </c>
      <c r="C385" t="inlineStr">
        <is>
          <t>Tấm chống cháy dày 10mm bọc thân van FD/MFD (2 lớp)</t>
        </is>
      </c>
      <c r="D385" t="inlineStr">
        <is>
          <t>VẬT_LIỆU_CÁCH_NHIỆT</t>
        </is>
      </c>
      <c r="E385" t="inlineStr">
        <is>
          <t>MAT-FIREBOARD-10MM-BODY</t>
        </is>
      </c>
      <c r="F385" t="inlineStr">
        <is>
          <t>m2</t>
        </is>
      </c>
      <c r="G385" s="20" t="n">
        <v>2.547439855994362</v>
      </c>
      <c r="H385" s="16">
        <f>'00_TONG_HOP_BAO_GIA'!G83</f>
        <v/>
      </c>
      <c r="I385" s="21">
        <f>G385*H385</f>
        <v/>
      </c>
      <c r="J385" s="16">
        <f>IFERROR(INDEX('06_BANG_GIA_VAT_TU_AP_DUNG'!$E$1:$E$5000, MATCH(E385, '06_BANG_GIA_VAT_TU_AP_DUNG'!$B$1:$B$5000, 0)), 0)</f>
        <v/>
      </c>
      <c r="K385" s="16">
        <f>I385*J385</f>
        <v/>
      </c>
      <c r="L385" t="inlineStr">
        <is>
          <t>Bọc 2 lớp tấm 10mm quanh thân L=300mm</t>
        </is>
      </c>
    </row>
    <row r="386">
      <c r="A386" t="inlineStr">
        <is>
          <t>SW-DAMPER-082-FB20-BLADE</t>
        </is>
      </c>
      <c r="B386" t="inlineStr">
        <is>
          <t>SW-DAMPER-082</t>
        </is>
      </c>
      <c r="C386" t="inlineStr">
        <is>
          <t>Tấm chống cháy dày 20mm làm lõi cánh van FD/MFD</t>
        </is>
      </c>
      <c r="D386" t="inlineStr">
        <is>
          <t>VẬT_LIỆU_CÁCH_NHIỆT</t>
        </is>
      </c>
      <c r="E386" t="inlineStr">
        <is>
          <t>MAT-FIREBOARD-20MM-BLADE</t>
        </is>
      </c>
      <c r="F386" t="inlineStr">
        <is>
          <t>m2</t>
        </is>
      </c>
      <c r="G386" s="20" t="n">
        <v>0.7581666238078459</v>
      </c>
      <c r="H386" s="16">
        <f>'00_TONG_HOP_BAO_GIA'!G83</f>
        <v/>
      </c>
      <c r="I386" s="21">
        <f>G386*H386</f>
        <v/>
      </c>
      <c r="J386" s="16">
        <f>IFERROR(INDEX('06_BANG_GIA_VAT_TU_AP_DUNG'!$E$1:$E$5000, MATCH(E386, '06_BANG_GIA_VAT_TU_AP_DUNG'!$B$1:$B$5000, 0)), 0)</f>
        <v/>
      </c>
      <c r="K386" s="16">
        <f>I386*J386</f>
        <v/>
      </c>
      <c r="L386" t="inlineStr">
        <is>
          <t>Lõi cánh tấm 20mm (Cánh đơn 1250x500mm)</t>
        </is>
      </c>
    </row>
    <row r="387">
      <c r="A387" t="inlineStr">
        <is>
          <t>SW-DAMPER-082-FB10-BLADE</t>
        </is>
      </c>
      <c r="B387" t="inlineStr">
        <is>
          <t>SW-DAMPER-082</t>
        </is>
      </c>
      <c r="C387" t="inlineStr">
        <is>
          <t>Tấm chống cháy dày 10mm ốp 2 mặt cánh van FD/MFD</t>
        </is>
      </c>
      <c r="D387" t="inlineStr">
        <is>
          <t>VẬT_LIỆU_CÁCH_NHIỆT</t>
        </is>
      </c>
      <c r="E387" t="inlineStr">
        <is>
          <t>MAT-FIREBOARD-10MM-BLADE</t>
        </is>
      </c>
      <c r="F387" t="inlineStr">
        <is>
          <t>m2</t>
        </is>
      </c>
      <c r="G387" s="20" t="n">
        <v>1.516333247615692</v>
      </c>
      <c r="H387" s="16">
        <f>'00_TONG_HOP_BAO_GIA'!G83</f>
        <v/>
      </c>
      <c r="I387" s="21">
        <f>G387*H387</f>
        <v/>
      </c>
      <c r="J387" s="16">
        <f>IFERROR(INDEX('06_BANG_GIA_VAT_TU_AP_DUNG'!$E$1:$E$5000, MATCH(E387, '06_BANG_GIA_VAT_TU_AP_DUNG'!$B$1:$B$5000, 0)), 0)</f>
        <v/>
      </c>
      <c r="K387" s="16">
        <f>I387*J387</f>
        <v/>
      </c>
      <c r="L387" t="inlineStr">
        <is>
          <t>Ốp 2 mặt cánh tấm 10mm (Cánh đơn 1250x500mm)</t>
        </is>
      </c>
    </row>
    <row r="388">
      <c r="A388" t="inlineStr">
        <is>
          <t>SW-DAMPER-082-SPRING-BOX</t>
        </is>
      </c>
      <c r="B388" t="inlineStr">
        <is>
          <t>SW-DAMPER-082</t>
        </is>
      </c>
      <c r="C388" t="inlineStr">
        <is>
          <t>Hộp lò xo van chặn lửa FD/MFD</t>
        </is>
      </c>
      <c r="D388" t="inlineStr">
        <is>
          <t>PHỤ_KIỆN_VAN</t>
        </is>
      </c>
      <c r="E388" t="inlineStr">
        <is>
          <t>MAT-DAMPER-HOP-LO-XO</t>
        </is>
      </c>
      <c r="F388" t="inlineStr">
        <is>
          <t>Bộ</t>
        </is>
      </c>
      <c r="G388" s="20" t="n">
        <v>1</v>
      </c>
      <c r="H388" s="16">
        <f>'00_TONG_HOP_BAO_GIA'!G83</f>
        <v/>
      </c>
      <c r="I388" s="21">
        <f>G388*H388</f>
        <v/>
      </c>
      <c r="J388" s="16">
        <f>IFERROR(INDEX('06_BANG_GIA_VAT_TU_AP_DUNG'!$E$1:$E$5000, MATCH(E388, '06_BANG_GIA_VAT_TU_AP_DUNG'!$B$1:$B$5000, 0)), 0)</f>
        <v/>
      </c>
      <c r="K388" s="16">
        <f>I388*J388</f>
        <v/>
      </c>
      <c r="L388" t="inlineStr">
        <is>
          <t>Hộp lò xo cơ cấu đóng sập (1 bộ)</t>
        </is>
      </c>
    </row>
    <row r="389">
      <c r="A389" t="inlineStr">
        <is>
          <t>SW-DAMPER-082-SILICON-BOLT</t>
        </is>
      </c>
      <c r="B389" t="inlineStr">
        <is>
          <t>SW-DAMPER-082</t>
        </is>
      </c>
      <c r="C389" t="inlineStr">
        <is>
          <t>Silicon chống cháy + bu lông, ốc vít van FD/MFD</t>
        </is>
      </c>
      <c r="D389" t="inlineStr">
        <is>
          <t>PHỤ_KIỆN_VAN</t>
        </is>
      </c>
      <c r="E389" t="inlineStr">
        <is>
          <t>MAT-DAMPER-SILICON-BULONG-VIT</t>
        </is>
      </c>
      <c r="F389" t="inlineStr">
        <is>
          <t>Bộ</t>
        </is>
      </c>
      <c r="G389" s="20" t="n">
        <v>1</v>
      </c>
      <c r="H389" s="16">
        <f>'00_TONG_HOP_BAO_GIA'!G83</f>
        <v/>
      </c>
      <c r="I389" s="21">
        <f>G389*H389</f>
        <v/>
      </c>
      <c r="J389" s="16">
        <f>IFERROR(INDEX('06_BANG_GIA_VAT_TU_AP_DUNG'!$E$1:$E$5000, MATCH(E389, '06_BANG_GIA_VAT_TU_AP_DUNG'!$B$1:$B$5000, 0)), 0)</f>
        <v/>
      </c>
      <c r="K389" s="16">
        <f>I389*J389</f>
        <v/>
      </c>
      <c r="L389" t="inlineStr">
        <is>
          <t>Keo silicon chống cháy &amp; phụ kiện lắp ghép (1 bộ)</t>
        </is>
      </c>
    </row>
    <row r="390">
      <c r="A390" t="inlineStr">
        <is>
          <t>SW-DAMPER-083-BODY</t>
        </is>
      </c>
      <c r="B390" t="inlineStr">
        <is>
          <t>SW-DAMPER-083</t>
        </is>
      </c>
      <c r="C390" t="inlineStr">
        <is>
          <t>Thân vỏ van MFD bích C30/TDF (1.15mm)</t>
        </is>
      </c>
      <c r="D390" t="inlineStr">
        <is>
          <t>TÔN_CUỘN_MẠ_KẼM</t>
        </is>
      </c>
      <c r="E390" t="inlineStr">
        <is>
          <t>MAT-STEEL-PN-1.15</t>
        </is>
      </c>
      <c r="F390" t="inlineStr">
        <is>
          <t>kg</t>
        </is>
      </c>
      <c r="G390" s="20" t="n">
        <v>10.64083986207474</v>
      </c>
      <c r="H390" s="16">
        <f>'00_TONG_HOP_BAO_GIA'!G84</f>
        <v/>
      </c>
      <c r="I390" s="21">
        <f>G390*H390</f>
        <v/>
      </c>
      <c r="J390" s="16">
        <f>IFERROR(INDEX('06_BANG_GIA_VAT_TU_AP_DUNG'!$E$1:$E$5000, MATCH(E390, '06_BANG_GIA_VAT_TU_AP_DUNG'!$B$1:$B$5000, 0)), 0)</f>
        <v/>
      </c>
      <c r="K390" s="16">
        <f>I390*J390</f>
        <v/>
      </c>
      <c r="L390" t="inlineStr">
        <is>
          <t>Kích thước vỏ 1300x400x200mm</t>
        </is>
      </c>
    </row>
    <row r="391">
      <c r="A391" t="inlineStr">
        <is>
          <t>SW-DAMPER-083-BLADE</t>
        </is>
      </c>
      <c r="B391" t="inlineStr">
        <is>
          <t>SW-DAMPER-083</t>
        </is>
      </c>
      <c r="C391" t="inlineStr">
        <is>
          <t>Lá cánh / Tôn tấm bọc van (1 cánh)</t>
        </is>
      </c>
      <c r="D391" t="inlineStr">
        <is>
          <t>TÔN_CUỘN_MẠ_KẼM</t>
        </is>
      </c>
      <c r="E391" t="inlineStr">
        <is>
          <t>MAT-STEEL-PN-1.15</t>
        </is>
      </c>
      <c r="F391" t="inlineStr">
        <is>
          <t>kg</t>
        </is>
      </c>
      <c r="G391" s="20" t="n">
        <v>11.34743597120476</v>
      </c>
      <c r="H391" s="16">
        <f>'00_TONG_HOP_BAO_GIA'!G84</f>
        <v/>
      </c>
      <c r="I391" s="21">
        <f>G391*H391</f>
        <v/>
      </c>
      <c r="J391" s="16">
        <f>IFERROR(INDEX('06_BANG_GIA_VAT_TU_AP_DUNG'!$E$1:$E$5000, MATCH(E391, '06_BANG_GIA_VAT_TU_AP_DUNG'!$B$1:$B$5000, 0)), 0)</f>
        <v/>
      </c>
      <c r="K391" s="16">
        <f>I391*J391</f>
        <v/>
      </c>
      <c r="L391" t="inlineStr">
        <is>
          <t>Tôn bọc cánh &amp; thân (1 cánh/modul)</t>
        </is>
      </c>
    </row>
    <row r="392">
      <c r="A392" t="inlineStr">
        <is>
          <t>SW-DAMPER-083-AXLE</t>
        </is>
      </c>
      <c r="B392" t="inlineStr">
        <is>
          <t>SW-DAMPER-083</t>
        </is>
      </c>
      <c r="C392" t="inlineStr">
        <is>
          <t>Trục Sus 201 D10</t>
        </is>
      </c>
      <c r="D392" t="inlineStr">
        <is>
          <t>PHỤ_KIỆN_VAN</t>
        </is>
      </c>
      <c r="E392" t="inlineStr">
        <is>
          <t>MAT-DAMPER-TRUC-SUS-201-D10</t>
        </is>
      </c>
      <c r="F392" t="inlineStr">
        <is>
          <t>m</t>
        </is>
      </c>
      <c r="G392" s="20" t="n">
        <v>1.643750177964603</v>
      </c>
      <c r="H392" s="16">
        <f>'00_TONG_HOP_BAO_GIA'!G84</f>
        <v/>
      </c>
      <c r="I392" s="21">
        <f>G392*H392</f>
        <v/>
      </c>
      <c r="J392" s="16">
        <f>IFERROR(INDEX('06_BANG_GIA_VAT_TU_AP_DUNG'!$E$1:$E$5000, MATCH(E392, '06_BANG_GIA_VAT_TU_AP_DUNG'!$B$1:$B$5000, 0)), 0)</f>
        <v/>
      </c>
      <c r="K392" s="16">
        <f>I392*J392</f>
        <v/>
      </c>
      <c r="L392" t="inlineStr">
        <is>
          <t>1 trục dài 1360mm</t>
        </is>
      </c>
    </row>
    <row r="393">
      <c r="A393" t="inlineStr">
        <is>
          <t>SW-DAMPER-083-BEARING</t>
        </is>
      </c>
      <c r="B393" t="inlineStr">
        <is>
          <t>SW-DAMPER-083</t>
        </is>
      </c>
      <c r="C393" t="inlineStr">
        <is>
          <t>Bạc đồng D10</t>
        </is>
      </c>
      <c r="D393" t="inlineStr">
        <is>
          <t>PHỤ_KIỆN_VAN</t>
        </is>
      </c>
      <c r="E393" t="inlineStr">
        <is>
          <t>MAT-DAMPER-BAC-DONG-D10</t>
        </is>
      </c>
      <c r="F393" t="inlineStr">
        <is>
          <t>Đôi</t>
        </is>
      </c>
      <c r="G393" s="20" t="n">
        <v>1</v>
      </c>
      <c r="H393" s="16">
        <f>'00_TONG_HOP_BAO_GIA'!G84</f>
        <v/>
      </c>
      <c r="I393" s="21">
        <f>G393*H393</f>
        <v/>
      </c>
      <c r="J393" s="16">
        <f>IFERROR(INDEX('06_BANG_GIA_VAT_TU_AP_DUNG'!$E$1:$E$5000, MATCH(E393, '06_BANG_GIA_VAT_TU_AP_DUNG'!$B$1:$B$5000, 0)), 0)</f>
        <v/>
      </c>
      <c r="K393" s="16">
        <f>I393*J393</f>
        <v/>
      </c>
      <c r="L393" t="inlineStr">
        <is>
          <t>1 đôi bạc đỡ 2 bên thân</t>
        </is>
      </c>
    </row>
    <row r="394">
      <c r="A394" t="inlineStr">
        <is>
          <t>SW-DAMPER-083-ACTUATOR</t>
        </is>
      </c>
      <c r="B394" t="inlineStr">
        <is>
          <t>SW-DAMPER-083</t>
        </is>
      </c>
      <c r="C394" t="inlineStr">
        <is>
          <t>Động cơ chặn lửa ON/OFF KLB (Swin V6006FS500S EI90) 5Nm</t>
        </is>
      </c>
      <c r="D394" t="inlineStr">
        <is>
          <t>ĐỘNG_CƠ_VÀ_CẢM_BIẾN</t>
        </is>
      </c>
      <c r="E394" t="inlineStr">
        <is>
          <t>MAT-ACTUATOR-KLB-V6006FS500S</t>
        </is>
      </c>
      <c r="F394" t="inlineStr">
        <is>
          <t>Cái</t>
        </is>
      </c>
      <c r="G394" s="20" t="n">
        <v>1</v>
      </c>
      <c r="H394" s="16">
        <f>'00_TONG_HOP_BAO_GIA'!G84</f>
        <v/>
      </c>
      <c r="I394" s="21">
        <f>G394*H394</f>
        <v/>
      </c>
      <c r="J394" s="16">
        <f>IFERROR(INDEX('06_BANG_GIA_VAT_TU_AP_DUNG'!$E$1:$E$5000, MATCH(E394, '06_BANG_GIA_VAT_TU_AP_DUNG'!$B$1:$B$5000, 0)), 0)</f>
        <v/>
      </c>
      <c r="K394" s="16">
        <f>I394*J394</f>
        <v/>
      </c>
      <c r="L394" t="inlineStr">
        <is>
          <t>Động cơ lò xo phản hồi MFD (1 bộ)</t>
        </is>
      </c>
    </row>
    <row r="395">
      <c r="A395" t="inlineStr">
        <is>
          <t>SW-DAMPER-083-FB10-BODY</t>
        </is>
      </c>
      <c r="B395" t="inlineStr">
        <is>
          <t>SW-DAMPER-083</t>
        </is>
      </c>
      <c r="C395" t="inlineStr">
        <is>
          <t>Tấm chống cháy dày 10mm bọc thân van FD/MFD (2 lớp)</t>
        </is>
      </c>
      <c r="D395" t="inlineStr">
        <is>
          <t>VẬT_LIỆU_CÁCH_NHIỆT</t>
        </is>
      </c>
      <c r="E395" t="inlineStr">
        <is>
          <t>MAT-FIREBOARD-10MM-BODY</t>
        </is>
      </c>
      <c r="F395" t="inlineStr">
        <is>
          <t>m2</t>
        </is>
      </c>
      <c r="G395" s="20" t="n">
        <v>2.465625266946905</v>
      </c>
      <c r="H395" s="16">
        <f>'00_TONG_HOP_BAO_GIA'!G84</f>
        <v/>
      </c>
      <c r="I395" s="21">
        <f>G395*H395</f>
        <v/>
      </c>
      <c r="J395" s="16">
        <f>IFERROR(INDEX('06_BANG_GIA_VAT_TU_AP_DUNG'!$E$1:$E$5000, MATCH(E395, '06_BANG_GIA_VAT_TU_AP_DUNG'!$B$1:$B$5000, 0)), 0)</f>
        <v/>
      </c>
      <c r="K395" s="16">
        <f>I395*J395</f>
        <v/>
      </c>
      <c r="L395" t="inlineStr">
        <is>
          <t>Bọc 2 lớp tấm 10mm quanh thân L=300mm</t>
        </is>
      </c>
    </row>
    <row r="396">
      <c r="A396" t="inlineStr">
        <is>
          <t>SW-DAMPER-083-FB20-BLADE</t>
        </is>
      </c>
      <c r="B396" t="inlineStr">
        <is>
          <t>SW-DAMPER-083</t>
        </is>
      </c>
      <c r="C396" t="inlineStr">
        <is>
          <t>Tấm chống cháy dày 20mm làm lõi cánh van FD/MFD</t>
        </is>
      </c>
      <c r="D396" t="inlineStr">
        <is>
          <t>VẬT_LIỆU_CÁCH_NHIỆT</t>
        </is>
      </c>
      <c r="E396" t="inlineStr">
        <is>
          <t>MAT-FIREBOARD-20MM-BLADE</t>
        </is>
      </c>
      <c r="F396" t="inlineStr">
        <is>
          <t>m2</t>
        </is>
      </c>
      <c r="G396" s="20" t="n">
        <v>0.628492715104113</v>
      </c>
      <c r="H396" s="16">
        <f>'00_TONG_HOP_BAO_GIA'!G84</f>
        <v/>
      </c>
      <c r="I396" s="21">
        <f>G396*H396</f>
        <v/>
      </c>
      <c r="J396" s="16">
        <f>IFERROR(INDEX('06_BANG_GIA_VAT_TU_AP_DUNG'!$E$1:$E$5000, MATCH(E396, '06_BANG_GIA_VAT_TU_AP_DUNG'!$B$1:$B$5000, 0)), 0)</f>
        <v/>
      </c>
      <c r="K396" s="16">
        <f>I396*J396</f>
        <v/>
      </c>
      <c r="L396" t="inlineStr">
        <is>
          <t>Lõi cánh tấm 20mm (Cánh đơn 1300x400mm)</t>
        </is>
      </c>
    </row>
    <row r="397">
      <c r="A397" t="inlineStr">
        <is>
          <t>SW-DAMPER-083-FB10-BLADE</t>
        </is>
      </c>
      <c r="B397" t="inlineStr">
        <is>
          <t>SW-DAMPER-083</t>
        </is>
      </c>
      <c r="C397" t="inlineStr">
        <is>
          <t>Tấm chống cháy dày 10mm ốp 2 mặt cánh van FD/MFD</t>
        </is>
      </c>
      <c r="D397" t="inlineStr">
        <is>
          <t>VẬT_LIỆU_CÁCH_NHIỆT</t>
        </is>
      </c>
      <c r="E397" t="inlineStr">
        <is>
          <t>MAT-FIREBOARD-10MM-BLADE</t>
        </is>
      </c>
      <c r="F397" t="inlineStr">
        <is>
          <t>m2</t>
        </is>
      </c>
      <c r="G397" s="20" t="n">
        <v>1.256985430208226</v>
      </c>
      <c r="H397" s="16">
        <f>'00_TONG_HOP_BAO_GIA'!G84</f>
        <v/>
      </c>
      <c r="I397" s="21">
        <f>G397*H397</f>
        <v/>
      </c>
      <c r="J397" s="16">
        <f>IFERROR(INDEX('06_BANG_GIA_VAT_TU_AP_DUNG'!$E$1:$E$5000, MATCH(E397, '06_BANG_GIA_VAT_TU_AP_DUNG'!$B$1:$B$5000, 0)), 0)</f>
        <v/>
      </c>
      <c r="K397" s="16">
        <f>I397*J397</f>
        <v/>
      </c>
      <c r="L397" t="inlineStr">
        <is>
          <t>Ốp 2 mặt cánh tấm 10mm (Cánh đơn 1300x400mm)</t>
        </is>
      </c>
    </row>
    <row r="398">
      <c r="A398" t="inlineStr">
        <is>
          <t>SW-DAMPER-083-SPRING-BOX</t>
        </is>
      </c>
      <c r="B398" t="inlineStr">
        <is>
          <t>SW-DAMPER-083</t>
        </is>
      </c>
      <c r="C398" t="inlineStr">
        <is>
          <t>Hộp lò xo van chặn lửa FD/MFD</t>
        </is>
      </c>
      <c r="D398" t="inlineStr">
        <is>
          <t>PHỤ_KIỆN_VAN</t>
        </is>
      </c>
      <c r="E398" t="inlineStr">
        <is>
          <t>MAT-DAMPER-HOP-LO-XO</t>
        </is>
      </c>
      <c r="F398" t="inlineStr">
        <is>
          <t>Bộ</t>
        </is>
      </c>
      <c r="G398" s="20" t="n">
        <v>1</v>
      </c>
      <c r="H398" s="16">
        <f>'00_TONG_HOP_BAO_GIA'!G84</f>
        <v/>
      </c>
      <c r="I398" s="21">
        <f>G398*H398</f>
        <v/>
      </c>
      <c r="J398" s="16">
        <f>IFERROR(INDEX('06_BANG_GIA_VAT_TU_AP_DUNG'!$E$1:$E$5000, MATCH(E398, '06_BANG_GIA_VAT_TU_AP_DUNG'!$B$1:$B$5000, 0)), 0)</f>
        <v/>
      </c>
      <c r="K398" s="16">
        <f>I398*J398</f>
        <v/>
      </c>
      <c r="L398" t="inlineStr">
        <is>
          <t>Hộp lò xo cơ cấu đóng sập (1 bộ)</t>
        </is>
      </c>
    </row>
    <row r="399">
      <c r="A399" t="inlineStr">
        <is>
          <t>SW-DAMPER-083-SILICON-BOLT</t>
        </is>
      </c>
      <c r="B399" t="inlineStr">
        <is>
          <t>SW-DAMPER-083</t>
        </is>
      </c>
      <c r="C399" t="inlineStr">
        <is>
          <t>Silicon chống cháy + bu lông, ốc vít van FD/MFD</t>
        </is>
      </c>
      <c r="D399" t="inlineStr">
        <is>
          <t>PHỤ_KIỆN_VAN</t>
        </is>
      </c>
      <c r="E399" t="inlineStr">
        <is>
          <t>MAT-DAMPER-SILICON-BULONG-VIT</t>
        </is>
      </c>
      <c r="F399" t="inlineStr">
        <is>
          <t>Bộ</t>
        </is>
      </c>
      <c r="G399" s="20" t="n">
        <v>1</v>
      </c>
      <c r="H399" s="16">
        <f>'00_TONG_HOP_BAO_GIA'!G84</f>
        <v/>
      </c>
      <c r="I399" s="21">
        <f>G399*H399</f>
        <v/>
      </c>
      <c r="J399" s="16">
        <f>IFERROR(INDEX('06_BANG_GIA_VAT_TU_AP_DUNG'!$E$1:$E$5000, MATCH(E399, '06_BANG_GIA_VAT_TU_AP_DUNG'!$B$1:$B$5000, 0)), 0)</f>
        <v/>
      </c>
      <c r="K399" s="16">
        <f>I399*J399</f>
        <v/>
      </c>
      <c r="L399" t="inlineStr">
        <is>
          <t>Keo silicon chống cháy &amp; phụ kiện lắp ghép (1 bộ)</t>
        </is>
      </c>
    </row>
    <row r="400">
      <c r="A400" t="inlineStr">
        <is>
          <t>SW-DAMPER-084-BODY</t>
        </is>
      </c>
      <c r="B400" t="inlineStr">
        <is>
          <t>SW-DAMPER-084</t>
        </is>
      </c>
      <c r="C400" t="inlineStr">
        <is>
          <t>Thân vỏ van MFD bích C30/TDF (1.15mm)</t>
        </is>
      </c>
      <c r="D400" t="inlineStr">
        <is>
          <t>TÔN_CUỘN_MẠ_KẼM</t>
        </is>
      </c>
      <c r="E400" t="inlineStr">
        <is>
          <t>MAT-STEEL-PN-1.15</t>
        </is>
      </c>
      <c r="F400" t="inlineStr">
        <is>
          <t>kg</t>
        </is>
      </c>
      <c r="G400" s="20" t="n">
        <v>11.28877399889244</v>
      </c>
      <c r="H400" s="16">
        <f>'00_TONG_HOP_BAO_GIA'!G85</f>
        <v/>
      </c>
      <c r="I400" s="21">
        <f>G400*H400</f>
        <v/>
      </c>
      <c r="J400" s="16">
        <f>IFERROR(INDEX('06_BANG_GIA_VAT_TU_AP_DUNG'!$E$1:$E$5000, MATCH(E400, '06_BANG_GIA_VAT_TU_AP_DUNG'!$B$1:$B$5000, 0)), 0)</f>
        <v/>
      </c>
      <c r="K400" s="16">
        <f>I400*J400</f>
        <v/>
      </c>
      <c r="L400" t="inlineStr">
        <is>
          <t>Kích thước vỏ 1300x500x200mm</t>
        </is>
      </c>
    </row>
    <row r="401">
      <c r="A401" t="inlineStr">
        <is>
          <t>SW-DAMPER-084-BLADE</t>
        </is>
      </c>
      <c r="B401" t="inlineStr">
        <is>
          <t>SW-DAMPER-084</t>
        </is>
      </c>
      <c r="C401" t="inlineStr">
        <is>
          <t>Lá cánh / Tôn tấm bọc van (1 cánh)</t>
        </is>
      </c>
      <c r="D401" t="inlineStr">
        <is>
          <t>TÔN_CUỘN_MẠ_KẼM</t>
        </is>
      </c>
      <c r="E401" t="inlineStr">
        <is>
          <t>MAT-STEEL-PN-1.15</t>
        </is>
      </c>
      <c r="F401" t="inlineStr">
        <is>
          <t>kg</t>
        </is>
      </c>
      <c r="G401" s="20" t="n">
        <v>14.22118165645307</v>
      </c>
      <c r="H401" s="16">
        <f>'00_TONG_HOP_BAO_GIA'!G85</f>
        <v/>
      </c>
      <c r="I401" s="21">
        <f>G401*H401</f>
        <v/>
      </c>
      <c r="J401" s="16">
        <f>IFERROR(INDEX('06_BANG_GIA_VAT_TU_AP_DUNG'!$E$1:$E$5000, MATCH(E401, '06_BANG_GIA_VAT_TU_AP_DUNG'!$B$1:$B$5000, 0)), 0)</f>
        <v/>
      </c>
      <c r="K401" s="16">
        <f>I401*J401</f>
        <v/>
      </c>
      <c r="L401" t="inlineStr">
        <is>
          <t>Tôn bọc cánh &amp; thân (1 cánh/modul)</t>
        </is>
      </c>
    </row>
    <row r="402">
      <c r="A402" t="inlineStr">
        <is>
          <t>SW-DAMPER-084-AXLE</t>
        </is>
      </c>
      <c r="B402" t="inlineStr">
        <is>
          <t>SW-DAMPER-084</t>
        </is>
      </c>
      <c r="C402" t="inlineStr">
        <is>
          <t>Trục Sus 201 D10</t>
        </is>
      </c>
      <c r="D402" t="inlineStr">
        <is>
          <t>PHỤ_KIỆN_VAN</t>
        </is>
      </c>
      <c r="E402" t="inlineStr">
        <is>
          <t>MAT-DAMPER-TRUC-SUS-201-D10</t>
        </is>
      </c>
      <c r="F402" t="inlineStr">
        <is>
          <t>m</t>
        </is>
      </c>
      <c r="G402" s="20" t="n">
        <v>1.64802480052627</v>
      </c>
      <c r="H402" s="16">
        <f>'00_TONG_HOP_BAO_GIA'!G85</f>
        <v/>
      </c>
      <c r="I402" s="21">
        <f>G402*H402</f>
        <v/>
      </c>
      <c r="J402" s="16">
        <f>IFERROR(INDEX('06_BANG_GIA_VAT_TU_AP_DUNG'!$E$1:$E$5000, MATCH(E402, '06_BANG_GIA_VAT_TU_AP_DUNG'!$B$1:$B$5000, 0)), 0)</f>
        <v/>
      </c>
      <c r="K402" s="16">
        <f>I402*J402</f>
        <v/>
      </c>
      <c r="L402" t="inlineStr">
        <is>
          <t>1 trục dài 1360mm</t>
        </is>
      </c>
    </row>
    <row r="403">
      <c r="A403" t="inlineStr">
        <is>
          <t>SW-DAMPER-084-BEARING</t>
        </is>
      </c>
      <c r="B403" t="inlineStr">
        <is>
          <t>SW-DAMPER-084</t>
        </is>
      </c>
      <c r="C403" t="inlineStr">
        <is>
          <t>Bạc đồng D10</t>
        </is>
      </c>
      <c r="D403" t="inlineStr">
        <is>
          <t>PHỤ_KIỆN_VAN</t>
        </is>
      </c>
      <c r="E403" t="inlineStr">
        <is>
          <t>MAT-DAMPER-BAC-DONG-D10</t>
        </is>
      </c>
      <c r="F403" t="inlineStr">
        <is>
          <t>Đôi</t>
        </is>
      </c>
      <c r="G403" s="20" t="n">
        <v>1</v>
      </c>
      <c r="H403" s="16">
        <f>'00_TONG_HOP_BAO_GIA'!G85</f>
        <v/>
      </c>
      <c r="I403" s="21">
        <f>G403*H403</f>
        <v/>
      </c>
      <c r="J403" s="16">
        <f>IFERROR(INDEX('06_BANG_GIA_VAT_TU_AP_DUNG'!$E$1:$E$5000, MATCH(E403, '06_BANG_GIA_VAT_TU_AP_DUNG'!$B$1:$B$5000, 0)), 0)</f>
        <v/>
      </c>
      <c r="K403" s="16">
        <f>I403*J403</f>
        <v/>
      </c>
      <c r="L403" t="inlineStr">
        <is>
          <t>1 đôi bạc đỡ 2 bên thân</t>
        </is>
      </c>
    </row>
    <row r="404">
      <c r="A404" t="inlineStr">
        <is>
          <t>SW-DAMPER-084-ACTUATOR</t>
        </is>
      </c>
      <c r="B404" t="inlineStr">
        <is>
          <t>SW-DAMPER-084</t>
        </is>
      </c>
      <c r="C404" t="inlineStr">
        <is>
          <t>Động cơ chặn lửa ON/OFF KLB (Swin V6006FS500S EI90) 5Nm</t>
        </is>
      </c>
      <c r="D404" t="inlineStr">
        <is>
          <t>ĐỘNG_CƠ_VÀ_CẢM_BIẾN</t>
        </is>
      </c>
      <c r="E404" t="inlineStr">
        <is>
          <t>MAT-ACTUATOR-KLB-V6006FS500S</t>
        </is>
      </c>
      <c r="F404" t="inlineStr">
        <is>
          <t>Cái</t>
        </is>
      </c>
      <c r="G404" s="20" t="n">
        <v>1</v>
      </c>
      <c r="H404" s="16">
        <f>'00_TONG_HOP_BAO_GIA'!G85</f>
        <v/>
      </c>
      <c r="I404" s="21">
        <f>G404*H404</f>
        <v/>
      </c>
      <c r="J404" s="16">
        <f>IFERROR(INDEX('06_BANG_GIA_VAT_TU_AP_DUNG'!$E$1:$E$5000, MATCH(E404, '06_BANG_GIA_VAT_TU_AP_DUNG'!$B$1:$B$5000, 0)), 0)</f>
        <v/>
      </c>
      <c r="K404" s="16">
        <f>I404*J404</f>
        <v/>
      </c>
      <c r="L404" t="inlineStr">
        <is>
          <t>Động cơ lò xo phản hồi MFD (1 bộ)</t>
        </is>
      </c>
    </row>
    <row r="405">
      <c r="A405" t="inlineStr">
        <is>
          <t>SW-DAMPER-084-FB10-BODY</t>
        </is>
      </c>
      <c r="B405" t="inlineStr">
        <is>
          <t>SW-DAMPER-084</t>
        </is>
      </c>
      <c r="C405" t="inlineStr">
        <is>
          <t>Tấm chống cháy dày 10mm bọc thân van FD/MFD (2 lớp)</t>
        </is>
      </c>
      <c r="D405" t="inlineStr">
        <is>
          <t>VẬT_LIỆU_CÁCH_NHIỆT</t>
        </is>
      </c>
      <c r="E405" t="inlineStr">
        <is>
          <t>MAT-FIREBOARD-10MM-BODY</t>
        </is>
      </c>
      <c r="F405" t="inlineStr">
        <is>
          <t>m2</t>
        </is>
      </c>
      <c r="G405" s="20" t="n">
        <v>2.617451153777017</v>
      </c>
      <c r="H405" s="16">
        <f>'00_TONG_HOP_BAO_GIA'!G85</f>
        <v/>
      </c>
      <c r="I405" s="21">
        <f>G405*H405</f>
        <v/>
      </c>
      <c r="J405" s="16">
        <f>IFERROR(INDEX('06_BANG_GIA_VAT_TU_AP_DUNG'!$E$1:$E$5000, MATCH(E405, '06_BANG_GIA_VAT_TU_AP_DUNG'!$B$1:$B$5000, 0)), 0)</f>
        <v/>
      </c>
      <c r="K405" s="16">
        <f>I405*J405</f>
        <v/>
      </c>
      <c r="L405" t="inlineStr">
        <is>
          <t>Bọc 2 lớp tấm 10mm quanh thân L=300mm</t>
        </is>
      </c>
    </row>
    <row r="406">
      <c r="A406" t="inlineStr">
        <is>
          <t>SW-DAMPER-084-FB20-BLADE</t>
        </is>
      </c>
      <c r="B406" t="inlineStr">
        <is>
          <t>SW-DAMPER-084</t>
        </is>
      </c>
      <c r="C406" t="inlineStr">
        <is>
          <t>Tấm chống cháy dày 20mm làm lõi cánh van FD/MFD</t>
        </is>
      </c>
      <c r="D406" t="inlineStr">
        <is>
          <t>VẬT_LIỆU_CÁCH_NHIỆT</t>
        </is>
      </c>
      <c r="E406" t="inlineStr">
        <is>
          <t>MAT-FIREBOARD-20MM-BLADE</t>
        </is>
      </c>
      <c r="F406" t="inlineStr">
        <is>
          <t>m2</t>
        </is>
      </c>
      <c r="G406" s="20" t="n">
        <v>0.7876589120162319</v>
      </c>
      <c r="H406" s="16">
        <f>'00_TONG_HOP_BAO_GIA'!G85</f>
        <v/>
      </c>
      <c r="I406" s="21">
        <f>G406*H406</f>
        <v/>
      </c>
      <c r="J406" s="16">
        <f>IFERROR(INDEX('06_BANG_GIA_VAT_TU_AP_DUNG'!$E$1:$E$5000, MATCH(E406, '06_BANG_GIA_VAT_TU_AP_DUNG'!$B$1:$B$5000, 0)), 0)</f>
        <v/>
      </c>
      <c r="K406" s="16">
        <f>I406*J406</f>
        <v/>
      </c>
      <c r="L406" t="inlineStr">
        <is>
          <t>Lõi cánh tấm 20mm (Cánh đơn 1300x500mm)</t>
        </is>
      </c>
    </row>
    <row r="407">
      <c r="A407" t="inlineStr">
        <is>
          <t>SW-DAMPER-084-FB10-BLADE</t>
        </is>
      </c>
      <c r="B407" t="inlineStr">
        <is>
          <t>SW-DAMPER-084</t>
        </is>
      </c>
      <c r="C407" t="inlineStr">
        <is>
          <t>Tấm chống cháy dày 10mm ốp 2 mặt cánh van FD/MFD</t>
        </is>
      </c>
      <c r="D407" t="inlineStr">
        <is>
          <t>VẬT_LIỆU_CÁCH_NHIỆT</t>
        </is>
      </c>
      <c r="E407" t="inlineStr">
        <is>
          <t>MAT-FIREBOARD-10MM-BLADE</t>
        </is>
      </c>
      <c r="F407" t="inlineStr">
        <is>
          <t>m2</t>
        </is>
      </c>
      <c r="G407" s="20" t="n">
        <v>1.575317824032464</v>
      </c>
      <c r="H407" s="16">
        <f>'00_TONG_HOP_BAO_GIA'!G85</f>
        <v/>
      </c>
      <c r="I407" s="21">
        <f>G407*H407</f>
        <v/>
      </c>
      <c r="J407" s="16">
        <f>IFERROR(INDEX('06_BANG_GIA_VAT_TU_AP_DUNG'!$E$1:$E$5000, MATCH(E407, '06_BANG_GIA_VAT_TU_AP_DUNG'!$B$1:$B$5000, 0)), 0)</f>
        <v/>
      </c>
      <c r="K407" s="16">
        <f>I407*J407</f>
        <v/>
      </c>
      <c r="L407" t="inlineStr">
        <is>
          <t>Ốp 2 mặt cánh tấm 10mm (Cánh đơn 1300x500mm)</t>
        </is>
      </c>
    </row>
    <row r="408">
      <c r="A408" t="inlineStr">
        <is>
          <t>SW-DAMPER-084-SPRING-BOX</t>
        </is>
      </c>
      <c r="B408" t="inlineStr">
        <is>
          <t>SW-DAMPER-084</t>
        </is>
      </c>
      <c r="C408" t="inlineStr">
        <is>
          <t>Hộp lò xo van chặn lửa FD/MFD</t>
        </is>
      </c>
      <c r="D408" t="inlineStr">
        <is>
          <t>PHỤ_KIỆN_VAN</t>
        </is>
      </c>
      <c r="E408" t="inlineStr">
        <is>
          <t>MAT-DAMPER-HOP-LO-XO</t>
        </is>
      </c>
      <c r="F408" t="inlineStr">
        <is>
          <t>Bộ</t>
        </is>
      </c>
      <c r="G408" s="20" t="n">
        <v>1</v>
      </c>
      <c r="H408" s="16">
        <f>'00_TONG_HOP_BAO_GIA'!G85</f>
        <v/>
      </c>
      <c r="I408" s="21">
        <f>G408*H408</f>
        <v/>
      </c>
      <c r="J408" s="16">
        <f>IFERROR(INDEX('06_BANG_GIA_VAT_TU_AP_DUNG'!$E$1:$E$5000, MATCH(E408, '06_BANG_GIA_VAT_TU_AP_DUNG'!$B$1:$B$5000, 0)), 0)</f>
        <v/>
      </c>
      <c r="K408" s="16">
        <f>I408*J408</f>
        <v/>
      </c>
      <c r="L408" t="inlineStr">
        <is>
          <t>Hộp lò xo cơ cấu đóng sập (1 bộ)</t>
        </is>
      </c>
    </row>
    <row r="409">
      <c r="A409" t="inlineStr">
        <is>
          <t>SW-DAMPER-084-SILICON-BOLT</t>
        </is>
      </c>
      <c r="B409" t="inlineStr">
        <is>
          <t>SW-DAMPER-084</t>
        </is>
      </c>
      <c r="C409" t="inlineStr">
        <is>
          <t>Silicon chống cháy + bu lông, ốc vít van FD/MFD</t>
        </is>
      </c>
      <c r="D409" t="inlineStr">
        <is>
          <t>PHỤ_KIỆN_VAN</t>
        </is>
      </c>
      <c r="E409" t="inlineStr">
        <is>
          <t>MAT-DAMPER-SILICON-BULONG-VIT</t>
        </is>
      </c>
      <c r="F409" t="inlineStr">
        <is>
          <t>Bộ</t>
        </is>
      </c>
      <c r="G409" s="20" t="n">
        <v>1</v>
      </c>
      <c r="H409" s="16">
        <f>'00_TONG_HOP_BAO_GIA'!G85</f>
        <v/>
      </c>
      <c r="I409" s="21">
        <f>G409*H409</f>
        <v/>
      </c>
      <c r="J409" s="16">
        <f>IFERROR(INDEX('06_BANG_GIA_VAT_TU_AP_DUNG'!$E$1:$E$5000, MATCH(E409, '06_BANG_GIA_VAT_TU_AP_DUNG'!$B$1:$B$5000, 0)), 0)</f>
        <v/>
      </c>
      <c r="K409" s="16">
        <f>I409*J409</f>
        <v/>
      </c>
      <c r="L409" t="inlineStr">
        <is>
          <t>Keo silicon chống cháy &amp; phụ kiện lắp ghép (1 bộ)</t>
        </is>
      </c>
    </row>
    <row r="410">
      <c r="A410" t="inlineStr">
        <is>
          <t>SW-DAMPER-085-BODY</t>
        </is>
      </c>
      <c r="B410" t="inlineStr">
        <is>
          <t>SW-DAMPER-085</t>
        </is>
      </c>
      <c r="C410" t="inlineStr">
        <is>
          <t>Thân vỏ van MFD bích C30/TDF (1.15mm)</t>
        </is>
      </c>
      <c r="D410" t="inlineStr">
        <is>
          <t>TÔN_CUỘN_MẠ_KẼM</t>
        </is>
      </c>
      <c r="E410" t="inlineStr">
        <is>
          <t>MAT-STEEL-PN-1.15</t>
        </is>
      </c>
      <c r="F410" t="inlineStr">
        <is>
          <t>kg</t>
        </is>
      </c>
      <c r="G410" s="20" t="n">
        <v>11.93310059136517</v>
      </c>
      <c r="H410" s="16">
        <f>'00_TONG_HOP_BAO_GIA'!G86</f>
        <v/>
      </c>
      <c r="I410" s="21">
        <f>G410*H410</f>
        <v/>
      </c>
      <c r="J410" s="16">
        <f>IFERROR(INDEX('06_BANG_GIA_VAT_TU_AP_DUNG'!$E$1:$E$5000, MATCH(E410, '06_BANG_GIA_VAT_TU_AP_DUNG'!$B$1:$B$5000, 0)), 0)</f>
        <v/>
      </c>
      <c r="K410" s="16">
        <f>I410*J410</f>
        <v/>
      </c>
      <c r="L410" t="inlineStr">
        <is>
          <t>Kích thước vỏ 1300x600x200mm</t>
        </is>
      </c>
    </row>
    <row r="411">
      <c r="A411" t="inlineStr">
        <is>
          <t>SW-DAMPER-085-BLADE</t>
        </is>
      </c>
      <c r="B411" t="inlineStr">
        <is>
          <t>SW-DAMPER-085</t>
        </is>
      </c>
      <c r="C411" t="inlineStr">
        <is>
          <t>Lá cánh / Tôn tấm bọc van (1 cánh)</t>
        </is>
      </c>
      <c r="D411" t="inlineStr">
        <is>
          <t>TÔN_CUỘN_MẠ_KẼM</t>
        </is>
      </c>
      <c r="E411" t="inlineStr">
        <is>
          <t>MAT-STEEL-PN-1.15</t>
        </is>
      </c>
      <c r="F411" t="inlineStr">
        <is>
          <t>kg</t>
        </is>
      </c>
      <c r="G411" s="20" t="n">
        <v>17.09990164106561</v>
      </c>
      <c r="H411" s="16">
        <f>'00_TONG_HOP_BAO_GIA'!G86</f>
        <v/>
      </c>
      <c r="I411" s="21">
        <f>G411*H411</f>
        <v/>
      </c>
      <c r="J411" s="16">
        <f>IFERROR(INDEX('06_BANG_GIA_VAT_TU_AP_DUNG'!$E$1:$E$5000, MATCH(E411, '06_BANG_GIA_VAT_TU_AP_DUNG'!$B$1:$B$5000, 0)), 0)</f>
        <v/>
      </c>
      <c r="K411" s="16">
        <f>I411*J411</f>
        <v/>
      </c>
      <c r="L411" t="inlineStr">
        <is>
          <t>Tôn bọc cánh &amp; thân (1 cánh/modul)</t>
        </is>
      </c>
    </row>
    <row r="412">
      <c r="A412" t="inlineStr">
        <is>
          <t>SW-DAMPER-085-AXLE</t>
        </is>
      </c>
      <c r="B412" t="inlineStr">
        <is>
          <t>SW-DAMPER-085</t>
        </is>
      </c>
      <c r="C412" t="inlineStr">
        <is>
          <t>Trục Sus 201 D10</t>
        </is>
      </c>
      <c r="D412" t="inlineStr">
        <is>
          <t>PHỤ_KIỆN_VAN</t>
        </is>
      </c>
      <c r="E412" t="inlineStr">
        <is>
          <t>MAT-DAMPER-TRUC-SUS-201-D10</t>
        </is>
      </c>
      <c r="F412" t="inlineStr">
        <is>
          <t>m</t>
        </is>
      </c>
      <c r="G412" s="20" t="n">
        <v>1.651354922057903</v>
      </c>
      <c r="H412" s="16">
        <f>'00_TONG_HOP_BAO_GIA'!G86</f>
        <v/>
      </c>
      <c r="I412" s="21">
        <f>G412*H412</f>
        <v/>
      </c>
      <c r="J412" s="16">
        <f>IFERROR(INDEX('06_BANG_GIA_VAT_TU_AP_DUNG'!$E$1:$E$5000, MATCH(E412, '06_BANG_GIA_VAT_TU_AP_DUNG'!$B$1:$B$5000, 0)), 0)</f>
        <v/>
      </c>
      <c r="K412" s="16">
        <f>I412*J412</f>
        <v/>
      </c>
      <c r="L412" t="inlineStr">
        <is>
          <t>1 trục dài 1360mm</t>
        </is>
      </c>
    </row>
    <row r="413">
      <c r="A413" t="inlineStr">
        <is>
          <t>SW-DAMPER-085-BEARING</t>
        </is>
      </c>
      <c r="B413" t="inlineStr">
        <is>
          <t>SW-DAMPER-085</t>
        </is>
      </c>
      <c r="C413" t="inlineStr">
        <is>
          <t>Bạc đồng D10</t>
        </is>
      </c>
      <c r="D413" t="inlineStr">
        <is>
          <t>PHỤ_KIỆN_VAN</t>
        </is>
      </c>
      <c r="E413" t="inlineStr">
        <is>
          <t>MAT-DAMPER-BAC-DONG-D10</t>
        </is>
      </c>
      <c r="F413" t="inlineStr">
        <is>
          <t>Đôi</t>
        </is>
      </c>
      <c r="G413" s="20" t="n">
        <v>1</v>
      </c>
      <c r="H413" s="16">
        <f>'00_TONG_HOP_BAO_GIA'!G86</f>
        <v/>
      </c>
      <c r="I413" s="21">
        <f>G413*H413</f>
        <v/>
      </c>
      <c r="J413" s="16">
        <f>IFERROR(INDEX('06_BANG_GIA_VAT_TU_AP_DUNG'!$E$1:$E$5000, MATCH(E413, '06_BANG_GIA_VAT_TU_AP_DUNG'!$B$1:$B$5000, 0)), 0)</f>
        <v/>
      </c>
      <c r="K413" s="16">
        <f>I413*J413</f>
        <v/>
      </c>
      <c r="L413" t="inlineStr">
        <is>
          <t>1 đôi bạc đỡ 2 bên thân</t>
        </is>
      </c>
    </row>
    <row r="414">
      <c r="A414" t="inlineStr">
        <is>
          <t>SW-DAMPER-085-ACTUATOR</t>
        </is>
      </c>
      <c r="B414" t="inlineStr">
        <is>
          <t>SW-DAMPER-085</t>
        </is>
      </c>
      <c r="C414" t="inlineStr">
        <is>
          <t>Động cơ chặn lửa ON/OFF KLB (Swin V6006FS500S EI90) 5Nm</t>
        </is>
      </c>
      <c r="D414" t="inlineStr">
        <is>
          <t>ĐỘNG_CƠ_VÀ_CẢM_BIẾN</t>
        </is>
      </c>
      <c r="E414" t="inlineStr">
        <is>
          <t>MAT-ACTUATOR-KLB-V6006FS500S</t>
        </is>
      </c>
      <c r="F414" t="inlineStr">
        <is>
          <t>Cái</t>
        </is>
      </c>
      <c r="G414" s="20" t="n">
        <v>1</v>
      </c>
      <c r="H414" s="16">
        <f>'00_TONG_HOP_BAO_GIA'!G86</f>
        <v/>
      </c>
      <c r="I414" s="21">
        <f>G414*H414</f>
        <v/>
      </c>
      <c r="J414" s="16">
        <f>IFERROR(INDEX('06_BANG_GIA_VAT_TU_AP_DUNG'!$E$1:$E$5000, MATCH(E414, '06_BANG_GIA_VAT_TU_AP_DUNG'!$B$1:$B$5000, 0)), 0)</f>
        <v/>
      </c>
      <c r="K414" s="16">
        <f>I414*J414</f>
        <v/>
      </c>
      <c r="L414" t="inlineStr">
        <is>
          <t>Động cơ lò xo phản hồi MFD (1 bộ)</t>
        </is>
      </c>
    </row>
    <row r="415">
      <c r="A415" t="inlineStr">
        <is>
          <t>SW-DAMPER-085-FB10-BODY</t>
        </is>
      </c>
      <c r="B415" t="inlineStr">
        <is>
          <t>SW-DAMPER-085</t>
        </is>
      </c>
      <c r="C415" t="inlineStr">
        <is>
          <t>Tấm chống cháy dày 10mm bọc thân van FD/MFD (2 lớp)</t>
        </is>
      </c>
      <c r="D415" t="inlineStr">
        <is>
          <t>VẬT_LIỆU_CÁCH_NHIỆT</t>
        </is>
      </c>
      <c r="E415" t="inlineStr">
        <is>
          <t>MAT-FIREBOARD-10MM-BODY</t>
        </is>
      </c>
      <c r="F415" t="inlineStr">
        <is>
          <t>m2</t>
        </is>
      </c>
      <c r="G415" s="20" t="n">
        <v>2.76844795756766</v>
      </c>
      <c r="H415" s="16">
        <f>'00_TONG_HOP_BAO_GIA'!G86</f>
        <v/>
      </c>
      <c r="I415" s="21">
        <f>G415*H415</f>
        <v/>
      </c>
      <c r="J415" s="16">
        <f>IFERROR(INDEX('06_BANG_GIA_VAT_TU_AP_DUNG'!$E$1:$E$5000, MATCH(E415, '06_BANG_GIA_VAT_TU_AP_DUNG'!$B$1:$B$5000, 0)), 0)</f>
        <v/>
      </c>
      <c r="K415" s="16">
        <f>I415*J415</f>
        <v/>
      </c>
      <c r="L415" t="inlineStr">
        <is>
          <t>Bọc 2 lớp tấm 10mm quanh thân L=300mm</t>
        </is>
      </c>
    </row>
    <row r="416">
      <c r="A416" t="inlineStr">
        <is>
          <t>SW-DAMPER-085-FB20-BLADE</t>
        </is>
      </c>
      <c r="B416" t="inlineStr">
        <is>
          <t>SW-DAMPER-085</t>
        </is>
      </c>
      <c r="C416" t="inlineStr">
        <is>
          <t>Tấm chống cháy dày 20mm làm lõi cánh van FD/MFD</t>
        </is>
      </c>
      <c r="D416" t="inlineStr">
        <is>
          <t>VẬT_LIỆU_CÁCH_NHIỆT</t>
        </is>
      </c>
      <c r="E416" t="inlineStr">
        <is>
          <t>MAT-FIREBOARD-20MM-BLADE</t>
        </is>
      </c>
      <c r="F416" t="inlineStr">
        <is>
          <t>m2</t>
        </is>
      </c>
      <c r="G416" s="20" t="n">
        <v>0.9471006170626206</v>
      </c>
      <c r="H416" s="16">
        <f>'00_TONG_HOP_BAO_GIA'!G86</f>
        <v/>
      </c>
      <c r="I416" s="21">
        <f>G416*H416</f>
        <v/>
      </c>
      <c r="J416" s="16">
        <f>IFERROR(INDEX('06_BANG_GIA_VAT_TU_AP_DUNG'!$E$1:$E$5000, MATCH(E416, '06_BANG_GIA_VAT_TU_AP_DUNG'!$B$1:$B$5000, 0)), 0)</f>
        <v/>
      </c>
      <c r="K416" s="16">
        <f>I416*J416</f>
        <v/>
      </c>
      <c r="L416" t="inlineStr">
        <is>
          <t>Lõi cánh tấm 20mm (Cánh đơn 1300x600mm)</t>
        </is>
      </c>
    </row>
    <row r="417">
      <c r="A417" t="inlineStr">
        <is>
          <t>SW-DAMPER-085-FB10-BLADE</t>
        </is>
      </c>
      <c r="B417" t="inlineStr">
        <is>
          <t>SW-DAMPER-085</t>
        </is>
      </c>
      <c r="C417" t="inlineStr">
        <is>
          <t>Tấm chống cháy dày 10mm ốp 2 mặt cánh van FD/MFD</t>
        </is>
      </c>
      <c r="D417" t="inlineStr">
        <is>
          <t>VẬT_LIỆU_CÁCH_NHIỆT</t>
        </is>
      </c>
      <c r="E417" t="inlineStr">
        <is>
          <t>MAT-FIREBOARD-10MM-BLADE</t>
        </is>
      </c>
      <c r="F417" t="inlineStr">
        <is>
          <t>m2</t>
        </is>
      </c>
      <c r="G417" s="20" t="n">
        <v>1.894201234125241</v>
      </c>
      <c r="H417" s="16">
        <f>'00_TONG_HOP_BAO_GIA'!G86</f>
        <v/>
      </c>
      <c r="I417" s="21">
        <f>G417*H417</f>
        <v/>
      </c>
      <c r="J417" s="16">
        <f>IFERROR(INDEX('06_BANG_GIA_VAT_TU_AP_DUNG'!$E$1:$E$5000, MATCH(E417, '06_BANG_GIA_VAT_TU_AP_DUNG'!$B$1:$B$5000, 0)), 0)</f>
        <v/>
      </c>
      <c r="K417" s="16">
        <f>I417*J417</f>
        <v/>
      </c>
      <c r="L417" t="inlineStr">
        <is>
          <t>Ốp 2 mặt cánh tấm 10mm (Cánh đơn 1300x600mm)</t>
        </is>
      </c>
    </row>
    <row r="418">
      <c r="A418" t="inlineStr">
        <is>
          <t>SW-DAMPER-085-SPRING-BOX</t>
        </is>
      </c>
      <c r="B418" t="inlineStr">
        <is>
          <t>SW-DAMPER-085</t>
        </is>
      </c>
      <c r="C418" t="inlineStr">
        <is>
          <t>Hộp lò xo van chặn lửa FD/MFD</t>
        </is>
      </c>
      <c r="D418" t="inlineStr">
        <is>
          <t>PHỤ_KIỆN_VAN</t>
        </is>
      </c>
      <c r="E418" t="inlineStr">
        <is>
          <t>MAT-DAMPER-HOP-LO-XO</t>
        </is>
      </c>
      <c r="F418" t="inlineStr">
        <is>
          <t>Bộ</t>
        </is>
      </c>
      <c r="G418" s="20" t="n">
        <v>1</v>
      </c>
      <c r="H418" s="16">
        <f>'00_TONG_HOP_BAO_GIA'!G86</f>
        <v/>
      </c>
      <c r="I418" s="21">
        <f>G418*H418</f>
        <v/>
      </c>
      <c r="J418" s="16">
        <f>IFERROR(INDEX('06_BANG_GIA_VAT_TU_AP_DUNG'!$E$1:$E$5000, MATCH(E418, '06_BANG_GIA_VAT_TU_AP_DUNG'!$B$1:$B$5000, 0)), 0)</f>
        <v/>
      </c>
      <c r="K418" s="16">
        <f>I418*J418</f>
        <v/>
      </c>
      <c r="L418" t="inlineStr">
        <is>
          <t>Hộp lò xo cơ cấu đóng sập (1 bộ)</t>
        </is>
      </c>
    </row>
    <row r="419">
      <c r="A419" t="inlineStr">
        <is>
          <t>SW-DAMPER-085-SILICON-BOLT</t>
        </is>
      </c>
      <c r="B419" t="inlineStr">
        <is>
          <t>SW-DAMPER-085</t>
        </is>
      </c>
      <c r="C419" t="inlineStr">
        <is>
          <t>Silicon chống cháy + bu lông, ốc vít van FD/MFD</t>
        </is>
      </c>
      <c r="D419" t="inlineStr">
        <is>
          <t>PHỤ_KIỆN_VAN</t>
        </is>
      </c>
      <c r="E419" t="inlineStr">
        <is>
          <t>MAT-DAMPER-SILICON-BULONG-VIT</t>
        </is>
      </c>
      <c r="F419" t="inlineStr">
        <is>
          <t>Bộ</t>
        </is>
      </c>
      <c r="G419" s="20" t="n">
        <v>1</v>
      </c>
      <c r="H419" s="16">
        <f>'00_TONG_HOP_BAO_GIA'!G86</f>
        <v/>
      </c>
      <c r="I419" s="21">
        <f>G419*H419</f>
        <v/>
      </c>
      <c r="J419" s="16">
        <f>IFERROR(INDEX('06_BANG_GIA_VAT_TU_AP_DUNG'!$E$1:$E$5000, MATCH(E419, '06_BANG_GIA_VAT_TU_AP_DUNG'!$B$1:$B$5000, 0)), 0)</f>
        <v/>
      </c>
      <c r="K419" s="16">
        <f>I419*J419</f>
        <v/>
      </c>
      <c r="L419" t="inlineStr">
        <is>
          <t>Keo silicon chống cháy &amp; phụ kiện lắp ghép (1 bộ)</t>
        </is>
      </c>
    </row>
    <row r="420">
      <c r="A420" t="inlineStr">
        <is>
          <t>SW-DAMPER-086-BODY</t>
        </is>
      </c>
      <c r="B420" t="inlineStr">
        <is>
          <t>SW-DAMPER-086</t>
        </is>
      </c>
      <c r="C420" t="inlineStr">
        <is>
          <t>Thân vỏ van MFD bích C30/TDF (1.15mm)</t>
        </is>
      </c>
      <c r="D420" t="inlineStr">
        <is>
          <t>TÔN_CUỘN_MẠ_KẼM</t>
        </is>
      </c>
      <c r="E420" t="inlineStr">
        <is>
          <t>MAT-STEEL-PN-1.15</t>
        </is>
      </c>
      <c r="F420" t="inlineStr">
        <is>
          <t>kg</t>
        </is>
      </c>
      <c r="G420" s="20" t="n">
        <v>12.25426514291597</v>
      </c>
      <c r="H420" s="16">
        <f>'00_TONG_HOP_BAO_GIA'!G87</f>
        <v/>
      </c>
      <c r="I420" s="21">
        <f>G420*H420</f>
        <v/>
      </c>
      <c r="J420" s="16">
        <f>IFERROR(INDEX('06_BANG_GIA_VAT_TU_AP_DUNG'!$E$1:$E$5000, MATCH(E420, '06_BANG_GIA_VAT_TU_AP_DUNG'!$B$1:$B$5000, 0)), 0)</f>
        <v/>
      </c>
      <c r="K420" s="16">
        <f>I420*J420</f>
        <v/>
      </c>
      <c r="L420" t="inlineStr">
        <is>
          <t>Kích thước vỏ 1300x650x200mm</t>
        </is>
      </c>
    </row>
    <row r="421">
      <c r="A421" t="inlineStr">
        <is>
          <t>SW-DAMPER-086-BLADE</t>
        </is>
      </c>
      <c r="B421" t="inlineStr">
        <is>
          <t>SW-DAMPER-086</t>
        </is>
      </c>
      <c r="C421" t="inlineStr">
        <is>
          <t>Lá cánh / Tôn tấm bọc van (1 cánh)</t>
        </is>
      </c>
      <c r="D421" t="inlineStr">
        <is>
          <t>TÔN_CUỘN_MẠ_KẼM</t>
        </is>
      </c>
      <c r="E421" t="inlineStr">
        <is>
          <t>MAT-STEEL-PN-1.15</t>
        </is>
      </c>
      <c r="F421" t="inlineStr">
        <is>
          <t>kg</t>
        </is>
      </c>
      <c r="G421" s="20" t="n">
        <v>18.54063876268184</v>
      </c>
      <c r="H421" s="16">
        <f>'00_TONG_HOP_BAO_GIA'!G87</f>
        <v/>
      </c>
      <c r="I421" s="21">
        <f>G421*H421</f>
        <v/>
      </c>
      <c r="J421" s="16">
        <f>IFERROR(INDEX('06_BANG_GIA_VAT_TU_AP_DUNG'!$E$1:$E$5000, MATCH(E421, '06_BANG_GIA_VAT_TU_AP_DUNG'!$B$1:$B$5000, 0)), 0)</f>
        <v/>
      </c>
      <c r="K421" s="16">
        <f>I421*J421</f>
        <v/>
      </c>
      <c r="L421" t="inlineStr">
        <is>
          <t>Tôn bọc cánh &amp; thân (1 cánh/modul)</t>
        </is>
      </c>
    </row>
    <row r="422">
      <c r="A422" t="inlineStr">
        <is>
          <t>SW-DAMPER-086-AXLE</t>
        </is>
      </c>
      <c r="B422" t="inlineStr">
        <is>
          <t>SW-DAMPER-086</t>
        </is>
      </c>
      <c r="C422" t="inlineStr">
        <is>
          <t>Trục Sus 201 D10</t>
        </is>
      </c>
      <c r="D422" t="inlineStr">
        <is>
          <t>PHỤ_KIỆN_VAN</t>
        </is>
      </c>
      <c r="E422" t="inlineStr">
        <is>
          <t>MAT-DAMPER-TRUC-SUS-201-D10</t>
        </is>
      </c>
      <c r="F422" t="inlineStr">
        <is>
          <t>m</t>
        </is>
      </c>
      <c r="G422" s="20" t="n">
        <v>1.652758498751993</v>
      </c>
      <c r="H422" s="16">
        <f>'00_TONG_HOP_BAO_GIA'!G87</f>
        <v/>
      </c>
      <c r="I422" s="21">
        <f>G422*H422</f>
        <v/>
      </c>
      <c r="J422" s="16">
        <f>IFERROR(INDEX('06_BANG_GIA_VAT_TU_AP_DUNG'!$E$1:$E$5000, MATCH(E422, '06_BANG_GIA_VAT_TU_AP_DUNG'!$B$1:$B$5000, 0)), 0)</f>
        <v/>
      </c>
      <c r="K422" s="16">
        <f>I422*J422</f>
        <v/>
      </c>
      <c r="L422" t="inlineStr">
        <is>
          <t>1 trục dài 1360mm</t>
        </is>
      </c>
    </row>
    <row r="423">
      <c r="A423" t="inlineStr">
        <is>
          <t>SW-DAMPER-086-BEARING</t>
        </is>
      </c>
      <c r="B423" t="inlineStr">
        <is>
          <t>SW-DAMPER-086</t>
        </is>
      </c>
      <c r="C423" t="inlineStr">
        <is>
          <t>Bạc đồng D10</t>
        </is>
      </c>
      <c r="D423" t="inlineStr">
        <is>
          <t>PHỤ_KIỆN_VAN</t>
        </is>
      </c>
      <c r="E423" t="inlineStr">
        <is>
          <t>MAT-DAMPER-BAC-DONG-D10</t>
        </is>
      </c>
      <c r="F423" t="inlineStr">
        <is>
          <t>Đôi</t>
        </is>
      </c>
      <c r="G423" s="20" t="n">
        <v>1</v>
      </c>
      <c r="H423" s="16">
        <f>'00_TONG_HOP_BAO_GIA'!G87</f>
        <v/>
      </c>
      <c r="I423" s="21">
        <f>G423*H423</f>
        <v/>
      </c>
      <c r="J423" s="16">
        <f>IFERROR(INDEX('06_BANG_GIA_VAT_TU_AP_DUNG'!$E$1:$E$5000, MATCH(E423, '06_BANG_GIA_VAT_TU_AP_DUNG'!$B$1:$B$5000, 0)), 0)</f>
        <v/>
      </c>
      <c r="K423" s="16">
        <f>I423*J423</f>
        <v/>
      </c>
      <c r="L423" t="inlineStr">
        <is>
          <t>1 đôi bạc đỡ 2 bên thân</t>
        </is>
      </c>
    </row>
    <row r="424">
      <c r="A424" t="inlineStr">
        <is>
          <t>SW-DAMPER-086-ACTUATOR</t>
        </is>
      </c>
      <c r="B424" t="inlineStr">
        <is>
          <t>SW-DAMPER-086</t>
        </is>
      </c>
      <c r="C424" t="inlineStr">
        <is>
          <t>Động cơ chặn lửa ON/OFF KLB (Swin V6006FS500S EI90) 5Nm</t>
        </is>
      </c>
      <c r="D424" t="inlineStr">
        <is>
          <t>ĐỘNG_CƠ_VÀ_CẢM_BIẾN</t>
        </is>
      </c>
      <c r="E424" t="inlineStr">
        <is>
          <t>MAT-ACTUATOR-KLB-V6006FS500S</t>
        </is>
      </c>
      <c r="F424" t="inlineStr">
        <is>
          <t>Cái</t>
        </is>
      </c>
      <c r="G424" s="20" t="n">
        <v>1</v>
      </c>
      <c r="H424" s="16">
        <f>'00_TONG_HOP_BAO_GIA'!G87</f>
        <v/>
      </c>
      <c r="I424" s="21">
        <f>G424*H424</f>
        <v/>
      </c>
      <c r="J424" s="16">
        <f>IFERROR(INDEX('06_BANG_GIA_VAT_TU_AP_DUNG'!$E$1:$E$5000, MATCH(E424, '06_BANG_GIA_VAT_TU_AP_DUNG'!$B$1:$B$5000, 0)), 0)</f>
        <v/>
      </c>
      <c r="K424" s="16">
        <f>I424*J424</f>
        <v/>
      </c>
      <c r="L424" t="inlineStr">
        <is>
          <t>Động cơ lò xo phản hồi MFD (1 bộ)</t>
        </is>
      </c>
    </row>
    <row r="425">
      <c r="A425" t="inlineStr">
        <is>
          <t>SW-DAMPER-086-FB10-BODY</t>
        </is>
      </c>
      <c r="B425" t="inlineStr">
        <is>
          <t>SW-DAMPER-086</t>
        </is>
      </c>
      <c r="C425" t="inlineStr">
        <is>
          <t>Tấm chống cháy dày 10mm bọc thân van FD/MFD (2 lớp)</t>
        </is>
      </c>
      <c r="D425" t="inlineStr">
        <is>
          <t>VẬT_LIỆU_CÁCH_NHIỆT</t>
        </is>
      </c>
      <c r="E425" t="inlineStr">
        <is>
          <t>MAT-FIREBOARD-10MM-BODY</t>
        </is>
      </c>
      <c r="F425" t="inlineStr">
        <is>
          <t>m2</t>
        </is>
      </c>
      <c r="G425" s="20" t="n">
        <v>2.843716828735046</v>
      </c>
      <c r="H425" s="16">
        <f>'00_TONG_HOP_BAO_GIA'!G87</f>
        <v/>
      </c>
      <c r="I425" s="21">
        <f>G425*H425</f>
        <v/>
      </c>
      <c r="J425" s="16">
        <f>IFERROR(INDEX('06_BANG_GIA_VAT_TU_AP_DUNG'!$E$1:$E$5000, MATCH(E425, '06_BANG_GIA_VAT_TU_AP_DUNG'!$B$1:$B$5000, 0)), 0)</f>
        <v/>
      </c>
      <c r="K425" s="16">
        <f>I425*J425</f>
        <v/>
      </c>
      <c r="L425" t="inlineStr">
        <is>
          <t>Bọc 2 lớp tấm 10mm quanh thân L=300mm</t>
        </is>
      </c>
    </row>
    <row r="426">
      <c r="A426" t="inlineStr">
        <is>
          <t>SW-DAMPER-086-FB20-BLADE</t>
        </is>
      </c>
      <c r="B426" t="inlineStr">
        <is>
          <t>SW-DAMPER-086</t>
        </is>
      </c>
      <c r="C426" t="inlineStr">
        <is>
          <t>Tấm chống cháy dày 20mm làm lõi cánh van FD/MFD</t>
        </is>
      </c>
      <c r="D426" t="inlineStr">
        <is>
          <t>VẬT_LIỆU_CÁCH_NHIỆT</t>
        </is>
      </c>
      <c r="E426" t="inlineStr">
        <is>
          <t>MAT-FIREBOARD-20MM-BLADE</t>
        </is>
      </c>
      <c r="F426" t="inlineStr">
        <is>
          <t>m2</t>
        </is>
      </c>
      <c r="G426" s="20" t="n">
        <v>1.026897743709878</v>
      </c>
      <c r="H426" s="16">
        <f>'00_TONG_HOP_BAO_GIA'!G87</f>
        <v/>
      </c>
      <c r="I426" s="21">
        <f>G426*H426</f>
        <v/>
      </c>
      <c r="J426" s="16">
        <f>IFERROR(INDEX('06_BANG_GIA_VAT_TU_AP_DUNG'!$E$1:$E$5000, MATCH(E426, '06_BANG_GIA_VAT_TU_AP_DUNG'!$B$1:$B$5000, 0)), 0)</f>
        <v/>
      </c>
      <c r="K426" s="16">
        <f>I426*J426</f>
        <v/>
      </c>
      <c r="L426" t="inlineStr">
        <is>
          <t>Lõi cánh tấm 20mm (Cánh đơn 1300x650mm)</t>
        </is>
      </c>
    </row>
    <row r="427">
      <c r="A427" t="inlineStr">
        <is>
          <t>SW-DAMPER-086-FB10-BLADE</t>
        </is>
      </c>
      <c r="B427" t="inlineStr">
        <is>
          <t>SW-DAMPER-086</t>
        </is>
      </c>
      <c r="C427" t="inlineStr">
        <is>
          <t>Tấm chống cháy dày 10mm ốp 2 mặt cánh van FD/MFD</t>
        </is>
      </c>
      <c r="D427" t="inlineStr">
        <is>
          <t>VẬT_LIỆU_CÁCH_NHIỆT</t>
        </is>
      </c>
      <c r="E427" t="inlineStr">
        <is>
          <t>MAT-FIREBOARD-10MM-BLADE</t>
        </is>
      </c>
      <c r="F427" t="inlineStr">
        <is>
          <t>m2</t>
        </is>
      </c>
      <c r="G427" s="20" t="n">
        <v>2.053795487419756</v>
      </c>
      <c r="H427" s="16">
        <f>'00_TONG_HOP_BAO_GIA'!G87</f>
        <v/>
      </c>
      <c r="I427" s="21">
        <f>G427*H427</f>
        <v/>
      </c>
      <c r="J427" s="16">
        <f>IFERROR(INDEX('06_BANG_GIA_VAT_TU_AP_DUNG'!$E$1:$E$5000, MATCH(E427, '06_BANG_GIA_VAT_TU_AP_DUNG'!$B$1:$B$5000, 0)), 0)</f>
        <v/>
      </c>
      <c r="K427" s="16">
        <f>I427*J427</f>
        <v/>
      </c>
      <c r="L427" t="inlineStr">
        <is>
          <t>Ốp 2 mặt cánh tấm 10mm (Cánh đơn 1300x650mm)</t>
        </is>
      </c>
    </row>
    <row r="428">
      <c r="A428" t="inlineStr">
        <is>
          <t>SW-DAMPER-086-SPRING-BOX</t>
        </is>
      </c>
      <c r="B428" t="inlineStr">
        <is>
          <t>SW-DAMPER-086</t>
        </is>
      </c>
      <c r="C428" t="inlineStr">
        <is>
          <t>Hộp lò xo van chặn lửa FD/MFD</t>
        </is>
      </c>
      <c r="D428" t="inlineStr">
        <is>
          <t>PHỤ_KIỆN_VAN</t>
        </is>
      </c>
      <c r="E428" t="inlineStr">
        <is>
          <t>MAT-DAMPER-HOP-LO-XO</t>
        </is>
      </c>
      <c r="F428" t="inlineStr">
        <is>
          <t>Bộ</t>
        </is>
      </c>
      <c r="G428" s="20" t="n">
        <v>1</v>
      </c>
      <c r="H428" s="16">
        <f>'00_TONG_HOP_BAO_GIA'!G87</f>
        <v/>
      </c>
      <c r="I428" s="21">
        <f>G428*H428</f>
        <v/>
      </c>
      <c r="J428" s="16">
        <f>IFERROR(INDEX('06_BANG_GIA_VAT_TU_AP_DUNG'!$E$1:$E$5000, MATCH(E428, '06_BANG_GIA_VAT_TU_AP_DUNG'!$B$1:$B$5000, 0)), 0)</f>
        <v/>
      </c>
      <c r="K428" s="16">
        <f>I428*J428</f>
        <v/>
      </c>
      <c r="L428" t="inlineStr">
        <is>
          <t>Hộp lò xo cơ cấu đóng sập (1 bộ)</t>
        </is>
      </c>
    </row>
    <row r="429">
      <c r="A429" t="inlineStr">
        <is>
          <t>SW-DAMPER-086-SILICON-BOLT</t>
        </is>
      </c>
      <c r="B429" t="inlineStr">
        <is>
          <t>SW-DAMPER-086</t>
        </is>
      </c>
      <c r="C429" t="inlineStr">
        <is>
          <t>Silicon chống cháy + bu lông, ốc vít van FD/MFD</t>
        </is>
      </c>
      <c r="D429" t="inlineStr">
        <is>
          <t>PHỤ_KIỆN_VAN</t>
        </is>
      </c>
      <c r="E429" t="inlineStr">
        <is>
          <t>MAT-DAMPER-SILICON-BULONG-VIT</t>
        </is>
      </c>
      <c r="F429" t="inlineStr">
        <is>
          <t>Bộ</t>
        </is>
      </c>
      <c r="G429" s="20" t="n">
        <v>1</v>
      </c>
      <c r="H429" s="16">
        <f>'00_TONG_HOP_BAO_GIA'!G87</f>
        <v/>
      </c>
      <c r="I429" s="21">
        <f>G429*H429</f>
        <v/>
      </c>
      <c r="J429" s="16">
        <f>IFERROR(INDEX('06_BANG_GIA_VAT_TU_AP_DUNG'!$E$1:$E$5000, MATCH(E429, '06_BANG_GIA_VAT_TU_AP_DUNG'!$B$1:$B$5000, 0)), 0)</f>
        <v/>
      </c>
      <c r="K429" s="16">
        <f>I429*J429</f>
        <v/>
      </c>
      <c r="L429" t="inlineStr">
        <is>
          <t>Keo silicon chống cháy &amp; phụ kiện lắp ghép (1 bộ)</t>
        </is>
      </c>
    </row>
    <row r="430">
      <c r="A430" t="inlineStr">
        <is>
          <t>SW-DAMPER-087-BODY</t>
        </is>
      </c>
      <c r="B430" t="inlineStr">
        <is>
          <t>SW-DAMPER-087</t>
        </is>
      </c>
      <c r="C430" t="inlineStr">
        <is>
          <t>Thân vỏ van MFD bích C30/TDF (1.15mm)</t>
        </is>
      </c>
      <c r="D430" t="inlineStr">
        <is>
          <t>TÔN_CUỘN_MẠ_KẼM</t>
        </is>
      </c>
      <c r="E430" t="inlineStr">
        <is>
          <t>MAT-STEEL-PN-1.15</t>
        </is>
      </c>
      <c r="F430" t="inlineStr">
        <is>
          <t>kg</t>
        </is>
      </c>
      <c r="G430" s="20" t="n">
        <v>11.91386686130521</v>
      </c>
      <c r="H430" s="16">
        <f>'00_TONG_HOP_BAO_GIA'!G88</f>
        <v/>
      </c>
      <c r="I430" s="21">
        <f>G430*H430</f>
        <v/>
      </c>
      <c r="J430" s="16">
        <f>IFERROR(INDEX('06_BANG_GIA_VAT_TU_AP_DUNG'!$E$1:$E$5000, MATCH(E430, '06_BANG_GIA_VAT_TU_AP_DUNG'!$B$1:$B$5000, 0)), 0)</f>
        <v/>
      </c>
      <c r="K430" s="16">
        <f>I430*J430</f>
        <v/>
      </c>
      <c r="L430" t="inlineStr">
        <is>
          <t>Kích thước vỏ 1350x550x200mm</t>
        </is>
      </c>
    </row>
    <row r="431">
      <c r="A431" t="inlineStr">
        <is>
          <t>SW-DAMPER-087-BLADE</t>
        </is>
      </c>
      <c r="B431" t="inlineStr">
        <is>
          <t>SW-DAMPER-087</t>
        </is>
      </c>
      <c r="C431" t="inlineStr">
        <is>
          <t>Lá cánh / Tôn tấm bọc van (1 cánh)</t>
        </is>
      </c>
      <c r="D431" t="inlineStr">
        <is>
          <t>TÔN_CUỘN_MẠ_KẼM</t>
        </is>
      </c>
      <c r="E431" t="inlineStr">
        <is>
          <t>MAT-STEEL-PN-1.15</t>
        </is>
      </c>
      <c r="F431" t="inlineStr">
        <is>
          <t>kg</t>
        </is>
      </c>
      <c r="G431" s="20" t="n">
        <v>16.2515544983082</v>
      </c>
      <c r="H431" s="16">
        <f>'00_TONG_HOP_BAO_GIA'!G88</f>
        <v/>
      </c>
      <c r="I431" s="21">
        <f>G431*H431</f>
        <v/>
      </c>
      <c r="J431" s="16">
        <f>IFERROR(INDEX('06_BANG_GIA_VAT_TU_AP_DUNG'!$E$1:$E$5000, MATCH(E431, '06_BANG_GIA_VAT_TU_AP_DUNG'!$B$1:$B$5000, 0)), 0)</f>
        <v/>
      </c>
      <c r="K431" s="16">
        <f>I431*J431</f>
        <v/>
      </c>
      <c r="L431" t="inlineStr">
        <is>
          <t>Tôn bọc cánh &amp; thân (1 cánh/modul)</t>
        </is>
      </c>
    </row>
    <row r="432">
      <c r="A432" t="inlineStr">
        <is>
          <t>SW-DAMPER-087-AXLE</t>
        </is>
      </c>
      <c r="B432" t="inlineStr">
        <is>
          <t>SW-DAMPER-087</t>
        </is>
      </c>
      <c r="C432" t="inlineStr">
        <is>
          <t>Trục Sus 201 D10</t>
        </is>
      </c>
      <c r="D432" t="inlineStr">
        <is>
          <t>PHỤ_KIỆN_VAN</t>
        </is>
      </c>
      <c r="E432" t="inlineStr">
        <is>
          <t>MAT-DAMPER-TRUC-SUS-201-D10</t>
        </is>
      </c>
      <c r="F432" t="inlineStr">
        <is>
          <t>m</t>
        </is>
      </c>
      <c r="G432" s="20" t="n">
        <v>1.709306997240162</v>
      </c>
      <c r="H432" s="16">
        <f>'00_TONG_HOP_BAO_GIA'!G88</f>
        <v/>
      </c>
      <c r="I432" s="21">
        <f>G432*H432</f>
        <v/>
      </c>
      <c r="J432" s="16">
        <f>IFERROR(INDEX('06_BANG_GIA_VAT_TU_AP_DUNG'!$E$1:$E$5000, MATCH(E432, '06_BANG_GIA_VAT_TU_AP_DUNG'!$B$1:$B$5000, 0)), 0)</f>
        <v/>
      </c>
      <c r="K432" s="16">
        <f>I432*J432</f>
        <v/>
      </c>
      <c r="L432" t="inlineStr">
        <is>
          <t>1 trục dài 1410mm</t>
        </is>
      </c>
    </row>
    <row r="433">
      <c r="A433" t="inlineStr">
        <is>
          <t>SW-DAMPER-087-BEARING</t>
        </is>
      </c>
      <c r="B433" t="inlineStr">
        <is>
          <t>SW-DAMPER-087</t>
        </is>
      </c>
      <c r="C433" t="inlineStr">
        <is>
          <t>Bạc đồng D10</t>
        </is>
      </c>
      <c r="D433" t="inlineStr">
        <is>
          <t>PHỤ_KIỆN_VAN</t>
        </is>
      </c>
      <c r="E433" t="inlineStr">
        <is>
          <t>MAT-DAMPER-BAC-DONG-D10</t>
        </is>
      </c>
      <c r="F433" t="inlineStr">
        <is>
          <t>Đôi</t>
        </is>
      </c>
      <c r="G433" s="20" t="n">
        <v>1</v>
      </c>
      <c r="H433" s="16">
        <f>'00_TONG_HOP_BAO_GIA'!G88</f>
        <v/>
      </c>
      <c r="I433" s="21">
        <f>G433*H433</f>
        <v/>
      </c>
      <c r="J433" s="16">
        <f>IFERROR(INDEX('06_BANG_GIA_VAT_TU_AP_DUNG'!$E$1:$E$5000, MATCH(E433, '06_BANG_GIA_VAT_TU_AP_DUNG'!$B$1:$B$5000, 0)), 0)</f>
        <v/>
      </c>
      <c r="K433" s="16">
        <f>I433*J433</f>
        <v/>
      </c>
      <c r="L433" t="inlineStr">
        <is>
          <t>1 đôi bạc đỡ 2 bên thân</t>
        </is>
      </c>
    </row>
    <row r="434">
      <c r="A434" t="inlineStr">
        <is>
          <t>SW-DAMPER-087-ACTUATOR</t>
        </is>
      </c>
      <c r="B434" t="inlineStr">
        <is>
          <t>SW-DAMPER-087</t>
        </is>
      </c>
      <c r="C434" t="inlineStr">
        <is>
          <t>Động cơ chặn lửa ON/OFF KLB (Swin V6006FS500S EI90) 5Nm</t>
        </is>
      </c>
      <c r="D434" t="inlineStr">
        <is>
          <t>ĐỘNG_CƠ_VÀ_CẢM_BIẾN</t>
        </is>
      </c>
      <c r="E434" t="inlineStr">
        <is>
          <t>MAT-ACTUATOR-KLB-V6006FS500S</t>
        </is>
      </c>
      <c r="F434" t="inlineStr">
        <is>
          <t>Cái</t>
        </is>
      </c>
      <c r="G434" s="20" t="n">
        <v>1</v>
      </c>
      <c r="H434" s="16">
        <f>'00_TONG_HOP_BAO_GIA'!G88</f>
        <v/>
      </c>
      <c r="I434" s="21">
        <f>G434*H434</f>
        <v/>
      </c>
      <c r="J434" s="16">
        <f>IFERROR(INDEX('06_BANG_GIA_VAT_TU_AP_DUNG'!$E$1:$E$5000, MATCH(E434, '06_BANG_GIA_VAT_TU_AP_DUNG'!$B$1:$B$5000, 0)), 0)</f>
        <v/>
      </c>
      <c r="K434" s="16">
        <f>I434*J434</f>
        <v/>
      </c>
      <c r="L434" t="inlineStr">
        <is>
          <t>Động cơ lò xo phản hồi MFD (1 bộ)</t>
        </is>
      </c>
    </row>
    <row r="435">
      <c r="A435" t="inlineStr">
        <is>
          <t>SW-DAMPER-087-FB10-BODY</t>
        </is>
      </c>
      <c r="B435" t="inlineStr">
        <is>
          <t>SW-DAMPER-087</t>
        </is>
      </c>
      <c r="C435" t="inlineStr">
        <is>
          <t>Tấm chống cháy dày 10mm bọc thân van FD/MFD (2 lớp)</t>
        </is>
      </c>
      <c r="D435" t="inlineStr">
        <is>
          <t>VẬT_LIỆU_CÁCH_NHIỆT</t>
        </is>
      </c>
      <c r="E435" t="inlineStr">
        <is>
          <t>MAT-FIREBOARD-10MM-BODY</t>
        </is>
      </c>
      <c r="F435" t="inlineStr">
        <is>
          <t>m2</t>
        </is>
      </c>
      <c r="G435" s="20" t="n">
        <v>2.763985782771326</v>
      </c>
      <c r="H435" s="16">
        <f>'00_TONG_HOP_BAO_GIA'!G88</f>
        <v/>
      </c>
      <c r="I435" s="21">
        <f>G435*H435</f>
        <v/>
      </c>
      <c r="J435" s="16">
        <f>IFERROR(INDEX('06_BANG_GIA_VAT_TU_AP_DUNG'!$E$1:$E$5000, MATCH(E435, '06_BANG_GIA_VAT_TU_AP_DUNG'!$B$1:$B$5000, 0)), 0)</f>
        <v/>
      </c>
      <c r="K435" s="16">
        <f>I435*J435</f>
        <v/>
      </c>
      <c r="L435" t="inlineStr">
        <is>
          <t>Bọc 2 lớp tấm 10mm quanh thân L=300mm</t>
        </is>
      </c>
    </row>
    <row r="436">
      <c r="A436" t="inlineStr">
        <is>
          <t>SW-DAMPER-087-FB20-BLADE</t>
        </is>
      </c>
      <c r="B436" t="inlineStr">
        <is>
          <t>SW-DAMPER-087</t>
        </is>
      </c>
      <c r="C436" t="inlineStr">
        <is>
          <t>Tấm chống cháy dày 20mm làm lõi cánh van FD/MFD</t>
        </is>
      </c>
      <c r="D436" t="inlineStr">
        <is>
          <t>VẬT_LIỆU_CÁCH_NHIỆT</t>
        </is>
      </c>
      <c r="E436" t="inlineStr">
        <is>
          <t>MAT-FIREBOARD-20MM-BLADE</t>
        </is>
      </c>
      <c r="F436" t="inlineStr">
        <is>
          <t>m2</t>
        </is>
      </c>
      <c r="G436" s="20" t="n">
        <v>0.9001137910998729</v>
      </c>
      <c r="H436" s="16">
        <f>'00_TONG_HOP_BAO_GIA'!G88</f>
        <v/>
      </c>
      <c r="I436" s="21">
        <f>G436*H436</f>
        <v/>
      </c>
      <c r="J436" s="16">
        <f>IFERROR(INDEX('06_BANG_GIA_VAT_TU_AP_DUNG'!$E$1:$E$5000, MATCH(E436, '06_BANG_GIA_VAT_TU_AP_DUNG'!$B$1:$B$5000, 0)), 0)</f>
        <v/>
      </c>
      <c r="K436" s="16">
        <f>I436*J436</f>
        <v/>
      </c>
      <c r="L436" t="inlineStr">
        <is>
          <t>Lõi cánh tấm 20mm (Cánh đơn 1350x550mm)</t>
        </is>
      </c>
    </row>
    <row r="437">
      <c r="A437" t="inlineStr">
        <is>
          <t>SW-DAMPER-087-FB10-BLADE</t>
        </is>
      </c>
      <c r="B437" t="inlineStr">
        <is>
          <t>SW-DAMPER-087</t>
        </is>
      </c>
      <c r="C437" t="inlineStr">
        <is>
          <t>Tấm chống cháy dày 10mm ốp 2 mặt cánh van FD/MFD</t>
        </is>
      </c>
      <c r="D437" t="inlineStr">
        <is>
          <t>VẬT_LIỆU_CÁCH_NHIỆT</t>
        </is>
      </c>
      <c r="E437" t="inlineStr">
        <is>
          <t>MAT-FIREBOARD-10MM-BLADE</t>
        </is>
      </c>
      <c r="F437" t="inlineStr">
        <is>
          <t>m2</t>
        </is>
      </c>
      <c r="G437" s="20" t="n">
        <v>1.800227582199746</v>
      </c>
      <c r="H437" s="16">
        <f>'00_TONG_HOP_BAO_GIA'!G88</f>
        <v/>
      </c>
      <c r="I437" s="21">
        <f>G437*H437</f>
        <v/>
      </c>
      <c r="J437" s="16">
        <f>IFERROR(INDEX('06_BANG_GIA_VAT_TU_AP_DUNG'!$E$1:$E$5000, MATCH(E437, '06_BANG_GIA_VAT_TU_AP_DUNG'!$B$1:$B$5000, 0)), 0)</f>
        <v/>
      </c>
      <c r="K437" s="16">
        <f>I437*J437</f>
        <v/>
      </c>
      <c r="L437" t="inlineStr">
        <is>
          <t>Ốp 2 mặt cánh tấm 10mm (Cánh đơn 1350x550mm)</t>
        </is>
      </c>
    </row>
    <row r="438">
      <c r="A438" t="inlineStr">
        <is>
          <t>SW-DAMPER-087-SPRING-BOX</t>
        </is>
      </c>
      <c r="B438" t="inlineStr">
        <is>
          <t>SW-DAMPER-087</t>
        </is>
      </c>
      <c r="C438" t="inlineStr">
        <is>
          <t>Hộp lò xo van chặn lửa FD/MFD</t>
        </is>
      </c>
      <c r="D438" t="inlineStr">
        <is>
          <t>PHỤ_KIỆN_VAN</t>
        </is>
      </c>
      <c r="E438" t="inlineStr">
        <is>
          <t>MAT-DAMPER-HOP-LO-XO</t>
        </is>
      </c>
      <c r="F438" t="inlineStr">
        <is>
          <t>Bộ</t>
        </is>
      </c>
      <c r="G438" s="20" t="n">
        <v>1</v>
      </c>
      <c r="H438" s="16">
        <f>'00_TONG_HOP_BAO_GIA'!G88</f>
        <v/>
      </c>
      <c r="I438" s="21">
        <f>G438*H438</f>
        <v/>
      </c>
      <c r="J438" s="16">
        <f>IFERROR(INDEX('06_BANG_GIA_VAT_TU_AP_DUNG'!$E$1:$E$5000, MATCH(E438, '06_BANG_GIA_VAT_TU_AP_DUNG'!$B$1:$B$5000, 0)), 0)</f>
        <v/>
      </c>
      <c r="K438" s="16">
        <f>I438*J438</f>
        <v/>
      </c>
      <c r="L438" t="inlineStr">
        <is>
          <t>Hộp lò xo cơ cấu đóng sập (1 bộ)</t>
        </is>
      </c>
    </row>
    <row r="439">
      <c r="A439" t="inlineStr">
        <is>
          <t>SW-DAMPER-087-SILICON-BOLT</t>
        </is>
      </c>
      <c r="B439" t="inlineStr">
        <is>
          <t>SW-DAMPER-087</t>
        </is>
      </c>
      <c r="C439" t="inlineStr">
        <is>
          <t>Silicon chống cháy + bu lông, ốc vít van FD/MFD</t>
        </is>
      </c>
      <c r="D439" t="inlineStr">
        <is>
          <t>PHỤ_KIỆN_VAN</t>
        </is>
      </c>
      <c r="E439" t="inlineStr">
        <is>
          <t>MAT-DAMPER-SILICON-BULONG-VIT</t>
        </is>
      </c>
      <c r="F439" t="inlineStr">
        <is>
          <t>Bộ</t>
        </is>
      </c>
      <c r="G439" s="20" t="n">
        <v>1</v>
      </c>
      <c r="H439" s="16">
        <f>'00_TONG_HOP_BAO_GIA'!G88</f>
        <v/>
      </c>
      <c r="I439" s="21">
        <f>G439*H439</f>
        <v/>
      </c>
      <c r="J439" s="16">
        <f>IFERROR(INDEX('06_BANG_GIA_VAT_TU_AP_DUNG'!$E$1:$E$5000, MATCH(E439, '06_BANG_GIA_VAT_TU_AP_DUNG'!$B$1:$B$5000, 0)), 0)</f>
        <v/>
      </c>
      <c r="K439" s="16">
        <f>I439*J439</f>
        <v/>
      </c>
      <c r="L439" t="inlineStr">
        <is>
          <t>Keo silicon chống cháy &amp; phụ kiện lắp ghép (1 bộ)</t>
        </is>
      </c>
    </row>
    <row r="440">
      <c r="A440" t="inlineStr">
        <is>
          <t>SW-DAMPER-088-BODY</t>
        </is>
      </c>
      <c r="B440" t="inlineStr">
        <is>
          <t>SW-DAMPER-088</t>
        </is>
      </c>
      <c r="C440" t="inlineStr">
        <is>
          <t>Thân vỏ van MFD bích C30/TDF (1.15mm)</t>
        </is>
      </c>
      <c r="D440" t="inlineStr">
        <is>
          <t>TÔN_CUỘN_MẠ_KẼM</t>
        </is>
      </c>
      <c r="E440" t="inlineStr">
        <is>
          <t>MAT-STEEL-PN-1.15</t>
        </is>
      </c>
      <c r="F440" t="inlineStr">
        <is>
          <t>kg</t>
        </is>
      </c>
      <c r="G440" s="20" t="n">
        <v>12.23677005207025</v>
      </c>
      <c r="H440" s="16">
        <f>'00_TONG_HOP_BAO_GIA'!G89</f>
        <v/>
      </c>
      <c r="I440" s="21">
        <f>G440*H440</f>
        <v/>
      </c>
      <c r="J440" s="16">
        <f>IFERROR(INDEX('06_BANG_GIA_VAT_TU_AP_DUNG'!$E$1:$E$5000, MATCH(E440, '06_BANG_GIA_VAT_TU_AP_DUNG'!$B$1:$B$5000, 0)), 0)</f>
        <v/>
      </c>
      <c r="K440" s="16">
        <f>I440*J440</f>
        <v/>
      </c>
      <c r="L440" t="inlineStr">
        <is>
          <t>Kích thước vỏ 1350x600x200mm</t>
        </is>
      </c>
    </row>
    <row r="441">
      <c r="A441" t="inlineStr">
        <is>
          <t>SW-DAMPER-088-BLADE</t>
        </is>
      </c>
      <c r="B441" t="inlineStr">
        <is>
          <t>SW-DAMPER-088</t>
        </is>
      </c>
      <c r="C441" t="inlineStr">
        <is>
          <t>Lá cánh / Tôn tấm bọc van (1 cánh)</t>
        </is>
      </c>
      <c r="D441" t="inlineStr">
        <is>
          <t>TÔN_CUỘN_MẠ_KẼM</t>
        </is>
      </c>
      <c r="E441" t="inlineStr">
        <is>
          <t>MAT-STEEL-PN-1.15</t>
        </is>
      </c>
      <c r="F441" t="inlineStr">
        <is>
          <t>kg</t>
        </is>
      </c>
      <c r="G441" s="20" t="n">
        <v>17.74730972018891</v>
      </c>
      <c r="H441" s="16">
        <f>'00_TONG_HOP_BAO_GIA'!G89</f>
        <v/>
      </c>
      <c r="I441" s="21">
        <f>G441*H441</f>
        <v/>
      </c>
      <c r="J441" s="16">
        <f>IFERROR(INDEX('06_BANG_GIA_VAT_TU_AP_DUNG'!$E$1:$E$5000, MATCH(E441, '06_BANG_GIA_VAT_TU_AP_DUNG'!$B$1:$B$5000, 0)), 0)</f>
        <v/>
      </c>
      <c r="K441" s="16">
        <f>I441*J441</f>
        <v/>
      </c>
      <c r="L441" t="inlineStr">
        <is>
          <t>Tôn bọc cánh &amp; thân (1 cánh/modul)</t>
        </is>
      </c>
    </row>
    <row r="442">
      <c r="A442" t="inlineStr">
        <is>
          <t>SW-DAMPER-088-AXLE</t>
        </is>
      </c>
      <c r="B442" t="inlineStr">
        <is>
          <t>SW-DAMPER-088</t>
        </is>
      </c>
      <c r="C442" t="inlineStr">
        <is>
          <t>Trục Sus 201 D10</t>
        </is>
      </c>
      <c r="D442" t="inlineStr">
        <is>
          <t>PHỤ_KIỆN_VAN</t>
        </is>
      </c>
      <c r="E442" t="inlineStr">
        <is>
          <t>MAT-DAMPER-TRUC-SUS-201-D10</t>
        </is>
      </c>
      <c r="F442" t="inlineStr">
        <is>
          <t>m</t>
        </is>
      </c>
      <c r="G442" s="20" t="n">
        <v>1.711075329187316</v>
      </c>
      <c r="H442" s="16">
        <f>'00_TONG_HOP_BAO_GIA'!G89</f>
        <v/>
      </c>
      <c r="I442" s="21">
        <f>G442*H442</f>
        <v/>
      </c>
      <c r="J442" s="16">
        <f>IFERROR(INDEX('06_BANG_GIA_VAT_TU_AP_DUNG'!$E$1:$E$5000, MATCH(E442, '06_BANG_GIA_VAT_TU_AP_DUNG'!$B$1:$B$5000, 0)), 0)</f>
        <v/>
      </c>
      <c r="K442" s="16">
        <f>I442*J442</f>
        <v/>
      </c>
      <c r="L442" t="inlineStr">
        <is>
          <t>1 trục dài 1410mm</t>
        </is>
      </c>
    </row>
    <row r="443">
      <c r="A443" t="inlineStr">
        <is>
          <t>SW-DAMPER-088-BEARING</t>
        </is>
      </c>
      <c r="B443" t="inlineStr">
        <is>
          <t>SW-DAMPER-088</t>
        </is>
      </c>
      <c r="C443" t="inlineStr">
        <is>
          <t>Bạc đồng D10</t>
        </is>
      </c>
      <c r="D443" t="inlineStr">
        <is>
          <t>PHỤ_KIỆN_VAN</t>
        </is>
      </c>
      <c r="E443" t="inlineStr">
        <is>
          <t>MAT-DAMPER-BAC-DONG-D10</t>
        </is>
      </c>
      <c r="F443" t="inlineStr">
        <is>
          <t>Đôi</t>
        </is>
      </c>
      <c r="G443" s="20" t="n">
        <v>1</v>
      </c>
      <c r="H443" s="16">
        <f>'00_TONG_HOP_BAO_GIA'!G89</f>
        <v/>
      </c>
      <c r="I443" s="21">
        <f>G443*H443</f>
        <v/>
      </c>
      <c r="J443" s="16">
        <f>IFERROR(INDEX('06_BANG_GIA_VAT_TU_AP_DUNG'!$E$1:$E$5000, MATCH(E443, '06_BANG_GIA_VAT_TU_AP_DUNG'!$B$1:$B$5000, 0)), 0)</f>
        <v/>
      </c>
      <c r="K443" s="16">
        <f>I443*J443</f>
        <v/>
      </c>
      <c r="L443" t="inlineStr">
        <is>
          <t>1 đôi bạc đỡ 2 bên thân</t>
        </is>
      </c>
    </row>
    <row r="444">
      <c r="A444" t="inlineStr">
        <is>
          <t>SW-DAMPER-088-ACTUATOR</t>
        </is>
      </c>
      <c r="B444" t="inlineStr">
        <is>
          <t>SW-DAMPER-088</t>
        </is>
      </c>
      <c r="C444" t="inlineStr">
        <is>
          <t>Động cơ chặn lửa ON/OFF KLB (Swin V6006FS500S EI90) 5Nm</t>
        </is>
      </c>
      <c r="D444" t="inlineStr">
        <is>
          <t>ĐỘNG_CƠ_VÀ_CẢM_BIẾN</t>
        </is>
      </c>
      <c r="E444" t="inlineStr">
        <is>
          <t>MAT-ACTUATOR-KLB-V6006FS500S</t>
        </is>
      </c>
      <c r="F444" t="inlineStr">
        <is>
          <t>Cái</t>
        </is>
      </c>
      <c r="G444" s="20" t="n">
        <v>1</v>
      </c>
      <c r="H444" s="16">
        <f>'00_TONG_HOP_BAO_GIA'!G89</f>
        <v/>
      </c>
      <c r="I444" s="21">
        <f>G444*H444</f>
        <v/>
      </c>
      <c r="J444" s="16">
        <f>IFERROR(INDEX('06_BANG_GIA_VAT_TU_AP_DUNG'!$E$1:$E$5000, MATCH(E444, '06_BANG_GIA_VAT_TU_AP_DUNG'!$B$1:$B$5000, 0)), 0)</f>
        <v/>
      </c>
      <c r="K444" s="16">
        <f>I444*J444</f>
        <v/>
      </c>
      <c r="L444" t="inlineStr">
        <is>
          <t>Động cơ lò xo phản hồi MFD (1 bộ)</t>
        </is>
      </c>
    </row>
    <row r="445">
      <c r="A445" t="inlineStr">
        <is>
          <t>SW-DAMPER-088-FB10-BODY</t>
        </is>
      </c>
      <c r="B445" t="inlineStr">
        <is>
          <t>SW-DAMPER-088</t>
        </is>
      </c>
      <c r="C445" t="inlineStr">
        <is>
          <t>Tấm chống cháy dày 10mm bọc thân van FD/MFD (2 lớp)</t>
        </is>
      </c>
      <c r="D445" t="inlineStr">
        <is>
          <t>VẬT_LIỆU_CÁCH_NHIỆT</t>
        </is>
      </c>
      <c r="E445" t="inlineStr">
        <is>
          <t>MAT-FIREBOARD-10MM-BODY</t>
        </is>
      </c>
      <c r="F445" t="inlineStr">
        <is>
          <t>m2</t>
        </is>
      </c>
      <c r="G445" s="20" t="n">
        <v>2.839656929289588</v>
      </c>
      <c r="H445" s="16">
        <f>'00_TONG_HOP_BAO_GIA'!G89</f>
        <v/>
      </c>
      <c r="I445" s="21">
        <f>G445*H445</f>
        <v/>
      </c>
      <c r="J445" s="16">
        <f>IFERROR(INDEX('06_BANG_GIA_VAT_TU_AP_DUNG'!$E$1:$E$5000, MATCH(E445, '06_BANG_GIA_VAT_TU_AP_DUNG'!$B$1:$B$5000, 0)), 0)</f>
        <v/>
      </c>
      <c r="K445" s="16">
        <f>I445*J445</f>
        <v/>
      </c>
      <c r="L445" t="inlineStr">
        <is>
          <t>Bọc 2 lớp tấm 10mm quanh thân L=300mm</t>
        </is>
      </c>
    </row>
    <row r="446">
      <c r="A446" t="inlineStr">
        <is>
          <t>SW-DAMPER-088-FB20-BLADE</t>
        </is>
      </c>
      <c r="B446" t="inlineStr">
        <is>
          <t>SW-DAMPER-088</t>
        </is>
      </c>
      <c r="C446" t="inlineStr">
        <is>
          <t>Tấm chống cháy dày 20mm làm lõi cánh van FD/MFD</t>
        </is>
      </c>
      <c r="D446" t="inlineStr">
        <is>
          <t>VẬT_LIỆU_CÁCH_NHIỆT</t>
        </is>
      </c>
      <c r="E446" t="inlineStr">
        <is>
          <t>MAT-FIREBOARD-20MM-BLADE</t>
        </is>
      </c>
      <c r="F446" t="inlineStr">
        <is>
          <t>m2</t>
        </is>
      </c>
      <c r="G446" s="20" t="n">
        <v>0.9829581678310112</v>
      </c>
      <c r="H446" s="16">
        <f>'00_TONG_HOP_BAO_GIA'!G89</f>
        <v/>
      </c>
      <c r="I446" s="21">
        <f>G446*H446</f>
        <v/>
      </c>
      <c r="J446" s="16">
        <f>IFERROR(INDEX('06_BANG_GIA_VAT_TU_AP_DUNG'!$E$1:$E$5000, MATCH(E446, '06_BANG_GIA_VAT_TU_AP_DUNG'!$B$1:$B$5000, 0)), 0)</f>
        <v/>
      </c>
      <c r="K446" s="16">
        <f>I446*J446</f>
        <v/>
      </c>
      <c r="L446" t="inlineStr">
        <is>
          <t>Lõi cánh tấm 20mm (Cánh đơn 1350x600mm)</t>
        </is>
      </c>
    </row>
    <row r="447">
      <c r="A447" t="inlineStr">
        <is>
          <t>SW-DAMPER-088-FB10-BLADE</t>
        </is>
      </c>
      <c r="B447" t="inlineStr">
        <is>
          <t>SW-DAMPER-088</t>
        </is>
      </c>
      <c r="C447" t="inlineStr">
        <is>
          <t>Tấm chống cháy dày 10mm ốp 2 mặt cánh van FD/MFD</t>
        </is>
      </c>
      <c r="D447" t="inlineStr">
        <is>
          <t>VẬT_LIỆU_CÁCH_NHIỆT</t>
        </is>
      </c>
      <c r="E447" t="inlineStr">
        <is>
          <t>MAT-FIREBOARD-10MM-BLADE</t>
        </is>
      </c>
      <c r="F447" t="inlineStr">
        <is>
          <t>m2</t>
        </is>
      </c>
      <c r="G447" s="20" t="n">
        <v>1.965916335662022</v>
      </c>
      <c r="H447" s="16">
        <f>'00_TONG_HOP_BAO_GIA'!G89</f>
        <v/>
      </c>
      <c r="I447" s="21">
        <f>G447*H447</f>
        <v/>
      </c>
      <c r="J447" s="16">
        <f>IFERROR(INDEX('06_BANG_GIA_VAT_TU_AP_DUNG'!$E$1:$E$5000, MATCH(E447, '06_BANG_GIA_VAT_TU_AP_DUNG'!$B$1:$B$5000, 0)), 0)</f>
        <v/>
      </c>
      <c r="K447" s="16">
        <f>I447*J447</f>
        <v/>
      </c>
      <c r="L447" t="inlineStr">
        <is>
          <t>Ốp 2 mặt cánh tấm 10mm (Cánh đơn 1350x600mm)</t>
        </is>
      </c>
    </row>
    <row r="448">
      <c r="A448" t="inlineStr">
        <is>
          <t>SW-DAMPER-088-SPRING-BOX</t>
        </is>
      </c>
      <c r="B448" t="inlineStr">
        <is>
          <t>SW-DAMPER-088</t>
        </is>
      </c>
      <c r="C448" t="inlineStr">
        <is>
          <t>Hộp lò xo van chặn lửa FD/MFD</t>
        </is>
      </c>
      <c r="D448" t="inlineStr">
        <is>
          <t>PHỤ_KIỆN_VAN</t>
        </is>
      </c>
      <c r="E448" t="inlineStr">
        <is>
          <t>MAT-DAMPER-HOP-LO-XO</t>
        </is>
      </c>
      <c r="F448" t="inlineStr">
        <is>
          <t>Bộ</t>
        </is>
      </c>
      <c r="G448" s="20" t="n">
        <v>1</v>
      </c>
      <c r="H448" s="16">
        <f>'00_TONG_HOP_BAO_GIA'!G89</f>
        <v/>
      </c>
      <c r="I448" s="21">
        <f>G448*H448</f>
        <v/>
      </c>
      <c r="J448" s="16">
        <f>IFERROR(INDEX('06_BANG_GIA_VAT_TU_AP_DUNG'!$E$1:$E$5000, MATCH(E448, '06_BANG_GIA_VAT_TU_AP_DUNG'!$B$1:$B$5000, 0)), 0)</f>
        <v/>
      </c>
      <c r="K448" s="16">
        <f>I448*J448</f>
        <v/>
      </c>
      <c r="L448" t="inlineStr">
        <is>
          <t>Hộp lò xo cơ cấu đóng sập (1 bộ)</t>
        </is>
      </c>
    </row>
    <row r="449">
      <c r="A449" t="inlineStr">
        <is>
          <t>SW-DAMPER-088-SILICON-BOLT</t>
        </is>
      </c>
      <c r="B449" t="inlineStr">
        <is>
          <t>SW-DAMPER-088</t>
        </is>
      </c>
      <c r="C449" t="inlineStr">
        <is>
          <t>Silicon chống cháy + bu lông, ốc vít van FD/MFD</t>
        </is>
      </c>
      <c r="D449" t="inlineStr">
        <is>
          <t>PHỤ_KIỆN_VAN</t>
        </is>
      </c>
      <c r="E449" t="inlineStr">
        <is>
          <t>MAT-DAMPER-SILICON-BULONG-VIT</t>
        </is>
      </c>
      <c r="F449" t="inlineStr">
        <is>
          <t>Bộ</t>
        </is>
      </c>
      <c r="G449" s="20" t="n">
        <v>1</v>
      </c>
      <c r="H449" s="16">
        <f>'00_TONG_HOP_BAO_GIA'!G89</f>
        <v/>
      </c>
      <c r="I449" s="21">
        <f>G449*H449</f>
        <v/>
      </c>
      <c r="J449" s="16">
        <f>IFERROR(INDEX('06_BANG_GIA_VAT_TU_AP_DUNG'!$E$1:$E$5000, MATCH(E449, '06_BANG_GIA_VAT_TU_AP_DUNG'!$B$1:$B$5000, 0)), 0)</f>
        <v/>
      </c>
      <c r="K449" s="16">
        <f>I449*J449</f>
        <v/>
      </c>
      <c r="L449" t="inlineStr">
        <is>
          <t>Keo silicon chống cháy &amp; phụ kiện lắp ghép (1 bộ)</t>
        </is>
      </c>
    </row>
    <row r="450">
      <c r="A450" t="inlineStr">
        <is>
          <t>SW-DAMPER-093-BODY</t>
        </is>
      </c>
      <c r="B450" t="inlineStr">
        <is>
          <t>SW-DAMPER-093</t>
        </is>
      </c>
      <c r="C450" t="inlineStr">
        <is>
          <t>Thân vỏ van MFD bích C30/TDF (1.15mm)</t>
        </is>
      </c>
      <c r="D450" t="inlineStr">
        <is>
          <t>TÔN_CUỘN_MẠ_KẼM</t>
        </is>
      </c>
      <c r="E450" t="inlineStr">
        <is>
          <t>MAT-STEEL-PN-1.15</t>
        </is>
      </c>
      <c r="F450" t="inlineStr">
        <is>
          <t>kg</t>
        </is>
      </c>
      <c r="G450" s="20" t="n">
        <v>7.054810726999267</v>
      </c>
      <c r="H450" s="16">
        <f>'00_TONG_HOP_BAO_GIA'!G94</f>
        <v/>
      </c>
      <c r="I450" s="21">
        <f>G450*H450</f>
        <v/>
      </c>
      <c r="J450" s="16">
        <f>IFERROR(INDEX('06_BANG_GIA_VAT_TU_AP_DUNG'!$E$1:$E$5000, MATCH(E450, '06_BANG_GIA_VAT_TU_AP_DUNG'!$B$1:$B$5000, 0)), 0)</f>
        <v/>
      </c>
      <c r="K450" s="16">
        <f>I450*J450</f>
        <v/>
      </c>
      <c r="L450" t="inlineStr">
        <is>
          <t>Kích thước vỏ 800x300x200mm</t>
        </is>
      </c>
    </row>
    <row r="451">
      <c r="A451" t="inlineStr">
        <is>
          <t>SW-DAMPER-093-BLADE</t>
        </is>
      </c>
      <c r="B451" t="inlineStr">
        <is>
          <t>SW-DAMPER-093</t>
        </is>
      </c>
      <c r="C451" t="inlineStr">
        <is>
          <t>Lá cánh / Tôn tấm bọc van (1 cánh)</t>
        </is>
      </c>
      <c r="D451" t="inlineStr">
        <is>
          <t>TÔN_CUỘN_MẠ_KẼM</t>
        </is>
      </c>
      <c r="E451" t="inlineStr">
        <is>
          <t>MAT-STEEL-PN-1.15</t>
        </is>
      </c>
      <c r="F451" t="inlineStr">
        <is>
          <t>kg</t>
        </is>
      </c>
      <c r="G451" s="20" t="n">
        <v>5.332434411941999</v>
      </c>
      <c r="H451" s="16">
        <f>'00_TONG_HOP_BAO_GIA'!G94</f>
        <v/>
      </c>
      <c r="I451" s="21">
        <f>G451*H451</f>
        <v/>
      </c>
      <c r="J451" s="16">
        <f>IFERROR(INDEX('06_BANG_GIA_VAT_TU_AP_DUNG'!$E$1:$E$5000, MATCH(E451, '06_BANG_GIA_VAT_TU_AP_DUNG'!$B$1:$B$5000, 0)), 0)</f>
        <v/>
      </c>
      <c r="K451" s="16">
        <f>I451*J451</f>
        <v/>
      </c>
      <c r="L451" t="inlineStr">
        <is>
          <t>Tôn bọc cánh &amp; thân (1 cánh/modul)</t>
        </is>
      </c>
    </row>
    <row r="452">
      <c r="A452" t="inlineStr">
        <is>
          <t>SW-DAMPER-093-AXLE</t>
        </is>
      </c>
      <c r="B452" t="inlineStr">
        <is>
          <t>SW-DAMPER-093</t>
        </is>
      </c>
      <c r="C452" t="inlineStr">
        <is>
          <t>Trục Sus 201 D10</t>
        </is>
      </c>
      <c r="D452" t="inlineStr">
        <is>
          <t>PHỤ_KIỆN_VAN</t>
        </is>
      </c>
      <c r="E452" t="inlineStr">
        <is>
          <t>MAT-DAMPER-TRUC-SUS-201-D10</t>
        </is>
      </c>
      <c r="F452" t="inlineStr">
        <is>
          <t>m</t>
        </is>
      </c>
      <c r="G452" s="20" t="n">
        <v>1.05831570069928</v>
      </c>
      <c r="H452" s="16">
        <f>'00_TONG_HOP_BAO_GIA'!G94</f>
        <v/>
      </c>
      <c r="I452" s="21">
        <f>G452*H452</f>
        <v/>
      </c>
      <c r="J452" s="16">
        <f>IFERROR(INDEX('06_BANG_GIA_VAT_TU_AP_DUNG'!$E$1:$E$5000, MATCH(E452, '06_BANG_GIA_VAT_TU_AP_DUNG'!$B$1:$B$5000, 0)), 0)</f>
        <v/>
      </c>
      <c r="K452" s="16">
        <f>I452*J452</f>
        <v/>
      </c>
      <c r="L452" t="inlineStr">
        <is>
          <t>1 trục dài 860mm</t>
        </is>
      </c>
    </row>
    <row r="453">
      <c r="A453" t="inlineStr">
        <is>
          <t>SW-DAMPER-093-BEARING</t>
        </is>
      </c>
      <c r="B453" t="inlineStr">
        <is>
          <t>SW-DAMPER-093</t>
        </is>
      </c>
      <c r="C453" t="inlineStr">
        <is>
          <t>Bạc đồng D10</t>
        </is>
      </c>
      <c r="D453" t="inlineStr">
        <is>
          <t>PHỤ_KIỆN_VAN</t>
        </is>
      </c>
      <c r="E453" t="inlineStr">
        <is>
          <t>MAT-DAMPER-BAC-DONG-D10</t>
        </is>
      </c>
      <c r="F453" t="inlineStr">
        <is>
          <t>Đôi</t>
        </is>
      </c>
      <c r="G453" s="20" t="n">
        <v>1</v>
      </c>
      <c r="H453" s="16">
        <f>'00_TONG_HOP_BAO_GIA'!G94</f>
        <v/>
      </c>
      <c r="I453" s="21">
        <f>G453*H453</f>
        <v/>
      </c>
      <c r="J453" s="16">
        <f>IFERROR(INDEX('06_BANG_GIA_VAT_TU_AP_DUNG'!$E$1:$E$5000, MATCH(E453, '06_BANG_GIA_VAT_TU_AP_DUNG'!$B$1:$B$5000, 0)), 0)</f>
        <v/>
      </c>
      <c r="K453" s="16">
        <f>I453*J453</f>
        <v/>
      </c>
      <c r="L453" t="inlineStr">
        <is>
          <t>1 đôi bạc đỡ 2 bên thân</t>
        </is>
      </c>
    </row>
    <row r="454">
      <c r="A454" t="inlineStr">
        <is>
          <t>SW-DAMPER-093-ACTUATOR</t>
        </is>
      </c>
      <c r="B454" t="inlineStr">
        <is>
          <t>SW-DAMPER-093</t>
        </is>
      </c>
      <c r="C454" t="inlineStr">
        <is>
          <t>Động cơ chặn lửa ON/OFF KLB (Swin V6006FS500S EI90) 5Nm</t>
        </is>
      </c>
      <c r="D454" t="inlineStr">
        <is>
          <t>ĐỘNG_CƠ_VÀ_CẢM_BIẾN</t>
        </is>
      </c>
      <c r="E454" t="inlineStr">
        <is>
          <t>MAT-ACTUATOR-KLB-V6006FS500S</t>
        </is>
      </c>
      <c r="F454" t="inlineStr">
        <is>
          <t>Cái</t>
        </is>
      </c>
      <c r="G454" s="20" t="n">
        <v>1</v>
      </c>
      <c r="H454" s="16">
        <f>'00_TONG_HOP_BAO_GIA'!G94</f>
        <v/>
      </c>
      <c r="I454" s="21">
        <f>G454*H454</f>
        <v/>
      </c>
      <c r="J454" s="16">
        <f>IFERROR(INDEX('06_BANG_GIA_VAT_TU_AP_DUNG'!$E$1:$E$5000, MATCH(E454, '06_BANG_GIA_VAT_TU_AP_DUNG'!$B$1:$B$5000, 0)), 0)</f>
        <v/>
      </c>
      <c r="K454" s="16">
        <f>I454*J454</f>
        <v/>
      </c>
      <c r="L454" t="inlineStr">
        <is>
          <t>Động cơ lò xo phản hồi MFD (1 bộ)</t>
        </is>
      </c>
    </row>
    <row r="455">
      <c r="A455" t="inlineStr">
        <is>
          <t>SW-DAMPER-093-FB10-BODY</t>
        </is>
      </c>
      <c r="B455" t="inlineStr">
        <is>
          <t>SW-DAMPER-093</t>
        </is>
      </c>
      <c r="C455" t="inlineStr">
        <is>
          <t>Tấm chống cháy dày 10mm bọc thân van FD/MFD (2 lớp)</t>
        </is>
      </c>
      <c r="D455" t="inlineStr">
        <is>
          <t>VẬT_LIỆU_CÁCH_NHIỆT</t>
        </is>
      </c>
      <c r="E455" t="inlineStr">
        <is>
          <t>MAT-FIREBOARD-10MM-BODY</t>
        </is>
      </c>
      <c r="F455" t="inlineStr">
        <is>
          <t>m2</t>
        </is>
      </c>
      <c r="G455" s="20" t="n">
        <v>1.624391540608197</v>
      </c>
      <c r="H455" s="16">
        <f>'00_TONG_HOP_BAO_GIA'!G94</f>
        <v/>
      </c>
      <c r="I455" s="21">
        <f>G455*H455</f>
        <v/>
      </c>
      <c r="J455" s="16">
        <f>IFERROR(INDEX('06_BANG_GIA_VAT_TU_AP_DUNG'!$E$1:$E$5000, MATCH(E455, '06_BANG_GIA_VAT_TU_AP_DUNG'!$B$1:$B$5000, 0)), 0)</f>
        <v/>
      </c>
      <c r="K455" s="16">
        <f>I455*J455</f>
        <v/>
      </c>
      <c r="L455" t="inlineStr">
        <is>
          <t>Bọc 2 lớp tấm 10mm quanh thân L=300mm</t>
        </is>
      </c>
    </row>
    <row r="456">
      <c r="A456" t="inlineStr">
        <is>
          <t>SW-DAMPER-093-FB20-BLADE</t>
        </is>
      </c>
      <c r="B456" t="inlineStr">
        <is>
          <t>SW-DAMPER-093</t>
        </is>
      </c>
      <c r="C456" t="inlineStr">
        <is>
          <t>Tấm chống cháy dày 20mm làm lõi cánh van FD/MFD</t>
        </is>
      </c>
      <c r="D456" t="inlineStr">
        <is>
          <t>VẬT_LIỆU_CÁCH_NHIỆT</t>
        </is>
      </c>
      <c r="E456" t="inlineStr">
        <is>
          <t>MAT-FIREBOARD-20MM-BLADE</t>
        </is>
      </c>
      <c r="F456" t="inlineStr">
        <is>
          <t>m2</t>
        </is>
      </c>
      <c r="G456" s="20" t="n">
        <v>0.2953439164742177</v>
      </c>
      <c r="H456" s="16">
        <f>'00_TONG_HOP_BAO_GIA'!G94</f>
        <v/>
      </c>
      <c r="I456" s="21">
        <f>G456*H456</f>
        <v/>
      </c>
      <c r="J456" s="16">
        <f>IFERROR(INDEX('06_BANG_GIA_VAT_TU_AP_DUNG'!$E$1:$E$5000, MATCH(E456, '06_BANG_GIA_VAT_TU_AP_DUNG'!$B$1:$B$5000, 0)), 0)</f>
        <v/>
      </c>
      <c r="K456" s="16">
        <f>I456*J456</f>
        <v/>
      </c>
      <c r="L456" t="inlineStr">
        <is>
          <t>Lõi cánh tấm 20mm (Cánh đơn 800x300mm)</t>
        </is>
      </c>
    </row>
    <row r="457">
      <c r="A457" t="inlineStr">
        <is>
          <t>SW-DAMPER-093-FB10-BLADE</t>
        </is>
      </c>
      <c r="B457" t="inlineStr">
        <is>
          <t>SW-DAMPER-093</t>
        </is>
      </c>
      <c r="C457" t="inlineStr">
        <is>
          <t>Tấm chống cháy dày 10mm ốp 2 mặt cánh van FD/MFD</t>
        </is>
      </c>
      <c r="D457" t="inlineStr">
        <is>
          <t>VẬT_LIỆU_CÁCH_NHIỆT</t>
        </is>
      </c>
      <c r="E457" t="inlineStr">
        <is>
          <t>MAT-FIREBOARD-10MM-BLADE</t>
        </is>
      </c>
      <c r="F457" t="inlineStr">
        <is>
          <t>m2</t>
        </is>
      </c>
      <c r="G457" s="20" t="n">
        <v>0.5906878329484354</v>
      </c>
      <c r="H457" s="16">
        <f>'00_TONG_HOP_BAO_GIA'!G94</f>
        <v/>
      </c>
      <c r="I457" s="21">
        <f>G457*H457</f>
        <v/>
      </c>
      <c r="J457" s="16">
        <f>IFERROR(INDEX('06_BANG_GIA_VAT_TU_AP_DUNG'!$E$1:$E$5000, MATCH(E457, '06_BANG_GIA_VAT_TU_AP_DUNG'!$B$1:$B$5000, 0)), 0)</f>
        <v/>
      </c>
      <c r="K457" s="16">
        <f>I457*J457</f>
        <v/>
      </c>
      <c r="L457" t="inlineStr">
        <is>
          <t>Ốp 2 mặt cánh tấm 10mm (Cánh đơn 800x300mm)</t>
        </is>
      </c>
    </row>
    <row r="458">
      <c r="A458" t="inlineStr">
        <is>
          <t>SW-DAMPER-093-SPRING-BOX</t>
        </is>
      </c>
      <c r="B458" t="inlineStr">
        <is>
          <t>SW-DAMPER-093</t>
        </is>
      </c>
      <c r="C458" t="inlineStr">
        <is>
          <t>Hộp lò xo van chặn lửa FD/MFD</t>
        </is>
      </c>
      <c r="D458" t="inlineStr">
        <is>
          <t>PHỤ_KIỆN_VAN</t>
        </is>
      </c>
      <c r="E458" t="inlineStr">
        <is>
          <t>MAT-DAMPER-HOP-LO-XO</t>
        </is>
      </c>
      <c r="F458" t="inlineStr">
        <is>
          <t>Bộ</t>
        </is>
      </c>
      <c r="G458" s="20" t="n">
        <v>1</v>
      </c>
      <c r="H458" s="16">
        <f>'00_TONG_HOP_BAO_GIA'!G94</f>
        <v/>
      </c>
      <c r="I458" s="21">
        <f>G458*H458</f>
        <v/>
      </c>
      <c r="J458" s="16">
        <f>IFERROR(INDEX('06_BANG_GIA_VAT_TU_AP_DUNG'!$E$1:$E$5000, MATCH(E458, '06_BANG_GIA_VAT_TU_AP_DUNG'!$B$1:$B$5000, 0)), 0)</f>
        <v/>
      </c>
      <c r="K458" s="16">
        <f>I458*J458</f>
        <v/>
      </c>
      <c r="L458" t="inlineStr">
        <is>
          <t>Hộp lò xo cơ cấu đóng sập (1 bộ)</t>
        </is>
      </c>
    </row>
    <row r="459">
      <c r="A459" t="inlineStr">
        <is>
          <t>SW-DAMPER-093-SILICON-BOLT</t>
        </is>
      </c>
      <c r="B459" t="inlineStr">
        <is>
          <t>SW-DAMPER-093</t>
        </is>
      </c>
      <c r="C459" t="inlineStr">
        <is>
          <t>Silicon chống cháy + bu lông, ốc vít van FD/MFD</t>
        </is>
      </c>
      <c r="D459" t="inlineStr">
        <is>
          <t>PHỤ_KIỆN_VAN</t>
        </is>
      </c>
      <c r="E459" t="inlineStr">
        <is>
          <t>MAT-DAMPER-SILICON-BULONG-VIT</t>
        </is>
      </c>
      <c r="F459" t="inlineStr">
        <is>
          <t>Bộ</t>
        </is>
      </c>
      <c r="G459" s="20" t="n">
        <v>1</v>
      </c>
      <c r="H459" s="16">
        <f>'00_TONG_HOP_BAO_GIA'!G94</f>
        <v/>
      </c>
      <c r="I459" s="21">
        <f>G459*H459</f>
        <v/>
      </c>
      <c r="J459" s="16">
        <f>IFERROR(INDEX('06_BANG_GIA_VAT_TU_AP_DUNG'!$E$1:$E$5000, MATCH(E459, '06_BANG_GIA_VAT_TU_AP_DUNG'!$B$1:$B$5000, 0)), 0)</f>
        <v/>
      </c>
      <c r="K459" s="16">
        <f>I459*J459</f>
        <v/>
      </c>
      <c r="L459" t="inlineStr">
        <is>
          <t>Keo silicon chống cháy &amp; phụ kiện lắp ghép (1 bộ)</t>
        </is>
      </c>
    </row>
    <row r="460">
      <c r="A460" t="inlineStr">
        <is>
          <t>SW-DAMPER-094-BODY</t>
        </is>
      </c>
      <c r="B460" t="inlineStr">
        <is>
          <t>SW-DAMPER-094</t>
        </is>
      </c>
      <c r="C460" t="inlineStr">
        <is>
          <t>Thân vỏ van MFD bích C30/TDF (1.15mm)</t>
        </is>
      </c>
      <c r="D460" t="inlineStr">
        <is>
          <t>TÔN_CUỘN_MẠ_KẼM</t>
        </is>
      </c>
      <c r="E460" t="inlineStr">
        <is>
          <t>MAT-STEEL-PN-1.15</t>
        </is>
      </c>
      <c r="F460" t="inlineStr">
        <is>
          <t>kg</t>
        </is>
      </c>
      <c r="G460" s="20" t="n">
        <v>7.679104353563735</v>
      </c>
      <c r="H460" s="16">
        <f>'00_TONG_HOP_BAO_GIA'!G95</f>
        <v/>
      </c>
      <c r="I460" s="21">
        <f>G460*H460</f>
        <v/>
      </c>
      <c r="J460" s="16">
        <f>IFERROR(INDEX('06_BANG_GIA_VAT_TU_AP_DUNG'!$E$1:$E$5000, MATCH(E460, '06_BANG_GIA_VAT_TU_AP_DUNG'!$B$1:$B$5000, 0)), 0)</f>
        <v/>
      </c>
      <c r="K460" s="16">
        <f>I460*J460</f>
        <v/>
      </c>
      <c r="L460" t="inlineStr">
        <is>
          <t>Kích thước vỏ 800x400x200mm</t>
        </is>
      </c>
    </row>
    <row r="461">
      <c r="A461" t="inlineStr">
        <is>
          <t>SW-DAMPER-094-BLADE</t>
        </is>
      </c>
      <c r="B461" t="inlineStr">
        <is>
          <t>SW-DAMPER-094</t>
        </is>
      </c>
      <c r="C461" t="inlineStr">
        <is>
          <t>Lá cánh / Tôn tấm bọc van (1 cánh)</t>
        </is>
      </c>
      <c r="D461" t="inlineStr">
        <is>
          <t>TÔN_CUỘN_MẠ_KẼM</t>
        </is>
      </c>
      <c r="E461" t="inlineStr">
        <is>
          <t>MAT-STEEL-PN-1.15</t>
        </is>
      </c>
      <c r="F461" t="inlineStr">
        <is>
          <t>kg</t>
        </is>
      </c>
      <c r="G461" s="20" t="n">
        <v>7.104731237575954</v>
      </c>
      <c r="H461" s="16">
        <f>'00_TONG_HOP_BAO_GIA'!G95</f>
        <v/>
      </c>
      <c r="I461" s="21">
        <f>G461*H461</f>
        <v/>
      </c>
      <c r="J461" s="16">
        <f>IFERROR(INDEX('06_BANG_GIA_VAT_TU_AP_DUNG'!$E$1:$E$5000, MATCH(E461, '06_BANG_GIA_VAT_TU_AP_DUNG'!$B$1:$B$5000, 0)), 0)</f>
        <v/>
      </c>
      <c r="K461" s="16">
        <f>I461*J461</f>
        <v/>
      </c>
      <c r="L461" t="inlineStr">
        <is>
          <t>Tôn bọc cánh &amp; thân (1 cánh/modul)</t>
        </is>
      </c>
    </row>
    <row r="462">
      <c r="A462" t="inlineStr">
        <is>
          <t>SW-DAMPER-094-AXLE</t>
        </is>
      </c>
      <c r="B462" t="inlineStr">
        <is>
          <t>SW-DAMPER-094</t>
        </is>
      </c>
      <c r="C462" t="inlineStr">
        <is>
          <t>Trục Sus 201 D10</t>
        </is>
      </c>
      <c r="D462" t="inlineStr">
        <is>
          <t>PHỤ_KIỆN_VAN</t>
        </is>
      </c>
      <c r="E462" t="inlineStr">
        <is>
          <t>MAT-DAMPER-TRUC-SUS-201-D10</t>
        </is>
      </c>
      <c r="F462" t="inlineStr">
        <is>
          <t>m</t>
        </is>
      </c>
      <c r="G462" s="20" t="n">
        <v>1.057544458653302</v>
      </c>
      <c r="H462" s="16">
        <f>'00_TONG_HOP_BAO_GIA'!G95</f>
        <v/>
      </c>
      <c r="I462" s="21">
        <f>G462*H462</f>
        <v/>
      </c>
      <c r="J462" s="16">
        <f>IFERROR(INDEX('06_BANG_GIA_VAT_TU_AP_DUNG'!$E$1:$E$5000, MATCH(E462, '06_BANG_GIA_VAT_TU_AP_DUNG'!$B$1:$B$5000, 0)), 0)</f>
        <v/>
      </c>
      <c r="K462" s="16">
        <f>I462*J462</f>
        <v/>
      </c>
      <c r="L462" t="inlineStr">
        <is>
          <t>1 trục dài 860mm</t>
        </is>
      </c>
    </row>
    <row r="463">
      <c r="A463" t="inlineStr">
        <is>
          <t>SW-DAMPER-094-BEARING</t>
        </is>
      </c>
      <c r="B463" t="inlineStr">
        <is>
          <t>SW-DAMPER-094</t>
        </is>
      </c>
      <c r="C463" t="inlineStr">
        <is>
          <t>Bạc đồng D10</t>
        </is>
      </c>
      <c r="D463" t="inlineStr">
        <is>
          <t>PHỤ_KIỆN_VAN</t>
        </is>
      </c>
      <c r="E463" t="inlineStr">
        <is>
          <t>MAT-DAMPER-BAC-DONG-D10</t>
        </is>
      </c>
      <c r="F463" t="inlineStr">
        <is>
          <t>Đôi</t>
        </is>
      </c>
      <c r="G463" s="20" t="n">
        <v>1</v>
      </c>
      <c r="H463" s="16">
        <f>'00_TONG_HOP_BAO_GIA'!G95</f>
        <v/>
      </c>
      <c r="I463" s="21">
        <f>G463*H463</f>
        <v/>
      </c>
      <c r="J463" s="16">
        <f>IFERROR(INDEX('06_BANG_GIA_VAT_TU_AP_DUNG'!$E$1:$E$5000, MATCH(E463, '06_BANG_GIA_VAT_TU_AP_DUNG'!$B$1:$B$5000, 0)), 0)</f>
        <v/>
      </c>
      <c r="K463" s="16">
        <f>I463*J463</f>
        <v/>
      </c>
      <c r="L463" t="inlineStr">
        <is>
          <t>1 đôi bạc đỡ 2 bên thân</t>
        </is>
      </c>
    </row>
    <row r="464">
      <c r="A464" t="inlineStr">
        <is>
          <t>SW-DAMPER-094-ACTUATOR</t>
        </is>
      </c>
      <c r="B464" t="inlineStr">
        <is>
          <t>SW-DAMPER-094</t>
        </is>
      </c>
      <c r="C464" t="inlineStr">
        <is>
          <t>Động cơ chặn lửa ON/OFF KLB (Swin V6006FS500S EI90) 5Nm</t>
        </is>
      </c>
      <c r="D464" t="inlineStr">
        <is>
          <t>ĐỘNG_CƠ_VÀ_CẢM_BIẾN</t>
        </is>
      </c>
      <c r="E464" t="inlineStr">
        <is>
          <t>MAT-ACTUATOR-KLB-V6006FS500S</t>
        </is>
      </c>
      <c r="F464" t="inlineStr">
        <is>
          <t>Cái</t>
        </is>
      </c>
      <c r="G464" s="20" t="n">
        <v>1</v>
      </c>
      <c r="H464" s="16">
        <f>'00_TONG_HOP_BAO_GIA'!G95</f>
        <v/>
      </c>
      <c r="I464" s="21">
        <f>G464*H464</f>
        <v/>
      </c>
      <c r="J464" s="16">
        <f>IFERROR(INDEX('06_BANG_GIA_VAT_TU_AP_DUNG'!$E$1:$E$5000, MATCH(E464, '06_BANG_GIA_VAT_TU_AP_DUNG'!$B$1:$B$5000, 0)), 0)</f>
        <v/>
      </c>
      <c r="K464" s="16">
        <f>I464*J464</f>
        <v/>
      </c>
      <c r="L464" t="inlineStr">
        <is>
          <t>Động cơ lò xo phản hồi MFD (1 bộ)</t>
        </is>
      </c>
    </row>
    <row r="465">
      <c r="A465" t="inlineStr">
        <is>
          <t>SW-DAMPER-094-FB10-BODY</t>
        </is>
      </c>
      <c r="B465" t="inlineStr">
        <is>
          <t>SW-DAMPER-094</t>
        </is>
      </c>
      <c r="C465" t="inlineStr">
        <is>
          <t>Tấm chống cháy dày 10mm bọc thân van FD/MFD (2 lớp)</t>
        </is>
      </c>
      <c r="D465" t="inlineStr">
        <is>
          <t>VẬT_LIỆU_CÁCH_NHIỆT</t>
        </is>
      </c>
      <c r="E465" t="inlineStr">
        <is>
          <t>MAT-FIREBOARD-10MM-BODY</t>
        </is>
      </c>
      <c r="F465" t="inlineStr">
        <is>
          <t>m2</t>
        </is>
      </c>
      <c r="G465" s="20" t="n">
        <v>1.770772116814832</v>
      </c>
      <c r="H465" s="16">
        <f>'00_TONG_HOP_BAO_GIA'!G95</f>
        <v/>
      </c>
      <c r="I465" s="21">
        <f>G465*H465</f>
        <v/>
      </c>
      <c r="J465" s="16">
        <f>IFERROR(INDEX('06_BANG_GIA_VAT_TU_AP_DUNG'!$E$1:$E$5000, MATCH(E465, '06_BANG_GIA_VAT_TU_AP_DUNG'!$B$1:$B$5000, 0)), 0)</f>
        <v/>
      </c>
      <c r="K465" s="16">
        <f>I465*J465</f>
        <v/>
      </c>
      <c r="L465" t="inlineStr">
        <is>
          <t>Bọc 2 lớp tấm 10mm quanh thân L=300mm</t>
        </is>
      </c>
    </row>
    <row r="466">
      <c r="A466" t="inlineStr">
        <is>
          <t>SW-DAMPER-094-FB20-BLADE</t>
        </is>
      </c>
      <c r="B466" t="inlineStr">
        <is>
          <t>SW-DAMPER-094</t>
        </is>
      </c>
      <c r="C466" t="inlineStr">
        <is>
          <t>Tấm chống cháy dày 20mm làm lõi cánh van FD/MFD</t>
        </is>
      </c>
      <c r="D466" t="inlineStr">
        <is>
          <t>VẬT_LIỆU_CÁCH_NHIỆT</t>
        </is>
      </c>
      <c r="E466" t="inlineStr">
        <is>
          <t>MAT-FIREBOARD-20MM-BLADE</t>
        </is>
      </c>
      <c r="F466" t="inlineStr">
        <is>
          <t>m2</t>
        </is>
      </c>
      <c r="G466" s="20" t="n">
        <v>0.3935049148477405</v>
      </c>
      <c r="H466" s="16">
        <f>'00_TONG_HOP_BAO_GIA'!G95</f>
        <v/>
      </c>
      <c r="I466" s="21">
        <f>G466*H466</f>
        <v/>
      </c>
      <c r="J466" s="16">
        <f>IFERROR(INDEX('06_BANG_GIA_VAT_TU_AP_DUNG'!$E$1:$E$5000, MATCH(E466, '06_BANG_GIA_VAT_TU_AP_DUNG'!$B$1:$B$5000, 0)), 0)</f>
        <v/>
      </c>
      <c r="K466" s="16">
        <f>I466*J466</f>
        <v/>
      </c>
      <c r="L466" t="inlineStr">
        <is>
          <t>Lõi cánh tấm 20mm (Cánh đơn 800x400mm)</t>
        </is>
      </c>
    </row>
    <row r="467">
      <c r="A467" t="inlineStr">
        <is>
          <t>SW-DAMPER-094-FB10-BLADE</t>
        </is>
      </c>
      <c r="B467" t="inlineStr">
        <is>
          <t>SW-DAMPER-094</t>
        </is>
      </c>
      <c r="C467" t="inlineStr">
        <is>
          <t>Tấm chống cháy dày 10mm ốp 2 mặt cánh van FD/MFD</t>
        </is>
      </c>
      <c r="D467" t="inlineStr">
        <is>
          <t>VẬT_LIỆU_CÁCH_NHIỆT</t>
        </is>
      </c>
      <c r="E467" t="inlineStr">
        <is>
          <t>MAT-FIREBOARD-10MM-BLADE</t>
        </is>
      </c>
      <c r="F467" t="inlineStr">
        <is>
          <t>m2</t>
        </is>
      </c>
      <c r="G467" s="20" t="n">
        <v>0.7870098296954811</v>
      </c>
      <c r="H467" s="16">
        <f>'00_TONG_HOP_BAO_GIA'!G95</f>
        <v/>
      </c>
      <c r="I467" s="21">
        <f>G467*H467</f>
        <v/>
      </c>
      <c r="J467" s="16">
        <f>IFERROR(INDEX('06_BANG_GIA_VAT_TU_AP_DUNG'!$E$1:$E$5000, MATCH(E467, '06_BANG_GIA_VAT_TU_AP_DUNG'!$B$1:$B$5000, 0)), 0)</f>
        <v/>
      </c>
      <c r="K467" s="16">
        <f>I467*J467</f>
        <v/>
      </c>
      <c r="L467" t="inlineStr">
        <is>
          <t>Ốp 2 mặt cánh tấm 10mm (Cánh đơn 800x400mm)</t>
        </is>
      </c>
    </row>
    <row r="468">
      <c r="A468" t="inlineStr">
        <is>
          <t>SW-DAMPER-094-SPRING-BOX</t>
        </is>
      </c>
      <c r="B468" t="inlineStr">
        <is>
          <t>SW-DAMPER-094</t>
        </is>
      </c>
      <c r="C468" t="inlineStr">
        <is>
          <t>Hộp lò xo van chặn lửa FD/MFD</t>
        </is>
      </c>
      <c r="D468" t="inlineStr">
        <is>
          <t>PHỤ_KIỆN_VAN</t>
        </is>
      </c>
      <c r="E468" t="inlineStr">
        <is>
          <t>MAT-DAMPER-HOP-LO-XO</t>
        </is>
      </c>
      <c r="F468" t="inlineStr">
        <is>
          <t>Bộ</t>
        </is>
      </c>
      <c r="G468" s="20" t="n">
        <v>1</v>
      </c>
      <c r="H468" s="16">
        <f>'00_TONG_HOP_BAO_GIA'!G95</f>
        <v/>
      </c>
      <c r="I468" s="21">
        <f>G468*H468</f>
        <v/>
      </c>
      <c r="J468" s="16">
        <f>IFERROR(INDEX('06_BANG_GIA_VAT_TU_AP_DUNG'!$E$1:$E$5000, MATCH(E468, '06_BANG_GIA_VAT_TU_AP_DUNG'!$B$1:$B$5000, 0)), 0)</f>
        <v/>
      </c>
      <c r="K468" s="16">
        <f>I468*J468</f>
        <v/>
      </c>
      <c r="L468" t="inlineStr">
        <is>
          <t>Hộp lò xo cơ cấu đóng sập (1 bộ)</t>
        </is>
      </c>
    </row>
    <row r="469">
      <c r="A469" t="inlineStr">
        <is>
          <t>SW-DAMPER-094-SILICON-BOLT</t>
        </is>
      </c>
      <c r="B469" t="inlineStr">
        <is>
          <t>SW-DAMPER-094</t>
        </is>
      </c>
      <c r="C469" t="inlineStr">
        <is>
          <t>Silicon chống cháy + bu lông, ốc vít van FD/MFD</t>
        </is>
      </c>
      <c r="D469" t="inlineStr">
        <is>
          <t>PHỤ_KIỆN_VAN</t>
        </is>
      </c>
      <c r="E469" t="inlineStr">
        <is>
          <t>MAT-DAMPER-SILICON-BULONG-VIT</t>
        </is>
      </c>
      <c r="F469" t="inlineStr">
        <is>
          <t>Bộ</t>
        </is>
      </c>
      <c r="G469" s="20" t="n">
        <v>1</v>
      </c>
      <c r="H469" s="16">
        <f>'00_TONG_HOP_BAO_GIA'!G95</f>
        <v/>
      </c>
      <c r="I469" s="21">
        <f>G469*H469</f>
        <v/>
      </c>
      <c r="J469" s="16">
        <f>IFERROR(INDEX('06_BANG_GIA_VAT_TU_AP_DUNG'!$E$1:$E$5000, MATCH(E469, '06_BANG_GIA_VAT_TU_AP_DUNG'!$B$1:$B$5000, 0)), 0)</f>
        <v/>
      </c>
      <c r="K469" s="16">
        <f>I469*J469</f>
        <v/>
      </c>
      <c r="L469" t="inlineStr">
        <is>
          <t>Keo silicon chống cháy &amp; phụ kiện lắp ghép (1 bộ)</t>
        </is>
      </c>
    </row>
    <row r="470">
      <c r="A470" t="inlineStr">
        <is>
          <t>SW-DAMPER-116-BODY</t>
        </is>
      </c>
      <c r="B470" t="inlineStr">
        <is>
          <t>SW-DAMPER-116</t>
        </is>
      </c>
      <c r="C470" t="inlineStr">
        <is>
          <t>Thân vỏ van PRD bích C30/TDF (1.15mm)</t>
        </is>
      </c>
      <c r="D470" t="inlineStr">
        <is>
          <t>TÔN_CUỘN_MẠ_KẼM</t>
        </is>
      </c>
      <c r="E470" t="inlineStr">
        <is>
          <t>MAT-STEEL-PN-1.15</t>
        </is>
      </c>
      <c r="F470" t="inlineStr">
        <is>
          <t>kg</t>
        </is>
      </c>
      <c r="G470" s="20" t="n">
        <v>11.9735792480331</v>
      </c>
      <c r="H470" s="16">
        <f>'00_TONG_HOP_BAO_GIA'!G117</f>
        <v/>
      </c>
      <c r="I470" s="21">
        <f>G470*H470</f>
        <v/>
      </c>
      <c r="J470" s="16">
        <f>IFERROR(INDEX('06_BANG_GIA_VAT_TU_AP_DUNG'!$E$1:$E$5000, MATCH(E470, '06_BANG_GIA_VAT_TU_AP_DUNG'!$B$1:$B$5000, 0)), 0)</f>
        <v/>
      </c>
      <c r="K470" s="16">
        <f>I470*J470</f>
        <v/>
      </c>
      <c r="L470" t="inlineStr">
        <is>
          <t>Kích thước vỏ 1100x400x210mm</t>
        </is>
      </c>
    </row>
    <row r="471">
      <c r="A471" t="inlineStr">
        <is>
          <t>SW-DAMPER-116-BLADE</t>
        </is>
      </c>
      <c r="B471" t="inlineStr">
        <is>
          <t>SW-DAMPER-116</t>
        </is>
      </c>
      <c r="C471" t="inlineStr">
        <is>
          <t>Lá cánh / Tôn tấm bọc van (3 cánh)</t>
        </is>
      </c>
      <c r="D471" t="inlineStr">
        <is>
          <t>TÔN_CUỘN_MẠ_KẼM</t>
        </is>
      </c>
      <c r="E471" t="inlineStr">
        <is>
          <t>MAT-STEEL-PN-0.75</t>
        </is>
      </c>
      <c r="F471" t="inlineStr">
        <is>
          <t>kg</t>
        </is>
      </c>
      <c r="G471" s="20" t="n">
        <v>4.774641563729636</v>
      </c>
      <c r="H471" s="16">
        <f>'00_TONG_HOP_BAO_GIA'!G117</f>
        <v/>
      </c>
      <c r="I471" s="21">
        <f>G471*H471</f>
        <v/>
      </c>
      <c r="J471" s="16">
        <f>IFERROR(INDEX('06_BANG_GIA_VAT_TU_AP_DUNG'!$E$1:$E$5000, MATCH(E471, '06_BANG_GIA_VAT_TU_AP_DUNG'!$B$1:$B$5000, 0)), 0)</f>
        <v/>
      </c>
      <c r="K471" s="16">
        <f>I471*J471</f>
        <v/>
      </c>
      <c r="L471" t="inlineStr">
        <is>
          <t>3 cánh cao 153mm</t>
        </is>
      </c>
    </row>
    <row r="472">
      <c r="A472" t="inlineStr">
        <is>
          <t>SW-DAMPER-116-AXLE</t>
        </is>
      </c>
      <c r="B472" t="inlineStr">
        <is>
          <t>SW-DAMPER-116</t>
        </is>
      </c>
      <c r="C472" t="inlineStr">
        <is>
          <t>Trục Sus 201 D10</t>
        </is>
      </c>
      <c r="D472" t="inlineStr">
        <is>
          <t>PHỤ_KIỆN_VAN</t>
        </is>
      </c>
      <c r="E472" t="inlineStr">
        <is>
          <t>MAT-DAMPER-TRUC-SUS-201-D10</t>
        </is>
      </c>
      <c r="F472" t="inlineStr">
        <is>
          <t>m</t>
        </is>
      </c>
      <c r="G472" s="20" t="n">
        <v>5.164339988014901</v>
      </c>
      <c r="H472" s="16">
        <f>'00_TONG_HOP_BAO_GIA'!G117</f>
        <v/>
      </c>
      <c r="I472" s="21">
        <f>G472*H472</f>
        <v/>
      </c>
      <c r="J472" s="16">
        <f>IFERROR(INDEX('06_BANG_GIA_VAT_TU_AP_DUNG'!$E$1:$E$5000, MATCH(E472, '06_BANG_GIA_VAT_TU_AP_DUNG'!$B$1:$B$5000, 0)), 0)</f>
        <v/>
      </c>
      <c r="K472" s="16">
        <f>I472*J472</f>
        <v/>
      </c>
      <c r="L472" t="inlineStr">
        <is>
          <t>3 trục dài 1160mm</t>
        </is>
      </c>
    </row>
    <row r="473">
      <c r="A473" t="inlineStr">
        <is>
          <t>SW-DAMPER-116-BEARING</t>
        </is>
      </c>
      <c r="B473" t="inlineStr">
        <is>
          <t>SW-DAMPER-116</t>
        </is>
      </c>
      <c r="C473" t="inlineStr">
        <is>
          <t>Bạc đồng D10</t>
        </is>
      </c>
      <c r="D473" t="inlineStr">
        <is>
          <t>PHỤ_KIỆN_VAN</t>
        </is>
      </c>
      <c r="E473" t="inlineStr">
        <is>
          <t>MAT-DAMPER-BAC-DONG-D10</t>
        </is>
      </c>
      <c r="F473" t="inlineStr">
        <is>
          <t>Đôi</t>
        </is>
      </c>
      <c r="G473" s="20" t="n">
        <v>3</v>
      </c>
      <c r="H473" s="16">
        <f>'00_TONG_HOP_BAO_GIA'!G117</f>
        <v/>
      </c>
      <c r="I473" s="21">
        <f>G473*H473</f>
        <v/>
      </c>
      <c r="J473" s="16">
        <f>IFERROR(INDEX('06_BANG_GIA_VAT_TU_AP_DUNG'!$E$1:$E$5000, MATCH(E473, '06_BANG_GIA_VAT_TU_AP_DUNG'!$B$1:$B$5000, 0)), 0)</f>
        <v/>
      </c>
      <c r="K473" s="16">
        <f>I473*J473</f>
        <v/>
      </c>
      <c r="L473" t="inlineStr">
        <is>
          <t>3 đôi bạc đỡ 2 bên thân</t>
        </is>
      </c>
    </row>
    <row r="474">
      <c r="A474" t="inlineStr">
        <is>
          <t>SW-DAMPER-116-GEAR</t>
        </is>
      </c>
      <c r="B474" t="inlineStr">
        <is>
          <t>SW-DAMPER-116</t>
        </is>
      </c>
      <c r="C474" t="inlineStr">
        <is>
          <t>Bánh răng van nhôm</t>
        </is>
      </c>
      <c r="D474" t="inlineStr">
        <is>
          <t>PHỤ_KIỆN_VAN</t>
        </is>
      </c>
      <c r="E474" t="inlineStr">
        <is>
          <t>MAT-DAMPER-BANH-RANG-VAN-NHOM</t>
        </is>
      </c>
      <c r="F474" t="inlineStr">
        <is>
          <t>Bộ</t>
        </is>
      </c>
      <c r="G474" s="20" t="n">
        <v>1</v>
      </c>
      <c r="H474" s="16">
        <f>'00_TONG_HOP_BAO_GIA'!G117</f>
        <v/>
      </c>
      <c r="I474" s="21">
        <f>G474*H474</f>
        <v/>
      </c>
      <c r="J474" s="16">
        <f>IFERROR(INDEX('06_BANG_GIA_VAT_TU_AP_DUNG'!$E$1:$E$5000, MATCH(E474, '06_BANG_GIA_VAT_TU_AP_DUNG'!$B$1:$B$5000, 0)), 0)</f>
        <v/>
      </c>
      <c r="K474" s="16">
        <f>I474*J474</f>
        <v/>
      </c>
      <c r="L474" t="inlineStr">
        <is>
          <t>Cơ cấu liên động cánh (1 bộ)</t>
        </is>
      </c>
    </row>
    <row r="475">
      <c r="A475" t="inlineStr">
        <is>
          <t>SW-DAMPER-116-ECCENTRIC</t>
        </is>
      </c>
      <c r="B475" t="inlineStr">
        <is>
          <t>SW-DAMPER-116</t>
        </is>
      </c>
      <c r="C475" t="inlineStr">
        <is>
          <t>Cơ cấu đối trọng xả áp (PRD)</t>
        </is>
      </c>
      <c r="D475" t="inlineStr">
        <is>
          <t>PHỤ_KIỆN_VAN</t>
        </is>
      </c>
      <c r="E475" t="inlineStr">
        <is>
          <t>ECCENTRIC_SHAFT</t>
        </is>
      </c>
      <c r="F475" t="inlineStr">
        <is>
          <t>Bộ</t>
        </is>
      </c>
      <c r="G475" s="20" t="n">
        <v>1</v>
      </c>
      <c r="H475" s="16">
        <f>'00_TONG_HOP_BAO_GIA'!G117</f>
        <v/>
      </c>
      <c r="I475" s="21">
        <f>G475*H475</f>
        <v/>
      </c>
      <c r="J475" s="16">
        <f>IFERROR(INDEX('06_BANG_GIA_VAT_TU_AP_DUNG'!$E$1:$E$5000, MATCH(E475, '06_BANG_GIA_VAT_TU_AP_DUNG'!$B$1:$B$5000, 0)), 0)</f>
        <v/>
      </c>
      <c r="K475" s="16">
        <f>I475*J475</f>
        <v/>
      </c>
      <c r="L475" t="inlineStr">
        <is>
          <t>Cơ cấu van xả áp đối trọng</t>
        </is>
      </c>
    </row>
    <row r="476">
      <c r="A476" t="inlineStr">
        <is>
          <t>SW-DAMPER-117-BODY</t>
        </is>
      </c>
      <c r="B476" t="inlineStr">
        <is>
          <t>SW-DAMPER-117</t>
        </is>
      </c>
      <c r="C476" t="inlineStr">
        <is>
          <t>Thân vỏ van PRD bích C30/TDF (0.95mm)</t>
        </is>
      </c>
      <c r="D476" t="inlineStr">
        <is>
          <t>TÔN_CUỘN_MẠ_KẼM</t>
        </is>
      </c>
      <c r="E476" t="inlineStr">
        <is>
          <t>MAT-STEEL-PN-0.95</t>
        </is>
      </c>
      <c r="F476" t="inlineStr">
        <is>
          <t>kg</t>
        </is>
      </c>
      <c r="G476" s="20" t="n">
        <v>6.660191862063834</v>
      </c>
      <c r="H476" s="16">
        <f>'00_TONG_HOP_BAO_GIA'!G118</f>
        <v/>
      </c>
      <c r="I476" s="21">
        <f>G476*H476</f>
        <v/>
      </c>
      <c r="J476" s="16">
        <f>IFERROR(INDEX('06_BANG_GIA_VAT_TU_AP_DUNG'!$E$1:$E$5000, MATCH(E476, '06_BANG_GIA_VAT_TU_AP_DUNG'!$B$1:$B$5000, 0)), 0)</f>
        <v/>
      </c>
      <c r="K476" s="16">
        <f>I476*J476</f>
        <v/>
      </c>
      <c r="L476" t="inlineStr">
        <is>
          <t>Kích thước vỏ 900x500x210mm</t>
        </is>
      </c>
    </row>
    <row r="477">
      <c r="A477" t="inlineStr">
        <is>
          <t>SW-DAMPER-117-BLADE</t>
        </is>
      </c>
      <c r="B477" t="inlineStr">
        <is>
          <t>SW-DAMPER-117</t>
        </is>
      </c>
      <c r="C477" t="inlineStr">
        <is>
          <t>Lá cánh / Tôn tấm bọc van (3 cánh)</t>
        </is>
      </c>
      <c r="D477" t="inlineStr">
        <is>
          <t>TÔN_CUỘN_MẠ_KẼM</t>
        </is>
      </c>
      <c r="E477" t="inlineStr">
        <is>
          <t>MAT-STEEL-PN-0.75</t>
        </is>
      </c>
      <c r="F477" t="inlineStr">
        <is>
          <t>kg</t>
        </is>
      </c>
      <c r="G477" s="20" t="n">
        <v>3.427780625821268</v>
      </c>
      <c r="H477" s="16">
        <f>'00_TONG_HOP_BAO_GIA'!G118</f>
        <v/>
      </c>
      <c r="I477" s="21">
        <f>G477*H477</f>
        <v/>
      </c>
      <c r="J477" s="16">
        <f>IFERROR(INDEX('06_BANG_GIA_VAT_TU_AP_DUNG'!$E$1:$E$5000, MATCH(E477, '06_BANG_GIA_VAT_TU_AP_DUNG'!$B$1:$B$5000, 0)), 0)</f>
        <v/>
      </c>
      <c r="K477" s="16">
        <f>I477*J477</f>
        <v/>
      </c>
      <c r="L477" t="inlineStr">
        <is>
          <t>3 cánh cao 187mm</t>
        </is>
      </c>
    </row>
    <row r="478">
      <c r="A478" t="inlineStr">
        <is>
          <t>SW-DAMPER-117-AXLE</t>
        </is>
      </c>
      <c r="B478" t="inlineStr">
        <is>
          <t>SW-DAMPER-117</t>
        </is>
      </c>
      <c r="C478" t="inlineStr">
        <is>
          <t>Trục Sus 201 D10</t>
        </is>
      </c>
      <c r="D478" t="inlineStr">
        <is>
          <t>PHỤ_KIỆN_VAN</t>
        </is>
      </c>
      <c r="E478" t="inlineStr">
        <is>
          <t>MAT-DAMPER-TRUC-SUS-201-D10</t>
        </is>
      </c>
      <c r="F478" t="inlineStr">
        <is>
          <t>m</t>
        </is>
      </c>
      <c r="G478" s="20" t="n">
        <v>3.080493490891848</v>
      </c>
      <c r="H478" s="16">
        <f>'00_TONG_HOP_BAO_GIA'!G118</f>
        <v/>
      </c>
      <c r="I478" s="21">
        <f>G478*H478</f>
        <v/>
      </c>
      <c r="J478" s="16">
        <f>IFERROR(INDEX('06_BANG_GIA_VAT_TU_AP_DUNG'!$E$1:$E$5000, MATCH(E478, '06_BANG_GIA_VAT_TU_AP_DUNG'!$B$1:$B$5000, 0)), 0)</f>
        <v/>
      </c>
      <c r="K478" s="16">
        <f>I478*J478</f>
        <v/>
      </c>
      <c r="L478" t="inlineStr">
        <is>
          <t>3 trục dài 960mm</t>
        </is>
      </c>
    </row>
    <row r="479">
      <c r="A479" t="inlineStr">
        <is>
          <t>SW-DAMPER-117-BEARING</t>
        </is>
      </c>
      <c r="B479" t="inlineStr">
        <is>
          <t>SW-DAMPER-117</t>
        </is>
      </c>
      <c r="C479" t="inlineStr">
        <is>
          <t>Bạc đồng D10</t>
        </is>
      </c>
      <c r="D479" t="inlineStr">
        <is>
          <t>PHỤ_KIỆN_VAN</t>
        </is>
      </c>
      <c r="E479" t="inlineStr">
        <is>
          <t>MAT-DAMPER-BAC-DONG-D10</t>
        </is>
      </c>
      <c r="F479" t="inlineStr">
        <is>
          <t>Đôi</t>
        </is>
      </c>
      <c r="G479" s="20" t="n">
        <v>3</v>
      </c>
      <c r="H479" s="16">
        <f>'00_TONG_HOP_BAO_GIA'!G118</f>
        <v/>
      </c>
      <c r="I479" s="21">
        <f>G479*H479</f>
        <v/>
      </c>
      <c r="J479" s="16">
        <f>IFERROR(INDEX('06_BANG_GIA_VAT_TU_AP_DUNG'!$E$1:$E$5000, MATCH(E479, '06_BANG_GIA_VAT_TU_AP_DUNG'!$B$1:$B$5000, 0)), 0)</f>
        <v/>
      </c>
      <c r="K479" s="16">
        <f>I479*J479</f>
        <v/>
      </c>
      <c r="L479" t="inlineStr">
        <is>
          <t>3 đôi bạc đỡ 2 bên thân</t>
        </is>
      </c>
    </row>
    <row r="480">
      <c r="A480" t="inlineStr">
        <is>
          <t>SW-DAMPER-117-GEAR</t>
        </is>
      </c>
      <c r="B480" t="inlineStr">
        <is>
          <t>SW-DAMPER-117</t>
        </is>
      </c>
      <c r="C480" t="inlineStr">
        <is>
          <t>Bánh răng van nhôm</t>
        </is>
      </c>
      <c r="D480" t="inlineStr">
        <is>
          <t>PHỤ_KIỆN_VAN</t>
        </is>
      </c>
      <c r="E480" t="inlineStr">
        <is>
          <t>MAT-DAMPER-BANH-RANG-VAN-NHOM</t>
        </is>
      </c>
      <c r="F480" t="inlineStr">
        <is>
          <t>Bộ</t>
        </is>
      </c>
      <c r="G480" s="20" t="n">
        <v>1</v>
      </c>
      <c r="H480" s="16">
        <f>'00_TONG_HOP_BAO_GIA'!G118</f>
        <v/>
      </c>
      <c r="I480" s="21">
        <f>G480*H480</f>
        <v/>
      </c>
      <c r="J480" s="16">
        <f>IFERROR(INDEX('06_BANG_GIA_VAT_TU_AP_DUNG'!$E$1:$E$5000, MATCH(E480, '06_BANG_GIA_VAT_TU_AP_DUNG'!$B$1:$B$5000, 0)), 0)</f>
        <v/>
      </c>
      <c r="K480" s="16">
        <f>I480*J480</f>
        <v/>
      </c>
      <c r="L480" t="inlineStr">
        <is>
          <t>Cơ cấu liên động cánh (1 bộ)</t>
        </is>
      </c>
    </row>
    <row r="481">
      <c r="A481" t="inlineStr">
        <is>
          <t>SW-DAMPER-117-ECCENTRIC</t>
        </is>
      </c>
      <c r="B481" t="inlineStr">
        <is>
          <t>SW-DAMPER-117</t>
        </is>
      </c>
      <c r="C481" t="inlineStr">
        <is>
          <t>Cơ cấu đối trọng xả áp (PRD)</t>
        </is>
      </c>
      <c r="D481" t="inlineStr">
        <is>
          <t>PHỤ_KIỆN_VAN</t>
        </is>
      </c>
      <c r="E481" t="inlineStr">
        <is>
          <t>ECCENTRIC_SHAFT</t>
        </is>
      </c>
      <c r="F481" t="inlineStr">
        <is>
          <t>Bộ</t>
        </is>
      </c>
      <c r="G481" s="20" t="n">
        <v>1</v>
      </c>
      <c r="H481" s="16">
        <f>'00_TONG_HOP_BAO_GIA'!G118</f>
        <v/>
      </c>
      <c r="I481" s="21">
        <f>G481*H481</f>
        <v/>
      </c>
      <c r="J481" s="16">
        <f>IFERROR(INDEX('06_BANG_GIA_VAT_TU_AP_DUNG'!$E$1:$E$5000, MATCH(E481, '06_BANG_GIA_VAT_TU_AP_DUNG'!$B$1:$B$5000, 0)), 0)</f>
        <v/>
      </c>
      <c r="K481" s="16">
        <f>I481*J481</f>
        <v/>
      </c>
      <c r="L481" t="inlineStr">
        <is>
          <t>Cơ cấu van xả áp đối trọng</t>
        </is>
      </c>
    </row>
    <row r="482">
      <c r="A482" t="inlineStr">
        <is>
          <t>SW-DAMPER-118-BODY</t>
        </is>
      </c>
      <c r="B482" t="inlineStr">
        <is>
          <t>SW-DAMPER-118</t>
        </is>
      </c>
      <c r="C482" t="inlineStr">
        <is>
          <t>Thân vỏ van PRD bích C30/TDF (0.75mm)</t>
        </is>
      </c>
      <c r="D482" t="inlineStr">
        <is>
          <t>TÔN_CUỘN_MẠ_KẼM</t>
        </is>
      </c>
      <c r="E482" t="inlineStr">
        <is>
          <t>MAT-STEEL-PN-0.75</t>
        </is>
      </c>
      <c r="F482" t="inlineStr">
        <is>
          <t>kg</t>
        </is>
      </c>
      <c r="G482" s="20" t="n">
        <v>3.931976488276725</v>
      </c>
      <c r="H482" s="16">
        <f>'00_TONG_HOP_BAO_GIA'!G119</f>
        <v/>
      </c>
      <c r="I482" s="21">
        <f>G482*H482</f>
        <v/>
      </c>
      <c r="J482" s="16">
        <f>IFERROR(INDEX('06_BANG_GIA_VAT_TU_AP_DUNG'!$E$1:$E$5000, MATCH(E482, '06_BANG_GIA_VAT_TU_AP_DUNG'!$B$1:$B$5000, 0)), 0)</f>
        <v/>
      </c>
      <c r="K482" s="16">
        <f>I482*J482</f>
        <v/>
      </c>
      <c r="L482" t="inlineStr">
        <is>
          <t>Kích thước vỏ 800x400x210mm</t>
        </is>
      </c>
    </row>
    <row r="483">
      <c r="A483" t="inlineStr">
        <is>
          <t>SW-DAMPER-118-BLADE</t>
        </is>
      </c>
      <c r="B483" t="inlineStr">
        <is>
          <t>SW-DAMPER-118</t>
        </is>
      </c>
      <c r="C483" t="inlineStr">
        <is>
          <t>Lá cánh / Tôn tấm bọc van (3 cánh)</t>
        </is>
      </c>
      <c r="D483" t="inlineStr">
        <is>
          <t>TÔN_CUỘN_MẠ_KẼM</t>
        </is>
      </c>
      <c r="E483" t="inlineStr">
        <is>
          <t>MAT-STEEL-PN-0.75</t>
        </is>
      </c>
      <c r="F483" t="inlineStr">
        <is>
          <t>kg</t>
        </is>
      </c>
      <c r="G483" s="20" t="n">
        <v>2.178438629838159</v>
      </c>
      <c r="H483" s="16">
        <f>'00_TONG_HOP_BAO_GIA'!G119</f>
        <v/>
      </c>
      <c r="I483" s="21">
        <f>G483*H483</f>
        <v/>
      </c>
      <c r="J483" s="16">
        <f>IFERROR(INDEX('06_BANG_GIA_VAT_TU_AP_DUNG'!$E$1:$E$5000, MATCH(E483, '06_BANG_GIA_VAT_TU_AP_DUNG'!$B$1:$B$5000, 0)), 0)</f>
        <v/>
      </c>
      <c r="K483" s="16">
        <f>I483*J483</f>
        <v/>
      </c>
      <c r="L483" t="inlineStr">
        <is>
          <t>3 cánh cao 153mm</t>
        </is>
      </c>
    </row>
    <row r="484">
      <c r="A484" t="inlineStr">
        <is>
          <t>SW-DAMPER-118-AXLE</t>
        </is>
      </c>
      <c r="B484" t="inlineStr">
        <is>
          <t>SW-DAMPER-118</t>
        </is>
      </c>
      <c r="C484" t="inlineStr">
        <is>
          <t>Trục Sus 201 D10</t>
        </is>
      </c>
      <c r="D484" t="inlineStr">
        <is>
          <t>PHỤ_KIỆN_VAN</t>
        </is>
      </c>
      <c r="E484" t="inlineStr">
        <is>
          <t>MAT-DAMPER-TRUC-SUS-201-D10</t>
        </is>
      </c>
      <c r="F484" t="inlineStr">
        <is>
          <t>m</t>
        </is>
      </c>
      <c r="G484" s="20" t="n">
        <v>2.401942138810446</v>
      </c>
      <c r="H484" s="16">
        <f>'00_TONG_HOP_BAO_GIA'!G119</f>
        <v/>
      </c>
      <c r="I484" s="21">
        <f>G484*H484</f>
        <v/>
      </c>
      <c r="J484" s="16">
        <f>IFERROR(INDEX('06_BANG_GIA_VAT_TU_AP_DUNG'!$E$1:$E$5000, MATCH(E484, '06_BANG_GIA_VAT_TU_AP_DUNG'!$B$1:$B$5000, 0)), 0)</f>
        <v/>
      </c>
      <c r="K484" s="16">
        <f>I484*J484</f>
        <v/>
      </c>
      <c r="L484" t="inlineStr">
        <is>
          <t>3 trục dài 860mm</t>
        </is>
      </c>
    </row>
    <row r="485">
      <c r="A485" t="inlineStr">
        <is>
          <t>SW-DAMPER-118-BEARING</t>
        </is>
      </c>
      <c r="B485" t="inlineStr">
        <is>
          <t>SW-DAMPER-118</t>
        </is>
      </c>
      <c r="C485" t="inlineStr">
        <is>
          <t>Bạc đồng D10</t>
        </is>
      </c>
      <c r="D485" t="inlineStr">
        <is>
          <t>PHỤ_KIỆN_VAN</t>
        </is>
      </c>
      <c r="E485" t="inlineStr">
        <is>
          <t>MAT-DAMPER-BAC-DONG-D10</t>
        </is>
      </c>
      <c r="F485" t="inlineStr">
        <is>
          <t>Đôi</t>
        </is>
      </c>
      <c r="G485" s="20" t="n">
        <v>3</v>
      </c>
      <c r="H485" s="16">
        <f>'00_TONG_HOP_BAO_GIA'!G119</f>
        <v/>
      </c>
      <c r="I485" s="21">
        <f>G485*H485</f>
        <v/>
      </c>
      <c r="J485" s="16">
        <f>IFERROR(INDEX('06_BANG_GIA_VAT_TU_AP_DUNG'!$E$1:$E$5000, MATCH(E485, '06_BANG_GIA_VAT_TU_AP_DUNG'!$B$1:$B$5000, 0)), 0)</f>
        <v/>
      </c>
      <c r="K485" s="16">
        <f>I485*J485</f>
        <v/>
      </c>
      <c r="L485" t="inlineStr">
        <is>
          <t>3 đôi bạc đỡ 2 bên thân</t>
        </is>
      </c>
    </row>
    <row r="486">
      <c r="A486" t="inlineStr">
        <is>
          <t>SW-DAMPER-118-GEAR</t>
        </is>
      </c>
      <c r="B486" t="inlineStr">
        <is>
          <t>SW-DAMPER-118</t>
        </is>
      </c>
      <c r="C486" t="inlineStr">
        <is>
          <t>Bánh răng van nhôm</t>
        </is>
      </c>
      <c r="D486" t="inlineStr">
        <is>
          <t>PHỤ_KIỆN_VAN</t>
        </is>
      </c>
      <c r="E486" t="inlineStr">
        <is>
          <t>MAT-DAMPER-BANH-RANG-VAN-NHOM</t>
        </is>
      </c>
      <c r="F486" t="inlineStr">
        <is>
          <t>Bộ</t>
        </is>
      </c>
      <c r="G486" s="20" t="n">
        <v>1</v>
      </c>
      <c r="H486" s="16">
        <f>'00_TONG_HOP_BAO_GIA'!G119</f>
        <v/>
      </c>
      <c r="I486" s="21">
        <f>G486*H486</f>
        <v/>
      </c>
      <c r="J486" s="16">
        <f>IFERROR(INDEX('06_BANG_GIA_VAT_TU_AP_DUNG'!$E$1:$E$5000, MATCH(E486, '06_BANG_GIA_VAT_TU_AP_DUNG'!$B$1:$B$5000, 0)), 0)</f>
        <v/>
      </c>
      <c r="K486" s="16">
        <f>I486*J486</f>
        <v/>
      </c>
      <c r="L486" t="inlineStr">
        <is>
          <t>Cơ cấu liên động cánh (1 bộ)</t>
        </is>
      </c>
    </row>
    <row r="487">
      <c r="A487" t="inlineStr">
        <is>
          <t>SW-DAMPER-118-ECCENTRIC</t>
        </is>
      </c>
      <c r="B487" t="inlineStr">
        <is>
          <t>SW-DAMPER-118</t>
        </is>
      </c>
      <c r="C487" t="inlineStr">
        <is>
          <t>Cơ cấu đối trọng xả áp (PRD)</t>
        </is>
      </c>
      <c r="D487" t="inlineStr">
        <is>
          <t>PHỤ_KIỆN_VAN</t>
        </is>
      </c>
      <c r="E487" t="inlineStr">
        <is>
          <t>ECCENTRIC_SHAFT</t>
        </is>
      </c>
      <c r="F487" t="inlineStr">
        <is>
          <t>Bộ</t>
        </is>
      </c>
      <c r="G487" s="20" t="n">
        <v>1</v>
      </c>
      <c r="H487" s="16">
        <f>'00_TONG_HOP_BAO_GIA'!G119</f>
        <v/>
      </c>
      <c r="I487" s="21">
        <f>G487*H487</f>
        <v/>
      </c>
      <c r="J487" s="16">
        <f>IFERROR(INDEX('06_BANG_GIA_VAT_TU_AP_DUNG'!$E$1:$E$5000, MATCH(E487, '06_BANG_GIA_VAT_TU_AP_DUNG'!$B$1:$B$5000, 0)), 0)</f>
        <v/>
      </c>
      <c r="K487" s="16">
        <f>I487*J487</f>
        <v/>
      </c>
      <c r="L487" t="inlineStr">
        <is>
          <t>Cơ cấu van xả áp đối trọng</t>
        </is>
      </c>
    </row>
    <row r="488">
      <c r="A488" t="inlineStr">
        <is>
          <t>SW-DAMPER-119-BODY</t>
        </is>
      </c>
      <c r="B488" t="inlineStr">
        <is>
          <t>SW-DAMPER-119</t>
        </is>
      </c>
      <c r="C488" t="inlineStr">
        <is>
          <t>Thân vỏ van PRD bích C30/TDF (0.75mm)</t>
        </is>
      </c>
      <c r="D488" t="inlineStr">
        <is>
          <t>TÔN_CUỘN_MẠ_KẼM</t>
        </is>
      </c>
      <c r="E488" t="inlineStr">
        <is>
          <t>MAT-STEEL-PN-0.75</t>
        </is>
      </c>
      <c r="F488" t="inlineStr">
        <is>
          <t>kg</t>
        </is>
      </c>
      <c r="G488" s="20" t="n">
        <v>3.825422407893607</v>
      </c>
      <c r="H488" s="16">
        <f>'00_TONG_HOP_BAO_GIA'!G120</f>
        <v/>
      </c>
      <c r="I488" s="21">
        <f>G488*H488</f>
        <v/>
      </c>
      <c r="J488" s="16">
        <f>IFERROR(INDEX('06_BANG_GIA_VAT_TU_AP_DUNG'!$E$1:$E$5000, MATCH(E488, '06_BANG_GIA_VAT_TU_AP_DUNG'!$B$1:$B$5000, 0)), 0)</f>
        <v/>
      </c>
      <c r="K488" s="16">
        <f>I488*J488</f>
        <v/>
      </c>
      <c r="L488" t="inlineStr">
        <is>
          <t>Kích thước vỏ 600x300x210mm</t>
        </is>
      </c>
    </row>
    <row r="489">
      <c r="A489" t="inlineStr">
        <is>
          <t>SW-DAMPER-119-BLADE</t>
        </is>
      </c>
      <c r="B489" t="inlineStr">
        <is>
          <t>SW-DAMPER-119</t>
        </is>
      </c>
      <c r="C489" t="inlineStr">
        <is>
          <t>Lá cánh / Tôn tấm bọc van (2 cánh)</t>
        </is>
      </c>
      <c r="D489" t="inlineStr">
        <is>
          <t>TÔN_CUỘN_MẠ_KẼM</t>
        </is>
      </c>
      <c r="E489" t="inlineStr">
        <is>
          <t>MAT-STEEL-PN-0.75</t>
        </is>
      </c>
      <c r="F489" t="inlineStr">
        <is>
          <t>kg</t>
        </is>
      </c>
      <c r="G489" s="20" t="n">
        <v>1.55800256009154</v>
      </c>
      <c r="H489" s="16">
        <f>'00_TONG_HOP_BAO_GIA'!G120</f>
        <v/>
      </c>
      <c r="I489" s="21">
        <f>G489*H489</f>
        <v/>
      </c>
      <c r="J489" s="16">
        <f>IFERROR(INDEX('06_BANG_GIA_VAT_TU_AP_DUNG'!$E$1:$E$5000, MATCH(E489, '06_BANG_GIA_VAT_TU_AP_DUNG'!$B$1:$B$5000, 0)), 0)</f>
        <v/>
      </c>
      <c r="K489" s="16">
        <f>I489*J489</f>
        <v/>
      </c>
      <c r="L489" t="inlineStr">
        <is>
          <t>2 cánh cao 170mm</t>
        </is>
      </c>
    </row>
    <row r="490">
      <c r="A490" t="inlineStr">
        <is>
          <t>SW-DAMPER-119-AXLE</t>
        </is>
      </c>
      <c r="B490" t="inlineStr">
        <is>
          <t>SW-DAMPER-119</t>
        </is>
      </c>
      <c r="C490" t="inlineStr">
        <is>
          <t>Trục Sus 201 D10</t>
        </is>
      </c>
      <c r="D490" t="inlineStr">
        <is>
          <t>PHỤ_KIỆN_VAN</t>
        </is>
      </c>
      <c r="E490" t="inlineStr">
        <is>
          <t>MAT-DAMPER-TRUC-SUS-201-D10</t>
        </is>
      </c>
      <c r="F490" t="inlineStr">
        <is>
          <t>m</t>
        </is>
      </c>
      <c r="G490" s="20" t="n">
        <v>1.585467175573867</v>
      </c>
      <c r="H490" s="16">
        <f>'00_TONG_HOP_BAO_GIA'!G120</f>
        <v/>
      </c>
      <c r="I490" s="21">
        <f>G490*H490</f>
        <v/>
      </c>
      <c r="J490" s="16">
        <f>IFERROR(INDEX('06_BANG_GIA_VAT_TU_AP_DUNG'!$E$1:$E$5000, MATCH(E490, '06_BANG_GIA_VAT_TU_AP_DUNG'!$B$1:$B$5000, 0)), 0)</f>
        <v/>
      </c>
      <c r="K490" s="16">
        <f>I490*J490</f>
        <v/>
      </c>
      <c r="L490" t="inlineStr">
        <is>
          <t>2 trục dài 660mm</t>
        </is>
      </c>
    </row>
    <row r="491">
      <c r="A491" t="inlineStr">
        <is>
          <t>SW-DAMPER-119-BEARING</t>
        </is>
      </c>
      <c r="B491" t="inlineStr">
        <is>
          <t>SW-DAMPER-119</t>
        </is>
      </c>
      <c r="C491" t="inlineStr">
        <is>
          <t>Bạc đồng D10</t>
        </is>
      </c>
      <c r="D491" t="inlineStr">
        <is>
          <t>PHỤ_KIỆN_VAN</t>
        </is>
      </c>
      <c r="E491" t="inlineStr">
        <is>
          <t>MAT-DAMPER-BAC-DONG-D10</t>
        </is>
      </c>
      <c r="F491" t="inlineStr">
        <is>
          <t>Đôi</t>
        </is>
      </c>
      <c r="G491" s="20" t="n">
        <v>2</v>
      </c>
      <c r="H491" s="16">
        <f>'00_TONG_HOP_BAO_GIA'!G120</f>
        <v/>
      </c>
      <c r="I491" s="21">
        <f>G491*H491</f>
        <v/>
      </c>
      <c r="J491" s="16">
        <f>IFERROR(INDEX('06_BANG_GIA_VAT_TU_AP_DUNG'!$E$1:$E$5000, MATCH(E491, '06_BANG_GIA_VAT_TU_AP_DUNG'!$B$1:$B$5000, 0)), 0)</f>
        <v/>
      </c>
      <c r="K491" s="16">
        <f>I491*J491</f>
        <v/>
      </c>
      <c r="L491" t="inlineStr">
        <is>
          <t>2 đôi bạc đỡ 2 bên thân</t>
        </is>
      </c>
    </row>
    <row r="492">
      <c r="A492" t="inlineStr">
        <is>
          <t>SW-DAMPER-119-GEAR</t>
        </is>
      </c>
      <c r="B492" t="inlineStr">
        <is>
          <t>SW-DAMPER-119</t>
        </is>
      </c>
      <c r="C492" t="inlineStr">
        <is>
          <t>Bánh răng van nhôm</t>
        </is>
      </c>
      <c r="D492" t="inlineStr">
        <is>
          <t>PHỤ_KIỆN_VAN</t>
        </is>
      </c>
      <c r="E492" t="inlineStr">
        <is>
          <t>MAT-DAMPER-BANH-RANG-VAN-NHOM</t>
        </is>
      </c>
      <c r="F492" t="inlineStr">
        <is>
          <t>Bộ</t>
        </is>
      </c>
      <c r="G492" s="20" t="n">
        <v>1</v>
      </c>
      <c r="H492" s="16">
        <f>'00_TONG_HOP_BAO_GIA'!G120</f>
        <v/>
      </c>
      <c r="I492" s="21">
        <f>G492*H492</f>
        <v/>
      </c>
      <c r="J492" s="16">
        <f>IFERROR(INDEX('06_BANG_GIA_VAT_TU_AP_DUNG'!$E$1:$E$5000, MATCH(E492, '06_BANG_GIA_VAT_TU_AP_DUNG'!$B$1:$B$5000, 0)), 0)</f>
        <v/>
      </c>
      <c r="K492" s="16">
        <f>I492*J492</f>
        <v/>
      </c>
      <c r="L492" t="inlineStr">
        <is>
          <t>Cơ cấu liên động cánh (1 bộ)</t>
        </is>
      </c>
    </row>
    <row r="493">
      <c r="A493" t="inlineStr">
        <is>
          <t>SW-DAMPER-119-ECCENTRIC</t>
        </is>
      </c>
      <c r="B493" t="inlineStr">
        <is>
          <t>SW-DAMPER-119</t>
        </is>
      </c>
      <c r="C493" t="inlineStr">
        <is>
          <t>Cơ cấu đối trọng xả áp (PRD)</t>
        </is>
      </c>
      <c r="D493" t="inlineStr">
        <is>
          <t>PHỤ_KIỆN_VAN</t>
        </is>
      </c>
      <c r="E493" t="inlineStr">
        <is>
          <t>ECCENTRIC_SHAFT</t>
        </is>
      </c>
      <c r="F493" t="inlineStr">
        <is>
          <t>Bộ</t>
        </is>
      </c>
      <c r="G493" s="20" t="n">
        <v>1</v>
      </c>
      <c r="H493" s="16">
        <f>'00_TONG_HOP_BAO_GIA'!G120</f>
        <v/>
      </c>
      <c r="I493" s="21">
        <f>G493*H493</f>
        <v/>
      </c>
      <c r="J493" s="16">
        <f>IFERROR(INDEX('06_BANG_GIA_VAT_TU_AP_DUNG'!$E$1:$E$5000, MATCH(E493, '06_BANG_GIA_VAT_TU_AP_DUNG'!$B$1:$B$5000, 0)), 0)</f>
        <v/>
      </c>
      <c r="K493" s="16">
        <f>I493*J493</f>
        <v/>
      </c>
      <c r="L493" t="inlineStr">
        <is>
          <t>Cơ cấu van xả áp đối trọng</t>
        </is>
      </c>
    </row>
    <row r="494">
      <c r="A494" t="inlineStr">
        <is>
          <t>SW-DAMPER-128-BODY</t>
        </is>
      </c>
      <c r="B494" t="inlineStr">
        <is>
          <t>SW-DAMPER-128</t>
        </is>
      </c>
      <c r="C494" t="inlineStr">
        <is>
          <t>Thân vỏ van FD bích C30/TDF (1.15mm)</t>
        </is>
      </c>
      <c r="D494" t="inlineStr">
        <is>
          <t>TÔN_CUỘN_MẠ_KẼM</t>
        </is>
      </c>
      <c r="E494" t="inlineStr">
        <is>
          <t>MAT-STEEL-PN-1.15</t>
        </is>
      </c>
      <c r="F494" t="inlineStr">
        <is>
          <t>kg</t>
        </is>
      </c>
      <c r="G494" s="20" t="n">
        <v>1.854293367090143</v>
      </c>
      <c r="H494" s="16">
        <f>'00_TONG_HOP_BAO_GIA'!G129</f>
        <v/>
      </c>
      <c r="I494" s="21">
        <f>G494*H494</f>
        <v/>
      </c>
      <c r="J494" s="16">
        <f>IFERROR(INDEX('06_BANG_GIA_VAT_TU_AP_DUNG'!$E$1:$E$5000, MATCH(E494, '06_BANG_GIA_VAT_TU_AP_DUNG'!$B$1:$B$5000, 0)), 0)</f>
        <v/>
      </c>
      <c r="K494" s="16">
        <f>I494*J494</f>
        <v/>
      </c>
      <c r="L494" t="inlineStr">
        <is>
          <t>Kích thước vỏ 150x150x200mm</t>
        </is>
      </c>
    </row>
    <row r="495">
      <c r="A495" t="inlineStr">
        <is>
          <t>SW-DAMPER-128-BLADE</t>
        </is>
      </c>
      <c r="B495" t="inlineStr">
        <is>
          <t>SW-DAMPER-128</t>
        </is>
      </c>
      <c r="C495" t="inlineStr">
        <is>
          <t>Lá cánh / Tôn tấm bọc van (1 cánh)</t>
        </is>
      </c>
      <c r="D495" t="inlineStr">
        <is>
          <t>TÔN_CUỘN_MẠ_KẼM</t>
        </is>
      </c>
      <c r="E495" t="inlineStr">
        <is>
          <t>MAT-STEEL-PN-1.15</t>
        </is>
      </c>
      <c r="F495" t="inlineStr">
        <is>
          <t>kg</t>
        </is>
      </c>
      <c r="G495" s="20" t="n">
        <v>0.4598941882664044</v>
      </c>
      <c r="H495" s="16">
        <f>'00_TONG_HOP_BAO_GIA'!G129</f>
        <v/>
      </c>
      <c r="I495" s="21">
        <f>G495*H495</f>
        <v/>
      </c>
      <c r="J495" s="16">
        <f>IFERROR(INDEX('06_BANG_GIA_VAT_TU_AP_DUNG'!$E$1:$E$5000, MATCH(E495, '06_BANG_GIA_VAT_TU_AP_DUNG'!$B$1:$B$5000, 0)), 0)</f>
        <v/>
      </c>
      <c r="K495" s="16">
        <f>I495*J495</f>
        <v/>
      </c>
      <c r="L495" t="inlineStr">
        <is>
          <t>Tôn bọc cánh &amp; thân (1 cánh/modul)</t>
        </is>
      </c>
    </row>
    <row r="496">
      <c r="A496" t="inlineStr">
        <is>
          <t>SW-DAMPER-128-AXLE</t>
        </is>
      </c>
      <c r="B496" t="inlineStr">
        <is>
          <t>SW-DAMPER-128</t>
        </is>
      </c>
      <c r="C496" t="inlineStr">
        <is>
          <t>Trục Sus 201 D10</t>
        </is>
      </c>
      <c r="D496" t="inlineStr">
        <is>
          <t>PHỤ_KIỆN_VAN</t>
        </is>
      </c>
      <c r="E496" t="inlineStr">
        <is>
          <t>MAT-DAMPER-TRUC-SUS-201-D10</t>
        </is>
      </c>
      <c r="F496" t="inlineStr">
        <is>
          <t>m</t>
        </is>
      </c>
      <c r="G496" s="20" t="n">
        <v>0.2377372338495214</v>
      </c>
      <c r="H496" s="16">
        <f>'00_TONG_HOP_BAO_GIA'!G129</f>
        <v/>
      </c>
      <c r="I496" s="21">
        <f>G496*H496</f>
        <v/>
      </c>
      <c r="J496" s="16">
        <f>IFERROR(INDEX('06_BANG_GIA_VAT_TU_AP_DUNG'!$E$1:$E$5000, MATCH(E496, '06_BANG_GIA_VAT_TU_AP_DUNG'!$B$1:$B$5000, 0)), 0)</f>
        <v/>
      </c>
      <c r="K496" s="16">
        <f>I496*J496</f>
        <v/>
      </c>
      <c r="L496" t="inlineStr">
        <is>
          <t>1 trục dài 210mm</t>
        </is>
      </c>
    </row>
    <row r="497">
      <c r="A497" t="inlineStr">
        <is>
          <t>SW-DAMPER-128-BEARING</t>
        </is>
      </c>
      <c r="B497" t="inlineStr">
        <is>
          <t>SW-DAMPER-128</t>
        </is>
      </c>
      <c r="C497" t="inlineStr">
        <is>
          <t>Bạc đồng D10</t>
        </is>
      </c>
      <c r="D497" t="inlineStr">
        <is>
          <t>PHỤ_KIỆN_VAN</t>
        </is>
      </c>
      <c r="E497" t="inlineStr">
        <is>
          <t>MAT-DAMPER-BAC-DONG-D10</t>
        </is>
      </c>
      <c r="F497" t="inlineStr">
        <is>
          <t>Đôi</t>
        </is>
      </c>
      <c r="G497" s="20" t="n">
        <v>1</v>
      </c>
      <c r="H497" s="16">
        <f>'00_TONG_HOP_BAO_GIA'!G129</f>
        <v/>
      </c>
      <c r="I497" s="21">
        <f>G497*H497</f>
        <v/>
      </c>
      <c r="J497" s="16">
        <f>IFERROR(INDEX('06_BANG_GIA_VAT_TU_AP_DUNG'!$E$1:$E$5000, MATCH(E497, '06_BANG_GIA_VAT_TU_AP_DUNG'!$B$1:$B$5000, 0)), 0)</f>
        <v/>
      </c>
      <c r="K497" s="16">
        <f>I497*J497</f>
        <v/>
      </c>
      <c r="L497" t="inlineStr">
        <is>
          <t>1 đôi bạc đỡ 2 bên thân</t>
        </is>
      </c>
    </row>
    <row r="498">
      <c r="A498" t="inlineStr">
        <is>
          <t>SW-DAMPER-128-FUSE</t>
        </is>
      </c>
      <c r="B498" t="inlineStr">
        <is>
          <t>SW-DAMPER-128</t>
        </is>
      </c>
      <c r="C498" t="inlineStr">
        <is>
          <t>Cầu chì nhiệt nóng chảy 70°C/74°C (Elsie/USA)</t>
        </is>
      </c>
      <c r="D498" t="inlineStr">
        <is>
          <t>PHỤ_KIỆN_VAN</t>
        </is>
      </c>
      <c r="E498" t="inlineStr">
        <is>
          <t>MAT-DAMPER-CAU-CHI-USA-1-400X400</t>
        </is>
      </c>
      <c r="F498" t="inlineStr">
        <is>
          <t>Cái</t>
        </is>
      </c>
      <c r="G498" s="20" t="n">
        <v>1</v>
      </c>
      <c r="H498" s="16">
        <f>'00_TONG_HOP_BAO_GIA'!G129</f>
        <v/>
      </c>
      <c r="I498" s="21">
        <f>G498*H498</f>
        <v/>
      </c>
      <c r="J498" s="16">
        <f>IFERROR(INDEX('06_BANG_GIA_VAT_TU_AP_DUNG'!$E$1:$E$5000, MATCH(E498, '06_BANG_GIA_VAT_TU_AP_DUNG'!$B$1:$B$5000, 0)), 0)</f>
        <v/>
      </c>
      <c r="K498" s="16">
        <f>I498*J498</f>
        <v/>
      </c>
      <c r="L498" t="inlineStr">
        <is>
          <t>Cầu chì kiểm định PCCC (1 cái)</t>
        </is>
      </c>
    </row>
    <row r="499">
      <c r="A499" t="inlineStr">
        <is>
          <t>SW-DAMPER-128-FB10-BODY</t>
        </is>
      </c>
      <c r="B499" t="inlineStr">
        <is>
          <t>SW-DAMPER-128</t>
        </is>
      </c>
      <c r="C499" t="inlineStr">
        <is>
          <t>Tấm chống cháy dày 10mm bọc thân van FD/MFD (2 lớp)</t>
        </is>
      </c>
      <c r="D499" t="inlineStr">
        <is>
          <t>VẬT_LIỆU_CÁCH_NHIỆT</t>
        </is>
      </c>
      <c r="E499" t="inlineStr">
        <is>
          <t>MAT-FIREBOARD-10MM-BODY</t>
        </is>
      </c>
      <c r="F499" t="inlineStr">
        <is>
          <t>m2</t>
        </is>
      </c>
      <c r="G499" s="20" t="n">
        <v>0.4075495437420367</v>
      </c>
      <c r="H499" s="16">
        <f>'00_TONG_HOP_BAO_GIA'!G129</f>
        <v/>
      </c>
      <c r="I499" s="21">
        <f>G499*H499</f>
        <v/>
      </c>
      <c r="J499" s="16">
        <f>IFERROR(INDEX('06_BANG_GIA_VAT_TU_AP_DUNG'!$E$1:$E$5000, MATCH(E499, '06_BANG_GIA_VAT_TU_AP_DUNG'!$B$1:$B$5000, 0)), 0)</f>
        <v/>
      </c>
      <c r="K499" s="16">
        <f>I499*J499</f>
        <v/>
      </c>
      <c r="L499" t="inlineStr">
        <is>
          <t>Bọc 2 lớp tấm 10mm quanh thân L=300mm</t>
        </is>
      </c>
    </row>
    <row r="500">
      <c r="A500" t="inlineStr">
        <is>
          <t>SW-DAMPER-128-FB20-BLADE</t>
        </is>
      </c>
      <c r="B500" t="inlineStr">
        <is>
          <t>SW-DAMPER-128</t>
        </is>
      </c>
      <c r="C500" t="inlineStr">
        <is>
          <t>Tấm chống cháy dày 20mm làm lõi cánh van FD/MFD</t>
        </is>
      </c>
      <c r="D500" t="inlineStr">
        <is>
          <t>VẬT_LIỆU_CÁCH_NHIỆT</t>
        </is>
      </c>
      <c r="E500" t="inlineStr">
        <is>
          <t>MAT-FIREBOARD-20MM-BLADE</t>
        </is>
      </c>
      <c r="F500" t="inlineStr">
        <is>
          <t>m2</t>
        </is>
      </c>
      <c r="G500" s="20" t="n">
        <v>0.02547184648387729</v>
      </c>
      <c r="H500" s="16">
        <f>'00_TONG_HOP_BAO_GIA'!G129</f>
        <v/>
      </c>
      <c r="I500" s="21">
        <f>G500*H500</f>
        <v/>
      </c>
      <c r="J500" s="16">
        <f>IFERROR(INDEX('06_BANG_GIA_VAT_TU_AP_DUNG'!$E$1:$E$5000, MATCH(E500, '06_BANG_GIA_VAT_TU_AP_DUNG'!$B$1:$B$5000, 0)), 0)</f>
        <v/>
      </c>
      <c r="K500" s="16">
        <f>I500*J500</f>
        <v/>
      </c>
      <c r="L500" t="inlineStr">
        <is>
          <t>Lõi cánh tấm 20mm (Cánh đơn 150x150mm)</t>
        </is>
      </c>
    </row>
    <row r="501">
      <c r="A501" t="inlineStr">
        <is>
          <t>SW-DAMPER-128-FB10-BLADE</t>
        </is>
      </c>
      <c r="B501" t="inlineStr">
        <is>
          <t>SW-DAMPER-128</t>
        </is>
      </c>
      <c r="C501" t="inlineStr">
        <is>
          <t>Tấm chống cháy dày 10mm ốp 2 mặt cánh van FD/MFD</t>
        </is>
      </c>
      <c r="D501" t="inlineStr">
        <is>
          <t>VẬT_LIỆU_CÁCH_NHIỆT</t>
        </is>
      </c>
      <c r="E501" t="inlineStr">
        <is>
          <t>MAT-FIREBOARD-10MM-BLADE</t>
        </is>
      </c>
      <c r="F501" t="inlineStr">
        <is>
          <t>m2</t>
        </is>
      </c>
      <c r="G501" s="20" t="n">
        <v>0.05094369296775458</v>
      </c>
      <c r="H501" s="16">
        <f>'00_TONG_HOP_BAO_GIA'!G129</f>
        <v/>
      </c>
      <c r="I501" s="21">
        <f>G501*H501</f>
        <v/>
      </c>
      <c r="J501" s="16">
        <f>IFERROR(INDEX('06_BANG_GIA_VAT_TU_AP_DUNG'!$E$1:$E$5000, MATCH(E501, '06_BANG_GIA_VAT_TU_AP_DUNG'!$B$1:$B$5000, 0)), 0)</f>
        <v/>
      </c>
      <c r="K501" s="16">
        <f>I501*J501</f>
        <v/>
      </c>
      <c r="L501" t="inlineStr">
        <is>
          <t>Ốp 2 mặt cánh tấm 10mm (Cánh đơn 150x150mm)</t>
        </is>
      </c>
    </row>
    <row r="502">
      <c r="A502" t="inlineStr">
        <is>
          <t>SW-DAMPER-128-SPRING-BOX</t>
        </is>
      </c>
      <c r="B502" t="inlineStr">
        <is>
          <t>SW-DAMPER-128</t>
        </is>
      </c>
      <c r="C502" t="inlineStr">
        <is>
          <t>Hộp lò xo van chặn lửa FD/MFD</t>
        </is>
      </c>
      <c r="D502" t="inlineStr">
        <is>
          <t>PHỤ_KIỆN_VAN</t>
        </is>
      </c>
      <c r="E502" t="inlineStr">
        <is>
          <t>MAT-DAMPER-HOP-LO-XO</t>
        </is>
      </c>
      <c r="F502" t="inlineStr">
        <is>
          <t>Bộ</t>
        </is>
      </c>
      <c r="G502" s="20" t="n">
        <v>1</v>
      </c>
      <c r="H502" s="16">
        <f>'00_TONG_HOP_BAO_GIA'!G129</f>
        <v/>
      </c>
      <c r="I502" s="21">
        <f>G502*H502</f>
        <v/>
      </c>
      <c r="J502" s="16">
        <f>IFERROR(INDEX('06_BANG_GIA_VAT_TU_AP_DUNG'!$E$1:$E$5000, MATCH(E502, '06_BANG_GIA_VAT_TU_AP_DUNG'!$B$1:$B$5000, 0)), 0)</f>
        <v/>
      </c>
      <c r="K502" s="16">
        <f>I502*J502</f>
        <v/>
      </c>
      <c r="L502" t="inlineStr">
        <is>
          <t>Hộp lò xo cơ cấu đóng sập (1 bộ)</t>
        </is>
      </c>
    </row>
    <row r="503">
      <c r="A503" t="inlineStr">
        <is>
          <t>SW-DAMPER-128-SILICON-BOLT</t>
        </is>
      </c>
      <c r="B503" t="inlineStr">
        <is>
          <t>SW-DAMPER-128</t>
        </is>
      </c>
      <c r="C503" t="inlineStr">
        <is>
          <t>Silicon chống cháy + bu lông, ốc vít van FD/MFD</t>
        </is>
      </c>
      <c r="D503" t="inlineStr">
        <is>
          <t>PHỤ_KIỆN_VAN</t>
        </is>
      </c>
      <c r="E503" t="inlineStr">
        <is>
          <t>MAT-DAMPER-SILICON-BULONG-VIT</t>
        </is>
      </c>
      <c r="F503" t="inlineStr">
        <is>
          <t>Bộ</t>
        </is>
      </c>
      <c r="G503" s="20" t="n">
        <v>1</v>
      </c>
      <c r="H503" s="16">
        <f>'00_TONG_HOP_BAO_GIA'!G129</f>
        <v/>
      </c>
      <c r="I503" s="21">
        <f>G503*H503</f>
        <v/>
      </c>
      <c r="J503" s="16">
        <f>IFERROR(INDEX('06_BANG_GIA_VAT_TU_AP_DUNG'!$E$1:$E$5000, MATCH(E503, '06_BANG_GIA_VAT_TU_AP_DUNG'!$B$1:$B$5000, 0)), 0)</f>
        <v/>
      </c>
      <c r="K503" s="16">
        <f>I503*J503</f>
        <v/>
      </c>
      <c r="L503" t="inlineStr">
        <is>
          <t>Keo silicon chống cháy &amp; phụ kiện lắp ghép (1 bộ)</t>
        </is>
      </c>
    </row>
    <row r="504">
      <c r="A504" t="inlineStr">
        <is>
          <t>SW-DAMPER-129-BODY</t>
        </is>
      </c>
      <c r="B504" t="inlineStr">
        <is>
          <t>SW-DAMPER-129</t>
        </is>
      </c>
      <c r="C504" t="inlineStr">
        <is>
          <t>Thân vỏ van VCD bích C30/TDF (0.75mm)</t>
        </is>
      </c>
      <c r="D504" t="inlineStr">
        <is>
          <t>TÔN_CUỘN_MẠ_KẼM</t>
        </is>
      </c>
      <c r="E504" t="inlineStr">
        <is>
          <t>MAT-STEEL-PN-0.75</t>
        </is>
      </c>
      <c r="F504" t="inlineStr">
        <is>
          <t>kg</t>
        </is>
      </c>
      <c r="G504" s="20" t="n">
        <v>1.482633253802313</v>
      </c>
      <c r="H504" s="16">
        <f>'00_TONG_HOP_BAO_GIA'!G130</f>
        <v/>
      </c>
      <c r="I504" s="21">
        <f>G504*H504</f>
        <v/>
      </c>
      <c r="J504" s="16">
        <f>IFERROR(INDEX('06_BANG_GIA_VAT_TU_AP_DUNG'!$E$1:$E$5000, MATCH(E504, '06_BANG_GIA_VAT_TU_AP_DUNG'!$B$1:$B$5000, 0)), 0)</f>
        <v/>
      </c>
      <c r="K504" s="16">
        <f>I504*J504</f>
        <v/>
      </c>
      <c r="L504" t="inlineStr">
        <is>
          <t>Kích thước vỏ 150x150x210mm</t>
        </is>
      </c>
    </row>
    <row r="505">
      <c r="A505" t="inlineStr">
        <is>
          <t>SW-DAMPER-129-BLADE</t>
        </is>
      </c>
      <c r="B505" t="inlineStr">
        <is>
          <t>SW-DAMPER-129</t>
        </is>
      </c>
      <c r="C505" t="inlineStr">
        <is>
          <t>Lá cánh / Tôn tấm bọc van (1 cánh)</t>
        </is>
      </c>
      <c r="D505" t="inlineStr">
        <is>
          <t>TÔN_CUỘN_MẠ_KẼM</t>
        </is>
      </c>
      <c r="E505" t="inlineStr">
        <is>
          <t>MAT-STEEL-PN-0.75</t>
        </is>
      </c>
      <c r="F505" t="inlineStr">
        <is>
          <t>kg</t>
        </is>
      </c>
      <c r="G505" s="20" t="n">
        <v>0.2170053136145605</v>
      </c>
      <c r="H505" s="16">
        <f>'00_TONG_HOP_BAO_GIA'!G130</f>
        <v/>
      </c>
      <c r="I505" s="21">
        <f>G505*H505</f>
        <v/>
      </c>
      <c r="J505" s="16">
        <f>IFERROR(INDEX('06_BANG_GIA_VAT_TU_AP_DUNG'!$E$1:$E$5000, MATCH(E505, '06_BANG_GIA_VAT_TU_AP_DUNG'!$B$1:$B$5000, 0)), 0)</f>
        <v/>
      </c>
      <c r="K505" s="16">
        <f>I505*J505</f>
        <v/>
      </c>
      <c r="L505" t="inlineStr">
        <is>
          <t>1 cánh cao 170mm</t>
        </is>
      </c>
    </row>
    <row r="506">
      <c r="A506" t="inlineStr">
        <is>
          <t>SW-DAMPER-129-AXLE</t>
        </is>
      </c>
      <c r="B506" t="inlineStr">
        <is>
          <t>SW-DAMPER-129</t>
        </is>
      </c>
      <c r="C506" t="inlineStr">
        <is>
          <t>Trục Sus 201 D10</t>
        </is>
      </c>
      <c r="D506" t="inlineStr">
        <is>
          <t>PHỤ_KIỆN_VAN</t>
        </is>
      </c>
      <c r="E506" t="inlineStr">
        <is>
          <t>MAT-DAMPER-TRUC-SUS-201-D10</t>
        </is>
      </c>
      <c r="F506" t="inlineStr">
        <is>
          <t>m</t>
        </is>
      </c>
      <c r="G506" s="20" t="n">
        <v>0.2810572592133593</v>
      </c>
      <c r="H506" s="16">
        <f>'00_TONG_HOP_BAO_GIA'!G130</f>
        <v/>
      </c>
      <c r="I506" s="21">
        <f>G506*H506</f>
        <v/>
      </c>
      <c r="J506" s="16">
        <f>IFERROR(INDEX('06_BANG_GIA_VAT_TU_AP_DUNG'!$E$1:$E$5000, MATCH(E506, '06_BANG_GIA_VAT_TU_AP_DUNG'!$B$1:$B$5000, 0)), 0)</f>
        <v/>
      </c>
      <c r="K506" s="16">
        <f>I506*J506</f>
        <v/>
      </c>
      <c r="L506" t="inlineStr">
        <is>
          <t>1 trục dài 210mm</t>
        </is>
      </c>
    </row>
    <row r="507">
      <c r="A507" t="inlineStr">
        <is>
          <t>SW-DAMPER-129-BEARING</t>
        </is>
      </c>
      <c r="B507" t="inlineStr">
        <is>
          <t>SW-DAMPER-129</t>
        </is>
      </c>
      <c r="C507" t="inlineStr">
        <is>
          <t>Bạc đồng D10</t>
        </is>
      </c>
      <c r="D507" t="inlineStr">
        <is>
          <t>PHỤ_KIỆN_VAN</t>
        </is>
      </c>
      <c r="E507" t="inlineStr">
        <is>
          <t>MAT-DAMPER-BAC-DONG-D10</t>
        </is>
      </c>
      <c r="F507" t="inlineStr">
        <is>
          <t>Đôi</t>
        </is>
      </c>
      <c r="G507" s="20" t="n">
        <v>1</v>
      </c>
      <c r="H507" s="16">
        <f>'00_TONG_HOP_BAO_GIA'!G130</f>
        <v/>
      </c>
      <c r="I507" s="21">
        <f>G507*H507</f>
        <v/>
      </c>
      <c r="J507" s="16">
        <f>IFERROR(INDEX('06_BANG_GIA_VAT_TU_AP_DUNG'!$E$1:$E$5000, MATCH(E507, '06_BANG_GIA_VAT_TU_AP_DUNG'!$B$1:$B$5000, 0)), 0)</f>
        <v/>
      </c>
      <c r="K507" s="16">
        <f>I507*J507</f>
        <v/>
      </c>
      <c r="L507" t="inlineStr">
        <is>
          <t>1 đôi bạc đỡ 2 bên thân</t>
        </is>
      </c>
    </row>
    <row r="508">
      <c r="A508" t="inlineStr">
        <is>
          <t>SW-DAMPER-129-HANDLE</t>
        </is>
      </c>
      <c r="B508" t="inlineStr">
        <is>
          <t>SW-DAMPER-129</t>
        </is>
      </c>
      <c r="C508" t="inlineStr">
        <is>
          <t>Tay gạt nhỏ</t>
        </is>
      </c>
      <c r="D508" t="inlineStr">
        <is>
          <t>PHỤ_KIỆN_VAN</t>
        </is>
      </c>
      <c r="E508" t="inlineStr">
        <is>
          <t>MAT-DAMPER-TAY-GAT-NHO</t>
        </is>
      </c>
      <c r="F508" t="inlineStr">
        <is>
          <t>Bộ</t>
        </is>
      </c>
      <c r="G508" s="20" t="n">
        <v>1</v>
      </c>
      <c r="H508" s="16">
        <f>'00_TONG_HOP_BAO_GIA'!G130</f>
        <v/>
      </c>
      <c r="I508" s="21">
        <f>G508*H508</f>
        <v/>
      </c>
      <c r="J508" s="16">
        <f>IFERROR(INDEX('06_BANG_GIA_VAT_TU_AP_DUNG'!$E$1:$E$5000, MATCH(E508, '06_BANG_GIA_VAT_TU_AP_DUNG'!$B$1:$B$5000, 0)), 0)</f>
        <v/>
      </c>
      <c r="K508" s="16">
        <f>I508*J508</f>
        <v/>
      </c>
      <c r="L508" t="inlineStr">
        <is>
          <t>Tay gạt khóa vị trí nan (S=0.02m2)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5" t="inlineStr">
        <is>
          <t>STT</t>
        </is>
      </c>
      <c r="B1" s="15" t="inlineStr">
        <is>
          <t>MAT_ID</t>
        </is>
      </c>
      <c r="C1" s="15" t="inlineStr">
        <is>
          <t>PHÂN LOẠI</t>
        </is>
      </c>
      <c r="D1" s="15" t="inlineStr">
        <is>
          <t>TÊN VẬT TƯ</t>
        </is>
      </c>
      <c r="E1" s="15" t="inlineStr">
        <is>
          <t>ĐVT</t>
        </is>
      </c>
      <c r="F1" s="15" t="inlineStr">
        <is>
          <t>BAREM KỸ THUẬT</t>
        </is>
      </c>
      <c r="G1" s="15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(Honeywell)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5" t="inlineStr">
        <is>
          <t>STT</t>
        </is>
      </c>
      <c r="B1" s="15" t="inlineStr">
        <is>
          <t>MAT_ID</t>
        </is>
      </c>
      <c r="C1" s="15" t="inlineStr">
        <is>
          <t>TÊN VẬT TƯ</t>
        </is>
      </c>
      <c r="D1" s="15" t="inlineStr">
        <is>
          <t>PHÂN LOẠI</t>
        </is>
      </c>
      <c r="E1" s="15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6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6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6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6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6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6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6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6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6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6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6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6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6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6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6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6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6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6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6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6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6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6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6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6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6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6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6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6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6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6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6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6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6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6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6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6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6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6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6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6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6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6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6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6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6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6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6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6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6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6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6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6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6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6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6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6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6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6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6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6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6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6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6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6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6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6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6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6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6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6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6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6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6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6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6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6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6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6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6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6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6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6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6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6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6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6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6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6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6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6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6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6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6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6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6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6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6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6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6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6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6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6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6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6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6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6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6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6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6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6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6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6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6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6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6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6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6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6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6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6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6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6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6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6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6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6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6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6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6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6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6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6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6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6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6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6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6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6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6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6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6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6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6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6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6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6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6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6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6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6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6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6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6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6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6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6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6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6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6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6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6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6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6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6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6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6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6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6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6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6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6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6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6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6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6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6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6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6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6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6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6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6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6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6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6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(Honeywell)</t>
        </is>
      </c>
      <c r="D187" t="inlineStr">
        <is>
          <t>ĐỘNG_CƠ_VÀ_CẢM_BIẾN</t>
        </is>
      </c>
      <c r="E187" s="16" t="n">
        <v>3600000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6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6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6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6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6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6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6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6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6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6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6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6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6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6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6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6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6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6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6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2026-10-19T04:37:21Z</dcterms:created>
  <dcterms:modified xsi:type="dcterms:W3CDTF">2026-10-19T04:37:21Z</dcterms:modified>
</cp:coreProperties>
</file>
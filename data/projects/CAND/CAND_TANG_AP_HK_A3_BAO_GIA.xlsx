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5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2" t="n"/>
      <c r="G11" s="22" t="n"/>
      <c r="H11" s="23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4" t="n"/>
      <c r="B12" s="24" t="n"/>
      <c r="C12" s="24" t="n"/>
      <c r="D12" s="24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 ht="20" customHeight="1">
      <c r="A13" s="25" t="n"/>
      <c r="B13" s="25" t="n"/>
      <c r="C13" s="25" t="n"/>
      <c r="D13" s="25" t="n"/>
      <c r="E13" s="5" t="inlineStr">
        <is>
          <t>Face size</t>
        </is>
      </c>
      <c r="F13" s="23" t="n"/>
      <c r="G13" s="5" t="inlineStr">
        <is>
          <t>Neck size</t>
        </is>
      </c>
      <c r="H13" s="23" t="n"/>
      <c r="I13" s="25" t="n"/>
      <c r="J13" s="25" t="n"/>
      <c r="K13" s="25" t="n"/>
      <c r="L13" s="25" t="n"/>
      <c r="M13" s="25" t="n"/>
      <c r="N13" s="25" t="n"/>
      <c r="O13" s="25" t="n"/>
      <c r="P13" s="25" t="n"/>
    </row>
    <row r="14">
      <c r="A14" s="6" t="n"/>
      <c r="B14" s="7" t="inlineStr">
        <is>
          <t>Hạng mục: HỆ THỐNG ĐIỀU ÁP VÀ HÚT KHÓI - KHỐI A3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TẦNG HẦM (TẦNG B1, B2, B3)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HỆ THỐNG TẠO ÁP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a. Thiết bị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Quạt tạo áp_Loại hướng trục SPAF-B3-BF-04
16.920m3/h@300Pa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cái</t>
        </is>
      </c>
      <c r="M18" s="10" t="n">
        <v>1</v>
      </c>
      <c r="N18" s="11" t="n"/>
      <c r="O18" s="11" t="n"/>
      <c r="P18" s="9" t="n"/>
    </row>
    <row r="19">
      <c r="A19" s="8" t="n"/>
      <c r="B19" s="9" t="inlineStr">
        <is>
          <t>Quạt tạo áp_Loại hướng trục SPAF-B3-BF-02
6.000m3/h@200Pa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cái</t>
        </is>
      </c>
      <c r="M19" s="10" t="n">
        <v>1</v>
      </c>
      <c r="N19" s="11" t="n"/>
      <c r="O19" s="11" t="n"/>
      <c r="P19" s="9" t="n"/>
    </row>
    <row r="20">
      <c r="A20" s="8" t="n"/>
      <c r="B20" s="9" t="inlineStr">
        <is>
          <t>Quạt tạo áp_Loại hướng trục SPAF-B1-BF-01
14.040m3/h@300Pa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cái</t>
        </is>
      </c>
      <c r="M20" s="10" t="n">
        <v>1</v>
      </c>
      <c r="N20" s="11" t="n"/>
      <c r="O20" s="11" t="n"/>
      <c r="P20" s="9" t="n"/>
    </row>
    <row r="21">
      <c r="A21" s="8" t="n"/>
      <c r="B21" s="9" t="inlineStr">
        <is>
          <t>Quạt tạo áp_Loại hướng trục SPAF-B2-BF-04
18.000m3/h@300Pa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cái</t>
        </is>
      </c>
      <c r="M21" s="10" t="n">
        <v>1</v>
      </c>
      <c r="N21" s="11" t="n"/>
      <c r="O21" s="11" t="n"/>
      <c r="P21" s="9" t="n"/>
    </row>
    <row r="22">
      <c r="A22" s="8" t="n"/>
      <c r="B22" s="9" t="inlineStr">
        <is>
          <t>Quạt tạo áp_Loại hướng trục SPAF-B2-BF-02
6.000m3/h@200Pa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cái</t>
        </is>
      </c>
      <c r="M22" s="10" t="n">
        <v>1</v>
      </c>
      <c r="N22" s="11" t="n"/>
      <c r="O22" s="11" t="n"/>
      <c r="P22" s="9" t="n"/>
    </row>
    <row r="23">
      <c r="A23" s="8" t="n"/>
      <c r="B23" s="9" t="inlineStr">
        <is>
          <t>Quạt tạo áp_Loại hướng trục SPAF-B1-BF-01
14.040m3/h@300Pa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cái</t>
        </is>
      </c>
      <c r="M23" s="10" t="n">
        <v>1</v>
      </c>
      <c r="N23" s="11" t="n"/>
      <c r="O23" s="11" t="n"/>
      <c r="P23" s="9" t="n"/>
    </row>
    <row r="24">
      <c r="A24" s="8" t="n"/>
      <c r="B24" s="9" t="inlineStr">
        <is>
          <t>Quạt tạo áp_Loại hướng trục SPAF-B1-BF-02
17.640m3/h@300Pa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cái</t>
        </is>
      </c>
      <c r="M24" s="10" t="n">
        <v>1</v>
      </c>
      <c r="N24" s="11" t="n"/>
      <c r="O24" s="11" t="n"/>
      <c r="P24" s="9" t="n"/>
    </row>
    <row r="25">
      <c r="A25" s="8" t="n"/>
      <c r="B25" s="9" t="inlineStr">
        <is>
          <t>Quạt tạo áp_Loại hướng trục SPAF-B1-BF-03
16.200m3/h@300Pa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cái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Quạt tạo áp_Loại hướng trục SPAF-B1-BF-04
16.920m3/h@300Pa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cái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Nối mềm chống cháy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bộ</t>
        </is>
      </c>
      <c r="M27" s="10" t="n">
        <v>9</v>
      </c>
      <c r="N27" s="11" t="n"/>
      <c r="O27" s="11" t="n"/>
      <c r="P27" s="9" t="n"/>
    </row>
    <row r="28">
      <c r="A28" s="8" t="n"/>
      <c r="B28" s="9" t="inlineStr">
        <is>
          <t>Ty treo giá đỡ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trọn gói</t>
        </is>
      </c>
      <c r="M28" s="10" t="n">
        <v>1</v>
      </c>
      <c r="N28" s="11" t="n"/>
      <c r="O28" s="11" t="n"/>
      <c r="P28" s="9" t="n"/>
    </row>
    <row r="29">
      <c r="A29" s="8" t="n"/>
      <c r="B29" s="9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1" t="n"/>
      <c r="N29" s="11" t="n"/>
      <c r="O29" s="11" t="n"/>
      <c r="P29" s="9" t="n"/>
    </row>
    <row r="30">
      <c r="A30" s="6" t="n"/>
      <c r="B30" s="7" t="inlineStr">
        <is>
          <t>b. Ống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7" t="inlineStr">
        <is>
          <t>Ống gió chống cháy EI120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7" t="inlineStr">
        <is>
          <t>Ống gió thẳng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8" t="n"/>
      <c r="B33" s="9" t="inlineStr">
        <is>
          <t>Ống gió chống cháy EI120 800x450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150</v>
      </c>
      <c r="N33" s="11" t="n"/>
      <c r="O33" s="11" t="n"/>
      <c r="P33" s="9" t="n"/>
    </row>
    <row r="34">
      <c r="A34" s="8" t="n"/>
      <c r="B34" s="9" t="inlineStr">
        <is>
          <t>Ống gió chống cháy EI120 800x400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282</v>
      </c>
      <c r="N34" s="11" t="n"/>
      <c r="O34" s="11" t="n"/>
      <c r="P34" s="9" t="n"/>
    </row>
    <row r="35">
      <c r="A35" s="8" t="n"/>
      <c r="B35" s="9" t="inlineStr">
        <is>
          <t>Ống gió chống cháy EI120 600x300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inlineStr">
        <is>
          <t>m</t>
        </is>
      </c>
      <c r="M35" s="10" t="n">
        <v>63</v>
      </c>
      <c r="N35" s="11" t="n"/>
      <c r="O35" s="11" t="n"/>
      <c r="P35" s="9" t="n"/>
    </row>
    <row r="36">
      <c r="A36" s="8" t="n"/>
      <c r="B36" s="9" t="inlineStr">
        <is>
          <t>Ống gió chống cháy EI120 1000x500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11</v>
      </c>
      <c r="N36" s="11" t="n"/>
      <c r="O36" s="11" t="n"/>
      <c r="P36" s="9" t="n"/>
    </row>
    <row r="37">
      <c r="A37" s="8" t="n"/>
      <c r="B37" s="9" t="inlineStr">
        <is>
          <t>Ống gió chống cháy EI120 800x350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inlineStr">
        <is>
          <t>m</t>
        </is>
      </c>
      <c r="M37" s="10" t="n">
        <v>41</v>
      </c>
      <c r="N37" s="11" t="n"/>
      <c r="O37" s="11" t="n"/>
      <c r="P37" s="9" t="n"/>
    </row>
    <row r="38">
      <c r="A38" s="8" t="n"/>
      <c r="B38" s="9" t="inlineStr">
        <is>
          <t>Ống gió chống cháy EI120 550x550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98</v>
      </c>
      <c r="N38" s="11" t="n"/>
      <c r="O38" s="11" t="n"/>
      <c r="P38" s="9" t="n"/>
    </row>
    <row r="39">
      <c r="A39" s="8" t="n"/>
      <c r="B39" s="9" t="inlineStr">
        <is>
          <t>Ống gió chống cháy EI120 800x400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13</v>
      </c>
      <c r="N39" s="11" t="n"/>
      <c r="O39" s="11" t="n"/>
      <c r="P39" s="9" t="n"/>
    </row>
    <row r="40">
      <c r="A40" s="6" t="n"/>
      <c r="B40" s="7" t="inlineStr">
        <is>
          <t>Chân rẽ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8" t="n"/>
      <c r="B41" s="9" t="inlineStr">
        <is>
          <t>Chân rẽ 800x450-200H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cái</t>
        </is>
      </c>
      <c r="M41" s="10" t="n">
        <v>1</v>
      </c>
      <c r="N41" s="11" t="n"/>
      <c r="O41" s="11" t="n"/>
      <c r="P41" s="9" t="n"/>
    </row>
    <row r="42">
      <c r="A42" s="6" t="n"/>
      <c r="B42" s="7" t="inlineStr">
        <is>
          <t>Co ngang ống gió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8" t="n"/>
      <c r="B43" s="9" t="inlineStr">
        <is>
          <t>Co ngang ống gió 800x400-600R-45°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cái</t>
        </is>
      </c>
      <c r="M43" s="10" t="n">
        <v>4</v>
      </c>
      <c r="N43" s="11" t="n"/>
      <c r="O43" s="11" t="n"/>
      <c r="P43" s="9" t="n"/>
    </row>
    <row r="44">
      <c r="A44" s="8" t="n"/>
      <c r="B44" s="9" t="inlineStr">
        <is>
          <t>Co ngang ống gió 800x450-600R-45°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cái</t>
        </is>
      </c>
      <c r="M44" s="10" t="n">
        <v>1</v>
      </c>
      <c r="N44" s="11" t="n"/>
      <c r="O44" s="11" t="n"/>
      <c r="P44" s="9" t="n"/>
    </row>
    <row r="45">
      <c r="A45" s="8" t="n"/>
      <c r="B45" s="9" t="inlineStr">
        <is>
          <t>Co ngang ống gió 600x300-600R-45°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cái</t>
        </is>
      </c>
      <c r="M45" s="10" t="n">
        <v>2</v>
      </c>
      <c r="N45" s="11" t="n"/>
      <c r="O45" s="11" t="n"/>
      <c r="P45" s="9" t="n"/>
    </row>
    <row r="46">
      <c r="A46" s="8" t="n"/>
      <c r="B46" s="9" t="inlineStr">
        <is>
          <t>Co ngang ống gió 800x400-400R-90°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0" t="n">
        <v>10</v>
      </c>
      <c r="N46" s="11" t="n"/>
      <c r="O46" s="11" t="n"/>
      <c r="P46" s="9" t="n"/>
    </row>
    <row r="47">
      <c r="A47" s="8" t="n"/>
      <c r="B47" s="9" t="inlineStr">
        <is>
          <t>Co ngang ống gió 600x300-400R-90°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0" t="n">
        <v>4</v>
      </c>
      <c r="N47" s="11" t="n"/>
      <c r="O47" s="11" t="n"/>
      <c r="P47" s="9" t="n"/>
    </row>
    <row r="48">
      <c r="A48" s="8" t="n"/>
      <c r="B48" s="9" t="inlineStr">
        <is>
          <t>Co ngang ống gió 800x450-400R-90°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0" t="n">
        <v>4</v>
      </c>
      <c r="N48" s="11" t="n"/>
      <c r="O48" s="11" t="n"/>
      <c r="P48" s="9" t="n"/>
    </row>
    <row r="49">
      <c r="A49" s="8" t="n"/>
      <c r="B49" s="9" t="inlineStr">
        <is>
          <t>Co ngang ống gió 800x350-400R-90°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0" t="n">
        <v>4</v>
      </c>
      <c r="N49" s="11" t="n"/>
      <c r="O49" s="11" t="n"/>
      <c r="P49" s="9" t="n"/>
    </row>
    <row r="50">
      <c r="A50" s="8" t="n"/>
      <c r="B50" s="9" t="inlineStr">
        <is>
          <t>Ty treo giá đỡ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trọn gói</t>
        </is>
      </c>
      <c r="M50" s="10" t="n">
        <v>1</v>
      </c>
      <c r="N50" s="11" t="n"/>
      <c r="O50" s="11" t="n"/>
      <c r="P50" s="9" t="n"/>
    </row>
    <row r="51">
      <c r="A51" s="8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11" t="n"/>
      <c r="N51" s="11" t="n"/>
      <c r="O51" s="11" t="n"/>
      <c r="P51" s="9" t="n"/>
    </row>
    <row r="52">
      <c r="A52" s="6" t="n"/>
      <c r="B52" s="7" t="inlineStr">
        <is>
          <t>Miệng gió
Air grill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Miệng gió OAG + OBD 500x800</t>
        </is>
      </c>
      <c r="C53" s="8" t="inlineStr">
        <is>
          <t>SDG+O</t>
        </is>
      </c>
      <c r="D53" s="8" t="inlineStr">
        <is>
          <t>SWIND</t>
        </is>
      </c>
      <c r="E53" s="8" t="n">
        <v>500</v>
      </c>
      <c r="F53" s="8" t="n">
        <v>800</v>
      </c>
      <c r="G53" s="8" t="n">
        <v>450</v>
      </c>
      <c r="H53" s="8" t="n">
        <v>750</v>
      </c>
      <c r="I53" s="8" t="n"/>
      <c r="J53" s="8" t="n"/>
      <c r="K53" s="8" t="n"/>
      <c r="L53" s="8" t="inlineStr">
        <is>
          <t>cái</t>
        </is>
      </c>
      <c r="M53" s="10" t="n">
        <v>6</v>
      </c>
      <c r="N53" s="10" t="n">
        <v>572000</v>
      </c>
      <c r="O53" s="10">
        <f>ROUNDUP(N53*M53, -2)</f>
        <v/>
      </c>
      <c r="P53" s="9" t="inlineStr">
        <is>
          <t>Cửa nan bầu dục 1 lớp kèm van OBD</t>
        </is>
      </c>
    </row>
    <row r="54">
      <c r="A54" s="8" t="n"/>
      <c r="B54" s="9" t="inlineStr">
        <is>
          <t>Miệng gió OAG + OBD 500x1000</t>
        </is>
      </c>
      <c r="C54" s="8" t="inlineStr">
        <is>
          <t>SDG+O</t>
        </is>
      </c>
      <c r="D54" s="8" t="inlineStr">
        <is>
          <t>SWIND</t>
        </is>
      </c>
      <c r="E54" s="8" t="n">
        <v>500</v>
      </c>
      <c r="F54" s="8" t="n">
        <v>1000</v>
      </c>
      <c r="G54" s="8" t="n">
        <v>450</v>
      </c>
      <c r="H54" s="8" t="n">
        <v>950</v>
      </c>
      <c r="I54" s="8" t="n"/>
      <c r="J54" s="8" t="n"/>
      <c r="K54" s="8" t="n"/>
      <c r="L54" s="8" t="inlineStr">
        <is>
          <t>cái</t>
        </is>
      </c>
      <c r="M54" s="10" t="n">
        <v>20</v>
      </c>
      <c r="N54" s="10" t="n">
        <v>700000</v>
      </c>
      <c r="O54" s="10">
        <f>ROUNDUP(N54*M54, -2)</f>
        <v/>
      </c>
      <c r="P54" s="9" t="inlineStr">
        <is>
          <t>Cửa nan bầu dục 1 lớp kèm van OBD</t>
        </is>
      </c>
    </row>
    <row r="55">
      <c r="A55" s="8" t="n"/>
      <c r="B55" s="9" t="inlineStr">
        <is>
          <t>Cửa gió nan thẳng 800x400</t>
        </is>
      </c>
      <c r="C55" s="8" t="inlineStr">
        <is>
          <t>SDG</t>
        </is>
      </c>
      <c r="D55" s="8" t="inlineStr">
        <is>
          <t>SWIND</t>
        </is>
      </c>
      <c r="E55" s="8" t="n">
        <v>800</v>
      </c>
      <c r="F55" s="8" t="n">
        <v>400</v>
      </c>
      <c r="G55" s="8" t="n">
        <v>750</v>
      </c>
      <c r="H55" s="8" t="n">
        <v>350</v>
      </c>
      <c r="I55" s="8" t="n"/>
      <c r="J55" s="8" t="n"/>
      <c r="K55" s="8" t="n"/>
      <c r="L55" s="8" t="inlineStr">
        <is>
          <t>cái</t>
        </is>
      </c>
      <c r="M55" s="10" t="n">
        <v>4</v>
      </c>
      <c r="N55" s="10" t="n">
        <v>257000</v>
      </c>
      <c r="O55" s="10">
        <f>ROUNDUP(N55*M55, -2)</f>
        <v/>
      </c>
      <c r="P55" s="9" t="inlineStr">
        <is>
          <t>Cửa nan bầu dục 1 lớp</t>
        </is>
      </c>
    </row>
    <row r="56">
      <c r="A56" s="8" t="n"/>
      <c r="B56" s="9" t="inlineStr">
        <is>
          <t>Van MFD 800x400 - EI60</t>
        </is>
      </c>
      <c r="C56" s="8" t="inlineStr">
        <is>
          <t>SWIND-1.03-MFD-EI90</t>
        </is>
      </c>
      <c r="D56" s="8" t="inlineStr">
        <is>
          <t>SWIND</t>
        </is>
      </c>
      <c r="E56" s="8" t="n">
        <v>800</v>
      </c>
      <c r="F56" s="8" t="n">
        <v>400</v>
      </c>
      <c r="G56" s="8" t="n"/>
      <c r="H56" s="8" t="n"/>
      <c r="I56" s="8" t="n"/>
      <c r="J56" s="8" t="n">
        <v>200</v>
      </c>
      <c r="K56" s="12" t="n">
        <v>1.15</v>
      </c>
      <c r="L56" s="8" t="inlineStr">
        <is>
          <t>cái</t>
        </is>
      </c>
      <c r="M56" s="10" t="n">
        <v>4</v>
      </c>
      <c r="N56" s="10" t="n">
        <v>4822040</v>
      </c>
      <c r="O56" s="10">
        <f>ROUNDUP(N56*M56, -2)</f>
        <v/>
      </c>
      <c r="P56" s="9" t="inlineStr">
        <is>
          <t>- Van ngăn cháy động cơ - Tiêu chuẩn EI 90
- 2 đầu bích TDC - Gắn kèm động cơ ON-OFF 5Nm, Hãng KLB
- Sản xuất theo BCTN số 4651/VLXD-TBMT</t>
        </is>
      </c>
    </row>
    <row r="57">
      <c r="A57" s="8" t="n"/>
      <c r="B57" s="9" t="inlineStr">
        <is>
          <t>Cửa gió nan thẳng 800x450</t>
        </is>
      </c>
      <c r="C57" s="8" t="inlineStr">
        <is>
          <t>SDG</t>
        </is>
      </c>
      <c r="D57" s="8" t="inlineStr">
        <is>
          <t>SWIND</t>
        </is>
      </c>
      <c r="E57" s="8" t="n">
        <v>800</v>
      </c>
      <c r="F57" s="8" t="n">
        <v>450</v>
      </c>
      <c r="G57" s="8" t="n">
        <v>750</v>
      </c>
      <c r="H57" s="8" t="n">
        <v>400</v>
      </c>
      <c r="I57" s="8" t="n"/>
      <c r="J57" s="8" t="n"/>
      <c r="K57" s="8" t="n"/>
      <c r="L57" s="8" t="inlineStr">
        <is>
          <t>cái</t>
        </is>
      </c>
      <c r="M57" s="10" t="n">
        <v>1</v>
      </c>
      <c r="N57" s="10" t="n">
        <v>281000</v>
      </c>
      <c r="O57" s="10">
        <f>ROUNDUP(N57*M57, -2)</f>
        <v/>
      </c>
      <c r="P57" s="9" t="inlineStr">
        <is>
          <t>Cửa nan bầu dục 1 lớp</t>
        </is>
      </c>
    </row>
    <row r="58">
      <c r="A58" s="8" t="n"/>
      <c r="B58" s="9" t="inlineStr">
        <is>
          <t>Van MFD 800x450 - EI60</t>
        </is>
      </c>
      <c r="C58" s="8" t="inlineStr">
        <is>
          <t>SWIND-1.03-MFD-EI90</t>
        </is>
      </c>
      <c r="D58" s="8" t="inlineStr">
        <is>
          <t>SWIND</t>
        </is>
      </c>
      <c r="E58" s="8" t="n">
        <v>800</v>
      </c>
      <c r="F58" s="8" t="n">
        <v>450</v>
      </c>
      <c r="G58" s="8" t="n"/>
      <c r="H58" s="8" t="n"/>
      <c r="I58" s="8" t="n"/>
      <c r="J58" s="8" t="n">
        <v>200</v>
      </c>
      <c r="K58" s="12" t="n">
        <v>1.15</v>
      </c>
      <c r="L58" s="8" t="inlineStr">
        <is>
          <t>cái</t>
        </is>
      </c>
      <c r="M58" s="10" t="n">
        <v>1</v>
      </c>
      <c r="N58" s="10" t="n">
        <v>5049170</v>
      </c>
      <c r="O58" s="10">
        <f>ROUNDUP(N58*M58, -2)</f>
        <v/>
      </c>
      <c r="P58" s="9" t="inlineStr">
        <is>
          <t>- Van ngăn cháy động cơ - Tiêu chuẩn EI 90
- 2 đầu bích TDC - Gắn kèm động cơ ON-OFF 5Nm, Hãng KLB
- Sản xuất theo BCTN số 4651/VLXD-TBMT</t>
        </is>
      </c>
    </row>
    <row r="59">
      <c r="A59" s="8" t="n"/>
      <c r="B59" s="9" t="inlineStr">
        <is>
          <t>Cửa gió nan thẳng 800x350</t>
        </is>
      </c>
      <c r="C59" s="8" t="inlineStr">
        <is>
          <t>SDG</t>
        </is>
      </c>
      <c r="D59" s="8" t="inlineStr">
        <is>
          <t>SWIND</t>
        </is>
      </c>
      <c r="E59" s="8" t="n">
        <v>800</v>
      </c>
      <c r="F59" s="8" t="n">
        <v>350</v>
      </c>
      <c r="G59" s="8" t="n">
        <v>750</v>
      </c>
      <c r="H59" s="8" t="n">
        <v>300</v>
      </c>
      <c r="I59" s="8" t="n"/>
      <c r="J59" s="8" t="n"/>
      <c r="K59" s="8" t="n"/>
      <c r="L59" s="8" t="inlineStr">
        <is>
          <t>cái</t>
        </is>
      </c>
      <c r="M59" s="10" t="n">
        <v>2</v>
      </c>
      <c r="N59" s="10" t="n">
        <v>225000</v>
      </c>
      <c r="O59" s="10">
        <f>ROUNDUP(N59*M59, -2)</f>
        <v/>
      </c>
      <c r="P59" s="9" t="inlineStr">
        <is>
          <t>Cửa nan bầu dục 1 lớp</t>
        </is>
      </c>
    </row>
    <row r="60">
      <c r="A60" s="8" t="n"/>
      <c r="B60" s="9" t="inlineStr">
        <is>
          <t>Van MFD 800x350 - EI60</t>
        </is>
      </c>
      <c r="C60" s="8" t="inlineStr">
        <is>
          <t>SWIND-1.03-MFD-EI90</t>
        </is>
      </c>
      <c r="D60" s="8" t="inlineStr">
        <is>
          <t>SWIND</t>
        </is>
      </c>
      <c r="E60" s="8" t="n">
        <v>800</v>
      </c>
      <c r="F60" s="8" t="n">
        <v>350</v>
      </c>
      <c r="G60" s="8" t="n"/>
      <c r="H60" s="8" t="n"/>
      <c r="I60" s="8" t="n"/>
      <c r="J60" s="8" t="n">
        <v>200</v>
      </c>
      <c r="K60" s="12" t="n">
        <v>1.15</v>
      </c>
      <c r="L60" s="8" t="inlineStr">
        <is>
          <t>cái</t>
        </is>
      </c>
      <c r="M60" s="10" t="n">
        <v>2</v>
      </c>
      <c r="N60" s="10" t="n">
        <v>4594910</v>
      </c>
      <c r="O60" s="10">
        <f>ROUNDUP(N60*M60, -2)</f>
        <v/>
      </c>
      <c r="P60" s="9" t="inlineStr">
        <is>
          <t>- Van ngăn cháy động cơ - Tiêu chuẩn EI 90
- 2 đầu bích TDC - Gắn kèm động cơ ON-OFF 5Nm, Hãng KLB
- Sản xuất theo BCTN số 4651/VLXD-TBMT</t>
        </is>
      </c>
    </row>
    <row r="61">
      <c r="A61" s="8" t="n"/>
      <c r="B61" s="9" t="inlineStr">
        <is>
          <t>Cửa gió nan thẳng 600x300</t>
        </is>
      </c>
      <c r="C61" s="8" t="inlineStr">
        <is>
          <t>SDG</t>
        </is>
      </c>
      <c r="D61" s="8" t="inlineStr">
        <is>
          <t>SWIND</t>
        </is>
      </c>
      <c r="E61" s="8" t="n">
        <v>600</v>
      </c>
      <c r="F61" s="8" t="n">
        <v>300</v>
      </c>
      <c r="G61" s="8" t="n">
        <v>550</v>
      </c>
      <c r="H61" s="8" t="n">
        <v>250</v>
      </c>
      <c r="I61" s="8" t="n"/>
      <c r="J61" s="8" t="n"/>
      <c r="K61" s="8" t="n"/>
      <c r="L61" s="8" t="inlineStr">
        <is>
          <t>cái</t>
        </is>
      </c>
      <c r="M61" s="10" t="n">
        <v>2</v>
      </c>
      <c r="N61" s="10" t="n">
        <v>156000</v>
      </c>
      <c r="O61" s="10">
        <f>ROUNDUP(N61*M61, -2)</f>
        <v/>
      </c>
      <c r="P61" s="9" t="inlineStr">
        <is>
          <t>Cửa nan bầu dục 1 lớp</t>
        </is>
      </c>
    </row>
    <row r="62">
      <c r="A62" s="8" t="n"/>
      <c r="B62" s="9" t="inlineStr">
        <is>
          <t>Van MFD 600x300 - EI60</t>
        </is>
      </c>
      <c r="C62" s="8" t="inlineStr">
        <is>
          <t>SWIND-1.03-MFD-EI90</t>
        </is>
      </c>
      <c r="D62" s="8" t="inlineStr">
        <is>
          <t>SWIND</t>
        </is>
      </c>
      <c r="E62" s="8" t="n">
        <v>600</v>
      </c>
      <c r="F62" s="8" t="n">
        <v>300</v>
      </c>
      <c r="G62" s="8" t="n"/>
      <c r="H62" s="8" t="n"/>
      <c r="I62" s="8" t="n"/>
      <c r="J62" s="8" t="n">
        <v>200</v>
      </c>
      <c r="K62" s="12" t="n">
        <v>1.15</v>
      </c>
      <c r="L62" s="8" t="inlineStr">
        <is>
          <t>cái</t>
        </is>
      </c>
      <c r="M62" s="10" t="n">
        <v>2</v>
      </c>
      <c r="N62" s="10" t="n">
        <v>3862085</v>
      </c>
      <c r="O62" s="10">
        <f>ROUNDUP(N62*M62, -2)</f>
        <v/>
      </c>
      <c r="P62" s="9" t="inlineStr">
        <is>
          <t>- Van ngăn cháy động cơ - Tiêu chuẩn EI 90
- 2 đầu bích TDC - Gắn kèm động cơ ON-OFF 5Nm, Hãng KLB
- Sản xuất theo BCTN số 4651/VLXD-TBMT</t>
        </is>
      </c>
    </row>
    <row r="63">
      <c r="A63" s="8" t="n"/>
      <c r="B63" s="9" t="inlineStr">
        <is>
          <t>Cửa gió nan thẳng 200x200</t>
        </is>
      </c>
      <c r="C63" s="8" t="inlineStr">
        <is>
          <t>SDG</t>
        </is>
      </c>
      <c r="D63" s="8" t="inlineStr">
        <is>
          <t>SWIND</t>
        </is>
      </c>
      <c r="E63" s="8" t="n">
        <v>200</v>
      </c>
      <c r="F63" s="8" t="n">
        <v>200</v>
      </c>
      <c r="G63" s="8" t="n">
        <v>150</v>
      </c>
      <c r="H63" s="8" t="n">
        <v>150</v>
      </c>
      <c r="I63" s="8" t="n"/>
      <c r="J63" s="8" t="n"/>
      <c r="K63" s="8" t="n"/>
      <c r="L63" s="8" t="inlineStr">
        <is>
          <t>cái</t>
        </is>
      </c>
      <c r="M63" s="10" t="n">
        <v>17</v>
      </c>
      <c r="N63" s="10" t="n">
        <v>48000</v>
      </c>
      <c r="O63" s="10">
        <f>ROUNDUP(N63*M63, -2)</f>
        <v/>
      </c>
      <c r="P63" s="9" t="inlineStr">
        <is>
          <t>Cửa nan bầu dục 1 lớp</t>
        </is>
      </c>
    </row>
    <row r="64">
      <c r="A64" s="8" t="n"/>
      <c r="B64" s="9" t="inlineStr">
        <is>
          <t>Van PRD 200x200</t>
        </is>
      </c>
      <c r="C64" s="8" t="inlineStr">
        <is>
          <t>PRD</t>
        </is>
      </c>
      <c r="D64" s="8" t="inlineStr">
        <is>
          <t>SWIND</t>
        </is>
      </c>
      <c r="E64" s="8" t="n">
        <v>200</v>
      </c>
      <c r="F64" s="8" t="n">
        <v>200</v>
      </c>
      <c r="G64" s="8" t="n"/>
      <c r="H64" s="8" t="n"/>
      <c r="I64" s="8" t="n"/>
      <c r="J64" s="8" t="n">
        <v>200</v>
      </c>
      <c r="K64" s="12" t="n">
        <v>0.75</v>
      </c>
      <c r="L64" s="8" t="inlineStr">
        <is>
          <t>cái</t>
        </is>
      </c>
      <c r="M64" s="10" t="n">
        <v>17</v>
      </c>
      <c r="N64" s="10" t="n">
        <v>187000</v>
      </c>
      <c r="O64" s="10">
        <f>ROUNDUP(N64*M64, -2)</f>
        <v/>
      </c>
      <c r="P64" s="9" t="inlineStr">
        <is>
          <t>Van xả áp đối trọng tôn mạ kẽm</t>
        </is>
      </c>
    </row>
    <row r="65">
      <c r="A65" s="8" t="n"/>
      <c r="B65" s="9" t="inlineStr">
        <is>
          <t>Cửa gió nan thẳng 800x400</t>
        </is>
      </c>
      <c r="C65" s="8" t="inlineStr">
        <is>
          <t>SDG</t>
        </is>
      </c>
      <c r="D65" s="8" t="inlineStr">
        <is>
          <t>SWIND</t>
        </is>
      </c>
      <c r="E65" s="8" t="n">
        <v>800</v>
      </c>
      <c r="F65" s="8" t="n">
        <v>400</v>
      </c>
      <c r="G65" s="8" t="n">
        <v>750</v>
      </c>
      <c r="H65" s="8" t="n">
        <v>350</v>
      </c>
      <c r="I65" s="8" t="n"/>
      <c r="J65" s="8" t="n"/>
      <c r="K65" s="8" t="n"/>
      <c r="L65" s="8" t="inlineStr">
        <is>
          <t>cái</t>
        </is>
      </c>
      <c r="M65" s="10" t="n">
        <v>4</v>
      </c>
      <c r="N65" s="10" t="n">
        <v>257000</v>
      </c>
      <c r="O65" s="10">
        <f>ROUNDUP(N65*M65, -2)</f>
        <v/>
      </c>
      <c r="P65" s="9" t="inlineStr">
        <is>
          <t>Cửa nan bầu dục 1 lớp</t>
        </is>
      </c>
    </row>
    <row r="66">
      <c r="A66" s="8" t="n"/>
      <c r="B66" s="9" t="inlineStr">
        <is>
          <t>Van NRD 800x400</t>
        </is>
      </c>
      <c r="C66" s="8" t="inlineStr">
        <is>
          <t>NRD</t>
        </is>
      </c>
      <c r="D66" s="8" t="inlineStr">
        <is>
          <t>SWIND</t>
        </is>
      </c>
      <c r="E66" s="8" t="n">
        <v>800</v>
      </c>
      <c r="F66" s="8" t="n">
        <v>400</v>
      </c>
      <c r="G66" s="8" t="n"/>
      <c r="H66" s="8" t="n"/>
      <c r="I66" s="8" t="n"/>
      <c r="J66" s="8" t="n">
        <v>200</v>
      </c>
      <c r="K66" s="12" t="n">
        <v>0.75</v>
      </c>
      <c r="L66" s="8" t="inlineStr">
        <is>
          <t>cái</t>
        </is>
      </c>
      <c r="M66" s="10" t="n">
        <v>4</v>
      </c>
      <c r="N66" s="10" t="n">
        <v>395000</v>
      </c>
      <c r="O66" s="10">
        <f>ROUNDUP(N66*M66, -2)</f>
        <v/>
      </c>
      <c r="P66" s="9" t="inlineStr">
        <is>
          <t>Van 1 chiều tôn mạ kẽm</t>
        </is>
      </c>
    </row>
    <row r="67">
      <c r="A67" s="8" t="n"/>
      <c r="B67" s="9" t="inlineStr">
        <is>
          <t>Cửa gió nan thẳng 800x450</t>
        </is>
      </c>
      <c r="C67" s="8" t="inlineStr">
        <is>
          <t>SDG</t>
        </is>
      </c>
      <c r="D67" s="8" t="inlineStr">
        <is>
          <t>SWIND</t>
        </is>
      </c>
      <c r="E67" s="8" t="n">
        <v>800</v>
      </c>
      <c r="F67" s="8" t="n">
        <v>450</v>
      </c>
      <c r="G67" s="8" t="n">
        <v>750</v>
      </c>
      <c r="H67" s="8" t="n">
        <v>400</v>
      </c>
      <c r="I67" s="8" t="n"/>
      <c r="J67" s="8" t="n"/>
      <c r="K67" s="8" t="n"/>
      <c r="L67" s="8" t="inlineStr">
        <is>
          <t>cái</t>
        </is>
      </c>
      <c r="M67" s="10" t="n">
        <v>1</v>
      </c>
      <c r="N67" s="10" t="n">
        <v>281000</v>
      </c>
      <c r="O67" s="10">
        <f>ROUNDUP(N67*M67, -2)</f>
        <v/>
      </c>
      <c r="P67" s="9" t="inlineStr">
        <is>
          <t>Cửa nan bầu dục 1 lớp</t>
        </is>
      </c>
    </row>
    <row r="68">
      <c r="A68" s="8" t="n"/>
      <c r="B68" s="9" t="inlineStr">
        <is>
          <t>Van NRD 800x450</t>
        </is>
      </c>
      <c r="C68" s="8" t="inlineStr">
        <is>
          <t>NRD</t>
        </is>
      </c>
      <c r="D68" s="8" t="inlineStr">
        <is>
          <t>SWIND</t>
        </is>
      </c>
      <c r="E68" s="8" t="n">
        <v>800</v>
      </c>
      <c r="F68" s="8" t="n">
        <v>450</v>
      </c>
      <c r="G68" s="8" t="n"/>
      <c r="H68" s="8" t="n"/>
      <c r="I68" s="8" t="n"/>
      <c r="J68" s="8" t="n">
        <v>200</v>
      </c>
      <c r="K68" s="12" t="n">
        <v>0.95</v>
      </c>
      <c r="L68" s="8" t="inlineStr">
        <is>
          <t>cái</t>
        </is>
      </c>
      <c r="M68" s="10" t="n">
        <v>1</v>
      </c>
      <c r="N68" s="10" t="n">
        <v>516000</v>
      </c>
      <c r="O68" s="10">
        <f>ROUNDUP(N68*M68, -2)</f>
        <v/>
      </c>
      <c r="P68" s="9" t="inlineStr">
        <is>
          <t>Van 1 chiều tôn mạ kẽm</t>
        </is>
      </c>
    </row>
    <row r="69">
      <c r="A69" s="8" t="n"/>
      <c r="B69" s="9" t="inlineStr">
        <is>
          <t>Cửa gió nan thẳng 800x350</t>
        </is>
      </c>
      <c r="C69" s="8" t="inlineStr">
        <is>
          <t>SDG</t>
        </is>
      </c>
      <c r="D69" s="8" t="inlineStr">
        <is>
          <t>SWIND</t>
        </is>
      </c>
      <c r="E69" s="8" t="n">
        <v>800</v>
      </c>
      <c r="F69" s="8" t="n">
        <v>350</v>
      </c>
      <c r="G69" s="8" t="n">
        <v>750</v>
      </c>
      <c r="H69" s="8" t="n">
        <v>300</v>
      </c>
      <c r="I69" s="8" t="n"/>
      <c r="J69" s="8" t="n"/>
      <c r="K69" s="8" t="n"/>
      <c r="L69" s="8" t="inlineStr">
        <is>
          <t>cái</t>
        </is>
      </c>
      <c r="M69" s="10" t="n">
        <v>2</v>
      </c>
      <c r="N69" s="10" t="n">
        <v>225000</v>
      </c>
      <c r="O69" s="10">
        <f>ROUNDUP(N69*M69, -2)</f>
        <v/>
      </c>
      <c r="P69" s="9" t="inlineStr">
        <is>
          <t>Cửa nan bầu dục 1 lớp</t>
        </is>
      </c>
    </row>
    <row r="70">
      <c r="A70" s="8" t="n"/>
      <c r="B70" s="9" t="inlineStr">
        <is>
          <t>Van NRD 800x350</t>
        </is>
      </c>
      <c r="C70" s="8" t="inlineStr">
        <is>
          <t>NRD</t>
        </is>
      </c>
      <c r="D70" s="8" t="inlineStr">
        <is>
          <t>SWIND</t>
        </is>
      </c>
      <c r="E70" s="8" t="n">
        <v>800</v>
      </c>
      <c r="F70" s="8" t="n">
        <v>350</v>
      </c>
      <c r="G70" s="8" t="n"/>
      <c r="H70" s="8" t="n"/>
      <c r="I70" s="8" t="n"/>
      <c r="J70" s="8" t="n">
        <v>200</v>
      </c>
      <c r="K70" s="12" t="n">
        <v>0.75</v>
      </c>
      <c r="L70" s="8" t="inlineStr">
        <is>
          <t>cái</t>
        </is>
      </c>
      <c r="M70" s="10" t="n">
        <v>2</v>
      </c>
      <c r="N70" s="10" t="n">
        <v>376000</v>
      </c>
      <c r="O70" s="10">
        <f>ROUNDUP(N70*M70, -2)</f>
        <v/>
      </c>
      <c r="P70" s="9" t="inlineStr">
        <is>
          <t>Van 1 chiều tôn mạ kẽm</t>
        </is>
      </c>
    </row>
    <row r="71">
      <c r="A71" s="8" t="n"/>
      <c r="B71" s="9" t="inlineStr">
        <is>
          <t>Cửa gió nan thẳng 600x300</t>
        </is>
      </c>
      <c r="C71" s="8" t="inlineStr">
        <is>
          <t>SDG</t>
        </is>
      </c>
      <c r="D71" s="8" t="inlineStr">
        <is>
          <t>SWIND</t>
        </is>
      </c>
      <c r="E71" s="8" t="n">
        <v>600</v>
      </c>
      <c r="F71" s="8" t="n">
        <v>300</v>
      </c>
      <c r="G71" s="8" t="n">
        <v>550</v>
      </c>
      <c r="H71" s="8" t="n">
        <v>250</v>
      </c>
      <c r="I71" s="8" t="n"/>
      <c r="J71" s="8" t="n"/>
      <c r="K71" s="8" t="n"/>
      <c r="L71" s="8" t="inlineStr">
        <is>
          <t>cái</t>
        </is>
      </c>
      <c r="M71" s="10" t="n">
        <v>2</v>
      </c>
      <c r="N71" s="10" t="n">
        <v>156000</v>
      </c>
      <c r="O71" s="10">
        <f>ROUNDUP(N71*M71, -2)</f>
        <v/>
      </c>
      <c r="P71" s="9" t="inlineStr">
        <is>
          <t>Cửa nan bầu dục 1 lớp</t>
        </is>
      </c>
    </row>
    <row r="72">
      <c r="A72" s="8" t="n"/>
      <c r="B72" s="9" t="inlineStr">
        <is>
          <t>Van NRD 600x300</t>
        </is>
      </c>
      <c r="C72" s="8" t="inlineStr">
        <is>
          <t>NRD</t>
        </is>
      </c>
      <c r="D72" s="8" t="inlineStr">
        <is>
          <t>SWIND</t>
        </is>
      </c>
      <c r="E72" s="8" t="n">
        <v>600</v>
      </c>
      <c r="F72" s="8" t="n">
        <v>300</v>
      </c>
      <c r="G72" s="8" t="n"/>
      <c r="H72" s="8" t="n"/>
      <c r="I72" s="8" t="n"/>
      <c r="J72" s="8" t="n">
        <v>200</v>
      </c>
      <c r="K72" s="12" t="n">
        <v>0.75</v>
      </c>
      <c r="L72" s="8" t="inlineStr">
        <is>
          <t>cái</t>
        </is>
      </c>
      <c r="M72" s="10" t="n">
        <v>2</v>
      </c>
      <c r="N72" s="10" t="n">
        <v>307000</v>
      </c>
      <c r="O72" s="10">
        <f>ROUNDUP(N72*M72, -2)</f>
        <v/>
      </c>
      <c r="P72" s="9" t="inlineStr">
        <is>
          <t>Van 1 chiều tôn mạ kẽm</t>
        </is>
      </c>
    </row>
    <row r="73">
      <c r="A73" s="8" t="n"/>
      <c r="B73" s="9" t="inlineStr">
        <is>
          <t>Cảm biến khói gắn ống gió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cái</t>
        </is>
      </c>
      <c r="M73" s="10" t="n">
        <v>3</v>
      </c>
      <c r="N73" s="11" t="n"/>
      <c r="O73" s="11" t="n"/>
      <c r="P73" s="9" t="n"/>
    </row>
    <row r="74">
      <c r="A74" s="8" t="n"/>
      <c r="B74" s="9" t="inlineStr">
        <is>
          <t>Ty treo giá đỡ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trọn gói</t>
        </is>
      </c>
      <c r="M74" s="10" t="n">
        <v>1</v>
      </c>
      <c r="N74" s="11" t="n"/>
      <c r="O74" s="11" t="n"/>
      <c r="P74" s="9" t="n"/>
    </row>
    <row r="75">
      <c r="A75" s="8" t="n"/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11" t="n"/>
      <c r="N75" s="11" t="n"/>
      <c r="O75" s="11" t="n"/>
      <c r="P75" s="9" t="n"/>
    </row>
    <row r="76">
      <c r="A76" s="6" t="n"/>
      <c r="B76" s="7" t="inlineStr">
        <is>
          <t>II. HỆ THỐNG BÙ GIÓ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n"/>
      <c r="B77" s="7" t="inlineStr">
        <is>
          <t>Thiết bị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8" t="n"/>
      <c r="B78" s="9" t="inlineStr">
        <is>
          <t>Quạt bù gió_Loại hướng trục MAF-B3-Z1.01
21.000 m3/h@300Pa
Motor chống cháy 300°C/2h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cái</t>
        </is>
      </c>
      <c r="M78" s="10" t="n">
        <v>1</v>
      </c>
      <c r="N78" s="11" t="n"/>
      <c r="O78" s="11" t="n"/>
      <c r="P78" s="9" t="n"/>
    </row>
    <row r="79">
      <c r="A79" s="8" t="n"/>
      <c r="B79" s="9" t="inlineStr">
        <is>
          <t>Quạt bù gió_Loại hướng trục MAF-B3-Z1.02
26.800 m3/h@500Pa
Motor chống cháy 300°C/2h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cái</t>
        </is>
      </c>
      <c r="M79" s="10" t="n">
        <v>1</v>
      </c>
      <c r="N79" s="11" t="n"/>
      <c r="O79" s="11" t="n"/>
      <c r="P79" s="9" t="n"/>
    </row>
    <row r="80">
      <c r="A80" s="8" t="n"/>
      <c r="B80" s="9" t="inlineStr">
        <is>
          <t>Quạt bù gió_Loại hướng trục MAF-B3-Z2.01
21.000 m3/h@300Pa
Motor chống cháy 300°C/2h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cái</t>
        </is>
      </c>
      <c r="M80" s="10" t="n">
        <v>1</v>
      </c>
      <c r="N80" s="11" t="n"/>
      <c r="O80" s="11" t="n"/>
      <c r="P80" s="9" t="n"/>
    </row>
    <row r="81">
      <c r="A81" s="8" t="n"/>
      <c r="B81" s="9" t="inlineStr">
        <is>
          <t>Quạt bù gió_Loại hướng trục MAF-B3-Z2.02
26.800 m3/h@500Pa
Motor chống cháy 300°C/2h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cái</t>
        </is>
      </c>
      <c r="M81" s="10" t="n">
        <v>1</v>
      </c>
      <c r="N81" s="11" t="n"/>
      <c r="O81" s="11" t="n"/>
      <c r="P81" s="9" t="n"/>
    </row>
    <row r="82">
      <c r="A82" s="8" t="n"/>
      <c r="B82" s="9" t="inlineStr">
        <is>
          <t>Quạt bù gió_Loại hướng trục MAF-B3-Z3.01
21.000 m3/h@300Pa
Motor chống cháy 300°C/2h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cái</t>
        </is>
      </c>
      <c r="M82" s="10" t="n">
        <v>1</v>
      </c>
      <c r="N82" s="11" t="n"/>
      <c r="O82" s="11" t="n"/>
      <c r="P82" s="9" t="n"/>
    </row>
    <row r="83">
      <c r="A83" s="8" t="n"/>
      <c r="B83" s="9" t="inlineStr">
        <is>
          <t>Quạt bù gió_Loại hướng trục MAF-B3-Z3.02
26.800 m3/h@500Pa
Motor chống cháy 300°C/2h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inlineStr">
        <is>
          <t>cái</t>
        </is>
      </c>
      <c r="M83" s="10" t="n">
        <v>1</v>
      </c>
      <c r="N83" s="11" t="n"/>
      <c r="O83" s="11" t="n"/>
      <c r="P83" s="9" t="n"/>
    </row>
    <row r="84">
      <c r="A84" s="8" t="n"/>
      <c r="B84" s="9" t="inlineStr">
        <is>
          <t>Quạt bù gió_Loại hướng trục MAF-B2-Z1.01
27.000 m3/h@300Pa
Motor chống cháy 300°C/2h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cái</t>
        </is>
      </c>
      <c r="M84" s="10" t="n">
        <v>1</v>
      </c>
      <c r="N84" s="11" t="n"/>
      <c r="O84" s="11" t="n"/>
      <c r="P84" s="9" t="n"/>
    </row>
    <row r="85">
      <c r="A85" s="8" t="n"/>
      <c r="B85" s="9" t="inlineStr">
        <is>
          <t>Quạt bù gió_Loại hướng trục MAF-B2-Z1.02
34.425 m3/h@500Pa
Motor chống cháy 300°C/2h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cái</t>
        </is>
      </c>
      <c r="M85" s="10" t="n">
        <v>1</v>
      </c>
      <c r="N85" s="11" t="n"/>
      <c r="O85" s="11" t="n"/>
      <c r="P85" s="9" t="n"/>
    </row>
    <row r="86">
      <c r="A86" s="8" t="n"/>
      <c r="B86" s="9" t="inlineStr">
        <is>
          <t>Quạt bù gió_Loại hướng trục MAF-B2-Z2.01
27.000 m3/h@300Pa
Motor chống cháy 300°C/2h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cái</t>
        </is>
      </c>
      <c r="M86" s="10" t="n">
        <v>1</v>
      </c>
      <c r="N86" s="11" t="n"/>
      <c r="O86" s="11" t="n"/>
      <c r="P86" s="9" t="n"/>
    </row>
    <row r="87">
      <c r="A87" s="8" t="n"/>
      <c r="B87" s="9" t="inlineStr">
        <is>
          <t>Quạt bù gió_Loại hướng trục MAF-B2-Z2.02
26.800 m3/h@500Pa
Motor chống cháy 300°C/2h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cái</t>
        </is>
      </c>
      <c r="M87" s="10" t="n">
        <v>1</v>
      </c>
      <c r="N87" s="11" t="n"/>
      <c r="O87" s="11" t="n"/>
      <c r="P87" s="9" t="n"/>
    </row>
    <row r="88">
      <c r="A88" s="8" t="n"/>
      <c r="B88" s="9" t="inlineStr">
        <is>
          <t>Quạt bù gió_Loại hướng trục MAF-B2-Z3.01
27.000 m3/h@300Pa
Motor chống cháy 300°C/2h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cái</t>
        </is>
      </c>
      <c r="M88" s="10" t="n">
        <v>1</v>
      </c>
      <c r="N88" s="11" t="n"/>
      <c r="O88" s="11" t="n"/>
      <c r="P88" s="9" t="n"/>
    </row>
    <row r="89">
      <c r="A89" s="8" t="n"/>
      <c r="B89" s="9" t="inlineStr">
        <is>
          <t>Quạt bù gió_Loại hướng trục MAF-B2-Z3.02
34.425 m3/h@500Pa
Motor chống cháy 300°C/2h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cái</t>
        </is>
      </c>
      <c r="M89" s="10" t="n">
        <v>1</v>
      </c>
      <c r="N89" s="11" t="n"/>
      <c r="O89" s="11" t="n"/>
      <c r="P89" s="9" t="n"/>
    </row>
    <row r="90">
      <c r="A90" s="8" t="n"/>
      <c r="B90" s="9" t="inlineStr">
        <is>
          <t>Quạt bù gió_Loại hướng trục MAF-B1-Z1.01
21.000 m3/h@300Pa
Motor chống cháy 300°C/2h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cái</t>
        </is>
      </c>
      <c r="M90" s="10" t="n">
        <v>1</v>
      </c>
      <c r="N90" s="11" t="n"/>
      <c r="O90" s="11" t="n"/>
      <c r="P90" s="9" t="n"/>
    </row>
    <row r="91">
      <c r="A91" s="8" t="n"/>
      <c r="B91" s="9" t="inlineStr">
        <is>
          <t>Quạt bù gió_Loại hướng trục MAF-B1-Z1.02
26.800 m3/h@500Pa
Motor chống cháy 300°C/2h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cái</t>
        </is>
      </c>
      <c r="M91" s="10" t="n">
        <v>1</v>
      </c>
      <c r="N91" s="11" t="n"/>
      <c r="O91" s="11" t="n"/>
      <c r="P91" s="9" t="n"/>
    </row>
    <row r="92">
      <c r="A92" s="8" t="n"/>
      <c r="B92" s="9" t="inlineStr">
        <is>
          <t>Quạt bù gió_Loại hướng trục MAF-B1-Z2.01
21.000 m3/h@300Pa
Motor chống cháy 300°C/2h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cái</t>
        </is>
      </c>
      <c r="M92" s="10" t="n">
        <v>1</v>
      </c>
      <c r="N92" s="11" t="n"/>
      <c r="O92" s="11" t="n"/>
      <c r="P92" s="9" t="n"/>
    </row>
    <row r="93">
      <c r="A93" s="8" t="n"/>
      <c r="B93" s="9" t="inlineStr">
        <is>
          <t>Quạt bù gió_Loại hướng trục MAF-B1-Z2.02
26.800 m3/h@500Pa
Motor chống cháy 300°C/2h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cái</t>
        </is>
      </c>
      <c r="M93" s="10" t="n">
        <v>1</v>
      </c>
      <c r="N93" s="11" t="n"/>
      <c r="O93" s="11" t="n"/>
      <c r="P93" s="9" t="n"/>
    </row>
    <row r="94">
      <c r="A94" s="8" t="n"/>
      <c r="B94" s="9" t="inlineStr">
        <is>
          <t>Quạt bù gió_Loại hướng trục MAF-B1-Z3.01
27.000 m3/h@300Pa
Motor chống cháy 300°C/2h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cái</t>
        </is>
      </c>
      <c r="M94" s="10" t="n">
        <v>1</v>
      </c>
      <c r="N94" s="11" t="n"/>
      <c r="O94" s="11" t="n"/>
      <c r="P94" s="9" t="n"/>
    </row>
    <row r="95">
      <c r="A95" s="8" t="n"/>
      <c r="B95" s="9" t="inlineStr">
        <is>
          <t>Quạt bù gió_Loại hướng trục MAF-B1-Z3.02
34.425 m3/h@500Pa
Motor chống cháy 300°C/2h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cái</t>
        </is>
      </c>
      <c r="M95" s="10" t="n">
        <v>1</v>
      </c>
      <c r="N95" s="11" t="n"/>
      <c r="O95" s="11" t="n"/>
      <c r="P95" s="9" t="n"/>
    </row>
    <row r="96">
      <c r="A96" s="8" t="n"/>
      <c r="B96" s="9" t="inlineStr">
        <is>
          <t>Nối mềm chống cháy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bộ</t>
        </is>
      </c>
      <c r="M96" s="10" t="n">
        <v>18</v>
      </c>
      <c r="N96" s="11" t="n"/>
      <c r="O96" s="11" t="n"/>
      <c r="P96" s="9" t="n"/>
    </row>
    <row r="97">
      <c r="A97" s="8" t="n"/>
      <c r="B97" s="9" t="inlineStr">
        <is>
          <t>Ty treo giá đỡ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trọn gói</t>
        </is>
      </c>
      <c r="M97" s="10" t="n">
        <v>1</v>
      </c>
      <c r="N97" s="11" t="n"/>
      <c r="O97" s="11" t="n"/>
      <c r="P97" s="9" t="n"/>
    </row>
    <row r="98">
      <c r="A98" s="8" t="n"/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11" t="n"/>
      <c r="N98" s="11" t="n"/>
      <c r="O98" s="11" t="n"/>
      <c r="P98" s="9" t="n"/>
    </row>
    <row r="99">
      <c r="A99" s="6" t="n"/>
      <c r="B99" s="7" t="inlineStr">
        <is>
          <t>Ống gió
Air duct</t>
        </is>
      </c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n"/>
      <c r="B100" s="7" t="inlineStr">
        <is>
          <t>Ống gió chống cháy EI120</t>
        </is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n"/>
      <c r="B101" s="7" t="inlineStr">
        <is>
          <t>Ống gió thẳng</t>
        </is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8" t="n"/>
      <c r="B102" s="9" t="inlineStr">
        <is>
          <t>Ống gió chống cháy EI120 1400x400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m</t>
        </is>
      </c>
      <c r="M102" s="10" t="n">
        <v>180</v>
      </c>
      <c r="N102" s="11" t="n"/>
      <c r="O102" s="11" t="n"/>
      <c r="P102" s="9" t="n"/>
    </row>
    <row r="103">
      <c r="A103" s="8" t="n"/>
      <c r="B103" s="9" t="inlineStr">
        <is>
          <t>Ống gió chống cháy EI120 1200x550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m</t>
        </is>
      </c>
      <c r="M103" s="10" t="n">
        <v>120</v>
      </c>
      <c r="N103" s="11" t="n"/>
      <c r="O103" s="11" t="n"/>
      <c r="P103" s="9" t="n"/>
    </row>
    <row r="104">
      <c r="A104" s="8" t="n"/>
      <c r="B104" s="9" t="inlineStr">
        <is>
          <t>Ống gió chống cháy EI120 1200x400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m</t>
        </is>
      </c>
      <c r="M104" s="10" t="n">
        <v>225</v>
      </c>
      <c r="N104" s="11" t="n"/>
      <c r="O104" s="11" t="n"/>
      <c r="P104" s="9" t="n"/>
    </row>
    <row r="105">
      <c r="A105" s="8" t="n"/>
      <c r="B105" s="9" t="inlineStr">
        <is>
          <t>Ống gió chống cháy EI120 1100x350</t>
        </is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inlineStr">
        <is>
          <t>m</t>
        </is>
      </c>
      <c r="M105" s="10" t="n">
        <v>555</v>
      </c>
      <c r="N105" s="11" t="n"/>
      <c r="O105" s="11" t="n"/>
      <c r="P105" s="9" t="n"/>
    </row>
    <row r="106">
      <c r="A106" s="8" t="n"/>
      <c r="B106" s="9" t="inlineStr">
        <is>
          <t>Ống gió chống cháy EI120 900x300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m</t>
        </is>
      </c>
      <c r="M106" s="10" t="n">
        <v>534</v>
      </c>
      <c r="N106" s="11" t="n"/>
      <c r="O106" s="11" t="n"/>
      <c r="P106" s="9" t="n"/>
    </row>
    <row r="107">
      <c r="A107" s="8" t="n"/>
      <c r="B107" s="9" t="inlineStr">
        <is>
          <t>Ống gió chống cháy EI120 900x350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m</t>
        </is>
      </c>
      <c r="M107" s="10" t="n">
        <v>30</v>
      </c>
      <c r="N107" s="11" t="n"/>
      <c r="O107" s="11" t="n"/>
      <c r="P107" s="9" t="n"/>
    </row>
    <row r="108">
      <c r="A108" s="8" t="n"/>
      <c r="B108" s="9" t="inlineStr">
        <is>
          <t>Ống gió chống cháy EI120 900x300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m</t>
        </is>
      </c>
      <c r="M108" s="10" t="n">
        <v>209</v>
      </c>
      <c r="N108" s="11" t="n"/>
      <c r="O108" s="11" t="n"/>
      <c r="P108" s="9" t="n"/>
    </row>
    <row r="109">
      <c r="A109" s="6" t="n"/>
      <c r="B109" s="7" t="inlineStr">
        <is>
          <t>Côn chuyển</t>
        </is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8" t="n"/>
      <c r="B110" s="9" t="inlineStr">
        <is>
          <t>Côn chuyển 1200x550/ 1100x350-500L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4</v>
      </c>
      <c r="N110" s="11" t="n"/>
      <c r="O110" s="11" t="n"/>
      <c r="P110" s="9" t="n"/>
    </row>
    <row r="111">
      <c r="A111" s="8" t="n"/>
      <c r="B111" s="9" t="inlineStr">
        <is>
          <t>Côn chuyển 1200x400/ 1100x350-500L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8</v>
      </c>
      <c r="N111" s="11" t="n"/>
      <c r="O111" s="11" t="n"/>
      <c r="P111" s="9" t="n"/>
    </row>
    <row r="112">
      <c r="A112" s="8" t="n"/>
      <c r="B112" s="9" t="inlineStr">
        <is>
          <t>Côn chuyển 1100x350/ 900x300-500L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17</v>
      </c>
      <c r="N112" s="11" t="n"/>
      <c r="O112" s="11" t="n"/>
      <c r="P112" s="9" t="n"/>
    </row>
    <row r="113">
      <c r="A113" s="8" t="n"/>
      <c r="B113" s="9" t="inlineStr">
        <is>
          <t>Côn chuyển 1400x400/ 1200x400-500L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3</v>
      </c>
      <c r="N113" s="11" t="n"/>
      <c r="O113" s="11" t="n"/>
      <c r="P113" s="9" t="n"/>
    </row>
    <row r="114">
      <c r="A114" s="8" t="n"/>
      <c r="B114" s="9" t="inlineStr">
        <is>
          <t>Côn chuyển 1400x400/ 1100x350-500L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2</v>
      </c>
      <c r="N114" s="11" t="n"/>
      <c r="O114" s="11" t="n"/>
      <c r="P114" s="9" t="n"/>
    </row>
    <row r="115">
      <c r="A115" s="6" t="n"/>
      <c r="B115" s="7" t="inlineStr">
        <is>
          <t>Chân rẽ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8" t="n"/>
      <c r="B116" s="9" t="inlineStr">
        <is>
          <t>Chân rẽ 1100x350-200H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11</v>
      </c>
      <c r="N116" s="11" t="n"/>
      <c r="O116" s="11" t="n"/>
      <c r="P116" s="9" t="n"/>
    </row>
    <row r="117">
      <c r="A117" s="8" t="n"/>
      <c r="B117" s="9" t="inlineStr">
        <is>
          <t>Chân rẽ 900x300-200H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44</v>
      </c>
      <c r="N117" s="11" t="n"/>
      <c r="O117" s="11" t="n"/>
      <c r="P117" s="9" t="n"/>
    </row>
    <row r="118">
      <c r="A118" s="8" t="n"/>
      <c r="B118" s="9" t="inlineStr">
        <is>
          <t>Chân rẽ 900x350-200H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6" t="n"/>
      <c r="B119" s="7" t="inlineStr">
        <is>
          <t>Co ngang ống gió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/>
      <c r="B120" s="9" t="inlineStr">
        <is>
          <t>Co ngang ống gió 1200x550-600R-45°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4</v>
      </c>
      <c r="N120" s="11" t="n"/>
      <c r="O120" s="11" t="n"/>
      <c r="P120" s="9" t="n"/>
    </row>
    <row r="121">
      <c r="A121" s="8" t="n"/>
      <c r="B121" s="9" t="inlineStr">
        <is>
          <t>Co ngang ống gió 1200x400-600R-45°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2</v>
      </c>
      <c r="N121" s="11" t="n"/>
      <c r="O121" s="11" t="n"/>
      <c r="P121" s="9" t="n"/>
    </row>
    <row r="122">
      <c r="A122" s="8" t="n"/>
      <c r="B122" s="9" t="inlineStr">
        <is>
          <t>Co ngang ống gió 1400x400-400R-90°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9</v>
      </c>
      <c r="N122" s="11" t="n"/>
      <c r="O122" s="11" t="n"/>
      <c r="P122" s="9" t="n"/>
    </row>
    <row r="123">
      <c r="A123" s="8" t="n"/>
      <c r="B123" s="9" t="inlineStr">
        <is>
          <t>Co ngang ống gió 1200x400-400R-90°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5</v>
      </c>
      <c r="N123" s="11" t="n"/>
      <c r="O123" s="11" t="n"/>
      <c r="P123" s="9" t="n"/>
    </row>
    <row r="124">
      <c r="A124" s="8" t="n"/>
      <c r="B124" s="9" t="inlineStr">
        <is>
          <t>Co ngang ống gió 1100x350-400R-90°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5</v>
      </c>
      <c r="N124" s="11" t="n"/>
      <c r="O124" s="11" t="n"/>
      <c r="P124" s="9" t="n"/>
    </row>
    <row r="125">
      <c r="A125" s="8" t="n"/>
      <c r="B125" s="9" t="inlineStr">
        <is>
          <t>Co ngang ống gió 900x350-400R-90°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2</v>
      </c>
      <c r="N125" s="11" t="n"/>
      <c r="O125" s="11" t="n"/>
      <c r="P125" s="9" t="n"/>
    </row>
    <row r="126">
      <c r="A126" s="8" t="n"/>
      <c r="B126" s="9" t="inlineStr">
        <is>
          <t>Co ngang ống gió 900x300-400R-90°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28</v>
      </c>
      <c r="N126" s="11" t="n"/>
      <c r="O126" s="11" t="n"/>
      <c r="P126" s="9" t="n"/>
    </row>
    <row r="127">
      <c r="A127" s="8" t="n"/>
      <c r="B127" s="9" t="inlineStr">
        <is>
          <t>Ty treo giá đỡ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trọn gói</t>
        </is>
      </c>
      <c r="M127" s="10" t="n">
        <v>1</v>
      </c>
      <c r="N127" s="11" t="n"/>
      <c r="O127" s="11" t="n"/>
      <c r="P127" s="9" t="n"/>
    </row>
    <row r="128">
      <c r="A128" s="8" t="n"/>
      <c r="B128" s="9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11" t="n"/>
      <c r="N128" s="11" t="n"/>
      <c r="O128" s="11" t="n"/>
      <c r="P128" s="9" t="n"/>
    </row>
    <row r="129">
      <c r="A129" s="6" t="n"/>
      <c r="B129" s="7" t="inlineStr">
        <is>
          <t>Miệng gió</t>
        </is>
      </c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8" t="n"/>
      <c r="B130" s="9" t="inlineStr">
        <is>
          <t>Miệng gió OAG+OBD 900x900</t>
        </is>
      </c>
      <c r="C130" s="8" t="inlineStr">
        <is>
          <t>SDG+O</t>
        </is>
      </c>
      <c r="D130" s="8" t="inlineStr">
        <is>
          <t>SWIND</t>
        </is>
      </c>
      <c r="E130" s="8" t="n">
        <v>900</v>
      </c>
      <c r="F130" s="8" t="n">
        <v>900</v>
      </c>
      <c r="G130" s="8" t="n">
        <v>850</v>
      </c>
      <c r="H130" s="8" t="n">
        <v>850</v>
      </c>
      <c r="I130" s="8" t="n"/>
      <c r="J130" s="8" t="n"/>
      <c r="K130" s="8" t="n"/>
      <c r="L130" s="8" t="inlineStr">
        <is>
          <t>cái</t>
        </is>
      </c>
      <c r="M130" s="10" t="n">
        <v>64</v>
      </c>
      <c r="N130" s="10" t="n">
        <v>1071000</v>
      </c>
      <c r="O130" s="10">
        <f>ROUNDUP(N130*M130, -2)</f>
        <v/>
      </c>
      <c r="P130" s="9" t="inlineStr">
        <is>
          <t>Cửa nan bầu dục 1 lớp kèm van OBD</t>
        </is>
      </c>
    </row>
    <row r="131">
      <c r="A131" s="8" t="n"/>
      <c r="B131" s="9" t="inlineStr">
        <is>
          <t>Cửa gió nan thẳng 1200x550</t>
        </is>
      </c>
      <c r="C131" s="8" t="inlineStr">
        <is>
          <t>SDG</t>
        </is>
      </c>
      <c r="D131" s="8" t="inlineStr">
        <is>
          <t>SWIND</t>
        </is>
      </c>
      <c r="E131" s="8" t="n">
        <v>1200</v>
      </c>
      <c r="F131" s="8" t="n">
        <v>550</v>
      </c>
      <c r="G131" s="8" t="n">
        <v>1150</v>
      </c>
      <c r="H131" s="8" t="n">
        <v>500</v>
      </c>
      <c r="I131" s="8" t="n"/>
      <c r="J131" s="8" t="n"/>
      <c r="K131" s="8" t="n"/>
      <c r="L131" s="8" t="inlineStr">
        <is>
          <t>cái</t>
        </is>
      </c>
      <c r="M131" s="10" t="n">
        <v>4</v>
      </c>
      <c r="N131" s="10" t="n">
        <v>486000</v>
      </c>
      <c r="O131" s="10">
        <f>ROUNDUP(N131*M131, -2)</f>
        <v/>
      </c>
      <c r="P131" s="9" t="inlineStr">
        <is>
          <t>Cửa nan bầu dục 1 lớp</t>
        </is>
      </c>
    </row>
    <row r="132">
      <c r="A132" s="8" t="n"/>
      <c r="B132" s="9" t="inlineStr">
        <is>
          <t>Van MFD 1200x550 - EI60</t>
        </is>
      </c>
      <c r="C132" s="8" t="inlineStr">
        <is>
          <t>SWIND-1.03-MFD-EI90</t>
        </is>
      </c>
      <c r="D132" s="8" t="inlineStr">
        <is>
          <t>SWIND</t>
        </is>
      </c>
      <c r="E132" s="8" t="n">
        <v>1200</v>
      </c>
      <c r="F132" s="8" t="n">
        <v>550</v>
      </c>
      <c r="G132" s="8" t="n"/>
      <c r="H132" s="8" t="n"/>
      <c r="I132" s="8" t="n"/>
      <c r="J132" s="8" t="n">
        <v>200</v>
      </c>
      <c r="K132" s="12" t="n">
        <v>1.15</v>
      </c>
      <c r="L132" s="8" t="inlineStr">
        <is>
          <t>cái</t>
        </is>
      </c>
      <c r="M132" s="10" t="n">
        <v>4</v>
      </c>
      <c r="N132" s="10" t="n">
        <v>6917645</v>
      </c>
      <c r="O132" s="10">
        <f>ROUNDUP(N132*M132, -2)</f>
        <v/>
      </c>
      <c r="P132" s="9" t="inlineStr">
        <is>
          <t>- Van ngăn cháy động cơ - Tiêu chuẩn EI 90
- 2 đầu bích TDC - Gắn kèm động cơ ON-OFF 5Nm, Hãng KLB
- Sản xuất theo BCTN số 4651/VLXD-TBMT</t>
        </is>
      </c>
    </row>
    <row r="133">
      <c r="A133" s="8" t="n"/>
      <c r="B133" s="9" t="inlineStr">
        <is>
          <t>Cửa gió nan thẳng 1200x400</t>
        </is>
      </c>
      <c r="C133" s="8" t="inlineStr">
        <is>
          <t>SDG</t>
        </is>
      </c>
      <c r="D133" s="8" t="inlineStr">
        <is>
          <t>SWIND</t>
        </is>
      </c>
      <c r="E133" s="8" t="n">
        <v>1200</v>
      </c>
      <c r="F133" s="8" t="n">
        <v>400</v>
      </c>
      <c r="G133" s="8" t="n">
        <v>1150</v>
      </c>
      <c r="H133" s="8" t="n">
        <v>350</v>
      </c>
      <c r="I133" s="8" t="n"/>
      <c r="J133" s="8" t="n"/>
      <c r="K133" s="8" t="n"/>
      <c r="L133" s="8" t="inlineStr">
        <is>
          <t>cái</t>
        </is>
      </c>
      <c r="M133" s="10" t="n">
        <v>12</v>
      </c>
      <c r="N133" s="10" t="n">
        <v>372000</v>
      </c>
      <c r="O133" s="10">
        <f>ROUNDUP(N133*M133, -2)</f>
        <v/>
      </c>
      <c r="P133" s="9" t="inlineStr">
        <is>
          <t>Cửa nan bầu dục 1 lớp</t>
        </is>
      </c>
    </row>
    <row r="134">
      <c r="A134" s="8" t="n"/>
      <c r="B134" s="9" t="inlineStr">
        <is>
          <t>Van MFD 1200x400 - EI60</t>
        </is>
      </c>
      <c r="C134" s="8" t="inlineStr">
        <is>
          <t>SWIND-1.03-MFD-EI90</t>
        </is>
      </c>
      <c r="D134" s="8" t="inlineStr">
        <is>
          <t>SWIND</t>
        </is>
      </c>
      <c r="E134" s="8" t="n">
        <v>1200</v>
      </c>
      <c r="F134" s="8" t="n">
        <v>400</v>
      </c>
      <c r="G134" s="8" t="n"/>
      <c r="H134" s="8" t="n"/>
      <c r="I134" s="8" t="n"/>
      <c r="J134" s="8" t="n">
        <v>200</v>
      </c>
      <c r="K134" s="12" t="n">
        <v>1.15</v>
      </c>
      <c r="L134" s="8" t="inlineStr">
        <is>
          <t>cái</t>
        </is>
      </c>
      <c r="M134" s="10" t="n">
        <v>12</v>
      </c>
      <c r="N134" s="10" t="n">
        <v>5995560</v>
      </c>
      <c r="O134" s="10">
        <f>ROUNDUP(N134*M134, -2)</f>
        <v/>
      </c>
      <c r="P134" s="9" t="inlineStr">
        <is>
          <t>- Van ngăn cháy động cơ - Tiêu chuẩn EI 90
- 2 đầu bích TDC - Gắn kèm động cơ ON-OFF 5Nm, Hãng KLB
- Sản xuất theo BCTN số 4651/VLXD-TBMT</t>
        </is>
      </c>
    </row>
    <row r="135">
      <c r="A135" s="8" t="n"/>
      <c r="B135" s="9" t="inlineStr">
        <is>
          <t>Cửa gió nan thẳng 1400x400</t>
        </is>
      </c>
      <c r="C135" s="8" t="inlineStr">
        <is>
          <t>SDG</t>
        </is>
      </c>
      <c r="D135" s="8" t="inlineStr">
        <is>
          <t>SWIND</t>
        </is>
      </c>
      <c r="E135" s="8" t="n">
        <v>1400</v>
      </c>
      <c r="F135" s="8" t="n">
        <v>400</v>
      </c>
      <c r="G135" s="8" t="n">
        <v>1350</v>
      </c>
      <c r="H135" s="8" t="n">
        <v>350</v>
      </c>
      <c r="I135" s="8" t="n"/>
      <c r="J135" s="8" t="n"/>
      <c r="K135" s="8" t="n"/>
      <c r="L135" s="8" t="inlineStr">
        <is>
          <t>cái</t>
        </is>
      </c>
      <c r="M135" s="10" t="n">
        <v>2</v>
      </c>
      <c r="N135" s="10" t="n">
        <v>429000</v>
      </c>
      <c r="O135" s="10">
        <f>ROUNDUP(N135*M135, -2)</f>
        <v/>
      </c>
      <c r="P135" s="9" t="inlineStr">
        <is>
          <t>Cửa nan bầu dục 1 lớp</t>
        </is>
      </c>
    </row>
    <row r="136">
      <c r="A136" s="8" t="n"/>
      <c r="B136" s="9" t="inlineStr">
        <is>
          <t>Van MFD 1400x400</t>
        </is>
      </c>
      <c r="C136" s="8" t="inlineStr">
        <is>
          <t>SWIND-1.03-MFD-EI90</t>
        </is>
      </c>
      <c r="D136" s="8" t="inlineStr">
        <is>
          <t>SWIND</t>
        </is>
      </c>
      <c r="E136" s="8" t="n">
        <v>1400</v>
      </c>
      <c r="F136" s="8" t="n">
        <v>400</v>
      </c>
      <c r="G136" s="8" t="n"/>
      <c r="H136" s="8" t="n"/>
      <c r="I136" s="8" t="n"/>
      <c r="J136" s="8" t="n">
        <v>200</v>
      </c>
      <c r="K136" s="12" t="n">
        <v>1.15</v>
      </c>
      <c r="L136" s="8" t="inlineStr">
        <is>
          <t>cái</t>
        </is>
      </c>
      <c r="M136" s="10" t="n">
        <v>2</v>
      </c>
      <c r="N136" s="10" t="n">
        <v>6582320</v>
      </c>
      <c r="O136" s="10">
        <f>ROUNDUP(N136*M136, -2)</f>
        <v/>
      </c>
      <c r="P136" s="9" t="inlineStr">
        <is>
          <t>- Van ngăn cháy động cơ - Tiêu chuẩn EI 90
- 2 đầu bích TDC - Gắn kèm động cơ ON-OFF 5Nm, Hãng KLB
- Sản xuất theo BCTN số 4651/VLXD-TBMT</t>
        </is>
      </c>
    </row>
    <row r="137">
      <c r="A137" s="8" t="n"/>
      <c r="B137" s="9" t="inlineStr">
        <is>
          <t>Cửa gió nan thẳng 1200x550</t>
        </is>
      </c>
      <c r="C137" s="8" t="inlineStr">
        <is>
          <t>SDG</t>
        </is>
      </c>
      <c r="D137" s="8" t="inlineStr">
        <is>
          <t>SWIND</t>
        </is>
      </c>
      <c r="E137" s="8" t="n">
        <v>1200</v>
      </c>
      <c r="F137" s="8" t="n">
        <v>550</v>
      </c>
      <c r="G137" s="8" t="n">
        <v>1150</v>
      </c>
      <c r="H137" s="8" t="n">
        <v>500</v>
      </c>
      <c r="I137" s="8" t="n"/>
      <c r="J137" s="8" t="n"/>
      <c r="K137" s="8" t="n"/>
      <c r="L137" s="8" t="inlineStr">
        <is>
          <t>cái</t>
        </is>
      </c>
      <c r="M137" s="10" t="n">
        <v>4</v>
      </c>
      <c r="N137" s="10" t="n">
        <v>486000</v>
      </c>
      <c r="O137" s="10">
        <f>ROUNDUP(N137*M137, -2)</f>
        <v/>
      </c>
      <c r="P137" s="9" t="inlineStr">
        <is>
          <t>Cửa nan bầu dục 1 lớp</t>
        </is>
      </c>
    </row>
    <row r="138">
      <c r="A138" s="8" t="n"/>
      <c r="B138" s="9" t="inlineStr">
        <is>
          <t>Van NRD 1200x550</t>
        </is>
      </c>
      <c r="C138" s="8" t="inlineStr">
        <is>
          <t>NRD</t>
        </is>
      </c>
      <c r="D138" s="8" t="inlineStr">
        <is>
          <t>SWIND</t>
        </is>
      </c>
      <c r="E138" s="8" t="n">
        <v>1200</v>
      </c>
      <c r="F138" s="8" t="n">
        <v>550</v>
      </c>
      <c r="G138" s="8" t="n"/>
      <c r="H138" s="8" t="n"/>
      <c r="I138" s="8" t="n"/>
      <c r="J138" s="8" t="n">
        <v>200</v>
      </c>
      <c r="K138" s="12" t="n">
        <v>1.15</v>
      </c>
      <c r="L138" s="8" t="inlineStr">
        <is>
          <t>cái</t>
        </is>
      </c>
      <c r="M138" s="10" t="n">
        <v>4</v>
      </c>
      <c r="N138" s="10" t="n">
        <v>1152500</v>
      </c>
      <c r="O138" s="10">
        <f>ROUNDUP(N138*M138, -2)</f>
        <v/>
      </c>
      <c r="P138" s="9" t="inlineStr">
        <is>
          <t>Van 1 chiều tôn mạ kẽm</t>
        </is>
      </c>
    </row>
    <row r="139">
      <c r="A139" s="8" t="n"/>
      <c r="B139" s="9" t="inlineStr">
        <is>
          <t>Cửa gió nan thẳng 1200x400</t>
        </is>
      </c>
      <c r="C139" s="8" t="inlineStr">
        <is>
          <t>SDG</t>
        </is>
      </c>
      <c r="D139" s="8" t="inlineStr">
        <is>
          <t>SWIND</t>
        </is>
      </c>
      <c r="E139" s="8" t="n">
        <v>1200</v>
      </c>
      <c r="F139" s="8" t="n">
        <v>400</v>
      </c>
      <c r="G139" s="8" t="n">
        <v>1150</v>
      </c>
      <c r="H139" s="8" t="n">
        <v>350</v>
      </c>
      <c r="I139" s="8" t="n"/>
      <c r="J139" s="8" t="n"/>
      <c r="K139" s="8" t="n"/>
      <c r="L139" s="8" t="inlineStr">
        <is>
          <t>cái</t>
        </is>
      </c>
      <c r="M139" s="10" t="n">
        <v>12</v>
      </c>
      <c r="N139" s="10" t="n">
        <v>372000</v>
      </c>
      <c r="O139" s="10">
        <f>ROUNDUP(N139*M139, -2)</f>
        <v/>
      </c>
      <c r="P139" s="9" t="inlineStr">
        <is>
          <t>Cửa nan bầu dục 1 lớp</t>
        </is>
      </c>
    </row>
    <row r="140">
      <c r="A140" s="8" t="n"/>
      <c r="B140" s="9" t="inlineStr">
        <is>
          <t>Van NRD 1200x400</t>
        </is>
      </c>
      <c r="C140" s="8" t="inlineStr">
        <is>
          <t>NRD</t>
        </is>
      </c>
      <c r="D140" s="8" t="inlineStr">
        <is>
          <t>SWIND</t>
        </is>
      </c>
      <c r="E140" s="8" t="n">
        <v>1200</v>
      </c>
      <c r="F140" s="8" t="n">
        <v>400</v>
      </c>
      <c r="G140" s="8" t="n"/>
      <c r="H140" s="8" t="n"/>
      <c r="I140" s="8" t="n"/>
      <c r="J140" s="8" t="n">
        <v>200</v>
      </c>
      <c r="K140" s="12" t="n">
        <v>1.15</v>
      </c>
      <c r="L140" s="8" t="inlineStr">
        <is>
          <t>cái</t>
        </is>
      </c>
      <c r="M140" s="10" t="n">
        <v>12</v>
      </c>
      <c r="N140" s="10" t="n">
        <v>1027500</v>
      </c>
      <c r="O140" s="10">
        <f>ROUNDUP(N140*M140, -2)</f>
        <v/>
      </c>
      <c r="P140" s="9" t="inlineStr">
        <is>
          <t>Van 1 chiều tôn mạ kẽm</t>
        </is>
      </c>
    </row>
    <row r="141">
      <c r="A141" s="8" t="n"/>
      <c r="B141" s="9" t="inlineStr">
        <is>
          <t>Cửa gió nan thẳng 1400x400</t>
        </is>
      </c>
      <c r="C141" s="8" t="inlineStr">
        <is>
          <t>SDG</t>
        </is>
      </c>
      <c r="D141" s="8" t="inlineStr">
        <is>
          <t>SWIND</t>
        </is>
      </c>
      <c r="E141" s="8" t="n">
        <v>1400</v>
      </c>
      <c r="F141" s="8" t="n">
        <v>400</v>
      </c>
      <c r="G141" s="8" t="n">
        <v>1350</v>
      </c>
      <c r="H141" s="8" t="n">
        <v>350</v>
      </c>
      <c r="I141" s="8" t="n"/>
      <c r="J141" s="8" t="n"/>
      <c r="K141" s="8" t="n"/>
      <c r="L141" s="8" t="inlineStr">
        <is>
          <t>cái</t>
        </is>
      </c>
      <c r="M141" s="10" t="n">
        <v>2</v>
      </c>
      <c r="N141" s="10" t="n">
        <v>429000</v>
      </c>
      <c r="O141" s="10">
        <f>ROUNDUP(N141*M141, -2)</f>
        <v/>
      </c>
      <c r="P141" s="9" t="inlineStr">
        <is>
          <t>Cửa nan bầu dục 1 lớp</t>
        </is>
      </c>
    </row>
    <row r="142">
      <c r="A142" s="8" t="n"/>
      <c r="B142" s="9" t="inlineStr">
        <is>
          <t>Van NRD 1400x400</t>
        </is>
      </c>
      <c r="C142" s="8" t="inlineStr">
        <is>
          <t>NRD</t>
        </is>
      </c>
      <c r="D142" s="8" t="inlineStr">
        <is>
          <t>SWIND</t>
        </is>
      </c>
      <c r="E142" s="8" t="n">
        <v>1400</v>
      </c>
      <c r="F142" s="8" t="n">
        <v>400</v>
      </c>
      <c r="G142" s="8" t="n"/>
      <c r="H142" s="8" t="n"/>
      <c r="I142" s="8" t="n"/>
      <c r="J142" s="8" t="n">
        <v>200</v>
      </c>
      <c r="K142" s="12" t="n">
        <v>1.15</v>
      </c>
      <c r="L142" s="8" t="inlineStr">
        <is>
          <t>cái</t>
        </is>
      </c>
      <c r="M142" s="10" t="n">
        <v>2</v>
      </c>
      <c r="N142" s="10" t="n">
        <v>1120000</v>
      </c>
      <c r="O142" s="10">
        <f>ROUNDUP(N142*M142, -2)</f>
        <v/>
      </c>
      <c r="P142" s="9" t="inlineStr">
        <is>
          <t>Van 1 chiều tôn mạ kẽm</t>
        </is>
      </c>
    </row>
    <row r="143">
      <c r="A143" s="8" t="n"/>
      <c r="B143" s="9" t="inlineStr">
        <is>
          <t>Cảm biến khói gắn ống gió</t>
        </is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inlineStr">
        <is>
          <t>cái</t>
        </is>
      </c>
      <c r="M143" s="10" t="n">
        <v>3</v>
      </c>
      <c r="N143" s="11" t="n"/>
      <c r="O143" s="11" t="n"/>
      <c r="P143" s="9" t="n"/>
    </row>
    <row r="144">
      <c r="A144" s="8" t="n"/>
      <c r="B144" s="9" t="inlineStr">
        <is>
          <t>Ty treo giá đỡ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trọn gói</t>
        </is>
      </c>
      <c r="M144" s="10" t="n">
        <v>1</v>
      </c>
      <c r="N144" s="11" t="n"/>
      <c r="O144" s="11" t="n"/>
      <c r="P144" s="9" t="n"/>
    </row>
    <row r="145">
      <c r="A145" s="8" t="n"/>
      <c r="B145" s="9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11" t="n"/>
      <c r="N145" s="11" t="n"/>
      <c r="O145" s="11" t="n"/>
      <c r="P145" s="9" t="n"/>
    </row>
    <row r="146">
      <c r="A146" s="6" t="n"/>
      <c r="B146" s="7" t="inlineStr">
        <is>
          <t>III. HỆ THỐNG HÚT KHÓI</t>
        </is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>
      <c r="A147" s="6" t="n"/>
      <c r="B147" s="7" t="inlineStr">
        <is>
          <t>Thiết bị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8" t="n"/>
      <c r="B148" s="9" t="inlineStr">
        <is>
          <t>Quạt hút khói_Hướng trục SEAF-B3-Z1.01
21.000m3/h@300Pa
Motor chống cháy 300°C/2h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cái</t>
        </is>
      </c>
      <c r="M148" s="10" t="n">
        <v>1</v>
      </c>
      <c r="N148" s="11" t="n"/>
      <c r="O148" s="11" t="n"/>
      <c r="P148" s="9" t="n"/>
    </row>
    <row r="149">
      <c r="A149" s="8" t="n"/>
      <c r="B149" s="9" t="inlineStr">
        <is>
          <t>Quạt hút khói_Hướng trục SEAF-B3-Z1.01
31.500m3/h@675Pa
Motor chống cháy 300°C/2h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inlineStr">
        <is>
          <t>cái</t>
        </is>
      </c>
      <c r="M149" s="10" t="n">
        <v>1</v>
      </c>
      <c r="N149" s="11" t="n"/>
      <c r="O149" s="11" t="n"/>
      <c r="P149" s="9" t="n"/>
    </row>
    <row r="150">
      <c r="A150" s="8" t="n"/>
      <c r="B150" s="9" t="inlineStr">
        <is>
          <t>Quạt hút khói_Hướng trục SEAF-B3-Z2.01
21.000m3/h@300Pa
Motor chống cháy 300°C/2h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cái</t>
        </is>
      </c>
      <c r="M150" s="10" t="n">
        <v>1</v>
      </c>
      <c r="N150" s="11" t="n"/>
      <c r="O150" s="11" t="n"/>
      <c r="P150" s="9" t="n"/>
    </row>
    <row r="151">
      <c r="A151" s="8" t="n"/>
      <c r="B151" s="9" t="inlineStr">
        <is>
          <t>Quạt hút khói_Hướng trục SEAF-B3-Z2.01
31.500m3/h@675Pa
Motor chống cháy 300°C/2h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cái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Quạt hút khói_Hướng trục SEAF-B3-Z3.01
21.000m3/h@300Pa
Motor chống cháy 300°C/2h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cái</t>
        </is>
      </c>
      <c r="M152" s="10" t="n">
        <v>1</v>
      </c>
      <c r="N152" s="11" t="n"/>
      <c r="O152" s="11" t="n"/>
      <c r="P152" s="9" t="n"/>
    </row>
    <row r="153">
      <c r="A153" s="8" t="n"/>
      <c r="B153" s="9" t="inlineStr">
        <is>
          <t>Quạt hút khói_Hướng trục SEAF-B3-Z3.01
31.500m3/h@675Pa
Motor chống cháy 300°C/2h</t>
        </is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inlineStr">
        <is>
          <t>cái</t>
        </is>
      </c>
      <c r="M153" s="10" t="n">
        <v>1</v>
      </c>
      <c r="N153" s="11" t="n"/>
      <c r="O153" s="11" t="n"/>
      <c r="P153" s="9" t="n"/>
    </row>
    <row r="154">
      <c r="A154" s="8" t="n"/>
      <c r="B154" s="9" t="inlineStr">
        <is>
          <t>Quạt hút khói_Hướng trục SEAF-B2-Z1.01
27.000m3/h@300Pa
Motor chống cháy 300°C/2h</t>
        </is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inlineStr">
        <is>
          <t>cái</t>
        </is>
      </c>
      <c r="M154" s="10" t="n">
        <v>1</v>
      </c>
      <c r="N154" s="11" t="n"/>
      <c r="O154" s="11" t="n"/>
      <c r="P154" s="9" t="n"/>
    </row>
    <row r="155">
      <c r="A155" s="8" t="n"/>
      <c r="B155" s="9" t="inlineStr">
        <is>
          <t>Quạt hút khói_Hướng trục SEAF-B2-Z1.01
40.500m3/h@675Pa
Motor chống cháy 300°C/2h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inlineStr">
        <is>
          <t>cái</t>
        </is>
      </c>
      <c r="M155" s="10" t="n">
        <v>1</v>
      </c>
      <c r="N155" s="11" t="n"/>
      <c r="O155" s="11" t="n"/>
      <c r="P155" s="9" t="n"/>
    </row>
    <row r="156">
      <c r="A156" s="8" t="n"/>
      <c r="B156" s="9" t="inlineStr">
        <is>
          <t>Quạt hút khói_Hướng trục SEAF-B2-Z2.01
27.000m3/h@300Pa
Motor chống cháy 300°C/2h</t>
        </is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inlineStr">
        <is>
          <t>cái</t>
        </is>
      </c>
      <c r="M156" s="10" t="n">
        <v>1</v>
      </c>
      <c r="N156" s="11" t="n"/>
      <c r="O156" s="11" t="n"/>
      <c r="P156" s="9" t="n"/>
    </row>
    <row r="157">
      <c r="A157" s="8" t="n"/>
      <c r="B157" s="9" t="inlineStr">
        <is>
          <t>Quạt hút khói_Hướng trục SEAF-B2-Z2.01
40.500m3/h@675Pa
Motor chống cháy 300°C/2h</t>
        </is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inlineStr">
        <is>
          <t>cái</t>
        </is>
      </c>
      <c r="M157" s="10" t="n">
        <v>1</v>
      </c>
      <c r="N157" s="11" t="n"/>
      <c r="O157" s="11" t="n"/>
      <c r="P157" s="9" t="n"/>
    </row>
    <row r="158">
      <c r="A158" s="8" t="n"/>
      <c r="B158" s="9" t="inlineStr">
        <is>
          <t>Quạt hút khói_Hướng trục SEAF-B2-Z3.01
27.000m3/h@300Pa
Motor chống cháy 300°C/2h</t>
        </is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inlineStr">
        <is>
          <t>cái</t>
        </is>
      </c>
      <c r="M158" s="10" t="n">
        <v>1</v>
      </c>
      <c r="N158" s="11" t="n"/>
      <c r="O158" s="11" t="n"/>
      <c r="P158" s="9" t="n"/>
    </row>
    <row r="159">
      <c r="A159" s="8" t="n"/>
      <c r="B159" s="9" t="inlineStr">
        <is>
          <t>Quạt hút khói_Hướng trục SEAF-B2-Z3.01
40.500m3/h@675Pa
Motor chống cháy 300°C/2h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inlineStr">
        <is>
          <t>cái</t>
        </is>
      </c>
      <c r="M159" s="10" t="n">
        <v>1</v>
      </c>
      <c r="N159" s="11" t="n"/>
      <c r="O159" s="11" t="n"/>
      <c r="P159" s="9" t="n"/>
    </row>
    <row r="160">
      <c r="A160" s="8" t="n"/>
      <c r="B160" s="9" t="inlineStr">
        <is>
          <t>Quạt hút khói_Hướng trục SEAF-B1-Z1.01
21.000m3/h@300Pa
Motor chống cháy 300°C/2h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inlineStr">
        <is>
          <t>cái</t>
        </is>
      </c>
      <c r="M160" s="10" t="n">
        <v>1</v>
      </c>
      <c r="N160" s="11" t="n"/>
      <c r="O160" s="11" t="n"/>
      <c r="P160" s="9" t="n"/>
    </row>
    <row r="161">
      <c r="A161" s="8" t="n"/>
      <c r="B161" s="9" t="inlineStr">
        <is>
          <t>Quạt hút khói_Hướng trục SEAF-B1-Z1.01
31.500m3/h@675Pa
Motor chống cháy 300°C/2h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inlineStr">
        <is>
          <t>cái</t>
        </is>
      </c>
      <c r="M161" s="10" t="n">
        <v>1</v>
      </c>
      <c r="N161" s="11" t="n"/>
      <c r="O161" s="11" t="n"/>
      <c r="P161" s="9" t="n"/>
    </row>
    <row r="162">
      <c r="A162" s="8" t="n"/>
      <c r="B162" s="9" t="inlineStr">
        <is>
          <t>Quạt hút khói_Hướng trục SEAF-B1-Z2.01
21.000m3/h@300Pa
Motor chống cháy 300°C/2h</t>
        </is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inlineStr">
        <is>
          <t>cái</t>
        </is>
      </c>
      <c r="M162" s="10" t="n">
        <v>1</v>
      </c>
      <c r="N162" s="11" t="n"/>
      <c r="O162" s="11" t="n"/>
      <c r="P162" s="9" t="n"/>
    </row>
    <row r="163">
      <c r="A163" s="8" t="n"/>
      <c r="B163" s="9" t="inlineStr">
        <is>
          <t>Quạt hút khói_Hướng trục SEAF-B1-Z2.01
31.500m3/h@675Pa
Motor chống cháy 300°C/2h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inlineStr">
        <is>
          <t>cái</t>
        </is>
      </c>
      <c r="M163" s="10" t="n">
        <v>1</v>
      </c>
      <c r="N163" s="11" t="n"/>
      <c r="O163" s="11" t="n"/>
      <c r="P163" s="9" t="n"/>
    </row>
    <row r="164">
      <c r="A164" s="8" t="n"/>
      <c r="B164" s="9" t="inlineStr">
        <is>
          <t>Quạt hút khói_Hướng trục SEAF-B1-Z3.01
27.000m3/h@300Pa
Motor chống cháy 300°C/2h</t>
        </is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inlineStr">
        <is>
          <t>cái</t>
        </is>
      </c>
      <c r="M164" s="10" t="n">
        <v>1</v>
      </c>
      <c r="N164" s="11" t="n"/>
      <c r="O164" s="11" t="n"/>
      <c r="P164" s="9" t="n"/>
    </row>
    <row r="165">
      <c r="A165" s="8" t="n"/>
      <c r="B165" s="9" t="inlineStr">
        <is>
          <t>Quạt hút khói_Hướng trục SEAF-B1-Z3.01
40.500m3/h@675Pa
Motor chống cháy 300°C/2h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inlineStr">
        <is>
          <t>cái</t>
        </is>
      </c>
      <c r="M165" s="10" t="n">
        <v>1</v>
      </c>
      <c r="N165" s="11" t="n"/>
      <c r="O165" s="11" t="n"/>
      <c r="P165" s="9" t="n"/>
    </row>
    <row r="166">
      <c r="A166" s="8" t="n"/>
      <c r="B166" s="9" t="inlineStr">
        <is>
          <t>Nối mềm chống cháy</t>
        </is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inlineStr">
        <is>
          <t>bộ</t>
        </is>
      </c>
      <c r="M166" s="10" t="n">
        <v>18</v>
      </c>
      <c r="N166" s="11" t="n"/>
      <c r="O166" s="11" t="n"/>
      <c r="P166" s="9" t="n"/>
    </row>
    <row r="167">
      <c r="A167" s="8" t="n"/>
      <c r="B167" s="9" t="inlineStr">
        <is>
          <t>Ty treo giá đỡ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inlineStr">
        <is>
          <t>trọn gói</t>
        </is>
      </c>
      <c r="M167" s="10" t="n">
        <v>1</v>
      </c>
      <c r="N167" s="11" t="n"/>
      <c r="O167" s="11" t="n"/>
      <c r="P167" s="9" t="n"/>
    </row>
    <row r="168">
      <c r="A168" s="8" t="n"/>
      <c r="B168" s="9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11" t="n"/>
      <c r="N168" s="11" t="n"/>
      <c r="O168" s="11" t="n"/>
      <c r="P168" s="9" t="n"/>
    </row>
    <row r="169">
      <c r="A169" s="6" t="n"/>
      <c r="B169" s="7" t="inlineStr">
        <is>
          <t>Ống gió
Air duct</t>
        </is>
      </c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6" t="n"/>
      <c r="B170" s="7" t="inlineStr">
        <is>
          <t>Ống gió chống cháy EI120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6" t="n"/>
      <c r="B171" s="7" t="inlineStr">
        <is>
          <t>Ống gió thẳng</t>
        </is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8" t="n"/>
      <c r="B172" s="9" t="inlineStr">
        <is>
          <t>Ống gió chống cháy EI120 1400x400</t>
        </is>
      </c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inlineStr">
        <is>
          <t>m</t>
        </is>
      </c>
      <c r="M172" s="10" t="n">
        <v>430</v>
      </c>
      <c r="N172" s="11" t="n"/>
      <c r="O172" s="11" t="n"/>
      <c r="P172" s="9" t="n"/>
    </row>
    <row r="173">
      <c r="A173" s="8" t="n"/>
      <c r="B173" s="9" t="inlineStr">
        <is>
          <t>Ống gió chống cháy EI120 1200x400</t>
        </is>
      </c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inlineStr">
        <is>
          <t>m</t>
        </is>
      </c>
      <c r="M173" s="10" t="n">
        <v>341</v>
      </c>
      <c r="N173" s="11" t="n"/>
      <c r="O173" s="11" t="n"/>
      <c r="P173" s="9" t="n"/>
    </row>
    <row r="174">
      <c r="A174" s="8" t="n"/>
      <c r="B174" s="9" t="inlineStr">
        <is>
          <t>Ống gió chống cháy EI120 1100x350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inlineStr">
        <is>
          <t>m</t>
        </is>
      </c>
      <c r="M174" s="10" t="n">
        <v>69</v>
      </c>
      <c r="N174" s="11" t="n"/>
      <c r="O174" s="11" t="n"/>
      <c r="P174" s="9" t="n"/>
    </row>
    <row r="175">
      <c r="A175" s="8" t="n"/>
      <c r="B175" s="9" t="inlineStr">
        <is>
          <t>Ống gió chống cháy EI120 1000x350</t>
        </is>
      </c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inlineStr">
        <is>
          <t>m</t>
        </is>
      </c>
      <c r="M175" s="10" t="n">
        <v>147</v>
      </c>
      <c r="N175" s="11" t="n"/>
      <c r="O175" s="11" t="n"/>
      <c r="P175" s="9" t="n"/>
    </row>
    <row r="176">
      <c r="A176" s="8" t="n"/>
      <c r="B176" s="9" t="inlineStr">
        <is>
          <t>Ống gió chống cháy EI120 950x300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inlineStr">
        <is>
          <t>m</t>
        </is>
      </c>
      <c r="M176" s="10" t="n">
        <v>294</v>
      </c>
      <c r="N176" s="11" t="n"/>
      <c r="O176" s="11" t="n"/>
      <c r="P176" s="9" t="n"/>
    </row>
    <row r="177">
      <c r="A177" s="8" t="n"/>
      <c r="B177" s="9" t="inlineStr">
        <is>
          <t>Ống gió chống cháy EI120 800x300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inlineStr">
        <is>
          <t>m</t>
        </is>
      </c>
      <c r="M177" s="10" t="n">
        <v>607</v>
      </c>
      <c r="N177" s="11" t="n"/>
      <c r="O177" s="11" t="n"/>
      <c r="P177" s="9" t="n"/>
    </row>
    <row r="178">
      <c r="A178" s="8" t="n"/>
      <c r="B178" s="9" t="inlineStr">
        <is>
          <t>Ống gió chống cháy EI120 400x400</t>
        </is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inlineStr">
        <is>
          <t>m</t>
        </is>
      </c>
      <c r="M178" s="10" t="n">
        <v>2</v>
      </c>
      <c r="N178" s="11" t="n"/>
      <c r="O178" s="11" t="n"/>
      <c r="P178" s="9" t="n"/>
    </row>
    <row r="179">
      <c r="A179" s="8" t="n"/>
      <c r="B179" s="9" t="inlineStr">
        <is>
          <t>Ống gió chống cháy EI120 300x300</t>
        </is>
      </c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inlineStr">
        <is>
          <t>m</t>
        </is>
      </c>
      <c r="M179" s="10" t="n">
        <v>6</v>
      </c>
      <c r="N179" s="11" t="n"/>
      <c r="O179" s="11" t="n"/>
      <c r="P179" s="9" t="n"/>
    </row>
    <row r="180">
      <c r="A180" s="8" t="n"/>
      <c r="B180" s="9" t="inlineStr">
        <is>
          <t>Ống gió chống cháy EI120 300x200</t>
        </is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inlineStr">
        <is>
          <t>m</t>
        </is>
      </c>
      <c r="M180" s="10" t="n">
        <v>5</v>
      </c>
      <c r="N180" s="11" t="n"/>
      <c r="O180" s="11" t="n"/>
      <c r="P180" s="9" t="n"/>
    </row>
    <row r="181">
      <c r="A181" s="8" t="n"/>
      <c r="B181" s="9" t="inlineStr">
        <is>
          <t>Ống gió chống cháy EI120 200x200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inlineStr">
        <is>
          <t>m</t>
        </is>
      </c>
      <c r="M181" s="10" t="n">
        <v>2</v>
      </c>
      <c r="N181" s="11" t="n"/>
      <c r="O181" s="11" t="n"/>
      <c r="P181" s="9" t="n"/>
    </row>
    <row r="182">
      <c r="A182" s="6" t="n"/>
      <c r="B182" s="7" t="inlineStr">
        <is>
          <t>Côn chuyển</t>
        </is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</row>
    <row r="183">
      <c r="A183" s="8" t="n"/>
      <c r="B183" s="9" t="inlineStr">
        <is>
          <t>Côn chuyển 1400x400/ 1200x400-500L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inlineStr">
        <is>
          <t>cái</t>
        </is>
      </c>
      <c r="M183" s="10" t="n">
        <v>9</v>
      </c>
      <c r="N183" s="11" t="n"/>
      <c r="O183" s="11" t="n"/>
      <c r="P183" s="9" t="n"/>
    </row>
    <row r="184">
      <c r="A184" s="8" t="n"/>
      <c r="B184" s="9" t="inlineStr">
        <is>
          <t>Côn chuyển 1200x400/ 1100x350-500L</t>
        </is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inlineStr">
        <is>
          <t>cái</t>
        </is>
      </c>
      <c r="M184" s="10" t="n">
        <v>7</v>
      </c>
      <c r="N184" s="11" t="n"/>
      <c r="O184" s="11" t="n"/>
      <c r="P184" s="9" t="n"/>
    </row>
    <row r="185">
      <c r="A185" s="8" t="n"/>
      <c r="B185" s="9" t="inlineStr">
        <is>
          <t>Côn chuyển 1200x400/ 1000x350-500L</t>
        </is>
      </c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inlineStr">
        <is>
          <t>cái</t>
        </is>
      </c>
      <c r="M185" s="10" t="n">
        <v>7</v>
      </c>
      <c r="N185" s="11" t="n"/>
      <c r="O185" s="11" t="n"/>
      <c r="P185" s="9" t="n"/>
    </row>
    <row r="186">
      <c r="A186" s="8" t="n"/>
      <c r="B186" s="9" t="inlineStr">
        <is>
          <t>Côn chuyển 1100x350/ 1000x350-500L</t>
        </is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inlineStr">
        <is>
          <t>cái</t>
        </is>
      </c>
      <c r="M186" s="10" t="n">
        <v>7</v>
      </c>
      <c r="N186" s="11" t="n"/>
      <c r="O186" s="11" t="n"/>
      <c r="P186" s="9" t="n"/>
    </row>
    <row r="187">
      <c r="A187" s="8" t="n"/>
      <c r="B187" s="9" t="inlineStr">
        <is>
          <t>Côn chuyển 1000x350/ 950x300-500L</t>
        </is>
      </c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inlineStr">
        <is>
          <t>cái</t>
        </is>
      </c>
      <c r="M187" s="10" t="n">
        <v>14</v>
      </c>
      <c r="N187" s="11" t="n"/>
      <c r="O187" s="11" t="n"/>
      <c r="P187" s="9" t="n"/>
    </row>
    <row r="188">
      <c r="A188" s="8" t="n"/>
      <c r="B188" s="9" t="inlineStr">
        <is>
          <t>Côn chuyển 950x300/ 800x300-500L</t>
        </is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inlineStr">
        <is>
          <t>cái</t>
        </is>
      </c>
      <c r="M188" s="10" t="n">
        <v>24</v>
      </c>
      <c r="N188" s="11" t="n"/>
      <c r="O188" s="11" t="n"/>
      <c r="P188" s="9" t="n"/>
    </row>
    <row r="189">
      <c r="A189" s="8" t="n"/>
      <c r="B189" s="9" t="inlineStr">
        <is>
          <t>Côn chuyển 1200x400/ 950x300-500L</t>
        </is>
      </c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inlineStr">
        <is>
          <t>cái</t>
        </is>
      </c>
      <c r="M189" s="10" t="n">
        <v>3</v>
      </c>
      <c r="N189" s="11" t="n"/>
      <c r="O189" s="11" t="n"/>
      <c r="P189" s="9" t="n"/>
    </row>
    <row r="190">
      <c r="A190" s="8" t="n"/>
      <c r="B190" s="9" t="inlineStr">
        <is>
          <t>Côn chuyển 1000x350/ 800x300-500L</t>
        </is>
      </c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inlineStr">
        <is>
          <t>cái</t>
        </is>
      </c>
      <c r="M190" s="10" t="n">
        <v>1</v>
      </c>
      <c r="N190" s="11" t="n"/>
      <c r="O190" s="11" t="n"/>
      <c r="P190" s="9" t="n"/>
    </row>
    <row r="191">
      <c r="A191" s="8" t="n"/>
      <c r="B191" s="9" t="inlineStr">
        <is>
          <t>Côn chuyển 400x400/ 300x200-500L</t>
        </is>
      </c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inlineStr">
        <is>
          <t>cái</t>
        </is>
      </c>
      <c r="M191" s="10" t="n">
        <v>1</v>
      </c>
      <c r="N191" s="11" t="n"/>
      <c r="O191" s="11" t="n"/>
      <c r="P191" s="9" t="n"/>
    </row>
    <row r="192">
      <c r="A192" s="6" t="n"/>
      <c r="B192" s="7" t="inlineStr">
        <is>
          <t>Chân rẽ</t>
        </is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</row>
    <row r="193">
      <c r="A193" s="8" t="n"/>
      <c r="B193" s="9" t="inlineStr">
        <is>
          <t>Chân rẽ 1200x400-200H</t>
        </is>
      </c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inlineStr">
        <is>
          <t>cái</t>
        </is>
      </c>
      <c r="M193" s="10" t="n">
        <v>3</v>
      </c>
      <c r="N193" s="11" t="n"/>
      <c r="O193" s="11" t="n"/>
      <c r="P193" s="9" t="n"/>
    </row>
    <row r="194">
      <c r="A194" s="8" t="n"/>
      <c r="B194" s="9" t="inlineStr">
        <is>
          <t>Chân rẽ 1000x350-200H</t>
        </is>
      </c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inlineStr">
        <is>
          <t>cái</t>
        </is>
      </c>
      <c r="M194" s="10" t="n">
        <v>1</v>
      </c>
      <c r="N194" s="11" t="n"/>
      <c r="O194" s="11" t="n"/>
      <c r="P194" s="9" t="n"/>
    </row>
    <row r="195">
      <c r="A195" s="8" t="n"/>
      <c r="B195" s="9" t="inlineStr">
        <is>
          <t>Chân rẽ 950x300-200H</t>
        </is>
      </c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inlineStr">
        <is>
          <t>cái</t>
        </is>
      </c>
      <c r="M195" s="10" t="n">
        <v>8</v>
      </c>
      <c r="N195" s="11" t="n"/>
      <c r="O195" s="11" t="n"/>
      <c r="P195" s="9" t="n"/>
    </row>
    <row r="196">
      <c r="A196" s="8" t="n"/>
      <c r="B196" s="9" t="inlineStr">
        <is>
          <t>Chân rẽ 800x300-200H</t>
        </is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inlineStr">
        <is>
          <t>cái</t>
        </is>
      </c>
      <c r="M196" s="10" t="n">
        <v>5</v>
      </c>
      <c r="N196" s="11" t="n"/>
      <c r="O196" s="11" t="n"/>
      <c r="P196" s="9" t="n"/>
    </row>
    <row r="197">
      <c r="A197" s="8" t="n"/>
      <c r="B197" s="9" t="inlineStr">
        <is>
          <t>Chân rẽ 300x300-200H</t>
        </is>
      </c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inlineStr">
        <is>
          <t>cái</t>
        </is>
      </c>
      <c r="M197" s="10" t="n">
        <v>1</v>
      </c>
      <c r="N197" s="11" t="n"/>
      <c r="O197" s="11" t="n"/>
      <c r="P197" s="9" t="n"/>
    </row>
    <row r="198">
      <c r="A198" s="6" t="n"/>
      <c r="B198" s="7" t="inlineStr">
        <is>
          <t>Co ngang ống gió</t>
        </is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</row>
    <row r="199">
      <c r="A199" s="8" t="n"/>
      <c r="B199" s="9" t="inlineStr">
        <is>
          <t>Co ngang ống gió 1400x400-400R-90°</t>
        </is>
      </c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inlineStr">
        <is>
          <t>cái</t>
        </is>
      </c>
      <c r="M199" s="10" t="n">
        <v>12</v>
      </c>
      <c r="N199" s="11" t="n"/>
      <c r="O199" s="11" t="n"/>
      <c r="P199" s="9" t="n"/>
    </row>
    <row r="200">
      <c r="A200" s="8" t="n"/>
      <c r="B200" s="9" t="inlineStr">
        <is>
          <t>Co ngang ống gió 1200x400-400R-90°</t>
        </is>
      </c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inlineStr">
        <is>
          <t>cái</t>
        </is>
      </c>
      <c r="M200" s="10" t="n">
        <v>12</v>
      </c>
      <c r="N200" s="11" t="n"/>
      <c r="O200" s="11" t="n"/>
      <c r="P200" s="9" t="n"/>
    </row>
    <row r="201">
      <c r="A201" s="8" t="n"/>
      <c r="B201" s="9" t="inlineStr">
        <is>
          <t>Co ngang ống gió 1000x350-400R-90°</t>
        </is>
      </c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inlineStr">
        <is>
          <t>cái</t>
        </is>
      </c>
      <c r="M201" s="10" t="n">
        <v>5</v>
      </c>
      <c r="N201" s="11" t="n"/>
      <c r="O201" s="11" t="n"/>
      <c r="P201" s="9" t="n"/>
    </row>
    <row r="202">
      <c r="A202" s="8" t="n"/>
      <c r="B202" s="9" t="inlineStr">
        <is>
          <t>Co ngang ống gió 950x300-400R-90°</t>
        </is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inlineStr">
        <is>
          <t>cái</t>
        </is>
      </c>
      <c r="M202" s="10" t="n">
        <v>4</v>
      </c>
      <c r="N202" s="11" t="n"/>
      <c r="O202" s="11" t="n"/>
      <c r="P202" s="9" t="n"/>
    </row>
    <row r="203">
      <c r="A203" s="8" t="n"/>
      <c r="B203" s="9" t="inlineStr">
        <is>
          <t>Co ngang ống gió 800x300-400R-90°</t>
        </is>
      </c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inlineStr">
        <is>
          <t>cái</t>
        </is>
      </c>
      <c r="M203" s="10" t="n">
        <v>13</v>
      </c>
      <c r="N203" s="11" t="n"/>
      <c r="O203" s="11" t="n"/>
      <c r="P203" s="9" t="n"/>
    </row>
    <row r="204">
      <c r="A204" s="8" t="n"/>
      <c r="B204" s="9" t="inlineStr">
        <is>
          <t>Co ngang ống gió 1100x350-400R-90°</t>
        </is>
      </c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inlineStr">
        <is>
          <t>cái</t>
        </is>
      </c>
      <c r="M204" s="10" t="n">
        <v>1</v>
      </c>
      <c r="N204" s="11" t="n"/>
      <c r="O204" s="11" t="n"/>
      <c r="P204" s="9" t="n"/>
    </row>
    <row r="205">
      <c r="A205" s="8" t="n"/>
      <c r="B205" s="9" t="inlineStr">
        <is>
          <t>Ty treo giá đỡ</t>
        </is>
      </c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inlineStr">
        <is>
          <t>trọn gói</t>
        </is>
      </c>
      <c r="M205" s="10" t="n">
        <v>1</v>
      </c>
      <c r="N205" s="11" t="n"/>
      <c r="O205" s="11" t="n"/>
      <c r="P205" s="9" t="n"/>
    </row>
    <row r="206">
      <c r="A206" s="8" t="n"/>
      <c r="B206" s="9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11" t="n"/>
      <c r="N206" s="11" t="n"/>
      <c r="O206" s="11" t="n"/>
      <c r="P206" s="9" t="n"/>
    </row>
    <row r="207">
      <c r="A207" s="6" t="n"/>
      <c r="B207" s="7" t="inlineStr">
        <is>
          <t>Miệng gió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8" t="n"/>
      <c r="B208" s="9" t="inlineStr">
        <is>
          <t>Miệng gió SEAG+OBD 800x500</t>
        </is>
      </c>
      <c r="C208" s="8" t="inlineStr">
        <is>
          <t>SDG+O</t>
        </is>
      </c>
      <c r="D208" s="8" t="inlineStr">
        <is>
          <t>SWIND</t>
        </is>
      </c>
      <c r="E208" s="8" t="n">
        <v>800</v>
      </c>
      <c r="F208" s="8" t="n">
        <v>500</v>
      </c>
      <c r="G208" s="8" t="n">
        <v>750</v>
      </c>
      <c r="H208" s="8" t="n">
        <v>450</v>
      </c>
      <c r="I208" s="8" t="n"/>
      <c r="J208" s="8" t="n"/>
      <c r="K208" s="8" t="n"/>
      <c r="L208" s="8" t="inlineStr">
        <is>
          <t>cái</t>
        </is>
      </c>
      <c r="M208" s="10" t="n">
        <v>152</v>
      </c>
      <c r="N208" s="10" t="n">
        <v>576000</v>
      </c>
      <c r="O208" s="10">
        <f>ROUNDUP(N208*M208, -2)</f>
        <v/>
      </c>
      <c r="P208" s="9" t="inlineStr">
        <is>
          <t>Cửa nan bầu dục 1 lớp kèm van OBD</t>
        </is>
      </c>
    </row>
    <row r="209">
      <c r="A209" s="8" t="n"/>
      <c r="B209" s="9" t="inlineStr">
        <is>
          <t>Miệng gió EAG+OBD 200x200</t>
        </is>
      </c>
      <c r="C209" s="8" t="inlineStr">
        <is>
          <t>SDG+O</t>
        </is>
      </c>
      <c r="D209" s="8" t="inlineStr">
        <is>
          <t>SWIND</t>
        </is>
      </c>
      <c r="E209" s="8" t="n">
        <v>200</v>
      </c>
      <c r="F209" s="8" t="n">
        <v>200</v>
      </c>
      <c r="G209" s="8" t="n">
        <v>150</v>
      </c>
      <c r="H209" s="8" t="n">
        <v>150</v>
      </c>
      <c r="I209" s="8" t="n"/>
      <c r="J209" s="8" t="n"/>
      <c r="K209" s="8" t="n"/>
      <c r="L209" s="8" t="inlineStr">
        <is>
          <t>cái</t>
        </is>
      </c>
      <c r="M209" s="10" t="n">
        <v>3</v>
      </c>
      <c r="N209" s="10" t="n">
        <v>88000</v>
      </c>
      <c r="O209" s="10">
        <f>ROUNDUP(N209*M209, -2)</f>
        <v/>
      </c>
      <c r="P209" s="9" t="inlineStr">
        <is>
          <t>Cửa nan bầu dục 1 lớp kèm van OBD</t>
        </is>
      </c>
    </row>
    <row r="210">
      <c r="A210" s="8" t="n"/>
      <c r="B210" s="9" t="inlineStr">
        <is>
          <t>Miệng gió EAG+OBD 400x250</t>
        </is>
      </c>
      <c r="C210" s="8" t="inlineStr">
        <is>
          <t>SDG+O</t>
        </is>
      </c>
      <c r="D210" s="8" t="inlineStr">
        <is>
          <t>SWIND</t>
        </is>
      </c>
      <c r="E210" s="8" t="n">
        <v>400</v>
      </c>
      <c r="F210" s="8" t="n">
        <v>250</v>
      </c>
      <c r="G210" s="8" t="n">
        <v>350</v>
      </c>
      <c r="H210" s="8" t="n">
        <v>200</v>
      </c>
      <c r="I210" s="8" t="n"/>
      <c r="J210" s="8" t="n"/>
      <c r="K210" s="8" t="n"/>
      <c r="L210" s="8" t="inlineStr">
        <is>
          <t>cái</t>
        </is>
      </c>
      <c r="M210" s="10" t="n">
        <v>3</v>
      </c>
      <c r="N210" s="10" t="n">
        <v>179000</v>
      </c>
      <c r="O210" s="10">
        <f>ROUNDUP(N210*M210, -2)</f>
        <v/>
      </c>
      <c r="P210" s="9" t="inlineStr">
        <is>
          <t>Cửa nan bầu dục 1 lớp kèm van OBD</t>
        </is>
      </c>
    </row>
    <row r="211">
      <c r="A211" s="8" t="n"/>
      <c r="B211" s="9" t="inlineStr">
        <is>
          <t>Cửa gió nan thẳng 200x200</t>
        </is>
      </c>
      <c r="C211" s="8" t="inlineStr">
        <is>
          <t>SDG</t>
        </is>
      </c>
      <c r="D211" s="8" t="inlineStr">
        <is>
          <t>SWIND</t>
        </is>
      </c>
      <c r="E211" s="8" t="n">
        <v>200</v>
      </c>
      <c r="F211" s="8" t="n">
        <v>200</v>
      </c>
      <c r="G211" s="8" t="n">
        <v>150</v>
      </c>
      <c r="H211" s="8" t="n">
        <v>150</v>
      </c>
      <c r="I211" s="8" t="n"/>
      <c r="J211" s="8" t="n"/>
      <c r="K211" s="8" t="n"/>
      <c r="L211" s="8" t="inlineStr">
        <is>
          <t>cái</t>
        </is>
      </c>
      <c r="M211" s="10" t="n">
        <v>3</v>
      </c>
      <c r="N211" s="10" t="n">
        <v>48000</v>
      </c>
      <c r="O211" s="10">
        <f>ROUNDUP(N211*M211, -2)</f>
        <v/>
      </c>
      <c r="P211" s="9" t="inlineStr">
        <is>
          <t>Cửa nan bầu dục 1 lớp</t>
        </is>
      </c>
    </row>
    <row r="212">
      <c r="A212" s="8" t="n"/>
      <c r="B212" s="9" t="inlineStr">
        <is>
          <t>Van MFD 200x200 - EI60</t>
        </is>
      </c>
      <c r="C212" s="8" t="inlineStr">
        <is>
          <t>SWIND-1.03-MFD-EI90</t>
        </is>
      </c>
      <c r="D212" s="8" t="inlineStr">
        <is>
          <t>SWIND</t>
        </is>
      </c>
      <c r="E212" s="8" t="n">
        <v>200</v>
      </c>
      <c r="F212" s="8" t="n">
        <v>200</v>
      </c>
      <c r="G212" s="8" t="n"/>
      <c r="H212" s="8" t="n"/>
      <c r="I212" s="8" t="n"/>
      <c r="J212" s="8" t="n">
        <v>200</v>
      </c>
      <c r="K212" s="12" t="n">
        <v>1.15</v>
      </c>
      <c r="L212" s="8" t="inlineStr">
        <is>
          <t>cái</t>
        </is>
      </c>
      <c r="M212" s="10" t="n">
        <v>3</v>
      </c>
      <c r="N212" s="10" t="n">
        <v>2635880</v>
      </c>
      <c r="O212" s="10">
        <f>ROUNDUP(N212*M212, -2)</f>
        <v/>
      </c>
      <c r="P212" s="9" t="inlineStr">
        <is>
          <t>- Van ngăn cháy động cơ - Tiêu chuẩn EI 90
- 2 đầu bích TDC - Gắn kèm động cơ ON-OFF 5Nm, Hãng KLB
- Sản xuất theo BCTN số 4651/VLXD-TBMT</t>
        </is>
      </c>
    </row>
    <row r="213">
      <c r="A213" s="8" t="n"/>
      <c r="B213" s="9" t="inlineStr">
        <is>
          <t>Cửa gió nan thẳng 1200x400</t>
        </is>
      </c>
      <c r="C213" s="8" t="inlineStr">
        <is>
          <t>SDG</t>
        </is>
      </c>
      <c r="D213" s="8" t="inlineStr">
        <is>
          <t>SWIND</t>
        </is>
      </c>
      <c r="E213" s="8" t="n">
        <v>1200</v>
      </c>
      <c r="F213" s="8" t="n">
        <v>400</v>
      </c>
      <c r="G213" s="8" t="n">
        <v>1150</v>
      </c>
      <c r="H213" s="8" t="n">
        <v>350</v>
      </c>
      <c r="I213" s="8" t="n"/>
      <c r="J213" s="8" t="n"/>
      <c r="K213" s="8" t="n"/>
      <c r="L213" s="8" t="inlineStr">
        <is>
          <t>cái</t>
        </is>
      </c>
      <c r="M213" s="10" t="n">
        <v>6</v>
      </c>
      <c r="N213" s="10" t="n">
        <v>372000</v>
      </c>
      <c r="O213" s="10">
        <f>ROUNDUP(N213*M213, -2)</f>
        <v/>
      </c>
      <c r="P213" s="9" t="inlineStr">
        <is>
          <t>Cửa nan bầu dục 1 lớp</t>
        </is>
      </c>
    </row>
    <row r="214">
      <c r="A214" s="8" t="n"/>
      <c r="B214" s="9" t="inlineStr">
        <is>
          <t>Van MFD 1200x400 - EI60</t>
        </is>
      </c>
      <c r="C214" s="8" t="inlineStr">
        <is>
          <t>SWIND-1.03-MFD-EI90</t>
        </is>
      </c>
      <c r="D214" s="8" t="inlineStr">
        <is>
          <t>SWIND</t>
        </is>
      </c>
      <c r="E214" s="8" t="n">
        <v>1200</v>
      </c>
      <c r="F214" s="8" t="n">
        <v>400</v>
      </c>
      <c r="G214" s="8" t="n"/>
      <c r="H214" s="8" t="n"/>
      <c r="I214" s="8" t="n"/>
      <c r="J214" s="8" t="n">
        <v>200</v>
      </c>
      <c r="K214" s="12" t="n">
        <v>1.15</v>
      </c>
      <c r="L214" s="8" t="inlineStr">
        <is>
          <t>cái</t>
        </is>
      </c>
      <c r="M214" s="10" t="n">
        <v>6</v>
      </c>
      <c r="N214" s="10" t="n">
        <v>5995560</v>
      </c>
      <c r="O214" s="10">
        <f>ROUNDUP(N214*M214, -2)</f>
        <v/>
      </c>
      <c r="P214" s="9" t="inlineStr">
        <is>
          <t>- Van ngăn cháy động cơ - Tiêu chuẩn EI 90
- 2 đầu bích TDC - Gắn kèm động cơ ON-OFF 5Nm, Hãng KLB
- Sản xuất theo BCTN số 4651/VLXD-TBMT</t>
        </is>
      </c>
    </row>
    <row r="215">
      <c r="A215" s="8" t="n"/>
      <c r="B215" s="9" t="inlineStr">
        <is>
          <t>Cửa gió nan thẳng 1400x400</t>
        </is>
      </c>
      <c r="C215" s="8" t="inlineStr">
        <is>
          <t>SDG</t>
        </is>
      </c>
      <c r="D215" s="8" t="inlineStr">
        <is>
          <t>SWIND</t>
        </is>
      </c>
      <c r="E215" s="8" t="n">
        <v>1400</v>
      </c>
      <c r="F215" s="8" t="n">
        <v>400</v>
      </c>
      <c r="G215" s="8" t="n">
        <v>1350</v>
      </c>
      <c r="H215" s="8" t="n">
        <v>350</v>
      </c>
      <c r="I215" s="8" t="n"/>
      <c r="J215" s="8" t="n"/>
      <c r="K215" s="8" t="n"/>
      <c r="L215" s="8" t="inlineStr">
        <is>
          <t>cái</t>
        </is>
      </c>
      <c r="M215" s="10" t="n">
        <v>12</v>
      </c>
      <c r="N215" s="10" t="n">
        <v>429000</v>
      </c>
      <c r="O215" s="10">
        <f>ROUNDUP(N215*M215, -2)</f>
        <v/>
      </c>
      <c r="P215" s="9" t="inlineStr">
        <is>
          <t>Cửa nan bầu dục 1 lớp</t>
        </is>
      </c>
    </row>
    <row r="216">
      <c r="A216" s="8" t="n"/>
      <c r="B216" s="9" t="inlineStr">
        <is>
          <t>Van MFD 1400x400 - EI60</t>
        </is>
      </c>
      <c r="C216" s="8" t="inlineStr">
        <is>
          <t>SWIND-1.03-MFD-EI90</t>
        </is>
      </c>
      <c r="D216" s="8" t="inlineStr">
        <is>
          <t>SWIND</t>
        </is>
      </c>
      <c r="E216" s="8" t="n">
        <v>1400</v>
      </c>
      <c r="F216" s="8" t="n">
        <v>400</v>
      </c>
      <c r="G216" s="8" t="n"/>
      <c r="H216" s="8" t="n"/>
      <c r="I216" s="8" t="n"/>
      <c r="J216" s="8" t="n">
        <v>200</v>
      </c>
      <c r="K216" s="12" t="n">
        <v>1.15</v>
      </c>
      <c r="L216" s="8" t="inlineStr">
        <is>
          <t>cái</t>
        </is>
      </c>
      <c r="M216" s="10" t="n">
        <v>12</v>
      </c>
      <c r="N216" s="10" t="n">
        <v>6582320</v>
      </c>
      <c r="O216" s="10">
        <f>ROUNDUP(N216*M216, -2)</f>
        <v/>
      </c>
      <c r="P216" s="9" t="inlineStr">
        <is>
          <t>- Van ngăn cháy động cơ - Tiêu chuẩn EI 90
- 2 đầu bích TDC - Gắn kèm động cơ ON-OFF 5Nm, Hãng KLB
- Sản xuất theo BCTN số 4651/VLXD-TBMT</t>
        </is>
      </c>
    </row>
    <row r="217">
      <c r="A217" s="8" t="n"/>
      <c r="B217" s="9" t="inlineStr">
        <is>
          <t>Cửa gió nan thẳng 1200x400</t>
        </is>
      </c>
      <c r="C217" s="8" t="inlineStr">
        <is>
          <t>SDG</t>
        </is>
      </c>
      <c r="D217" s="8" t="inlineStr">
        <is>
          <t>SWIND</t>
        </is>
      </c>
      <c r="E217" s="8" t="n">
        <v>1200</v>
      </c>
      <c r="F217" s="8" t="n">
        <v>400</v>
      </c>
      <c r="G217" s="8" t="n">
        <v>1150</v>
      </c>
      <c r="H217" s="8" t="n">
        <v>350</v>
      </c>
      <c r="I217" s="8" t="n"/>
      <c r="J217" s="8" t="n"/>
      <c r="K217" s="8" t="n"/>
      <c r="L217" s="8" t="inlineStr">
        <is>
          <t>cái</t>
        </is>
      </c>
      <c r="M217" s="10" t="n">
        <v>6</v>
      </c>
      <c r="N217" s="10" t="n">
        <v>372000</v>
      </c>
      <c r="O217" s="10">
        <f>ROUNDUP(N217*M217, -2)</f>
        <v/>
      </c>
      <c r="P217" s="9" t="inlineStr">
        <is>
          <t>Cửa nan bầu dục 1 lớp</t>
        </is>
      </c>
    </row>
    <row r="218">
      <c r="A218" s="8" t="n"/>
      <c r="B218" s="9" t="inlineStr">
        <is>
          <t>Van NRD 1200x400</t>
        </is>
      </c>
      <c r="C218" s="8" t="inlineStr">
        <is>
          <t>NRD</t>
        </is>
      </c>
      <c r="D218" s="8" t="inlineStr">
        <is>
          <t>SWIND</t>
        </is>
      </c>
      <c r="E218" s="8" t="n">
        <v>1200</v>
      </c>
      <c r="F218" s="8" t="n">
        <v>400</v>
      </c>
      <c r="G218" s="8" t="n"/>
      <c r="H218" s="8" t="n"/>
      <c r="I218" s="8" t="n"/>
      <c r="J218" s="8" t="n">
        <v>200</v>
      </c>
      <c r="K218" s="12" t="n">
        <v>1.15</v>
      </c>
      <c r="L218" s="8" t="inlineStr">
        <is>
          <t>cái</t>
        </is>
      </c>
      <c r="M218" s="10" t="n">
        <v>6</v>
      </c>
      <c r="N218" s="10" t="n">
        <v>1027500</v>
      </c>
      <c r="O218" s="10">
        <f>ROUNDUP(N218*M218, -2)</f>
        <v/>
      </c>
      <c r="P218" s="9" t="inlineStr">
        <is>
          <t>Van 1 chiều tôn mạ kẽm</t>
        </is>
      </c>
    </row>
    <row r="219">
      <c r="A219" s="8" t="n"/>
      <c r="B219" s="9" t="inlineStr">
        <is>
          <t>Cửa gió nan thẳng 1400x400</t>
        </is>
      </c>
      <c r="C219" s="8" t="inlineStr">
        <is>
          <t>SDG</t>
        </is>
      </c>
      <c r="D219" s="8" t="inlineStr">
        <is>
          <t>SWIND</t>
        </is>
      </c>
      <c r="E219" s="8" t="n">
        <v>1400</v>
      </c>
      <c r="F219" s="8" t="n">
        <v>400</v>
      </c>
      <c r="G219" s="8" t="n">
        <v>1350</v>
      </c>
      <c r="H219" s="8" t="n">
        <v>350</v>
      </c>
      <c r="I219" s="8" t="n"/>
      <c r="J219" s="8" t="n"/>
      <c r="K219" s="8" t="n"/>
      <c r="L219" s="8" t="inlineStr">
        <is>
          <t>cái</t>
        </is>
      </c>
      <c r="M219" s="10" t="n">
        <v>12</v>
      </c>
      <c r="N219" s="10" t="n">
        <v>429000</v>
      </c>
      <c r="O219" s="10">
        <f>ROUNDUP(N219*M219, -2)</f>
        <v/>
      </c>
      <c r="P219" s="9" t="inlineStr">
        <is>
          <t>Cửa nan bầu dục 1 lớp</t>
        </is>
      </c>
    </row>
    <row r="220">
      <c r="A220" s="8" t="n"/>
      <c r="B220" s="9" t="inlineStr">
        <is>
          <t>Van NRD 1400x400</t>
        </is>
      </c>
      <c r="C220" s="8" t="inlineStr">
        <is>
          <t>NRD</t>
        </is>
      </c>
      <c r="D220" s="8" t="inlineStr">
        <is>
          <t>SWIND</t>
        </is>
      </c>
      <c r="E220" s="8" t="n">
        <v>1400</v>
      </c>
      <c r="F220" s="8" t="n">
        <v>400</v>
      </c>
      <c r="G220" s="8" t="n"/>
      <c r="H220" s="8" t="n"/>
      <c r="I220" s="8" t="n"/>
      <c r="J220" s="8" t="n">
        <v>200</v>
      </c>
      <c r="K220" s="12" t="n">
        <v>1.15</v>
      </c>
      <c r="L220" s="8" t="inlineStr">
        <is>
          <t>cái</t>
        </is>
      </c>
      <c r="M220" s="10" t="n">
        <v>12</v>
      </c>
      <c r="N220" s="10" t="n">
        <v>1120000</v>
      </c>
      <c r="O220" s="10">
        <f>ROUNDUP(N220*M220, -2)</f>
        <v/>
      </c>
      <c r="P220" s="9" t="inlineStr">
        <is>
          <t>Van 1 chiều tôn mạ kẽm</t>
        </is>
      </c>
    </row>
    <row r="221">
      <c r="A221" s="8" t="n"/>
      <c r="B221" s="9" t="inlineStr">
        <is>
          <t>Ty treo giá đỡ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trọn gói</t>
        </is>
      </c>
      <c r="M221" s="10" t="n">
        <v>1</v>
      </c>
      <c r="N221" s="11" t="n"/>
      <c r="O221" s="11" t="n"/>
      <c r="P221" s="9" t="n"/>
    </row>
    <row r="222">
      <c r="A222" s="8" t="n"/>
      <c r="B222" s="9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11" t="n"/>
      <c r="N222" s="11" t="n"/>
      <c r="O222" s="11" t="n"/>
      <c r="P222" s="9" t="n"/>
    </row>
    <row r="223">
      <c r="A223" s="6" t="n"/>
      <c r="B223" s="7" t="inlineStr">
        <is>
          <t>B. KHỐI CĂN HỘ (TỪ TẦNG 1 ĐẾN TẦNG MÁI)</t>
        </is>
      </c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</row>
    <row r="224">
      <c r="A224" s="6" t="n"/>
      <c r="B224" s="7" t="inlineStr">
        <is>
          <t>I. HỆ THỐNG TẠO ÁP</t>
        </is>
      </c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</row>
    <row r="225">
      <c r="A225" s="6" t="n"/>
      <c r="B225" s="7" t="inlineStr">
        <is>
          <t>a. Thiết bị</t>
        </is>
      </c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</row>
    <row r="226">
      <c r="A226" s="8" t="n"/>
      <c r="B226" s="9" t="inlineStr">
        <is>
          <t>Quạt tạo áp_Loại hướng trục SPAF-21-01
16.200 m3/h@300Pa</t>
        </is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inlineStr">
        <is>
          <t>cái</t>
        </is>
      </c>
      <c r="M226" s="10" t="n">
        <v>1</v>
      </c>
      <c r="N226" s="11" t="n"/>
      <c r="O226" s="11" t="n"/>
      <c r="P226" s="9" t="n"/>
    </row>
    <row r="227">
      <c r="A227" s="8" t="n"/>
      <c r="B227" s="9" t="inlineStr">
        <is>
          <t>Quạt tạo áp_Loại hướng trục SPAF-TF-01~02
12.240 m3/h@350Pa</t>
        </is>
      </c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inlineStr">
        <is>
          <t>cái</t>
        </is>
      </c>
      <c r="M227" s="10" t="n">
        <v>2</v>
      </c>
      <c r="N227" s="11" t="n"/>
      <c r="O227" s="11" t="n"/>
      <c r="P227" s="9" t="n"/>
    </row>
    <row r="228">
      <c r="A228" s="8" t="n"/>
      <c r="B228" s="9" t="inlineStr">
        <is>
          <t>Quạt tạo áp_Loại hướng trục SPAF-RF-01
27.360 m3/h@500Pa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cái</t>
        </is>
      </c>
      <c r="M228" s="10" t="n">
        <v>1</v>
      </c>
      <c r="N228" s="11" t="n"/>
      <c r="O228" s="11" t="n"/>
      <c r="P228" s="9" t="n"/>
    </row>
    <row r="229">
      <c r="A229" s="8" t="n"/>
      <c r="B229" s="9" t="inlineStr">
        <is>
          <t>Quạt tạo áp_Loại hướng trục SPAF-RF-02
39.250 m3/h@500Pa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cái</t>
        </is>
      </c>
      <c r="M229" s="10" t="n">
        <v>2</v>
      </c>
      <c r="N229" s="11" t="n"/>
      <c r="O229" s="11" t="n"/>
      <c r="P229" s="9" t="n"/>
    </row>
    <row r="230">
      <c r="A230" s="8" t="n"/>
      <c r="B230" s="9" t="inlineStr">
        <is>
          <t>Quạt tạo áp_Loại hướng trục SPAF-RF-LIFT 01
66.960 m3/h@300Pa</t>
        </is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inlineStr">
        <is>
          <t>cái</t>
        </is>
      </c>
      <c r="M230" s="10" t="n">
        <v>1</v>
      </c>
      <c r="N230" s="11" t="n"/>
      <c r="O230" s="11" t="n"/>
      <c r="P230" s="9" t="n"/>
    </row>
    <row r="231">
      <c r="A231" s="8" t="n"/>
      <c r="B231" s="9" t="inlineStr">
        <is>
          <t>Quạt tạo áp_Loại hướng trục SPAF-RF-LIFT 02
44.640 m3/h@300Pa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cái</t>
        </is>
      </c>
      <c r="M231" s="10" t="n">
        <v>1</v>
      </c>
      <c r="N231" s="11" t="n"/>
      <c r="O231" s="11" t="n"/>
      <c r="P231" s="9" t="n"/>
    </row>
    <row r="232">
      <c r="A232" s="8" t="n"/>
      <c r="B232" s="9" t="inlineStr">
        <is>
          <t>Quạt tạo áp_Loại hướng trục SPAF-RF-LIFT 03
22.320 m3/h@300Pa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cái</t>
        </is>
      </c>
      <c r="M232" s="10" t="n">
        <v>1</v>
      </c>
      <c r="N232" s="11" t="n"/>
      <c r="O232" s="11" t="n"/>
      <c r="P232" s="9" t="n"/>
    </row>
    <row r="233">
      <c r="A233" s="8" t="n"/>
      <c r="B233" s="9" t="inlineStr">
        <is>
          <t>Quạt tạo áp_Loại hướng trục SPAF-RF-LIFT 04
44.640 m3/h@300Pa</t>
        </is>
      </c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inlineStr">
        <is>
          <t>cái</t>
        </is>
      </c>
      <c r="M233" s="10" t="n">
        <v>1</v>
      </c>
      <c r="N233" s="11" t="n"/>
      <c r="O233" s="11" t="n"/>
      <c r="P233" s="9" t="n"/>
    </row>
    <row r="234">
      <c r="A234" s="8" t="n"/>
      <c r="B234" s="9" t="inlineStr">
        <is>
          <t>Quạt tạo áp_Loại hướng trục SPAF-RF-LIFT 05
66.960 m3/h@300Pa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cái</t>
        </is>
      </c>
      <c r="M234" s="10" t="n">
        <v>1</v>
      </c>
      <c r="N234" s="11" t="n"/>
      <c r="O234" s="11" t="n"/>
      <c r="P234" s="9" t="n"/>
    </row>
    <row r="235">
      <c r="A235" s="8" t="n"/>
      <c r="B235" s="9" t="inlineStr">
        <is>
          <t>Quạt tạo áp_Loại hướng trục SPAF-RF-FF-LIFT
36.360 m3/h@300Pa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cái</t>
        </is>
      </c>
      <c r="M235" s="10" t="n">
        <v>1</v>
      </c>
      <c r="N235" s="11" t="n"/>
      <c r="O235" s="11" t="n"/>
      <c r="P235" s="9" t="n"/>
    </row>
    <row r="236">
      <c r="A236" s="8" t="n"/>
      <c r="B236" s="9" t="inlineStr">
        <is>
          <t>Nối mềm chống cháy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bộ</t>
        </is>
      </c>
      <c r="M236" s="10" t="n">
        <v>12</v>
      </c>
      <c r="N236" s="11" t="n"/>
      <c r="O236" s="11" t="n"/>
      <c r="P236" s="9" t="n"/>
    </row>
    <row r="237">
      <c r="A237" s="8" t="n"/>
      <c r="B237" s="9" t="inlineStr">
        <is>
          <t>Hộp chống cháy loại 1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bộ</t>
        </is>
      </c>
      <c r="M237" s="10" t="n">
        <v>1</v>
      </c>
      <c r="N237" s="11" t="n"/>
      <c r="O237" s="11" t="n"/>
      <c r="P237" s="9" t="n"/>
    </row>
    <row r="238">
      <c r="A238" s="8" t="n"/>
      <c r="B238" s="9" t="inlineStr">
        <is>
          <t>Ty treo giá đỡ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inlineStr">
        <is>
          <t>trọn gói</t>
        </is>
      </c>
      <c r="M238" s="10" t="n">
        <v>1</v>
      </c>
      <c r="N238" s="11" t="n"/>
      <c r="O238" s="11" t="n"/>
      <c r="P238" s="9" t="n"/>
    </row>
    <row r="239">
      <c r="A239" s="8" t="n"/>
      <c r="B239" s="9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11" t="n"/>
      <c r="N239" s="11" t="n"/>
      <c r="O239" s="11" t="n"/>
      <c r="P239" s="9" t="n"/>
    </row>
    <row r="240">
      <c r="A240" s="6" t="n"/>
      <c r="B240" s="7" t="inlineStr">
        <is>
          <t>Ống gió
Air duct</t>
        </is>
      </c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6" t="n"/>
      <c r="B241" s="7" t="inlineStr">
        <is>
          <t>Ống gió không chống cháy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6" t="n"/>
      <c r="B242" s="7" t="inlineStr">
        <is>
          <t>Ống gió thẳng</t>
        </is>
      </c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</row>
    <row r="243">
      <c r="A243" s="8" t="n"/>
      <c r="B243" s="9" t="inlineStr">
        <is>
          <t>Ống gió không chống cháy 300x300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55</v>
      </c>
      <c r="N243" s="11" t="n"/>
      <c r="O243" s="11" t="n"/>
      <c r="P243" s="9" t="n"/>
    </row>
    <row r="244">
      <c r="A244" s="8" t="n"/>
      <c r="B244" s="9" t="inlineStr">
        <is>
          <t>Ống gió không chống cháy 200x200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m</t>
        </is>
      </c>
      <c r="M244" s="10" t="n">
        <v>1</v>
      </c>
      <c r="N244" s="11" t="n"/>
      <c r="O244" s="11" t="n"/>
      <c r="P244" s="9" t="n"/>
    </row>
    <row r="245">
      <c r="A245" s="8" t="n"/>
      <c r="B245" s="9" t="inlineStr">
        <is>
          <t>Ống gió không chống cháy 800x400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m</t>
        </is>
      </c>
      <c r="M245" s="10" t="n">
        <v>36</v>
      </c>
      <c r="N245" s="11" t="n"/>
      <c r="O245" s="11" t="n"/>
      <c r="P245" s="9" t="n"/>
    </row>
    <row r="246">
      <c r="A246" s="8" t="n"/>
      <c r="B246" s="9" t="inlineStr">
        <is>
          <t>Ống gió không chống cháy 600x750</t>
        </is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inlineStr">
        <is>
          <t>m</t>
        </is>
      </c>
      <c r="M246" s="10" t="n">
        <v>135</v>
      </c>
      <c r="N246" s="11" t="n"/>
      <c r="O246" s="11" t="n"/>
      <c r="P246" s="9" t="n"/>
    </row>
    <row r="247">
      <c r="A247" s="8" t="n"/>
      <c r="B247" s="9" t="inlineStr">
        <is>
          <t>Ống gió không chống cháy 500x600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138</v>
      </c>
      <c r="N247" s="11" t="n"/>
      <c r="O247" s="11" t="n"/>
      <c r="P247" s="9" t="n"/>
    </row>
    <row r="248">
      <c r="A248" s="8" t="n"/>
      <c r="B248" s="9" t="inlineStr">
        <is>
          <t>Ống gió không chống cháy 1150x650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138</v>
      </c>
      <c r="N248" s="11" t="n"/>
      <c r="O248" s="11" t="n"/>
      <c r="P248" s="9" t="n"/>
    </row>
    <row r="249">
      <c r="A249" s="8" t="n"/>
      <c r="B249" s="9" t="inlineStr">
        <is>
          <t>Ống gió không chống cháy 1700x450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inlineStr">
        <is>
          <t>m</t>
        </is>
      </c>
      <c r="M249" s="10" t="n">
        <v>278</v>
      </c>
      <c r="N249" s="11" t="n"/>
      <c r="O249" s="11" t="n"/>
      <c r="P249" s="9" t="n"/>
    </row>
    <row r="250">
      <c r="A250" s="8" t="n"/>
      <c r="B250" s="9" t="inlineStr">
        <is>
          <t>Ống gió không chống cháy 1700x750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19</v>
      </c>
      <c r="N250" s="11" t="n"/>
      <c r="O250" s="11" t="n"/>
      <c r="P250" s="9" t="n"/>
    </row>
    <row r="251">
      <c r="A251" s="8" t="n"/>
      <c r="B251" s="9" t="inlineStr">
        <is>
          <t>Ống gió không chống cháy 1200x550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25</v>
      </c>
      <c r="N251" s="11" t="n"/>
      <c r="O251" s="11" t="n"/>
      <c r="P251" s="9" t="n"/>
    </row>
    <row r="252">
      <c r="A252" s="8" t="n"/>
      <c r="B252" s="9" t="inlineStr">
        <is>
          <t>Ống gió không chống cháy 1200x350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7</v>
      </c>
      <c r="N252" s="11" t="n"/>
      <c r="O252" s="11" t="n"/>
      <c r="P252" s="9" t="n"/>
    </row>
    <row r="253">
      <c r="A253" s="8" t="n"/>
      <c r="B253" s="9" t="inlineStr">
        <is>
          <t>Ống gió không chống cháy 700x250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m</t>
        </is>
      </c>
      <c r="M253" s="10" t="n">
        <v>138</v>
      </c>
      <c r="N253" s="11" t="n"/>
      <c r="O253" s="11" t="n"/>
      <c r="P253" s="9" t="n"/>
    </row>
    <row r="254">
      <c r="A254" s="8" t="n"/>
      <c r="B254" s="9" t="inlineStr">
        <is>
          <t>Ống gió không chống cháy 400x550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inlineStr">
        <is>
          <t>m</t>
        </is>
      </c>
      <c r="M254" s="10" t="n">
        <v>138</v>
      </c>
      <c r="N254" s="11" t="n"/>
      <c r="O254" s="11" t="n"/>
      <c r="P254" s="9" t="n"/>
    </row>
    <row r="255">
      <c r="A255" s="8" t="n"/>
      <c r="B255" s="9" t="inlineStr">
        <is>
          <t>Ống gió không chống cháy 1000x1000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12</v>
      </c>
      <c r="N255" s="11" t="n"/>
      <c r="O255" s="11" t="n"/>
      <c r="P255" s="9" t="n"/>
    </row>
    <row r="256">
      <c r="A256" s="6" t="n"/>
      <c r="B256" s="7" t="inlineStr">
        <is>
          <t>Co ngang ống gió</t>
        </is>
      </c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</row>
    <row r="257">
      <c r="A257" s="8" t="n"/>
      <c r="B257" s="9" t="inlineStr">
        <is>
          <t>Co ngang ống gió 1700x450-400R-90°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cái</t>
        </is>
      </c>
      <c r="M257" s="10" t="n">
        <v>3</v>
      </c>
      <c r="N257" s="11" t="n"/>
      <c r="O257" s="11" t="n"/>
      <c r="P257" s="9" t="n"/>
    </row>
    <row r="258">
      <c r="A258" s="8" t="n"/>
      <c r="B258" s="9" t="inlineStr">
        <is>
          <t>Co ngang ống gió 1200x550-400R-90°</t>
        </is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inlineStr">
        <is>
          <t>cái</t>
        </is>
      </c>
      <c r="M258" s="10" t="n">
        <v>2</v>
      </c>
      <c r="N258" s="11" t="n"/>
      <c r="O258" s="11" t="n"/>
      <c r="P258" s="9" t="n"/>
    </row>
    <row r="259">
      <c r="A259" s="8" t="n"/>
      <c r="B259" s="9" t="inlineStr">
        <is>
          <t>Co ngang ống gió 500x600-400R-90°</t>
        </is>
      </c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inlineStr">
        <is>
          <t>cái</t>
        </is>
      </c>
      <c r="M259" s="10" t="n">
        <v>2</v>
      </c>
      <c r="N259" s="11" t="n"/>
      <c r="O259" s="11" t="n"/>
      <c r="P259" s="9" t="n"/>
    </row>
    <row r="260">
      <c r="A260" s="8" t="n"/>
      <c r="B260" s="9" t="inlineStr">
        <is>
          <t>Ty treo giá đỡ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inlineStr">
        <is>
          <t>trọn gói</t>
        </is>
      </c>
      <c r="M260" s="10" t="n">
        <v>1</v>
      </c>
      <c r="N260" s="11" t="n"/>
      <c r="O260" s="11" t="n"/>
      <c r="P260" s="9" t="n"/>
    </row>
    <row r="261">
      <c r="A261" s="6" t="n"/>
      <c r="B261" s="7" t="inlineStr">
        <is>
          <t>Ống gió chống cháy EI30</t>
        </is>
      </c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</row>
    <row r="262">
      <c r="A262" s="6" t="n"/>
      <c r="B262" s="7" t="inlineStr">
        <is>
          <t>Ống gió thẳng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Ống gió chống cháy EI30 1500x500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inlineStr">
        <is>
          <t>m</t>
        </is>
      </c>
      <c r="M263" s="10" t="n">
        <v>2</v>
      </c>
      <c r="N263" s="11" t="n"/>
      <c r="O263" s="11" t="n"/>
      <c r="P263" s="9" t="n"/>
    </row>
    <row r="264">
      <c r="A264" s="8" t="n"/>
      <c r="B264" s="9" t="inlineStr">
        <is>
          <t>Ống gió chống cháy EI30 800x350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inlineStr">
        <is>
          <t>m</t>
        </is>
      </c>
      <c r="M264" s="10" t="n">
        <v>21</v>
      </c>
      <c r="N264" s="11" t="n"/>
      <c r="O264" s="11" t="n"/>
      <c r="P264" s="9" t="n"/>
    </row>
    <row r="265">
      <c r="A265" s="6" t="n"/>
      <c r="B265" s="7" t="inlineStr">
        <is>
          <t>Chân rẽ</t>
        </is>
      </c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8" t="n"/>
      <c r="B266" s="9" t="inlineStr">
        <is>
          <t>Chân rẽ 800x350-200H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inlineStr">
        <is>
          <t>cái</t>
        </is>
      </c>
      <c r="M266" s="10" t="n">
        <v>1</v>
      </c>
      <c r="N266" s="11" t="n"/>
      <c r="O266" s="11" t="n"/>
      <c r="P266" s="9" t="n"/>
    </row>
    <row r="267">
      <c r="A267" s="6" t="n"/>
      <c r="B267" s="7" t="inlineStr">
        <is>
          <t>Co ngang ống gió</t>
        </is>
      </c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</row>
    <row r="268">
      <c r="A268" s="8" t="n"/>
      <c r="B268" s="9" t="inlineStr">
        <is>
          <t>Co ngang ống gió 800x350-400R-90°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inlineStr">
        <is>
          <t>cái</t>
        </is>
      </c>
      <c r="M268" s="10" t="n">
        <v>2</v>
      </c>
      <c r="N268" s="11" t="n"/>
      <c r="O268" s="11" t="n"/>
      <c r="P268" s="9" t="n"/>
    </row>
    <row r="269">
      <c r="A269" s="8" t="n"/>
      <c r="B269" s="9" t="inlineStr">
        <is>
          <t>Ty treo giá đỡ</t>
        </is>
      </c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inlineStr">
        <is>
          <t>trọn gói</t>
        </is>
      </c>
      <c r="M269" s="10" t="n">
        <v>1</v>
      </c>
      <c r="N269" s="11" t="n"/>
      <c r="O269" s="11" t="n"/>
      <c r="P269" s="9" t="n"/>
    </row>
    <row r="270">
      <c r="A270" s="8" t="n"/>
      <c r="B270" s="9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11" t="n"/>
      <c r="N270" s="11" t="n"/>
      <c r="O270" s="11" t="n"/>
      <c r="P270" s="9" t="n"/>
    </row>
    <row r="271">
      <c r="A271" s="6" t="n"/>
      <c r="B271" s="7" t="inlineStr">
        <is>
          <t>Miệng gió</t>
        </is>
      </c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</row>
    <row r="272">
      <c r="A272" s="8" t="n"/>
      <c r="B272" s="9" t="inlineStr">
        <is>
          <t>Miệng gió
 OAG + OBD 800x400</t>
        </is>
      </c>
      <c r="C272" s="8" t="inlineStr">
        <is>
          <t>SDG+O</t>
        </is>
      </c>
      <c r="D272" s="8" t="inlineStr">
        <is>
          <t>SWIND</t>
        </is>
      </c>
      <c r="E272" s="8" t="n">
        <v>800</v>
      </c>
      <c r="F272" s="8" t="n">
        <v>400</v>
      </c>
      <c r="G272" s="8" t="n">
        <v>750</v>
      </c>
      <c r="H272" s="8" t="n">
        <v>350</v>
      </c>
      <c r="I272" s="8" t="n"/>
      <c r="J272" s="8" t="n"/>
      <c r="K272" s="8" t="n"/>
      <c r="L272" s="8" t="inlineStr">
        <is>
          <t>cái</t>
        </is>
      </c>
      <c r="M272" s="10" t="n">
        <v>68</v>
      </c>
      <c r="N272" s="10" t="n">
        <v>480000</v>
      </c>
      <c r="O272" s="10">
        <f>ROUNDUP(N272*M272, -2)</f>
        <v/>
      </c>
      <c r="P272" s="9" t="inlineStr">
        <is>
          <t>Cửa nan bầu dục 1 lớp kèm van OBD</t>
        </is>
      </c>
    </row>
    <row r="273">
      <c r="A273" s="8" t="n"/>
      <c r="B273" s="9" t="inlineStr">
        <is>
          <t>Miệng gió
 OAG + OBD 300x300</t>
        </is>
      </c>
      <c r="C273" s="8" t="inlineStr">
        <is>
          <t>SDG+O</t>
        </is>
      </c>
      <c r="D273" s="8" t="inlineStr">
        <is>
          <t>SWIND</t>
        </is>
      </c>
      <c r="E273" s="8" t="n">
        <v>300</v>
      </c>
      <c r="F273" s="8" t="n">
        <v>300</v>
      </c>
      <c r="G273" s="8" t="n">
        <v>250</v>
      </c>
      <c r="H273" s="8" t="n">
        <v>250</v>
      </c>
      <c r="I273" s="8" t="n"/>
      <c r="J273" s="8" t="n"/>
      <c r="K273" s="8" t="n"/>
      <c r="L273" s="8" t="inlineStr">
        <is>
          <t>cái</t>
        </is>
      </c>
      <c r="M273" s="10" t="n">
        <v>105</v>
      </c>
      <c r="N273" s="10" t="n">
        <v>163000</v>
      </c>
      <c r="O273" s="10">
        <f>ROUNDUP(N273*M273, -2)</f>
        <v/>
      </c>
      <c r="P273" s="9" t="inlineStr">
        <is>
          <t>Cửa nan bầu dục 1 lớp kèm van OBD</t>
        </is>
      </c>
    </row>
    <row r="274">
      <c r="A274" s="8" t="n"/>
      <c r="B274" s="9" t="inlineStr">
        <is>
          <t>Miệng gió
 OAG + OBD 1000x500</t>
        </is>
      </c>
      <c r="C274" s="8" t="inlineStr">
        <is>
          <t>SDG+O</t>
        </is>
      </c>
      <c r="D274" s="8" t="inlineStr">
        <is>
          <t>SWIND</t>
        </is>
      </c>
      <c r="E274" s="8" t="n">
        <v>1000</v>
      </c>
      <c r="F274" s="8" t="n">
        <v>500</v>
      </c>
      <c r="G274" s="8" t="n">
        <v>950</v>
      </c>
      <c r="H274" s="8" t="n">
        <v>450</v>
      </c>
      <c r="I274" s="8" t="n"/>
      <c r="J274" s="8" t="n"/>
      <c r="K274" s="8" t="n"/>
      <c r="L274" s="8" t="inlineStr">
        <is>
          <t>cái</t>
        </is>
      </c>
      <c r="M274" s="10" t="n">
        <v>1</v>
      </c>
      <c r="N274" s="10" t="n">
        <v>708000</v>
      </c>
      <c r="O274" s="10">
        <f>ROUNDUP(N274*M274, -2)</f>
        <v/>
      </c>
      <c r="P274" s="9" t="inlineStr">
        <is>
          <t>Cửa nan bầu dục 1 lớp kèm van OBD</t>
        </is>
      </c>
    </row>
    <row r="275">
      <c r="A275" s="8" t="n"/>
      <c r="B275" s="9" t="inlineStr">
        <is>
          <t>Cửa gió nan thẳng 700x250</t>
        </is>
      </c>
      <c r="C275" s="8" t="inlineStr">
        <is>
          <t>SDG</t>
        </is>
      </c>
      <c r="D275" s="8" t="inlineStr">
        <is>
          <t>SWIND</t>
        </is>
      </c>
      <c r="E275" s="8" t="n">
        <v>700</v>
      </c>
      <c r="F275" s="8" t="n">
        <v>250</v>
      </c>
      <c r="G275" s="8" t="n">
        <v>650</v>
      </c>
      <c r="H275" s="8" t="n">
        <v>200</v>
      </c>
      <c r="I275" s="8" t="n"/>
      <c r="J275" s="8" t="n"/>
      <c r="K275" s="8" t="n"/>
      <c r="L275" s="8" t="inlineStr">
        <is>
          <t>cái</t>
        </is>
      </c>
      <c r="M275" s="10" t="n">
        <v>37</v>
      </c>
      <c r="N275" s="10" t="n">
        <v>150000</v>
      </c>
      <c r="O275" s="10">
        <f>ROUNDUP(N275*M275, -2)</f>
        <v/>
      </c>
      <c r="P275" s="9" t="inlineStr">
        <is>
          <t>Cửa nan bầu dục 1 lớp</t>
        </is>
      </c>
    </row>
    <row r="276">
      <c r="A276" s="8" t="n"/>
      <c r="B276" s="9" t="inlineStr">
        <is>
          <t>Van PRD 700x250</t>
        </is>
      </c>
      <c r="C276" s="8" t="inlineStr">
        <is>
          <t>PRD</t>
        </is>
      </c>
      <c r="D276" s="8" t="inlineStr">
        <is>
          <t>SWIND</t>
        </is>
      </c>
      <c r="E276" s="8" t="n">
        <v>700</v>
      </c>
      <c r="F276" s="8" t="n">
        <v>250</v>
      </c>
      <c r="G276" s="8" t="n"/>
      <c r="H276" s="8" t="n"/>
      <c r="I276" s="8" t="n"/>
      <c r="J276" s="8" t="n">
        <v>200</v>
      </c>
      <c r="K276" s="12" t="n">
        <v>0.75</v>
      </c>
      <c r="L276" s="8" t="inlineStr">
        <is>
          <t>cái</t>
        </is>
      </c>
      <c r="M276" s="10" t="n">
        <v>37</v>
      </c>
      <c r="N276" s="10" t="n">
        <v>335000</v>
      </c>
      <c r="O276" s="10">
        <f>ROUNDUP(N276*M276, -2)</f>
        <v/>
      </c>
      <c r="P276" s="9" t="inlineStr">
        <is>
          <t>Van xả áp đối trọng tôn mạ kẽm</t>
        </is>
      </c>
    </row>
    <row r="277">
      <c r="A277" s="8" t="n"/>
      <c r="B277" s="9" t="inlineStr">
        <is>
          <t>Cửa gió nan thẳng 550x400</t>
        </is>
      </c>
      <c r="C277" s="8" t="inlineStr">
        <is>
          <t>SDG</t>
        </is>
      </c>
      <c r="D277" s="8" t="inlineStr">
        <is>
          <t>SWIND</t>
        </is>
      </c>
      <c r="E277" s="8" t="n">
        <v>550</v>
      </c>
      <c r="F277" s="8" t="n">
        <v>400</v>
      </c>
      <c r="G277" s="8" t="n">
        <v>500</v>
      </c>
      <c r="H277" s="8" t="n">
        <v>350</v>
      </c>
      <c r="I277" s="8" t="n"/>
      <c r="J277" s="8" t="n"/>
      <c r="K277" s="8" t="n"/>
      <c r="L277" s="8" t="inlineStr">
        <is>
          <t>cái</t>
        </is>
      </c>
      <c r="M277" s="10" t="n">
        <v>36</v>
      </c>
      <c r="N277" s="10" t="n">
        <v>186000</v>
      </c>
      <c r="O277" s="10">
        <f>ROUNDUP(N277*M277, -2)</f>
        <v/>
      </c>
      <c r="P277" s="9" t="inlineStr">
        <is>
          <t>Cửa nan bầu dục 1 lớp</t>
        </is>
      </c>
    </row>
    <row r="278">
      <c r="A278" s="8" t="n"/>
      <c r="B278" s="9" t="inlineStr">
        <is>
          <t>Van PRD 550x400</t>
        </is>
      </c>
      <c r="C278" s="8" t="inlineStr">
        <is>
          <t>PRD</t>
        </is>
      </c>
      <c r="D278" s="8" t="inlineStr">
        <is>
          <t>SWIND</t>
        </is>
      </c>
      <c r="E278" s="8" t="n">
        <v>550</v>
      </c>
      <c r="F278" s="8" t="n">
        <v>400</v>
      </c>
      <c r="G278" s="8" t="n"/>
      <c r="H278" s="8" t="n"/>
      <c r="I278" s="8" t="n"/>
      <c r="J278" s="8" t="n">
        <v>200</v>
      </c>
      <c r="K278" s="12" t="n">
        <v>0.75</v>
      </c>
      <c r="L278" s="8" t="inlineStr">
        <is>
          <t>cái</t>
        </is>
      </c>
      <c r="M278" s="10" t="n">
        <v>36</v>
      </c>
      <c r="N278" s="10" t="n">
        <v>483000</v>
      </c>
      <c r="O278" s="10">
        <f>ROUNDUP(N278*M278, -2)</f>
        <v/>
      </c>
      <c r="P278" s="9" t="inlineStr">
        <is>
          <t>Van xả áp đối trọng tôn mạ kẽm</t>
        </is>
      </c>
    </row>
    <row r="279">
      <c r="A279" s="8" t="n"/>
      <c r="B279" s="9" t="inlineStr">
        <is>
          <t>Cửa gió nan thẳng 200x200</t>
        </is>
      </c>
      <c r="C279" s="8" t="inlineStr">
        <is>
          <t>SDG</t>
        </is>
      </c>
      <c r="D279" s="8" t="inlineStr">
        <is>
          <t>SWIND</t>
        </is>
      </c>
      <c r="E279" s="8" t="n">
        <v>200</v>
      </c>
      <c r="F279" s="8" t="n">
        <v>200</v>
      </c>
      <c r="G279" s="8" t="n">
        <v>150</v>
      </c>
      <c r="H279" s="8" t="n">
        <v>150</v>
      </c>
      <c r="I279" s="8" t="n"/>
      <c r="J279" s="8" t="n"/>
      <c r="K279" s="8" t="n"/>
      <c r="L279" s="8" t="inlineStr">
        <is>
          <t>cái</t>
        </is>
      </c>
      <c r="M279" s="10" t="n">
        <v>70</v>
      </c>
      <c r="N279" s="10" t="n">
        <v>48000</v>
      </c>
      <c r="O279" s="10">
        <f>ROUNDUP(N279*M279, -2)</f>
        <v/>
      </c>
      <c r="P279" s="9" t="inlineStr">
        <is>
          <t>Cửa nan bầu dục 1 lớp</t>
        </is>
      </c>
    </row>
    <row r="280">
      <c r="A280" s="8" t="n"/>
      <c r="B280" s="9" t="inlineStr">
        <is>
          <t>Van PRD 200x200</t>
        </is>
      </c>
      <c r="C280" s="8" t="inlineStr">
        <is>
          <t>PRD</t>
        </is>
      </c>
      <c r="D280" s="8" t="inlineStr">
        <is>
          <t>SWIND</t>
        </is>
      </c>
      <c r="E280" s="8" t="n">
        <v>200</v>
      </c>
      <c r="F280" s="8" t="n">
        <v>200</v>
      </c>
      <c r="G280" s="8" t="n"/>
      <c r="H280" s="8" t="n"/>
      <c r="I280" s="8" t="n"/>
      <c r="J280" s="8" t="n">
        <v>200</v>
      </c>
      <c r="K280" s="12" t="n">
        <v>0.75</v>
      </c>
      <c r="L280" s="8" t="inlineStr">
        <is>
          <t>cái</t>
        </is>
      </c>
      <c r="M280" s="10" t="n">
        <v>70</v>
      </c>
      <c r="N280" s="10" t="n">
        <v>187000</v>
      </c>
      <c r="O280" s="10">
        <f>ROUNDUP(N280*M280, -2)</f>
        <v/>
      </c>
      <c r="P280" s="9" t="inlineStr">
        <is>
          <t>Van xả áp đối trọng tôn mạ kẽm</t>
        </is>
      </c>
    </row>
    <row r="281">
      <c r="A281" s="8" t="n"/>
      <c r="B281" s="9" t="inlineStr">
        <is>
          <t>Cửa gió nan thẳng 400x200</t>
        </is>
      </c>
      <c r="C281" s="8" t="inlineStr">
        <is>
          <t>SDG</t>
        </is>
      </c>
      <c r="D281" s="8" t="inlineStr">
        <is>
          <t>SWIND</t>
        </is>
      </c>
      <c r="E281" s="8" t="n">
        <v>400</v>
      </c>
      <c r="F281" s="8" t="n">
        <v>200</v>
      </c>
      <c r="G281" s="8" t="n">
        <v>350</v>
      </c>
      <c r="H281" s="8" t="n">
        <v>150</v>
      </c>
      <c r="I281" s="8" t="n"/>
      <c r="J281" s="8" t="n"/>
      <c r="K281" s="8" t="n"/>
      <c r="L281" s="8" t="inlineStr">
        <is>
          <t>cái</t>
        </is>
      </c>
      <c r="M281" s="10" t="n">
        <v>68</v>
      </c>
      <c r="N281" s="10" t="n">
        <v>80000</v>
      </c>
      <c r="O281" s="10">
        <f>ROUNDUP(N281*M281, -2)</f>
        <v/>
      </c>
      <c r="P281" s="9" t="inlineStr">
        <is>
          <t>Cửa nan bầu dục 1 lớp</t>
        </is>
      </c>
    </row>
    <row r="282">
      <c r="A282" s="8" t="n"/>
      <c r="B282" s="9" t="inlineStr">
        <is>
          <t>Van PRD 400x200</t>
        </is>
      </c>
      <c r="C282" s="8" t="inlineStr">
        <is>
          <t>PRD</t>
        </is>
      </c>
      <c r="D282" s="8" t="inlineStr">
        <is>
          <t>SWIND</t>
        </is>
      </c>
      <c r="E282" s="8" t="n">
        <v>400</v>
      </c>
      <c r="F282" s="8" t="n">
        <v>200</v>
      </c>
      <c r="G282" s="8" t="n"/>
      <c r="H282" s="8" t="n"/>
      <c r="I282" s="8" t="n"/>
      <c r="J282" s="8" t="n">
        <v>200</v>
      </c>
      <c r="K282" s="12" t="n">
        <v>0.75</v>
      </c>
      <c r="L282" s="8" t="inlineStr">
        <is>
          <t>cái</t>
        </is>
      </c>
      <c r="M282" s="10" t="n">
        <v>68</v>
      </c>
      <c r="N282" s="10" t="n">
        <v>230000</v>
      </c>
      <c r="O282" s="10">
        <f>ROUNDUP(N282*M282, -2)</f>
        <v/>
      </c>
      <c r="P282" s="9" t="inlineStr">
        <is>
          <t>Van xả áp đối trọng tôn mạ kẽm</t>
        </is>
      </c>
    </row>
    <row r="283">
      <c r="A283" s="8" t="n"/>
      <c r="B283" s="9" t="inlineStr">
        <is>
          <t>Cửa gió nan thẳng 800x350</t>
        </is>
      </c>
      <c r="C283" s="8" t="inlineStr">
        <is>
          <t>SDG</t>
        </is>
      </c>
      <c r="D283" s="8" t="inlineStr">
        <is>
          <t>SWIND</t>
        </is>
      </c>
      <c r="E283" s="8" t="n">
        <v>800</v>
      </c>
      <c r="F283" s="8" t="n">
        <v>350</v>
      </c>
      <c r="G283" s="8" t="n">
        <v>750</v>
      </c>
      <c r="H283" s="8" t="n">
        <v>300</v>
      </c>
      <c r="I283" s="8" t="n"/>
      <c r="J283" s="8" t="n"/>
      <c r="K283" s="8" t="n"/>
      <c r="L283" s="8" t="inlineStr">
        <is>
          <t>cái</t>
        </is>
      </c>
      <c r="M283" s="10" t="n">
        <v>1</v>
      </c>
      <c r="N283" s="10" t="n">
        <v>225000</v>
      </c>
      <c r="O283" s="10">
        <f>ROUNDUP(N283*M283, -2)</f>
        <v/>
      </c>
      <c r="P283" s="9" t="inlineStr">
        <is>
          <t>Cửa nan bầu dục 1 lớp</t>
        </is>
      </c>
    </row>
    <row r="284">
      <c r="A284" s="8" t="n"/>
      <c r="B284" s="9" t="inlineStr">
        <is>
          <t>Van PRD 800x350 - EI30</t>
        </is>
      </c>
      <c r="C284" s="8" t="inlineStr">
        <is>
          <t>PRD</t>
        </is>
      </c>
      <c r="D284" s="8" t="inlineStr">
        <is>
          <t>SWIND</t>
        </is>
      </c>
      <c r="E284" s="8" t="n">
        <v>800</v>
      </c>
      <c r="F284" s="8" t="n">
        <v>350</v>
      </c>
      <c r="G284" s="8" t="n"/>
      <c r="H284" s="8" t="n"/>
      <c r="I284" s="8" t="n"/>
      <c r="J284" s="8" t="n">
        <v>200</v>
      </c>
      <c r="K284" s="12" t="n">
        <v>1.15</v>
      </c>
      <c r="L284" s="8" t="inlineStr">
        <is>
          <t>cái</t>
        </is>
      </c>
      <c r="M284" s="10" t="n">
        <v>1</v>
      </c>
      <c r="N284" s="10" t="n">
        <v>849400</v>
      </c>
      <c r="O284" s="10">
        <f>ROUNDUP(N284*M284, -2)</f>
        <v/>
      </c>
      <c r="P284" s="9" t="inlineStr">
        <is>
          <t>Van xả áp đối trọng bọc tấm cách nhiệt KHS 10mm</t>
        </is>
      </c>
    </row>
    <row r="285">
      <c r="A285" s="8" t="n"/>
      <c r="B285" s="9" t="inlineStr">
        <is>
          <t>Cửa gió nan thẳng 1500x300</t>
        </is>
      </c>
      <c r="C285" s="8" t="inlineStr">
        <is>
          <t>SDG</t>
        </is>
      </c>
      <c r="D285" s="8" t="inlineStr">
        <is>
          <t>SWIND</t>
        </is>
      </c>
      <c r="E285" s="8" t="n">
        <v>1500</v>
      </c>
      <c r="F285" s="8" t="n">
        <v>300</v>
      </c>
      <c r="G285" s="8" t="n">
        <v>1450</v>
      </c>
      <c r="H285" s="8" t="n">
        <v>250</v>
      </c>
      <c r="I285" s="8" t="n"/>
      <c r="J285" s="8" t="n"/>
      <c r="K285" s="8" t="n"/>
      <c r="L285" s="8" t="inlineStr">
        <is>
          <t>cái</t>
        </is>
      </c>
      <c r="M285" s="10" t="n">
        <v>1</v>
      </c>
      <c r="N285" s="10" t="n">
        <v>358000</v>
      </c>
      <c r="O285" s="10">
        <f>ROUNDUP(N285*M285, -2)</f>
        <v/>
      </c>
      <c r="P285" s="9" t="inlineStr">
        <is>
          <t>Cửa nan bầu dục 1 lớp</t>
        </is>
      </c>
    </row>
    <row r="286">
      <c r="A286" s="8" t="n"/>
      <c r="B286" s="9" t="inlineStr">
        <is>
          <t>Van PRD 1500x300</t>
        </is>
      </c>
      <c r="C286" s="8" t="inlineStr">
        <is>
          <t>PRD</t>
        </is>
      </c>
      <c r="D286" s="8" t="inlineStr">
        <is>
          <t>SWIND</t>
        </is>
      </c>
      <c r="E286" s="8" t="n">
        <v>1500</v>
      </c>
      <c r="F286" s="8" t="n">
        <v>300</v>
      </c>
      <c r="G286" s="8" t="n"/>
      <c r="H286" s="8" t="n"/>
      <c r="I286" s="8" t="n"/>
      <c r="J286" s="8" t="n">
        <v>200</v>
      </c>
      <c r="K286" s="12" t="n">
        <v>1.15</v>
      </c>
      <c r="L286" s="8" t="inlineStr">
        <is>
          <t>cái</t>
        </is>
      </c>
      <c r="M286" s="10" t="n">
        <v>1</v>
      </c>
      <c r="N286" s="10" t="n">
        <v>1208650</v>
      </c>
      <c r="O286" s="10">
        <f>ROUNDUP(N286*M286, -2)</f>
        <v/>
      </c>
      <c r="P286" s="9" t="inlineStr">
        <is>
          <t>Van xả áp đối trọng tôn mạ kẽm</t>
        </is>
      </c>
    </row>
    <row r="287">
      <c r="A287" s="8" t="n"/>
      <c r="B287" s="9" t="inlineStr">
        <is>
          <t>Cửa gió nan thẳng 800x350</t>
        </is>
      </c>
      <c r="C287" s="8" t="inlineStr">
        <is>
          <t>SDG</t>
        </is>
      </c>
      <c r="D287" s="8" t="inlineStr">
        <is>
          <t>SWIND</t>
        </is>
      </c>
      <c r="E287" s="8" t="n">
        <v>800</v>
      </c>
      <c r="F287" s="8" t="n">
        <v>350</v>
      </c>
      <c r="G287" s="8" t="n">
        <v>750</v>
      </c>
      <c r="H287" s="8" t="n">
        <v>300</v>
      </c>
      <c r="I287" s="8" t="n"/>
      <c r="J287" s="8" t="n"/>
      <c r="K287" s="8" t="n"/>
      <c r="L287" s="8" t="inlineStr">
        <is>
          <t>cái</t>
        </is>
      </c>
      <c r="M287" s="10" t="n">
        <v>1</v>
      </c>
      <c r="N287" s="10" t="n">
        <v>225000</v>
      </c>
      <c r="O287" s="10">
        <f>ROUNDUP(N287*M287, -2)</f>
        <v/>
      </c>
      <c r="P287" s="9" t="inlineStr">
        <is>
          <t>Cửa nan bầu dục 1 lớp</t>
        </is>
      </c>
    </row>
    <row r="288">
      <c r="A288" s="8" t="n"/>
      <c r="B288" s="9" t="inlineStr">
        <is>
          <t>Van MD 800x350 - EI30</t>
        </is>
      </c>
      <c r="C288" s="8" t="inlineStr">
        <is>
          <t>MD</t>
        </is>
      </c>
      <c r="D288" s="8" t="inlineStr">
        <is>
          <t>SWIND</t>
        </is>
      </c>
      <c r="E288" s="8" t="n">
        <v>800</v>
      </c>
      <c r="F288" s="8" t="n">
        <v>350</v>
      </c>
      <c r="G288" s="8" t="n"/>
      <c r="H288" s="8" t="n"/>
      <c r="I288" s="8" t="n"/>
      <c r="J288" s="8" t="n">
        <v>200</v>
      </c>
      <c r="K288" s="12" t="n">
        <v>1.15</v>
      </c>
      <c r="L288" s="8" t="inlineStr">
        <is>
          <t>cái</t>
        </is>
      </c>
      <c r="M288" s="10" t="n">
        <v>1</v>
      </c>
      <c r="N288" s="10" t="n">
        <v>2342400</v>
      </c>
      <c r="O288" s="10">
        <f>ROUNDUP(N288*M288, -2)</f>
        <v/>
      </c>
      <c r="P288" s="9" t="inlineStr">
        <is>
          <t>Van MD, động cơ KLB/VIWECO 24v-10N</t>
        </is>
      </c>
    </row>
    <row r="289">
      <c r="A289" s="8" t="n"/>
      <c r="B289" s="9" t="inlineStr">
        <is>
          <t>Miệng gió
 OAL+IS 1500x500</t>
        </is>
      </c>
      <c r="C289" s="8" t="inlineStr">
        <is>
          <t>WL+N</t>
        </is>
      </c>
      <c r="D289" s="8" t="inlineStr">
        <is>
          <t>SWIND</t>
        </is>
      </c>
      <c r="E289" s="8" t="n">
        <v>1500</v>
      </c>
      <c r="F289" s="8" t="n">
        <v>500</v>
      </c>
      <c r="G289" s="8" t="n">
        <v>1450</v>
      </c>
      <c r="H289" s="8" t="n">
        <v>450</v>
      </c>
      <c r="I289" s="8" t="n"/>
      <c r="J289" s="8" t="n"/>
      <c r="K289" s="8" t="n"/>
      <c r="L289" s="8" t="inlineStr">
        <is>
          <t>cái</t>
        </is>
      </c>
      <c r="M289" s="10" t="n">
        <v>1</v>
      </c>
      <c r="N289" s="10" t="n">
        <v>1051000</v>
      </c>
      <c r="O289" s="10">
        <f>ROUNDUP(N289*M289, -2)</f>
        <v/>
      </c>
      <c r="P289" s="9" t="inlineStr">
        <is>
          <t>Louver nan Z ngoài trời kèm lưới chắn côn trùng Inox 304</t>
        </is>
      </c>
    </row>
    <row r="290">
      <c r="A290" s="8" t="n"/>
      <c r="B290" s="9" t="inlineStr">
        <is>
          <t>Miệng gió
 OAL+IS 1500x300</t>
        </is>
      </c>
      <c r="C290" s="8" t="inlineStr">
        <is>
          <t>WL+N</t>
        </is>
      </c>
      <c r="D290" s="8" t="inlineStr">
        <is>
          <t>SWIND</t>
        </is>
      </c>
      <c r="E290" s="8" t="n">
        <v>1500</v>
      </c>
      <c r="F290" s="8" t="n">
        <v>300</v>
      </c>
      <c r="G290" s="8" t="n">
        <v>1450</v>
      </c>
      <c r="H290" s="8" t="n">
        <v>250</v>
      </c>
      <c r="I290" s="8" t="n"/>
      <c r="J290" s="8" t="n"/>
      <c r="K290" s="8" t="n"/>
      <c r="L290" s="8" t="inlineStr">
        <is>
          <t>cái</t>
        </is>
      </c>
      <c r="M290" s="10" t="n">
        <v>2</v>
      </c>
      <c r="N290" s="10" t="n">
        <v>689000</v>
      </c>
      <c r="O290" s="10">
        <f>ROUNDUP(N290*M290, -2)</f>
        <v/>
      </c>
      <c r="P290" s="9" t="inlineStr">
        <is>
          <t>Louver nan Z ngoài trời kèm lưới chắn côn trùng Inox 304</t>
        </is>
      </c>
    </row>
    <row r="291">
      <c r="A291" s="8" t="n"/>
      <c r="B291" s="9" t="inlineStr">
        <is>
          <t>Miệng gió
 OAL+IS 550x550</t>
        </is>
      </c>
      <c r="C291" s="8" t="inlineStr">
        <is>
          <t>WL+N</t>
        </is>
      </c>
      <c r="D291" s="8" t="inlineStr">
        <is>
          <t>SWIND</t>
        </is>
      </c>
      <c r="E291" s="8" t="n">
        <v>550</v>
      </c>
      <c r="F291" s="8" t="n">
        <v>550</v>
      </c>
      <c r="G291" s="8" t="n">
        <v>500</v>
      </c>
      <c r="H291" s="8" t="n">
        <v>500</v>
      </c>
      <c r="I291" s="8" t="n"/>
      <c r="J291" s="8" t="n"/>
      <c r="K291" s="8" t="n"/>
      <c r="L291" s="8" t="inlineStr">
        <is>
          <t>cái</t>
        </is>
      </c>
      <c r="M291" s="10" t="n">
        <v>1</v>
      </c>
      <c r="N291" s="10" t="n">
        <v>446000</v>
      </c>
      <c r="O291" s="10">
        <f>ROUNDUP(N291*M291, -2)</f>
        <v/>
      </c>
      <c r="P291" s="9" t="inlineStr">
        <is>
          <t>Louver nan Z ngoài trời kèm lưới chắn côn trùng Inox 304</t>
        </is>
      </c>
    </row>
    <row r="292">
      <c r="A292" s="8" t="n"/>
      <c r="B292" s="9" t="inlineStr">
        <is>
          <t>Miệng gió
 OAL+IS 700x400</t>
        </is>
      </c>
      <c r="C292" s="8" t="inlineStr">
        <is>
          <t>WL+N</t>
        </is>
      </c>
      <c r="D292" s="8" t="inlineStr">
        <is>
          <t>SWIND</t>
        </is>
      </c>
      <c r="E292" s="8" t="n">
        <v>700</v>
      </c>
      <c r="F292" s="8" t="n">
        <v>400</v>
      </c>
      <c r="G292" s="8" t="n">
        <v>650</v>
      </c>
      <c r="H292" s="8" t="n">
        <v>350</v>
      </c>
      <c r="I292" s="8" t="n"/>
      <c r="J292" s="8" t="n"/>
      <c r="K292" s="8" t="n"/>
      <c r="L292" s="8" t="inlineStr">
        <is>
          <t>cái</t>
        </is>
      </c>
      <c r="M292" s="10" t="n">
        <v>1</v>
      </c>
      <c r="N292" s="10" t="n">
        <v>423000</v>
      </c>
      <c r="O292" s="10">
        <f>ROUNDUP(N292*M292, -2)</f>
        <v/>
      </c>
      <c r="P292" s="9" t="inlineStr">
        <is>
          <t>Louver nan Z ngoài trời kèm lưới chắn côn trùng Inox 304</t>
        </is>
      </c>
    </row>
    <row r="293">
      <c r="A293" s="8" t="n"/>
      <c r="B293" s="9" t="inlineStr">
        <is>
          <t>Cover che mưa kèm LCCT 800x350</t>
        </is>
      </c>
      <c r="C293" s="8" t="inlineStr">
        <is>
          <t>SDG</t>
        </is>
      </c>
      <c r="D293" s="8" t="inlineStr">
        <is>
          <t>SWIND</t>
        </is>
      </c>
      <c r="E293" s="8" t="n">
        <v>800</v>
      </c>
      <c r="F293" s="8" t="n">
        <v>350</v>
      </c>
      <c r="G293" s="8" t="n">
        <v>750</v>
      </c>
      <c r="H293" s="8" t="n">
        <v>300</v>
      </c>
      <c r="I293" s="8" t="n"/>
      <c r="J293" s="8" t="n"/>
      <c r="K293" s="8" t="n"/>
      <c r="L293" s="8" t="inlineStr">
        <is>
          <t>cái</t>
        </is>
      </c>
      <c r="M293" s="10" t="n">
        <v>1</v>
      </c>
      <c r="N293" s="10" t="n">
        <v>281109</v>
      </c>
      <c r="O293" s="10">
        <f>ROUNDUP(N293*M293, -2)</f>
        <v/>
      </c>
      <c r="P293" s="9" t="inlineStr">
        <is>
          <t>Cửa nan bầu dục 1 lớp kèm LCCT</t>
        </is>
      </c>
    </row>
    <row r="294">
      <c r="A294" s="8" t="n"/>
      <c r="B294" s="9" t="inlineStr">
        <is>
          <t>Lưới chắn côn trùng 1500x300</t>
        </is>
      </c>
      <c r="C294" s="8" t="inlineStr">
        <is>
          <t>LCCT</t>
        </is>
      </c>
      <c r="D294" s="8" t="inlineStr">
        <is>
          <t>SWIND</t>
        </is>
      </c>
      <c r="E294" s="8" t="n">
        <v>1500</v>
      </c>
      <c r="F294" s="8" t="n">
        <v>300</v>
      </c>
      <c r="G294" s="8" t="n"/>
      <c r="H294" s="8" t="n"/>
      <c r="I294" s="8" t="n"/>
      <c r="J294" s="8" t="n"/>
      <c r="K294" s="8" t="n"/>
      <c r="L294" s="8" t="inlineStr">
        <is>
          <t>cái</t>
        </is>
      </c>
      <c r="M294" s="10" t="n">
        <v>1</v>
      </c>
      <c r="N294" s="10" t="n">
        <v>90000</v>
      </c>
      <c r="O294" s="10">
        <f>ROUNDUP(N294*M294, -2)</f>
        <v/>
      </c>
      <c r="P294" s="9" t="inlineStr">
        <is>
          <t>Lưới chắn côn trùng</t>
        </is>
      </c>
    </row>
    <row r="295">
      <c r="A295" s="8" t="n"/>
      <c r="B295" s="9" t="inlineStr">
        <is>
          <t>Lưới chắn côn trùng 500x600</t>
        </is>
      </c>
      <c r="C295" s="8" t="inlineStr">
        <is>
          <t>LCCT</t>
        </is>
      </c>
      <c r="D295" s="8" t="inlineStr">
        <is>
          <t>SWIND</t>
        </is>
      </c>
      <c r="E295" s="8" t="n">
        <v>500</v>
      </c>
      <c r="F295" s="8" t="n">
        <v>600</v>
      </c>
      <c r="G295" s="8" t="n"/>
      <c r="H295" s="8" t="n"/>
      <c r="I295" s="8" t="n"/>
      <c r="J295" s="8" t="n"/>
      <c r="K295" s="8" t="n"/>
      <c r="L295" s="8" t="inlineStr">
        <is>
          <t>cái</t>
        </is>
      </c>
      <c r="M295" s="10" t="n">
        <v>1</v>
      </c>
      <c r="N295" s="10" t="n">
        <v>60000</v>
      </c>
      <c r="O295" s="10">
        <f>ROUNDUP(N295*M295, -2)</f>
        <v/>
      </c>
      <c r="P295" s="9" t="inlineStr">
        <is>
          <t>Lưới chắn côn trùng</t>
        </is>
      </c>
    </row>
    <row r="296">
      <c r="A296" s="8" t="n"/>
      <c r="B296" s="9" t="inlineStr">
        <is>
          <t>Lưới chắn côn trùng 600x750</t>
        </is>
      </c>
      <c r="C296" s="8" t="inlineStr">
        <is>
          <t>LCCT</t>
        </is>
      </c>
      <c r="D296" s="8" t="inlineStr">
        <is>
          <t>SWIND</t>
        </is>
      </c>
      <c r="E296" s="8" t="n">
        <v>600</v>
      </c>
      <c r="F296" s="8" t="n">
        <v>750</v>
      </c>
      <c r="G296" s="8" t="n"/>
      <c r="H296" s="8" t="n"/>
      <c r="I296" s="8" t="n"/>
      <c r="J296" s="8" t="n"/>
      <c r="K296" s="8" t="n"/>
      <c r="L296" s="8" t="inlineStr">
        <is>
          <t>cái</t>
        </is>
      </c>
      <c r="M296" s="10" t="n">
        <v>1</v>
      </c>
      <c r="N296" s="10" t="n">
        <v>90000</v>
      </c>
      <c r="O296" s="10">
        <f>ROUNDUP(N296*M296, -2)</f>
        <v/>
      </c>
      <c r="P296" s="9" t="inlineStr">
        <is>
          <t>Lưới chắn côn trùng</t>
        </is>
      </c>
    </row>
    <row r="297">
      <c r="A297" s="8" t="n"/>
      <c r="B297" s="9" t="inlineStr">
        <is>
          <t>Lưới chắn côn trùng 1000x1000</t>
        </is>
      </c>
      <c r="C297" s="8" t="inlineStr">
        <is>
          <t>LCCT</t>
        </is>
      </c>
      <c r="D297" s="8" t="inlineStr">
        <is>
          <t>SWIND</t>
        </is>
      </c>
      <c r="E297" s="8" t="n">
        <v>1000</v>
      </c>
      <c r="F297" s="8" t="n">
        <v>1000</v>
      </c>
      <c r="G297" s="8" t="n"/>
      <c r="H297" s="8" t="n"/>
      <c r="I297" s="8" t="n"/>
      <c r="J297" s="8" t="n"/>
      <c r="K297" s="8" t="n"/>
      <c r="L297" s="8" t="inlineStr">
        <is>
          <t>cái</t>
        </is>
      </c>
      <c r="M297" s="10" t="n">
        <v>9</v>
      </c>
      <c r="N297" s="10" t="n">
        <v>200000</v>
      </c>
      <c r="O297" s="10">
        <f>ROUNDUP(N297*M297, -2)</f>
        <v/>
      </c>
      <c r="P297" s="9" t="inlineStr">
        <is>
          <t>Lưới chắn côn trùng</t>
        </is>
      </c>
    </row>
    <row r="298">
      <c r="A298" s="8" t="n"/>
      <c r="B298" s="9" t="inlineStr">
        <is>
          <t>Cảm biến khói gắn ống gió</t>
        </is>
      </c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inlineStr">
        <is>
          <t>cái</t>
        </is>
      </c>
      <c r="M298" s="10" t="n">
        <v>12</v>
      </c>
      <c r="N298" s="11" t="n"/>
      <c r="O298" s="11" t="n"/>
      <c r="P298" s="9" t="n"/>
    </row>
    <row r="299">
      <c r="A299" s="8" t="n"/>
      <c r="B299" s="9" t="inlineStr">
        <is>
          <t>Ty treo giá đỡ</t>
        </is>
      </c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inlineStr">
        <is>
          <t>trọn gói</t>
        </is>
      </c>
      <c r="M299" s="10" t="n">
        <v>1</v>
      </c>
      <c r="N299" s="11" t="n"/>
      <c r="O299" s="11" t="n"/>
      <c r="P299" s="9" t="n"/>
    </row>
    <row r="300">
      <c r="A300" s="8" t="n"/>
      <c r="B300" s="9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11" t="n"/>
      <c r="N300" s="11" t="n"/>
      <c r="O300" s="11" t="n"/>
      <c r="P300" s="9" t="n"/>
    </row>
    <row r="301">
      <c r="A301" s="6" t="n"/>
      <c r="B301" s="7" t="inlineStr">
        <is>
          <t>II. HỆ THỐNG BÙ GIÓ</t>
        </is>
      </c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</row>
    <row r="302">
      <c r="A302" s="6" t="n"/>
      <c r="B302" s="7" t="inlineStr">
        <is>
          <t>Thiết bị</t>
        </is>
      </c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</row>
    <row r="303">
      <c r="A303" s="8" t="n"/>
      <c r="B303" s="9" t="inlineStr">
        <is>
          <t>Quạt bù gió_Loại hướng trục MAF-2.01
32.000 m3/h@350Pa
Motor chống cháy 300°C/2h</t>
        </is>
      </c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inlineStr">
        <is>
          <t>cái</t>
        </is>
      </c>
      <c r="M303" s="10" t="n">
        <v>1</v>
      </c>
      <c r="N303" s="11" t="n"/>
      <c r="O303" s="11" t="n"/>
      <c r="P303" s="9" t="n"/>
    </row>
    <row r="304">
      <c r="A304" s="8" t="n"/>
      <c r="B304" s="9" t="inlineStr">
        <is>
          <t>Quạt bù gió_Loại hướng trục MAF-2.02
30.900 m3/h@300Pa
Motor chống cháy 300°C/2h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inlineStr">
        <is>
          <t>cái</t>
        </is>
      </c>
      <c r="M304" s="10" t="n">
        <v>1</v>
      </c>
      <c r="N304" s="11" t="n"/>
      <c r="O304" s="11" t="n"/>
      <c r="P304" s="9" t="n"/>
    </row>
    <row r="305">
      <c r="A305" s="8" t="n"/>
      <c r="B305" s="9" t="inlineStr">
        <is>
          <t>Quạt bù gió_Loại hướng trục MAF-2.03
36.100 m3/h@350Pa
Motor chống cháy 300°C/2h</t>
        </is>
      </c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inlineStr">
        <is>
          <t>cái</t>
        </is>
      </c>
      <c r="M305" s="10" t="n">
        <v>1</v>
      </c>
      <c r="N305" s="11" t="n"/>
      <c r="O305" s="11" t="n"/>
      <c r="P305" s="9" t="n"/>
    </row>
    <row r="306">
      <c r="A306" s="8" t="n"/>
      <c r="B306" s="9" t="inlineStr">
        <is>
          <t>Nối mềm chống cháy</t>
        </is>
      </c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inlineStr">
        <is>
          <t>bộ</t>
        </is>
      </c>
      <c r="M306" s="10" t="n">
        <v>3</v>
      </c>
      <c r="N306" s="11" t="n"/>
      <c r="O306" s="11" t="n"/>
      <c r="P306" s="9" t="n"/>
    </row>
    <row r="307">
      <c r="A307" s="8" t="n"/>
      <c r="B307" s="9" t="inlineStr">
        <is>
          <t>Hộp chống cháy loại 1 cho quạt</t>
        </is>
      </c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inlineStr">
        <is>
          <t>bộ</t>
        </is>
      </c>
      <c r="M307" s="10" t="n">
        <v>3</v>
      </c>
      <c r="N307" s="11" t="n"/>
      <c r="O307" s="11" t="n"/>
      <c r="P307" s="9" t="n"/>
    </row>
    <row r="308">
      <c r="A308" s="8" t="n"/>
      <c r="B308" s="9" t="inlineStr">
        <is>
          <t>Ty treo giá đỡ</t>
        </is>
      </c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inlineStr">
        <is>
          <t>trọn gói</t>
        </is>
      </c>
      <c r="M308" s="10" t="n">
        <v>1</v>
      </c>
      <c r="N308" s="11" t="n"/>
      <c r="O308" s="11" t="n"/>
      <c r="P308" s="9" t="n"/>
    </row>
    <row r="309">
      <c r="A309" s="8" t="n"/>
      <c r="B309" s="9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11" t="n"/>
      <c r="N309" s="11" t="n"/>
      <c r="O309" s="11" t="n"/>
      <c r="P309" s="9" t="n"/>
    </row>
    <row r="310">
      <c r="A310" s="6" t="n"/>
      <c r="B310" s="7" t="inlineStr">
        <is>
          <t>Ống gió
Air duct</t>
        </is>
      </c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</row>
    <row r="311">
      <c r="A311" s="6" t="n"/>
      <c r="B311" s="7" t="inlineStr">
        <is>
          <t>Ống gió chống cháy EI45</t>
        </is>
      </c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6" t="n"/>
      <c r="B312" s="7" t="inlineStr">
        <is>
          <t>Ống gió thẳng</t>
        </is>
      </c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</row>
    <row r="313">
      <c r="A313" s="8" t="n"/>
      <c r="B313" s="9" t="inlineStr">
        <is>
          <t>Ống gió chống cháy EI45 3000x1500</t>
        </is>
      </c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inlineStr">
        <is>
          <t>m</t>
        </is>
      </c>
      <c r="M313" s="10" t="n">
        <v>4</v>
      </c>
      <c r="N313" s="11" t="n"/>
      <c r="O313" s="11" t="n"/>
      <c r="P313" s="9" t="n"/>
    </row>
    <row r="314">
      <c r="A314" s="8" t="n"/>
      <c r="B314" s="9" t="inlineStr">
        <is>
          <t>Ống gió chống cháy EI45 1500x600</t>
        </is>
      </c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inlineStr">
        <is>
          <t>m</t>
        </is>
      </c>
      <c r="M314" s="10" t="n">
        <v>23</v>
      </c>
      <c r="N314" s="11" t="n"/>
      <c r="O314" s="11" t="n"/>
      <c r="P314" s="9" t="n"/>
    </row>
    <row r="315">
      <c r="A315" s="8" t="n"/>
      <c r="B315" s="9" t="inlineStr">
        <is>
          <t>Ống gió chống cháy EI45 1500x400</t>
        </is>
      </c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inlineStr">
        <is>
          <t>m</t>
        </is>
      </c>
      <c r="M315" s="10" t="n">
        <v>29</v>
      </c>
      <c r="N315" s="11" t="n"/>
      <c r="O315" s="11" t="n"/>
      <c r="P315" s="9" t="n"/>
    </row>
    <row r="316">
      <c r="A316" s="8" t="n"/>
      <c r="B316" s="9" t="inlineStr">
        <is>
          <t>Ống gió chống cháy EI45 1500x500</t>
        </is>
      </c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inlineStr">
        <is>
          <t>m</t>
        </is>
      </c>
      <c r="M316" s="10" t="n">
        <v>19</v>
      </c>
      <c r="N316" s="11" t="n"/>
      <c r="O316" s="11" t="n"/>
      <c r="P316" s="9" t="n"/>
    </row>
    <row r="317">
      <c r="A317" s="6" t="n"/>
      <c r="B317" s="7" t="inlineStr">
        <is>
          <t>Chân rẽ</t>
        </is>
      </c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8" t="n"/>
      <c r="B318" s="9" t="inlineStr">
        <is>
          <t>Chân rẽ 1500x400-200H</t>
        </is>
      </c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inlineStr">
        <is>
          <t>cái</t>
        </is>
      </c>
      <c r="M318" s="10" t="n">
        <v>1</v>
      </c>
      <c r="N318" s="11" t="n"/>
      <c r="O318" s="11" t="n"/>
      <c r="P318" s="9" t="n"/>
    </row>
    <row r="319">
      <c r="A319" s="6" t="n"/>
      <c r="B319" s="7" t="inlineStr">
        <is>
          <t>Co ngang ống gió</t>
        </is>
      </c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</row>
    <row r="320">
      <c r="A320" s="8" t="n"/>
      <c r="B320" s="9" t="inlineStr">
        <is>
          <t>Co ngang ống gió 1500x400-600R-45°</t>
        </is>
      </c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inlineStr">
        <is>
          <t>cái</t>
        </is>
      </c>
      <c r="M320" s="10" t="n">
        <v>2</v>
      </c>
      <c r="N320" s="11" t="n"/>
      <c r="O320" s="11" t="n"/>
      <c r="P320" s="9" t="n"/>
    </row>
    <row r="321">
      <c r="A321" s="8" t="n"/>
      <c r="B321" s="9" t="inlineStr">
        <is>
          <t>Co ngang ống gió 1500x600-400R-90°</t>
        </is>
      </c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inlineStr">
        <is>
          <t>cái</t>
        </is>
      </c>
      <c r="M321" s="10" t="n">
        <v>1</v>
      </c>
      <c r="N321" s="11" t="n"/>
      <c r="O321" s="11" t="n"/>
      <c r="P321" s="9" t="n"/>
    </row>
    <row r="322">
      <c r="A322" s="8" t="n"/>
      <c r="B322" s="9" t="inlineStr">
        <is>
          <t>Co ngang ống gió 1500x400-400R-90°</t>
        </is>
      </c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inlineStr">
        <is>
          <t>cái</t>
        </is>
      </c>
      <c r="M322" s="10" t="n">
        <v>1</v>
      </c>
      <c r="N322" s="11" t="n"/>
      <c r="O322" s="11" t="n"/>
      <c r="P322" s="9" t="n"/>
    </row>
    <row r="323">
      <c r="A323" s="8" t="n"/>
      <c r="B323" s="9" t="inlineStr">
        <is>
          <t>Ty treo giá đỡ</t>
        </is>
      </c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inlineStr">
        <is>
          <t>trọn gói</t>
        </is>
      </c>
      <c r="M323" s="10" t="n">
        <v>1</v>
      </c>
      <c r="N323" s="11" t="n"/>
      <c r="O323" s="11" t="n"/>
      <c r="P323" s="9" t="n"/>
    </row>
    <row r="324">
      <c r="A324" s="8" t="n"/>
      <c r="B324" s="9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11" t="n"/>
      <c r="N324" s="11" t="n"/>
      <c r="O324" s="11" t="n"/>
      <c r="P324" s="9" t="n"/>
    </row>
    <row r="325">
      <c r="A325" s="6" t="n"/>
      <c r="B325" s="7" t="inlineStr">
        <is>
          <t>Miệng gió</t>
        </is>
      </c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8" t="n"/>
      <c r="B326" s="9" t="inlineStr">
        <is>
          <t>Miệng gió
 OAG+OBD 1500x1000</t>
        </is>
      </c>
      <c r="C326" s="8" t="inlineStr">
        <is>
          <t>SDG+O</t>
        </is>
      </c>
      <c r="D326" s="8" t="inlineStr">
        <is>
          <t>SWIND</t>
        </is>
      </c>
      <c r="E326" s="8" t="n">
        <v>1500</v>
      </c>
      <c r="F326" s="8" t="n">
        <v>1000</v>
      </c>
      <c r="G326" s="8" t="n">
        <v>1450</v>
      </c>
      <c r="H326" s="8" t="n">
        <v>950</v>
      </c>
      <c r="I326" s="8" t="n"/>
      <c r="J326" s="8" t="n"/>
      <c r="K326" s="8" t="n"/>
      <c r="L326" s="8" t="inlineStr">
        <is>
          <t>cái</t>
        </is>
      </c>
      <c r="M326" s="10" t="n">
        <v>4</v>
      </c>
      <c r="N326" s="10" t="n">
        <v>1894000</v>
      </c>
      <c r="O326" s="10">
        <f>ROUNDUP(N326*M326, -2)</f>
        <v/>
      </c>
      <c r="P326" s="9" t="inlineStr">
        <is>
          <t>Cửa nan bầu dục 1 lớp kèm van OBD</t>
        </is>
      </c>
    </row>
    <row r="327">
      <c r="A327" s="8" t="n"/>
      <c r="B327" s="9" t="inlineStr">
        <is>
          <t>Miệng gió OAL+IS 3000x1500</t>
        </is>
      </c>
      <c r="C327" s="8" t="inlineStr">
        <is>
          <t>WL+N</t>
        </is>
      </c>
      <c r="D327" s="8" t="inlineStr">
        <is>
          <t>SWIND</t>
        </is>
      </c>
      <c r="E327" s="8" t="n">
        <v>3000</v>
      </c>
      <c r="F327" s="8" t="n">
        <v>1500</v>
      </c>
      <c r="G327" s="8" t="n">
        <v>2950</v>
      </c>
      <c r="H327" s="8" t="n">
        <v>1450</v>
      </c>
      <c r="I327" s="8" t="n"/>
      <c r="J327" s="8" t="n"/>
      <c r="K327" s="8" t="n"/>
      <c r="L327" s="8" t="inlineStr">
        <is>
          <t>cái</t>
        </is>
      </c>
      <c r="M327" s="10" t="n">
        <v>3</v>
      </c>
      <c r="N327" s="10" t="n">
        <v>5897000</v>
      </c>
      <c r="O327" s="10">
        <f>ROUNDUP(N327*M327, -2)</f>
        <v/>
      </c>
      <c r="P327" s="9" t="inlineStr">
        <is>
          <t>Louver nan Z ngoài trời kèm lưới chắn côn trùng Inox 304</t>
        </is>
      </c>
    </row>
    <row r="328">
      <c r="A328" s="8" t="n"/>
      <c r="B328" s="9" t="inlineStr">
        <is>
          <t>Cửa cấp gió bù 1500x1000</t>
        </is>
      </c>
      <c r="C328" s="8" t="inlineStr">
        <is>
          <t>WL</t>
        </is>
      </c>
      <c r="D328" s="8" t="inlineStr">
        <is>
          <t>SWIND</t>
        </is>
      </c>
      <c r="E328" s="8" t="n">
        <v>1500</v>
      </c>
      <c r="F328" s="8" t="n">
        <v>1000</v>
      </c>
      <c r="G328" s="8" t="n">
        <v>1450</v>
      </c>
      <c r="H328" s="8" t="n">
        <v>950</v>
      </c>
      <c r="I328" s="8" t="n"/>
      <c r="J328" s="8" t="n"/>
      <c r="K328" s="8" t="n"/>
      <c r="L328" s="8" t="inlineStr">
        <is>
          <t>cái</t>
        </is>
      </c>
      <c r="M328" s="10" t="n">
        <v>99</v>
      </c>
      <c r="N328" s="10" t="n">
        <v>1821000</v>
      </c>
      <c r="O328" s="10">
        <f>ROUNDUP(N328*M328, -2)</f>
        <v/>
      </c>
      <c r="P328" s="9" t="inlineStr">
        <is>
          <t>Louver nan Z ngoài trời</t>
        </is>
      </c>
    </row>
    <row r="329">
      <c r="A329" s="8" t="n"/>
      <c r="B329" s="9" t="inlineStr">
        <is>
          <t>Cảm biến khói gắn ống gió</t>
        </is>
      </c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inlineStr">
        <is>
          <t>cái</t>
        </is>
      </c>
      <c r="M329" s="10" t="n">
        <v>3</v>
      </c>
      <c r="N329" s="11" t="n"/>
      <c r="O329" s="11" t="n"/>
      <c r="P329" s="9" t="n"/>
    </row>
    <row r="330">
      <c r="A330" s="8" t="n"/>
      <c r="B330" s="9" t="inlineStr">
        <is>
          <t>Ty treo giá đỡ</t>
        </is>
      </c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inlineStr">
        <is>
          <t>trọn gói</t>
        </is>
      </c>
      <c r="M330" s="10" t="n">
        <v>1</v>
      </c>
      <c r="N330" s="11" t="n"/>
      <c r="O330" s="11" t="n"/>
      <c r="P330" s="9" t="n"/>
    </row>
    <row r="331">
      <c r="A331" s="8" t="n"/>
      <c r="B331" s="9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11" t="n"/>
      <c r="N331" s="11" t="n"/>
      <c r="O331" s="11" t="n"/>
      <c r="P331" s="9" t="n"/>
    </row>
    <row r="332">
      <c r="A332" s="6" t="n"/>
      <c r="B332" s="7" t="inlineStr">
        <is>
          <t>III. HỆ THỐNG HÚT KHÓI</t>
        </is>
      </c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6" t="n"/>
      <c r="B333" s="7" t="inlineStr">
        <is>
          <t>Thiết bị</t>
        </is>
      </c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</row>
    <row r="334">
      <c r="A334" s="8" t="n"/>
      <c r="B334" s="9" t="inlineStr">
        <is>
          <t>Quạt hút khói_Hướng trục SEAF-2.01
37.650m3/h@350Pa
Motor chống cháy 300°C/2h</t>
        </is>
      </c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inlineStr">
        <is>
          <t>cái</t>
        </is>
      </c>
      <c r="M334" s="10" t="n">
        <v>1</v>
      </c>
      <c r="N334" s="11" t="n"/>
      <c r="O334" s="11" t="n"/>
      <c r="P334" s="9" t="n"/>
    </row>
    <row r="335">
      <c r="A335" s="8" t="n"/>
      <c r="B335" s="9" t="inlineStr">
        <is>
          <t>Quạt hút khói_Hướng trục SEAF-2.02
36.350m3/h@350Pa
Motor chống cháy 300°C/2h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inlineStr">
        <is>
          <t>cái</t>
        </is>
      </c>
      <c r="M335" s="10" t="n">
        <v>1</v>
      </c>
      <c r="N335" s="11" t="n"/>
      <c r="O335" s="11" t="n"/>
      <c r="P335" s="9" t="n"/>
    </row>
    <row r="336">
      <c r="A336" s="8" t="n"/>
      <c r="B336" s="9" t="inlineStr">
        <is>
          <t>Quạt hút khói_Hướng trục SEAF-2.03
42.450m3/h@350Pa
Motor chống cháy 300°C/2h</t>
        </is>
      </c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inlineStr">
        <is>
          <t>cái</t>
        </is>
      </c>
      <c r="M336" s="10" t="n">
        <v>1</v>
      </c>
      <c r="N336" s="11" t="n"/>
      <c r="O336" s="11" t="n"/>
      <c r="P336" s="9" t="n"/>
    </row>
    <row r="337">
      <c r="A337" s="8" t="n"/>
      <c r="B337" s="9" t="inlineStr">
        <is>
          <t>Quạt hút khói_Hướng trục SEAF-COR-01~09
22.900m3/h@500Pa
Motor chống cháy 300°C/2h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inlineStr">
        <is>
          <t>cái</t>
        </is>
      </c>
      <c r="M337" s="10" t="n">
        <v>9</v>
      </c>
      <c r="N337" s="11" t="n"/>
      <c r="O337" s="11" t="n"/>
      <c r="P337" s="9" t="n"/>
    </row>
    <row r="338">
      <c r="A338" s="8" t="n"/>
      <c r="B338" s="9" t="inlineStr">
        <is>
          <t>Quạt hút khói_Hướng trục GAF-B1
1550m3/h@300Pa
Motor chống cháy 300°C/2h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inlineStr">
        <is>
          <t>cái</t>
        </is>
      </c>
      <c r="M338" s="10" t="n">
        <v>1</v>
      </c>
      <c r="N338" s="11" t="n"/>
      <c r="O338" s="11" t="n"/>
      <c r="P338" s="9" t="n"/>
    </row>
    <row r="339">
      <c r="A339" s="8" t="n"/>
      <c r="B339" s="9" t="inlineStr">
        <is>
          <t>Quạt hút khói_Hướng trục GEAF-RF-01
2740m3/h@300Pa
Motor chống cháy 300°C/2h</t>
        </is>
      </c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inlineStr">
        <is>
          <t>cái</t>
        </is>
      </c>
      <c r="M339" s="10" t="n">
        <v>1</v>
      </c>
      <c r="N339" s="11" t="n"/>
      <c r="O339" s="11" t="n"/>
      <c r="P339" s="9" t="n"/>
    </row>
    <row r="340">
      <c r="A340" s="8" t="n"/>
      <c r="B340" s="9" t="inlineStr">
        <is>
          <t>Nối mềm chống cháy</t>
        </is>
      </c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inlineStr">
        <is>
          <t>bộ</t>
        </is>
      </c>
      <c r="M340" s="10" t="n">
        <v>14</v>
      </c>
      <c r="N340" s="11" t="n"/>
      <c r="O340" s="11" t="n"/>
      <c r="P340" s="9" t="n"/>
    </row>
    <row r="341">
      <c r="A341" s="8" t="n"/>
      <c r="B341" s="9" t="inlineStr">
        <is>
          <t>Hộp chống cháy loại 1 cho quạt</t>
        </is>
      </c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inlineStr">
        <is>
          <t>bộ</t>
        </is>
      </c>
      <c r="M341" s="10" t="n">
        <v>3</v>
      </c>
      <c r="N341" s="11" t="n"/>
      <c r="O341" s="11" t="n"/>
      <c r="P341" s="9" t="n"/>
    </row>
    <row r="342">
      <c r="A342" s="8" t="n"/>
      <c r="B342" s="9" t="inlineStr">
        <is>
          <t>Ty treo giá đỡ</t>
        </is>
      </c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inlineStr">
        <is>
          <t>trọn gói</t>
        </is>
      </c>
      <c r="M342" s="10" t="n">
        <v>1</v>
      </c>
      <c r="N342" s="11" t="n"/>
      <c r="O342" s="11" t="n"/>
      <c r="P342" s="9" t="n"/>
    </row>
    <row r="343">
      <c r="A343" s="8" t="n"/>
      <c r="B343" s="9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11" t="n"/>
      <c r="N343" s="11" t="n"/>
      <c r="O343" s="11" t="n"/>
      <c r="P343" s="9" t="n"/>
    </row>
    <row r="344">
      <c r="A344" s="6" t="n"/>
      <c r="B344" s="7" t="inlineStr">
        <is>
          <t>Ống gió
Air duct</t>
        </is>
      </c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</row>
    <row r="345">
      <c r="A345" s="6" t="n"/>
      <c r="B345" s="7" t="inlineStr">
        <is>
          <t>Ống gió không chống cháy</t>
        </is>
      </c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</row>
    <row r="346">
      <c r="A346" s="6" t="n"/>
      <c r="B346" s="7" t="inlineStr">
        <is>
          <t>Ống gió thẳng</t>
        </is>
      </c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</row>
    <row r="347">
      <c r="A347" s="8" t="n"/>
      <c r="B347" s="9" t="inlineStr">
        <is>
          <t>Ống gió không chống cháy 200x200</t>
        </is>
      </c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inlineStr">
        <is>
          <t>m</t>
        </is>
      </c>
      <c r="M347" s="10" t="n">
        <v>19</v>
      </c>
      <c r="N347" s="11" t="n"/>
      <c r="O347" s="11" t="n"/>
      <c r="P347" s="9" t="n"/>
    </row>
    <row r="348">
      <c r="A348" s="8" t="n"/>
      <c r="B348" s="9" t="inlineStr">
        <is>
          <t>Ống gió không chống cháy 600x300</t>
        </is>
      </c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inlineStr">
        <is>
          <t>m</t>
        </is>
      </c>
      <c r="M348" s="10" t="n">
        <v>162</v>
      </c>
      <c r="N348" s="11" t="n"/>
      <c r="O348" s="11" t="n"/>
      <c r="P348" s="9" t="n"/>
    </row>
    <row r="349">
      <c r="A349" s="8" t="n"/>
      <c r="B349" s="9" t="inlineStr">
        <is>
          <t>Ống gió không chống cháy 800x600</t>
        </is>
      </c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inlineStr">
        <is>
          <t>m</t>
        </is>
      </c>
      <c r="M349" s="10" t="n">
        <v>63</v>
      </c>
      <c r="N349" s="11" t="n"/>
      <c r="O349" s="11" t="n"/>
      <c r="P349" s="9" t="n"/>
    </row>
    <row r="350">
      <c r="A350" s="8" t="n"/>
      <c r="B350" s="9" t="inlineStr">
        <is>
          <t>Ống gió không chống cháy 1400x400</t>
        </is>
      </c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inlineStr">
        <is>
          <t>m</t>
        </is>
      </c>
      <c r="M350" s="10" t="n">
        <v>272</v>
      </c>
      <c r="N350" s="11" t="n"/>
      <c r="O350" s="11" t="n"/>
      <c r="P350" s="9" t="n"/>
    </row>
    <row r="351">
      <c r="A351" s="8" t="n"/>
      <c r="B351" s="9" t="inlineStr">
        <is>
          <t>Ống gió không chống cháy 1250x600</t>
        </is>
      </c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inlineStr">
        <is>
          <t>m</t>
        </is>
      </c>
      <c r="M351" s="10" t="n">
        <v>291</v>
      </c>
      <c r="N351" s="11" t="n"/>
      <c r="O351" s="11" t="n"/>
      <c r="P351" s="9" t="n"/>
    </row>
    <row r="352">
      <c r="A352" s="8" t="n"/>
      <c r="B352" s="9" t="inlineStr">
        <is>
          <t>Ống gió không chống cháy 1000x1000</t>
        </is>
      </c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inlineStr">
        <is>
          <t>m</t>
        </is>
      </c>
      <c r="M352" s="10" t="n">
        <v>12</v>
      </c>
      <c r="N352" s="11" t="n"/>
      <c r="O352" s="11" t="n"/>
      <c r="P352" s="9" t="n"/>
    </row>
    <row r="353">
      <c r="A353" s="6" t="n"/>
      <c r="B353" s="7" t="inlineStr">
        <is>
          <t>Co ngang ống gió</t>
        </is>
      </c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</row>
    <row r="354">
      <c r="A354" s="8" t="n"/>
      <c r="B354" s="9" t="inlineStr">
        <is>
          <t>Co ngang ống gió 1400x400-600R-45°</t>
        </is>
      </c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inlineStr">
        <is>
          <t>cái</t>
        </is>
      </c>
      <c r="M354" s="10" t="n">
        <v>2</v>
      </c>
      <c r="N354" s="11" t="n"/>
      <c r="O354" s="11" t="n"/>
      <c r="P354" s="9" t="n"/>
    </row>
    <row r="355">
      <c r="A355" s="8" t="n"/>
      <c r="B355" s="9" t="inlineStr">
        <is>
          <t>Co ngang ống gió 400x400-400R-90°</t>
        </is>
      </c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inlineStr">
        <is>
          <t>cái</t>
        </is>
      </c>
      <c r="M355" s="10" t="n">
        <v>1</v>
      </c>
      <c r="N355" s="11" t="n"/>
      <c r="O355" s="11" t="n"/>
      <c r="P355" s="9" t="n"/>
    </row>
    <row r="356">
      <c r="A356" s="8" t="n"/>
      <c r="B356" s="9" t="inlineStr">
        <is>
          <t>Co ngang ống gió 600x300-400R-90°</t>
        </is>
      </c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inlineStr">
        <is>
          <t>cái</t>
        </is>
      </c>
      <c r="M356" s="10" t="n">
        <v>1</v>
      </c>
      <c r="N356" s="11" t="n"/>
      <c r="O356" s="11" t="n"/>
      <c r="P356" s="9" t="n"/>
    </row>
    <row r="357">
      <c r="A357" s="8" t="n"/>
      <c r="B357" s="9" t="inlineStr">
        <is>
          <t>Co ngang ống gió 800x600-400R-90°</t>
        </is>
      </c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inlineStr">
        <is>
          <t>cái</t>
        </is>
      </c>
      <c r="M357" s="10" t="n">
        <v>5</v>
      </c>
      <c r="N357" s="11" t="n"/>
      <c r="O357" s="11" t="n"/>
      <c r="P357" s="9" t="n"/>
    </row>
    <row r="358">
      <c r="A358" s="8" t="n"/>
      <c r="B358" s="9" t="inlineStr">
        <is>
          <t>Ty treo giá đỡ</t>
        </is>
      </c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inlineStr">
        <is>
          <t>trọn gói</t>
        </is>
      </c>
      <c r="M358" s="10" t="n">
        <v>1</v>
      </c>
      <c r="N358" s="11" t="n"/>
      <c r="O358" s="11" t="n"/>
      <c r="P358" s="9" t="n"/>
    </row>
    <row r="359">
      <c r="A359" s="8" t="n"/>
      <c r="B359" s="9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11" t="n"/>
      <c r="N359" s="11" t="n"/>
      <c r="O359" s="11" t="n"/>
      <c r="P359" s="9" t="n"/>
    </row>
    <row r="360">
      <c r="A360" s="6" t="n"/>
      <c r="B360" s="7" t="inlineStr">
        <is>
          <t>Ống gió chống cháy EI45</t>
        </is>
      </c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6" t="n"/>
      <c r="B361" s="7" t="inlineStr">
        <is>
          <t>Ống gió thẳng</t>
        </is>
      </c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</row>
    <row r="362">
      <c r="A362" s="8" t="n"/>
      <c r="B362" s="9" t="inlineStr">
        <is>
          <t>Ống gió chống cháy EI45 3000x1500</t>
        </is>
      </c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inlineStr">
        <is>
          <t>m</t>
        </is>
      </c>
      <c r="M362" s="10" t="n">
        <v>4</v>
      </c>
      <c r="N362" s="11" t="n"/>
      <c r="O362" s="11" t="n"/>
      <c r="P362" s="9" t="n"/>
    </row>
    <row r="363">
      <c r="A363" s="8" t="n"/>
      <c r="B363" s="9" t="inlineStr">
        <is>
          <t>Ống gió chống cháy EI45 1500x600</t>
        </is>
      </c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inlineStr">
        <is>
          <t>m</t>
        </is>
      </c>
      <c r="M363" s="10" t="n">
        <v>36</v>
      </c>
      <c r="N363" s="11" t="n"/>
      <c r="O363" s="11" t="n"/>
      <c r="P363" s="9" t="n"/>
    </row>
    <row r="364">
      <c r="A364" s="8" t="n"/>
      <c r="B364" s="9" t="inlineStr">
        <is>
          <t>Ống gió chống cháy EI45 1500x450</t>
        </is>
      </c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inlineStr">
        <is>
          <t>m</t>
        </is>
      </c>
      <c r="M364" s="10" t="n">
        <v>11</v>
      </c>
      <c r="N364" s="11" t="n"/>
      <c r="O364" s="11" t="n"/>
      <c r="P364" s="9" t="n"/>
    </row>
    <row r="365">
      <c r="A365" s="8" t="n"/>
      <c r="B365" s="9" t="inlineStr">
        <is>
          <t>Ống gió chống cháy EI45 1000x350</t>
        </is>
      </c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inlineStr">
        <is>
          <t>m</t>
        </is>
      </c>
      <c r="M365" s="10" t="n">
        <v>5</v>
      </c>
      <c r="N365" s="11" t="n"/>
      <c r="O365" s="11" t="n"/>
      <c r="P365" s="9" t="n"/>
    </row>
    <row r="366">
      <c r="A366" s="8" t="n"/>
      <c r="B366" s="9" t="inlineStr">
        <is>
          <t>Ống gió chống cháy EI45 1000x450</t>
        </is>
      </c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inlineStr">
        <is>
          <t>m</t>
        </is>
      </c>
      <c r="M366" s="10" t="n">
        <v>20</v>
      </c>
      <c r="N366" s="11" t="n"/>
      <c r="O366" s="11" t="n"/>
      <c r="P366" s="9" t="n"/>
    </row>
    <row r="367">
      <c r="A367" s="8" t="n"/>
      <c r="B367" s="9" t="inlineStr">
        <is>
          <t>Ống gió chống cháy EI45 400x400</t>
        </is>
      </c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inlineStr">
        <is>
          <t>m</t>
        </is>
      </c>
      <c r="M367" s="10" t="n">
        <v>147</v>
      </c>
      <c r="N367" s="11" t="n"/>
      <c r="O367" s="11" t="n"/>
      <c r="P367" s="9" t="n"/>
    </row>
    <row r="368">
      <c r="A368" s="6" t="n"/>
      <c r="B368" s="7" t="inlineStr">
        <is>
          <t>Côn chuyển</t>
        </is>
      </c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</row>
    <row r="369">
      <c r="A369" s="8" t="n"/>
      <c r="B369" s="9" t="inlineStr">
        <is>
          <t>Côn chuyển 1500x450/ 1000x350-500L</t>
        </is>
      </c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inlineStr">
        <is>
          <t>cái</t>
        </is>
      </c>
      <c r="M369" s="10" t="n">
        <v>1</v>
      </c>
      <c r="N369" s="11" t="n"/>
      <c r="O369" s="11" t="n"/>
      <c r="P369" s="9" t="n"/>
    </row>
    <row r="370">
      <c r="A370" s="8" t="n"/>
      <c r="B370" s="9" t="inlineStr">
        <is>
          <t>Côn chuyển 1500x600/ 1000x450-500L</t>
        </is>
      </c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inlineStr">
        <is>
          <t>cái</t>
        </is>
      </c>
      <c r="M370" s="10" t="n">
        <v>2</v>
      </c>
      <c r="N370" s="11" t="n"/>
      <c r="O370" s="11" t="n"/>
      <c r="P370" s="9" t="n"/>
    </row>
    <row r="371">
      <c r="A371" s="6" t="n"/>
      <c r="B371" s="7" t="inlineStr">
        <is>
          <t>Co ngang ống gió</t>
        </is>
      </c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</row>
    <row r="372">
      <c r="A372" s="8" t="n"/>
      <c r="B372" s="9" t="inlineStr">
        <is>
          <t>Co ngang ống gió 1500x450-400R-90°</t>
        </is>
      </c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inlineStr">
        <is>
          <t>cái</t>
        </is>
      </c>
      <c r="M372" s="10" t="n">
        <v>1</v>
      </c>
      <c r="N372" s="11" t="n"/>
      <c r="O372" s="11" t="n"/>
      <c r="P372" s="9" t="n"/>
    </row>
    <row r="373">
      <c r="A373" s="8" t="n"/>
      <c r="B373" s="9" t="inlineStr">
        <is>
          <t>Co ngang ống gió 1500x600-400R-90°</t>
        </is>
      </c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inlineStr">
        <is>
          <t>cái</t>
        </is>
      </c>
      <c r="M373" s="10" t="n">
        <v>3</v>
      </c>
      <c r="N373" s="11" t="n"/>
      <c r="O373" s="11" t="n"/>
      <c r="P373" s="9" t="n"/>
    </row>
    <row r="374">
      <c r="A374" s="8" t="n"/>
      <c r="B374" s="9" t="inlineStr">
        <is>
          <t>Ty treo giá đỡ</t>
        </is>
      </c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inlineStr">
        <is>
          <t>trọn gói</t>
        </is>
      </c>
      <c r="M374" s="10" t="n">
        <v>1</v>
      </c>
      <c r="N374" s="11" t="n"/>
      <c r="O374" s="11" t="n"/>
      <c r="P374" s="9" t="n"/>
    </row>
    <row r="375">
      <c r="A375" s="8" t="n"/>
      <c r="B375" s="9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11" t="n"/>
      <c r="N375" s="11" t="n"/>
      <c r="O375" s="11" t="n"/>
      <c r="P375" s="9" t="n"/>
    </row>
    <row r="376">
      <c r="A376" s="6" t="n"/>
      <c r="B376" s="7" t="inlineStr">
        <is>
          <t>Ống gió chống cháy EI30</t>
        </is>
      </c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6" t="n"/>
      <c r="B377" s="7" t="inlineStr">
        <is>
          <t>Ống gió thẳng</t>
        </is>
      </c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</row>
    <row r="378">
      <c r="A378" s="8" t="n"/>
      <c r="B378" s="9" t="inlineStr">
        <is>
          <t>Ống gió chống cháy EI30 1000x350</t>
        </is>
      </c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inlineStr">
        <is>
          <t>m</t>
        </is>
      </c>
      <c r="M378" s="10" t="n">
        <v>1205</v>
      </c>
      <c r="N378" s="11" t="n"/>
      <c r="O378" s="11" t="n"/>
      <c r="P378" s="9" t="n"/>
    </row>
    <row r="379">
      <c r="A379" s="8" t="n"/>
      <c r="B379" s="9" t="inlineStr">
        <is>
          <t>Ống gió chống cháy EI30 800x250</t>
        </is>
      </c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inlineStr">
        <is>
          <t>m</t>
        </is>
      </c>
      <c r="M379" s="10" t="n">
        <v>1428</v>
      </c>
      <c r="N379" s="11" t="n"/>
      <c r="O379" s="11" t="n"/>
      <c r="P379" s="9" t="n"/>
    </row>
    <row r="380">
      <c r="A380" s="6" t="n"/>
      <c r="B380" s="7" t="inlineStr">
        <is>
          <t>Côn chuyển</t>
        </is>
      </c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</row>
    <row r="381">
      <c r="A381" s="8" t="n"/>
      <c r="B381" s="9" t="inlineStr">
        <is>
          <t>Côn chuyển 1000x350/ 800x250-500L</t>
        </is>
      </c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inlineStr">
        <is>
          <t>cái</t>
        </is>
      </c>
      <c r="M381" s="10" t="n">
        <v>99</v>
      </c>
      <c r="N381" s="11" t="n"/>
      <c r="O381" s="11" t="n"/>
      <c r="P381" s="9" t="n"/>
    </row>
    <row r="382">
      <c r="A382" s="6" t="n"/>
      <c r="B382" s="7" t="inlineStr">
        <is>
          <t>Co ngang ống gió</t>
        </is>
      </c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8" t="n"/>
      <c r="B383" s="9" t="inlineStr">
        <is>
          <t>Co ngang ống gió 1000x350-400R-90°</t>
        </is>
      </c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inlineStr">
        <is>
          <t>cái</t>
        </is>
      </c>
      <c r="M383" s="10" t="n">
        <v>99</v>
      </c>
      <c r="N383" s="11" t="n"/>
      <c r="O383" s="11" t="n"/>
      <c r="P383" s="9" t="n"/>
    </row>
    <row r="384">
      <c r="A384" s="8" t="n"/>
      <c r="B384" s="9" t="inlineStr">
        <is>
          <t>Ty treo giá đỡ</t>
        </is>
      </c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inlineStr">
        <is>
          <t>trọn gói</t>
        </is>
      </c>
      <c r="M384" s="10" t="n">
        <v>1</v>
      </c>
      <c r="N384" s="11" t="n"/>
      <c r="O384" s="11" t="n"/>
      <c r="P384" s="9" t="n"/>
    </row>
    <row r="385">
      <c r="A385" s="8" t="n"/>
      <c r="B385" s="9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11" t="n"/>
      <c r="N385" s="11" t="n"/>
      <c r="O385" s="11" t="n"/>
      <c r="P385" s="9" t="n"/>
    </row>
    <row r="386">
      <c r="A386" s="6" t="n"/>
      <c r="B386" s="7" t="inlineStr">
        <is>
          <t>Miệng gió</t>
        </is>
      </c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</row>
    <row r="387">
      <c r="A387" s="8" t="n"/>
      <c r="B387" s="9" t="inlineStr">
        <is>
          <t>Miệng gió
 EAG + OBD 200x200</t>
        </is>
      </c>
      <c r="C387" s="8" t="inlineStr">
        <is>
          <t>SDG+O</t>
        </is>
      </c>
      <c r="D387" s="8" t="inlineStr">
        <is>
          <t>SWIND</t>
        </is>
      </c>
      <c r="E387" s="8" t="n">
        <v>200</v>
      </c>
      <c r="F387" s="8" t="n">
        <v>200</v>
      </c>
      <c r="G387" s="8" t="n">
        <v>150</v>
      </c>
      <c r="H387" s="8" t="n">
        <v>150</v>
      </c>
      <c r="I387" s="8" t="n"/>
      <c r="J387" s="8" t="n"/>
      <c r="K387" s="8" t="n"/>
      <c r="L387" s="8" t="inlineStr">
        <is>
          <t>cái</t>
        </is>
      </c>
      <c r="M387" s="10" t="n">
        <v>35</v>
      </c>
      <c r="N387" s="10" t="n">
        <v>88000</v>
      </c>
      <c r="O387" s="10">
        <f>ROUNDUP(N387*M387, -2)</f>
        <v/>
      </c>
      <c r="P387" s="9" t="inlineStr">
        <is>
          <t>Cửa nan bầu dục 1 lớp kèm van OBD</t>
        </is>
      </c>
    </row>
    <row r="388">
      <c r="A388" s="8" t="n"/>
      <c r="B388" s="9" t="inlineStr">
        <is>
          <t>Miệng gió
 SEAG + OBD 950x950</t>
        </is>
      </c>
      <c r="C388" s="8" t="inlineStr">
        <is>
          <t>SDG+O</t>
        </is>
      </c>
      <c r="D388" s="8" t="inlineStr">
        <is>
          <t>SWIND</t>
        </is>
      </c>
      <c r="E388" s="8" t="n">
        <v>950</v>
      </c>
      <c r="F388" s="8" t="n">
        <v>950</v>
      </c>
      <c r="G388" s="8" t="n">
        <v>900</v>
      </c>
      <c r="H388" s="8" t="n">
        <v>900</v>
      </c>
      <c r="I388" s="8" t="n"/>
      <c r="J388" s="8" t="n"/>
      <c r="K388" s="8" t="n"/>
      <c r="L388" s="8" t="inlineStr">
        <is>
          <t>cái</t>
        </is>
      </c>
      <c r="M388" s="10" t="n">
        <v>12</v>
      </c>
      <c r="N388" s="10" t="n">
        <v>1176000</v>
      </c>
      <c r="O388" s="10">
        <f>ROUNDUP(N388*M388, -2)</f>
        <v/>
      </c>
      <c r="P388" s="9" t="inlineStr">
        <is>
          <t>Cửa nan bầu dục 1 lớp kèm van OBD</t>
        </is>
      </c>
    </row>
    <row r="389">
      <c r="A389" s="8" t="n"/>
      <c r="B389" s="9" t="inlineStr">
        <is>
          <t>Miệng gió
 SEAG + OBD 1000x550</t>
        </is>
      </c>
      <c r="C389" s="8" t="inlineStr">
        <is>
          <t>SDG+O</t>
        </is>
      </c>
      <c r="D389" s="8" t="inlineStr">
        <is>
          <t>SWIND</t>
        </is>
      </c>
      <c r="E389" s="8" t="n">
        <v>1000</v>
      </c>
      <c r="F389" s="8" t="n">
        <v>550</v>
      </c>
      <c r="G389" s="8" t="n">
        <v>950</v>
      </c>
      <c r="H389" s="8" t="n">
        <v>500</v>
      </c>
      <c r="I389" s="8" t="n"/>
      <c r="J389" s="8" t="n"/>
      <c r="K389" s="8" t="n"/>
      <c r="L389" s="8" t="inlineStr">
        <is>
          <t>cái</t>
        </is>
      </c>
      <c r="M389" s="10" t="n">
        <v>198</v>
      </c>
      <c r="N389" s="10" t="n">
        <v>761000</v>
      </c>
      <c r="O389" s="10">
        <f>ROUNDUP(N389*M389, -2)</f>
        <v/>
      </c>
      <c r="P389" s="9" t="inlineStr">
        <is>
          <t>Cửa nan bầu dục 1 lớp kèm van OBD</t>
        </is>
      </c>
    </row>
    <row r="390">
      <c r="A390" s="8" t="n"/>
      <c r="B390" s="9" t="inlineStr">
        <is>
          <t>Cửa gió nan thẳng 200x200</t>
        </is>
      </c>
      <c r="C390" s="8" t="inlineStr">
        <is>
          <t>SDG</t>
        </is>
      </c>
      <c r="D390" s="8" t="inlineStr">
        <is>
          <t>SWIND</t>
        </is>
      </c>
      <c r="E390" s="8" t="n">
        <v>200</v>
      </c>
      <c r="F390" s="8" t="n">
        <v>200</v>
      </c>
      <c r="G390" s="8" t="n">
        <v>150</v>
      </c>
      <c r="H390" s="8" t="n">
        <v>150</v>
      </c>
      <c r="I390" s="8" t="n"/>
      <c r="J390" s="8" t="n"/>
      <c r="K390" s="8" t="n"/>
      <c r="L390" s="8" t="inlineStr">
        <is>
          <t>cái</t>
        </is>
      </c>
      <c r="M390" s="10" t="n">
        <v>35</v>
      </c>
      <c r="N390" s="10" t="n">
        <v>48000</v>
      </c>
      <c r="O390" s="10">
        <f>ROUNDUP(N390*M390, -2)</f>
        <v/>
      </c>
      <c r="P390" s="9" t="inlineStr">
        <is>
          <t>Cửa nan bầu dục 1 lớp</t>
        </is>
      </c>
    </row>
    <row r="391">
      <c r="A391" s="8" t="n"/>
      <c r="B391" s="9" t="inlineStr">
        <is>
          <t>Van MFD 200x200</t>
        </is>
      </c>
      <c r="C391" s="8" t="inlineStr">
        <is>
          <t>SWIND-1.03-MFD-EI90</t>
        </is>
      </c>
      <c r="D391" s="8" t="inlineStr">
        <is>
          <t>SWIND</t>
        </is>
      </c>
      <c r="E391" s="8" t="n">
        <v>200</v>
      </c>
      <c r="F391" s="8" t="n">
        <v>200</v>
      </c>
      <c r="G391" s="8" t="n"/>
      <c r="H391" s="8" t="n"/>
      <c r="I391" s="8" t="n"/>
      <c r="J391" s="8" t="n">
        <v>200</v>
      </c>
      <c r="K391" s="12" t="n">
        <v>1.15</v>
      </c>
      <c r="L391" s="8" t="inlineStr">
        <is>
          <t>cái</t>
        </is>
      </c>
      <c r="M391" s="10" t="n">
        <v>35</v>
      </c>
      <c r="N391" s="10" t="n">
        <v>2635880</v>
      </c>
      <c r="O391" s="10">
        <f>ROUNDUP(N391*M391, -2)</f>
        <v/>
      </c>
      <c r="P391" s="9" t="inlineStr">
        <is>
          <t>- Van ngăn cháy động cơ - Tiêu chuẩn EI 90
- 2 đầu bích TDC - Gắn kèm động cơ ON-OFF 5Nm, Hãng KLB
- Sản xuất theo BCTN số 4651/VLXD-TBMT</t>
        </is>
      </c>
    </row>
    <row r="392">
      <c r="A392" s="8" t="n"/>
      <c r="B392" s="9" t="inlineStr">
        <is>
          <t>Cửa gió nan thẳng 1000x350</t>
        </is>
      </c>
      <c r="C392" s="8" t="inlineStr">
        <is>
          <t>SDG</t>
        </is>
      </c>
      <c r="D392" s="8" t="inlineStr">
        <is>
          <t>SWIND</t>
        </is>
      </c>
      <c r="E392" s="8" t="n">
        <v>1000</v>
      </c>
      <c r="F392" s="8" t="n">
        <v>350</v>
      </c>
      <c r="G392" s="8" t="n">
        <v>950</v>
      </c>
      <c r="H392" s="8" t="n">
        <v>300</v>
      </c>
      <c r="I392" s="8" t="n"/>
      <c r="J392" s="8" t="n"/>
      <c r="K392" s="8" t="n"/>
      <c r="L392" s="8" t="inlineStr">
        <is>
          <t>cái</t>
        </is>
      </c>
      <c r="M392" s="10" t="n">
        <v>99</v>
      </c>
      <c r="N392" s="10" t="n">
        <v>274000</v>
      </c>
      <c r="O392" s="10">
        <f>ROUNDUP(N392*M392, -2)</f>
        <v/>
      </c>
      <c r="P392" s="9" t="inlineStr">
        <is>
          <t>Cửa nan bầu dục 1 lớp</t>
        </is>
      </c>
    </row>
    <row r="393">
      <c r="A393" s="8" t="n"/>
      <c r="B393" s="9" t="inlineStr">
        <is>
          <t>Van MFD 1000x350 - EI30</t>
        </is>
      </c>
      <c r="C393" s="8" t="inlineStr">
        <is>
          <t>SWIND-1.03-MFD-EI90</t>
        </is>
      </c>
      <c r="D393" s="8" t="inlineStr">
        <is>
          <t>SWIND</t>
        </is>
      </c>
      <c r="E393" s="8" t="n">
        <v>1000</v>
      </c>
      <c r="F393" s="8" t="n">
        <v>350</v>
      </c>
      <c r="G393" s="8" t="n"/>
      <c r="H393" s="8" t="n"/>
      <c r="I393" s="8" t="n"/>
      <c r="J393" s="8" t="n">
        <v>200</v>
      </c>
      <c r="K393" s="12" t="n">
        <v>1.15</v>
      </c>
      <c r="L393" s="8" t="inlineStr">
        <is>
          <t>cái</t>
        </is>
      </c>
      <c r="M393" s="10" t="n">
        <v>99</v>
      </c>
      <c r="N393" s="10" t="n">
        <v>5142388</v>
      </c>
      <c r="O393" s="10">
        <f>ROUNDUP(N393*M393, -2)</f>
        <v/>
      </c>
      <c r="P393" s="9" t="inlineStr">
        <is>
          <t>- Van ngăn cháy động cơ - Tiêu chuẩn EI 90
- 2 đầu bích TDC - Gắn kèm động cơ ON-OFF 5Nm, Hãng KLB
- Sản xuất theo BCTN số 4651/VLXD-TBMT</t>
        </is>
      </c>
    </row>
    <row r="394">
      <c r="A394" s="8" t="n"/>
      <c r="B394" s="9" t="inlineStr">
        <is>
          <t>EAL+IS 3000x1500</t>
        </is>
      </c>
      <c r="C394" s="8" t="inlineStr">
        <is>
          <t>WL+N</t>
        </is>
      </c>
      <c r="D394" s="8" t="inlineStr">
        <is>
          <t>SWIND</t>
        </is>
      </c>
      <c r="E394" s="8" t="n">
        <v>3000</v>
      </c>
      <c r="F394" s="8" t="n">
        <v>1500</v>
      </c>
      <c r="G394" s="8" t="n">
        <v>2950</v>
      </c>
      <c r="H394" s="8" t="n">
        <v>1450</v>
      </c>
      <c r="I394" s="8" t="n"/>
      <c r="J394" s="8" t="n"/>
      <c r="K394" s="8" t="n"/>
      <c r="L394" s="8" t="inlineStr">
        <is>
          <t>cái</t>
        </is>
      </c>
      <c r="M394" s="10" t="n">
        <v>3</v>
      </c>
      <c r="N394" s="10" t="n">
        <v>5897000</v>
      </c>
      <c r="O394" s="10">
        <f>ROUNDUP(N394*M394, -2)</f>
        <v/>
      </c>
      <c r="P394" s="9" t="inlineStr">
        <is>
          <t>Louver nan Z ngoài trời kèm lưới chắn côn trùng Inox 304</t>
        </is>
      </c>
    </row>
    <row r="395">
      <c r="A395" s="8" t="n"/>
      <c r="B395" s="9" t="inlineStr">
        <is>
          <t>Lưới chắn côn trùng 1000x1000</t>
        </is>
      </c>
      <c r="C395" s="8" t="inlineStr">
        <is>
          <t>LCCT</t>
        </is>
      </c>
      <c r="D395" s="8" t="inlineStr">
        <is>
          <t>SWIND</t>
        </is>
      </c>
      <c r="E395" s="8" t="n">
        <v>1000</v>
      </c>
      <c r="F395" s="8" t="n">
        <v>1000</v>
      </c>
      <c r="G395" s="8" t="n"/>
      <c r="H395" s="8" t="n"/>
      <c r="I395" s="8" t="n"/>
      <c r="J395" s="8" t="n"/>
      <c r="K395" s="8" t="n"/>
      <c r="L395" s="8" t="inlineStr">
        <is>
          <t>cái</t>
        </is>
      </c>
      <c r="M395" s="10" t="n">
        <v>11</v>
      </c>
      <c r="N395" s="10" t="n">
        <v>200000</v>
      </c>
      <c r="O395" s="10">
        <f>ROUNDUP(N395*M395, -2)</f>
        <v/>
      </c>
      <c r="P395" s="9" t="inlineStr">
        <is>
          <t>Lưới chắn côn trùng</t>
        </is>
      </c>
    </row>
    <row r="396">
      <c r="A396" s="8" t="n"/>
      <c r="B396" s="9" t="inlineStr">
        <is>
          <t>Ty treo giá đỡ
Hanger &amp; Support</t>
        </is>
      </c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inlineStr">
        <is>
          <t>trọn gói</t>
        </is>
      </c>
      <c r="M396" s="10" t="n">
        <v>1</v>
      </c>
      <c r="N396" s="11" t="n"/>
      <c r="O396" s="11" t="n"/>
      <c r="P396" s="9" t="n"/>
    </row>
    <row r="397">
      <c r="A397" s="8" t="n"/>
      <c r="B397" s="9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11" t="n"/>
      <c r="N397" s="11" t="n"/>
      <c r="O397" s="11" t="n"/>
      <c r="P397" s="9" t="n"/>
    </row>
    <row r="398">
      <c r="A398" s="6" t="n"/>
      <c r="B398" s="7" t="inlineStr">
        <is>
          <t>HỆ THỐNG BÁO KHÍ CO</t>
        </is>
      </c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8" t="n"/>
      <c r="B399" s="9" t="inlineStr">
        <is>
          <t>Trung tâm báo khí CO 4 zone</t>
        </is>
      </c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inlineStr">
        <is>
          <t>bộ</t>
        </is>
      </c>
      <c r="M399" s="10" t="n">
        <v>1</v>
      </c>
      <c r="N399" s="11" t="n"/>
      <c r="O399" s="11" t="n"/>
      <c r="P399" s="9" t="n"/>
    </row>
    <row r="400">
      <c r="A400" s="8" t="n"/>
      <c r="B400" s="9" t="inlineStr">
        <is>
          <t>Đầu báo khí CO gắn tường, cột</t>
        </is>
      </c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inlineStr">
        <is>
          <t>bộ</t>
        </is>
      </c>
      <c r="M400" s="10" t="n">
        <v>43</v>
      </c>
      <c r="N400" s="11" t="n"/>
      <c r="O400" s="11" t="n"/>
      <c r="P400" s="9" t="n"/>
    </row>
    <row r="401">
      <c r="A401" s="8" t="n"/>
      <c r="B401" s="9" t="inlineStr">
        <is>
          <t>Chuông và đèn kết hợp báo nồng độ khí CO</t>
        </is>
      </c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inlineStr">
        <is>
          <t>bộ</t>
        </is>
      </c>
      <c r="M401" s="10" t="n">
        <v>43</v>
      </c>
      <c r="N401" s="11" t="n"/>
      <c r="O401" s="11" t="n"/>
      <c r="P401" s="9" t="n"/>
    </row>
    <row r="402">
      <c r="A402" s="8" t="n"/>
      <c r="B402" s="9" t="inlineStr">
        <is>
          <t>Cáp chống cháy chống nhiễu 2Cx1.5mm2</t>
        </is>
      </c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inlineStr">
        <is>
          <t>m</t>
        </is>
      </c>
      <c r="M402" s="10" t="n">
        <v>3864</v>
      </c>
      <c r="N402" s="11" t="n"/>
      <c r="O402" s="11" t="n"/>
      <c r="P402" s="9" t="n"/>
    </row>
    <row r="403">
      <c r="A403" s="8" t="n"/>
      <c r="B403" s="9" t="inlineStr">
        <is>
          <t>Cáp cấp nguồn chống cháy 2Cx2.5mm2</t>
        </is>
      </c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inlineStr">
        <is>
          <t>m</t>
        </is>
      </c>
      <c r="M403" s="10" t="n">
        <v>1626</v>
      </c>
      <c r="N403" s="11" t="n"/>
      <c r="O403" s="11" t="n"/>
      <c r="P403" s="9" t="n"/>
    </row>
    <row r="404">
      <c r="A404" s="8" t="n"/>
      <c r="B404" s="9" t="inlineStr">
        <is>
          <t>Ống điện PVC D20</t>
        </is>
      </c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inlineStr">
        <is>
          <t>Mét</t>
        </is>
      </c>
      <c r="M404" s="10" t="n">
        <v>5099</v>
      </c>
      <c r="N404" s="11" t="n"/>
      <c r="O404" s="11" t="n"/>
      <c r="P404" s="9" t="n"/>
    </row>
    <row r="405">
      <c r="A405" s="8" t="n"/>
      <c r="B405" s="9" t="inlineStr">
        <is>
          <t>Ống ruột gà D20</t>
        </is>
      </c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inlineStr">
        <is>
          <t>Mét</t>
        </is>
      </c>
      <c r="M405" s="10" t="n">
        <v>103</v>
      </c>
      <c r="N405" s="11" t="n"/>
      <c r="O405" s="11" t="n"/>
      <c r="P405" s="9" t="n"/>
    </row>
    <row r="406">
      <c r="A406" s="8" t="n"/>
      <c r="B406" s="9" t="inlineStr">
        <is>
          <t>Box điện 1,2,3,4, box trung gian</t>
        </is>
      </c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inlineStr">
        <is>
          <t>hộp</t>
        </is>
      </c>
      <c r="M406" s="10" t="n">
        <v>86</v>
      </c>
      <c r="N406" s="11" t="n"/>
      <c r="O406" s="11" t="n"/>
      <c r="P406" s="9" t="n"/>
    </row>
    <row r="407">
      <c r="A407" s="8" t="n"/>
      <c r="B407" s="9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11" t="n"/>
      <c r="N407" s="11" t="n"/>
      <c r="O407" s="11" t="n"/>
      <c r="P407" s="9" t="n"/>
    </row>
    <row r="408">
      <c r="A408" s="6" t="n"/>
      <c r="B408" s="7" t="inlineStr">
        <is>
          <t>Dây nguồn quạt, van chặn lữa</t>
        </is>
      </c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</row>
    <row r="409">
      <c r="A409" s="8" t="n"/>
      <c r="B409" s="9" t="inlineStr">
        <is>
          <t>Dây điện Cu/PVC 1.5mm²</t>
        </is>
      </c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inlineStr">
        <is>
          <t>m</t>
        </is>
      </c>
      <c r="M409" s="10" t="n">
        <v>2134</v>
      </c>
      <c r="N409" s="11" t="n"/>
      <c r="O409" s="11" t="n"/>
      <c r="P409" s="9" t="n"/>
    </row>
    <row r="410">
      <c r="A410" s="8" t="n"/>
      <c r="B410" s="9" t="inlineStr">
        <is>
          <t>Dây điện Cu/PVC 2.5mm²</t>
        </is>
      </c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inlineStr">
        <is>
          <t>m</t>
        </is>
      </c>
      <c r="M410" s="10" t="n">
        <v>89</v>
      </c>
      <c r="N410" s="11" t="n"/>
      <c r="O410" s="11" t="n"/>
      <c r="P410" s="9" t="n"/>
    </row>
    <row r="411">
      <c r="A411" s="8" t="n"/>
      <c r="B411" s="9" t="inlineStr">
        <is>
          <t>Dây điện Cu/PVC 4.0mm²</t>
        </is>
      </c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inlineStr">
        <is>
          <t>m</t>
        </is>
      </c>
      <c r="M411" s="10" t="n">
        <v>264</v>
      </c>
      <c r="N411" s="11" t="n"/>
      <c r="O411" s="11" t="n"/>
      <c r="P411" s="9" t="n"/>
    </row>
    <row r="412">
      <c r="A412" s="8" t="n"/>
      <c r="B412" s="9" t="inlineStr">
        <is>
          <t>Dây điện Cu/PVC 6.0mm²</t>
        </is>
      </c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inlineStr">
        <is>
          <t>m</t>
        </is>
      </c>
      <c r="M412" s="10" t="n">
        <v>1195</v>
      </c>
      <c r="N412" s="11" t="n"/>
      <c r="O412" s="11" t="n"/>
      <c r="P412" s="9" t="n"/>
    </row>
    <row r="413">
      <c r="A413" s="8" t="n"/>
      <c r="B413" s="9" t="inlineStr">
        <is>
          <t>Dây điện Cu/PVC 10.0mm²</t>
        </is>
      </c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inlineStr">
        <is>
          <t>m</t>
        </is>
      </c>
      <c r="M413" s="10" t="n">
        <v>78</v>
      </c>
      <c r="N413" s="11" t="n"/>
      <c r="O413" s="11" t="n"/>
      <c r="P413" s="9" t="n"/>
    </row>
    <row r="414">
      <c r="A414" s="8" t="n"/>
      <c r="B414" s="9" t="inlineStr">
        <is>
          <t>Cáp Cu/XLPE/FR 1Cx1.5mm²</t>
        </is>
      </c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inlineStr">
        <is>
          <t>m</t>
        </is>
      </c>
      <c r="M414" s="10" t="n">
        <v>4267</v>
      </c>
      <c r="N414" s="11" t="n"/>
      <c r="O414" s="11" t="n"/>
      <c r="P414" s="9" t="n"/>
    </row>
    <row r="415">
      <c r="A415" s="8" t="n"/>
      <c r="B415" s="9" t="inlineStr">
        <is>
          <t>Cáp Cu/XLPE/FR 1Cx2.5mm²</t>
        </is>
      </c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inlineStr">
        <is>
          <t>m</t>
        </is>
      </c>
      <c r="M415" s="10" t="n">
        <v>266</v>
      </c>
      <c r="N415" s="11" t="n"/>
      <c r="O415" s="11" t="n"/>
      <c r="P415" s="9" t="n"/>
    </row>
    <row r="416">
      <c r="A416" s="8" t="n"/>
      <c r="B416" s="9" t="inlineStr">
        <is>
          <t>Cáp Cu/XLPE/FR 1Cx4.0mm²</t>
        </is>
      </c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inlineStr">
        <is>
          <t>m</t>
        </is>
      </c>
      <c r="M416" s="10" t="n">
        <v>1080</v>
      </c>
      <c r="N416" s="11" t="n"/>
      <c r="O416" s="11" t="n"/>
      <c r="P416" s="9" t="n"/>
    </row>
    <row r="417">
      <c r="A417" s="8" t="n"/>
      <c r="B417" s="9" t="inlineStr">
        <is>
          <t>Cáp Cu/XLPE/FR 1Cx6.0mm²</t>
        </is>
      </c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inlineStr">
        <is>
          <t>m</t>
        </is>
      </c>
      <c r="M417" s="10" t="n">
        <v>7171</v>
      </c>
      <c r="N417" s="11" t="n"/>
      <c r="O417" s="11" t="n"/>
      <c r="P417" s="9" t="n"/>
    </row>
    <row r="418">
      <c r="A418" s="8" t="n"/>
      <c r="B418" s="9" t="inlineStr">
        <is>
          <t>Cáp Cu/XLPE/FR 1Cx10.0mm²</t>
        </is>
      </c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inlineStr">
        <is>
          <t>m</t>
        </is>
      </c>
      <c r="M418" s="10" t="n">
        <v>468</v>
      </c>
      <c r="N418" s="11" t="n"/>
      <c r="O418" s="11" t="n"/>
      <c r="P418" s="9" t="n"/>
    </row>
    <row r="419">
      <c r="A419" s="8" t="n"/>
      <c r="B419" s="9" t="inlineStr">
        <is>
          <t>Ống điên PVC D20</t>
        </is>
      </c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inlineStr">
        <is>
          <t>m</t>
        </is>
      </c>
      <c r="M419" s="10" t="n">
        <v>1666</v>
      </c>
      <c r="N419" s="11" t="n"/>
      <c r="O419" s="11" t="n"/>
      <c r="P419" s="9" t="n"/>
    </row>
    <row r="420">
      <c r="A420" s="8" t="n"/>
      <c r="B420" s="9" t="inlineStr">
        <is>
          <t>Ống điên PVC D32</t>
        </is>
      </c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inlineStr">
        <is>
          <t>m</t>
        </is>
      </c>
      <c r="M420" s="10" t="n">
        <v>2627</v>
      </c>
      <c r="N420" s="11" t="n"/>
      <c r="O420" s="11" t="n"/>
      <c r="P420" s="9" t="n"/>
    </row>
    <row r="421">
      <c r="A421" s="8" t="n"/>
      <c r="B421" s="9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11" t="n"/>
      <c r="N421" s="11" t="n"/>
      <c r="O421" s="11" t="n"/>
      <c r="P421" s="9" t="n"/>
    </row>
    <row r="422">
      <c r="A422" s="6" t="n"/>
      <c r="B422" s="7" t="inlineStr">
        <is>
          <t>Tủ điện quạt, van chặn lữa</t>
        </is>
      </c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</row>
    <row r="423">
      <c r="A423" s="8" t="n"/>
      <c r="B423" s="9" t="inlineStr">
        <is>
          <t>Tủ điện  MCC-F-B3.1</t>
        </is>
      </c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inlineStr">
        <is>
          <t>tủ</t>
        </is>
      </c>
      <c r="M423" s="10" t="n">
        <v>1</v>
      </c>
      <c r="N423" s="11" t="n"/>
      <c r="O423" s="11" t="n"/>
      <c r="P423" s="9" t="n"/>
    </row>
    <row r="424">
      <c r="A424" s="8" t="n"/>
      <c r="B424" s="9" t="inlineStr">
        <is>
          <t>Tủ điện  MCC-F-B3.2</t>
        </is>
      </c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inlineStr">
        <is>
          <t>Tủ</t>
        </is>
      </c>
      <c r="M424" s="10" t="n">
        <v>1</v>
      </c>
      <c r="N424" s="11" t="n"/>
      <c r="O424" s="11" t="n"/>
      <c r="P424" s="9" t="n"/>
    </row>
    <row r="425">
      <c r="A425" s="8" t="n"/>
      <c r="B425" s="9" t="inlineStr">
        <is>
          <t>Tủ điện  MCC-F-B3.3</t>
        </is>
      </c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inlineStr">
        <is>
          <t>Tủ</t>
        </is>
      </c>
      <c r="M425" s="10" t="n">
        <v>1</v>
      </c>
      <c r="N425" s="11" t="n"/>
      <c r="O425" s="11" t="n"/>
      <c r="P425" s="9" t="n"/>
    </row>
    <row r="426">
      <c r="A426" s="8" t="n"/>
      <c r="B426" s="9" t="inlineStr">
        <is>
          <t>Tủ điện  MCC-F-B3.4</t>
        </is>
      </c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inlineStr">
        <is>
          <t>Tủ</t>
        </is>
      </c>
      <c r="M426" s="10" t="n">
        <v>1</v>
      </c>
      <c r="N426" s="11" t="n"/>
      <c r="O426" s="11" t="n"/>
      <c r="P426" s="9" t="n"/>
    </row>
    <row r="427">
      <c r="A427" s="8" t="n"/>
      <c r="B427" s="9" t="inlineStr">
        <is>
          <t>Tủ điện  MCC-F-B3.5</t>
        </is>
      </c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inlineStr">
        <is>
          <t>Tủ</t>
        </is>
      </c>
      <c r="M427" s="10" t="n">
        <v>1</v>
      </c>
      <c r="N427" s="11" t="n"/>
      <c r="O427" s="11" t="n"/>
      <c r="P427" s="9" t="n"/>
    </row>
    <row r="428">
      <c r="A428" s="8" t="n"/>
      <c r="B428" s="9" t="inlineStr">
        <is>
          <t>Tủ điện  MCC-F-B3.6</t>
        </is>
      </c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inlineStr">
        <is>
          <t>Tủ</t>
        </is>
      </c>
      <c r="M428" s="10" t="n">
        <v>1</v>
      </c>
      <c r="N428" s="11" t="n"/>
      <c r="O428" s="11" t="n"/>
      <c r="P428" s="9" t="n"/>
    </row>
    <row r="429">
      <c r="A429" s="8" t="n"/>
      <c r="B429" s="9" t="inlineStr">
        <is>
          <t>Tủ điện  MCC-F-B2.1</t>
        </is>
      </c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inlineStr">
        <is>
          <t>Tủ</t>
        </is>
      </c>
      <c r="M429" s="10" t="n">
        <v>1</v>
      </c>
      <c r="N429" s="11" t="n"/>
      <c r="O429" s="11" t="n"/>
      <c r="P429" s="9" t="n"/>
    </row>
    <row r="430">
      <c r="A430" s="8" t="n"/>
      <c r="B430" s="9" t="inlineStr">
        <is>
          <t>Tủ điện  MCC-F-B2.2</t>
        </is>
      </c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inlineStr">
        <is>
          <t>Tủ</t>
        </is>
      </c>
      <c r="M430" s="10" t="n">
        <v>1</v>
      </c>
      <c r="N430" s="11" t="n"/>
      <c r="O430" s="11" t="n"/>
      <c r="P430" s="9" t="n"/>
    </row>
    <row r="431">
      <c r="A431" s="8" t="n"/>
      <c r="B431" s="9" t="inlineStr">
        <is>
          <t>Tủ điện  MCC-F-B2.3</t>
        </is>
      </c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inlineStr">
        <is>
          <t>Tủ</t>
        </is>
      </c>
      <c r="M431" s="10" t="n">
        <v>1</v>
      </c>
      <c r="N431" s="11" t="n"/>
      <c r="O431" s="11" t="n"/>
      <c r="P431" s="9" t="n"/>
    </row>
    <row r="432">
      <c r="A432" s="8" t="n"/>
      <c r="B432" s="9" t="inlineStr">
        <is>
          <t>Tủ điện  MCC-F-B2.4</t>
        </is>
      </c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inlineStr">
        <is>
          <t>Tủ</t>
        </is>
      </c>
      <c r="M432" s="10" t="n">
        <v>1</v>
      </c>
      <c r="N432" s="11" t="n"/>
      <c r="O432" s="11" t="n"/>
      <c r="P432" s="9" t="n"/>
    </row>
    <row r="433">
      <c r="A433" s="8" t="n"/>
      <c r="B433" s="9" t="inlineStr">
        <is>
          <t>Tủ điện  MCC-F-B2.5</t>
        </is>
      </c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inlineStr">
        <is>
          <t>Tủ</t>
        </is>
      </c>
      <c r="M433" s="10" t="n">
        <v>1</v>
      </c>
      <c r="N433" s="11" t="n"/>
      <c r="O433" s="11" t="n"/>
      <c r="P433" s="9" t="n"/>
    </row>
    <row r="434">
      <c r="A434" s="8" t="n"/>
      <c r="B434" s="9" t="inlineStr">
        <is>
          <t>Tủ điện  MCC-F-B2.6</t>
        </is>
      </c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inlineStr">
        <is>
          <t>Tủ</t>
        </is>
      </c>
      <c r="M434" s="10" t="n">
        <v>1</v>
      </c>
      <c r="N434" s="11" t="n"/>
      <c r="O434" s="11" t="n"/>
      <c r="P434" s="9" t="n"/>
    </row>
    <row r="435">
      <c r="A435" s="8" t="n"/>
      <c r="B435" s="9" t="inlineStr">
        <is>
          <t>Tủ điện  MCC-F-B1.1</t>
        </is>
      </c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inlineStr">
        <is>
          <t>Tủ</t>
        </is>
      </c>
      <c r="M435" s="10" t="n">
        <v>1</v>
      </c>
      <c r="N435" s="11" t="n"/>
      <c r="O435" s="11" t="n"/>
      <c r="P435" s="9" t="n"/>
    </row>
    <row r="436">
      <c r="A436" s="8" t="n"/>
      <c r="B436" s="9" t="inlineStr">
        <is>
          <t>Tủ điện  MCC-F-B1.2</t>
        </is>
      </c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inlineStr">
        <is>
          <t>Tủ</t>
        </is>
      </c>
      <c r="M436" s="10" t="n">
        <v>1</v>
      </c>
      <c r="N436" s="11" t="n"/>
      <c r="O436" s="11" t="n"/>
      <c r="P436" s="9" t="n"/>
    </row>
    <row r="437">
      <c r="A437" s="8" t="n"/>
      <c r="B437" s="9" t="inlineStr">
        <is>
          <t>Tủ điện  MCC-F-B1.3</t>
        </is>
      </c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inlineStr">
        <is>
          <t>Tủ</t>
        </is>
      </c>
      <c r="M437" s="10" t="n">
        <v>1</v>
      </c>
      <c r="N437" s="11" t="n"/>
      <c r="O437" s="11" t="n"/>
      <c r="P437" s="9" t="n"/>
    </row>
    <row r="438">
      <c r="A438" s="8" t="n"/>
      <c r="B438" s="9" t="inlineStr">
        <is>
          <t>Tủ điện  MCC-F-B1.4</t>
        </is>
      </c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inlineStr">
        <is>
          <t>Tủ</t>
        </is>
      </c>
      <c r="M438" s="10" t="n">
        <v>1</v>
      </c>
      <c r="N438" s="11" t="n"/>
      <c r="O438" s="11" t="n"/>
      <c r="P438" s="9" t="n"/>
    </row>
    <row r="439">
      <c r="A439" s="8" t="n"/>
      <c r="B439" s="9" t="inlineStr">
        <is>
          <t>Tủ điện  MCC-F-B1.5</t>
        </is>
      </c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inlineStr">
        <is>
          <t>Tủ</t>
        </is>
      </c>
      <c r="M439" s="10" t="n">
        <v>1</v>
      </c>
      <c r="N439" s="11" t="n"/>
      <c r="O439" s="11" t="n"/>
      <c r="P439" s="9" t="n"/>
    </row>
    <row r="440">
      <c r="A440" s="8" t="n"/>
      <c r="B440" s="9" t="inlineStr">
        <is>
          <t>Tủ điện  MCC-F-B1.6</t>
        </is>
      </c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inlineStr">
        <is>
          <t>Tủ</t>
        </is>
      </c>
      <c r="M440" s="10" t="n">
        <v>1</v>
      </c>
      <c r="N440" s="11" t="n"/>
      <c r="O440" s="11" t="n"/>
      <c r="P440" s="9" t="n"/>
    </row>
    <row r="441">
      <c r="A441" s="8" t="n"/>
      <c r="B441" s="9" t="inlineStr">
        <is>
          <t>Tủ điện  MCC-TF-1</t>
        </is>
      </c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inlineStr">
        <is>
          <t>Tủ</t>
        </is>
      </c>
      <c r="M441" s="10" t="n">
        <v>1</v>
      </c>
      <c r="N441" s="11" t="n"/>
      <c r="O441" s="11" t="n"/>
      <c r="P441" s="9" t="n"/>
    </row>
    <row r="442">
      <c r="A442" s="8" t="n"/>
      <c r="B442" s="9" t="inlineStr">
        <is>
          <t>MCC-TF-1</t>
        </is>
      </c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inlineStr">
        <is>
          <t>Tủ</t>
        </is>
      </c>
      <c r="M442" s="10" t="n">
        <v>1</v>
      </c>
      <c r="N442" s="11" t="n"/>
      <c r="O442" s="11" t="n"/>
      <c r="P442" s="9" t="n"/>
    </row>
    <row r="443">
      <c r="A443" s="8" t="n"/>
      <c r="B443" s="9" t="inlineStr">
        <is>
          <t>MCC-TF-2</t>
        </is>
      </c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inlineStr">
        <is>
          <t>Tủ</t>
        </is>
      </c>
      <c r="M443" s="10" t="n">
        <v>1</v>
      </c>
      <c r="N443" s="11" t="n"/>
      <c r="O443" s="11" t="n"/>
      <c r="P443" s="9" t="n"/>
    </row>
    <row r="444">
      <c r="A444" s="8" t="n"/>
      <c r="B444" s="9" t="inlineStr">
        <is>
          <t>MCC-MFD-4</t>
        </is>
      </c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inlineStr">
        <is>
          <t>Tủ</t>
        </is>
      </c>
      <c r="M444" s="10" t="n">
        <v>1</v>
      </c>
      <c r="N444" s="11" t="n"/>
      <c r="O444" s="11" t="n"/>
      <c r="P444" s="9" t="n"/>
    </row>
    <row r="445">
      <c r="A445" s="8" t="n"/>
      <c r="B445" s="9" t="inlineStr">
        <is>
          <t>TỦ ĐIỆN MCC-MFD-1-3,5-7</t>
        </is>
      </c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inlineStr">
        <is>
          <t>Bộ</t>
        </is>
      </c>
      <c r="M445" s="10" t="n">
        <v>6</v>
      </c>
      <c r="N445" s="11" t="n"/>
      <c r="O445" s="11" t="n"/>
      <c r="P445" s="9" t="n"/>
    </row>
    <row r="446">
      <c r="A446" s="8" t="n"/>
      <c r="B446" s="9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11" t="n"/>
      <c r="N446" s="11" t="n"/>
      <c r="O446" s="11" t="n"/>
      <c r="P446" s="9" t="n"/>
    </row>
    <row r="447">
      <c r="A447" s="6" t="n"/>
      <c r="B447" s="7" t="inlineStr">
        <is>
          <t>CHI PHÍ KHÁC</t>
        </is>
      </c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</row>
    <row r="448">
      <c r="A448" s="8" t="n"/>
      <c r="B448" s="9" t="inlineStr">
        <is>
          <t>Chi phí thí nghiệm thiết bị PCCC</t>
        </is>
      </c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inlineStr">
        <is>
          <t>Lô</t>
        </is>
      </c>
      <c r="M448" s="10" t="n">
        <v>1</v>
      </c>
      <c r="N448" s="11" t="n"/>
      <c r="O448" s="11" t="n"/>
      <c r="P448" s="9" t="n"/>
    </row>
    <row r="449">
      <c r="A449" s="8" t="n"/>
      <c r="B449" s="9" t="inlineStr">
        <is>
          <t>Chi phí Fill chống cháy lan: Rock wool, foam, silicon chống cháy…</t>
        </is>
      </c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inlineStr">
        <is>
          <t>Lô</t>
        </is>
      </c>
      <c r="M449" s="10" t="n">
        <v>1</v>
      </c>
      <c r="N449" s="11" t="n"/>
      <c r="O449" s="11" t="n"/>
      <c r="P449" s="9" t="n"/>
    </row>
    <row r="450">
      <c r="A450" s="8" t="n"/>
      <c r="B450" s="9" t="inlineStr">
        <is>
          <t>Chi phí T&amp;C hệ thống</t>
        </is>
      </c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inlineStr">
        <is>
          <t>Lô</t>
        </is>
      </c>
      <c r="M450" s="10" t="n">
        <v>1</v>
      </c>
      <c r="N450" s="11" t="n"/>
      <c r="O450" s="11" t="n"/>
      <c r="P450" s="9" t="n"/>
    </row>
    <row r="451"/>
    <row r="452">
      <c r="B452" s="13" t="inlineStr">
        <is>
          <t>TỔNG CỘNG (CHƯA BAO GỒM VAT):</t>
        </is>
      </c>
      <c r="O452" s="14">
        <f>SUBTOTAL(9,O14:O450)</f>
        <v/>
      </c>
    </row>
    <row r="453">
      <c r="B453" s="13" t="inlineStr">
        <is>
          <t>THUẾ GTGT (VAT 8%):</t>
        </is>
      </c>
      <c r="O453" s="14">
        <f>ROUND(O452*0.08, 0)</f>
        <v/>
      </c>
    </row>
    <row r="454">
      <c r="B454" s="13" t="inlineStr">
        <is>
          <t>TỔNG CỘNG THANH TOÁN (ĐÃ GỒM VAT 8%):</t>
        </is>
      </c>
      <c r="O454" s="14">
        <f>O452+O453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2026-10-19T04:37:22Z</dcterms:created>
  <dcterms:modified xsi:type="dcterms:W3CDTF">2026-10-19T04:37:24Z</dcterms:modified>
  <cp:lastModifiedBy>Swind Multi-Agent AI</cp:lastModifiedBy>
</cp:coreProperties>
</file>
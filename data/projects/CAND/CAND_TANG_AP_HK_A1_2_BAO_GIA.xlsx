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484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2" t="n"/>
      <c r="G11" s="22" t="n"/>
      <c r="H11" s="23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4" t="n"/>
      <c r="B12" s="24" t="n"/>
      <c r="C12" s="24" t="n"/>
      <c r="D12" s="24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4" t="n"/>
      <c r="J12" s="24" t="n"/>
      <c r="K12" s="24" t="n"/>
      <c r="L12" s="24" t="n"/>
      <c r="M12" s="24" t="n"/>
      <c r="N12" s="24" t="n"/>
      <c r="O12" s="24" t="n"/>
      <c r="P12" s="24" t="n"/>
    </row>
    <row r="13" ht="20" customHeight="1">
      <c r="A13" s="25" t="n"/>
      <c r="B13" s="25" t="n"/>
      <c r="C13" s="25" t="n"/>
      <c r="D13" s="25" t="n"/>
      <c r="E13" s="5" t="inlineStr">
        <is>
          <t>Face size</t>
        </is>
      </c>
      <c r="F13" s="23" t="n"/>
      <c r="G13" s="5" t="inlineStr">
        <is>
          <t>Neck size</t>
        </is>
      </c>
      <c r="H13" s="23" t="n"/>
      <c r="I13" s="25" t="n"/>
      <c r="J13" s="25" t="n"/>
      <c r="K13" s="25" t="n"/>
      <c r="L13" s="25" t="n"/>
      <c r="M13" s="25" t="n"/>
      <c r="N13" s="25" t="n"/>
      <c r="O13" s="25" t="n"/>
      <c r="P13" s="25" t="n"/>
    </row>
    <row r="14">
      <c r="A14" s="6" t="n"/>
      <c r="B14" s="7" t="inlineStr">
        <is>
          <t>Hạng mục: HỆ THỐNG ĐIỀU ÁP VÀ HÚT KHÓI - KHỐI A1+A2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</row>
    <row r="15">
      <c r="A15" s="6" t="n"/>
      <c r="B15" s="7" t="inlineStr">
        <is>
          <t>A. HỆ THỐNG TĂNG ÁP THANG BỘ VÀ SẢNH THANG MÁY HẦM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>
      <c r="A16" s="6" t="n"/>
      <c r="B16" s="7" t="inlineStr">
        <is>
          <t>Thiết bị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</row>
    <row r="17">
      <c r="A17" s="6" t="n"/>
      <c r="B17" s="7" t="inlineStr">
        <is>
          <t>Quạt tạo áp, động cơ cấp "H" chịu nhiệt độ tối đa 300°C trong 2h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</row>
    <row r="18">
      <c r="A18" s="8" t="n"/>
      <c r="B18" s="9" t="inlineStr">
        <is>
          <t>Quạt tạo áp: PAF-B2.01
- Hướng trục, nối ống gió.
- Lưu lượng: 2600L/s@350Pa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cái</t>
        </is>
      </c>
      <c r="M18" s="10" t="n">
        <v>1</v>
      </c>
      <c r="N18" s="11" t="n"/>
      <c r="O18" s="11" t="n"/>
      <c r="P18" s="9" t="n"/>
    </row>
    <row r="19">
      <c r="A19" s="8" t="n"/>
      <c r="B19" s="9" t="inlineStr">
        <is>
          <t>Quạt tạo áp: PAF-B1.01
- Hướng trục, nối ống gió.
- Lưu lượng: 3400L/s@300Pa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inlineStr">
        <is>
          <t>cái</t>
        </is>
      </c>
      <c r="M19" s="10" t="n">
        <v>1</v>
      </c>
      <c r="N19" s="11" t="n"/>
      <c r="O19" s="11" t="n"/>
      <c r="P19" s="9" t="n"/>
    </row>
    <row r="20">
      <c r="A20" s="8" t="n"/>
      <c r="B20" s="9" t="inlineStr">
        <is>
          <t>Quạt tạo áp: PAF-B1.02
- Hướng trục, nối ống gió.
- Lưu lượng: 4300L/s@300Pa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inlineStr">
        <is>
          <t>Cái</t>
        </is>
      </c>
      <c r="M20" s="10" t="n">
        <v>1</v>
      </c>
      <c r="N20" s="11" t="n"/>
      <c r="O20" s="11" t="n"/>
      <c r="P20" s="9" t="n"/>
    </row>
    <row r="21">
      <c r="A21" s="8" t="n"/>
      <c r="B21" s="9" t="inlineStr">
        <is>
          <t>Quạt tạo áp: PAF-B1.03
- Hướng trục, nối ống gió.
- Lưu lượng: 3400L/s@300Pa</t>
        </is>
      </c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Cái</t>
        </is>
      </c>
      <c r="M21" s="10" t="n">
        <v>1</v>
      </c>
      <c r="N21" s="11" t="n"/>
      <c r="O21" s="11" t="n"/>
      <c r="P21" s="9" t="n"/>
    </row>
    <row r="22">
      <c r="A22" s="8" t="n"/>
      <c r="B22" s="9" t="inlineStr">
        <is>
          <t>Quạt tạo áp: PAF-B1.04
- Hướng trục, nối ống gió.
- Lưu lượng: 3400L/s@300Pa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inlineStr">
        <is>
          <t>Cái</t>
        </is>
      </c>
      <c r="M22" s="10" t="n">
        <v>1</v>
      </c>
      <c r="N22" s="11" t="n"/>
      <c r="O22" s="11" t="n"/>
      <c r="P22" s="9" t="n"/>
    </row>
    <row r="23">
      <c r="A23" s="8" t="n"/>
      <c r="B23" s="9" t="inlineStr">
        <is>
          <t>Quạt tạo áp: PAF-A1-1F.01
- Hướng trục, nối ống gió.
- Lưu lượng: 3200L/s@300Pa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Cái</t>
        </is>
      </c>
      <c r="M23" s="10" t="n">
        <v>1</v>
      </c>
      <c r="N23" s="11" t="n"/>
      <c r="O23" s="11" t="n"/>
      <c r="P23" s="9" t="n"/>
    </row>
    <row r="24">
      <c r="A24" s="8" t="n"/>
      <c r="B24" s="9" t="inlineStr">
        <is>
          <t>Quạt tạo áp: PAF-A1-1F.02
- Hướng trục, nối ống gió.
- Lưu lượng: 4150L/s@300Pa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inlineStr">
        <is>
          <t>Cái</t>
        </is>
      </c>
      <c r="M24" s="10" t="n">
        <v>1</v>
      </c>
      <c r="N24" s="11" t="n"/>
      <c r="O24" s="11" t="n"/>
      <c r="P24" s="9" t="n"/>
    </row>
    <row r="25">
      <c r="A25" s="8" t="n"/>
      <c r="B25" s="9" t="inlineStr">
        <is>
          <t>Quạt tạo áp: PAF-A1-1F.03
- Hướng trục, nối ống gió.
- Lưu lượng: 1050L/s@300Pa</t>
        </is>
      </c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inlineStr">
        <is>
          <t>Cái</t>
        </is>
      </c>
      <c r="M25" s="10" t="n">
        <v>1</v>
      </c>
      <c r="N25" s="11" t="n"/>
      <c r="O25" s="11" t="n"/>
      <c r="P25" s="9" t="n"/>
    </row>
    <row r="26">
      <c r="A26" s="8" t="n"/>
      <c r="B26" s="9" t="inlineStr">
        <is>
          <t>Quạt tạo áp: PAF-A2-1F.01
- Hướng trục, nối ống gió.
- Lưu lượng: 4300L/s@300Pa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inlineStr">
        <is>
          <t>Cái</t>
        </is>
      </c>
      <c r="M26" s="10" t="n">
        <v>1</v>
      </c>
      <c r="N26" s="11" t="n"/>
      <c r="O26" s="11" t="n"/>
      <c r="P26" s="9" t="n"/>
    </row>
    <row r="27">
      <c r="A27" s="8" t="n"/>
      <c r="B27" s="9" t="inlineStr">
        <is>
          <t>Quạt tạo áp: PAF-A2-1F.02
- Hướng trục, nối ống gió.
- Lưu lượng: 5100L/s@300Pa</t>
        </is>
      </c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inlineStr">
        <is>
          <t>Cái</t>
        </is>
      </c>
      <c r="M27" s="10" t="n">
        <v>1</v>
      </c>
      <c r="N27" s="11" t="n"/>
      <c r="O27" s="11" t="n"/>
      <c r="P27" s="9" t="n"/>
    </row>
    <row r="28">
      <c r="A28" s="8" t="n"/>
      <c r="B28" s="9" t="inlineStr">
        <is>
          <t>Quạt tạo áp: PAF-A2-1F.03
- Hướng trục, nối ống gió.
- Lưu lượng: 3400L/s@300Pa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inlineStr">
        <is>
          <t>Cái</t>
        </is>
      </c>
      <c r="M28" s="10" t="n">
        <v>1</v>
      </c>
      <c r="N28" s="11" t="n"/>
      <c r="O28" s="11" t="n"/>
      <c r="P28" s="9" t="n"/>
    </row>
    <row r="29">
      <c r="A29" s="8" t="n"/>
      <c r="B29" s="9" t="inlineStr">
        <is>
          <t>Quạt tạo áp: PAF-A2-1F.04
- Hướng trục, nối ống gió.
- Lưu lượng: 1050L/s@300Pa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inlineStr">
        <is>
          <t>Cái</t>
        </is>
      </c>
      <c r="M29" s="10" t="n">
        <v>1</v>
      </c>
      <c r="N29" s="11" t="n"/>
      <c r="O29" s="11" t="n"/>
      <c r="P29" s="9" t="n"/>
    </row>
    <row r="30">
      <c r="A30" s="8" t="n"/>
      <c r="B30" s="9" t="inlineStr">
        <is>
          <t>Lò xo chống rung cho quạt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inlineStr">
        <is>
          <t>Cái</t>
        </is>
      </c>
      <c r="M30" s="10" t="n">
        <v>48</v>
      </c>
      <c r="N30" s="11" t="n"/>
      <c r="O30" s="11" t="n"/>
      <c r="P30" s="9" t="n"/>
    </row>
    <row r="31">
      <c r="A31" s="8" t="n"/>
      <c r="B31" s="9" t="inlineStr">
        <is>
          <t>Vật tư phụ lắp đặt thiết bị (simili chống cháy, U...)</t>
        </is>
      </c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inlineStr">
        <is>
          <t>Lô</t>
        </is>
      </c>
      <c r="M31" s="10" t="n">
        <v>1</v>
      </c>
      <c r="N31" s="11" t="n"/>
      <c r="O31" s="11" t="n"/>
      <c r="P31" s="9" t="n"/>
    </row>
    <row r="32">
      <c r="A32" s="6" t="n"/>
      <c r="B32" s="7" t="inlineStr">
        <is>
          <t>II. Vật tư đường ống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</row>
    <row r="33">
      <c r="A33" s="8" t="n"/>
      <c r="B33" s="9" t="inlineStr">
        <is>
          <t>Bộ cảm biến khói, loại gắn trên ống gió</t>
        </is>
      </c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inlineStr">
        <is>
          <t>cái</t>
        </is>
      </c>
      <c r="M33" s="10" t="n">
        <v>7</v>
      </c>
      <c r="N33" s="11" t="n"/>
      <c r="O33" s="11" t="n"/>
      <c r="P33" s="9" t="n"/>
    </row>
    <row r="34">
      <c r="A34" s="8" t="n"/>
      <c r="B34" s="9" t="inlineStr">
        <is>
          <t>Van một chiều NRD 500x500</t>
        </is>
      </c>
      <c r="C34" s="8" t="inlineStr">
        <is>
          <t>NRD</t>
        </is>
      </c>
      <c r="D34" s="8" t="inlineStr">
        <is>
          <t>SWIND</t>
        </is>
      </c>
      <c r="E34" s="8" t="n">
        <v>500</v>
      </c>
      <c r="F34" s="8" t="n">
        <v>500</v>
      </c>
      <c r="G34" s="8" t="n"/>
      <c r="H34" s="8" t="n"/>
      <c r="I34" s="8" t="n"/>
      <c r="J34" s="8" t="n">
        <v>200</v>
      </c>
      <c r="K34" s="12" t="n">
        <v>0.95</v>
      </c>
      <c r="L34" s="8" t="inlineStr">
        <is>
          <t>cái</t>
        </is>
      </c>
      <c r="M34" s="10" t="n">
        <v>2</v>
      </c>
      <c r="N34" s="10" t="n">
        <v>435000</v>
      </c>
      <c r="O34" s="10">
        <f>ROUNDUP(N34*M34, -2)</f>
        <v/>
      </c>
      <c r="P34" s="9" t="inlineStr">
        <is>
          <t>Van 1 chiều tôn mạ kẽm</t>
        </is>
      </c>
    </row>
    <row r="35">
      <c r="A35" s="8" t="n"/>
      <c r="B35" s="9" t="inlineStr">
        <is>
          <t>Van một chiều NRD 600x500</t>
        </is>
      </c>
      <c r="C35" s="8" t="inlineStr">
        <is>
          <t>NRD</t>
        </is>
      </c>
      <c r="D35" s="8" t="inlineStr">
        <is>
          <t>SWIND</t>
        </is>
      </c>
      <c r="E35" s="8" t="n">
        <v>600</v>
      </c>
      <c r="F35" s="8" t="n">
        <v>500</v>
      </c>
      <c r="G35" s="8" t="n"/>
      <c r="H35" s="8" t="n"/>
      <c r="I35" s="8" t="n"/>
      <c r="J35" s="8" t="n">
        <v>200</v>
      </c>
      <c r="K35" s="12" t="n">
        <v>0.95</v>
      </c>
      <c r="L35" s="8" t="inlineStr">
        <is>
          <t>cái</t>
        </is>
      </c>
      <c r="M35" s="10" t="n">
        <v>1</v>
      </c>
      <c r="N35" s="10" t="n">
        <v>469000</v>
      </c>
      <c r="O35" s="10">
        <f>ROUNDUP(N35*M35, -2)</f>
        <v/>
      </c>
      <c r="P35" s="9" t="inlineStr">
        <is>
          <t>Van 1 chiều tôn mạ kẽm</t>
        </is>
      </c>
    </row>
    <row r="36">
      <c r="A36" s="8" t="n"/>
      <c r="B36" s="9" t="inlineStr">
        <is>
          <t>Van một chiều NRD 900x300</t>
        </is>
      </c>
      <c r="C36" s="8" t="inlineStr">
        <is>
          <t>NRD</t>
        </is>
      </c>
      <c r="D36" s="8" t="inlineStr">
        <is>
          <t>SWIND</t>
        </is>
      </c>
      <c r="E36" s="8" t="n">
        <v>900</v>
      </c>
      <c r="F36" s="8" t="n">
        <v>300</v>
      </c>
      <c r="G36" s="8" t="n"/>
      <c r="H36" s="8" t="n"/>
      <c r="I36" s="8" t="n"/>
      <c r="J36" s="8" t="n">
        <v>200</v>
      </c>
      <c r="K36" s="12" t="n">
        <v>0.75</v>
      </c>
      <c r="L36" s="8" t="inlineStr">
        <is>
          <t>cái</t>
        </is>
      </c>
      <c r="M36" s="10" t="n">
        <v>1</v>
      </c>
      <c r="N36" s="10" t="n">
        <v>381000</v>
      </c>
      <c r="O36" s="10">
        <f>ROUNDUP(N36*M36, -2)</f>
        <v/>
      </c>
      <c r="P36" s="9" t="inlineStr">
        <is>
          <t>Van 1 chiều tôn mạ kẽm</t>
        </is>
      </c>
    </row>
    <row r="37">
      <c r="A37" s="8" t="n"/>
      <c r="B37" s="9" t="inlineStr">
        <is>
          <t>Van xả áp PRD 1100x400</t>
        </is>
      </c>
      <c r="C37" s="8" t="inlineStr">
        <is>
          <t>PRD</t>
        </is>
      </c>
      <c r="D37" s="8" t="inlineStr">
        <is>
          <t>SWIND</t>
        </is>
      </c>
      <c r="E37" s="8" t="n">
        <v>1100</v>
      </c>
      <c r="F37" s="8" t="n">
        <v>400</v>
      </c>
      <c r="G37" s="8" t="n"/>
      <c r="H37" s="8" t="n"/>
      <c r="I37" s="8" t="n"/>
      <c r="J37" s="8" t="n">
        <v>200</v>
      </c>
      <c r="K37" s="12" t="n">
        <v>1.15</v>
      </c>
      <c r="L37" s="8" t="inlineStr">
        <is>
          <t>cái</t>
        </is>
      </c>
      <c r="M37" s="10" t="n">
        <v>8</v>
      </c>
      <c r="N37" s="10" t="n">
        <v>1127000</v>
      </c>
      <c r="O37" s="10">
        <f>ROUNDUP(N37*M37, -2)</f>
        <v/>
      </c>
      <c r="P37" s="9" t="inlineStr">
        <is>
          <t>Van xả áp đối trọng tôn mạ kẽm</t>
        </is>
      </c>
    </row>
    <row r="38">
      <c r="A38" s="6" t="n"/>
      <c r="B38" s="7" t="inlineStr">
        <is>
          <t>Van chặn lửa MFD, EI60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</row>
    <row r="39">
      <c r="A39" s="8" t="n"/>
      <c r="B39" s="9" t="inlineStr">
        <is>
          <t>Van chặn lửa MFD, EI60 MFD 400x250</t>
        </is>
      </c>
      <c r="C39" s="8" t="inlineStr">
        <is>
          <t>SWIND-1.03-MFD-EI90</t>
        </is>
      </c>
      <c r="D39" s="8" t="inlineStr">
        <is>
          <t>SWIND</t>
        </is>
      </c>
      <c r="E39" s="8" t="n">
        <v>400</v>
      </c>
      <c r="F39" s="8" t="n">
        <v>250</v>
      </c>
      <c r="G39" s="8" t="n"/>
      <c r="H39" s="8" t="n"/>
      <c r="I39" s="8" t="n"/>
      <c r="J39" s="8" t="n">
        <v>200</v>
      </c>
      <c r="K39" s="12" t="n">
        <v>1.15</v>
      </c>
      <c r="L39" s="8" t="inlineStr">
        <is>
          <t>cửa</t>
        </is>
      </c>
      <c r="M39" s="10" t="n">
        <v>3</v>
      </c>
      <c r="N39" s="10" t="n">
        <v>3209075</v>
      </c>
      <c r="O39" s="10">
        <f>ROUNDUP(N39*M39, -2)</f>
        <v/>
      </c>
      <c r="P39" s="9" t="inlineStr">
        <is>
          <t>- Van ngăn cháy động cơ - Tiêu chuẩn EI 90
- 2 đầu bích TDC - Gắn kèm động cơ ON-OFF 5Nm, Hãng KLB
- Sản xuất theo BCTN số 4651/VLXD-TBMT</t>
        </is>
      </c>
    </row>
    <row r="40">
      <c r="A40" s="8" t="n"/>
      <c r="B40" s="9" t="inlineStr">
        <is>
          <t>Van chặn lửa MFD, EI60 MFD 500x500</t>
        </is>
      </c>
      <c r="C40" s="8" t="inlineStr">
        <is>
          <t>SWIND-1.03-MFD-EI90</t>
        </is>
      </c>
      <c r="D40" s="8" t="inlineStr">
        <is>
          <t>SWIND</t>
        </is>
      </c>
      <c r="E40" s="8" t="n">
        <v>500</v>
      </c>
      <c r="F40" s="8" t="n">
        <v>500</v>
      </c>
      <c r="G40" s="8" t="n"/>
      <c r="H40" s="8" t="n"/>
      <c r="I40" s="8" t="n"/>
      <c r="J40" s="8" t="n">
        <v>200</v>
      </c>
      <c r="K40" s="12" t="n">
        <v>1.15</v>
      </c>
      <c r="L40" s="8" t="inlineStr">
        <is>
          <t>cái</t>
        </is>
      </c>
      <c r="M40" s="10" t="n">
        <v>5</v>
      </c>
      <c r="N40" s="10" t="n">
        <v>4275812</v>
      </c>
      <c r="O40" s="10">
        <f>ROUNDUP(N40*M40, -2)</f>
        <v/>
      </c>
      <c r="P40" s="9" t="inlineStr">
        <is>
          <t>- Van ngăn cháy động cơ - Tiêu chuẩn EI 90
- 2 đầu bích TDC - Gắn kèm động cơ ON-OFF 5Nm, Hãng KLB
- Sản xuất theo BCTN số 4651/VLXD-TBMT</t>
        </is>
      </c>
    </row>
    <row r="41">
      <c r="A41" s="8" t="n"/>
      <c r="B41" s="9" t="inlineStr">
        <is>
          <t>Van chặn lửa MFD, EI60 MFD 600x500</t>
        </is>
      </c>
      <c r="C41" s="8" t="inlineStr">
        <is>
          <t>SWIND-1.03-MFD-EI90</t>
        </is>
      </c>
      <c r="D41" s="8" t="inlineStr">
        <is>
          <t>SWIND</t>
        </is>
      </c>
      <c r="E41" s="8" t="n">
        <v>600</v>
      </c>
      <c r="F41" s="8" t="n">
        <v>500</v>
      </c>
      <c r="G41" s="8" t="n"/>
      <c r="H41" s="8" t="n"/>
      <c r="I41" s="8" t="n"/>
      <c r="J41" s="8" t="n">
        <v>200</v>
      </c>
      <c r="K41" s="12" t="n">
        <v>1.15</v>
      </c>
      <c r="L41" s="8" t="inlineStr">
        <is>
          <t>cái</t>
        </is>
      </c>
      <c r="M41" s="10" t="n">
        <v>2</v>
      </c>
      <c r="N41" s="10" t="n">
        <v>4609725</v>
      </c>
      <c r="O41" s="10">
        <f>ROUNDUP(N41*M41, -2)</f>
        <v/>
      </c>
      <c r="P41" s="9" t="inlineStr">
        <is>
          <t>- Van ngăn cháy động cơ - Tiêu chuẩn EI 90
- 2 đầu bích TDC - Gắn kèm động cơ ON-OFF 5Nm, Hãng KLB
- Sản xuất theo BCTN số 4651/VLXD-TBMT</t>
        </is>
      </c>
    </row>
    <row r="42">
      <c r="A42" s="8" t="n"/>
      <c r="B42" s="9" t="inlineStr">
        <is>
          <t>Van chặn lửa MFD, EI60 MFD 900x300</t>
        </is>
      </c>
      <c r="C42" s="8" t="inlineStr">
        <is>
          <t>SWIND-1.03-MFD-EI90</t>
        </is>
      </c>
      <c r="D42" s="8" t="inlineStr">
        <is>
          <t>SWIND</t>
        </is>
      </c>
      <c r="E42" s="8" t="n">
        <v>900</v>
      </c>
      <c r="F42" s="8" t="n">
        <v>300</v>
      </c>
      <c r="G42" s="8" t="n"/>
      <c r="H42" s="8" t="n"/>
      <c r="I42" s="8" t="n"/>
      <c r="J42" s="8" t="n">
        <v>200</v>
      </c>
      <c r="K42" s="12" t="n">
        <v>1.15</v>
      </c>
      <c r="L42" s="8" t="inlineStr">
        <is>
          <t>cái</t>
        </is>
      </c>
      <c r="M42" s="10" t="n">
        <v>3</v>
      </c>
      <c r="N42" s="10" t="n">
        <v>4621878</v>
      </c>
      <c r="O42" s="10">
        <f>ROUNDUP(N42*M42, -2)</f>
        <v/>
      </c>
      <c r="P42" s="9" t="inlineStr">
        <is>
          <t>- Van ngăn cháy động cơ - Tiêu chuẩn EI 90
- 2 đầu bích TDC - Gắn kèm động cơ ON-OFF 5Nm, Hãng KLB
- Sản xuất theo BCTN số 4651/VLXD-TBMT</t>
        </is>
      </c>
    </row>
    <row r="43">
      <c r="A43" s="6" t="n"/>
      <c r="B43" s="7" t="inlineStr">
        <is>
          <t>Louver lấy gió tươi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</row>
    <row r="44">
      <c r="A44" s="8" t="n"/>
      <c r="B44" s="9" t="inlineStr">
        <is>
          <t>Louver lấy gió tươi FAL + LCCT 1900x500</t>
        </is>
      </c>
      <c r="C44" s="8" t="inlineStr">
        <is>
          <t>WL+N</t>
        </is>
      </c>
      <c r="D44" s="8" t="inlineStr">
        <is>
          <t>SWIND</t>
        </is>
      </c>
      <c r="E44" s="8" t="n">
        <v>1900</v>
      </c>
      <c r="F44" s="8" t="n">
        <v>500</v>
      </c>
      <c r="G44" s="8" t="n">
        <v>1850</v>
      </c>
      <c r="H44" s="8" t="n">
        <v>450</v>
      </c>
      <c r="I44" s="8" t="n"/>
      <c r="J44" s="8" t="n"/>
      <c r="K44" s="8" t="n"/>
      <c r="L44" s="8" t="inlineStr">
        <is>
          <t>cái</t>
        </is>
      </c>
      <c r="M44" s="10" t="n">
        <v>4</v>
      </c>
      <c r="N44" s="10" t="n">
        <v>1321000</v>
      </c>
      <c r="O44" s="10">
        <f>ROUNDUP(N44*M44, -2)</f>
        <v/>
      </c>
      <c r="P44" s="9" t="inlineStr">
        <is>
          <t>Louver nan Z ngoài trời kèm lưới chắn côn trùng Inox 304</t>
        </is>
      </c>
    </row>
    <row r="45">
      <c r="A45" s="6" t="n"/>
      <c r="B45" s="7" t="inlineStr">
        <is>
          <t>Miệng gió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</row>
    <row r="46">
      <c r="A46" s="8" t="n"/>
      <c r="B46" s="9" t="inlineStr">
        <is>
          <t>Miệng gió xả áp PAG 1150x550</t>
        </is>
      </c>
      <c r="C46" s="8" t="inlineStr">
        <is>
          <t>SDG</t>
        </is>
      </c>
      <c r="D46" s="8" t="inlineStr">
        <is>
          <t>SWIND</t>
        </is>
      </c>
      <c r="E46" s="8" t="n">
        <v>1150</v>
      </c>
      <c r="F46" s="8" t="n">
        <v>550</v>
      </c>
      <c r="G46" s="8" t="n">
        <v>1100</v>
      </c>
      <c r="H46" s="8" t="n">
        <v>500</v>
      </c>
      <c r="I46" s="8" t="n"/>
      <c r="J46" s="8" t="n"/>
      <c r="K46" s="8" t="n"/>
      <c r="L46" s="8" t="inlineStr">
        <is>
          <t>Cái</t>
        </is>
      </c>
      <c r="M46" s="10" t="n">
        <v>27</v>
      </c>
      <c r="N46" s="10" t="n">
        <v>467000</v>
      </c>
      <c r="O46" s="10">
        <f>ROUNDUP(N46*M46, -2)</f>
        <v/>
      </c>
      <c r="P46" s="9" t="inlineStr">
        <is>
          <t>Cửa nan bầu dục 1 lớp</t>
        </is>
      </c>
    </row>
    <row r="47">
      <c r="A47" s="8" t="n"/>
      <c r="B47" s="9" t="inlineStr">
        <is>
          <t>Miệng gió tạo áp PAG 600x300 + OBD
Kèm box gió</t>
        </is>
      </c>
      <c r="C47" s="8" t="inlineStr">
        <is>
          <t>SDG+O</t>
        </is>
      </c>
      <c r="D47" s="8" t="inlineStr">
        <is>
          <t>SWIND</t>
        </is>
      </c>
      <c r="E47" s="8" t="n">
        <v>600</v>
      </c>
      <c r="F47" s="8" t="n">
        <v>300</v>
      </c>
      <c r="G47" s="8" t="n">
        <v>550</v>
      </c>
      <c r="H47" s="8" t="n">
        <v>250</v>
      </c>
      <c r="I47" s="8" t="n"/>
      <c r="J47" s="8" t="n"/>
      <c r="K47" s="8" t="n"/>
      <c r="L47" s="8" t="inlineStr">
        <is>
          <t>cái</t>
        </is>
      </c>
      <c r="M47" s="10" t="n">
        <v>6</v>
      </c>
      <c r="N47" s="10" t="n">
        <v>295000</v>
      </c>
      <c r="O47" s="10">
        <f>ROUNDUP(N47*M47, -2)</f>
        <v/>
      </c>
      <c r="P47" s="9" t="inlineStr">
        <is>
          <t>Cửa nan thẳng bầu dục kèm van OBD (tăng áp / hút khói). Không tính box do nhà thầu tự thi công</t>
        </is>
      </c>
    </row>
    <row r="48">
      <c r="A48" s="8" t="n"/>
      <c r="B48" s="9" t="inlineStr">
        <is>
          <t>Miệng gió tạo áp PAG 800x350 + OBD
Kèm box gió</t>
        </is>
      </c>
      <c r="C48" s="8" t="inlineStr">
        <is>
          <t>SDG+O</t>
        </is>
      </c>
      <c r="D48" s="8" t="inlineStr">
        <is>
          <t>SWIND</t>
        </is>
      </c>
      <c r="E48" s="8" t="n">
        <v>800</v>
      </c>
      <c r="F48" s="8" t="n">
        <v>350</v>
      </c>
      <c r="G48" s="8" t="n">
        <v>750</v>
      </c>
      <c r="H48" s="8" t="n">
        <v>300</v>
      </c>
      <c r="I48" s="8" t="n"/>
      <c r="J48" s="8" t="n"/>
      <c r="K48" s="8" t="n"/>
      <c r="L48" s="8" t="inlineStr">
        <is>
          <t>cái</t>
        </is>
      </c>
      <c r="M48" s="10" t="n">
        <v>2</v>
      </c>
      <c r="N48" s="10" t="n">
        <v>428000</v>
      </c>
      <c r="O48" s="10">
        <f>ROUNDUP(N48*M48, -2)</f>
        <v/>
      </c>
      <c r="P48" s="9" t="inlineStr">
        <is>
          <t>Cửa nan thẳng bầu dục kèm van OBD (tăng áp / hút khói). Không tính box do nhà thầu tự thi công</t>
        </is>
      </c>
    </row>
    <row r="49">
      <c r="A49" s="8" t="n"/>
      <c r="B49" s="9" t="inlineStr">
        <is>
          <t>Miệng gió tạo áp SAG 250x250 + OBD
Kèm box gió</t>
        </is>
      </c>
      <c r="C49" s="8" t="inlineStr">
        <is>
          <t>SDG+O</t>
        </is>
      </c>
      <c r="D49" s="8" t="inlineStr">
        <is>
          <t>SWIND</t>
        </is>
      </c>
      <c r="E49" s="8" t="n">
        <v>250</v>
      </c>
      <c r="F49" s="8" t="n">
        <v>250</v>
      </c>
      <c r="G49" s="8" t="n">
        <v>200</v>
      </c>
      <c r="H49" s="8" t="n">
        <v>200</v>
      </c>
      <c r="I49" s="8" t="n"/>
      <c r="J49" s="8" t="n"/>
      <c r="K49" s="8" t="n"/>
      <c r="L49" s="8" t="inlineStr">
        <is>
          <t>cái</t>
        </is>
      </c>
      <c r="M49" s="10" t="n">
        <v>6</v>
      </c>
      <c r="N49" s="10" t="n">
        <v>122000</v>
      </c>
      <c r="O49" s="10">
        <f>ROUNDUP(N49*M49, -2)</f>
        <v/>
      </c>
      <c r="P49" s="9" t="inlineStr">
        <is>
          <t>Cửa nan thẳng bầu dục kèm van OBD (tăng áp / hút khói). Không tính box do nhà thầu tự thi công</t>
        </is>
      </c>
    </row>
    <row r="50">
      <c r="A50" s="8" t="n"/>
      <c r="B50" s="9" t="inlineStr">
        <is>
          <t>Miệng gió tạo áp SAG 1000x500 + OBD
Kèm box gió</t>
        </is>
      </c>
      <c r="C50" s="8" t="inlineStr">
        <is>
          <t>SDG+O</t>
        </is>
      </c>
      <c r="D50" s="8" t="inlineStr">
        <is>
          <t>SWIND</t>
        </is>
      </c>
      <c r="E50" s="8" t="n">
        <v>1000</v>
      </c>
      <c r="F50" s="8" t="n">
        <v>500</v>
      </c>
      <c r="G50" s="8" t="n">
        <v>950</v>
      </c>
      <c r="H50" s="8" t="n">
        <v>450</v>
      </c>
      <c r="I50" s="8" t="n"/>
      <c r="J50" s="8" t="n"/>
      <c r="K50" s="8" t="n"/>
      <c r="L50" s="8" t="inlineStr">
        <is>
          <t>cái</t>
        </is>
      </c>
      <c r="M50" s="10" t="n">
        <v>18</v>
      </c>
      <c r="N50" s="10" t="n">
        <v>708000</v>
      </c>
      <c r="O50" s="10">
        <f>ROUNDUP(N50*M50, -2)</f>
        <v/>
      </c>
      <c r="P50" s="9" t="inlineStr">
        <is>
          <t>Cửa nan thẳng bầu dục kèm van OBD (tăng áp / hút khói). Không tính box do nhà thầu tự thi công</t>
        </is>
      </c>
    </row>
    <row r="51">
      <c r="A51" s="8" t="n"/>
      <c r="B51" s="9" t="inlineStr">
        <is>
          <t>Miệng gió tạo áp SAG 1150x550 + OBD
Kèm box gió</t>
        </is>
      </c>
      <c r="C51" s="8" t="inlineStr">
        <is>
          <t>SDG+O</t>
        </is>
      </c>
      <c r="D51" s="8" t="inlineStr">
        <is>
          <t>SWIND</t>
        </is>
      </c>
      <c r="E51" s="8" t="n">
        <v>1150</v>
      </c>
      <c r="F51" s="8" t="n">
        <v>550</v>
      </c>
      <c r="G51" s="8" t="n">
        <v>1100</v>
      </c>
      <c r="H51" s="8" t="n">
        <v>500</v>
      </c>
      <c r="I51" s="8" t="n"/>
      <c r="J51" s="8" t="n"/>
      <c r="K51" s="8" t="n"/>
      <c r="L51" s="8" t="inlineStr">
        <is>
          <t>cái</t>
        </is>
      </c>
      <c r="M51" s="10" t="n">
        <v>11</v>
      </c>
      <c r="N51" s="10" t="n">
        <v>866000</v>
      </c>
      <c r="O51" s="10">
        <f>ROUNDUP(N51*M51, -2)</f>
        <v/>
      </c>
      <c r="P51" s="9" t="inlineStr">
        <is>
          <t>Cửa nan thẳng bầu dục kèm van OBD (tăng áp / hút khói). Không tính box do nhà thầu tự thi công</t>
        </is>
      </c>
    </row>
    <row r="52">
      <c r="A52" s="6" t="n"/>
      <c r="B52" s="7" t="inlineStr">
        <is>
          <t>Hộp chống cháy EI45 cho quạt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</row>
    <row r="53">
      <c r="A53" s="8" t="n"/>
      <c r="B53" s="9" t="inlineStr">
        <is>
          <t>Hộp chống cháy EI45 cho quạt DxRxC=1200x1200x1000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inlineStr">
        <is>
          <t>cái</t>
        </is>
      </c>
      <c r="M53" s="10" t="n">
        <v>7</v>
      </c>
      <c r="N53" s="11" t="n"/>
      <c r="O53" s="11" t="n"/>
      <c r="P53" s="9" t="n"/>
    </row>
    <row r="54">
      <c r="A54" s="6" t="n"/>
      <c r="B54" s="7" t="inlineStr">
        <is>
          <t>Ống gió chống cháy EI60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</row>
    <row r="55">
      <c r="A55" s="8" t="n"/>
      <c r="B55" s="9" t="inlineStr">
        <is>
          <t>Ống gió chống cháy EI60 400x250, tole dày 0.75mm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inlineStr">
        <is>
          <t>m</t>
        </is>
      </c>
      <c r="M55" s="10" t="n">
        <v>67</v>
      </c>
      <c r="N55" s="11" t="n"/>
      <c r="O55" s="11" t="n"/>
      <c r="P55" s="9" t="n"/>
    </row>
    <row r="56">
      <c r="A56" s="8" t="n"/>
      <c r="B56" s="9" t="inlineStr">
        <is>
          <t>Ống gió chống cháy EI60 500x500, tole dày 0.75mm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inlineStr">
        <is>
          <t>m</t>
        </is>
      </c>
      <c r="M56" s="10" t="n">
        <v>33</v>
      </c>
      <c r="N56" s="11" t="n"/>
      <c r="O56" s="11" t="n"/>
      <c r="P56" s="9" t="n"/>
    </row>
    <row r="57">
      <c r="A57" s="8" t="n"/>
      <c r="B57" s="9" t="inlineStr">
        <is>
          <t>Ống gió chống cháy EI60 600x300, tole dày 0.75mm</t>
        </is>
      </c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inlineStr">
        <is>
          <t>m</t>
        </is>
      </c>
      <c r="M57" s="10" t="n">
        <v>63</v>
      </c>
      <c r="N57" s="11" t="n"/>
      <c r="O57" s="11" t="n"/>
      <c r="P57" s="9" t="n"/>
    </row>
    <row r="58">
      <c r="A58" s="8" t="n"/>
      <c r="B58" s="9" t="inlineStr">
        <is>
          <t>Ống gió chống cháy EI60 600x500, tole dày 0.75mm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inlineStr">
        <is>
          <t>m</t>
        </is>
      </c>
      <c r="M58" s="10" t="n">
        <v>56</v>
      </c>
      <c r="N58" s="11" t="n"/>
      <c r="O58" s="11" t="n"/>
      <c r="P58" s="9" t="n"/>
    </row>
    <row r="59">
      <c r="A59" s="8" t="n"/>
      <c r="B59" s="9" t="inlineStr">
        <is>
          <t>Ống gió chống cháy EI60 900x300, tole dày 0.75mm</t>
        </is>
      </c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inlineStr">
        <is>
          <t>m</t>
        </is>
      </c>
      <c r="M59" s="10" t="n">
        <v>39</v>
      </c>
      <c r="N59" s="11" t="n"/>
      <c r="O59" s="11" t="n"/>
      <c r="P59" s="9" t="n"/>
    </row>
    <row r="60">
      <c r="A60" s="6" t="n"/>
      <c r="B60" s="7" t="inlineStr">
        <is>
          <t>Ống gió chống cháy EI30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</row>
    <row r="61">
      <c r="A61" s="8" t="n"/>
      <c r="B61" s="9" t="inlineStr">
        <is>
          <t>Ống gió chống cháy EI30 400x400, tole dày 0.75mm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inlineStr">
        <is>
          <t>m</t>
        </is>
      </c>
      <c r="M61" s="10" t="n">
        <v>28.14181942</v>
      </c>
      <c r="N61" s="11" t="n"/>
      <c r="O61" s="11" t="n"/>
      <c r="P61" s="9" t="n"/>
    </row>
    <row r="62">
      <c r="A62" s="8" t="n"/>
      <c r="B62" s="9" t="inlineStr">
        <is>
          <t>Ống gió chống cháy EI30 500x500, tole dày 0.75mm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inlineStr">
        <is>
          <t>m</t>
        </is>
      </c>
      <c r="M62" s="10" t="n">
        <v>23.67333881</v>
      </c>
      <c r="N62" s="11" t="n"/>
      <c r="O62" s="11" t="n"/>
      <c r="P62" s="9" t="n"/>
    </row>
    <row r="63">
      <c r="A63" s="8" t="n"/>
      <c r="B63" s="9" t="inlineStr">
        <is>
          <t>Ống gió chống cháy EI30 600x500, tole dày 0.75mm</t>
        </is>
      </c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inlineStr">
        <is>
          <t>m</t>
        </is>
      </c>
      <c r="M63" s="10" t="n">
        <v>17.93374132</v>
      </c>
      <c r="N63" s="11" t="n"/>
      <c r="O63" s="11" t="n"/>
      <c r="P63" s="9" t="n"/>
    </row>
    <row r="64">
      <c r="A64" s="8" t="n"/>
      <c r="B64" s="9" t="inlineStr">
        <is>
          <t>Ống gió chống cháy EI30 900x300, tole dày 0.75mm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inlineStr">
        <is>
          <t>m</t>
        </is>
      </c>
      <c r="M64" s="10" t="n">
        <v>21.78485254</v>
      </c>
      <c r="N64" s="11" t="n"/>
      <c r="O64" s="11" t="n"/>
      <c r="P64" s="9" t="n"/>
    </row>
    <row r="65">
      <c r="A65" s="8" t="n"/>
      <c r="B65" s="9" t="inlineStr">
        <is>
          <t>Phụ kiện lắp đặt ống gió (giảm, gót dày, chuyển vuông tròn...)</t>
        </is>
      </c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inlineStr">
        <is>
          <t>Lô</t>
        </is>
      </c>
      <c r="M65" s="10" t="n">
        <v>1</v>
      </c>
      <c r="N65" s="11" t="n"/>
      <c r="O65" s="11" t="n"/>
      <c r="P65" s="9" t="n"/>
    </row>
    <row r="66">
      <c r="A66" s="8" t="n"/>
      <c r="B66" s="9" t="inlineStr">
        <is>
          <t>Vật tư phụ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inlineStr">
        <is>
          <t>Lô</t>
        </is>
      </c>
      <c r="M66" s="10" t="n">
        <v>1</v>
      </c>
      <c r="N66" s="11" t="n"/>
      <c r="O66" s="11" t="n"/>
      <c r="P66" s="9" t="n"/>
    </row>
    <row r="67">
      <c r="A67" s="6" t="n"/>
      <c r="B67" s="7" t="inlineStr">
        <is>
          <t>Cáp điện điều khiển thiết bị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</row>
    <row r="68">
      <c r="A68" s="8" t="n"/>
      <c r="B68" s="9" t="inlineStr">
        <is>
          <t>2Cx1.5mm2 Cu/pvc/Fr (dây chống cháy)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inlineStr">
        <is>
          <t>m</t>
        </is>
      </c>
      <c r="M68" s="10" t="n">
        <v>2338.6</v>
      </c>
      <c r="N68" s="11" t="n"/>
      <c r="O68" s="11" t="n"/>
      <c r="P68" s="9" t="n"/>
    </row>
    <row r="69">
      <c r="A69" s="8" t="n"/>
      <c r="B69" s="9" t="inlineStr">
        <is>
          <t>Ống PVC DN 25</t>
        </is>
      </c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inlineStr">
        <is>
          <t>m</t>
        </is>
      </c>
      <c r="M69" s="10" t="n">
        <v>1169.3</v>
      </c>
      <c r="N69" s="11" t="n"/>
      <c r="O69" s="11" t="n"/>
      <c r="P69" s="9" t="n"/>
    </row>
    <row r="70">
      <c r="A70" s="8" t="n"/>
      <c r="B70" s="9" t="inlineStr">
        <is>
          <t>Vật tư phụ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inlineStr">
        <is>
          <t>lô</t>
        </is>
      </c>
      <c r="M70" s="10" t="n">
        <v>1</v>
      </c>
      <c r="N70" s="11" t="n"/>
      <c r="O70" s="11" t="n"/>
      <c r="P70" s="9" t="n"/>
    </row>
    <row r="71">
      <c r="A71" s="6" t="n"/>
      <c r="B71" s="7" t="inlineStr">
        <is>
          <t>B. HỆ THỐNG THÔNG GIÓ TẦNG HẦM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</row>
    <row r="72">
      <c r="A72" s="6" t="n"/>
      <c r="B72" s="7" t="inlineStr">
        <is>
          <t>I. Thiết bị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</row>
    <row r="73">
      <c r="A73" s="6" t="n"/>
      <c r="B73" s="7" t="inlineStr">
        <is>
          <t>Quạt hút khói hầm (loại 2 tốc độ), động cơ cấp "H" chịu nhiệt độ tối đa 300°C trong 2h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</row>
    <row r="74">
      <c r="A74" s="8" t="n"/>
      <c r="B74" s="9" t="inlineStr">
        <is>
          <t>Quạt hút khói: SEF-B3-Z1.01~02
- Hướng trục, nối ống gió, loại 2 tốc độ. 
- Lưu lượng: 6100/9150L/s@350/788Pa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inlineStr">
        <is>
          <t>cái</t>
        </is>
      </c>
      <c r="M74" s="10" t="n">
        <v>2</v>
      </c>
      <c r="N74" s="11" t="n"/>
      <c r="O74" s="11" t="n"/>
      <c r="P74" s="9" t="n"/>
    </row>
    <row r="75">
      <c r="A75" s="8" t="n"/>
      <c r="B75" s="9" t="inlineStr">
        <is>
          <t>Quạt hút khói: SEF-B3-Z2.01~02
- Hướng trục, nối ống gió, loại 2 tốc độ. 
- Lưu lượng: 4500/6700L/s@350/795Pa</t>
        </is>
      </c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inlineStr">
        <is>
          <t>Cái</t>
        </is>
      </c>
      <c r="M75" s="10" t="n">
        <v>2</v>
      </c>
      <c r="N75" s="11" t="n"/>
      <c r="O75" s="11" t="n"/>
      <c r="P75" s="9" t="n"/>
    </row>
    <row r="76">
      <c r="A76" s="8" t="n"/>
      <c r="B76" s="9" t="inlineStr">
        <is>
          <t>Quạt hút khói: SEF-B3-Z3.01~02
- Hướng trục, nối ống gió, loại 2 tốc độ. 
- Lưu lượng: 3850/5800L/s@320/795Pa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inlineStr">
        <is>
          <t>Cái</t>
        </is>
      </c>
      <c r="M76" s="10" t="n">
        <v>2</v>
      </c>
      <c r="N76" s="11" t="n"/>
      <c r="O76" s="11" t="n"/>
      <c r="P76" s="9" t="n"/>
    </row>
    <row r="77">
      <c r="A77" s="8" t="n"/>
      <c r="B77" s="9" t="inlineStr">
        <is>
          <t>Quạt hút khói: SEF-B3-Z4.01~02
- Hướng trục, nối ống gió, loại 2 tốc độ. 
- Lưu lượng: 4600/6900L/s@350/789Pa</t>
        </is>
      </c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inlineStr">
        <is>
          <t>Cái</t>
        </is>
      </c>
      <c r="M77" s="10" t="n">
        <v>2</v>
      </c>
      <c r="N77" s="11" t="n"/>
      <c r="O77" s="11" t="n"/>
      <c r="P77" s="9" t="n"/>
    </row>
    <row r="78">
      <c r="A78" s="8" t="n"/>
      <c r="B78" s="9" t="inlineStr">
        <is>
          <t>Quạt hút khói: SEF-B3-Z5.01~02
- Hướng trục, nối ống gió, loại 2 tốc độ. 
- Lưu lượng: 6300/9400L/s@350/789Pa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inlineStr">
        <is>
          <t>Cái</t>
        </is>
      </c>
      <c r="M78" s="10" t="n">
        <v>2</v>
      </c>
      <c r="N78" s="11" t="n"/>
      <c r="O78" s="11" t="n"/>
      <c r="P78" s="9" t="n"/>
    </row>
    <row r="79">
      <c r="A79" s="8" t="n"/>
      <c r="B79" s="9" t="inlineStr">
        <is>
          <t>Quạt hút khói: SEF-B2-Z1.01~02
- Hướng trục, nối ống gió, loại 2 tốc độ. 
- Lưu lượng: 4900/7300L/s@350/788Pa</t>
        </is>
      </c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inlineStr">
        <is>
          <t>Cái</t>
        </is>
      </c>
      <c r="M79" s="10" t="n">
        <v>2</v>
      </c>
      <c r="N79" s="11" t="n"/>
      <c r="O79" s="11" t="n"/>
      <c r="P79" s="9" t="n"/>
    </row>
    <row r="80">
      <c r="A80" s="8" t="n"/>
      <c r="B80" s="9" t="inlineStr">
        <is>
          <t>Quạt hút khói: SEF-B2-Z2.01~02
- Hướng trục, nối ống gió, loại 2 tốc độ. 
- Lưu lượng: 5500/8300L/s@350/795Pa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inlineStr">
        <is>
          <t>Cái</t>
        </is>
      </c>
      <c r="M80" s="10" t="n">
        <v>2</v>
      </c>
      <c r="N80" s="11" t="n"/>
      <c r="O80" s="11" t="n"/>
      <c r="P80" s="9" t="n"/>
    </row>
    <row r="81">
      <c r="A81" s="8" t="n"/>
      <c r="B81" s="9" t="inlineStr">
        <is>
          <t>Quạt hút khói: SEF-B2-Z3.01~02
- Hướng trục, nối ống gió, loại 2 tốc độ. 
- Lưu lượng: 7100/10600L/s@350/795Pa</t>
        </is>
      </c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inlineStr">
        <is>
          <t>Cái</t>
        </is>
      </c>
      <c r="M81" s="10" t="n">
        <v>2</v>
      </c>
      <c r="N81" s="11" t="n"/>
      <c r="O81" s="11" t="n"/>
      <c r="P81" s="9" t="n"/>
    </row>
    <row r="82">
      <c r="A82" s="8" t="n"/>
      <c r="B82" s="9" t="inlineStr">
        <is>
          <t>Quạt hút khói: SEF-B2-Z4.01~02
- Hướng trục, nối ống gió, loại 2 tốc độ. 
- Lưu lượng: 8000/12000L/s@350/789Pa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inlineStr">
        <is>
          <t>Cái</t>
        </is>
      </c>
      <c r="M82" s="10" t="n">
        <v>2</v>
      </c>
      <c r="N82" s="11" t="n"/>
      <c r="O82" s="11" t="n"/>
      <c r="P82" s="9" t="n"/>
    </row>
    <row r="83">
      <c r="A83" s="8" t="n"/>
      <c r="B83" s="9" t="inlineStr">
        <is>
          <t>Quạt hút khói: SEF-B2-Z5.01~02
- Hướng trục, nối ống gió, loại 2 tốc độ. 
- Lưu lượng: 7600/11300L/s@350/777Pa</t>
        </is>
      </c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inlineStr">
        <is>
          <t>Cái</t>
        </is>
      </c>
      <c r="M83" s="10" t="n">
        <v>2</v>
      </c>
      <c r="N83" s="11" t="n"/>
      <c r="O83" s="11" t="n"/>
      <c r="P83" s="9" t="n"/>
    </row>
    <row r="84">
      <c r="A84" s="8" t="n"/>
      <c r="B84" s="9" t="inlineStr">
        <is>
          <t>Quạt hút khói: SEF-B1-Z1.01~02
- Hướng trục, nối ống gió, loại 2 tốc độ. 
- Lưu lượng: 5400/8100L/s@350/788Pa</t>
        </is>
      </c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inlineStr">
        <is>
          <t>Cái</t>
        </is>
      </c>
      <c r="M84" s="10" t="n">
        <v>2</v>
      </c>
      <c r="N84" s="11" t="n"/>
      <c r="O84" s="11" t="n"/>
      <c r="P84" s="9" t="n"/>
    </row>
    <row r="85">
      <c r="A85" s="8" t="n"/>
      <c r="B85" s="9" t="inlineStr">
        <is>
          <t>Quạt hút khói: SEF-B1-Z2.01~02
- Hướng trục, nối ống gió, loại 2 tốc độ. 
- Lưu lượng: 5000/7500L/s@350/788Pa</t>
        </is>
      </c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inlineStr">
        <is>
          <t>Cái</t>
        </is>
      </c>
      <c r="M85" s="10" t="n">
        <v>2</v>
      </c>
      <c r="N85" s="11" t="n"/>
      <c r="O85" s="11" t="n"/>
      <c r="P85" s="9" t="n"/>
    </row>
    <row r="86">
      <c r="A86" s="8" t="n"/>
      <c r="B86" s="9" t="inlineStr">
        <is>
          <t>Quạt hút khói: SEF-B1-Z3.01~02
- Hướng trục, nối ống gió, loại 2 tốc độ. 
- Lưu lượng: 6700/10100L/s@350/795Pa</t>
        </is>
      </c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inlineStr">
        <is>
          <t>Cái</t>
        </is>
      </c>
      <c r="M86" s="10" t="n">
        <v>2</v>
      </c>
      <c r="N86" s="11" t="n"/>
      <c r="O86" s="11" t="n"/>
      <c r="P86" s="9" t="n"/>
    </row>
    <row r="87">
      <c r="A87" s="8" t="n"/>
      <c r="B87" s="9" t="inlineStr">
        <is>
          <t>Quạt hút khói: SEF-B1-Z4.01~02
- Hướng trục, nối ống gió, loại 2 tốc độ. 
- Lưu lượng: 6500/9800L/s@350/789Pa</t>
        </is>
      </c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inlineStr">
        <is>
          <t>Cái</t>
        </is>
      </c>
      <c r="M87" s="10" t="n">
        <v>2</v>
      </c>
      <c r="N87" s="11" t="n"/>
      <c r="O87" s="11" t="n"/>
      <c r="P87" s="9" t="n"/>
    </row>
    <row r="88">
      <c r="A88" s="8" t="n"/>
      <c r="B88" s="9" t="inlineStr">
        <is>
          <t>Quạt hút khói: SEF-B1-Z5.01~02
- Hướng trục, nối ống gió, loại 2 tốc độ. 
- Lưu lượng: 6000/9000L/s@350/788Pa</t>
        </is>
      </c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inlineStr">
        <is>
          <t>Cái</t>
        </is>
      </c>
      <c r="M88" s="10" t="n">
        <v>2</v>
      </c>
      <c r="N88" s="11" t="n"/>
      <c r="O88" s="11" t="n"/>
      <c r="P88" s="9" t="n"/>
    </row>
    <row r="89">
      <c r="A89" s="6" t="n"/>
      <c r="B89" s="7" t="inlineStr">
        <is>
          <t>Quạt bù khí &amp; cấp gió tươi hầm, động cơ cấp "H" chịu nhiệt độ tối đa 300°C trong 2h</t>
        </is>
      </c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</row>
    <row r="90">
      <c r="A90" s="8" t="n"/>
      <c r="B90" s="9" t="inlineStr">
        <is>
          <t>Quạt cấp gió: SFAF-B3-Z1.01~2
- Hướng trục, nối ống gió
- Lưu lượng: 3900L/s@350Pa</t>
        </is>
      </c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inlineStr">
        <is>
          <t>Cái</t>
        </is>
      </c>
      <c r="M90" s="10" t="n">
        <v>2</v>
      </c>
      <c r="N90" s="11" t="n"/>
      <c r="O90" s="11" t="n"/>
      <c r="P90" s="9" t="n"/>
    </row>
    <row r="91">
      <c r="A91" s="8" t="n"/>
      <c r="B91" s="9" t="inlineStr">
        <is>
          <t>Quạt cấp gió: SFAF-B3-Z2.01~2
- Hướng trục, nối ống gió
- Lưu lượng: 4300L/s@350Pa</t>
        </is>
      </c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inlineStr">
        <is>
          <t>Cái</t>
        </is>
      </c>
      <c r="M91" s="10" t="n">
        <v>2</v>
      </c>
      <c r="N91" s="11" t="n"/>
      <c r="O91" s="11" t="n"/>
      <c r="P91" s="9" t="n"/>
    </row>
    <row r="92">
      <c r="A92" s="8" t="n"/>
      <c r="B92" s="9" t="inlineStr">
        <is>
          <t>Quạt cấp gió: SFAF-B3-Z3.01~2
- Hướng trục, nối ống gió
- Lưu lượng: 2500L/s@350Pa</t>
        </is>
      </c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inlineStr">
        <is>
          <t>Cái</t>
        </is>
      </c>
      <c r="M92" s="10" t="n">
        <v>2</v>
      </c>
      <c r="N92" s="11" t="n"/>
      <c r="O92" s="11" t="n"/>
      <c r="P92" s="9" t="n"/>
    </row>
    <row r="93">
      <c r="A93" s="8" t="n"/>
      <c r="B93" s="9" t="inlineStr">
        <is>
          <t>Quạt cấp gió: SFAF-B3-Z4.01~2
- Hướng trục, nối ống gió
- Lưu lượng: 4400L/s@350Pa</t>
        </is>
      </c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inlineStr">
        <is>
          <t>Cái</t>
        </is>
      </c>
      <c r="M93" s="10" t="n">
        <v>2</v>
      </c>
      <c r="N93" s="11" t="n"/>
      <c r="O93" s="11" t="n"/>
      <c r="P93" s="9" t="n"/>
    </row>
    <row r="94">
      <c r="A94" s="8" t="n"/>
      <c r="B94" s="9" t="inlineStr">
        <is>
          <t>Quạt cấp gió: SFAF-B3-Z5.01~2
- Hướng trục, nối ống gió
- Lưu lượng: 4000L/s@350Pa</t>
        </is>
      </c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inlineStr">
        <is>
          <t>Cái</t>
        </is>
      </c>
      <c r="M94" s="10" t="n">
        <v>2</v>
      </c>
      <c r="N94" s="11" t="n"/>
      <c r="O94" s="11" t="n"/>
      <c r="P94" s="9" t="n"/>
    </row>
    <row r="95">
      <c r="A95" s="8" t="n"/>
      <c r="B95" s="9" t="inlineStr">
        <is>
          <t>Quạt cấp gió: SFAF-B2-Z1.01~2
- Hướng trục, nối ống gió
- Lưu lượng: 4700L/s@350Pa</t>
        </is>
      </c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inlineStr">
        <is>
          <t>Cái</t>
        </is>
      </c>
      <c r="M95" s="10" t="n">
        <v>2</v>
      </c>
      <c r="N95" s="11" t="n"/>
      <c r="O95" s="11" t="n"/>
      <c r="P95" s="9" t="n"/>
    </row>
    <row r="96">
      <c r="A96" s="8" t="n"/>
      <c r="B96" s="9" t="inlineStr">
        <is>
          <t>Quạt cấp gió: SFAF-B2-Z2.01~2
- Hướng trục, nối ống gió
- Lưu lượng: 6300L/s@350Pa</t>
        </is>
      </c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inlineStr">
        <is>
          <t>Cái</t>
        </is>
      </c>
      <c r="M96" s="10" t="n">
        <v>2</v>
      </c>
      <c r="N96" s="11" t="n"/>
      <c r="O96" s="11" t="n"/>
      <c r="P96" s="9" t="n"/>
    </row>
    <row r="97">
      <c r="A97" s="8" t="n"/>
      <c r="B97" s="9" t="inlineStr">
        <is>
          <t>Quạt cấp gió: SFAF-B2-Z3.01~2
- Hướng trục, nối ống gió
- Lưu lượng: 4500L/s@350Pa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inlineStr">
        <is>
          <t>Cái</t>
        </is>
      </c>
      <c r="M97" s="10" t="n">
        <v>2</v>
      </c>
      <c r="N97" s="11" t="n"/>
      <c r="O97" s="11" t="n"/>
      <c r="P97" s="9" t="n"/>
    </row>
    <row r="98">
      <c r="A98" s="8" t="n"/>
      <c r="B98" s="9" t="inlineStr">
        <is>
          <t>Quạt cấp gió: SFAF-B2-Z4.01~2
- Hướng trục, nối ống gió
- Lưu lượng: 5100L/s@350Pa</t>
        </is>
      </c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inlineStr">
        <is>
          <t>Cái</t>
        </is>
      </c>
      <c r="M98" s="10" t="n">
        <v>2</v>
      </c>
      <c r="N98" s="11" t="n"/>
      <c r="O98" s="11" t="n"/>
      <c r="P98" s="9" t="n"/>
    </row>
    <row r="99">
      <c r="A99" s="8" t="n"/>
      <c r="B99" s="9" t="inlineStr">
        <is>
          <t>Quạt cấp gió: SFAF-B2-Z5.01~2
- Hướng trục, nối ống gió
- Lưu lượng: 4800L/s@350Pa</t>
        </is>
      </c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inlineStr">
        <is>
          <t>Cái</t>
        </is>
      </c>
      <c r="M99" s="10" t="n">
        <v>2</v>
      </c>
      <c r="N99" s="11" t="n"/>
      <c r="O99" s="11" t="n"/>
      <c r="P99" s="9" t="n"/>
    </row>
    <row r="100">
      <c r="A100" s="8" t="n"/>
      <c r="B100" s="9" t="inlineStr">
        <is>
          <t>Quạt cấp gió: SFAF-B1-Z1.01~2
- Hướng trục, nối ống gió
- Lưu lượng: 5200L/s@350Pa</t>
        </is>
      </c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inlineStr">
        <is>
          <t>Cái</t>
        </is>
      </c>
      <c r="M100" s="10" t="n">
        <v>2</v>
      </c>
      <c r="N100" s="11" t="n"/>
      <c r="O100" s="11" t="n"/>
      <c r="P100" s="9" t="n"/>
    </row>
    <row r="101">
      <c r="A101" s="8" t="n"/>
      <c r="B101" s="9" t="inlineStr">
        <is>
          <t>Quạt cấp gió: SFAF-B1-Z2.01~2
- Hướng trục, nối ống gió
- Lưu lượng: 4800L/s@350Pa</t>
        </is>
      </c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inlineStr">
        <is>
          <t>Cái</t>
        </is>
      </c>
      <c r="M101" s="10" t="n">
        <v>2</v>
      </c>
      <c r="N101" s="11" t="n"/>
      <c r="O101" s="11" t="n"/>
      <c r="P101" s="9" t="n"/>
    </row>
    <row r="102">
      <c r="A102" s="8" t="n"/>
      <c r="B102" s="9" t="inlineStr">
        <is>
          <t>Quạt cấp gió: SFAF-B1-Z3.01~2
- Hướng trục, nối ống gió
- Lưu lượng: 4300L/s@350Pa</t>
        </is>
      </c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inlineStr">
        <is>
          <t>Cái</t>
        </is>
      </c>
      <c r="M102" s="10" t="n">
        <v>2</v>
      </c>
      <c r="N102" s="11" t="n"/>
      <c r="O102" s="11" t="n"/>
      <c r="P102" s="9" t="n"/>
    </row>
    <row r="103">
      <c r="A103" s="8" t="n"/>
      <c r="B103" s="9" t="inlineStr">
        <is>
          <t>Quạt cấp gió: SFAF-B1-Z4.01~2
- Hướng trục, nối ống gió
- Lưu lượng: 4200L/s@350Pa</t>
        </is>
      </c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inlineStr">
        <is>
          <t>Cái</t>
        </is>
      </c>
      <c r="M103" s="10" t="n">
        <v>2</v>
      </c>
      <c r="N103" s="11" t="n"/>
      <c r="O103" s="11" t="n"/>
      <c r="P103" s="9" t="n"/>
    </row>
    <row r="104">
      <c r="A104" s="8" t="n"/>
      <c r="B104" s="9" t="inlineStr">
        <is>
          <t>Quạt cấp gió: SFAF-B1-Z5.01~2
- Hướng trục, nối ống gió
- Lưu lượng: 5800L/s@350Pa</t>
        </is>
      </c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inlineStr">
        <is>
          <t>Cái</t>
        </is>
      </c>
      <c r="M104" s="10" t="n">
        <v>2</v>
      </c>
      <c r="N104" s="11" t="n"/>
      <c r="O104" s="11" t="n"/>
      <c r="P104" s="9" t="n"/>
    </row>
    <row r="105">
      <c r="A105" s="6" t="n"/>
      <c r="B105" s="7" t="inlineStr">
        <is>
          <t>Quạt cấp gió tươi hầm</t>
        </is>
      </c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</row>
    <row r="106">
      <c r="A106" s="8" t="n"/>
      <c r="B106" s="9" t="inlineStr">
        <is>
          <t>Quạt cấp gió: SFAF-B3-Z1.03
- Hướng trục, nối ống gió
- Lưu lượng: 3900L/s@350Pa</t>
        </is>
      </c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inlineStr">
        <is>
          <t>Cái</t>
        </is>
      </c>
      <c r="M106" s="10" t="n">
        <v>1</v>
      </c>
      <c r="N106" s="11" t="n"/>
      <c r="O106" s="11" t="n"/>
      <c r="P106" s="9" t="n"/>
    </row>
    <row r="107">
      <c r="A107" s="8" t="n"/>
      <c r="B107" s="9" t="inlineStr">
        <is>
          <t>Quạt cấp gió: SFAF-B3-Z2.03
- Hướng trục, nối ống gió
- Lưu lượng: 4300L/s@350Pa</t>
        </is>
      </c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inlineStr">
        <is>
          <t>Cái</t>
        </is>
      </c>
      <c r="M107" s="10" t="n">
        <v>1</v>
      </c>
      <c r="N107" s="11" t="n"/>
      <c r="O107" s="11" t="n"/>
      <c r="P107" s="9" t="n"/>
    </row>
    <row r="108">
      <c r="A108" s="8" t="n"/>
      <c r="B108" s="9" t="inlineStr">
        <is>
          <t>Quạt cấp gió: SFAF-B3-Z3.03
- Hướng trục, nối ống gió
- Lưu lượng: 2500L/s@350Pa</t>
        </is>
      </c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inlineStr">
        <is>
          <t>Cái</t>
        </is>
      </c>
      <c r="M108" s="10" t="n">
        <v>1</v>
      </c>
      <c r="N108" s="11" t="n"/>
      <c r="O108" s="11" t="n"/>
      <c r="P108" s="9" t="n"/>
    </row>
    <row r="109">
      <c r="A109" s="8" t="n"/>
      <c r="B109" s="9" t="inlineStr">
        <is>
          <t>Quạt cấp gió: SFAF-B3-Z4.03
- Hướng trục, nối ống gió
- Lưu lượng: 4400L/s@350Pa</t>
        </is>
      </c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inlineStr">
        <is>
          <t>Cái</t>
        </is>
      </c>
      <c r="M109" s="10" t="n">
        <v>1</v>
      </c>
      <c r="N109" s="11" t="n"/>
      <c r="O109" s="11" t="n"/>
      <c r="P109" s="9" t="n"/>
    </row>
    <row r="110">
      <c r="A110" s="8" t="n"/>
      <c r="B110" s="9" t="inlineStr">
        <is>
          <t>Quạt cấp gió: SFAF-B3-Z5.03
- Hướng trục, nối ống gió
- Lưu lượng: 4000L/s@350Pa</t>
        </is>
      </c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inlineStr">
        <is>
          <t>Cái</t>
        </is>
      </c>
      <c r="M110" s="10" t="n">
        <v>1</v>
      </c>
      <c r="N110" s="11" t="n"/>
      <c r="O110" s="11" t="n"/>
      <c r="P110" s="9" t="n"/>
    </row>
    <row r="111">
      <c r="A111" s="8" t="n"/>
      <c r="B111" s="9" t="inlineStr">
        <is>
          <t>Quạt cấp gió: SFAF-B2-Z1.03
- Hướng trục, nối ống gió
- Lưu lượng: 4700L/s@350Pa</t>
        </is>
      </c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inlineStr">
        <is>
          <t>Cái</t>
        </is>
      </c>
      <c r="M111" s="10" t="n">
        <v>1</v>
      </c>
      <c r="N111" s="11" t="n"/>
      <c r="O111" s="11" t="n"/>
      <c r="P111" s="9" t="n"/>
    </row>
    <row r="112">
      <c r="A112" s="8" t="n"/>
      <c r="B112" s="9" t="inlineStr">
        <is>
          <t>Quạt cấp gió: SFAF-B2-Z2.03
- Hướng trục, nối ống gió
- Lưu lượng: 6300L/s@350Pa</t>
        </is>
      </c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inlineStr">
        <is>
          <t>Cái</t>
        </is>
      </c>
      <c r="M112" s="10" t="n">
        <v>1</v>
      </c>
      <c r="N112" s="11" t="n"/>
      <c r="O112" s="11" t="n"/>
      <c r="P112" s="9" t="n"/>
    </row>
    <row r="113">
      <c r="A113" s="8" t="n"/>
      <c r="B113" s="9" t="inlineStr">
        <is>
          <t>Quạt cấp gió: SFAF-B2-Z3.03
- Hướng trục, nối ống gió
- Lưu lượng: 4500L/s@350Pa</t>
        </is>
      </c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inlineStr">
        <is>
          <t>Cái</t>
        </is>
      </c>
      <c r="M113" s="10" t="n">
        <v>1</v>
      </c>
      <c r="N113" s="11" t="n"/>
      <c r="O113" s="11" t="n"/>
      <c r="P113" s="9" t="n"/>
    </row>
    <row r="114">
      <c r="A114" s="8" t="n"/>
      <c r="B114" s="9" t="inlineStr">
        <is>
          <t>Quạt cấp gió: SFAF-B2-Z4.03
- Hướng trục, nối ống gió
- Lưu lượng: 5100L/s@350Pa</t>
        </is>
      </c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inlineStr">
        <is>
          <t>Cái</t>
        </is>
      </c>
      <c r="M114" s="10" t="n">
        <v>1</v>
      </c>
      <c r="N114" s="11" t="n"/>
      <c r="O114" s="11" t="n"/>
      <c r="P114" s="9" t="n"/>
    </row>
    <row r="115">
      <c r="A115" s="8" t="n"/>
      <c r="B115" s="9" t="inlineStr">
        <is>
          <t>Quạt cấp gió: SFAF-B2-Z5.03
- Hướng trục, nối ống gió
- Lưu lượng: 4800L/s@350Pa</t>
        </is>
      </c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inlineStr">
        <is>
          <t>Cái</t>
        </is>
      </c>
      <c r="M115" s="10" t="n">
        <v>1</v>
      </c>
      <c r="N115" s="11" t="n"/>
      <c r="O115" s="11" t="n"/>
      <c r="P115" s="9" t="n"/>
    </row>
    <row r="116">
      <c r="A116" s="8" t="n"/>
      <c r="B116" s="9" t="inlineStr">
        <is>
          <t>Quạt cấp gió: SFAF-B1-Z1.03
- Hướng trục, nối ống gió
- Lưu lượng: 5200L/s@350Pa</t>
        </is>
      </c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inlineStr">
        <is>
          <t>Cái</t>
        </is>
      </c>
      <c r="M116" s="10" t="n">
        <v>1</v>
      </c>
      <c r="N116" s="11" t="n"/>
      <c r="O116" s="11" t="n"/>
      <c r="P116" s="9" t="n"/>
    </row>
    <row r="117">
      <c r="A117" s="8" t="n"/>
      <c r="B117" s="9" t="inlineStr">
        <is>
          <t>Quạt cấp gió: SFAF-B1-Z2.03
- Hướng trục, nối ống gió
- Lưu lượng: 4800L/s@350Pa</t>
        </is>
      </c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inlineStr">
        <is>
          <t>Cái</t>
        </is>
      </c>
      <c r="M117" s="10" t="n">
        <v>1</v>
      </c>
      <c r="N117" s="11" t="n"/>
      <c r="O117" s="11" t="n"/>
      <c r="P117" s="9" t="n"/>
    </row>
    <row r="118">
      <c r="A118" s="8" t="n"/>
      <c r="B118" s="9" t="inlineStr">
        <is>
          <t>Quạt cấp gió: SFAF-B1-Z3.03
- Hướng trục, nối ống gió
- Lưu lượng: 4300L/s@350Pa</t>
        </is>
      </c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inlineStr">
        <is>
          <t>Cái</t>
        </is>
      </c>
      <c r="M118" s="10" t="n">
        <v>1</v>
      </c>
      <c r="N118" s="11" t="n"/>
      <c r="O118" s="11" t="n"/>
      <c r="P118" s="9" t="n"/>
    </row>
    <row r="119">
      <c r="A119" s="8" t="n"/>
      <c r="B119" s="9" t="inlineStr">
        <is>
          <t>Quạt cấp gió: SFAF-B1-Z4.03
- Hướng trục, nối ống gió
- Lưu lượng: 4200L/s@350Pa</t>
        </is>
      </c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inlineStr">
        <is>
          <t>Cái</t>
        </is>
      </c>
      <c r="M119" s="10" t="n">
        <v>1</v>
      </c>
      <c r="N119" s="11" t="n"/>
      <c r="O119" s="11" t="n"/>
      <c r="P119" s="9" t="n"/>
    </row>
    <row r="120">
      <c r="A120" s="8" t="n"/>
      <c r="B120" s="9" t="inlineStr">
        <is>
          <t>Quạt cấp gió: SFAF-B1-Z5.03
- Hướng trục, nối ống gió
- Lưu lượng: 5800L/s@350Pa</t>
        </is>
      </c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inlineStr">
        <is>
          <t>Cái</t>
        </is>
      </c>
      <c r="M120" s="10" t="n">
        <v>1</v>
      </c>
      <c r="N120" s="11" t="n"/>
      <c r="O120" s="11" t="n"/>
      <c r="P120" s="9" t="n"/>
    </row>
    <row r="121">
      <c r="A121" s="8" t="n"/>
      <c r="B121" s="9" t="inlineStr">
        <is>
          <t>Lò xo chống rung cho quạt</t>
        </is>
      </c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inlineStr">
        <is>
          <t>Cái</t>
        </is>
      </c>
      <c r="M121" s="10" t="n">
        <v>300</v>
      </c>
      <c r="N121" s="11" t="n"/>
      <c r="O121" s="11" t="n"/>
      <c r="P121" s="9" t="n"/>
    </row>
    <row r="122">
      <c r="A122" s="8" t="n"/>
      <c r="B122" s="9" t="inlineStr">
        <is>
          <t>Vật tư phụ lắp đặt thiết bị</t>
        </is>
      </c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inlineStr">
        <is>
          <t>Lô</t>
        </is>
      </c>
      <c r="M122" s="10" t="n">
        <v>1</v>
      </c>
      <c r="N122" s="11" t="n"/>
      <c r="O122" s="11" t="n"/>
      <c r="P122" s="9" t="n"/>
    </row>
    <row r="123">
      <c r="A123" s="6" t="n"/>
      <c r="B123" s="7" t="inlineStr">
        <is>
          <t>Vật tư đường ống hút khói, cấp khí tươi (Tầng Hầm)</t>
        </is>
      </c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</row>
    <row r="124">
      <c r="A124" s="6" t="n"/>
      <c r="B124" s="7" t="inlineStr">
        <is>
          <t>Miệng gió thải khói tầng hầm</t>
        </is>
      </c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</row>
    <row r="125">
      <c r="A125" s="8" t="n"/>
      <c r="B125" s="9" t="inlineStr">
        <is>
          <t>Miệng gió thải khói tầng hầm SEG + OBD : 800x400
Kèm box gió</t>
        </is>
      </c>
      <c r="C125" s="8" t="inlineStr">
        <is>
          <t>SDG+O</t>
        </is>
      </c>
      <c r="D125" s="8" t="inlineStr">
        <is>
          <t>SWIND</t>
        </is>
      </c>
      <c r="E125" s="8" t="n">
        <v>800</v>
      </c>
      <c r="F125" s="8" t="n">
        <v>400</v>
      </c>
      <c r="G125" s="8" t="n">
        <v>750</v>
      </c>
      <c r="H125" s="8" t="n">
        <v>350</v>
      </c>
      <c r="I125" s="8" t="n"/>
      <c r="J125" s="8" t="n"/>
      <c r="K125" s="8" t="n"/>
      <c r="L125" s="8" t="inlineStr">
        <is>
          <t>Cái</t>
        </is>
      </c>
      <c r="M125" s="10" t="n">
        <v>354</v>
      </c>
      <c r="N125" s="10" t="n">
        <v>480000</v>
      </c>
      <c r="O125" s="10">
        <f>ROUNDUP(N125*M125, -2)</f>
        <v/>
      </c>
      <c r="P125" s="9" t="inlineStr">
        <is>
          <t>Cửa nan thẳng bầu dục kèm van OBD (tăng áp / hút khói). Không tính box do nhà thầu tự thi công</t>
        </is>
      </c>
    </row>
    <row r="126">
      <c r="A126" s="6" t="n"/>
      <c r="B126" s="7" t="inlineStr">
        <is>
          <t>Miệng cấp gió tươi &amp; cấp khí bù tầng hầm</t>
        </is>
      </c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</row>
    <row r="127">
      <c r="A127" s="8" t="n"/>
      <c r="B127" s="9" t="inlineStr">
        <is>
          <t>Miệng gió cấp FAG 800x400 + OBD
Kèm box gió</t>
        </is>
      </c>
      <c r="C127" s="8" t="inlineStr">
        <is>
          <t>SDG+O</t>
        </is>
      </c>
      <c r="D127" s="8" t="inlineStr">
        <is>
          <t>SWIND</t>
        </is>
      </c>
      <c r="E127" s="8" t="n">
        <v>800</v>
      </c>
      <c r="F127" s="8" t="n">
        <v>400</v>
      </c>
      <c r="G127" s="8" t="n">
        <v>750</v>
      </c>
      <c r="H127" s="8" t="n">
        <v>350</v>
      </c>
      <c r="I127" s="8" t="n"/>
      <c r="J127" s="8" t="n"/>
      <c r="K127" s="8" t="n"/>
      <c r="L127" s="8" t="inlineStr">
        <is>
          <t>Cái</t>
        </is>
      </c>
      <c r="M127" s="10" t="n">
        <v>375</v>
      </c>
      <c r="N127" s="10" t="n">
        <v>480000</v>
      </c>
      <c r="O127" s="10">
        <f>ROUNDUP(N127*M127, -2)</f>
        <v/>
      </c>
      <c r="P127" s="9" t="inlineStr">
        <is>
          <t>Cửa nan bầu dục 1 lớp kèm van OBD. Không tính box do nhà thầu tự thi công</t>
        </is>
      </c>
    </row>
    <row r="128">
      <c r="A128" s="8" t="n"/>
      <c r="B128" s="9" t="inlineStr">
        <is>
          <t>Miệng gió cấp khí bù 1200x1000</t>
        </is>
      </c>
      <c r="C128" s="8" t="inlineStr">
        <is>
          <t>WL</t>
        </is>
      </c>
      <c r="D128" s="8" t="inlineStr">
        <is>
          <t>SWIND</t>
        </is>
      </c>
      <c r="E128" s="8" t="n">
        <v>1200</v>
      </c>
      <c r="F128" s="8" t="n">
        <v>1000</v>
      </c>
      <c r="G128" s="8" t="n">
        <v>1150</v>
      </c>
      <c r="H128" s="8" t="n">
        <v>950</v>
      </c>
      <c r="I128" s="8" t="n"/>
      <c r="J128" s="8" t="n"/>
      <c r="K128" s="8" t="n"/>
      <c r="L128" s="8" t="inlineStr">
        <is>
          <t>Cái</t>
        </is>
      </c>
      <c r="M128" s="10" t="n">
        <v>1</v>
      </c>
      <c r="N128" s="10" t="n">
        <v>1473000</v>
      </c>
      <c r="O128" s="10">
        <f>ROUNDUP(N128*M128, -2)</f>
        <v/>
      </c>
      <c r="P128" s="9" t="inlineStr">
        <is>
          <t>Louver nan Z ngoài trời</t>
        </is>
      </c>
    </row>
    <row r="129">
      <c r="A129" s="8" t="n"/>
      <c r="B129" s="9" t="inlineStr">
        <is>
          <t>Miệng gió cấp khí bù 1700x1000</t>
        </is>
      </c>
      <c r="C129" s="8" t="inlineStr">
        <is>
          <t>WL</t>
        </is>
      </c>
      <c r="D129" s="8" t="inlineStr">
        <is>
          <t>SWIND</t>
        </is>
      </c>
      <c r="E129" s="8" t="n">
        <v>1700</v>
      </c>
      <c r="F129" s="8" t="n">
        <v>1000</v>
      </c>
      <c r="G129" s="8" t="n">
        <v>1650</v>
      </c>
      <c r="H129" s="8" t="n">
        <v>950</v>
      </c>
      <c r="I129" s="8" t="n"/>
      <c r="J129" s="8" t="n"/>
      <c r="K129" s="8" t="n"/>
      <c r="L129" s="8" t="inlineStr">
        <is>
          <t>Cái</t>
        </is>
      </c>
      <c r="M129" s="10" t="n">
        <v>1</v>
      </c>
      <c r="N129" s="10" t="n">
        <v>2052000</v>
      </c>
      <c r="O129" s="10">
        <f>ROUNDUP(N129*M129, -2)</f>
        <v/>
      </c>
      <c r="P129" s="9" t="inlineStr">
        <is>
          <t>Louver nan Z ngoài trời</t>
        </is>
      </c>
    </row>
    <row r="130">
      <c r="A130" s="8" t="n"/>
      <c r="B130" s="9" t="inlineStr">
        <is>
          <t>Miệng gió cấp khí bù 1750x1200</t>
        </is>
      </c>
      <c r="C130" s="8" t="inlineStr">
        <is>
          <t>WL</t>
        </is>
      </c>
      <c r="D130" s="8" t="inlineStr">
        <is>
          <t>SWIND</t>
        </is>
      </c>
      <c r="E130" s="8" t="n">
        <v>1750</v>
      </c>
      <c r="F130" s="8" t="n">
        <v>1200</v>
      </c>
      <c r="G130" s="8" t="n">
        <v>1700</v>
      </c>
      <c r="H130" s="8" t="n">
        <v>1150</v>
      </c>
      <c r="I130" s="8" t="n"/>
      <c r="J130" s="8" t="n"/>
      <c r="K130" s="8" t="n"/>
      <c r="L130" s="8" t="inlineStr">
        <is>
          <t>Cái</t>
        </is>
      </c>
      <c r="M130" s="10" t="n">
        <v>1</v>
      </c>
      <c r="N130" s="10" t="n">
        <v>2564000</v>
      </c>
      <c r="O130" s="10">
        <f>ROUNDUP(N130*M130, -2)</f>
        <v/>
      </c>
      <c r="P130" s="9" t="inlineStr">
        <is>
          <t>Louver nan Z ngoài trời</t>
        </is>
      </c>
    </row>
    <row r="131">
      <c r="A131" s="8" t="n"/>
      <c r="B131" s="9" t="inlineStr">
        <is>
          <t>Miệng gió cấp khí bù 1800x1000</t>
        </is>
      </c>
      <c r="C131" s="8" t="inlineStr">
        <is>
          <t>WL</t>
        </is>
      </c>
      <c r="D131" s="8" t="inlineStr">
        <is>
          <t>SWIND</t>
        </is>
      </c>
      <c r="E131" s="8" t="n">
        <v>1800</v>
      </c>
      <c r="F131" s="8" t="n">
        <v>1000</v>
      </c>
      <c r="G131" s="8" t="n">
        <v>1750</v>
      </c>
      <c r="H131" s="8" t="n">
        <v>950</v>
      </c>
      <c r="I131" s="8" t="n"/>
      <c r="J131" s="8" t="n"/>
      <c r="K131" s="8" t="n"/>
      <c r="L131" s="8" t="inlineStr">
        <is>
          <t>Cái</t>
        </is>
      </c>
      <c r="M131" s="10" t="n">
        <v>2</v>
      </c>
      <c r="N131" s="10" t="n">
        <v>2168000</v>
      </c>
      <c r="O131" s="10">
        <f>ROUNDUP(N131*M131, -2)</f>
        <v/>
      </c>
      <c r="P131" s="9" t="inlineStr">
        <is>
          <t>Louver nan Z ngoài trời</t>
        </is>
      </c>
    </row>
    <row r="132">
      <c r="A132" s="8" t="n"/>
      <c r="B132" s="9" t="inlineStr">
        <is>
          <t>Miệng gió cấp khí bù 1800x1200</t>
        </is>
      </c>
      <c r="C132" s="8" t="inlineStr">
        <is>
          <t>WL</t>
        </is>
      </c>
      <c r="D132" s="8" t="inlineStr">
        <is>
          <t>SWIND</t>
        </is>
      </c>
      <c r="E132" s="8" t="n">
        <v>1800</v>
      </c>
      <c r="F132" s="8" t="n">
        <v>1200</v>
      </c>
      <c r="G132" s="8" t="n">
        <v>1750</v>
      </c>
      <c r="H132" s="8" t="n">
        <v>1150</v>
      </c>
      <c r="I132" s="8" t="n"/>
      <c r="J132" s="8" t="n"/>
      <c r="K132" s="8" t="n"/>
      <c r="L132" s="8" t="inlineStr">
        <is>
          <t>Cái</t>
        </is>
      </c>
      <c r="M132" s="10" t="n">
        <v>2</v>
      </c>
      <c r="N132" s="10" t="n">
        <v>2634000</v>
      </c>
      <c r="O132" s="10">
        <f>ROUNDUP(N132*M132, -2)</f>
        <v/>
      </c>
      <c r="P132" s="9" t="inlineStr">
        <is>
          <t>Louver nan Z ngoài trời</t>
        </is>
      </c>
    </row>
    <row r="133">
      <c r="A133" s="8" t="n"/>
      <c r="B133" s="9" t="inlineStr">
        <is>
          <t>Miệng gió cấp khí bù 1900x1000</t>
        </is>
      </c>
      <c r="C133" s="8" t="inlineStr">
        <is>
          <t>WL</t>
        </is>
      </c>
      <c r="D133" s="8" t="inlineStr">
        <is>
          <t>SWIND</t>
        </is>
      </c>
      <c r="E133" s="8" t="n">
        <v>1900</v>
      </c>
      <c r="F133" s="8" t="n">
        <v>1000</v>
      </c>
      <c r="G133" s="8" t="n">
        <v>1850</v>
      </c>
      <c r="H133" s="8" t="n">
        <v>950</v>
      </c>
      <c r="I133" s="8" t="n"/>
      <c r="J133" s="8" t="n"/>
      <c r="K133" s="8" t="n"/>
      <c r="L133" s="8" t="inlineStr">
        <is>
          <t>Cái</t>
        </is>
      </c>
      <c r="M133" s="10" t="n">
        <v>2</v>
      </c>
      <c r="N133" s="10" t="n">
        <v>2284000</v>
      </c>
      <c r="O133" s="10">
        <f>ROUNDUP(N133*M133, -2)</f>
        <v/>
      </c>
      <c r="P133" s="9" t="inlineStr">
        <is>
          <t>Louver nan Z ngoài trời</t>
        </is>
      </c>
    </row>
    <row r="134">
      <c r="A134" s="8" t="n"/>
      <c r="B134" s="9" t="inlineStr">
        <is>
          <t>Miệng gió cấp khí bù 2000x1000</t>
        </is>
      </c>
      <c r="C134" s="8" t="inlineStr">
        <is>
          <t>WL</t>
        </is>
      </c>
      <c r="D134" s="8" t="inlineStr">
        <is>
          <t>SWIND</t>
        </is>
      </c>
      <c r="E134" s="8" t="n">
        <v>2000</v>
      </c>
      <c r="F134" s="8" t="n">
        <v>1000</v>
      </c>
      <c r="G134" s="8" t="n">
        <v>1950</v>
      </c>
      <c r="H134" s="8" t="n">
        <v>950</v>
      </c>
      <c r="I134" s="8" t="n"/>
      <c r="J134" s="8" t="n"/>
      <c r="K134" s="8" t="n"/>
      <c r="L134" s="8" t="inlineStr">
        <is>
          <t>Cái</t>
        </is>
      </c>
      <c r="M134" s="10" t="n">
        <v>1</v>
      </c>
      <c r="N134" s="10" t="n">
        <v>2400000</v>
      </c>
      <c r="O134" s="10">
        <f>ROUNDUP(N134*M134, -2)</f>
        <v/>
      </c>
      <c r="P134" s="9" t="inlineStr">
        <is>
          <t>Louver nan Z ngoài trời</t>
        </is>
      </c>
    </row>
    <row r="135">
      <c r="A135" s="8" t="n"/>
      <c r="B135" s="9" t="inlineStr">
        <is>
          <t>Miệng gió cấp khí bù 2100x1000</t>
        </is>
      </c>
      <c r="C135" s="8" t="inlineStr">
        <is>
          <t>WL</t>
        </is>
      </c>
      <c r="D135" s="8" t="inlineStr">
        <is>
          <t>SWIND</t>
        </is>
      </c>
      <c r="E135" s="8" t="n">
        <v>2100</v>
      </c>
      <c r="F135" s="8" t="n">
        <v>1000</v>
      </c>
      <c r="G135" s="8" t="n">
        <v>2050</v>
      </c>
      <c r="H135" s="8" t="n">
        <v>950</v>
      </c>
      <c r="I135" s="8" t="n"/>
      <c r="J135" s="8" t="n"/>
      <c r="K135" s="8" t="n"/>
      <c r="L135" s="8" t="inlineStr">
        <is>
          <t>Cái</t>
        </is>
      </c>
      <c r="M135" s="10" t="n">
        <v>2</v>
      </c>
      <c r="N135" s="10" t="n">
        <v>2516000</v>
      </c>
      <c r="O135" s="10">
        <f>ROUNDUP(N135*M135, -2)</f>
        <v/>
      </c>
      <c r="P135" s="9" t="inlineStr">
        <is>
          <t>Louver nan Z ngoài trời</t>
        </is>
      </c>
    </row>
    <row r="136">
      <c r="A136" s="8" t="n"/>
      <c r="B136" s="9" t="inlineStr">
        <is>
          <t>Miệng gió cấp khí bù 2200x1000</t>
        </is>
      </c>
      <c r="C136" s="8" t="inlineStr">
        <is>
          <t>WL</t>
        </is>
      </c>
      <c r="D136" s="8" t="inlineStr">
        <is>
          <t>SWIND</t>
        </is>
      </c>
      <c r="E136" s="8" t="n">
        <v>2200</v>
      </c>
      <c r="F136" s="8" t="n">
        <v>1000</v>
      </c>
      <c r="G136" s="8" t="n">
        <v>2150</v>
      </c>
      <c r="H136" s="8" t="n">
        <v>950</v>
      </c>
      <c r="I136" s="8" t="n"/>
      <c r="J136" s="8" t="n"/>
      <c r="K136" s="8" t="n"/>
      <c r="L136" s="8" t="inlineStr">
        <is>
          <t>Cái</t>
        </is>
      </c>
      <c r="M136" s="10" t="n">
        <v>3</v>
      </c>
      <c r="N136" s="10" t="n">
        <v>2632000</v>
      </c>
      <c r="O136" s="10">
        <f>ROUNDUP(N136*M136, -2)</f>
        <v/>
      </c>
      <c r="P136" s="9" t="inlineStr">
        <is>
          <t>Louver nan Z ngoài trời</t>
        </is>
      </c>
    </row>
    <row r="137">
      <c r="A137" s="8" t="n"/>
      <c r="B137" s="9" t="inlineStr">
        <is>
          <t>Miệng gió cấp khí bù 2200x1200</t>
        </is>
      </c>
      <c r="C137" s="8" t="inlineStr">
        <is>
          <t>WL</t>
        </is>
      </c>
      <c r="D137" s="8" t="inlineStr">
        <is>
          <t>SWIND</t>
        </is>
      </c>
      <c r="E137" s="8" t="n">
        <v>2200</v>
      </c>
      <c r="F137" s="8" t="n">
        <v>1200</v>
      </c>
      <c r="G137" s="8" t="n">
        <v>2150</v>
      </c>
      <c r="H137" s="8" t="n">
        <v>1150</v>
      </c>
      <c r="I137" s="8" t="n"/>
      <c r="J137" s="8" t="n"/>
      <c r="K137" s="8" t="n"/>
      <c r="L137" s="8" t="inlineStr">
        <is>
          <t>Cái</t>
        </is>
      </c>
      <c r="M137" s="10" t="n">
        <v>1</v>
      </c>
      <c r="N137" s="10" t="n">
        <v>3198000</v>
      </c>
      <c r="O137" s="10">
        <f>ROUNDUP(N137*M137, -2)</f>
        <v/>
      </c>
      <c r="P137" s="9" t="inlineStr">
        <is>
          <t>Louver nan Z ngoài trời</t>
        </is>
      </c>
    </row>
    <row r="138">
      <c r="A138" s="6" t="n"/>
      <c r="B138" s="7" t="inlineStr">
        <is>
          <t>Louver thải gió</t>
        </is>
      </c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</row>
    <row r="139">
      <c r="A139" s="8" t="n"/>
      <c r="B139" s="9" t="inlineStr">
        <is>
          <t>Louver thải gió EAL + LCCT 1000x4000</t>
        </is>
      </c>
      <c r="C139" s="8" t="inlineStr">
        <is>
          <t>WL+N</t>
        </is>
      </c>
      <c r="D139" s="8" t="inlineStr">
        <is>
          <t>SWIND</t>
        </is>
      </c>
      <c r="E139" s="8" t="n">
        <v>1000</v>
      </c>
      <c r="F139" s="8" t="n">
        <v>4000</v>
      </c>
      <c r="G139" s="8" t="n">
        <v>950</v>
      </c>
      <c r="H139" s="8" t="n">
        <v>3950</v>
      </c>
      <c r="I139" s="8" t="n"/>
      <c r="J139" s="8" t="n"/>
      <c r="K139" s="8" t="n"/>
      <c r="L139" s="8" t="inlineStr">
        <is>
          <t>Cái</t>
        </is>
      </c>
      <c r="M139" s="10" t="n">
        <v>1</v>
      </c>
      <c r="N139" s="10" t="n">
        <v>5403000</v>
      </c>
      <c r="O139" s="10">
        <f>ROUNDUP(N139*M139, -2)</f>
        <v/>
      </c>
      <c r="P139" s="9" t="inlineStr">
        <is>
          <t>Louver nan Z ngoài trời kèm lưới chắn côn trùng Inox 304</t>
        </is>
      </c>
    </row>
    <row r="140">
      <c r="A140" s="8" t="n"/>
      <c r="B140" s="9" t="inlineStr">
        <is>
          <t>Louver thải gió EAL + LCCT 1550x2200</t>
        </is>
      </c>
      <c r="C140" s="8" t="inlineStr">
        <is>
          <t>WL+N</t>
        </is>
      </c>
      <c r="D140" s="8" t="inlineStr">
        <is>
          <t>SWIND</t>
        </is>
      </c>
      <c r="E140" s="8" t="n">
        <v>1550</v>
      </c>
      <c r="F140" s="8" t="n">
        <v>2200</v>
      </c>
      <c r="G140" s="8" t="n">
        <v>1500</v>
      </c>
      <c r="H140" s="8" t="n">
        <v>2150</v>
      </c>
      <c r="I140" s="8" t="n"/>
      <c r="J140" s="8" t="n"/>
      <c r="K140" s="8" t="n"/>
      <c r="L140" s="8" t="inlineStr">
        <is>
          <t>Cái</t>
        </is>
      </c>
      <c r="M140" s="10" t="n">
        <v>2</v>
      </c>
      <c r="N140" s="10" t="n">
        <v>4557000</v>
      </c>
      <c r="O140" s="10">
        <f>ROUNDUP(N140*M140, -2)</f>
        <v/>
      </c>
      <c r="P140" s="9" t="inlineStr">
        <is>
          <t>Louver nan Z ngoài trời kèm lưới chắn côn trùng Inox 304</t>
        </is>
      </c>
    </row>
    <row r="141">
      <c r="A141" s="8" t="n"/>
      <c r="B141" s="9" t="inlineStr">
        <is>
          <t>Louver thải gió EAL + LCCT 1700x2100</t>
        </is>
      </c>
      <c r="C141" s="8" t="inlineStr">
        <is>
          <t>WL+N</t>
        </is>
      </c>
      <c r="D141" s="8" t="inlineStr">
        <is>
          <t>SWIND</t>
        </is>
      </c>
      <c r="E141" s="8" t="n">
        <v>1700</v>
      </c>
      <c r="F141" s="8" t="n">
        <v>2100</v>
      </c>
      <c r="G141" s="8" t="n">
        <v>1650</v>
      </c>
      <c r="H141" s="8" t="n">
        <v>2050</v>
      </c>
      <c r="I141" s="8" t="n"/>
      <c r="J141" s="8" t="n"/>
      <c r="K141" s="8" t="n"/>
      <c r="L141" s="8" t="inlineStr">
        <is>
          <t>Cái</t>
        </is>
      </c>
      <c r="M141" s="10" t="n">
        <v>3</v>
      </c>
      <c r="N141" s="10" t="n">
        <v>4778000</v>
      </c>
      <c r="O141" s="10">
        <f>ROUNDUP(N141*M141, -2)</f>
        <v/>
      </c>
      <c r="P141" s="9" t="inlineStr">
        <is>
          <t>Louver nan Z ngoài trời kèm lưới chắn côn trùng Inox 304</t>
        </is>
      </c>
    </row>
    <row r="142">
      <c r="A142" s="8" t="n"/>
      <c r="B142" s="9" t="inlineStr">
        <is>
          <t>Louver thải gió EAL + LCCT 2000x2100</t>
        </is>
      </c>
      <c r="C142" s="8" t="inlineStr">
        <is>
          <t>WL+N</t>
        </is>
      </c>
      <c r="D142" s="8" t="inlineStr">
        <is>
          <t>SWIND</t>
        </is>
      </c>
      <c r="E142" s="8" t="n">
        <v>2000</v>
      </c>
      <c r="F142" s="8" t="n">
        <v>2100</v>
      </c>
      <c r="G142" s="8" t="n">
        <v>1950</v>
      </c>
      <c r="H142" s="8" t="n">
        <v>2050</v>
      </c>
      <c r="I142" s="8" t="n"/>
      <c r="J142" s="8" t="n"/>
      <c r="K142" s="8" t="n"/>
      <c r="L142" s="8" t="inlineStr">
        <is>
          <t>Cái</t>
        </is>
      </c>
      <c r="M142" s="10" t="n">
        <v>2</v>
      </c>
      <c r="N142" s="10" t="n">
        <v>5595000</v>
      </c>
      <c r="O142" s="10">
        <f>ROUNDUP(N142*M142, -2)</f>
        <v/>
      </c>
      <c r="P142" s="9" t="inlineStr">
        <is>
          <t>Louver nan Z ngoài trời kèm lưới chắn côn trùng Inox 304</t>
        </is>
      </c>
    </row>
    <row r="143">
      <c r="A143" s="8" t="n"/>
      <c r="B143" s="9" t="inlineStr">
        <is>
          <t>Louver thải gió EAL + LCCT 2500x2100</t>
        </is>
      </c>
      <c r="C143" s="8" t="inlineStr">
        <is>
          <t>WL+N</t>
        </is>
      </c>
      <c r="D143" s="8" t="inlineStr">
        <is>
          <t>SWIND</t>
        </is>
      </c>
      <c r="E143" s="8" t="n">
        <v>2500</v>
      </c>
      <c r="F143" s="8" t="n">
        <v>2100</v>
      </c>
      <c r="G143" s="8" t="n">
        <v>2450</v>
      </c>
      <c r="H143" s="8" t="n">
        <v>2050</v>
      </c>
      <c r="I143" s="8" t="n"/>
      <c r="J143" s="8" t="n"/>
      <c r="K143" s="8" t="n"/>
      <c r="L143" s="8" t="inlineStr">
        <is>
          <t>Cái</t>
        </is>
      </c>
      <c r="M143" s="10" t="n">
        <v>2</v>
      </c>
      <c r="N143" s="10" t="n">
        <v>6954000</v>
      </c>
      <c r="O143" s="10">
        <f>ROUNDUP(N143*M143, -2)</f>
        <v/>
      </c>
      <c r="P143" s="9" t="inlineStr">
        <is>
          <t>Louver nan Z ngoài trời kèm lưới chắn côn trùng Inox 304</t>
        </is>
      </c>
    </row>
    <row r="144">
      <c r="A144" s="8" t="n"/>
      <c r="B144" s="9" t="inlineStr">
        <is>
          <t>Louver thải gió EAL + LCCT 2600x4000</t>
        </is>
      </c>
      <c r="C144" s="8" t="inlineStr">
        <is>
          <t>WL+N</t>
        </is>
      </c>
      <c r="D144" s="8" t="inlineStr">
        <is>
          <t>SWIND</t>
        </is>
      </c>
      <c r="E144" s="8" t="n">
        <v>2600</v>
      </c>
      <c r="F144" s="8" t="n">
        <v>4000</v>
      </c>
      <c r="G144" s="8" t="n">
        <v>2550</v>
      </c>
      <c r="H144" s="8" t="n">
        <v>3950</v>
      </c>
      <c r="I144" s="8" t="n"/>
      <c r="J144" s="8" t="n"/>
      <c r="K144" s="8" t="n"/>
      <c r="L144" s="8" t="inlineStr">
        <is>
          <t>Cái</t>
        </is>
      </c>
      <c r="M144" s="10" t="n">
        <v>1</v>
      </c>
      <c r="N144" s="10" t="n">
        <v>13584000</v>
      </c>
      <c r="O144" s="10">
        <f>ROUNDUP(N144*M144, -2)</f>
        <v/>
      </c>
      <c r="P144" s="9" t="inlineStr">
        <is>
          <t>Louver nan Z ngoài trời kèm lưới chắn côn trùng Inox 304</t>
        </is>
      </c>
    </row>
    <row r="145">
      <c r="A145" s="8" t="n"/>
      <c r="B145" s="9" t="inlineStr">
        <is>
          <t>Louver thải gió EAL + LCCT 3000x4000</t>
        </is>
      </c>
      <c r="C145" s="8" t="inlineStr">
        <is>
          <t>WL+N</t>
        </is>
      </c>
      <c r="D145" s="8" t="inlineStr">
        <is>
          <t>SWIND</t>
        </is>
      </c>
      <c r="E145" s="8" t="n">
        <v>3000</v>
      </c>
      <c r="F145" s="8" t="n">
        <v>4000</v>
      </c>
      <c r="G145" s="8" t="n">
        <v>2950</v>
      </c>
      <c r="H145" s="8" t="n">
        <v>3950</v>
      </c>
      <c r="I145" s="8" t="n"/>
      <c r="J145" s="8" t="n"/>
      <c r="K145" s="8" t="n"/>
      <c r="L145" s="8" t="inlineStr">
        <is>
          <t>Cái</t>
        </is>
      </c>
      <c r="M145" s="10" t="n">
        <v>1</v>
      </c>
      <c r="N145" s="10" t="n">
        <v>15630000</v>
      </c>
      <c r="O145" s="10">
        <f>ROUNDUP(N145*M145, -2)</f>
        <v/>
      </c>
      <c r="P145" s="9" t="inlineStr">
        <is>
          <t>Louver nan Z ngoài trời kèm lưới chắn côn trùng Inox 304</t>
        </is>
      </c>
    </row>
    <row r="146">
      <c r="A146" s="8" t="n"/>
      <c r="B146" s="9" t="inlineStr">
        <is>
          <t>Louver thải gió EAL + LCCT 4100x2200</t>
        </is>
      </c>
      <c r="C146" s="8" t="inlineStr">
        <is>
          <t>WL+N</t>
        </is>
      </c>
      <c r="D146" s="8" t="inlineStr">
        <is>
          <t>SWIND</t>
        </is>
      </c>
      <c r="E146" s="8" t="n">
        <v>4100</v>
      </c>
      <c r="F146" s="8" t="n">
        <v>2200</v>
      </c>
      <c r="G146" s="8" t="n">
        <v>4050</v>
      </c>
      <c r="H146" s="8" t="n">
        <v>2150</v>
      </c>
      <c r="I146" s="8" t="n"/>
      <c r="J146" s="8" t="n"/>
      <c r="K146" s="8" t="n"/>
      <c r="L146" s="8" t="inlineStr">
        <is>
          <t>Cái</t>
        </is>
      </c>
      <c r="M146" s="10" t="n">
        <v>1</v>
      </c>
      <c r="N146" s="10" t="n">
        <v>11789000</v>
      </c>
      <c r="O146" s="10">
        <f>ROUNDUP(N146*M146, -2)</f>
        <v/>
      </c>
      <c r="P146" s="9" t="inlineStr">
        <is>
          <t>Louver nan Z ngoài trời kèm lưới chắn côn trùng Inox 304</t>
        </is>
      </c>
    </row>
    <row r="147">
      <c r="A147" s="6" t="n"/>
      <c r="B147" s="7" t="inlineStr">
        <is>
          <t>Louver lấy gió tươi</t>
        </is>
      </c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</row>
    <row r="148">
      <c r="A148" s="8" t="n"/>
      <c r="B148" s="9" t="inlineStr">
        <is>
          <t>Louver lấy gió tươi FAL + LCCT 1100x2800</t>
        </is>
      </c>
      <c r="C148" s="8" t="inlineStr">
        <is>
          <t>WL+N</t>
        </is>
      </c>
      <c r="D148" s="8" t="inlineStr">
        <is>
          <t>SWIND</t>
        </is>
      </c>
      <c r="E148" s="8" t="n">
        <v>1100</v>
      </c>
      <c r="F148" s="8" t="n">
        <v>2800</v>
      </c>
      <c r="G148" s="8" t="n">
        <v>1050</v>
      </c>
      <c r="H148" s="8" t="n">
        <v>2750</v>
      </c>
      <c r="I148" s="8" t="n"/>
      <c r="J148" s="8" t="n"/>
      <c r="K148" s="8" t="n"/>
      <c r="L148" s="8" t="inlineStr">
        <is>
          <t>Cái</t>
        </is>
      </c>
      <c r="M148" s="10" t="n">
        <v>1</v>
      </c>
      <c r="N148" s="10" t="n">
        <v>4141000</v>
      </c>
      <c r="O148" s="10">
        <f>ROUNDUP(N148*M148, -2)</f>
        <v/>
      </c>
      <c r="P148" s="9" t="inlineStr">
        <is>
          <t>Louver nan Z ngoài trời kèm lưới chắn côn trùng Inox 304</t>
        </is>
      </c>
    </row>
    <row r="149">
      <c r="A149" s="8" t="n"/>
      <c r="B149" s="9" t="inlineStr">
        <is>
          <t>Louver lấy gió tươi FAL + LCCT 1300x2400</t>
        </is>
      </c>
      <c r="C149" s="8" t="inlineStr">
        <is>
          <t>WL+N</t>
        </is>
      </c>
      <c r="D149" s="8" t="inlineStr">
        <is>
          <t>SWIND</t>
        </is>
      </c>
      <c r="E149" s="8" t="n">
        <v>1300</v>
      </c>
      <c r="F149" s="8" t="n">
        <v>2400</v>
      </c>
      <c r="G149" s="8" t="n">
        <v>1250</v>
      </c>
      <c r="H149" s="8" t="n">
        <v>2350</v>
      </c>
      <c r="I149" s="8" t="n"/>
      <c r="J149" s="8" t="n"/>
      <c r="K149" s="8" t="n"/>
      <c r="L149" s="8" t="inlineStr">
        <is>
          <t>Cái</t>
        </is>
      </c>
      <c r="M149" s="10" t="n">
        <v>4</v>
      </c>
      <c r="N149" s="10" t="n">
        <v>4163000</v>
      </c>
      <c r="O149" s="10">
        <f>ROUNDUP(N149*M149, -2)</f>
        <v/>
      </c>
      <c r="P149" s="9" t="inlineStr">
        <is>
          <t>Louver nan Z ngoài trời kèm lưới chắn côn trùng Inox 304</t>
        </is>
      </c>
    </row>
    <row r="150">
      <c r="A150" s="8" t="n"/>
      <c r="B150" s="9" t="inlineStr">
        <is>
          <t>Louver lấy gió tươi FAL + LCCT 3500x1200</t>
        </is>
      </c>
      <c r="C150" s="8" t="inlineStr">
        <is>
          <t>WL+N</t>
        </is>
      </c>
      <c r="D150" s="8" t="inlineStr">
        <is>
          <t>SWIND</t>
        </is>
      </c>
      <c r="E150" s="8" t="n">
        <v>3500</v>
      </c>
      <c r="F150" s="8" t="n">
        <v>1200</v>
      </c>
      <c r="G150" s="8" t="n">
        <v>3450</v>
      </c>
      <c r="H150" s="8" t="n">
        <v>1150</v>
      </c>
      <c r="I150" s="8" t="n"/>
      <c r="J150" s="8" t="n"/>
      <c r="K150" s="8" t="n"/>
      <c r="L150" s="8" t="inlineStr">
        <is>
          <t>Cái</t>
        </is>
      </c>
      <c r="M150" s="10" t="n">
        <v>1</v>
      </c>
      <c r="N150" s="10" t="n">
        <v>5626000</v>
      </c>
      <c r="O150" s="10">
        <f>ROUNDUP(N150*M150, -2)</f>
        <v/>
      </c>
      <c r="P150" s="9" t="inlineStr">
        <is>
          <t>Louver nan Z ngoài trời kèm lưới chắn côn trùng Inox 304</t>
        </is>
      </c>
    </row>
    <row r="151">
      <c r="A151" s="8" t="n"/>
      <c r="B151" s="9" t="inlineStr">
        <is>
          <t>Louver lấy gió tươi FAL + LCCT 3500x2800</t>
        </is>
      </c>
      <c r="C151" s="8" t="inlineStr">
        <is>
          <t>WL+N</t>
        </is>
      </c>
      <c r="D151" s="8" t="inlineStr">
        <is>
          <t>SWIND</t>
        </is>
      </c>
      <c r="E151" s="8" t="n">
        <v>3500</v>
      </c>
      <c r="F151" s="8" t="n">
        <v>2800</v>
      </c>
      <c r="G151" s="8" t="n">
        <v>3450</v>
      </c>
      <c r="H151" s="8" t="n">
        <v>2750</v>
      </c>
      <c r="I151" s="8" t="n"/>
      <c r="J151" s="8" t="n"/>
      <c r="K151" s="8" t="n"/>
      <c r="L151" s="8" t="inlineStr">
        <is>
          <t>Cái</t>
        </is>
      </c>
      <c r="M151" s="10" t="n">
        <v>1</v>
      </c>
      <c r="N151" s="10" t="n">
        <v>12729000</v>
      </c>
      <c r="O151" s="10">
        <f>ROUNDUP(N151*M151, -2)</f>
        <v/>
      </c>
      <c r="P151" s="9" t="inlineStr">
        <is>
          <t>Louver nan Z ngoài trời kèm lưới chắn côn trùng Inox 304</t>
        </is>
      </c>
    </row>
    <row r="152">
      <c r="A152" s="8" t="n"/>
      <c r="B152" s="9" t="inlineStr">
        <is>
          <t>Louver lấy gió tươi FAL + LCCT 3700x2400</t>
        </is>
      </c>
      <c r="C152" s="8" t="inlineStr">
        <is>
          <t>WL+N</t>
        </is>
      </c>
      <c r="D152" s="8" t="inlineStr">
        <is>
          <t>SWIND</t>
        </is>
      </c>
      <c r="E152" s="8" t="n">
        <v>3700</v>
      </c>
      <c r="F152" s="8" t="n">
        <v>2400</v>
      </c>
      <c r="G152" s="8" t="n">
        <v>3650</v>
      </c>
      <c r="H152" s="8" t="n">
        <v>2350</v>
      </c>
      <c r="I152" s="8" t="n"/>
      <c r="J152" s="8" t="n"/>
      <c r="K152" s="8" t="n"/>
      <c r="L152" s="8" t="inlineStr">
        <is>
          <t>Cái</t>
        </is>
      </c>
      <c r="M152" s="10" t="n">
        <v>2</v>
      </c>
      <c r="N152" s="10" t="n">
        <v>11524000</v>
      </c>
      <c r="O152" s="10">
        <f>ROUNDUP(N152*M152, -2)</f>
        <v/>
      </c>
      <c r="P152" s="9" t="inlineStr">
        <is>
          <t>Louver nan Z ngoài trời kèm lưới chắn côn trùng Inox 304</t>
        </is>
      </c>
    </row>
    <row r="153">
      <c r="A153" s="8" t="n"/>
      <c r="B153" s="9" t="inlineStr">
        <is>
          <t>Louver lấy gió tươi FAL + LCCT 3900x2800</t>
        </is>
      </c>
      <c r="C153" s="8" t="inlineStr">
        <is>
          <t>WL+N</t>
        </is>
      </c>
      <c r="D153" s="8" t="inlineStr">
        <is>
          <t>SWIND</t>
        </is>
      </c>
      <c r="E153" s="8" t="n">
        <v>3900</v>
      </c>
      <c r="F153" s="8" t="n">
        <v>2800</v>
      </c>
      <c r="G153" s="8" t="n">
        <v>3850</v>
      </c>
      <c r="H153" s="8" t="n">
        <v>2750</v>
      </c>
      <c r="I153" s="8" t="n"/>
      <c r="J153" s="8" t="n"/>
      <c r="K153" s="8" t="n"/>
      <c r="L153" s="8" t="inlineStr">
        <is>
          <t>Cái</t>
        </is>
      </c>
      <c r="M153" s="10" t="n">
        <v>1</v>
      </c>
      <c r="N153" s="10" t="n">
        <v>14160000</v>
      </c>
      <c r="O153" s="10">
        <f>ROUNDUP(N153*M153, -2)</f>
        <v/>
      </c>
      <c r="P153" s="9" t="inlineStr">
        <is>
          <t>Louver nan Z ngoài trời kèm lưới chắn côn trùng Inox 304</t>
        </is>
      </c>
    </row>
    <row r="154">
      <c r="A154" s="8" t="n"/>
      <c r="B154" s="9" t="inlineStr">
        <is>
          <t>Louver lấy gió tươi FAL + LCCT 4800x2400</t>
        </is>
      </c>
      <c r="C154" s="8" t="inlineStr">
        <is>
          <t>WL+N</t>
        </is>
      </c>
      <c r="D154" s="8" t="inlineStr">
        <is>
          <t>SWIND</t>
        </is>
      </c>
      <c r="E154" s="8" t="n">
        <v>4800</v>
      </c>
      <c r="F154" s="8" t="n">
        <v>2400</v>
      </c>
      <c r="G154" s="8" t="n">
        <v>4750</v>
      </c>
      <c r="H154" s="8" t="n">
        <v>2350</v>
      </c>
      <c r="I154" s="8" t="n"/>
      <c r="J154" s="8" t="n"/>
      <c r="K154" s="8" t="n"/>
      <c r="L154" s="8" t="inlineStr">
        <is>
          <t>Cái</t>
        </is>
      </c>
      <c r="M154" s="10" t="n">
        <v>1</v>
      </c>
      <c r="N154" s="10" t="n">
        <v>14897000</v>
      </c>
      <c r="O154" s="10">
        <f>ROUNDUP(N154*M154, -2)</f>
        <v/>
      </c>
      <c r="P154" s="9" t="inlineStr">
        <is>
          <t>Louver nan Z ngoài trời kèm lưới chắn côn trùng Inox 304</t>
        </is>
      </c>
    </row>
    <row r="155">
      <c r="A155" s="6" t="n"/>
      <c r="B155" s="7" t="inlineStr">
        <is>
          <t>Van gió</t>
        </is>
      </c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</row>
    <row r="156">
      <c r="A156" s="8" t="n"/>
      <c r="B156" s="9" t="inlineStr">
        <is>
          <t>Van một chiều NRD 1000x350</t>
        </is>
      </c>
      <c r="C156" s="8" t="inlineStr">
        <is>
          <t>NRD</t>
        </is>
      </c>
      <c r="D156" s="8" t="inlineStr">
        <is>
          <t>SWIND</t>
        </is>
      </c>
      <c r="E156" s="8" t="n">
        <v>1000</v>
      </c>
      <c r="F156" s="8" t="n">
        <v>350</v>
      </c>
      <c r="G156" s="8" t="n"/>
      <c r="H156" s="8" t="n"/>
      <c r="I156" s="8" t="n"/>
      <c r="J156" s="8" t="n">
        <v>200</v>
      </c>
      <c r="K156" s="12" t="n">
        <v>1.15</v>
      </c>
      <c r="L156" s="8" t="inlineStr">
        <is>
          <t>Cái</t>
        </is>
      </c>
      <c r="M156" s="10" t="n">
        <v>3</v>
      </c>
      <c r="N156" s="10" t="n">
        <v>897500</v>
      </c>
      <c r="O156" s="10">
        <f>ROUNDUP(N156*M156, -2)</f>
        <v/>
      </c>
      <c r="P156" s="9" t="inlineStr">
        <is>
          <t>Van 1 chiều tôn mạ kẽm</t>
        </is>
      </c>
    </row>
    <row r="157">
      <c r="A157" s="8" t="n"/>
      <c r="B157" s="9" t="inlineStr">
        <is>
          <t>Van một chiều NRD 1050x500</t>
        </is>
      </c>
      <c r="C157" s="8" t="inlineStr">
        <is>
          <t>NRD</t>
        </is>
      </c>
      <c r="D157" s="8" t="inlineStr">
        <is>
          <t>SWIND</t>
        </is>
      </c>
      <c r="E157" s="8" t="n">
        <v>1050</v>
      </c>
      <c r="F157" s="8" t="n">
        <v>500</v>
      </c>
      <c r="G157" s="8" t="n"/>
      <c r="H157" s="8" t="n"/>
      <c r="I157" s="8" t="n"/>
      <c r="J157" s="8" t="n">
        <v>200</v>
      </c>
      <c r="K157" s="12" t="n">
        <v>1.15</v>
      </c>
      <c r="L157" s="8" t="inlineStr">
        <is>
          <t>Cái</t>
        </is>
      </c>
      <c r="M157" s="10" t="n">
        <v>6</v>
      </c>
      <c r="N157" s="10" t="n">
        <v>1033750</v>
      </c>
      <c r="O157" s="10">
        <f>ROUNDUP(N157*M157, -2)</f>
        <v/>
      </c>
      <c r="P157" s="9" t="inlineStr">
        <is>
          <t>Van 1 chiều tôn mạ kẽm</t>
        </is>
      </c>
    </row>
    <row r="158">
      <c r="A158" s="8" t="n"/>
      <c r="B158" s="9" t="inlineStr">
        <is>
          <t>Van một chiều NRD 1050x550</t>
        </is>
      </c>
      <c r="C158" s="8" t="inlineStr">
        <is>
          <t>NRD</t>
        </is>
      </c>
      <c r="D158" s="8" t="inlineStr">
        <is>
          <t>SWIND</t>
        </is>
      </c>
      <c r="E158" s="8" t="n">
        <v>1050</v>
      </c>
      <c r="F158" s="8" t="n">
        <v>550</v>
      </c>
      <c r="G158" s="8" t="n"/>
      <c r="H158" s="8" t="n"/>
      <c r="I158" s="8" t="n"/>
      <c r="J158" s="8" t="n">
        <v>200</v>
      </c>
      <c r="K158" s="12" t="n">
        <v>1.15</v>
      </c>
      <c r="L158" s="8" t="inlineStr">
        <is>
          <t>Cái</t>
        </is>
      </c>
      <c r="M158" s="10" t="n">
        <v>6</v>
      </c>
      <c r="N158" s="10" t="n">
        <v>1072500</v>
      </c>
      <c r="O158" s="10">
        <f>ROUNDUP(N158*M158, -2)</f>
        <v/>
      </c>
      <c r="P158" s="9" t="inlineStr">
        <is>
          <t>Van 1 chiều tôn mạ kẽm</t>
        </is>
      </c>
    </row>
    <row r="159">
      <c r="A159" s="8" t="n"/>
      <c r="B159" s="9" t="inlineStr">
        <is>
          <t>Van một chiều NRD 1100x450</t>
        </is>
      </c>
      <c r="C159" s="8" t="inlineStr">
        <is>
          <t>NRD</t>
        </is>
      </c>
      <c r="D159" s="8" t="inlineStr">
        <is>
          <t>SWIND</t>
        </is>
      </c>
      <c r="E159" s="8" t="n">
        <v>1100</v>
      </c>
      <c r="F159" s="8" t="n">
        <v>450</v>
      </c>
      <c r="G159" s="8" t="n"/>
      <c r="H159" s="8" t="n"/>
      <c r="I159" s="8" t="n"/>
      <c r="J159" s="8" t="n">
        <v>200</v>
      </c>
      <c r="K159" s="12" t="n">
        <v>1.15</v>
      </c>
      <c r="L159" s="8" t="inlineStr">
        <is>
          <t>Cái</t>
        </is>
      </c>
      <c r="M159" s="10" t="n">
        <v>3</v>
      </c>
      <c r="N159" s="10" t="n">
        <v>1020000</v>
      </c>
      <c r="O159" s="10">
        <f>ROUNDUP(N159*M159, -2)</f>
        <v/>
      </c>
      <c r="P159" s="9" t="inlineStr">
        <is>
          <t>Van 1 chiều tôn mạ kẽm</t>
        </is>
      </c>
    </row>
    <row r="160">
      <c r="A160" s="8" t="n"/>
      <c r="B160" s="9" t="inlineStr">
        <is>
          <t>Van một chiều NRD 1100x500</t>
        </is>
      </c>
      <c r="C160" s="8" t="inlineStr">
        <is>
          <t>NRD</t>
        </is>
      </c>
      <c r="D160" s="8" t="inlineStr">
        <is>
          <t>SWIND</t>
        </is>
      </c>
      <c r="E160" s="8" t="n">
        <v>1100</v>
      </c>
      <c r="F160" s="8" t="n">
        <v>500</v>
      </c>
      <c r="G160" s="8" t="n"/>
      <c r="H160" s="8" t="n"/>
      <c r="I160" s="8" t="n"/>
      <c r="J160" s="8" t="n">
        <v>200</v>
      </c>
      <c r="K160" s="12" t="n">
        <v>1.15</v>
      </c>
      <c r="L160" s="8" t="inlineStr">
        <is>
          <t>Cái</t>
        </is>
      </c>
      <c r="M160" s="10" t="n">
        <v>21</v>
      </c>
      <c r="N160" s="10" t="n">
        <v>1060000</v>
      </c>
      <c r="O160" s="10">
        <f>ROUNDUP(N160*M160, -2)</f>
        <v/>
      </c>
      <c r="P160" s="9" t="inlineStr">
        <is>
          <t>Van 1 chiều tôn mạ kẽm</t>
        </is>
      </c>
    </row>
    <row r="161">
      <c r="A161" s="8" t="n"/>
      <c r="B161" s="9" t="inlineStr">
        <is>
          <t>Van một chiều NRD 1100x550</t>
        </is>
      </c>
      <c r="C161" s="8" t="inlineStr">
        <is>
          <t>NRD</t>
        </is>
      </c>
      <c r="D161" s="8" t="inlineStr">
        <is>
          <t>SWIND</t>
        </is>
      </c>
      <c r="E161" s="8" t="n">
        <v>1100</v>
      </c>
      <c r="F161" s="8" t="n">
        <v>550</v>
      </c>
      <c r="G161" s="8" t="n"/>
      <c r="H161" s="8" t="n"/>
      <c r="I161" s="8" t="n"/>
      <c r="J161" s="8" t="n">
        <v>200</v>
      </c>
      <c r="K161" s="12" t="n">
        <v>1.15</v>
      </c>
      <c r="L161" s="8" t="inlineStr">
        <is>
          <t>Cái</t>
        </is>
      </c>
      <c r="M161" s="10" t="n">
        <v>6</v>
      </c>
      <c r="N161" s="10" t="n">
        <v>1098750</v>
      </c>
      <c r="O161" s="10">
        <f>ROUNDUP(N161*M161, -2)</f>
        <v/>
      </c>
      <c r="P161" s="9" t="inlineStr">
        <is>
          <t>Van 1 chiều tôn mạ kẽm</t>
        </is>
      </c>
    </row>
    <row r="162">
      <c r="A162" s="8" t="n"/>
      <c r="B162" s="9" t="inlineStr">
        <is>
          <t>Van một chiều NRD 1100x600</t>
        </is>
      </c>
      <c r="C162" s="8" t="inlineStr">
        <is>
          <t>NRD</t>
        </is>
      </c>
      <c r="D162" s="8" t="inlineStr">
        <is>
          <t>SWIND</t>
        </is>
      </c>
      <c r="E162" s="8" t="n">
        <v>1100</v>
      </c>
      <c r="F162" s="8" t="n">
        <v>600</v>
      </c>
      <c r="G162" s="8" t="n"/>
      <c r="H162" s="8" t="n"/>
      <c r="I162" s="8" t="n"/>
      <c r="J162" s="8" t="n">
        <v>200</v>
      </c>
      <c r="K162" s="12" t="n">
        <v>1.15</v>
      </c>
      <c r="L162" s="8" t="inlineStr">
        <is>
          <t>Cái</t>
        </is>
      </c>
      <c r="M162" s="10" t="n">
        <v>3</v>
      </c>
      <c r="N162" s="10" t="n">
        <v>1138750</v>
      </c>
      <c r="O162" s="10">
        <f>ROUNDUP(N162*M162, -2)</f>
        <v/>
      </c>
      <c r="P162" s="9" t="inlineStr">
        <is>
          <t>Van 1 chiều tôn mạ kẽm</t>
        </is>
      </c>
    </row>
    <row r="163">
      <c r="A163" s="8" t="n"/>
      <c r="B163" s="9" t="inlineStr">
        <is>
          <t>Van một chiều NRD 1200x400</t>
        </is>
      </c>
      <c r="C163" s="8" t="inlineStr">
        <is>
          <t>NRD</t>
        </is>
      </c>
      <c r="D163" s="8" t="inlineStr">
        <is>
          <t>SWIND</t>
        </is>
      </c>
      <c r="E163" s="8" t="n">
        <v>1200</v>
      </c>
      <c r="F163" s="8" t="n">
        <v>400</v>
      </c>
      <c r="G163" s="8" t="n"/>
      <c r="H163" s="8" t="n"/>
      <c r="I163" s="8" t="n"/>
      <c r="J163" s="8" t="n">
        <v>200</v>
      </c>
      <c r="K163" s="12" t="n">
        <v>1.15</v>
      </c>
      <c r="L163" s="8" t="inlineStr">
        <is>
          <t>Cái</t>
        </is>
      </c>
      <c r="M163" s="10" t="n">
        <v>2</v>
      </c>
      <c r="N163" s="10" t="n">
        <v>1027500</v>
      </c>
      <c r="O163" s="10">
        <f>ROUNDUP(N163*M163, -2)</f>
        <v/>
      </c>
      <c r="P163" s="9" t="inlineStr">
        <is>
          <t>Van 1 chiều tôn mạ kẽm</t>
        </is>
      </c>
    </row>
    <row r="164">
      <c r="A164" s="8" t="n"/>
      <c r="B164" s="9" t="inlineStr">
        <is>
          <t>Van một chiều NRD 1200x450</t>
        </is>
      </c>
      <c r="C164" s="8" t="inlineStr">
        <is>
          <t>NRD</t>
        </is>
      </c>
      <c r="D164" s="8" t="inlineStr">
        <is>
          <t>SWIND</t>
        </is>
      </c>
      <c r="E164" s="8" t="n">
        <v>1200</v>
      </c>
      <c r="F164" s="8" t="n">
        <v>450</v>
      </c>
      <c r="G164" s="8" t="n"/>
      <c r="H164" s="8" t="n"/>
      <c r="I164" s="8" t="n"/>
      <c r="J164" s="8" t="n">
        <v>200</v>
      </c>
      <c r="K164" s="12" t="n">
        <v>1.15</v>
      </c>
      <c r="L164" s="8" t="inlineStr">
        <is>
          <t>Cái</t>
        </is>
      </c>
      <c r="M164" s="10" t="n">
        <v>4</v>
      </c>
      <c r="N164" s="10" t="n">
        <v>1068750</v>
      </c>
      <c r="O164" s="10">
        <f>ROUNDUP(N164*M164, -2)</f>
        <v/>
      </c>
      <c r="P164" s="9" t="inlineStr">
        <is>
          <t>Van 1 chiều tôn mạ kẽm</t>
        </is>
      </c>
    </row>
    <row r="165">
      <c r="A165" s="8" t="n"/>
      <c r="B165" s="9" t="inlineStr">
        <is>
          <t>Van một chiều NRD 1200x500</t>
        </is>
      </c>
      <c r="C165" s="8" t="inlineStr">
        <is>
          <t>NRD</t>
        </is>
      </c>
      <c r="D165" s="8" t="inlineStr">
        <is>
          <t>SWIND</t>
        </is>
      </c>
      <c r="E165" s="8" t="n">
        <v>1200</v>
      </c>
      <c r="F165" s="8" t="n">
        <v>500</v>
      </c>
      <c r="G165" s="8" t="n"/>
      <c r="H165" s="8" t="n"/>
      <c r="I165" s="8" t="n"/>
      <c r="J165" s="8" t="n">
        <v>200</v>
      </c>
      <c r="K165" s="12" t="n">
        <v>1.15</v>
      </c>
      <c r="L165" s="8" t="inlineStr">
        <is>
          <t>Cái</t>
        </is>
      </c>
      <c r="M165" s="10" t="n">
        <v>3</v>
      </c>
      <c r="N165" s="10" t="n">
        <v>1110000</v>
      </c>
      <c r="O165" s="10">
        <f>ROUNDUP(N165*M165, -2)</f>
        <v/>
      </c>
      <c r="P165" s="9" t="inlineStr">
        <is>
          <t>Van 1 chiều tôn mạ kẽm</t>
        </is>
      </c>
    </row>
    <row r="166">
      <c r="A166" s="8" t="n"/>
      <c r="B166" s="9" t="inlineStr">
        <is>
          <t>Van một chiều NRD 1200x550</t>
        </is>
      </c>
      <c r="C166" s="8" t="inlineStr">
        <is>
          <t>NRD</t>
        </is>
      </c>
      <c r="D166" s="8" t="inlineStr">
        <is>
          <t>SWIND</t>
        </is>
      </c>
      <c r="E166" s="8" t="n">
        <v>1200</v>
      </c>
      <c r="F166" s="8" t="n">
        <v>550</v>
      </c>
      <c r="G166" s="8" t="n"/>
      <c r="H166" s="8" t="n"/>
      <c r="I166" s="8" t="n"/>
      <c r="J166" s="8" t="n">
        <v>200</v>
      </c>
      <c r="K166" s="12" t="n">
        <v>1.15</v>
      </c>
      <c r="L166" s="8" t="inlineStr">
        <is>
          <t>Cái</t>
        </is>
      </c>
      <c r="M166" s="10" t="n">
        <v>3</v>
      </c>
      <c r="N166" s="10" t="n">
        <v>1152500</v>
      </c>
      <c r="O166" s="10">
        <f>ROUNDUP(N166*M166, -2)</f>
        <v/>
      </c>
      <c r="P166" s="9" t="inlineStr">
        <is>
          <t>Van 1 chiều tôn mạ kẽm</t>
        </is>
      </c>
    </row>
    <row r="167">
      <c r="A167" s="8" t="n"/>
      <c r="B167" s="9" t="inlineStr">
        <is>
          <t>Van một chiều NRD 1200x600</t>
        </is>
      </c>
      <c r="C167" s="8" t="inlineStr">
        <is>
          <t>NRD</t>
        </is>
      </c>
      <c r="D167" s="8" t="inlineStr">
        <is>
          <t>SWIND</t>
        </is>
      </c>
      <c r="E167" s="8" t="n">
        <v>1200</v>
      </c>
      <c r="F167" s="8" t="n">
        <v>600</v>
      </c>
      <c r="G167" s="8" t="n"/>
      <c r="H167" s="8" t="n"/>
      <c r="I167" s="8" t="n"/>
      <c r="J167" s="8" t="n">
        <v>200</v>
      </c>
      <c r="K167" s="12" t="n">
        <v>1.15</v>
      </c>
      <c r="L167" s="8" t="inlineStr">
        <is>
          <t>Cái</t>
        </is>
      </c>
      <c r="M167" s="10" t="n">
        <v>4</v>
      </c>
      <c r="N167" s="10" t="n">
        <v>1193750</v>
      </c>
      <c r="O167" s="10">
        <f>ROUNDUP(N167*M167, -2)</f>
        <v/>
      </c>
      <c r="P167" s="9" t="inlineStr">
        <is>
          <t>Van 1 chiều tôn mạ kẽm</t>
        </is>
      </c>
    </row>
    <row r="168">
      <c r="A168" s="8" t="n"/>
      <c r="B168" s="9" t="inlineStr">
        <is>
          <t>Van một chiều NRD 1250x500</t>
        </is>
      </c>
      <c r="C168" s="8" t="inlineStr">
        <is>
          <t>NRD</t>
        </is>
      </c>
      <c r="D168" s="8" t="inlineStr">
        <is>
          <t>SWIND</t>
        </is>
      </c>
      <c r="E168" s="8" t="n">
        <v>1250</v>
      </c>
      <c r="F168" s="8" t="n">
        <v>500</v>
      </c>
      <c r="G168" s="8" t="n"/>
      <c r="H168" s="8" t="n"/>
      <c r="I168" s="8" t="n"/>
      <c r="J168" s="8" t="n">
        <v>200</v>
      </c>
      <c r="K168" s="12" t="n">
        <v>1.15</v>
      </c>
      <c r="L168" s="8" t="inlineStr">
        <is>
          <t>Cái</t>
        </is>
      </c>
      <c r="M168" s="10" t="n">
        <v>3</v>
      </c>
      <c r="N168" s="10" t="n">
        <v>1136250</v>
      </c>
      <c r="O168" s="10">
        <f>ROUNDUP(N168*M168, -2)</f>
        <v/>
      </c>
      <c r="P168" s="9" t="inlineStr">
        <is>
          <t>Van 1 chiều tôn mạ kẽm</t>
        </is>
      </c>
    </row>
    <row r="169">
      <c r="A169" s="8" t="n"/>
      <c r="B169" s="9" t="inlineStr">
        <is>
          <t>Van một chiều NRD 1300x400</t>
        </is>
      </c>
      <c r="C169" s="8" t="inlineStr">
        <is>
          <t>NRD</t>
        </is>
      </c>
      <c r="D169" s="8" t="inlineStr">
        <is>
          <t>SWIND</t>
        </is>
      </c>
      <c r="E169" s="8" t="n">
        <v>1300</v>
      </c>
      <c r="F169" s="8" t="n">
        <v>400</v>
      </c>
      <c r="G169" s="8" t="n"/>
      <c r="H169" s="8" t="n"/>
      <c r="I169" s="8" t="n"/>
      <c r="J169" s="8" t="n">
        <v>200</v>
      </c>
      <c r="K169" s="12" t="n">
        <v>1.15</v>
      </c>
      <c r="L169" s="8" t="inlineStr">
        <is>
          <t>Cái</t>
        </is>
      </c>
      <c r="M169" s="10" t="n">
        <v>2</v>
      </c>
      <c r="N169" s="10" t="n">
        <v>1073750</v>
      </c>
      <c r="O169" s="10">
        <f>ROUNDUP(N169*M169, -2)</f>
        <v/>
      </c>
      <c r="P169" s="9" t="inlineStr">
        <is>
          <t>Van 1 chiều tôn mạ kẽm</t>
        </is>
      </c>
    </row>
    <row r="170">
      <c r="A170" s="8" t="n"/>
      <c r="B170" s="9" t="inlineStr">
        <is>
          <t>Van một chiều NRD 1300x500</t>
        </is>
      </c>
      <c r="C170" s="8" t="inlineStr">
        <is>
          <t>NRD</t>
        </is>
      </c>
      <c r="D170" s="8" t="inlineStr">
        <is>
          <t>SWIND</t>
        </is>
      </c>
      <c r="E170" s="8" t="n">
        <v>1300</v>
      </c>
      <c r="F170" s="8" t="n">
        <v>500</v>
      </c>
      <c r="G170" s="8" t="n"/>
      <c r="H170" s="8" t="n"/>
      <c r="I170" s="8" t="n"/>
      <c r="J170" s="8" t="n">
        <v>200</v>
      </c>
      <c r="K170" s="12" t="n">
        <v>1.15</v>
      </c>
      <c r="L170" s="8" t="inlineStr">
        <is>
          <t>Cái</t>
        </is>
      </c>
      <c r="M170" s="10" t="n">
        <v>3</v>
      </c>
      <c r="N170" s="10" t="n">
        <v>1161250</v>
      </c>
      <c r="O170" s="10">
        <f>ROUNDUP(N170*M170, -2)</f>
        <v/>
      </c>
      <c r="P170" s="9" t="inlineStr">
        <is>
          <t>Van 1 chiều tôn mạ kẽm</t>
        </is>
      </c>
    </row>
    <row r="171">
      <c r="A171" s="8" t="n"/>
      <c r="B171" s="9" t="inlineStr">
        <is>
          <t>Van một chiều NRD 1300x600</t>
        </is>
      </c>
      <c r="C171" s="8" t="inlineStr">
        <is>
          <t>NRD</t>
        </is>
      </c>
      <c r="D171" s="8" t="inlineStr">
        <is>
          <t>SWIND</t>
        </is>
      </c>
      <c r="E171" s="8" t="n">
        <v>1300</v>
      </c>
      <c r="F171" s="8" t="n">
        <v>600</v>
      </c>
      <c r="G171" s="8" t="n"/>
      <c r="H171" s="8" t="n"/>
      <c r="I171" s="8" t="n"/>
      <c r="J171" s="8" t="n">
        <v>200</v>
      </c>
      <c r="K171" s="12" t="n">
        <v>1.15</v>
      </c>
      <c r="L171" s="8" t="inlineStr">
        <is>
          <t>Cái</t>
        </is>
      </c>
      <c r="M171" s="10" t="n">
        <v>2</v>
      </c>
      <c r="N171" s="10" t="n">
        <v>1248750</v>
      </c>
      <c r="O171" s="10">
        <f>ROUNDUP(N171*M171, -2)</f>
        <v/>
      </c>
      <c r="P171" s="9" t="inlineStr">
        <is>
          <t>Van 1 chiều tôn mạ kẽm</t>
        </is>
      </c>
    </row>
    <row r="172">
      <c r="A172" s="8" t="n"/>
      <c r="B172" s="9" t="inlineStr">
        <is>
          <t>Van một chiều NRD 1300x650</t>
        </is>
      </c>
      <c r="C172" s="8" t="inlineStr">
        <is>
          <t>NRD</t>
        </is>
      </c>
      <c r="D172" s="8" t="inlineStr">
        <is>
          <t>SWIND</t>
        </is>
      </c>
      <c r="E172" s="8" t="n">
        <v>1300</v>
      </c>
      <c r="F172" s="8" t="n">
        <v>650</v>
      </c>
      <c r="G172" s="8" t="n"/>
      <c r="H172" s="8" t="n"/>
      <c r="I172" s="8" t="n"/>
      <c r="J172" s="8" t="n">
        <v>200</v>
      </c>
      <c r="K172" s="12" t="n">
        <v>1.15</v>
      </c>
      <c r="L172" s="8" t="inlineStr">
        <is>
          <t>Cái</t>
        </is>
      </c>
      <c r="M172" s="10" t="n">
        <v>2</v>
      </c>
      <c r="N172" s="10" t="n">
        <v>1292500</v>
      </c>
      <c r="O172" s="10">
        <f>ROUNDUP(N172*M172, -2)</f>
        <v/>
      </c>
      <c r="P172" s="9" t="inlineStr">
        <is>
          <t>Van 1 chiều tôn mạ kẽm</t>
        </is>
      </c>
    </row>
    <row r="173">
      <c r="A173" s="8" t="n"/>
      <c r="B173" s="9" t="inlineStr">
        <is>
          <t>Van một chiều NRD 1350x550</t>
        </is>
      </c>
      <c r="C173" s="8" t="inlineStr">
        <is>
          <t>NRD</t>
        </is>
      </c>
      <c r="D173" s="8" t="inlineStr">
        <is>
          <t>SWIND</t>
        </is>
      </c>
      <c r="E173" s="8" t="n">
        <v>1350</v>
      </c>
      <c r="F173" s="8" t="n">
        <v>550</v>
      </c>
      <c r="G173" s="8" t="n"/>
      <c r="H173" s="8" t="n"/>
      <c r="I173" s="8" t="n"/>
      <c r="J173" s="8" t="n">
        <v>200</v>
      </c>
      <c r="K173" s="12" t="n">
        <v>1.15</v>
      </c>
      <c r="L173" s="8" t="inlineStr">
        <is>
          <t>Cái</t>
        </is>
      </c>
      <c r="M173" s="10" t="n">
        <v>2</v>
      </c>
      <c r="N173" s="10" t="n">
        <v>1231250</v>
      </c>
      <c r="O173" s="10">
        <f>ROUNDUP(N173*M173, -2)</f>
        <v/>
      </c>
      <c r="P173" s="9" t="inlineStr">
        <is>
          <t>Van 1 chiều tôn mạ kẽm</t>
        </is>
      </c>
    </row>
    <row r="174">
      <c r="A174" s="8" t="n"/>
      <c r="B174" s="9" t="inlineStr">
        <is>
          <t>Van một chiều NRD 1350x600</t>
        </is>
      </c>
      <c r="C174" s="8" t="inlineStr">
        <is>
          <t>NRD</t>
        </is>
      </c>
      <c r="D174" s="8" t="inlineStr">
        <is>
          <t>SWIND</t>
        </is>
      </c>
      <c r="E174" s="8" t="n">
        <v>1350</v>
      </c>
      <c r="F174" s="8" t="n">
        <v>600</v>
      </c>
      <c r="G174" s="8" t="n"/>
      <c r="H174" s="8" t="n"/>
      <c r="I174" s="8" t="n"/>
      <c r="J174" s="8" t="n">
        <v>200</v>
      </c>
      <c r="K174" s="12" t="n">
        <v>1.15</v>
      </c>
      <c r="L174" s="8" t="inlineStr">
        <is>
          <t>Cái</t>
        </is>
      </c>
      <c r="M174" s="10" t="n">
        <v>4</v>
      </c>
      <c r="N174" s="10" t="n">
        <v>1276250</v>
      </c>
      <c r="O174" s="10">
        <f>ROUNDUP(N174*M174, -2)</f>
        <v/>
      </c>
      <c r="P174" s="9" t="inlineStr">
        <is>
          <t>Van 1 chiều tôn mạ kẽm</t>
        </is>
      </c>
    </row>
    <row r="175">
      <c r="A175" s="6" t="n"/>
      <c r="B175" s="7" t="inlineStr">
        <is>
          <t>Van chặn lửa MFD, EI30</t>
        </is>
      </c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</row>
    <row r="176">
      <c r="A176" s="8" t="n"/>
      <c r="B176" s="9" t="inlineStr">
        <is>
          <t>Van chặn lửa MFD, EI30 MFD 4000x1000</t>
        </is>
      </c>
      <c r="C176" s="8" t="inlineStr">
        <is>
          <t>SWIND-1.03-MFD-EI90</t>
        </is>
      </c>
      <c r="D176" s="8" t="inlineStr">
        <is>
          <t>SWIND</t>
        </is>
      </c>
      <c r="E176" s="8" t="n">
        <v>4000</v>
      </c>
      <c r="F176" s="8" t="n">
        <v>1000</v>
      </c>
      <c r="G176" s="8" t="n">
        <v>1000</v>
      </c>
      <c r="H176" s="8" t="n">
        <v>500</v>
      </c>
      <c r="I176" s="8" t="n">
        <v>8</v>
      </c>
      <c r="J176" s="8" t="n">
        <v>200</v>
      </c>
      <c r="K176" s="12" t="n">
        <v>1.15</v>
      </c>
      <c r="L176" s="8" t="inlineStr">
        <is>
          <t>Cái</t>
        </is>
      </c>
      <c r="M176" s="10" t="n">
        <v>1</v>
      </c>
      <c r="N176" s="10" t="n">
        <v>47543000</v>
      </c>
      <c r="O176" s="10">
        <f>ROUNDUP(N176*M176, -2)</f>
        <v/>
      </c>
      <c r="P176" s="9" t="inlineStr">
        <is>
          <t>- Van ngăn cháy động cơ - Tiêu chuẩn EI 90
- 2 đầu bích TDC - Gắn kèm động cơ ON-OFF 5Nm, Hãng KLB
- Sản xuất theo BCTN số 4651/VLXD-TBMT
- Chia 8 modul khi sản xuất</t>
        </is>
      </c>
    </row>
    <row r="177">
      <c r="A177" s="6" t="n"/>
      <c r="B177" s="7" t="inlineStr">
        <is>
          <t>Van chặn lửa MFD, EI60</t>
        </is>
      </c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</row>
    <row r="178">
      <c r="A178" s="8" t="n"/>
      <c r="B178" s="9" t="inlineStr">
        <is>
          <t>Van chặn lửa MFD, EI60 MFD 700x300</t>
        </is>
      </c>
      <c r="C178" s="8" t="inlineStr">
        <is>
          <t>SWIND-1.03-MFD-EI90</t>
        </is>
      </c>
      <c r="D178" s="8" t="inlineStr">
        <is>
          <t>SWIND</t>
        </is>
      </c>
      <c r="E178" s="8" t="n">
        <v>700</v>
      </c>
      <c r="F178" s="8" t="n">
        <v>300</v>
      </c>
      <c r="G178" s="8" t="n"/>
      <c r="H178" s="8" t="n"/>
      <c r="I178" s="8" t="n"/>
      <c r="J178" s="8" t="n">
        <v>200</v>
      </c>
      <c r="K178" s="12" t="n">
        <v>1.15</v>
      </c>
      <c r="L178" s="8" t="inlineStr">
        <is>
          <t>Cái</t>
        </is>
      </c>
      <c r="M178" s="10" t="n">
        <v>2</v>
      </c>
      <c r="N178" s="10" t="n">
        <v>4114932</v>
      </c>
      <c r="O178" s="10">
        <f>ROUNDUP(N178*M178, -2)</f>
        <v/>
      </c>
      <c r="P178" s="9" t="inlineStr">
        <is>
          <t>- Van ngăn cháy động cơ - Tiêu chuẩn EI 90
- 2 đầu bích TDC - Gắn kèm động cơ ON-OFF 5Nm, Hãng KLB
- Sản xuất theo BCTN số 4651/VLXD-TBMT</t>
        </is>
      </c>
    </row>
    <row r="179">
      <c r="A179" s="8" t="n"/>
      <c r="B179" s="9" t="inlineStr">
        <is>
          <t>Van chặn lửa MFD, EI60 MFD 800x350</t>
        </is>
      </c>
      <c r="C179" s="8" t="inlineStr">
        <is>
          <t>SWIND-1.03-MFD-EI90</t>
        </is>
      </c>
      <c r="D179" s="8" t="inlineStr">
        <is>
          <t>SWIND</t>
        </is>
      </c>
      <c r="E179" s="8" t="n">
        <v>800</v>
      </c>
      <c r="F179" s="8" t="n">
        <v>350</v>
      </c>
      <c r="G179" s="8" t="n"/>
      <c r="H179" s="8" t="n"/>
      <c r="I179" s="8" t="n"/>
      <c r="J179" s="8" t="n">
        <v>200</v>
      </c>
      <c r="K179" s="12" t="n">
        <v>1.15</v>
      </c>
      <c r="L179" s="8" t="inlineStr">
        <is>
          <t>Cái</t>
        </is>
      </c>
      <c r="M179" s="10" t="n">
        <v>4</v>
      </c>
      <c r="N179" s="10" t="n">
        <v>4594910</v>
      </c>
      <c r="O179" s="10">
        <f>ROUNDUP(N179*M179, -2)</f>
        <v/>
      </c>
      <c r="P179" s="9" t="inlineStr">
        <is>
          <t>- Van ngăn cháy động cơ - Tiêu chuẩn EI 90
- 2 đầu bích TDC - Gắn kèm động cơ ON-OFF 5Nm, Hãng KLB
- Sản xuất theo BCTN số 4651/VLXD-TBMT</t>
        </is>
      </c>
    </row>
    <row r="180">
      <c r="A180" s="8" t="n"/>
      <c r="B180" s="9" t="inlineStr">
        <is>
          <t>Van chặn lửa MFD, EI60 MFD 1000x350</t>
        </is>
      </c>
      <c r="C180" s="8" t="inlineStr">
        <is>
          <t>SWIND-1.03-MFD-EI90</t>
        </is>
      </c>
      <c r="D180" s="8" t="inlineStr">
        <is>
          <t>SWIND</t>
        </is>
      </c>
      <c r="E180" s="8" t="n">
        <v>1000</v>
      </c>
      <c r="F180" s="8" t="n">
        <v>350</v>
      </c>
      <c r="G180" s="8" t="n"/>
      <c r="H180" s="8" t="n"/>
      <c r="I180" s="8" t="n"/>
      <c r="J180" s="8" t="n">
        <v>200</v>
      </c>
      <c r="K180" s="12" t="n">
        <v>1.15</v>
      </c>
      <c r="L180" s="8" t="inlineStr">
        <is>
          <t>Cái</t>
        </is>
      </c>
      <c r="M180" s="10" t="n">
        <v>5</v>
      </c>
      <c r="N180" s="10" t="n">
        <v>5142388</v>
      </c>
      <c r="O180" s="10">
        <f>ROUNDUP(N180*M180, -2)</f>
        <v/>
      </c>
      <c r="P180" s="9" t="inlineStr">
        <is>
          <t>- Van ngăn cháy động cơ - Tiêu chuẩn EI 90
- 2 đầu bích TDC - Gắn kèm động cơ ON-OFF 5Nm, Hãng KLB
- Sản xuất theo BCTN số 4651/VLXD-TBMT</t>
        </is>
      </c>
    </row>
    <row r="181">
      <c r="A181" s="8" t="n"/>
      <c r="B181" s="9" t="inlineStr">
        <is>
          <t>Van chặn lửa MFD, EI60 MFD 1050x300</t>
        </is>
      </c>
      <c r="C181" s="8" t="inlineStr">
        <is>
          <t>SWIND-1.03-MFD-EI90</t>
        </is>
      </c>
      <c r="D181" s="8" t="inlineStr">
        <is>
          <t>SWIND</t>
        </is>
      </c>
      <c r="E181" s="8" t="n">
        <v>1050</v>
      </c>
      <c r="F181" s="8" t="n">
        <v>300</v>
      </c>
      <c r="G181" s="8" t="n"/>
      <c r="H181" s="8" t="n"/>
      <c r="I181" s="8" t="n"/>
      <c r="J181" s="8" t="n">
        <v>200</v>
      </c>
      <c r="K181" s="12" t="n">
        <v>1.15</v>
      </c>
      <c r="L181" s="8" t="inlineStr">
        <is>
          <t>Cái</t>
        </is>
      </c>
      <c r="M181" s="10" t="n">
        <v>4</v>
      </c>
      <c r="N181" s="10" t="n">
        <v>5001774</v>
      </c>
      <c r="O181" s="10">
        <f>ROUNDUP(N181*M181, -2)</f>
        <v/>
      </c>
      <c r="P181" s="9" t="inlineStr">
        <is>
          <t>- Van ngăn cháy động cơ - Tiêu chuẩn EI 90
- 2 đầu bích TDC - Gắn kèm động cơ ON-OFF 5Nm, Hãng KLB
- Sản xuất theo BCTN số 4651/VLXD-TBMT</t>
        </is>
      </c>
    </row>
    <row r="182">
      <c r="A182" s="8" t="n"/>
      <c r="B182" s="9" t="inlineStr">
        <is>
          <t>Van chặn lửa MFD, EI60 MFD 1050x350</t>
        </is>
      </c>
      <c r="C182" s="8" t="inlineStr">
        <is>
          <t>SWIND-1.03-MFD-EI90</t>
        </is>
      </c>
      <c r="D182" s="8" t="inlineStr">
        <is>
          <t>SWIND</t>
        </is>
      </c>
      <c r="E182" s="8" t="n">
        <v>1050</v>
      </c>
      <c r="F182" s="8" t="n">
        <v>350</v>
      </c>
      <c r="G182" s="8" t="n"/>
      <c r="H182" s="8" t="n"/>
      <c r="I182" s="8" t="n"/>
      <c r="J182" s="8" t="n">
        <v>200</v>
      </c>
      <c r="K182" s="12" t="n">
        <v>1.15</v>
      </c>
      <c r="L182" s="8" t="inlineStr">
        <is>
          <t>Cái</t>
        </is>
      </c>
      <c r="M182" s="10" t="n">
        <v>2</v>
      </c>
      <c r="N182" s="10" t="n">
        <v>5278319</v>
      </c>
      <c r="O182" s="10">
        <f>ROUNDUP(N182*M182, -2)</f>
        <v/>
      </c>
      <c r="P182" s="9" t="inlineStr">
        <is>
          <t>- Van ngăn cháy động cơ - Tiêu chuẩn EI 90
- 2 đầu bích TDC - Gắn kèm động cơ ON-OFF 5Nm, Hãng KLB
- Sản xuất theo BCTN số 4651/VLXD-TBMT</t>
        </is>
      </c>
    </row>
    <row r="183">
      <c r="A183" s="8" t="n"/>
      <c r="B183" s="9" t="inlineStr">
        <is>
          <t>Van chặn lửa MFD, EI60 MFD 1050x400</t>
        </is>
      </c>
      <c r="C183" s="8" t="inlineStr">
        <is>
          <t>SWIND-1.03-MFD-EI90</t>
        </is>
      </c>
      <c r="D183" s="8" t="inlineStr">
        <is>
          <t>SWIND</t>
        </is>
      </c>
      <c r="E183" s="8" t="n">
        <v>1050</v>
      </c>
      <c r="F183" s="8" t="n">
        <v>400</v>
      </c>
      <c r="G183" s="8" t="n"/>
      <c r="H183" s="8" t="n"/>
      <c r="I183" s="8" t="n"/>
      <c r="J183" s="8" t="n">
        <v>200</v>
      </c>
      <c r="K183" s="12" t="n">
        <v>1.15</v>
      </c>
      <c r="L183" s="8" t="inlineStr">
        <is>
          <t>Cái</t>
        </is>
      </c>
      <c r="M183" s="10" t="n">
        <v>2</v>
      </c>
      <c r="N183" s="10" t="n">
        <v>5556115</v>
      </c>
      <c r="O183" s="10">
        <f>ROUNDUP(N183*M183, -2)</f>
        <v/>
      </c>
      <c r="P183" s="9" t="inlineStr">
        <is>
          <t>- Van ngăn cháy động cơ - Tiêu chuẩn EI 90
- 2 đầu bích TDC - Gắn kèm động cơ ON-OFF 5Nm, Hãng KLB
- Sản xuất theo BCTN số 4651/VLXD-TBMT</t>
        </is>
      </c>
    </row>
    <row r="184">
      <c r="A184" s="8" t="n"/>
      <c r="B184" s="9" t="inlineStr">
        <is>
          <t>Van chặn lửa MFD, EI60 MFD 1050x500</t>
        </is>
      </c>
      <c r="C184" s="8" t="inlineStr">
        <is>
          <t>SWIND-1.03-MFD-EI90</t>
        </is>
      </c>
      <c r="D184" s="8" t="inlineStr">
        <is>
          <t>SWIND</t>
        </is>
      </c>
      <c r="E184" s="8" t="n">
        <v>1050</v>
      </c>
      <c r="F184" s="8" t="n">
        <v>500</v>
      </c>
      <c r="G184" s="8" t="n"/>
      <c r="H184" s="8" t="n"/>
      <c r="I184" s="8" t="n"/>
      <c r="J184" s="8" t="n">
        <v>200</v>
      </c>
      <c r="K184" s="12" t="n">
        <v>1.15</v>
      </c>
      <c r="L184" s="8" t="inlineStr">
        <is>
          <t>Cái</t>
        </is>
      </c>
      <c r="M184" s="10" t="n">
        <v>10</v>
      </c>
      <c r="N184" s="10" t="n">
        <v>6110456</v>
      </c>
      <c r="O184" s="10">
        <f>ROUNDUP(N184*M184, -2)</f>
        <v/>
      </c>
      <c r="P184" s="9" t="inlineStr">
        <is>
          <t>- Van ngăn cháy động cơ - Tiêu chuẩn EI 90
- 2 đầu bích TDC - Gắn kèm động cơ ON-OFF 5Nm, Hãng KLB
- Sản xuất theo BCTN số 4651/VLXD-TBMT</t>
        </is>
      </c>
    </row>
    <row r="185">
      <c r="A185" s="8" t="n"/>
      <c r="B185" s="9" t="inlineStr">
        <is>
          <t>Van chặn lửa MFD, EI60 MFD 1050x550</t>
        </is>
      </c>
      <c r="C185" s="8" t="inlineStr">
        <is>
          <t>SWIND-1.03-MFD-EI90</t>
        </is>
      </c>
      <c r="D185" s="8" t="inlineStr">
        <is>
          <t>SWIND</t>
        </is>
      </c>
      <c r="E185" s="8" t="n">
        <v>1050</v>
      </c>
      <c r="F185" s="8" t="n">
        <v>550</v>
      </c>
      <c r="G185" s="8" t="n"/>
      <c r="H185" s="8" t="n"/>
      <c r="I185" s="8" t="n"/>
      <c r="J185" s="8" t="n">
        <v>200</v>
      </c>
      <c r="K185" s="12" t="n">
        <v>1.15</v>
      </c>
      <c r="L185" s="8" t="inlineStr">
        <is>
          <t>Cái</t>
        </is>
      </c>
      <c r="M185" s="10" t="n">
        <v>10</v>
      </c>
      <c r="N185" s="10" t="n">
        <v>6387002</v>
      </c>
      <c r="O185" s="10">
        <f>ROUNDUP(N185*M185, -2)</f>
        <v/>
      </c>
      <c r="P185" s="9" t="inlineStr">
        <is>
          <t>- Van ngăn cháy động cơ - Tiêu chuẩn EI 90
- 2 đầu bích TDC - Gắn kèm động cơ ON-OFF 5Nm, Hãng KLB
- Sản xuất theo BCTN số 4651/VLXD-TBMT</t>
        </is>
      </c>
    </row>
    <row r="186">
      <c r="A186" s="8" t="n"/>
      <c r="B186" s="9" t="inlineStr">
        <is>
          <t>Van chặn lửa MFD, EI60 MFD 1100x300</t>
        </is>
      </c>
      <c r="C186" s="8" t="inlineStr">
        <is>
          <t>SWIND-1.03-MFD-EI90</t>
        </is>
      </c>
      <c r="D186" s="8" t="inlineStr">
        <is>
          <t>SWIND</t>
        </is>
      </c>
      <c r="E186" s="8" t="n">
        <v>1100</v>
      </c>
      <c r="F186" s="8" t="n">
        <v>300</v>
      </c>
      <c r="G186" s="8" t="n"/>
      <c r="H186" s="8" t="n"/>
      <c r="I186" s="8" t="n"/>
      <c r="J186" s="8" t="n">
        <v>200</v>
      </c>
      <c r="K186" s="12" t="n">
        <v>1.15</v>
      </c>
      <c r="L186" s="8" t="inlineStr">
        <is>
          <t>Cái</t>
        </is>
      </c>
      <c r="M186" s="10" t="n">
        <v>10</v>
      </c>
      <c r="N186" s="10" t="n">
        <v>5127572</v>
      </c>
      <c r="O186" s="10">
        <f>ROUNDUP(N186*M186, -2)</f>
        <v/>
      </c>
      <c r="P186" s="9" t="inlineStr">
        <is>
          <t>- Van ngăn cháy động cơ - Tiêu chuẩn EI 90
- 2 đầu bích TDC - Gắn kèm động cơ ON-OFF 5Nm, Hãng KLB
- Sản xuất theo BCTN số 4651/VLXD-TBMT</t>
        </is>
      </c>
    </row>
    <row r="187">
      <c r="A187" s="8" t="n"/>
      <c r="B187" s="9" t="inlineStr">
        <is>
          <t>Van chặn lửa MFD, EI60 MFD 1100x350</t>
        </is>
      </c>
      <c r="C187" s="8" t="inlineStr">
        <is>
          <t>SWIND-1.03-MFD-EI90</t>
        </is>
      </c>
      <c r="D187" s="8" t="inlineStr">
        <is>
          <t>SWIND</t>
        </is>
      </c>
      <c r="E187" s="8" t="n">
        <v>1100</v>
      </c>
      <c r="F187" s="8" t="n">
        <v>350</v>
      </c>
      <c r="G187" s="8" t="n"/>
      <c r="H187" s="8" t="n"/>
      <c r="I187" s="8" t="n"/>
      <c r="J187" s="8" t="n">
        <v>200</v>
      </c>
      <c r="K187" s="12" t="n">
        <v>1.15</v>
      </c>
      <c r="L187" s="8" t="inlineStr">
        <is>
          <t>Cái</t>
        </is>
      </c>
      <c r="M187" s="10" t="n">
        <v>6</v>
      </c>
      <c r="N187" s="10" t="n">
        <v>5415501</v>
      </c>
      <c r="O187" s="10">
        <f>ROUNDUP(N187*M187, -2)</f>
        <v/>
      </c>
      <c r="P187" s="9" t="inlineStr">
        <is>
          <t>- Van ngăn cháy động cơ - Tiêu chuẩn EI 90
- 2 đầu bích TDC - Gắn kèm động cơ ON-OFF 5Nm, Hãng KLB
- Sản xuất theo BCTN số 4651/VLXD-TBMT</t>
        </is>
      </c>
    </row>
    <row r="188">
      <c r="A188" s="8" t="n"/>
      <c r="B188" s="9" t="inlineStr">
        <is>
          <t>Van chặn lửa MFD, EI60 MFD 1100x450</t>
        </is>
      </c>
      <c r="C188" s="8" t="inlineStr">
        <is>
          <t>SWIND-1.03-MFD-EI90</t>
        </is>
      </c>
      <c r="D188" s="8" t="inlineStr">
        <is>
          <t>SWIND</t>
        </is>
      </c>
      <c r="E188" s="8" t="n">
        <v>1100</v>
      </c>
      <c r="F188" s="8" t="n">
        <v>450</v>
      </c>
      <c r="G188" s="8" t="n"/>
      <c r="H188" s="8" t="n"/>
      <c r="I188" s="8" t="n"/>
      <c r="J188" s="8" t="n">
        <v>200</v>
      </c>
      <c r="K188" s="12" t="n">
        <v>1.15</v>
      </c>
      <c r="L188" s="8" t="inlineStr">
        <is>
          <t>Cái</t>
        </is>
      </c>
      <c r="M188" s="10" t="n">
        <v>5</v>
      </c>
      <c r="N188" s="10" t="n">
        <v>5988859</v>
      </c>
      <c r="O188" s="10">
        <f>ROUNDUP(N188*M188, -2)</f>
        <v/>
      </c>
      <c r="P188" s="9" t="inlineStr">
        <is>
          <t>- Van ngăn cháy động cơ - Tiêu chuẩn EI 90
- 2 đầu bích TDC - Gắn kèm động cơ ON-OFF 5Nm, Hãng KLB
- Sản xuất theo BCTN số 4651/VLXD-TBMT</t>
        </is>
      </c>
    </row>
    <row r="189">
      <c r="A189" s="8" t="n"/>
      <c r="B189" s="9" t="inlineStr">
        <is>
          <t>Van chặn lửa MFD, EI60 MFD 1100x500</t>
        </is>
      </c>
      <c r="C189" s="8" t="inlineStr">
        <is>
          <t>SWIND-1.03-MFD-EI90</t>
        </is>
      </c>
      <c r="D189" s="8" t="inlineStr">
        <is>
          <t>SWIND</t>
        </is>
      </c>
      <c r="E189" s="8" t="n">
        <v>1100</v>
      </c>
      <c r="F189" s="8" t="n">
        <v>500</v>
      </c>
      <c r="G189" s="8" t="n"/>
      <c r="H189" s="8" t="n"/>
      <c r="I189" s="8" t="n"/>
      <c r="J189" s="8" t="n">
        <v>200</v>
      </c>
      <c r="K189" s="12" t="n">
        <v>1.15</v>
      </c>
      <c r="L189" s="8" t="inlineStr">
        <is>
          <t>Cái</t>
        </is>
      </c>
      <c r="M189" s="10" t="n">
        <v>38</v>
      </c>
      <c r="N189" s="10" t="n">
        <v>6276788</v>
      </c>
      <c r="O189" s="10">
        <f>ROUNDUP(N189*M189, -2)</f>
        <v/>
      </c>
      <c r="P189" s="9" t="inlineStr">
        <is>
          <t>- Van ngăn cháy động cơ - Tiêu chuẩn EI 90
- 2 đầu bích TDC - Gắn kèm động cơ ON-OFF 5Nm, Hãng KLB
- Sản xuất theo BCTN số 4651/VLXD-TBMT</t>
        </is>
      </c>
    </row>
    <row r="190">
      <c r="A190" s="8" t="n"/>
      <c r="B190" s="9" t="inlineStr">
        <is>
          <t>Van chặn lửa MFD, EI60 MFD 1100x550</t>
        </is>
      </c>
      <c r="C190" s="8" t="inlineStr">
        <is>
          <t>SWIND-1.03-MFD-EI90</t>
        </is>
      </c>
      <c r="D190" s="8" t="inlineStr">
        <is>
          <t>SWIND</t>
        </is>
      </c>
      <c r="E190" s="8" t="n">
        <v>1100</v>
      </c>
      <c r="F190" s="8" t="n">
        <v>550</v>
      </c>
      <c r="G190" s="8" t="n"/>
      <c r="H190" s="8" t="n"/>
      <c r="I190" s="8" t="n"/>
      <c r="J190" s="8" t="n">
        <v>200</v>
      </c>
      <c r="K190" s="12" t="n">
        <v>1.15</v>
      </c>
      <c r="L190" s="8" t="inlineStr">
        <is>
          <t>Cái</t>
        </is>
      </c>
      <c r="M190" s="10" t="n">
        <v>10</v>
      </c>
      <c r="N190" s="10" t="n">
        <v>6563466</v>
      </c>
      <c r="O190" s="10">
        <f>ROUNDUP(N190*M190, -2)</f>
        <v/>
      </c>
      <c r="P190" s="9" t="inlineStr">
        <is>
          <t>- Van ngăn cháy động cơ - Tiêu chuẩn EI 90
- 2 đầu bích TDC - Gắn kèm động cơ ON-OFF 5Nm, Hãng KLB
- Sản xuất theo BCTN số 4651/VLXD-TBMT</t>
        </is>
      </c>
    </row>
    <row r="191">
      <c r="A191" s="8" t="n"/>
      <c r="B191" s="9" t="inlineStr">
        <is>
          <t>Van chặn lửa MFD, EI60 MFD 1100x600</t>
        </is>
      </c>
      <c r="C191" s="8" t="inlineStr">
        <is>
          <t>SWIND-1.03-MFD-EI90</t>
        </is>
      </c>
      <c r="D191" s="8" t="inlineStr">
        <is>
          <t>SWIND</t>
        </is>
      </c>
      <c r="E191" s="8" t="n">
        <v>1100</v>
      </c>
      <c r="F191" s="8" t="n">
        <v>600</v>
      </c>
      <c r="G191" s="8" t="n"/>
      <c r="H191" s="8" t="n"/>
      <c r="I191" s="8" t="n"/>
      <c r="J191" s="8" t="n">
        <v>200</v>
      </c>
      <c r="K191" s="12" t="n">
        <v>1.15</v>
      </c>
      <c r="L191" s="8" t="inlineStr">
        <is>
          <t>Cái</t>
        </is>
      </c>
      <c r="M191" s="10" t="n">
        <v>6</v>
      </c>
      <c r="N191" s="10" t="n">
        <v>6851395</v>
      </c>
      <c r="O191" s="10">
        <f>ROUNDUP(N191*M191, -2)</f>
        <v/>
      </c>
      <c r="P191" s="9" t="inlineStr">
        <is>
          <t>- Van ngăn cháy động cơ - Tiêu chuẩn EI 90
- 2 đầu bích TDC - Gắn kèm động cơ ON-OFF 5Nm, Hãng KLB
- Sản xuất theo BCTN số 4651/VLXD-TBMT</t>
        </is>
      </c>
    </row>
    <row r="192">
      <c r="A192" s="8" t="n"/>
      <c r="B192" s="9" t="inlineStr">
        <is>
          <t>Van chặn lửa MFD, EI60 MFD 1200x400</t>
        </is>
      </c>
      <c r="C192" s="8" t="inlineStr">
        <is>
          <t>SWIND-1.03-MFD-EI90</t>
        </is>
      </c>
      <c r="D192" s="8" t="inlineStr">
        <is>
          <t>SWIND</t>
        </is>
      </c>
      <c r="E192" s="8" t="n">
        <v>1200</v>
      </c>
      <c r="F192" s="8" t="n">
        <v>400</v>
      </c>
      <c r="G192" s="8" t="n"/>
      <c r="H192" s="8" t="n"/>
      <c r="I192" s="8" t="n"/>
      <c r="J192" s="8" t="n">
        <v>200</v>
      </c>
      <c r="K192" s="12" t="n">
        <v>1.15</v>
      </c>
      <c r="L192" s="8" t="inlineStr">
        <is>
          <t>Cái</t>
        </is>
      </c>
      <c r="M192" s="10" t="n">
        <v>4</v>
      </c>
      <c r="N192" s="10" t="n">
        <v>5995560</v>
      </c>
      <c r="O192" s="10">
        <f>ROUNDUP(N192*M192, -2)</f>
        <v/>
      </c>
      <c r="P192" s="9" t="inlineStr">
        <is>
          <t>- Van ngăn cháy động cơ - Tiêu chuẩn EI 90
- 2 đầu bích TDC - Gắn kèm động cơ ON-OFF 5Nm, Hãng KLB
- Sản xuất theo BCTN số 4651/VLXD-TBMT</t>
        </is>
      </c>
    </row>
    <row r="193">
      <c r="A193" s="8" t="n"/>
      <c r="B193" s="9" t="inlineStr">
        <is>
          <t>Van chặn lửa MFD, EI60 MFD 1200x450</t>
        </is>
      </c>
      <c r="C193" s="8" t="inlineStr">
        <is>
          <t>SWIND-1.03-MFD-EI90</t>
        </is>
      </c>
      <c r="D193" s="8" t="inlineStr">
        <is>
          <t>SWIND</t>
        </is>
      </c>
      <c r="E193" s="8" t="n">
        <v>1200</v>
      </c>
      <c r="F193" s="8" t="n">
        <v>450</v>
      </c>
      <c r="G193" s="8" t="n"/>
      <c r="H193" s="8" t="n"/>
      <c r="I193" s="8" t="n"/>
      <c r="J193" s="8" t="n">
        <v>200</v>
      </c>
      <c r="K193" s="12" t="n">
        <v>1.15</v>
      </c>
      <c r="L193" s="8" t="inlineStr">
        <is>
          <t>Cái</t>
        </is>
      </c>
      <c r="M193" s="10" t="n">
        <v>6</v>
      </c>
      <c r="N193" s="10" t="n">
        <v>6302505</v>
      </c>
      <c r="O193" s="10">
        <f>ROUNDUP(N193*M193, -2)</f>
        <v/>
      </c>
      <c r="P193" s="9" t="inlineStr">
        <is>
          <t>- Van ngăn cháy động cơ - Tiêu chuẩn EI 90
- 2 đầu bích TDC - Gắn kèm động cơ ON-OFF 5Nm, Hãng KLB
- Sản xuất theo BCTN số 4651/VLXD-TBMT</t>
        </is>
      </c>
    </row>
    <row r="194">
      <c r="A194" s="8" t="n"/>
      <c r="B194" s="9" t="inlineStr">
        <is>
          <t>Van chặn lửa MFD, EI60 MFD 1200x500</t>
        </is>
      </c>
      <c r="C194" s="8" t="inlineStr">
        <is>
          <t>SWIND-1.03-MFD-EI90</t>
        </is>
      </c>
      <c r="D194" s="8" t="inlineStr">
        <is>
          <t>SWIND</t>
        </is>
      </c>
      <c r="E194" s="8" t="n">
        <v>1200</v>
      </c>
      <c r="F194" s="8" t="n">
        <v>500</v>
      </c>
      <c r="G194" s="8" t="n"/>
      <c r="H194" s="8" t="n"/>
      <c r="I194" s="8" t="n"/>
      <c r="J194" s="8" t="n">
        <v>200</v>
      </c>
      <c r="K194" s="12" t="n">
        <v>1.15</v>
      </c>
      <c r="L194" s="8" t="inlineStr">
        <is>
          <t>Cái</t>
        </is>
      </c>
      <c r="M194" s="10" t="n">
        <v>6</v>
      </c>
      <c r="N194" s="10" t="n">
        <v>6610700</v>
      </c>
      <c r="O194" s="10">
        <f>ROUNDUP(N194*M194, -2)</f>
        <v/>
      </c>
      <c r="P194" s="9" t="inlineStr">
        <is>
          <t>- Van ngăn cháy động cơ - Tiêu chuẩn EI 90
- 2 đầu bích TDC - Gắn kèm động cơ ON-OFF 5Nm, Hãng KLB
- Sản xuất theo BCTN số 4651/VLXD-TBMT</t>
        </is>
      </c>
    </row>
    <row r="195">
      <c r="A195" s="8" t="n"/>
      <c r="B195" s="9" t="inlineStr">
        <is>
          <t>Van chặn lửa MFD, EI60 MFD 1200x550</t>
        </is>
      </c>
      <c r="C195" s="8" t="inlineStr">
        <is>
          <t>SWIND-1.03-MFD-EI90</t>
        </is>
      </c>
      <c r="D195" s="8" t="inlineStr">
        <is>
          <t>SWIND</t>
        </is>
      </c>
      <c r="E195" s="8" t="n">
        <v>1200</v>
      </c>
      <c r="F195" s="8" t="n">
        <v>550</v>
      </c>
      <c r="G195" s="8" t="n"/>
      <c r="H195" s="8" t="n"/>
      <c r="I195" s="8" t="n"/>
      <c r="J195" s="8" t="n">
        <v>200</v>
      </c>
      <c r="K195" s="12" t="n">
        <v>1.15</v>
      </c>
      <c r="L195" s="8" t="inlineStr">
        <is>
          <t>Cái</t>
        </is>
      </c>
      <c r="M195" s="10" t="n">
        <v>6</v>
      </c>
      <c r="N195" s="10" t="n">
        <v>6917645</v>
      </c>
      <c r="O195" s="10">
        <f>ROUNDUP(N195*M195, -2)</f>
        <v/>
      </c>
      <c r="P195" s="9" t="inlineStr">
        <is>
          <t>- Van ngăn cháy động cơ - Tiêu chuẩn EI 90
- 2 đầu bích TDC - Gắn kèm động cơ ON-OFF 5Nm, Hãng KLB
- Sản xuất theo BCTN số 4651/VLXD-TBMT</t>
        </is>
      </c>
    </row>
    <row r="196">
      <c r="A196" s="8" t="n"/>
      <c r="B196" s="9" t="inlineStr">
        <is>
          <t>Van chặn lửa MFD, EI60 MFD 1200x600</t>
        </is>
      </c>
      <c r="C196" s="8" t="inlineStr">
        <is>
          <t>SWIND-1.03-MFD-EI90</t>
        </is>
      </c>
      <c r="D196" s="8" t="inlineStr">
        <is>
          <t>SWIND</t>
        </is>
      </c>
      <c r="E196" s="8" t="n">
        <v>1200</v>
      </c>
      <c r="F196" s="8" t="n">
        <v>600</v>
      </c>
      <c r="G196" s="8" t="n"/>
      <c r="H196" s="8" t="n"/>
      <c r="I196" s="8" t="n"/>
      <c r="J196" s="8" t="n">
        <v>200</v>
      </c>
      <c r="K196" s="12" t="n">
        <v>1.15</v>
      </c>
      <c r="L196" s="8" t="inlineStr">
        <is>
          <t>Cái</t>
        </is>
      </c>
      <c r="M196" s="10" t="n">
        <v>8</v>
      </c>
      <c r="N196" s="10" t="n">
        <v>7224590</v>
      </c>
      <c r="O196" s="10">
        <f>ROUNDUP(N196*M196, -2)</f>
        <v/>
      </c>
      <c r="P196" s="9" t="inlineStr">
        <is>
          <t>- Van ngăn cháy động cơ - Tiêu chuẩn EI 90
- 2 đầu bích TDC - Gắn kèm động cơ ON-OFF 5Nm, Hãng KLB
- Sản xuất theo BCTN số 4651/VLXD-TBMT</t>
        </is>
      </c>
    </row>
    <row r="197">
      <c r="A197" s="8" t="n"/>
      <c r="B197" s="9" t="inlineStr">
        <is>
          <t>Van chặn lửa MFD, EI60 MFD 1250x500</t>
        </is>
      </c>
      <c r="C197" s="8" t="inlineStr">
        <is>
          <t>SWIND-1.03-MFD-EI90</t>
        </is>
      </c>
      <c r="D197" s="8" t="inlineStr">
        <is>
          <t>SWIND</t>
        </is>
      </c>
      <c r="E197" s="8" t="n">
        <v>1250</v>
      </c>
      <c r="F197" s="8" t="n">
        <v>500</v>
      </c>
      <c r="G197" s="8" t="n"/>
      <c r="H197" s="8" t="n"/>
      <c r="I197" s="8" t="n"/>
      <c r="J197" s="8" t="n">
        <v>200</v>
      </c>
      <c r="K197" s="12" t="n">
        <v>1.15</v>
      </c>
      <c r="L197" s="8" t="inlineStr">
        <is>
          <t>Cái</t>
        </is>
      </c>
      <c r="M197" s="10" t="n">
        <v>6</v>
      </c>
      <c r="N197" s="10" t="n">
        <v>6777031</v>
      </c>
      <c r="O197" s="10">
        <f>ROUNDUP(N197*M197, -2)</f>
        <v/>
      </c>
      <c r="P197" s="9" t="inlineStr">
        <is>
          <t>- Van ngăn cháy động cơ - Tiêu chuẩn EI 90
- 2 đầu bích TDC - Gắn kèm động cơ ON-OFF 5Nm, Hãng KLB
- Sản xuất theo BCTN số 4651/VLXD-TBMT</t>
        </is>
      </c>
    </row>
    <row r="198">
      <c r="A198" s="8" t="n"/>
      <c r="B198" s="9" t="inlineStr">
        <is>
          <t>Van chặn lửa MFD, EI60 MFD 1300x400</t>
        </is>
      </c>
      <c r="C198" s="8" t="inlineStr">
        <is>
          <t>SWIND-1.03-MFD-EI90</t>
        </is>
      </c>
      <c r="D198" s="8" t="inlineStr">
        <is>
          <t>SWIND</t>
        </is>
      </c>
      <c r="E198" s="8" t="n">
        <v>1300</v>
      </c>
      <c r="F198" s="8" t="n">
        <v>400</v>
      </c>
      <c r="G198" s="8" t="n"/>
      <c r="H198" s="8" t="n"/>
      <c r="I198" s="8" t="n"/>
      <c r="J198" s="8" t="n">
        <v>200</v>
      </c>
      <c r="K198" s="12" t="n">
        <v>1.15</v>
      </c>
      <c r="L198" s="8" t="inlineStr">
        <is>
          <t>Cái</t>
        </is>
      </c>
      <c r="M198" s="10" t="n">
        <v>4</v>
      </c>
      <c r="N198" s="10" t="n">
        <v>6288940</v>
      </c>
      <c r="O198" s="10">
        <f>ROUNDUP(N198*M198, -2)</f>
        <v/>
      </c>
      <c r="P198" s="9" t="inlineStr">
        <is>
          <t>- Van ngăn cháy động cơ - Tiêu chuẩn EI 90
- 2 đầu bích TDC - Gắn kèm động cơ ON-OFF 5Nm, Hãng KLB
- Sản xuất theo BCTN số 4651/VLXD-TBMT</t>
        </is>
      </c>
    </row>
    <row r="199">
      <c r="A199" s="8" t="n"/>
      <c r="B199" s="9" t="inlineStr">
        <is>
          <t>Van chặn lửa MFD, EI60 MFD 1300x500</t>
        </is>
      </c>
      <c r="C199" s="8" t="inlineStr">
        <is>
          <t>SWIND-1.03-MFD-EI90</t>
        </is>
      </c>
      <c r="D199" s="8" t="inlineStr">
        <is>
          <t>SWIND</t>
        </is>
      </c>
      <c r="E199" s="8" t="n">
        <v>1300</v>
      </c>
      <c r="F199" s="8" t="n">
        <v>500</v>
      </c>
      <c r="G199" s="8" t="n"/>
      <c r="H199" s="8" t="n"/>
      <c r="I199" s="8" t="n"/>
      <c r="J199" s="8" t="n">
        <v>200</v>
      </c>
      <c r="K199" s="12" t="n">
        <v>1.15</v>
      </c>
      <c r="L199" s="8" t="inlineStr">
        <is>
          <t>Cái</t>
        </is>
      </c>
      <c r="M199" s="10" t="n">
        <v>5</v>
      </c>
      <c r="N199" s="10" t="n">
        <v>6943362</v>
      </c>
      <c r="O199" s="10">
        <f>ROUNDUP(N199*M199, -2)</f>
        <v/>
      </c>
      <c r="P199" s="9" t="inlineStr">
        <is>
          <t>- Van ngăn cháy động cơ - Tiêu chuẩn EI 90
- 2 đầu bích TDC - Gắn kèm động cơ ON-OFF 5Nm, Hãng KLB
- Sản xuất theo BCTN số 4651/VLXD-TBMT</t>
        </is>
      </c>
    </row>
    <row r="200">
      <c r="A200" s="8" t="n"/>
      <c r="B200" s="9" t="inlineStr">
        <is>
          <t>Van chặn lửa MFD, EI60 MFD 1300x600</t>
        </is>
      </c>
      <c r="C200" s="8" t="inlineStr">
        <is>
          <t>SWIND-1.03-MFD-EI90</t>
        </is>
      </c>
      <c r="D200" s="8" t="inlineStr">
        <is>
          <t>SWIND</t>
        </is>
      </c>
      <c r="E200" s="8" t="n">
        <v>1300</v>
      </c>
      <c r="F200" s="8" t="n">
        <v>600</v>
      </c>
      <c r="G200" s="8" t="n"/>
      <c r="H200" s="8" t="n"/>
      <c r="I200" s="8" t="n"/>
      <c r="J200" s="8" t="n">
        <v>200</v>
      </c>
      <c r="K200" s="12" t="n">
        <v>1.15</v>
      </c>
      <c r="L200" s="8" t="inlineStr">
        <is>
          <t>Cái</t>
        </is>
      </c>
      <c r="M200" s="10" t="n">
        <v>4</v>
      </c>
      <c r="N200" s="10" t="n">
        <v>7597785</v>
      </c>
      <c r="O200" s="10">
        <f>ROUNDUP(N200*M200, -2)</f>
        <v/>
      </c>
      <c r="P200" s="9" t="inlineStr">
        <is>
          <t>- Van ngăn cháy động cơ - Tiêu chuẩn EI 90
- 2 đầu bích TDC - Gắn kèm động cơ ON-OFF 5Nm, Hãng KLB
- Sản xuất theo BCTN số 4651/VLXD-TBMT</t>
        </is>
      </c>
    </row>
    <row r="201">
      <c r="A201" s="8" t="n"/>
      <c r="B201" s="9" t="inlineStr">
        <is>
          <t>Van chặn lửa MFD, EI60 MFD 1300x650</t>
        </is>
      </c>
      <c r="C201" s="8" t="inlineStr">
        <is>
          <t>SWIND-1.03-MFD-EI90</t>
        </is>
      </c>
      <c r="D201" s="8" t="inlineStr">
        <is>
          <t>SWIND</t>
        </is>
      </c>
      <c r="E201" s="8" t="n">
        <v>1300</v>
      </c>
      <c r="F201" s="8" t="n">
        <v>650</v>
      </c>
      <c r="G201" s="8" t="n"/>
      <c r="H201" s="8" t="n"/>
      <c r="I201" s="8" t="n"/>
      <c r="J201" s="8" t="n">
        <v>200</v>
      </c>
      <c r="K201" s="12" t="n">
        <v>1.15</v>
      </c>
      <c r="L201" s="8" t="inlineStr">
        <is>
          <t>Cái</t>
        </is>
      </c>
      <c r="M201" s="10" t="n">
        <v>6</v>
      </c>
      <c r="N201" s="10" t="n">
        <v>7924996</v>
      </c>
      <c r="O201" s="10">
        <f>ROUNDUP(N201*M201, -2)</f>
        <v/>
      </c>
      <c r="P201" s="9" t="inlineStr">
        <is>
          <t>- Van ngăn cháy động cơ - Tiêu chuẩn EI 90
- 2 đầu bích TDC - Gắn kèm động cơ ON-OFF 5Nm, Hãng KLB
- Sản xuất theo BCTN số 4651/VLXD-TBMT</t>
        </is>
      </c>
    </row>
    <row r="202">
      <c r="A202" s="8" t="n"/>
      <c r="B202" s="9" t="inlineStr">
        <is>
          <t>Van chặn lửa MFD, EI60 MFD 1350x550</t>
        </is>
      </c>
      <c r="C202" s="8" t="inlineStr">
        <is>
          <t>SWIND-1.03-MFD-EI90</t>
        </is>
      </c>
      <c r="D202" s="8" t="inlineStr">
        <is>
          <t>SWIND</t>
        </is>
      </c>
      <c r="E202" s="8" t="n">
        <v>1350</v>
      </c>
      <c r="F202" s="8" t="n">
        <v>550</v>
      </c>
      <c r="G202" s="8" t="n"/>
      <c r="H202" s="8" t="n"/>
      <c r="I202" s="8" t="n"/>
      <c r="J202" s="8" t="n">
        <v>200</v>
      </c>
      <c r="K202" s="12" t="n">
        <v>1.15</v>
      </c>
      <c r="L202" s="8" t="inlineStr">
        <is>
          <t>Cái</t>
        </is>
      </c>
      <c r="M202" s="10" t="n">
        <v>4</v>
      </c>
      <c r="N202" s="10" t="n">
        <v>7448288</v>
      </c>
      <c r="O202" s="10">
        <f>ROUNDUP(N202*M202, -2)</f>
        <v/>
      </c>
      <c r="P202" s="9" t="inlineStr">
        <is>
          <t>- Van ngăn cháy động cơ - Tiêu chuẩn EI 90
- 2 đầu bích TDC - Gắn kèm động cơ ON-OFF 5Nm, Hãng KLB
- Sản xuất theo BCTN số 4651/VLXD-TBMT</t>
        </is>
      </c>
    </row>
    <row r="203">
      <c r="A203" s="8" t="n"/>
      <c r="B203" s="9" t="inlineStr">
        <is>
          <t>Van chặn lửa MFD, EI60 MFD 1350x600</t>
        </is>
      </c>
      <c r="C203" s="8" t="inlineStr">
        <is>
          <t>SWIND-1.03-MFD-EI90</t>
        </is>
      </c>
      <c r="D203" s="8" t="inlineStr">
        <is>
          <t>SWIND</t>
        </is>
      </c>
      <c r="E203" s="8" t="n">
        <v>1350</v>
      </c>
      <c r="F203" s="8" t="n">
        <v>600</v>
      </c>
      <c r="G203" s="8" t="n"/>
      <c r="H203" s="8" t="n"/>
      <c r="I203" s="8" t="n"/>
      <c r="J203" s="8" t="n">
        <v>200</v>
      </c>
      <c r="K203" s="12" t="n">
        <v>1.15</v>
      </c>
      <c r="L203" s="8" t="inlineStr">
        <is>
          <t>Cái</t>
        </is>
      </c>
      <c r="M203" s="10" t="n">
        <v>8</v>
      </c>
      <c r="N203" s="10" t="n">
        <v>7785632</v>
      </c>
      <c r="O203" s="10">
        <f>ROUNDUP(N203*M203, -2)</f>
        <v/>
      </c>
      <c r="P203" s="9" t="inlineStr">
        <is>
          <t>- Van ngăn cháy động cơ - Tiêu chuẩn EI 90
- 2 đầu bích TDC - Gắn kèm động cơ ON-OFF 5Nm, Hãng KLB
- Sản xuất theo BCTN số 4651/VLXD-TBMT</t>
        </is>
      </c>
    </row>
    <row r="204">
      <c r="A204" s="6" t="n"/>
      <c r="B204" s="7" t="inlineStr">
        <is>
          <t>Đường ống hút khói &amp; cấp gió tươi hầm</t>
        </is>
      </c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</row>
    <row r="205">
      <c r="A205" s="6" t="n"/>
      <c r="B205" s="7" t="inlineStr">
        <is>
          <t>Ống gió chống cháy EI60</t>
        </is>
      </c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</row>
    <row r="206">
      <c r="A206" s="8" t="n"/>
      <c r="B206" s="9" t="inlineStr">
        <is>
          <t>Ống gió chống cháy EI60 400x300, tole dày 0.75mm</t>
        </is>
      </c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inlineStr">
        <is>
          <t>m</t>
        </is>
      </c>
      <c r="M206" s="10" t="n">
        <v>564</v>
      </c>
      <c r="N206" s="11" t="n"/>
      <c r="O206" s="11" t="n"/>
      <c r="P206" s="9" t="n"/>
    </row>
    <row r="207">
      <c r="A207" s="8" t="n"/>
      <c r="B207" s="9" t="inlineStr">
        <is>
          <t>Ống gió chống cháy EI60 500x350, tole dày 0.75mm</t>
        </is>
      </c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inlineStr">
        <is>
          <t>m</t>
        </is>
      </c>
      <c r="M207" s="10" t="n">
        <v>142</v>
      </c>
      <c r="N207" s="11" t="n"/>
      <c r="O207" s="11" t="n"/>
      <c r="P207" s="9" t="n"/>
    </row>
    <row r="208">
      <c r="A208" s="8" t="n"/>
      <c r="B208" s="9" t="inlineStr">
        <is>
          <t>Ống gió chống cháy EI60 600x300, tole dày 0.75mm</t>
        </is>
      </c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inlineStr">
        <is>
          <t>m</t>
        </is>
      </c>
      <c r="M208" s="10" t="n">
        <v>65</v>
      </c>
      <c r="N208" s="11" t="n"/>
      <c r="O208" s="11" t="n"/>
      <c r="P208" s="9" t="n"/>
    </row>
    <row r="209">
      <c r="A209" s="8" t="n"/>
      <c r="B209" s="9" t="inlineStr">
        <is>
          <t>Ống gió chống cháy EI60 650x300, tole dày 0.75mm</t>
        </is>
      </c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inlineStr">
        <is>
          <t>m</t>
        </is>
      </c>
      <c r="M209" s="10" t="n">
        <v>402</v>
      </c>
      <c r="N209" s="11" t="n"/>
      <c r="O209" s="11" t="n"/>
      <c r="P209" s="9" t="n"/>
    </row>
    <row r="210">
      <c r="A210" s="8" t="n"/>
      <c r="B210" s="9" t="inlineStr">
        <is>
          <t>Ống gió chống cháy EI60 700x300, tole dày 0.75mm</t>
        </is>
      </c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inlineStr">
        <is>
          <t>m</t>
        </is>
      </c>
      <c r="M210" s="10" t="n">
        <v>10</v>
      </c>
      <c r="N210" s="11" t="n"/>
      <c r="O210" s="11" t="n"/>
      <c r="P210" s="9" t="n"/>
    </row>
    <row r="211">
      <c r="A211" s="8" t="n"/>
      <c r="B211" s="9" t="inlineStr">
        <is>
          <t>Ống gió chống cháy EI60 700x350, tole dày 0.75mm</t>
        </is>
      </c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inlineStr">
        <is>
          <t>m</t>
        </is>
      </c>
      <c r="M211" s="10" t="n">
        <v>404</v>
      </c>
      <c r="N211" s="11" t="n"/>
      <c r="O211" s="11" t="n"/>
      <c r="P211" s="9" t="n"/>
    </row>
    <row r="212">
      <c r="A212" s="8" t="n"/>
      <c r="B212" s="9" t="inlineStr">
        <is>
          <t>Ống gió chống cháy EI60 700x450, tole dày 0.75mm</t>
        </is>
      </c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inlineStr">
        <is>
          <t>m</t>
        </is>
      </c>
      <c r="M212" s="10" t="n">
        <v>7</v>
      </c>
      <c r="N212" s="11" t="n"/>
      <c r="O212" s="11" t="n"/>
      <c r="P212" s="9" t="n"/>
    </row>
    <row r="213">
      <c r="A213" s="8" t="n"/>
      <c r="B213" s="9" t="inlineStr">
        <is>
          <t>Ống gió chống cháy EI60 800x350, tole dày 0.75mm</t>
        </is>
      </c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inlineStr">
        <is>
          <t>m</t>
        </is>
      </c>
      <c r="M213" s="10" t="n">
        <v>27</v>
      </c>
      <c r="N213" s="11" t="n"/>
      <c r="O213" s="11" t="n"/>
      <c r="P213" s="9" t="n"/>
    </row>
    <row r="214">
      <c r="A214" s="8" t="n"/>
      <c r="B214" s="9" t="inlineStr">
        <is>
          <t>Ống gió chống cháy EI60 800x400, tole dày 0.75mm</t>
        </is>
      </c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inlineStr">
        <is>
          <t>m</t>
        </is>
      </c>
      <c r="M214" s="10" t="n">
        <v>16</v>
      </c>
      <c r="N214" s="11" t="n"/>
      <c r="O214" s="11" t="n"/>
      <c r="P214" s="9" t="n"/>
    </row>
    <row r="215">
      <c r="A215" s="8" t="n"/>
      <c r="B215" s="9" t="inlineStr">
        <is>
          <t>Ống gió chống cháy EI60 900x350, tole dày 0.75mm</t>
        </is>
      </c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inlineStr">
        <is>
          <t>m</t>
        </is>
      </c>
      <c r="M215" s="10" t="n">
        <v>293</v>
      </c>
      <c r="N215" s="11" t="n"/>
      <c r="O215" s="11" t="n"/>
      <c r="P215" s="9" t="n"/>
    </row>
    <row r="216">
      <c r="A216" s="8" t="n"/>
      <c r="B216" s="9" t="inlineStr">
        <is>
          <t>Ống gió chống cháy EI60 900x400, tole dày 0.75mm</t>
        </is>
      </c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inlineStr">
        <is>
          <t>m</t>
        </is>
      </c>
      <c r="M216" s="10" t="n">
        <v>122</v>
      </c>
      <c r="N216" s="11" t="n"/>
      <c r="O216" s="11" t="n"/>
      <c r="P216" s="9" t="n"/>
    </row>
    <row r="217">
      <c r="A217" s="8" t="n"/>
      <c r="B217" s="9" t="inlineStr">
        <is>
          <t>Ống gió chống cháy EI60 900x450, tole dày 0.75mm</t>
        </is>
      </c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inlineStr">
        <is>
          <t>m</t>
        </is>
      </c>
      <c r="M217" s="10" t="n">
        <v>45</v>
      </c>
      <c r="N217" s="11" t="n"/>
      <c r="O217" s="11" t="n"/>
      <c r="P217" s="9" t="n"/>
    </row>
    <row r="218">
      <c r="A218" s="8" t="n"/>
      <c r="B218" s="9" t="inlineStr">
        <is>
          <t>Ống gió chống cháy EI60 900x500, tole dày 0.75mm</t>
        </is>
      </c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inlineStr">
        <is>
          <t>m</t>
        </is>
      </c>
      <c r="M218" s="10" t="n">
        <v>43</v>
      </c>
      <c r="N218" s="11" t="n"/>
      <c r="O218" s="11" t="n"/>
      <c r="P218" s="9" t="n"/>
    </row>
    <row r="219">
      <c r="A219" s="8" t="n"/>
      <c r="B219" s="9" t="inlineStr">
        <is>
          <t>Ống gió chống cháy EI60 950x400, tole dày 0.75mm</t>
        </is>
      </c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inlineStr">
        <is>
          <t>m</t>
        </is>
      </c>
      <c r="M219" s="10" t="n">
        <v>17</v>
      </c>
      <c r="N219" s="11" t="n"/>
      <c r="O219" s="11" t="n"/>
      <c r="P219" s="9" t="n"/>
    </row>
    <row r="220">
      <c r="A220" s="8" t="n"/>
      <c r="B220" s="9" t="inlineStr">
        <is>
          <t>Ống gió chống cháy EI60 950x500, tole dày 0.75mm</t>
        </is>
      </c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inlineStr">
        <is>
          <t>m</t>
        </is>
      </c>
      <c r="M220" s="10" t="n">
        <v>9</v>
      </c>
      <c r="N220" s="11" t="n"/>
      <c r="O220" s="11" t="n"/>
      <c r="P220" s="9" t="n"/>
    </row>
    <row r="221">
      <c r="A221" s="8" t="n"/>
      <c r="B221" s="9" t="inlineStr">
        <is>
          <t>Ống gió chống cháy EI60 1000x350, tole dày 0.75mm</t>
        </is>
      </c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inlineStr">
        <is>
          <t>m</t>
        </is>
      </c>
      <c r="M221" s="10" t="n">
        <v>58</v>
      </c>
      <c r="N221" s="11" t="n"/>
      <c r="O221" s="11" t="n"/>
      <c r="P221" s="9" t="n"/>
    </row>
    <row r="222">
      <c r="A222" s="8" t="n"/>
      <c r="B222" s="9" t="inlineStr">
        <is>
          <t>Ống gió chống cháy EI60 1000x400, tole dày 0.75mm</t>
        </is>
      </c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inlineStr">
        <is>
          <t>m</t>
        </is>
      </c>
      <c r="M222" s="10" t="n">
        <v>71</v>
      </c>
      <c r="N222" s="11" t="n"/>
      <c r="O222" s="11" t="n"/>
      <c r="P222" s="9" t="n"/>
    </row>
    <row r="223">
      <c r="A223" s="8" t="n"/>
      <c r="B223" s="9" t="inlineStr">
        <is>
          <t>Ống gió chống cháy EI60 1000x450, tole dày 0.75mm</t>
        </is>
      </c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inlineStr">
        <is>
          <t>m</t>
        </is>
      </c>
      <c r="M223" s="10" t="n">
        <v>175</v>
      </c>
      <c r="N223" s="11" t="n"/>
      <c r="O223" s="11" t="n"/>
      <c r="P223" s="9" t="n"/>
    </row>
    <row r="224">
      <c r="A224" s="8" t="n"/>
      <c r="B224" s="9" t="inlineStr">
        <is>
          <t>Ống gió chống cháy EI60 1000x500, tole dày 0.75mm</t>
        </is>
      </c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inlineStr">
        <is>
          <t>m</t>
        </is>
      </c>
      <c r="M224" s="10" t="n">
        <v>79</v>
      </c>
      <c r="N224" s="11" t="n"/>
      <c r="O224" s="11" t="n"/>
      <c r="P224" s="9" t="n"/>
    </row>
    <row r="225">
      <c r="A225" s="8" t="n"/>
      <c r="B225" s="9" t="inlineStr">
        <is>
          <t>Ống gió chống cháy EI60 1050x300, tole dày 0.75mm</t>
        </is>
      </c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inlineStr">
        <is>
          <t>m</t>
        </is>
      </c>
      <c r="M225" s="10" t="n">
        <v>27</v>
      </c>
      <c r="N225" s="11" t="n"/>
      <c r="O225" s="11" t="n"/>
      <c r="P225" s="9" t="n"/>
    </row>
    <row r="226">
      <c r="A226" s="8" t="n"/>
      <c r="B226" s="9" t="inlineStr">
        <is>
          <t>Ống gió chống cháy EI60 1050x350, tole dày 0.75mm</t>
        </is>
      </c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inlineStr">
        <is>
          <t>m</t>
        </is>
      </c>
      <c r="M226" s="10" t="n">
        <v>16</v>
      </c>
      <c r="N226" s="11" t="n"/>
      <c r="O226" s="11" t="n"/>
      <c r="P226" s="9" t="n"/>
    </row>
    <row r="227">
      <c r="A227" s="8" t="n"/>
      <c r="B227" s="9" t="inlineStr">
        <is>
          <t>Ống gió chống cháy EI60 1050x400, tole dày 0.75mm</t>
        </is>
      </c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inlineStr">
        <is>
          <t>m</t>
        </is>
      </c>
      <c r="M227" s="10" t="n">
        <v>16</v>
      </c>
      <c r="N227" s="11" t="n"/>
      <c r="O227" s="11" t="n"/>
      <c r="P227" s="9" t="n"/>
    </row>
    <row r="228">
      <c r="A228" s="8" t="n"/>
      <c r="B228" s="9" t="inlineStr">
        <is>
          <t>Ống gió chống cháy EI60 1050x500, tole dày 0.75mm</t>
        </is>
      </c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inlineStr">
        <is>
          <t>m</t>
        </is>
      </c>
      <c r="M228" s="10" t="n">
        <v>77</v>
      </c>
      <c r="N228" s="11" t="n"/>
      <c r="O228" s="11" t="n"/>
      <c r="P228" s="9" t="n"/>
    </row>
    <row r="229">
      <c r="A229" s="8" t="n"/>
      <c r="B229" s="9" t="inlineStr">
        <is>
          <t>Ống gió chống cháy EI60 1050x550, tole dày 0.75mm</t>
        </is>
      </c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inlineStr">
        <is>
          <t>m</t>
        </is>
      </c>
      <c r="M229" s="10" t="n">
        <v>28</v>
      </c>
      <c r="N229" s="11" t="n"/>
      <c r="O229" s="11" t="n"/>
      <c r="P229" s="9" t="n"/>
    </row>
    <row r="230">
      <c r="A230" s="8" t="n"/>
      <c r="B230" s="9" t="inlineStr">
        <is>
          <t>Ống gió chống cháy EI60 1050x600, tole dày 0.75mm</t>
        </is>
      </c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inlineStr">
        <is>
          <t>m</t>
        </is>
      </c>
      <c r="M230" s="10" t="n">
        <v>28</v>
      </c>
      <c r="N230" s="11" t="n"/>
      <c r="O230" s="11" t="n"/>
      <c r="P230" s="9" t="n"/>
    </row>
    <row r="231">
      <c r="A231" s="8" t="n"/>
      <c r="B231" s="9" t="inlineStr">
        <is>
          <t>Ống gió chống cháy EI60 1100x300, tole dày 0.75mm</t>
        </is>
      </c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inlineStr">
        <is>
          <t>m</t>
        </is>
      </c>
      <c r="M231" s="10" t="n">
        <v>48</v>
      </c>
      <c r="N231" s="11" t="n"/>
      <c r="O231" s="11" t="n"/>
      <c r="P231" s="9" t="n"/>
    </row>
    <row r="232">
      <c r="A232" s="8" t="n"/>
      <c r="B232" s="9" t="inlineStr">
        <is>
          <t>Ống gió chống cháy EI60 1100x350, tole dày 0.75mm</t>
        </is>
      </c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inlineStr">
        <is>
          <t>m</t>
        </is>
      </c>
      <c r="M232" s="10" t="n">
        <v>37</v>
      </c>
      <c r="N232" s="11" t="n"/>
      <c r="O232" s="11" t="n"/>
      <c r="P232" s="9" t="n"/>
    </row>
    <row r="233">
      <c r="A233" s="8" t="n"/>
      <c r="B233" s="9" t="inlineStr">
        <is>
          <t>Ống gió chống cháy EI60 1100x400, tole dày 0.75mm</t>
        </is>
      </c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inlineStr">
        <is>
          <t>m</t>
        </is>
      </c>
      <c r="M233" s="10" t="n">
        <v>9</v>
      </c>
      <c r="N233" s="11" t="n"/>
      <c r="O233" s="11" t="n"/>
      <c r="P233" s="9" t="n"/>
    </row>
    <row r="234">
      <c r="A234" s="8" t="n"/>
      <c r="B234" s="9" t="inlineStr">
        <is>
          <t>Ống gió chống cháy EI60 1100x450, tole dày 0.75mm</t>
        </is>
      </c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inlineStr">
        <is>
          <t>m</t>
        </is>
      </c>
      <c r="M234" s="10" t="n">
        <v>132</v>
      </c>
      <c r="N234" s="11" t="n"/>
      <c r="O234" s="11" t="n"/>
      <c r="P234" s="9" t="n"/>
    </row>
    <row r="235">
      <c r="A235" s="8" t="n"/>
      <c r="B235" s="9" t="inlineStr">
        <is>
          <t>Ống gió chống cháy EI60 1100x500, tole dày 0.75mm</t>
        </is>
      </c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inlineStr">
        <is>
          <t>m</t>
        </is>
      </c>
      <c r="M235" s="10" t="n">
        <v>511</v>
      </c>
      <c r="N235" s="11" t="n"/>
      <c r="O235" s="11" t="n"/>
      <c r="P235" s="9" t="n"/>
    </row>
    <row r="236">
      <c r="A236" s="8" t="n"/>
      <c r="B236" s="9" t="inlineStr">
        <is>
          <t>Ống gió chống cháy EI60 1100x550, tole dày 0.75mm</t>
        </is>
      </c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inlineStr">
        <is>
          <t>m</t>
        </is>
      </c>
      <c r="M236" s="10" t="n">
        <v>108</v>
      </c>
      <c r="N236" s="11" t="n"/>
      <c r="O236" s="11" t="n"/>
      <c r="P236" s="9" t="n"/>
    </row>
    <row r="237">
      <c r="A237" s="8" t="n"/>
      <c r="B237" s="9" t="inlineStr">
        <is>
          <t>Ống gió chống cháy EI60 1100x600, tole dày 0.75mm</t>
        </is>
      </c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inlineStr">
        <is>
          <t>m</t>
        </is>
      </c>
      <c r="M237" s="10" t="n">
        <v>92</v>
      </c>
      <c r="N237" s="11" t="n"/>
      <c r="O237" s="11" t="n"/>
      <c r="P237" s="9" t="n"/>
    </row>
    <row r="238">
      <c r="A238" s="8" t="n"/>
      <c r="B238" s="9" t="inlineStr">
        <is>
          <t>Ống gió chống cháy EI60 1150x600, tole dày 0.75mm</t>
        </is>
      </c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inlineStr">
        <is>
          <t>m</t>
        </is>
      </c>
      <c r="M238" s="10" t="n">
        <v>18</v>
      </c>
      <c r="N238" s="11" t="n"/>
      <c r="O238" s="11" t="n"/>
      <c r="P238" s="9" t="n"/>
    </row>
    <row r="239">
      <c r="A239" s="8" t="n"/>
      <c r="B239" s="9" t="inlineStr">
        <is>
          <t>Ống gió chống cháy EI60 1200x350, tole dày 0.75mm</t>
        </is>
      </c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inlineStr">
        <is>
          <t>m</t>
        </is>
      </c>
      <c r="M239" s="10" t="n">
        <v>8</v>
      </c>
      <c r="N239" s="11" t="n"/>
      <c r="O239" s="11" t="n"/>
      <c r="P239" s="9" t="n"/>
    </row>
    <row r="240">
      <c r="A240" s="8" t="n"/>
      <c r="B240" s="9" t="inlineStr">
        <is>
          <t>Ống gió chống cháy EI60 1200x400, tole dày 0.75mm</t>
        </is>
      </c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inlineStr">
        <is>
          <t>m</t>
        </is>
      </c>
      <c r="M240" s="10" t="n">
        <v>20</v>
      </c>
      <c r="N240" s="11" t="n"/>
      <c r="O240" s="11" t="n"/>
      <c r="P240" s="9" t="n"/>
    </row>
    <row r="241">
      <c r="A241" s="8" t="n"/>
      <c r="B241" s="9" t="inlineStr">
        <is>
          <t>Ống gió chống cháy EI60 1200x450, tole dày 0.75mm</t>
        </is>
      </c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inlineStr">
        <is>
          <t>m</t>
        </is>
      </c>
      <c r="M241" s="10" t="n">
        <v>40</v>
      </c>
      <c r="N241" s="11" t="n"/>
      <c r="O241" s="11" t="n"/>
      <c r="P241" s="9" t="n"/>
    </row>
    <row r="242">
      <c r="A242" s="8" t="n"/>
      <c r="B242" s="9" t="inlineStr">
        <is>
          <t>Ống gió chống cháy EI60 1200x500, tole dày 0.75mm</t>
        </is>
      </c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inlineStr">
        <is>
          <t>m</t>
        </is>
      </c>
      <c r="M242" s="10" t="n">
        <v>100</v>
      </c>
      <c r="N242" s="11" t="n"/>
      <c r="O242" s="11" t="n"/>
      <c r="P242" s="9" t="n"/>
    </row>
    <row r="243">
      <c r="A243" s="8" t="n"/>
      <c r="B243" s="9" t="inlineStr">
        <is>
          <t>Ống gió chống cháy EI60 1200x550, tole dày 0.75mm</t>
        </is>
      </c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inlineStr">
        <is>
          <t>m</t>
        </is>
      </c>
      <c r="M243" s="10" t="n">
        <v>108</v>
      </c>
      <c r="N243" s="11" t="n"/>
      <c r="O243" s="11" t="n"/>
      <c r="P243" s="9" t="n"/>
    </row>
    <row r="244">
      <c r="A244" s="8" t="n"/>
      <c r="B244" s="9" t="inlineStr">
        <is>
          <t>Ống gió chống cháy EI60 1200x600, tole dày 0.75mm</t>
        </is>
      </c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inlineStr">
        <is>
          <t>m</t>
        </is>
      </c>
      <c r="M244" s="10" t="n">
        <v>123</v>
      </c>
      <c r="N244" s="11" t="n"/>
      <c r="O244" s="11" t="n"/>
      <c r="P244" s="9" t="n"/>
    </row>
    <row r="245">
      <c r="A245" s="8" t="n"/>
      <c r="B245" s="9" t="inlineStr">
        <is>
          <t>Ống gió chống cháy EI60 1200x650, tole dày 0.75mm</t>
        </is>
      </c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inlineStr">
        <is>
          <t>m</t>
        </is>
      </c>
      <c r="M245" s="10" t="n">
        <v>3</v>
      </c>
      <c r="N245" s="11" t="n"/>
      <c r="O245" s="11" t="n"/>
      <c r="P245" s="9" t="n"/>
    </row>
    <row r="246">
      <c r="A246" s="8" t="n"/>
      <c r="B246" s="9" t="inlineStr">
        <is>
          <t>Ống gió chống cháy EI60 1200x800, tole dày 0.75mm</t>
        </is>
      </c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inlineStr">
        <is>
          <t>m</t>
        </is>
      </c>
      <c r="M246" s="10" t="n">
        <v>4</v>
      </c>
      <c r="N246" s="11" t="n"/>
      <c r="O246" s="11" t="n"/>
      <c r="P246" s="9" t="n"/>
    </row>
    <row r="247">
      <c r="A247" s="8" t="n"/>
      <c r="B247" s="9" t="inlineStr">
        <is>
          <t>Ống gió chống cháy EI60 1250x500, tole dày 0.75mm</t>
        </is>
      </c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inlineStr">
        <is>
          <t>m</t>
        </is>
      </c>
      <c r="M247" s="10" t="n">
        <v>53</v>
      </c>
      <c r="N247" s="11" t="n"/>
      <c r="O247" s="11" t="n"/>
      <c r="P247" s="9" t="n"/>
    </row>
    <row r="248">
      <c r="A248" s="8" t="n"/>
      <c r="B248" s="9" t="inlineStr">
        <is>
          <t>Ống gió chống cháy EI60 1300x400, tole dày 0.75mm</t>
        </is>
      </c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inlineStr">
        <is>
          <t>m</t>
        </is>
      </c>
      <c r="M248" s="10" t="n">
        <v>34</v>
      </c>
      <c r="N248" s="11" t="n"/>
      <c r="O248" s="11" t="n"/>
      <c r="P248" s="9" t="n"/>
    </row>
    <row r="249">
      <c r="A249" s="8" t="n"/>
      <c r="B249" s="9" t="inlineStr">
        <is>
          <t>Ống gió chống cháy EI60 1300x500, tole dày 0.75mm</t>
        </is>
      </c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inlineStr">
        <is>
          <t>m</t>
        </is>
      </c>
      <c r="M249" s="10" t="n">
        <v>35</v>
      </c>
      <c r="N249" s="11" t="n"/>
      <c r="O249" s="11" t="n"/>
      <c r="P249" s="9" t="n"/>
    </row>
    <row r="250">
      <c r="A250" s="8" t="n"/>
      <c r="B250" s="9" t="inlineStr">
        <is>
          <t>Ống gió chống cháy EI60 1300x550, tole dày 0.75mm</t>
        </is>
      </c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inlineStr">
        <is>
          <t>m</t>
        </is>
      </c>
      <c r="M250" s="10" t="n">
        <v>22</v>
      </c>
      <c r="N250" s="11" t="n"/>
      <c r="O250" s="11" t="n"/>
      <c r="P250" s="9" t="n"/>
    </row>
    <row r="251">
      <c r="A251" s="8" t="n"/>
      <c r="B251" s="9" t="inlineStr">
        <is>
          <t>Ống gió chống cháy EI60 1300x600, tole dày 0.75mm</t>
        </is>
      </c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inlineStr">
        <is>
          <t>m</t>
        </is>
      </c>
      <c r="M251" s="10" t="n">
        <v>56</v>
      </c>
      <c r="N251" s="11" t="n"/>
      <c r="O251" s="11" t="n"/>
      <c r="P251" s="9" t="n"/>
    </row>
    <row r="252">
      <c r="A252" s="8" t="n"/>
      <c r="B252" s="9" t="inlineStr">
        <is>
          <t>Ống gió chống cháy EI60 1300x650, tole dày 0.75mm</t>
        </is>
      </c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inlineStr">
        <is>
          <t>m</t>
        </is>
      </c>
      <c r="M252" s="10" t="n">
        <v>34</v>
      </c>
      <c r="N252" s="11" t="n"/>
      <c r="O252" s="11" t="n"/>
      <c r="P252" s="9" t="n"/>
    </row>
    <row r="253">
      <c r="A253" s="8" t="n"/>
      <c r="B253" s="9" t="inlineStr">
        <is>
          <t>Ống gió chống cháy EI60 1350x550, tole dày 0.75mm</t>
        </is>
      </c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inlineStr">
        <is>
          <t>m</t>
        </is>
      </c>
      <c r="M253" s="10" t="n">
        <v>34</v>
      </c>
      <c r="N253" s="11" t="n"/>
      <c r="O253" s="11" t="n"/>
      <c r="P253" s="9" t="n"/>
    </row>
    <row r="254">
      <c r="A254" s="8" t="n"/>
      <c r="B254" s="9" t="inlineStr">
        <is>
          <t>Ống gió chống cháy EI60 1350x600, tole dày 0.75mm</t>
        </is>
      </c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inlineStr">
        <is>
          <t>m</t>
        </is>
      </c>
      <c r="M254" s="10" t="n">
        <v>50</v>
      </c>
      <c r="N254" s="11" t="n"/>
      <c r="O254" s="11" t="n"/>
      <c r="P254" s="9" t="n"/>
    </row>
    <row r="255">
      <c r="A255" s="8" t="n"/>
      <c r="B255" s="9" t="inlineStr">
        <is>
          <t>Ống gió chống cháy EI60 1400x800, tole dày 0.75mm</t>
        </is>
      </c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inlineStr">
        <is>
          <t>m</t>
        </is>
      </c>
      <c r="M255" s="10" t="n">
        <v>6</v>
      </c>
      <c r="N255" s="11" t="n"/>
      <c r="O255" s="11" t="n"/>
      <c r="P255" s="9" t="n"/>
    </row>
    <row r="256">
      <c r="A256" s="8" t="n"/>
      <c r="B256" s="9" t="inlineStr">
        <is>
          <t>Ống gió chống cháy EI60 1500x700, tole dày 0.75mm</t>
        </is>
      </c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inlineStr">
        <is>
          <t>m</t>
        </is>
      </c>
      <c r="M256" s="10" t="n">
        <v>4</v>
      </c>
      <c r="N256" s="11" t="n"/>
      <c r="O256" s="11" t="n"/>
      <c r="P256" s="9" t="n"/>
    </row>
    <row r="257">
      <c r="A257" s="8" t="n"/>
      <c r="B257" s="9" t="inlineStr">
        <is>
          <t>Ống gió chống cháy EI60 1500x900, tole dày 0.75mm</t>
        </is>
      </c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inlineStr">
        <is>
          <t>m</t>
        </is>
      </c>
      <c r="M257" s="10" t="n">
        <v>14</v>
      </c>
      <c r="N257" s="11" t="n"/>
      <c r="O257" s="11" t="n"/>
      <c r="P257" s="9" t="n"/>
    </row>
    <row r="258">
      <c r="A258" s="8" t="n"/>
      <c r="B258" s="9" t="inlineStr">
        <is>
          <t>Phụ kiện lắp đặt ống gió (giảm, gót dày, chuyển vuông tròn...)</t>
        </is>
      </c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inlineStr">
        <is>
          <t>Lô</t>
        </is>
      </c>
      <c r="M258" s="10" t="n">
        <v>1</v>
      </c>
      <c r="N258" s="11" t="n"/>
      <c r="O258" s="11" t="n"/>
      <c r="P258" s="9" t="n"/>
    </row>
    <row r="259">
      <c r="A259" s="6" t="n"/>
      <c r="B259" s="7" t="inlineStr">
        <is>
          <t>Lắp đặt ống gió tole tráng kẽm, dày 0.57mm</t>
        </is>
      </c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</row>
    <row r="260">
      <c r="A260" s="8" t="n"/>
      <c r="B260" s="9" t="inlineStr">
        <is>
          <t>Lắp đặt ống gió tole tráng kẽm, dày 0.57mm 400x300</t>
        </is>
      </c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inlineStr">
        <is>
          <t>m</t>
        </is>
      </c>
      <c r="M260" s="10" t="n">
        <v>472</v>
      </c>
      <c r="N260" s="11" t="n"/>
      <c r="O260" s="11" t="n"/>
      <c r="P260" s="9" t="n"/>
    </row>
    <row r="261">
      <c r="A261" s="8" t="n"/>
      <c r="B261" s="9" t="inlineStr">
        <is>
          <t>Phụ kiện lắp đặt ống gió (giảm, gót dày, chuyển vuông tròn...)</t>
        </is>
      </c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inlineStr">
        <is>
          <t>Lô</t>
        </is>
      </c>
      <c r="M261" s="10" t="n">
        <v>1</v>
      </c>
      <c r="N261" s="11" t="n"/>
      <c r="O261" s="11" t="n"/>
      <c r="P261" s="9" t="n"/>
    </row>
    <row r="262">
      <c r="A262" s="6" t="n"/>
      <c r="B262" s="7" t="inlineStr">
        <is>
          <t>Lắp đặt ống gió tole tráng kẽm, dày 0.75mm</t>
        </is>
      </c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</row>
    <row r="263">
      <c r="A263" s="8" t="n"/>
      <c r="B263" s="9" t="inlineStr">
        <is>
          <t>Lắp đặt ống gió tole tráng kẽm, dày 0.75mm 600x200</t>
        </is>
      </c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inlineStr">
        <is>
          <t>m</t>
        </is>
      </c>
      <c r="M263" s="10" t="n">
        <v>123</v>
      </c>
      <c r="N263" s="11" t="n"/>
      <c r="O263" s="11" t="n"/>
      <c r="P263" s="9" t="n"/>
    </row>
    <row r="264">
      <c r="A264" s="8" t="n"/>
      <c r="B264" s="9" t="inlineStr">
        <is>
          <t>Lắp đặt ống gió tole tráng kẽm, dày 0.75mm 600x300</t>
        </is>
      </c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inlineStr">
        <is>
          <t>m</t>
        </is>
      </c>
      <c r="M264" s="10" t="n">
        <v>272</v>
      </c>
      <c r="N264" s="11" t="n"/>
      <c r="O264" s="11" t="n"/>
      <c r="P264" s="9" t="n"/>
    </row>
    <row r="265">
      <c r="A265" s="8" t="n"/>
      <c r="B265" s="9" t="inlineStr">
        <is>
          <t>Lắp đặt ống gió tole tráng kẽm, dày 0.75mm 600x350</t>
        </is>
      </c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inlineStr">
        <is>
          <t>m</t>
        </is>
      </c>
      <c r="M265" s="10" t="n">
        <v>269</v>
      </c>
      <c r="N265" s="11" t="n"/>
      <c r="O265" s="11" t="n"/>
      <c r="P265" s="9" t="n"/>
    </row>
    <row r="266">
      <c r="A266" s="8" t="n"/>
      <c r="B266" s="9" t="inlineStr">
        <is>
          <t>Lắp đặt ống gió tole tráng kẽm, dày 0.75mm 700x350</t>
        </is>
      </c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inlineStr">
        <is>
          <t>m</t>
        </is>
      </c>
      <c r="M266" s="10" t="n">
        <v>354</v>
      </c>
      <c r="N266" s="11" t="n"/>
      <c r="O266" s="11" t="n"/>
      <c r="P266" s="9" t="n"/>
    </row>
    <row r="267">
      <c r="A267" s="8" t="n"/>
      <c r="B267" s="9" t="inlineStr">
        <is>
          <t>Lắp đặt ống gió tole tráng kẽm, dày 0.75mm 800x350</t>
        </is>
      </c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inlineStr">
        <is>
          <t>m</t>
        </is>
      </c>
      <c r="M267" s="10" t="n">
        <v>143</v>
      </c>
      <c r="N267" s="11" t="n"/>
      <c r="O267" s="11" t="n"/>
      <c r="P267" s="9" t="n"/>
    </row>
    <row r="268">
      <c r="A268" s="8" t="n"/>
      <c r="B268" s="9" t="inlineStr">
        <is>
          <t>Lắp đặt ống gió tole tráng kẽm, dày 0.75mm 800x400</t>
        </is>
      </c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inlineStr">
        <is>
          <t>m</t>
        </is>
      </c>
      <c r="M268" s="10" t="n">
        <v>258</v>
      </c>
      <c r="N268" s="11" t="n"/>
      <c r="O268" s="11" t="n"/>
      <c r="P268" s="9" t="n"/>
    </row>
    <row r="269">
      <c r="A269" s="8" t="n"/>
      <c r="B269" s="9" t="inlineStr">
        <is>
          <t>Lắp đặt ống gió tole tráng kẽm, dày 0.75mm 850x350</t>
        </is>
      </c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inlineStr">
        <is>
          <t>m</t>
        </is>
      </c>
      <c r="M269" s="10" t="n">
        <v>25</v>
      </c>
      <c r="N269" s="11" t="n"/>
      <c r="O269" s="11" t="n"/>
      <c r="P269" s="9" t="n"/>
    </row>
    <row r="270">
      <c r="A270" s="8" t="n"/>
      <c r="B270" s="9" t="inlineStr">
        <is>
          <t>Lắp đặt ống gió tole tráng kẽm, dày 0.75mm 900x350</t>
        </is>
      </c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inlineStr">
        <is>
          <t>m</t>
        </is>
      </c>
      <c r="M270" s="10" t="n">
        <v>18</v>
      </c>
      <c r="N270" s="11" t="n"/>
      <c r="O270" s="11" t="n"/>
      <c r="P270" s="9" t="n"/>
    </row>
    <row r="271">
      <c r="A271" s="8" t="n"/>
      <c r="B271" s="9" t="inlineStr">
        <is>
          <t>Lắp đặt ống gió tole tráng kẽm, dày 0.75mm 900x400</t>
        </is>
      </c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inlineStr">
        <is>
          <t>m</t>
        </is>
      </c>
      <c r="M271" s="10" t="n">
        <v>57</v>
      </c>
      <c r="N271" s="11" t="n"/>
      <c r="O271" s="11" t="n"/>
      <c r="P271" s="9" t="n"/>
    </row>
    <row r="272">
      <c r="A272" s="8" t="n"/>
      <c r="B272" s="9" t="inlineStr">
        <is>
          <t>Lắp đặt ống gió tole tráng kẽm, dày 0.75mm 950x400</t>
        </is>
      </c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inlineStr">
        <is>
          <t>m</t>
        </is>
      </c>
      <c r="M272" s="10" t="n">
        <v>198</v>
      </c>
      <c r="N272" s="11" t="n"/>
      <c r="O272" s="11" t="n"/>
      <c r="P272" s="9" t="n"/>
    </row>
    <row r="273">
      <c r="A273" s="8" t="n"/>
      <c r="B273" s="9" t="inlineStr">
        <is>
          <t>Phụ kiện lắp đặt ống gió (giảm, gót dày, chuyển vuông tròn...)</t>
        </is>
      </c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inlineStr">
        <is>
          <t>Lô</t>
        </is>
      </c>
      <c r="M273" s="10" t="n">
        <v>1</v>
      </c>
      <c r="N273" s="11" t="n"/>
      <c r="O273" s="11" t="n"/>
      <c r="P273" s="9" t="n"/>
    </row>
    <row r="274">
      <c r="A274" s="6" t="n"/>
      <c r="B274" s="7" t="inlineStr">
        <is>
          <t>Lắp đặt ống gió tole tráng kẽm, dày 0.95mm</t>
        </is>
      </c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</row>
    <row r="275">
      <c r="A275" s="8" t="n"/>
      <c r="B275" s="9" t="inlineStr">
        <is>
          <t>Lắp đặt ống gió tole tráng kẽm, dày 0.95mm 1000x350</t>
        </is>
      </c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inlineStr">
        <is>
          <t>m</t>
        </is>
      </c>
      <c r="M275" s="10" t="n">
        <v>93</v>
      </c>
      <c r="N275" s="11" t="n"/>
      <c r="O275" s="11" t="n"/>
      <c r="P275" s="9" t="n"/>
    </row>
    <row r="276">
      <c r="A276" s="8" t="n"/>
      <c r="B276" s="9" t="inlineStr">
        <is>
          <t>Lắp đặt ống gió tole tráng kẽm, dày 0.95mm 1000x400</t>
        </is>
      </c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inlineStr">
        <is>
          <t>m</t>
        </is>
      </c>
      <c r="M276" s="10" t="n">
        <v>122</v>
      </c>
      <c r="N276" s="11" t="n"/>
      <c r="O276" s="11" t="n"/>
      <c r="P276" s="9" t="n"/>
    </row>
    <row r="277">
      <c r="A277" s="8" t="n"/>
      <c r="B277" s="9" t="inlineStr">
        <is>
          <t>Lắp đặt ống gió tole tráng kẽm, dày 0.95mm 1050x400</t>
        </is>
      </c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inlineStr">
        <is>
          <t>m</t>
        </is>
      </c>
      <c r="M277" s="10" t="n">
        <v>184</v>
      </c>
      <c r="N277" s="11" t="n"/>
      <c r="O277" s="11" t="n"/>
      <c r="P277" s="9" t="n"/>
    </row>
    <row r="278">
      <c r="A278" s="8" t="n"/>
      <c r="B278" s="9" t="inlineStr">
        <is>
          <t>Lắp đặt ống gió tole tráng kẽm, dày 0.95mm 1050x450</t>
        </is>
      </c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inlineStr">
        <is>
          <t>m</t>
        </is>
      </c>
      <c r="M278" s="10" t="n">
        <v>259</v>
      </c>
      <c r="N278" s="11" t="n"/>
      <c r="O278" s="11" t="n"/>
      <c r="P278" s="9" t="n"/>
    </row>
    <row r="279">
      <c r="A279" s="8" t="n"/>
      <c r="B279" s="9" t="inlineStr">
        <is>
          <t>Lắp đặt ống gió tole tráng kẽm, dày 0.95mm 1050x500</t>
        </is>
      </c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inlineStr">
        <is>
          <t>m</t>
        </is>
      </c>
      <c r="M279" s="10" t="n">
        <v>234</v>
      </c>
      <c r="N279" s="11" t="n"/>
      <c r="O279" s="11" t="n"/>
      <c r="P279" s="9" t="n"/>
    </row>
    <row r="280">
      <c r="A280" s="8" t="n"/>
      <c r="B280" s="9" t="inlineStr">
        <is>
          <t>Lắp đặt ống gió tole tráng kẽm, dày 0.95mm 1050x550</t>
        </is>
      </c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inlineStr">
        <is>
          <t>m</t>
        </is>
      </c>
      <c r="M280" s="10" t="n">
        <v>28</v>
      </c>
      <c r="N280" s="11" t="n"/>
      <c r="O280" s="11" t="n"/>
      <c r="P280" s="9" t="n"/>
    </row>
    <row r="281">
      <c r="A281" s="8" t="n"/>
      <c r="B281" s="9" t="inlineStr">
        <is>
          <t>Lắp đặt ống gió tole tráng kẽm, dày 0.95mm 1050x600</t>
        </is>
      </c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inlineStr">
        <is>
          <t>m</t>
        </is>
      </c>
      <c r="M281" s="10" t="n">
        <v>31</v>
      </c>
      <c r="N281" s="11" t="n"/>
      <c r="O281" s="11" t="n"/>
      <c r="P281" s="9" t="n"/>
    </row>
    <row r="282">
      <c r="A282" s="8" t="n"/>
      <c r="B282" s="9" t="inlineStr">
        <is>
          <t>Lắp đặt ống gió tole tráng kẽm, dày 0.95mm 1100x400</t>
        </is>
      </c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inlineStr">
        <is>
          <t>m</t>
        </is>
      </c>
      <c r="M282" s="10" t="n">
        <v>107</v>
      </c>
      <c r="N282" s="11" t="n"/>
      <c r="O282" s="11" t="n"/>
      <c r="P282" s="9" t="n"/>
    </row>
    <row r="283">
      <c r="A283" s="8" t="n"/>
      <c r="B283" s="9" t="inlineStr">
        <is>
          <t>Lắp đặt ống gió tole tráng kẽm, dày 0.95mm 1100x450</t>
        </is>
      </c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inlineStr">
        <is>
          <t>m</t>
        </is>
      </c>
      <c r="M283" s="10" t="n">
        <v>143</v>
      </c>
      <c r="N283" s="11" t="n"/>
      <c r="O283" s="11" t="n"/>
      <c r="P283" s="9" t="n"/>
    </row>
    <row r="284">
      <c r="A284" s="8" t="n"/>
      <c r="B284" s="9" t="inlineStr">
        <is>
          <t>Lắp đặt ống gió tole tráng kẽm, dày 0.95mm 1100x500</t>
        </is>
      </c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inlineStr">
        <is>
          <t>m</t>
        </is>
      </c>
      <c r="M284" s="10" t="n">
        <v>241</v>
      </c>
      <c r="N284" s="11" t="n"/>
      <c r="O284" s="11" t="n"/>
      <c r="P284" s="9" t="n"/>
    </row>
    <row r="285">
      <c r="A285" s="8" t="n"/>
      <c r="B285" s="9" t="inlineStr">
        <is>
          <t>Lắp đặt ống gió tole tráng kẽm, dày 0.95mm 1100x550</t>
        </is>
      </c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inlineStr">
        <is>
          <t>m</t>
        </is>
      </c>
      <c r="M285" s="10" t="n">
        <v>174</v>
      </c>
      <c r="N285" s="11" t="n"/>
      <c r="O285" s="11" t="n"/>
      <c r="P285" s="9" t="n"/>
    </row>
    <row r="286">
      <c r="A286" s="8" t="n"/>
      <c r="B286" s="9" t="inlineStr">
        <is>
          <t>Lắp đặt ống gió tole tráng kẽm, dày 0.95mm 1150x400</t>
        </is>
      </c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inlineStr">
        <is>
          <t>m</t>
        </is>
      </c>
      <c r="M286" s="10" t="n">
        <v>57</v>
      </c>
      <c r="N286" s="11" t="n"/>
      <c r="O286" s="11" t="n"/>
      <c r="P286" s="9" t="n"/>
    </row>
    <row r="287">
      <c r="A287" s="8" t="n"/>
      <c r="B287" s="9" t="inlineStr">
        <is>
          <t>Lắp đặt ống gió tole tráng kẽm, dày 0.95mm 1200x400</t>
        </is>
      </c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inlineStr">
        <is>
          <t>m</t>
        </is>
      </c>
      <c r="M287" s="10" t="n">
        <v>20</v>
      </c>
      <c r="N287" s="11" t="n"/>
      <c r="O287" s="11" t="n"/>
      <c r="P287" s="9" t="n"/>
    </row>
    <row r="288">
      <c r="A288" s="8" t="n"/>
      <c r="B288" s="9" t="inlineStr">
        <is>
          <t>Lắp đặt ống gió tole tráng kẽm, dày 0.95mm 1200x450</t>
        </is>
      </c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inlineStr">
        <is>
          <t>m</t>
        </is>
      </c>
      <c r="M288" s="10" t="n">
        <v>83</v>
      </c>
      <c r="N288" s="11" t="n"/>
      <c r="O288" s="11" t="n"/>
      <c r="P288" s="9" t="n"/>
    </row>
    <row r="289">
      <c r="A289" s="8" t="n"/>
      <c r="B289" s="9" t="inlineStr">
        <is>
          <t>Lắp đặt ống gió tole tráng kẽm, dày 0.95mm 1300x400</t>
        </is>
      </c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inlineStr">
        <is>
          <t>m</t>
        </is>
      </c>
      <c r="M289" s="10" t="n">
        <v>11</v>
      </c>
      <c r="N289" s="11" t="n"/>
      <c r="O289" s="11" t="n"/>
      <c r="P289" s="9" t="n"/>
    </row>
    <row r="290">
      <c r="A290" s="8" t="n"/>
      <c r="B290" s="9" t="inlineStr">
        <is>
          <t>Lắp đặt ống gió tole tráng kẽm, dày 0.95mm 1300x450</t>
        </is>
      </c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inlineStr">
        <is>
          <t>m</t>
        </is>
      </c>
      <c r="M290" s="10" t="n">
        <v>11</v>
      </c>
      <c r="N290" s="11" t="n"/>
      <c r="O290" s="11" t="n"/>
      <c r="P290" s="9" t="n"/>
    </row>
    <row r="291">
      <c r="A291" s="8" t="n"/>
      <c r="B291" s="9" t="inlineStr">
        <is>
          <t>Lắp đặt ống gió tole tráng kẽm, dày 0.95mm 1300x500</t>
        </is>
      </c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inlineStr">
        <is>
          <t>m</t>
        </is>
      </c>
      <c r="M291" s="10" t="n">
        <v>60</v>
      </c>
      <c r="N291" s="11" t="n"/>
      <c r="O291" s="11" t="n"/>
      <c r="P291" s="9" t="n"/>
    </row>
    <row r="292">
      <c r="A292" s="8" t="n"/>
      <c r="B292" s="9" t="inlineStr">
        <is>
          <t>Phụ kiện lắp đặt ống gió (giảm, gót dày, chuyển vuông tròn...)</t>
        </is>
      </c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inlineStr">
        <is>
          <t>Lô</t>
        </is>
      </c>
      <c r="M292" s="10" t="n">
        <v>1</v>
      </c>
      <c r="N292" s="11" t="n"/>
      <c r="O292" s="11" t="n"/>
      <c r="P292" s="9" t="n"/>
    </row>
    <row r="293">
      <c r="A293" s="8" t="n"/>
      <c r="B293" s="9" t="inlineStr">
        <is>
          <t>Vật tư phụ</t>
        </is>
      </c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inlineStr">
        <is>
          <t>Lô</t>
        </is>
      </c>
      <c r="M293" s="10" t="n">
        <v>1</v>
      </c>
      <c r="N293" s="11" t="n"/>
      <c r="O293" s="11" t="n"/>
      <c r="P293" s="9" t="n"/>
    </row>
    <row r="294">
      <c r="A294" s="6" t="n"/>
      <c r="B294" s="7" t="inlineStr">
        <is>
          <t>Cáp điện điều khiển thiết bị</t>
        </is>
      </c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</row>
    <row r="295">
      <c r="A295" s="8" t="n"/>
      <c r="B295" s="9" t="inlineStr">
        <is>
          <t>2Cx1.5mm2 Cu/pvc/Fr (dây chống cháy)</t>
        </is>
      </c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inlineStr">
        <is>
          <t>m</t>
        </is>
      </c>
      <c r="M295" s="10" t="n">
        <v>5786</v>
      </c>
      <c r="N295" s="11" t="n"/>
      <c r="O295" s="11" t="n"/>
      <c r="P295" s="9" t="n"/>
    </row>
    <row r="296">
      <c r="A296" s="8" t="n"/>
      <c r="B296" s="9" t="inlineStr">
        <is>
          <t>Ống PVC DN 25</t>
        </is>
      </c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inlineStr">
        <is>
          <t>m</t>
        </is>
      </c>
      <c r="M296" s="10" t="n">
        <v>2893</v>
      </c>
      <c r="N296" s="11" t="n"/>
      <c r="O296" s="11" t="n"/>
      <c r="P296" s="9" t="n"/>
    </row>
    <row r="297">
      <c r="A297" s="8" t="n"/>
      <c r="B297" s="9" t="inlineStr">
        <is>
          <t>Vật tư phụ</t>
        </is>
      </c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inlineStr">
        <is>
          <t>lô</t>
        </is>
      </c>
      <c r="M297" s="10" t="n">
        <v>1</v>
      </c>
      <c r="N297" s="11" t="n"/>
      <c r="O297" s="11" t="n"/>
      <c r="P297" s="9" t="n"/>
    </row>
    <row r="298">
      <c r="A298" s="6" t="n"/>
      <c r="B298" s="7" t="inlineStr">
        <is>
          <t>C. HT HÚT KHÓI HÀNH LANG CÁC TẦNG</t>
        </is>
      </c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</row>
    <row r="299">
      <c r="A299" s="6" t="n"/>
      <c r="B299" s="7" t="inlineStr">
        <is>
          <t>Thiết bị</t>
        </is>
      </c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</row>
    <row r="300">
      <c r="A300" s="8" t="n"/>
      <c r="B300" s="9" t="inlineStr">
        <is>
          <t>Quạt hút khói: SEF-A1-RF.01,02,03
- Ly tâm, nối ống gió.
- Lưu lượng: 3500l/s@550Pa</t>
        </is>
      </c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inlineStr">
        <is>
          <t>Cái</t>
        </is>
      </c>
      <c r="M300" s="10" t="n">
        <v>3</v>
      </c>
      <c r="N300" s="11" t="n"/>
      <c r="O300" s="11" t="n"/>
      <c r="P300" s="9" t="n"/>
    </row>
    <row r="301">
      <c r="A301" s="8" t="n"/>
      <c r="B301" s="9" t="inlineStr">
        <is>
          <t>Quạt hút khói: SEF-A1-RF.04,05,06
- Ly tâm, nối ống gió.
- Lưu lượng: 3300l/s@550Pa</t>
        </is>
      </c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inlineStr">
        <is>
          <t>Cái</t>
        </is>
      </c>
      <c r="M301" s="10" t="n">
        <v>3</v>
      </c>
      <c r="N301" s="11" t="n"/>
      <c r="O301" s="11" t="n"/>
      <c r="P301" s="9" t="n"/>
    </row>
    <row r="302">
      <c r="A302" s="8" t="n"/>
      <c r="B302" s="9" t="inlineStr">
        <is>
          <t>Quạt hút khói: SEF-A1-RF.07,08,09
- Ly tâm, nối ống gió.
- Lưu lượng: 2800l/s@550Pa</t>
        </is>
      </c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inlineStr">
        <is>
          <t>Cái</t>
        </is>
      </c>
      <c r="M302" s="10" t="n">
        <v>3</v>
      </c>
      <c r="N302" s="11" t="n"/>
      <c r="O302" s="11" t="n"/>
      <c r="P302" s="9" t="n"/>
    </row>
    <row r="303">
      <c r="A303" s="8" t="n"/>
      <c r="B303" s="9" t="inlineStr">
        <is>
          <t>Quạt hút khói: SEF-A2-RF.01,02,03
- Ly tâm, nối ống gió.
- Lưu lượng: 3500l/s@550Pa</t>
        </is>
      </c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inlineStr">
        <is>
          <t>Cái</t>
        </is>
      </c>
      <c r="M303" s="10" t="n">
        <v>3</v>
      </c>
      <c r="N303" s="11" t="n"/>
      <c r="O303" s="11" t="n"/>
      <c r="P303" s="9" t="n"/>
    </row>
    <row r="304">
      <c r="A304" s="8" t="n"/>
      <c r="B304" s="9" t="inlineStr">
        <is>
          <t>Quạt hút khói: SEF-A2-RF.04,05,06
- Ly tâm, nối ống gió.
- Lưu lượng: 3300l/s@550Pa</t>
        </is>
      </c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inlineStr">
        <is>
          <t>Cái</t>
        </is>
      </c>
      <c r="M304" s="10" t="n">
        <v>3</v>
      </c>
      <c r="N304" s="11" t="n"/>
      <c r="O304" s="11" t="n"/>
      <c r="P304" s="9" t="n"/>
    </row>
    <row r="305">
      <c r="A305" s="8" t="n"/>
      <c r="B305" s="9" t="inlineStr">
        <is>
          <t>Quạt hút khói: SEF-A2-RF.07,08,09
- Ly tâm, nối ống gió.
- Lưu lượng: 2800l/s@550Pa</t>
        </is>
      </c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inlineStr">
        <is>
          <t>Cái</t>
        </is>
      </c>
      <c r="M305" s="10" t="n">
        <v>3</v>
      </c>
      <c r="N305" s="11" t="n"/>
      <c r="O305" s="11" t="n"/>
      <c r="P305" s="9" t="n"/>
    </row>
    <row r="306">
      <c r="A306" s="8" t="n"/>
      <c r="B306" s="9" t="inlineStr">
        <is>
          <t>Quạt cấp khí bù: SFAF-A2-2F.02
- Hướng trục, nối ống gió.
- Lưu lượng: 1400L/s@250Pa</t>
        </is>
      </c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inlineStr">
        <is>
          <t>Cái</t>
        </is>
      </c>
      <c r="M306" s="10" t="n">
        <v>1</v>
      </c>
      <c r="N306" s="11" t="n"/>
      <c r="O306" s="11" t="n"/>
      <c r="P306" s="9" t="n"/>
    </row>
    <row r="307">
      <c r="A307" s="8" t="n"/>
      <c r="B307" s="9" t="inlineStr">
        <is>
          <t>Lò xo chống rung cho quạt</t>
        </is>
      </c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inlineStr">
        <is>
          <t>Cái</t>
        </is>
      </c>
      <c r="M307" s="10" t="n">
        <v>84</v>
      </c>
      <c r="N307" s="11" t="n"/>
      <c r="O307" s="11" t="n"/>
      <c r="P307" s="9" t="n"/>
    </row>
    <row r="308">
      <c r="A308" s="8" t="n"/>
      <c r="B308" s="9" t="inlineStr">
        <is>
          <t>Vật tư phụ lắp đặt thiết bị</t>
        </is>
      </c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inlineStr">
        <is>
          <t>Lô</t>
        </is>
      </c>
      <c r="M308" s="10" t="n">
        <v>1</v>
      </c>
      <c r="N308" s="11" t="n"/>
      <c r="O308" s="11" t="n"/>
      <c r="P308" s="9" t="n"/>
    </row>
    <row r="309">
      <c r="A309" s="6" t="n"/>
      <c r="B309" s="7" t="inlineStr">
        <is>
          <t>Vật tư đường ống hệ hút khói, cấp khí bù hành lang (Tầng 1 tới Tầng Sân thượng)</t>
        </is>
      </c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</row>
    <row r="310">
      <c r="A310" s="8" t="n"/>
      <c r="B310" s="9" t="inlineStr">
        <is>
          <t>Bộ cảm biến khói, loại gắn trên ống gió</t>
        </is>
      </c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inlineStr">
        <is>
          <t>Cái</t>
        </is>
      </c>
      <c r="M310" s="10" t="n">
        <v>3</v>
      </c>
      <c r="N310" s="11" t="n"/>
      <c r="O310" s="11" t="n"/>
      <c r="P310" s="9" t="n"/>
    </row>
    <row r="311">
      <c r="A311" s="6" t="n"/>
      <c r="B311" s="7" t="inlineStr">
        <is>
          <t>Miệng gió hút khói, bù gió</t>
        </is>
      </c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</row>
    <row r="312">
      <c r="A312" s="8" t="n"/>
      <c r="B312" s="9" t="inlineStr">
        <is>
          <t>Miệng gió hút khói: SEG 800x400 + OBD
Kèm box gió</t>
        </is>
      </c>
      <c r="C312" s="8" t="inlineStr">
        <is>
          <t>SDG+O</t>
        </is>
      </c>
      <c r="D312" s="8" t="inlineStr">
        <is>
          <t>SWIND</t>
        </is>
      </c>
      <c r="E312" s="8" t="n">
        <v>800</v>
      </c>
      <c r="F312" s="8" t="n">
        <v>400</v>
      </c>
      <c r="G312" s="8" t="n">
        <v>750</v>
      </c>
      <c r="H312" s="8" t="n">
        <v>350</v>
      </c>
      <c r="I312" s="8" t="n"/>
      <c r="J312" s="8" t="n"/>
      <c r="K312" s="8" t="n"/>
      <c r="L312" s="8" t="inlineStr">
        <is>
          <t>Bộ</t>
        </is>
      </c>
      <c r="M312" s="10" t="n">
        <v>666</v>
      </c>
      <c r="N312" s="10" t="n">
        <v>480000</v>
      </c>
      <c r="O312" s="10">
        <f>ROUNDUP(N312*M312, -2)</f>
        <v/>
      </c>
      <c r="P312" s="9" t="inlineStr">
        <is>
          <t>Cửa nan thẳng bầu dục kèm van OBD (tăng áp / hút khói). Không tính box do nhà thầu tự thi công</t>
        </is>
      </c>
    </row>
    <row r="313">
      <c r="A313" s="8" t="n"/>
      <c r="B313" s="9" t="inlineStr">
        <is>
          <t>Miệng cấp khí bù: FAG 800x400
Kèm box gió</t>
        </is>
      </c>
      <c r="C313" s="8" t="inlineStr">
        <is>
          <t>SDG</t>
        </is>
      </c>
      <c r="D313" s="8" t="inlineStr">
        <is>
          <t>SWIND</t>
        </is>
      </c>
      <c r="E313" s="8" t="n">
        <v>800</v>
      </c>
      <c r="F313" s="8" t="n">
        <v>400</v>
      </c>
      <c r="G313" s="8" t="n">
        <v>750</v>
      </c>
      <c r="H313" s="8" t="n">
        <v>350</v>
      </c>
      <c r="I313" s="8" t="n"/>
      <c r="J313" s="8" t="n"/>
      <c r="K313" s="8" t="n"/>
      <c r="L313" s="8" t="inlineStr">
        <is>
          <t>Bộ</t>
        </is>
      </c>
      <c r="M313" s="10" t="n">
        <v>2</v>
      </c>
      <c r="N313" s="10" t="n">
        <v>257000</v>
      </c>
      <c r="O313" s="10">
        <f>ROUNDUP(N313*M313, -2)</f>
        <v/>
      </c>
      <c r="P313" s="9" t="inlineStr">
        <is>
          <t>Cửa nan bầu dục 1 lớp. Không tính box do nhà thầu tự thi công</t>
        </is>
      </c>
    </row>
    <row r="314">
      <c r="A314" s="8" t="n"/>
      <c r="B314" s="9" t="inlineStr">
        <is>
          <t>Miệng cấp khí bù: FAG 700x500
Kèm box gió</t>
        </is>
      </c>
      <c r="C314" s="8" t="inlineStr">
        <is>
          <t>SDG</t>
        </is>
      </c>
      <c r="D314" s="8" t="inlineStr">
        <is>
          <t>SWIND</t>
        </is>
      </c>
      <c r="E314" s="8" t="n">
        <v>700</v>
      </c>
      <c r="F314" s="8" t="n">
        <v>500</v>
      </c>
      <c r="G314" s="8" t="n">
        <v>650</v>
      </c>
      <c r="H314" s="8" t="n">
        <v>450</v>
      </c>
      <c r="I314" s="8" t="n"/>
      <c r="J314" s="8" t="n"/>
      <c r="K314" s="8" t="n"/>
      <c r="L314" s="8" t="inlineStr">
        <is>
          <t>Bộ</t>
        </is>
      </c>
      <c r="M314" s="10" t="n">
        <v>1</v>
      </c>
      <c r="N314" s="10" t="n">
        <v>279000</v>
      </c>
      <c r="O314" s="10">
        <f>ROUNDUP(N314*M314, -2)</f>
        <v/>
      </c>
      <c r="P314" s="9" t="inlineStr">
        <is>
          <t>Cửa nan bầu dục 1 lớp. Không tính box do nhà thầu tự thi công</t>
        </is>
      </c>
    </row>
    <row r="315">
      <c r="A315" s="6" t="n"/>
      <c r="B315" s="7" t="inlineStr">
        <is>
          <t>Miệng cấp khí bù cơ chế tự nhiên</t>
        </is>
      </c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</row>
    <row r="316">
      <c r="A316" s="8" t="n"/>
      <c r="B316" s="9" t="inlineStr">
        <is>
          <t>Miệng cấp khí bù cơ chế tự nhiên FAG 1200x300</t>
        </is>
      </c>
      <c r="C316" s="8" t="inlineStr">
        <is>
          <t>SDG</t>
        </is>
      </c>
      <c r="D316" s="8" t="inlineStr">
        <is>
          <t>SWIND</t>
        </is>
      </c>
      <c r="E316" s="8" t="n">
        <v>1200</v>
      </c>
      <c r="F316" s="8" t="n">
        <v>300</v>
      </c>
      <c r="G316" s="8" t="n">
        <v>1150</v>
      </c>
      <c r="H316" s="8" t="n">
        <v>250</v>
      </c>
      <c r="I316" s="8" t="n"/>
      <c r="J316" s="8" t="n"/>
      <c r="K316" s="8" t="n"/>
      <c r="L316" s="8" t="inlineStr">
        <is>
          <t>Bộ</t>
        </is>
      </c>
      <c r="M316" s="10" t="n">
        <v>330</v>
      </c>
      <c r="N316" s="10" t="n">
        <v>291000</v>
      </c>
      <c r="O316" s="10">
        <f>ROUNDUP(N316*M316, -2)</f>
        <v/>
      </c>
      <c r="P316" s="9" t="inlineStr">
        <is>
          <t>Cửa nan bầu dục 1 lớp</t>
        </is>
      </c>
    </row>
    <row r="317">
      <c r="A317" s="6" t="n"/>
      <c r="B317" s="7" t="inlineStr">
        <is>
          <t>Van chặn lửa điện từ MDF, EI30</t>
        </is>
      </c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</row>
    <row r="318">
      <c r="A318" s="8" t="n"/>
      <c r="B318" s="9" t="inlineStr">
        <is>
          <t>Van MFD 800x300</t>
        </is>
      </c>
      <c r="C318" s="8" t="inlineStr">
        <is>
          <t>SWIND-1.03-MFD-EI90</t>
        </is>
      </c>
      <c r="D318" s="8" t="inlineStr">
        <is>
          <t>SWIND</t>
        </is>
      </c>
      <c r="E318" s="8" t="n">
        <v>800</v>
      </c>
      <c r="F318" s="8" t="n">
        <v>300</v>
      </c>
      <c r="G318" s="8" t="n"/>
      <c r="H318" s="8" t="n"/>
      <c r="I318" s="8" t="n"/>
      <c r="J318" s="8" t="n">
        <v>200</v>
      </c>
      <c r="K318" s="12" t="n">
        <v>1.15</v>
      </c>
      <c r="L318" s="8" t="inlineStr">
        <is>
          <t>Bộ</t>
        </is>
      </c>
      <c r="M318" s="10" t="n">
        <v>396</v>
      </c>
      <c r="N318" s="10" t="n">
        <v>4367780</v>
      </c>
      <c r="O318" s="10">
        <f>ROUNDUP(N318*M318, -2)</f>
        <v/>
      </c>
      <c r="P318" s="9" t="inlineStr">
        <is>
          <t>- Van ngăn cháy động cơ - Tiêu chuẩn EI 90
- 2 đầu bích TDC - Gắn kèm động cơ ON-OFF 5Nm, Hãng KLB
- Sản xuất theo BCTN số 4651/VLXD-TBMT</t>
        </is>
      </c>
    </row>
    <row r="319">
      <c r="A319" s="8" t="n"/>
      <c r="B319" s="9" t="inlineStr">
        <is>
          <t>Van MFD 800x400</t>
        </is>
      </c>
      <c r="C319" s="8" t="inlineStr">
        <is>
          <t>SWIND-1.03-MFD-EI90</t>
        </is>
      </c>
      <c r="D319" s="8" t="inlineStr">
        <is>
          <t>SWIND</t>
        </is>
      </c>
      <c r="E319" s="8" t="n">
        <v>800</v>
      </c>
      <c r="F319" s="8" t="n">
        <v>400</v>
      </c>
      <c r="G319" s="8" t="n"/>
      <c r="H319" s="8" t="n"/>
      <c r="I319" s="8" t="n"/>
      <c r="J319" s="8" t="n">
        <v>200</v>
      </c>
      <c r="K319" s="12" t="n">
        <v>1.15</v>
      </c>
      <c r="L319" s="8" t="inlineStr">
        <is>
          <t>Bộ</t>
        </is>
      </c>
      <c r="M319" s="10" t="n">
        <v>135</v>
      </c>
      <c r="N319" s="10" t="n">
        <v>4822040</v>
      </c>
      <c r="O319" s="10">
        <f>ROUNDUP(N319*M319, -2)</f>
        <v/>
      </c>
      <c r="P319" s="9" t="inlineStr">
        <is>
          <t>- Van ngăn cháy động cơ - Tiêu chuẩn EI 90
- 2 đầu bích TDC - Gắn kèm động cơ ON-OFF 5Nm, Hãng KLB
- Sản xuất theo BCTN số 4651/VLXD-TBMT</t>
        </is>
      </c>
    </row>
    <row r="320">
      <c r="A320" s="6" t="n"/>
      <c r="B320" s="7" t="inlineStr">
        <is>
          <t>Louver cấp khí tươi</t>
        </is>
      </c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</row>
    <row r="321">
      <c r="A321" s="8" t="n"/>
      <c r="B321" s="9" t="inlineStr">
        <is>
          <t>Louver cấp khí tươi FAL + LCCT 1100x300
Kèm box gió</t>
        </is>
      </c>
      <c r="C321" s="8" t="inlineStr">
        <is>
          <t>WL+N</t>
        </is>
      </c>
      <c r="D321" s="8" t="inlineStr">
        <is>
          <t>SWIND</t>
        </is>
      </c>
      <c r="E321" s="8" t="n">
        <v>1100</v>
      </c>
      <c r="F321" s="8" t="n">
        <v>300</v>
      </c>
      <c r="G321" s="8" t="n">
        <v>1050</v>
      </c>
      <c r="H321" s="8" t="n">
        <v>250</v>
      </c>
      <c r="I321" s="8" t="n"/>
      <c r="J321" s="8" t="n"/>
      <c r="K321" s="8" t="n"/>
      <c r="L321" s="8" t="inlineStr">
        <is>
          <t>Bộ</t>
        </is>
      </c>
      <c r="M321" s="10" t="n">
        <v>2</v>
      </c>
      <c r="N321" s="10" t="n">
        <v>511000</v>
      </c>
      <c r="O321" s="10">
        <f>ROUNDUP(N321*M321, -2)</f>
        <v/>
      </c>
      <c r="P321" s="9" t="inlineStr">
        <is>
          <t>Louver nan Z ngoài trời kèm lưới chắn côn trùng Inox 304. Không tính box do nhà thầu tự thi công</t>
        </is>
      </c>
    </row>
    <row r="322">
      <c r="A322" s="8" t="n"/>
      <c r="B322" s="9" t="inlineStr">
        <is>
          <t>Louver cấp khí tươi FAL + LCCT 1200x400
Kèm box gió</t>
        </is>
      </c>
      <c r="C322" s="8" t="inlineStr">
        <is>
          <t>WL+N</t>
        </is>
      </c>
      <c r="D322" s="8" t="inlineStr">
        <is>
          <t>SWIND</t>
        </is>
      </c>
      <c r="E322" s="8" t="n">
        <v>1200</v>
      </c>
      <c r="F322" s="8" t="n">
        <v>400</v>
      </c>
      <c r="G322" s="8" t="n">
        <v>1150</v>
      </c>
      <c r="H322" s="8" t="n">
        <v>350</v>
      </c>
      <c r="I322" s="8" t="n"/>
      <c r="J322" s="8" t="n"/>
      <c r="K322" s="8" t="n"/>
      <c r="L322" s="8" t="inlineStr">
        <is>
          <t>Bộ</t>
        </is>
      </c>
      <c r="M322" s="10" t="n">
        <v>1</v>
      </c>
      <c r="N322" s="10" t="n">
        <v>702000</v>
      </c>
      <c r="O322" s="10">
        <f>ROUNDUP(N322*M322, -2)</f>
        <v/>
      </c>
      <c r="P322" s="9" t="inlineStr">
        <is>
          <t>Louver nan Z ngoài trời kèm lưới chắn côn trùng Inox 304. Không tính box do nhà thầu tự thi công</t>
        </is>
      </c>
    </row>
    <row r="323">
      <c r="A323" s="6" t="n"/>
      <c r="B323" s="7" t="inlineStr">
        <is>
          <t>Lưới chắn côn trùng</t>
        </is>
      </c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</row>
    <row r="324">
      <c r="A324" s="8" t="n"/>
      <c r="B324" s="9" t="inlineStr">
        <is>
          <t>Lưới chắn côn trùng LCCT 600x600</t>
        </is>
      </c>
      <c r="C324" s="8" t="inlineStr">
        <is>
          <t>LCCT</t>
        </is>
      </c>
      <c r="D324" s="8" t="inlineStr">
        <is>
          <t>SWIND</t>
        </is>
      </c>
      <c r="E324" s="8" t="n">
        <v>600</v>
      </c>
      <c r="F324" s="8" t="n">
        <v>600</v>
      </c>
      <c r="G324" s="8" t="n"/>
      <c r="H324" s="8" t="n"/>
      <c r="I324" s="8" t="n"/>
      <c r="J324" s="8" t="n"/>
      <c r="K324" s="8" t="n"/>
      <c r="L324" s="8" t="inlineStr">
        <is>
          <t>Cái</t>
        </is>
      </c>
      <c r="M324" s="10" t="n">
        <v>18</v>
      </c>
      <c r="N324" s="10" t="n">
        <v>72000</v>
      </c>
      <c r="O324" s="10">
        <f>ROUNDUP(N324*M324, -2)</f>
        <v/>
      </c>
      <c r="P324" s="9" t="inlineStr">
        <is>
          <t>Lưới chắn côn trùng</t>
        </is>
      </c>
    </row>
    <row r="325">
      <c r="A325" s="6" t="n"/>
      <c r="B325" s="7" t="inlineStr">
        <is>
          <t>Ống gió chống cháy EI30</t>
        </is>
      </c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</row>
    <row r="326">
      <c r="A326" s="8" t="n"/>
      <c r="B326" s="9" t="inlineStr">
        <is>
          <t>Ống gió chống cháy EI30 500x300, tole dày 0.75mm</t>
        </is>
      </c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inlineStr">
        <is>
          <t>m</t>
        </is>
      </c>
      <c r="M326" s="10" t="n">
        <v>15</v>
      </c>
      <c r="N326" s="11" t="n"/>
      <c r="O326" s="11" t="n"/>
      <c r="P326" s="9" t="n"/>
    </row>
    <row r="327">
      <c r="A327" s="8" t="n"/>
      <c r="B327" s="9" t="inlineStr">
        <is>
          <t>Ống gió chống cháy EI30 600x250, tole dày 0.75mm</t>
        </is>
      </c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inlineStr">
        <is>
          <t>m</t>
        </is>
      </c>
      <c r="M327" s="10" t="n">
        <v>3686</v>
      </c>
      <c r="N327" s="11" t="n"/>
      <c r="O327" s="11" t="n"/>
      <c r="P327" s="9" t="n"/>
    </row>
    <row r="328">
      <c r="A328" s="8" t="n"/>
      <c r="B328" s="9" t="inlineStr">
        <is>
          <t>Ống gió chống cháy EI30 600x300, tole dày 0.75mm</t>
        </is>
      </c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inlineStr">
        <is>
          <t>m</t>
        </is>
      </c>
      <c r="M328" s="10" t="n">
        <v>18</v>
      </c>
      <c r="N328" s="11" t="n"/>
      <c r="O328" s="11" t="n"/>
      <c r="P328" s="9" t="n"/>
    </row>
    <row r="329">
      <c r="A329" s="8" t="n"/>
      <c r="B329" s="9" t="inlineStr">
        <is>
          <t>Ống gió chống cháy EI30 800x300, tole dày 0.75mm</t>
        </is>
      </c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inlineStr">
        <is>
          <t>m</t>
        </is>
      </c>
      <c r="M329" s="10" t="n">
        <v>3803</v>
      </c>
      <c r="N329" s="11" t="n"/>
      <c r="O329" s="11" t="n"/>
      <c r="P329" s="9" t="n"/>
    </row>
    <row r="330">
      <c r="A330" s="8" t="n"/>
      <c r="B330" s="9" t="inlineStr">
        <is>
          <t>Ống gió chống cháy EI30 800x400, tole dày 0.75mm</t>
        </is>
      </c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inlineStr">
        <is>
          <t>m</t>
        </is>
      </c>
      <c r="M330" s="10" t="n">
        <v>280</v>
      </c>
      <c r="N330" s="11" t="n"/>
      <c r="O330" s="11" t="n"/>
      <c r="P330" s="9" t="n"/>
    </row>
    <row r="331">
      <c r="A331" s="8" t="n"/>
      <c r="B331" s="9" t="inlineStr">
        <is>
          <t>Phụ kiện lắp đặt ống gió (giảm, gót dày, chuyển vuông tròn...)</t>
        </is>
      </c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inlineStr">
        <is>
          <t>Lô</t>
        </is>
      </c>
      <c r="M331" s="10" t="n">
        <v>1</v>
      </c>
      <c r="N331" s="11" t="n"/>
      <c r="O331" s="11" t="n"/>
      <c r="P331" s="9" t="n"/>
    </row>
    <row r="332">
      <c r="A332" s="6" t="n"/>
      <c r="B332" s="7" t="inlineStr">
        <is>
          <t>Ống gió tráng kẽm dày 0.75mm</t>
        </is>
      </c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</row>
    <row r="333">
      <c r="A333" s="8" t="n"/>
      <c r="B333" s="9" t="inlineStr">
        <is>
          <t>Ống gió tráng kẽm dày 0.75mm 800x400, dày 0.6mm</t>
        </is>
      </c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inlineStr">
        <is>
          <t>m</t>
        </is>
      </c>
      <c r="M333" s="10" t="n">
        <v>1265</v>
      </c>
      <c r="N333" s="11" t="n"/>
      <c r="O333" s="11" t="n"/>
      <c r="P333" s="9" t="n"/>
    </row>
    <row r="334">
      <c r="A334" s="8" t="n"/>
      <c r="B334" s="9" t="inlineStr">
        <is>
          <t>Phụ kiện lắp đặt ống gió (giảm, gót dày, chuyển vuông tròn...)</t>
        </is>
      </c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inlineStr">
        <is>
          <t>Lô</t>
        </is>
      </c>
      <c r="M334" s="10" t="n">
        <v>1</v>
      </c>
      <c r="N334" s="11" t="n"/>
      <c r="O334" s="11" t="n"/>
      <c r="P334" s="9" t="n"/>
    </row>
    <row r="335">
      <c r="A335" s="8" t="n"/>
      <c r="B335" s="9" t="inlineStr">
        <is>
          <t>Vật tư phụ</t>
        </is>
      </c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inlineStr">
        <is>
          <t>Lộ</t>
        </is>
      </c>
      <c r="M335" s="10" t="n">
        <v>1</v>
      </c>
      <c r="N335" s="11" t="n"/>
      <c r="O335" s="11" t="n"/>
      <c r="P335" s="9" t="n"/>
    </row>
    <row r="336">
      <c r="A336" s="6" t="n"/>
      <c r="B336" s="7" t="inlineStr">
        <is>
          <t>Cáp điện điều khiển thiết bị</t>
        </is>
      </c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</row>
    <row r="337">
      <c r="A337" s="8" t="n"/>
      <c r="B337" s="9" t="inlineStr">
        <is>
          <t>2Cx1.5mm2 Cu/pvc/Fr (dây chống cháy)</t>
        </is>
      </c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inlineStr">
        <is>
          <t>m</t>
        </is>
      </c>
      <c r="M337" s="10" t="n">
        <v>3881.9</v>
      </c>
      <c r="N337" s="11" t="n"/>
      <c r="O337" s="11" t="n"/>
      <c r="P337" s="9" t="n"/>
    </row>
    <row r="338">
      <c r="A338" s="8" t="n"/>
      <c r="B338" s="9" t="inlineStr">
        <is>
          <t>Ống PVC DN 25</t>
        </is>
      </c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inlineStr">
        <is>
          <t>m</t>
        </is>
      </c>
      <c r="M338" s="10" t="n">
        <v>1940.95</v>
      </c>
      <c r="N338" s="11" t="n"/>
      <c r="O338" s="11" t="n"/>
      <c r="P338" s="9" t="n"/>
    </row>
    <row r="339">
      <c r="A339" s="8" t="n"/>
      <c r="B339" s="9" t="inlineStr">
        <is>
          <t>Vật tư phụ</t>
        </is>
      </c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inlineStr">
        <is>
          <t>lô</t>
        </is>
      </c>
      <c r="M339" s="10" t="n">
        <v>1</v>
      </c>
      <c r="N339" s="11" t="n"/>
      <c r="O339" s="11" t="n"/>
      <c r="P339" s="9" t="n"/>
    </row>
    <row r="340">
      <c r="A340" s="6" t="n"/>
      <c r="B340" s="7" t="inlineStr">
        <is>
          <t>D. HT HÚT KHÓI GIAN PHÒNG</t>
        </is>
      </c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</row>
    <row r="341">
      <c r="A341" s="6" t="n"/>
      <c r="B341" s="7" t="inlineStr">
        <is>
          <t>Thiết bị</t>
        </is>
      </c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</row>
    <row r="342">
      <c r="A342" s="8" t="n"/>
      <c r="B342" s="9" t="inlineStr">
        <is>
          <t>Quạt hút khói: SEF-A1-1F-SH2.01, 02
- Hướng trục, nối ống gió.
- Lưu lượng: 9700L/s@500Pa</t>
        </is>
      </c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inlineStr">
        <is>
          <t>Cái</t>
        </is>
      </c>
      <c r="M342" s="10" t="n">
        <v>2</v>
      </c>
      <c r="N342" s="11" t="n"/>
      <c r="O342" s="11" t="n"/>
      <c r="P342" s="9" t="n"/>
    </row>
    <row r="343">
      <c r="A343" s="8" t="n"/>
      <c r="B343" s="9" t="inlineStr">
        <is>
          <t>Quạt cấp khí bù: SFAF-A1-1F-SH2.01
- Hướng trục, nối ống gió.
- Lưu lượng: 8500L/s@250Pa</t>
        </is>
      </c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inlineStr">
        <is>
          <t>Cái</t>
        </is>
      </c>
      <c r="M343" s="10" t="n">
        <v>1</v>
      </c>
      <c r="N343" s="11" t="n"/>
      <c r="O343" s="11" t="n"/>
      <c r="P343" s="9" t="n"/>
    </row>
    <row r="344">
      <c r="A344" s="8" t="n"/>
      <c r="B344" s="9" t="inlineStr">
        <is>
          <t>Quạt hút khói: SEF-A1-1F-SH1
- Hướng trục, nối ống gió.
- Lưu lượng: 6650L/s@350Pa</t>
        </is>
      </c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inlineStr">
        <is>
          <t>Cái</t>
        </is>
      </c>
      <c r="M344" s="10" t="n">
        <v>1</v>
      </c>
      <c r="N344" s="11" t="n"/>
      <c r="O344" s="11" t="n"/>
      <c r="P344" s="9" t="n"/>
    </row>
    <row r="345">
      <c r="A345" s="8" t="n"/>
      <c r="B345" s="9" t="inlineStr">
        <is>
          <t>Quạt cấp khí bù: SFAF-A1-1F-SH1
- Hướng trục, nối ống gió.
- Lưu lượng: 2900L/s@250Pa</t>
        </is>
      </c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inlineStr">
        <is>
          <t>Cái</t>
        </is>
      </c>
      <c r="M345" s="10" t="n">
        <v>1</v>
      </c>
      <c r="N345" s="11" t="n"/>
      <c r="O345" s="11" t="n"/>
      <c r="P345" s="9" t="n"/>
    </row>
    <row r="346">
      <c r="A346" s="8" t="n"/>
      <c r="B346" s="9" t="inlineStr">
        <is>
          <t>Quạt hút khói: SEF-A1-2F-SHCD 1
- Hướng trục, nối ống gió.
- Lưu lượng: 2500L/s@350Pa</t>
        </is>
      </c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inlineStr">
        <is>
          <t>Cái</t>
        </is>
      </c>
      <c r="M346" s="10" t="n">
        <v>1</v>
      </c>
      <c r="N346" s="11" t="n"/>
      <c r="O346" s="11" t="n"/>
      <c r="P346" s="9" t="n"/>
    </row>
    <row r="347">
      <c r="A347" s="8" t="n"/>
      <c r="B347" s="9" t="inlineStr">
        <is>
          <t>Quạt cấp khí bù: SFAF-A1-2F-SHCD 1
- Hướng trục, nối ống gió.
- Lưu lượng: 1100L/s@250Pa</t>
        </is>
      </c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inlineStr">
        <is>
          <t>Cái</t>
        </is>
      </c>
      <c r="M347" s="10" t="n">
        <v>1</v>
      </c>
      <c r="N347" s="11" t="n"/>
      <c r="O347" s="11" t="n"/>
      <c r="P347" s="9" t="n"/>
    </row>
    <row r="348">
      <c r="A348" s="8" t="n"/>
      <c r="B348" s="9" t="inlineStr">
        <is>
          <t>Quạt hút khói: SEF-A1-2F-SHCD 5
- Hướng trục, nối ống gió.
- Lưu lượng: 2500L/s@350Pa</t>
        </is>
      </c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inlineStr">
        <is>
          <t>Cái</t>
        </is>
      </c>
      <c r="M348" s="10" t="n">
        <v>1</v>
      </c>
      <c r="N348" s="11" t="n"/>
      <c r="O348" s="11" t="n"/>
      <c r="P348" s="9" t="n"/>
    </row>
    <row r="349">
      <c r="A349" s="8" t="n"/>
      <c r="B349" s="9" t="inlineStr">
        <is>
          <t>Quạt cấp khí bù: SFAF-A1-2F-SHCD 5
- Hướng trục, nối ống gió.
- Lưu lượng: 1100L/s@250Pa</t>
        </is>
      </c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inlineStr">
        <is>
          <t>Cái</t>
        </is>
      </c>
      <c r="M349" s="10" t="n">
        <v>1</v>
      </c>
      <c r="N349" s="11" t="n"/>
      <c r="O349" s="11" t="n"/>
      <c r="P349" s="9" t="n"/>
    </row>
    <row r="350">
      <c r="A350" s="8" t="n"/>
      <c r="B350" s="9" t="inlineStr">
        <is>
          <t>Quạt hút khói: SEF-A2-2F-GYM
- Hướng trục, nối ống gió.
- Lưu lượng: 4200L/s@400Pa</t>
        </is>
      </c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inlineStr">
        <is>
          <t>Cái</t>
        </is>
      </c>
      <c r="M350" s="10" t="n">
        <v>1</v>
      </c>
      <c r="N350" s="11" t="n"/>
      <c r="O350" s="11" t="n"/>
      <c r="P350" s="9" t="n"/>
    </row>
    <row r="351">
      <c r="A351" s="8" t="n"/>
      <c r="B351" s="9" t="inlineStr">
        <is>
          <t>Quạt cấp khí bù: SFAF-A2-2F-GYM
- Hướng trục, nối ống gió.
- Lưu lượng: 1900L/s@250Pa</t>
        </is>
      </c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inlineStr">
        <is>
          <t>Cái</t>
        </is>
      </c>
      <c r="M351" s="10" t="n">
        <v>1</v>
      </c>
      <c r="N351" s="11" t="n"/>
      <c r="O351" s="11" t="n"/>
      <c r="P351" s="9" t="n"/>
    </row>
    <row r="352">
      <c r="A352" s="8" t="n"/>
      <c r="B352" s="9" t="inlineStr">
        <is>
          <t>Quạt hút khói: SEF-A2-2F-02
- Hướng trục, nối ống gió.
- Lưu lượng: 3100L/s@450Pa</t>
        </is>
      </c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inlineStr">
        <is>
          <t>Cái</t>
        </is>
      </c>
      <c r="M352" s="10" t="n">
        <v>1</v>
      </c>
      <c r="N352" s="11" t="n"/>
      <c r="O352" s="11" t="n"/>
      <c r="P352" s="9" t="n"/>
    </row>
    <row r="353">
      <c r="A353" s="8" t="n"/>
      <c r="B353" s="9" t="inlineStr">
        <is>
          <t>Quạt cấp khí bù: SFAF-A2-2F-03
- Hướng trục, nối ống gió.
- Lưu lượng: 1400L/s@250Pa</t>
        </is>
      </c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inlineStr">
        <is>
          <t>Cái</t>
        </is>
      </c>
      <c r="M353" s="10" t="n">
        <v>1</v>
      </c>
      <c r="N353" s="11" t="n"/>
      <c r="O353" s="11" t="n"/>
      <c r="P353" s="9" t="n"/>
    </row>
    <row r="354">
      <c r="A354" s="8" t="n"/>
      <c r="B354" s="9" t="inlineStr">
        <is>
          <t>Quạt hút khói: SEF-A2-2F-01
- Hướng trục, nối ống gió.
- Lưu lượng: 2500L/s@350Pa</t>
        </is>
      </c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inlineStr">
        <is>
          <t>Cái</t>
        </is>
      </c>
      <c r="M354" s="10" t="n">
        <v>1</v>
      </c>
      <c r="N354" s="11" t="n"/>
      <c r="O354" s="11" t="n"/>
      <c r="P354" s="9" t="n"/>
    </row>
    <row r="355">
      <c r="A355" s="8" t="n"/>
      <c r="B355" s="9" t="inlineStr">
        <is>
          <t>Quạt cấp khí bù: SFAF-A2-2F-01
- Hướng trục, nối ống gió.
- Lưu lượng: 1100L/s@250Pa</t>
        </is>
      </c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inlineStr">
        <is>
          <t>Cái</t>
        </is>
      </c>
      <c r="M355" s="10" t="n">
        <v>1</v>
      </c>
      <c r="N355" s="11" t="n"/>
      <c r="O355" s="11" t="n"/>
      <c r="P355" s="9" t="n"/>
    </row>
    <row r="356">
      <c r="A356" s="8" t="n"/>
      <c r="B356" s="9" t="inlineStr">
        <is>
          <t>Lò xo chống rung cho quạt</t>
        </is>
      </c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inlineStr">
        <is>
          <t>Cái</t>
        </is>
      </c>
      <c r="M356" s="10" t="n">
        <v>60</v>
      </c>
      <c r="N356" s="11" t="n"/>
      <c r="O356" s="11" t="n"/>
      <c r="P356" s="9" t="n"/>
    </row>
    <row r="357">
      <c r="A357" s="8" t="n"/>
      <c r="B357" s="9" t="inlineStr">
        <is>
          <t>Vật tư phụ lắp đặt thiết bị</t>
        </is>
      </c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inlineStr">
        <is>
          <t>Lô</t>
        </is>
      </c>
      <c r="M357" s="10" t="n">
        <v>1</v>
      </c>
      <c r="N357" s="11" t="n"/>
      <c r="O357" s="11" t="n"/>
      <c r="P357" s="9" t="n"/>
    </row>
    <row r="358">
      <c r="A358" s="6" t="n"/>
      <c r="B358" s="7" t="inlineStr">
        <is>
          <t>Vật tư đường ống</t>
        </is>
      </c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</row>
    <row r="359">
      <c r="A359" s="8" t="n"/>
      <c r="B359" s="9" t="inlineStr">
        <is>
          <t>Bộ cảm biến khói, loại gắn trên ống gió</t>
        </is>
      </c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inlineStr">
        <is>
          <t>bộ</t>
        </is>
      </c>
      <c r="M359" s="10" t="n">
        <v>7</v>
      </c>
      <c r="N359" s="11" t="n"/>
      <c r="O359" s="11" t="n"/>
      <c r="P359" s="9" t="n"/>
    </row>
    <row r="360">
      <c r="A360" s="6" t="n"/>
      <c r="B360" s="7" t="inlineStr">
        <is>
          <t>Miệng gió hút khói</t>
        </is>
      </c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</row>
    <row r="361">
      <c r="A361" s="8" t="n"/>
      <c r="B361" s="9" t="inlineStr">
        <is>
          <t>Miệng gió hút khói: SEG 1000x500 + OBD
Kèm box gió</t>
        </is>
      </c>
      <c r="C361" s="8" t="inlineStr">
        <is>
          <t>SDG+O</t>
        </is>
      </c>
      <c r="D361" s="8" t="inlineStr">
        <is>
          <t>SWIND</t>
        </is>
      </c>
      <c r="E361" s="8" t="n">
        <v>1000</v>
      </c>
      <c r="F361" s="8" t="n">
        <v>500</v>
      </c>
      <c r="G361" s="8" t="n">
        <v>950</v>
      </c>
      <c r="H361" s="8" t="n">
        <v>450</v>
      </c>
      <c r="I361" s="8" t="n"/>
      <c r="J361" s="8" t="n"/>
      <c r="K361" s="8" t="n"/>
      <c r="L361" s="8" t="inlineStr">
        <is>
          <t>Cái</t>
        </is>
      </c>
      <c r="M361" s="10" t="n">
        <v>13</v>
      </c>
      <c r="N361" s="10" t="n">
        <v>708000</v>
      </c>
      <c r="O361" s="10">
        <f>ROUNDUP(N361*M361, -2)</f>
        <v/>
      </c>
      <c r="P361" s="9" t="inlineStr">
        <is>
          <t>Cửa nan thẳng bầu dục kèm van OBD (tăng áp / hút khói). Không tính box do nhà thầu tự thi công</t>
        </is>
      </c>
    </row>
    <row r="362">
      <c r="A362" s="8" t="n"/>
      <c r="B362" s="9" t="inlineStr">
        <is>
          <t>Miệng gió hút khói: SEG 900x500 + OBD
Kèm box gió</t>
        </is>
      </c>
      <c r="C362" s="8" t="inlineStr">
        <is>
          <t>SDG+O</t>
        </is>
      </c>
      <c r="D362" s="8" t="inlineStr">
        <is>
          <t>SWIND</t>
        </is>
      </c>
      <c r="E362" s="8" t="n">
        <v>900</v>
      </c>
      <c r="F362" s="8" t="n">
        <v>500</v>
      </c>
      <c r="G362" s="8" t="n">
        <v>850</v>
      </c>
      <c r="H362" s="8" t="n">
        <v>450</v>
      </c>
      <c r="I362" s="8" t="n"/>
      <c r="J362" s="8" t="n"/>
      <c r="K362" s="8" t="n"/>
      <c r="L362" s="8" t="inlineStr">
        <is>
          <t>Cái</t>
        </is>
      </c>
      <c r="M362" s="10" t="n">
        <v>6</v>
      </c>
      <c r="N362" s="10" t="n">
        <v>642000</v>
      </c>
      <c r="O362" s="10">
        <f>ROUNDUP(N362*M362, -2)</f>
        <v/>
      </c>
      <c r="P362" s="9" t="inlineStr">
        <is>
          <t>Cửa nan thẳng bầu dục kèm van OBD (tăng áp / hút khói). Không tính box do nhà thầu tự thi công</t>
        </is>
      </c>
    </row>
    <row r="363">
      <c r="A363" s="8" t="n"/>
      <c r="B363" s="9" t="inlineStr">
        <is>
          <t>Miệng gió hút khói: SEG 800x400 + OBD
Kèm box gió</t>
        </is>
      </c>
      <c r="C363" s="8" t="inlineStr">
        <is>
          <t>SDG+O</t>
        </is>
      </c>
      <c r="D363" s="8" t="inlineStr">
        <is>
          <t>SWIND</t>
        </is>
      </c>
      <c r="E363" s="8" t="n">
        <v>800</v>
      </c>
      <c r="F363" s="8" t="n">
        <v>400</v>
      </c>
      <c r="G363" s="8" t="n">
        <v>750</v>
      </c>
      <c r="H363" s="8" t="n">
        <v>350</v>
      </c>
      <c r="I363" s="8" t="n"/>
      <c r="J363" s="8" t="n"/>
      <c r="K363" s="8" t="n"/>
      <c r="L363" s="8" t="inlineStr">
        <is>
          <t>Cái</t>
        </is>
      </c>
      <c r="M363" s="10" t="n">
        <v>2</v>
      </c>
      <c r="N363" s="10" t="n">
        <v>480000</v>
      </c>
      <c r="O363" s="10">
        <f>ROUNDUP(N363*M363, -2)</f>
        <v/>
      </c>
      <c r="P363" s="9" t="inlineStr">
        <is>
          <t>Cửa nan thẳng bầu dục kèm van OBD (tăng áp / hút khói). Không tính box do nhà thầu tự thi công</t>
        </is>
      </c>
    </row>
    <row r="364">
      <c r="A364" s="6" t="n"/>
      <c r="B364" s="7" t="inlineStr">
        <is>
          <t>Louver thải khói</t>
        </is>
      </c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</row>
    <row r="365">
      <c r="A365" s="8" t="n"/>
      <c r="B365" s="9" t="inlineStr">
        <is>
          <t>Louver thải khói EAL + LCCT 1000x300</t>
        </is>
      </c>
      <c r="C365" s="8" t="inlineStr">
        <is>
          <t>WL+N</t>
        </is>
      </c>
      <c r="D365" s="8" t="inlineStr">
        <is>
          <t>SWIND</t>
        </is>
      </c>
      <c r="E365" s="8" t="n">
        <v>1000</v>
      </c>
      <c r="F365" s="8" t="n">
        <v>300</v>
      </c>
      <c r="G365" s="8" t="n">
        <v>950</v>
      </c>
      <c r="H365" s="8" t="n">
        <v>250</v>
      </c>
      <c r="I365" s="8" t="n"/>
      <c r="J365" s="8" t="n"/>
      <c r="K365" s="8" t="n"/>
      <c r="L365" s="8" t="inlineStr">
        <is>
          <t>Cái</t>
        </is>
      </c>
      <c r="M365" s="10" t="n">
        <v>3</v>
      </c>
      <c r="N365" s="10" t="n">
        <v>468000</v>
      </c>
      <c r="O365" s="10">
        <f>ROUNDUP(N365*M365, -2)</f>
        <v/>
      </c>
      <c r="P365" s="9" t="inlineStr">
        <is>
          <t>Louver nan Z ngoài trời kèm lưới chắn côn trùng Inox 304</t>
        </is>
      </c>
    </row>
    <row r="366">
      <c r="A366" s="8" t="n"/>
      <c r="B366" s="9" t="inlineStr">
        <is>
          <t>Louver thải khói EAL + LCCT 1000x700</t>
        </is>
      </c>
      <c r="C366" s="8" t="inlineStr">
        <is>
          <t>WL+N</t>
        </is>
      </c>
      <c r="D366" s="8" t="inlineStr">
        <is>
          <t>SWIND</t>
        </is>
      </c>
      <c r="E366" s="8" t="n">
        <v>1000</v>
      </c>
      <c r="F366" s="8" t="n">
        <v>700</v>
      </c>
      <c r="G366" s="8" t="n">
        <v>950</v>
      </c>
      <c r="H366" s="8" t="n">
        <v>650</v>
      </c>
      <c r="I366" s="8" t="n"/>
      <c r="J366" s="8" t="n"/>
      <c r="K366" s="8" t="n"/>
      <c r="L366" s="8" t="inlineStr">
        <is>
          <t>Cái</t>
        </is>
      </c>
      <c r="M366" s="10" t="n">
        <v>1</v>
      </c>
      <c r="N366" s="10" t="n">
        <v>960000</v>
      </c>
      <c r="O366" s="10">
        <f>ROUNDUP(N366*M366, -2)</f>
        <v/>
      </c>
      <c r="P366" s="9" t="inlineStr">
        <is>
          <t>Louver nan Z ngoài trời kèm lưới chắn côn trùng Inox 304</t>
        </is>
      </c>
    </row>
    <row r="367">
      <c r="A367" s="8" t="n"/>
      <c r="B367" s="9" t="inlineStr">
        <is>
          <t>Louver thải khói EAL + LCCT 1200x350</t>
        </is>
      </c>
      <c r="C367" s="8" t="inlineStr">
        <is>
          <t>WL+N</t>
        </is>
      </c>
      <c r="D367" s="8" t="inlineStr">
        <is>
          <t>SWIND</t>
        </is>
      </c>
      <c r="E367" s="8" t="n">
        <v>1200</v>
      </c>
      <c r="F367" s="8" t="n">
        <v>350</v>
      </c>
      <c r="G367" s="8" t="n">
        <v>1150</v>
      </c>
      <c r="H367" s="8" t="n">
        <v>300</v>
      </c>
      <c r="I367" s="8" t="n"/>
      <c r="J367" s="8" t="n"/>
      <c r="K367" s="8" t="n"/>
      <c r="L367" s="8" t="inlineStr">
        <is>
          <t>Cái</t>
        </is>
      </c>
      <c r="M367" s="10" t="n">
        <v>1</v>
      </c>
      <c r="N367" s="10" t="n">
        <v>629000</v>
      </c>
      <c r="O367" s="10">
        <f>ROUNDUP(N367*M367, -2)</f>
        <v/>
      </c>
      <c r="P367" s="9" t="inlineStr">
        <is>
          <t>Louver nan Z ngoài trời kèm lưới chắn côn trùng Inox 304</t>
        </is>
      </c>
    </row>
    <row r="368">
      <c r="A368" s="8" t="n"/>
      <c r="B368" s="9" t="inlineStr">
        <is>
          <t>Louver thải khói EAL + LCCT 1200x400</t>
        </is>
      </c>
      <c r="C368" s="8" t="inlineStr">
        <is>
          <t>WL+N</t>
        </is>
      </c>
      <c r="D368" s="8" t="inlineStr">
        <is>
          <t>SWIND</t>
        </is>
      </c>
      <c r="E368" s="8" t="n">
        <v>1200</v>
      </c>
      <c r="F368" s="8" t="n">
        <v>400</v>
      </c>
      <c r="G368" s="8" t="n">
        <v>1150</v>
      </c>
      <c r="H368" s="8" t="n">
        <v>350</v>
      </c>
      <c r="I368" s="8" t="n"/>
      <c r="J368" s="8" t="n"/>
      <c r="K368" s="8" t="n"/>
      <c r="L368" s="8" t="inlineStr">
        <is>
          <t>Cái</t>
        </is>
      </c>
      <c r="M368" s="10" t="n">
        <v>1</v>
      </c>
      <c r="N368" s="10" t="n">
        <v>702000</v>
      </c>
      <c r="O368" s="10">
        <f>ROUNDUP(N368*M368, -2)</f>
        <v/>
      </c>
      <c r="P368" s="9" t="inlineStr">
        <is>
          <t>Louver nan Z ngoài trời kèm lưới chắn côn trùng Inox 304</t>
        </is>
      </c>
    </row>
    <row r="369">
      <c r="A369" s="8" t="n"/>
      <c r="B369" s="9" t="inlineStr">
        <is>
          <t>Louver thải khói EAL + LCCT 2500x500</t>
        </is>
      </c>
      <c r="C369" s="8" t="inlineStr">
        <is>
          <t>WL+N</t>
        </is>
      </c>
      <c r="D369" s="8" t="inlineStr">
        <is>
          <t>SWIND</t>
        </is>
      </c>
      <c r="E369" s="8" t="n">
        <v>2500</v>
      </c>
      <c r="F369" s="8" t="n">
        <v>500</v>
      </c>
      <c r="G369" s="8" t="n">
        <v>2450</v>
      </c>
      <c r="H369" s="8" t="n">
        <v>450</v>
      </c>
      <c r="I369" s="8" t="n"/>
      <c r="J369" s="8" t="n"/>
      <c r="K369" s="8" t="n"/>
      <c r="L369" s="8" t="inlineStr">
        <is>
          <t>Cái</t>
        </is>
      </c>
      <c r="M369" s="10" t="n">
        <v>1</v>
      </c>
      <c r="N369" s="10" t="n">
        <v>1725000</v>
      </c>
      <c r="O369" s="10">
        <f>ROUNDUP(N369*M369, -2)</f>
        <v/>
      </c>
      <c r="P369" s="9" t="inlineStr">
        <is>
          <t>Louver nan Z ngoài trời kèm lưới chắn côn trùng Inox 304</t>
        </is>
      </c>
    </row>
    <row r="370">
      <c r="A370" s="6" t="n"/>
      <c r="B370" s="7" t="inlineStr">
        <is>
          <t>Louver cấp khí tươi</t>
        </is>
      </c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</row>
    <row r="371">
      <c r="A371" s="8" t="n"/>
      <c r="B371" s="9" t="inlineStr">
        <is>
          <t>Louver cấp khí tươi FAL + LCCT 800x300</t>
        </is>
      </c>
      <c r="C371" s="8" t="inlineStr">
        <is>
          <t>WL+N</t>
        </is>
      </c>
      <c r="D371" s="8" t="inlineStr">
        <is>
          <t>SWIND</t>
        </is>
      </c>
      <c r="E371" s="8" t="n">
        <v>800</v>
      </c>
      <c r="F371" s="8" t="n">
        <v>300</v>
      </c>
      <c r="G371" s="8" t="n">
        <v>750</v>
      </c>
      <c r="H371" s="8" t="n">
        <v>250</v>
      </c>
      <c r="I371" s="8" t="n"/>
      <c r="J371" s="8" t="n"/>
      <c r="K371" s="8" t="n"/>
      <c r="L371" s="8" t="inlineStr">
        <is>
          <t>Cái</t>
        </is>
      </c>
      <c r="M371" s="10" t="n">
        <v>3</v>
      </c>
      <c r="N371" s="10" t="n">
        <v>378000</v>
      </c>
      <c r="O371" s="10">
        <f>ROUNDUP(N371*M371, -2)</f>
        <v/>
      </c>
      <c r="P371" s="9" t="inlineStr">
        <is>
          <t>Louver nan Z ngoài trời kèm lưới chắn côn trùng Inox 304</t>
        </is>
      </c>
    </row>
    <row r="372">
      <c r="A372" s="8" t="n"/>
      <c r="B372" s="9" t="inlineStr">
        <is>
          <t>Louver cấp khí tươi FAL + LCCT 1000x400</t>
        </is>
      </c>
      <c r="C372" s="8" t="inlineStr">
        <is>
          <t>WL+N</t>
        </is>
      </c>
      <c r="D372" s="8" t="inlineStr">
        <is>
          <t>SWIND</t>
        </is>
      </c>
      <c r="E372" s="8" t="n">
        <v>1000</v>
      </c>
      <c r="F372" s="8" t="n">
        <v>400</v>
      </c>
      <c r="G372" s="8" t="n">
        <v>950</v>
      </c>
      <c r="H372" s="8" t="n">
        <v>350</v>
      </c>
      <c r="I372" s="8" t="n"/>
      <c r="J372" s="8" t="n"/>
      <c r="K372" s="8" t="n"/>
      <c r="L372" s="8" t="inlineStr">
        <is>
          <t>Cái</t>
        </is>
      </c>
      <c r="M372" s="10" t="n">
        <v>1</v>
      </c>
      <c r="N372" s="10" t="n">
        <v>591000</v>
      </c>
      <c r="O372" s="10">
        <f>ROUNDUP(N372*M372, -2)</f>
        <v/>
      </c>
      <c r="P372" s="9" t="inlineStr">
        <is>
          <t>Louver nan Z ngoài trời kèm lưới chắn côn trùng Inox 304</t>
        </is>
      </c>
    </row>
    <row r="373">
      <c r="A373" s="8" t="n"/>
      <c r="B373" s="9" t="inlineStr">
        <is>
          <t>Louver cấp khí tươi FAL + LCCT 1100x300</t>
        </is>
      </c>
      <c r="C373" s="8" t="inlineStr">
        <is>
          <t>WL+N</t>
        </is>
      </c>
      <c r="D373" s="8" t="inlineStr">
        <is>
          <t>SWIND</t>
        </is>
      </c>
      <c r="E373" s="8" t="n">
        <v>1100</v>
      </c>
      <c r="F373" s="8" t="n">
        <v>300</v>
      </c>
      <c r="G373" s="8" t="n">
        <v>1050</v>
      </c>
      <c r="H373" s="8" t="n">
        <v>250</v>
      </c>
      <c r="I373" s="8" t="n"/>
      <c r="J373" s="8" t="n"/>
      <c r="K373" s="8" t="n"/>
      <c r="L373" s="8" t="inlineStr">
        <is>
          <t>Cái</t>
        </is>
      </c>
      <c r="M373" s="10" t="n">
        <v>1</v>
      </c>
      <c r="N373" s="10" t="n">
        <v>511000</v>
      </c>
      <c r="O373" s="10">
        <f>ROUNDUP(N373*M373, -2)</f>
        <v/>
      </c>
      <c r="P373" s="9" t="inlineStr">
        <is>
          <t>Louver nan Z ngoài trời kèm lưới chắn côn trùng Inox 304</t>
        </is>
      </c>
    </row>
    <row r="374">
      <c r="A374" s="8" t="n"/>
      <c r="B374" s="9" t="inlineStr">
        <is>
          <t>Louver cấp khí tươi FAL + LCCT 3500x500</t>
        </is>
      </c>
      <c r="C374" s="8" t="inlineStr">
        <is>
          <t>WL+N</t>
        </is>
      </c>
      <c r="D374" s="8" t="inlineStr">
        <is>
          <t>SWIND</t>
        </is>
      </c>
      <c r="E374" s="8" t="n">
        <v>3500</v>
      </c>
      <c r="F374" s="8" t="n">
        <v>500</v>
      </c>
      <c r="G374" s="8" t="n">
        <v>3450</v>
      </c>
      <c r="H374" s="8" t="n">
        <v>450</v>
      </c>
      <c r="I374" s="8" t="n"/>
      <c r="J374" s="8" t="n"/>
      <c r="K374" s="8" t="n"/>
      <c r="L374" s="8" t="inlineStr">
        <is>
          <t>Cái</t>
        </is>
      </c>
      <c r="M374" s="10" t="n">
        <v>1</v>
      </c>
      <c r="N374" s="10" t="n">
        <v>2399000</v>
      </c>
      <c r="O374" s="10">
        <f>ROUNDUP(N374*M374, -2)</f>
        <v/>
      </c>
      <c r="P374" s="9" t="inlineStr">
        <is>
          <t>Louver nan Z ngoài trời kèm lưới chắn côn trùng Inox 304</t>
        </is>
      </c>
    </row>
    <row r="375">
      <c r="A375" s="8" t="n"/>
      <c r="B375" s="9" t="inlineStr">
        <is>
          <t>Louver cấp khí tươi FAL + LCCT 3500x700</t>
        </is>
      </c>
      <c r="C375" s="8" t="inlineStr">
        <is>
          <t>WL+N</t>
        </is>
      </c>
      <c r="D375" s="8" t="inlineStr">
        <is>
          <t>SWIND</t>
        </is>
      </c>
      <c r="E375" s="8" t="n">
        <v>3500</v>
      </c>
      <c r="F375" s="8" t="n">
        <v>700</v>
      </c>
      <c r="G375" s="8" t="n">
        <v>3450</v>
      </c>
      <c r="H375" s="8" t="n">
        <v>650</v>
      </c>
      <c r="I375" s="8" t="n"/>
      <c r="J375" s="8" t="n"/>
      <c r="K375" s="8" t="n"/>
      <c r="L375" s="8" t="inlineStr">
        <is>
          <t>Cái</t>
        </is>
      </c>
      <c r="M375" s="10" t="n">
        <v>1</v>
      </c>
      <c r="N375" s="10" t="n">
        <v>3222000</v>
      </c>
      <c r="O375" s="10">
        <f>ROUNDUP(N375*M375, -2)</f>
        <v/>
      </c>
      <c r="P375" s="9" t="inlineStr">
        <is>
          <t>Louver nan Z ngoài trời kèm lưới chắn côn trùng Inox 304</t>
        </is>
      </c>
    </row>
    <row r="376">
      <c r="A376" s="6" t="n"/>
      <c r="B376" s="7" t="inlineStr">
        <is>
          <t>Miệng gió cấp khí bù</t>
        </is>
      </c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</row>
    <row r="377">
      <c r="A377" s="8" t="n"/>
      <c r="B377" s="9" t="inlineStr">
        <is>
          <t>Miệng gió cấp khí bù FAG 800x300</t>
        </is>
      </c>
      <c r="C377" s="8" t="inlineStr">
        <is>
          <t>SDG</t>
        </is>
      </c>
      <c r="D377" s="8" t="inlineStr">
        <is>
          <t>SWIND</t>
        </is>
      </c>
      <c r="E377" s="8" t="n">
        <v>800</v>
      </c>
      <c r="F377" s="8" t="n">
        <v>300</v>
      </c>
      <c r="G377" s="8" t="n">
        <v>750</v>
      </c>
      <c r="H377" s="8" t="n">
        <v>250</v>
      </c>
      <c r="I377" s="8" t="n"/>
      <c r="J377" s="8" t="n"/>
      <c r="K377" s="8" t="n"/>
      <c r="L377" s="8" t="inlineStr">
        <is>
          <t>Cái</t>
        </is>
      </c>
      <c r="M377" s="10" t="n">
        <v>3</v>
      </c>
      <c r="N377" s="10" t="n">
        <v>201000</v>
      </c>
      <c r="O377" s="10">
        <f>ROUNDUP(N377*M377, -2)</f>
        <v/>
      </c>
      <c r="P377" s="9" t="inlineStr">
        <is>
          <t>Cửa nan bầu dục 1 lớp</t>
        </is>
      </c>
    </row>
    <row r="378">
      <c r="A378" s="8" t="n"/>
      <c r="B378" s="9" t="inlineStr">
        <is>
          <t>Miệng gió cấp khí bù FAG 800x400</t>
        </is>
      </c>
      <c r="C378" s="8" t="inlineStr">
        <is>
          <t>SDG</t>
        </is>
      </c>
      <c r="D378" s="8" t="inlineStr">
        <is>
          <t>SWIND</t>
        </is>
      </c>
      <c r="E378" s="8" t="n">
        <v>800</v>
      </c>
      <c r="F378" s="8" t="n">
        <v>400</v>
      </c>
      <c r="G378" s="8" t="n">
        <v>750</v>
      </c>
      <c r="H378" s="8" t="n">
        <v>350</v>
      </c>
      <c r="I378" s="8" t="n"/>
      <c r="J378" s="8" t="n"/>
      <c r="K378" s="8" t="n"/>
      <c r="L378" s="8" t="inlineStr">
        <is>
          <t>Cái</t>
        </is>
      </c>
      <c r="M378" s="10" t="n">
        <v>1</v>
      </c>
      <c r="N378" s="10" t="n">
        <v>257000</v>
      </c>
      <c r="O378" s="10">
        <f>ROUNDUP(N378*M378, -2)</f>
        <v/>
      </c>
      <c r="P378" s="9" t="inlineStr">
        <is>
          <t>Cửa nan bầu dục 1 lớp</t>
        </is>
      </c>
    </row>
    <row r="379">
      <c r="A379" s="8" t="n"/>
      <c r="B379" s="9" t="inlineStr">
        <is>
          <t>Miệng gió cấp khí bù FAG 800x500</t>
        </is>
      </c>
      <c r="C379" s="8" t="inlineStr">
        <is>
          <t>SDG</t>
        </is>
      </c>
      <c r="D379" s="8" t="inlineStr">
        <is>
          <t>SWIND</t>
        </is>
      </c>
      <c r="E379" s="8" t="n">
        <v>800</v>
      </c>
      <c r="F379" s="8" t="n">
        <v>500</v>
      </c>
      <c r="G379" s="8" t="n">
        <v>750</v>
      </c>
      <c r="H379" s="8" t="n">
        <v>450</v>
      </c>
      <c r="I379" s="8" t="n"/>
      <c r="J379" s="8" t="n"/>
      <c r="K379" s="8" t="n"/>
      <c r="L379" s="8" t="inlineStr">
        <is>
          <t>Cái</t>
        </is>
      </c>
      <c r="M379" s="10" t="n">
        <v>1</v>
      </c>
      <c r="N379" s="10" t="n">
        <v>313000</v>
      </c>
      <c r="O379" s="10">
        <f>ROUNDUP(N379*M379, -2)</f>
        <v/>
      </c>
      <c r="P379" s="9" t="inlineStr">
        <is>
          <t>Cửa nan bầu dục 1 lớp</t>
        </is>
      </c>
    </row>
    <row r="380">
      <c r="A380" s="8" t="n"/>
      <c r="B380" s="9" t="inlineStr">
        <is>
          <t>Miệng gió cấp khí bù FAG 1200x500</t>
        </is>
      </c>
      <c r="C380" s="8" t="inlineStr">
        <is>
          <t>SDG</t>
        </is>
      </c>
      <c r="D380" s="8" t="inlineStr">
        <is>
          <t>SWIND</t>
        </is>
      </c>
      <c r="E380" s="8" t="n">
        <v>1200</v>
      </c>
      <c r="F380" s="8" t="n">
        <v>500</v>
      </c>
      <c r="G380" s="8" t="n">
        <v>1150</v>
      </c>
      <c r="H380" s="8" t="n">
        <v>450</v>
      </c>
      <c r="I380" s="8" t="n"/>
      <c r="J380" s="8" t="n"/>
      <c r="K380" s="8" t="n"/>
      <c r="L380" s="8" t="inlineStr">
        <is>
          <t>Cái</t>
        </is>
      </c>
      <c r="M380" s="10" t="n">
        <v>1</v>
      </c>
      <c r="N380" s="10" t="n">
        <v>452000</v>
      </c>
      <c r="O380" s="10">
        <f>ROUNDUP(N380*M380, -2)</f>
        <v/>
      </c>
      <c r="P380" s="9" t="inlineStr">
        <is>
          <t>Cửa nan bầu dục 1 lớp</t>
        </is>
      </c>
    </row>
    <row r="381">
      <c r="A381" s="8" t="n"/>
      <c r="B381" s="9" t="inlineStr">
        <is>
          <t>Miệng gió cấp khí bù FAG 3500x700</t>
        </is>
      </c>
      <c r="C381" s="8" t="inlineStr">
        <is>
          <t>SDG</t>
        </is>
      </c>
      <c r="D381" s="8" t="inlineStr">
        <is>
          <t>SWIND</t>
        </is>
      </c>
      <c r="E381" s="8" t="n">
        <v>3500</v>
      </c>
      <c r="F381" s="8" t="n">
        <v>700</v>
      </c>
      <c r="G381" s="8" t="n">
        <v>3450</v>
      </c>
      <c r="H381" s="8" t="n">
        <v>650</v>
      </c>
      <c r="I381" s="8" t="n"/>
      <c r="J381" s="8" t="n"/>
      <c r="K381" s="8" t="n"/>
      <c r="L381" s="8" t="inlineStr">
        <is>
          <t>Cái</t>
        </is>
      </c>
      <c r="M381" s="10" t="n">
        <v>1</v>
      </c>
      <c r="N381" s="10" t="n">
        <v>1697000</v>
      </c>
      <c r="O381" s="10">
        <f>ROUNDUP(N381*M381, -2)</f>
        <v/>
      </c>
      <c r="P381" s="9" t="inlineStr">
        <is>
          <t>Cửa nan bầu dục 1 lớp</t>
        </is>
      </c>
    </row>
    <row r="382">
      <c r="A382" s="6" t="n"/>
      <c r="B382" s="7" t="inlineStr">
        <is>
          <t>Hộp chống cháy EI45 cho quạt</t>
        </is>
      </c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</row>
    <row r="383">
      <c r="A383" s="8" t="n"/>
      <c r="B383" s="9" t="inlineStr">
        <is>
          <t>Hộp chống cháy EI45 cho quạt DxRxC=1200x1200x1000</t>
        </is>
      </c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inlineStr">
        <is>
          <t>Cái</t>
        </is>
      </c>
      <c r="M383" s="10" t="n">
        <v>15</v>
      </c>
      <c r="N383" s="11" t="n"/>
      <c r="O383" s="11" t="n"/>
      <c r="P383" s="9" t="n"/>
    </row>
    <row r="384">
      <c r="A384" s="6" t="n"/>
      <c r="B384" s="7" t="inlineStr">
        <is>
          <t>Ống gió chống cháy EI30</t>
        </is>
      </c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</row>
    <row r="385">
      <c r="A385" s="8" t="n"/>
      <c r="B385" s="9" t="inlineStr">
        <is>
          <t>Ống gió chống cháy EI30 500x200, tole dày 0.75mm</t>
        </is>
      </c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inlineStr">
        <is>
          <t>m</t>
        </is>
      </c>
      <c r="M385" s="10" t="n">
        <v>22</v>
      </c>
      <c r="N385" s="11" t="n"/>
      <c r="O385" s="11" t="n"/>
      <c r="P385" s="9" t="n"/>
    </row>
    <row r="386">
      <c r="A386" s="8" t="n"/>
      <c r="B386" s="9" t="inlineStr">
        <is>
          <t>Ống gió chống cháy EI30 600x250, tole dày 0.75mm</t>
        </is>
      </c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inlineStr">
        <is>
          <t>m</t>
        </is>
      </c>
      <c r="M386" s="10" t="n">
        <v>33</v>
      </c>
      <c r="N386" s="11" t="n"/>
      <c r="O386" s="11" t="n"/>
      <c r="P386" s="9" t="n"/>
    </row>
    <row r="387">
      <c r="A387" s="8" t="n"/>
      <c r="B387" s="9" t="inlineStr">
        <is>
          <t>Ống gió chống cháy EI30 600x300, tole dày 0.75mm</t>
        </is>
      </c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inlineStr">
        <is>
          <t>m</t>
        </is>
      </c>
      <c r="M387" s="10" t="n">
        <v>7</v>
      </c>
      <c r="N387" s="11" t="n"/>
      <c r="O387" s="11" t="n"/>
      <c r="P387" s="9" t="n"/>
    </row>
    <row r="388">
      <c r="A388" s="8" t="n"/>
      <c r="B388" s="9" t="inlineStr">
        <is>
          <t>Ống gió chống cháy EI30 700x250, tole dày 0.75mm</t>
        </is>
      </c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inlineStr">
        <is>
          <t>m</t>
        </is>
      </c>
      <c r="M388" s="10" t="n">
        <v>14</v>
      </c>
      <c r="N388" s="11" t="n"/>
      <c r="O388" s="11" t="n"/>
      <c r="P388" s="9" t="n"/>
    </row>
    <row r="389">
      <c r="A389" s="8" t="n"/>
      <c r="B389" s="9" t="inlineStr">
        <is>
          <t>Ống gió chống cháy EI30 750x300, tole dày 0.75mm</t>
        </is>
      </c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inlineStr">
        <is>
          <t>m</t>
        </is>
      </c>
      <c r="M389" s="10" t="n">
        <v>93</v>
      </c>
      <c r="N389" s="11" t="n"/>
      <c r="O389" s="11" t="n"/>
      <c r="P389" s="9" t="n"/>
    </row>
    <row r="390">
      <c r="A390" s="8" t="n"/>
      <c r="B390" s="9" t="inlineStr">
        <is>
          <t>Ống gió chống cháy EI30 900x300, tole dày 0.75mm</t>
        </is>
      </c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inlineStr">
        <is>
          <t>m</t>
        </is>
      </c>
      <c r="M390" s="10" t="n">
        <v>48</v>
      </c>
      <c r="N390" s="11" t="n"/>
      <c r="O390" s="11" t="n"/>
      <c r="P390" s="9" t="n"/>
    </row>
    <row r="391">
      <c r="A391" s="8" t="n"/>
      <c r="B391" s="9" t="inlineStr">
        <is>
          <t>Ống gió chống cháy EI30 950x400, tole dày 0.75mm</t>
        </is>
      </c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inlineStr">
        <is>
          <t>m</t>
        </is>
      </c>
      <c r="M391" s="10" t="n">
        <v>57</v>
      </c>
      <c r="N391" s="11" t="n"/>
      <c r="O391" s="11" t="n"/>
      <c r="P391" s="9" t="n"/>
    </row>
    <row r="392">
      <c r="A392" s="8" t="n"/>
      <c r="B392" s="9" t="inlineStr">
        <is>
          <t>Ống gió chống cháy EI30 1100x350, tole dày 0.75mm</t>
        </is>
      </c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inlineStr">
        <is>
          <t>m</t>
        </is>
      </c>
      <c r="M392" s="10" t="n">
        <v>14</v>
      </c>
      <c r="N392" s="11" t="n"/>
      <c r="O392" s="11" t="n"/>
      <c r="P392" s="9" t="n"/>
    </row>
    <row r="393">
      <c r="A393" s="8" t="n"/>
      <c r="B393" s="9" t="inlineStr">
        <is>
          <t>Ống gió chống cháy EI30 1200x500, tole dày 0.75mm</t>
        </is>
      </c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inlineStr">
        <is>
          <t>m</t>
        </is>
      </c>
      <c r="M393" s="10" t="n">
        <v>7</v>
      </c>
      <c r="N393" s="11" t="n"/>
      <c r="O393" s="11" t="n"/>
      <c r="P393" s="9" t="n"/>
    </row>
    <row r="394">
      <c r="A394" s="8" t="n"/>
      <c r="B394" s="9" t="inlineStr">
        <is>
          <t>Ống gió chống cháy EI30 1300x400, tole dày 0.75mm</t>
        </is>
      </c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inlineStr">
        <is>
          <t>m</t>
        </is>
      </c>
      <c r="M394" s="10" t="n">
        <v>42</v>
      </c>
      <c r="N394" s="11" t="n"/>
      <c r="O394" s="11" t="n"/>
      <c r="P394" s="9" t="n"/>
    </row>
    <row r="395">
      <c r="A395" s="8" t="n"/>
      <c r="B395" s="9" t="inlineStr">
        <is>
          <t>Ống gió chống cháy EI30 1300x500, tole dày 0.75mm</t>
        </is>
      </c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inlineStr">
        <is>
          <t>m</t>
        </is>
      </c>
      <c r="M395" s="10" t="n">
        <v>42</v>
      </c>
      <c r="N395" s="11" t="n"/>
      <c r="O395" s="11" t="n"/>
      <c r="P395" s="9" t="n"/>
    </row>
    <row r="396">
      <c r="A396" s="8" t="n"/>
      <c r="B396" s="9" t="inlineStr">
        <is>
          <t>Phụ kiện lắp đặt ống gió (giảm, gót dày, chuyển vuông tròn...)</t>
        </is>
      </c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inlineStr">
        <is>
          <t>Lộ</t>
        </is>
      </c>
      <c r="M396" s="10" t="n">
        <v>1</v>
      </c>
      <c r="N396" s="11" t="n"/>
      <c r="O396" s="11" t="n"/>
      <c r="P396" s="9" t="n"/>
    </row>
    <row r="397">
      <c r="A397" s="8" t="n"/>
      <c r="B397" s="9" t="inlineStr">
        <is>
          <t>Vật tư phụ</t>
        </is>
      </c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inlineStr">
        <is>
          <t>Lộ</t>
        </is>
      </c>
      <c r="M397" s="10" t="n">
        <v>1</v>
      </c>
      <c r="N397" s="11" t="n"/>
      <c r="O397" s="11" t="n"/>
      <c r="P397" s="9" t="n"/>
    </row>
    <row r="398">
      <c r="A398" s="6" t="n"/>
      <c r="B398" s="7" t="inlineStr">
        <is>
          <t>Cáp điện điều khiển thiết bị</t>
        </is>
      </c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</row>
    <row r="399">
      <c r="A399" s="8" t="n"/>
      <c r="B399" s="9" t="inlineStr">
        <is>
          <t>2Cx1.5mm2 Cu/pvc/Fr (dây chống cháy)</t>
        </is>
      </c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inlineStr">
        <is>
          <t>m</t>
        </is>
      </c>
      <c r="M399" s="10" t="n">
        <v>1457.5</v>
      </c>
      <c r="N399" s="11" t="n"/>
      <c r="O399" s="11" t="n"/>
      <c r="P399" s="9" t="n"/>
    </row>
    <row r="400">
      <c r="A400" s="8" t="n"/>
      <c r="B400" s="9" t="inlineStr">
        <is>
          <t>Ống PVC DN 25</t>
        </is>
      </c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inlineStr">
        <is>
          <t>m</t>
        </is>
      </c>
      <c r="M400" s="10" t="n">
        <v>728.75</v>
      </c>
      <c r="N400" s="11" t="n"/>
      <c r="O400" s="11" t="n"/>
      <c r="P400" s="9" t="n"/>
    </row>
    <row r="401">
      <c r="A401" s="8" t="n"/>
      <c r="B401" s="9" t="inlineStr">
        <is>
          <t>Vật tư phụ</t>
        </is>
      </c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inlineStr">
        <is>
          <t>lô</t>
        </is>
      </c>
      <c r="M401" s="10" t="n">
        <v>1</v>
      </c>
      <c r="N401" s="11" t="n"/>
      <c r="O401" s="11" t="n"/>
      <c r="P401" s="9" t="n"/>
    </row>
    <row r="402">
      <c r="A402" s="6" t="n"/>
      <c r="B402" s="7" t="inlineStr">
        <is>
          <t>E. TẠO ÁP PHÒNG ĐỆM THANG BỘ, TMCC, BUỒNG THANG BỘ</t>
        </is>
      </c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</row>
    <row r="403">
      <c r="A403" s="6" t="n"/>
      <c r="B403" s="7" t="inlineStr">
        <is>
          <t>Thiết bị</t>
        </is>
      </c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</row>
    <row r="404">
      <c r="A404" s="8" t="n"/>
      <c r="B404" s="9" t="inlineStr">
        <is>
          <t>Quạt tạo áp: PAF-A1-21F.01, 02
- Ly tâm, nối ống gió.
- Lưu lượng: 2400L/s@250Pa</t>
        </is>
      </c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inlineStr">
        <is>
          <t>cái</t>
        </is>
      </c>
      <c r="M404" s="10" t="n">
        <v>2</v>
      </c>
      <c r="N404" s="11" t="n"/>
      <c r="O404" s="11" t="n"/>
      <c r="P404" s="9" t="n"/>
    </row>
    <row r="405">
      <c r="A405" s="8" t="n"/>
      <c r="B405" s="9" t="inlineStr">
        <is>
          <t>Quạt tạo áp: PAF-A1-RF.01
- Ly tâm, nối ống gió.
- Lưu lượng: 5850L/s@950Pa</t>
        </is>
      </c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inlineStr">
        <is>
          <t>cái</t>
        </is>
      </c>
      <c r="M405" s="10" t="n">
        <v>1</v>
      </c>
      <c r="N405" s="11" t="n"/>
      <c r="O405" s="11" t="n"/>
      <c r="P405" s="9" t="n"/>
    </row>
    <row r="406">
      <c r="A406" s="8" t="n"/>
      <c r="B406" s="9" t="inlineStr">
        <is>
          <t>Quạt tạo áp: PAF-A1-RF.02, 03, 04
- Ly tâm, nối ống gió.
- Lưu lượng: 10000L/s@950Pa</t>
        </is>
      </c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inlineStr">
        <is>
          <t>Cái</t>
        </is>
      </c>
      <c r="M406" s="10" t="n">
        <v>3</v>
      </c>
      <c r="N406" s="11" t="n"/>
      <c r="O406" s="11" t="n"/>
      <c r="P406" s="9" t="n"/>
    </row>
    <row r="407">
      <c r="A407" s="8" t="n"/>
      <c r="B407" s="9" t="inlineStr">
        <is>
          <t>Quạt tạo áp: PAF-A1-RF.05
- Ly tâm, nối ống gió.
- Lưu lượng: 8450L/s@550Pa</t>
        </is>
      </c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inlineStr">
        <is>
          <t>Cái</t>
        </is>
      </c>
      <c r="M407" s="10" t="n">
        <v>1</v>
      </c>
      <c r="N407" s="11" t="n"/>
      <c r="O407" s="11" t="n"/>
      <c r="P407" s="9" t="n"/>
    </row>
    <row r="408">
      <c r="A408" s="8" t="n"/>
      <c r="B408" s="9" t="inlineStr">
        <is>
          <t>Quạt tạo áp: PAF-A1-RF.06, 07, 08
- Ly tâm, nối ống gió.
- Lưu lượng: 23700L/s@550Pa</t>
        </is>
      </c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inlineStr">
        <is>
          <t>Cái</t>
        </is>
      </c>
      <c r="M408" s="10" t="n">
        <v>3</v>
      </c>
      <c r="N408" s="11" t="n"/>
      <c r="O408" s="11" t="n"/>
      <c r="P408" s="9" t="n"/>
    </row>
    <row r="409">
      <c r="A409" s="8" t="n"/>
      <c r="B409" s="9" t="inlineStr">
        <is>
          <t>Quạt tạo áp: PAF-A1-RF.09
- Ly tâm, nối ống gió.
- Lưu lượng: 15800L/s@550Pa</t>
        </is>
      </c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inlineStr">
        <is>
          <t>Cái</t>
        </is>
      </c>
      <c r="M409" s="10" t="n">
        <v>1</v>
      </c>
      <c r="N409" s="11" t="n"/>
      <c r="O409" s="11" t="n"/>
      <c r="P409" s="9" t="n"/>
    </row>
    <row r="410">
      <c r="A410" s="8" t="n"/>
      <c r="B410" s="9" t="inlineStr">
        <is>
          <t>Quạt tạo áp: PAF-A2-RF.01
- Ly tâm, nối ống gió.
- Lưu lượng: 5850L/s@950Pa</t>
        </is>
      </c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inlineStr">
        <is>
          <t>Cái</t>
        </is>
      </c>
      <c r="M410" s="10" t="n">
        <v>1</v>
      </c>
      <c r="N410" s="11" t="n"/>
      <c r="O410" s="11" t="n"/>
      <c r="P410" s="9" t="n"/>
    </row>
    <row r="411">
      <c r="A411" s="8" t="n"/>
      <c r="B411" s="9" t="inlineStr">
        <is>
          <t>Quạt tạo áp: PAF-A2-RF.02, 03, 04
- Ly tâm, nối ống gió.
- Lưu lượng: 10000L/s@950Pa</t>
        </is>
      </c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inlineStr">
        <is>
          <t>Cái</t>
        </is>
      </c>
      <c r="M411" s="10" t="n">
        <v>3</v>
      </c>
      <c r="N411" s="11" t="n"/>
      <c r="O411" s="11" t="n"/>
      <c r="P411" s="9" t="n"/>
    </row>
    <row r="412">
      <c r="A412" s="8" t="n"/>
      <c r="B412" s="9" t="inlineStr">
        <is>
          <t>Quạt tạo áp: PAF-A2-RF.05
- Ly tâm, nối ống gió.
- Lưu lượng: 8450L/s@550Pa</t>
        </is>
      </c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inlineStr">
        <is>
          <t>Cái</t>
        </is>
      </c>
      <c r="M412" s="10" t="n">
        <v>1</v>
      </c>
      <c r="N412" s="11" t="n"/>
      <c r="O412" s="11" t="n"/>
      <c r="P412" s="9" t="n"/>
    </row>
    <row r="413">
      <c r="A413" s="8" t="n"/>
      <c r="B413" s="9" t="inlineStr">
        <is>
          <t>Quạt tạo áp: PAF-A2-RF.06, 07, 08
- Ly tâm, nối ống gió.
- Lưu lượng: 23700L/s@550Pa</t>
        </is>
      </c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inlineStr">
        <is>
          <t>Cái</t>
        </is>
      </c>
      <c r="M413" s="10" t="n">
        <v>3</v>
      </c>
      <c r="N413" s="11" t="n"/>
      <c r="O413" s="11" t="n"/>
      <c r="P413" s="9" t="n"/>
    </row>
    <row r="414">
      <c r="A414" s="8" t="n"/>
      <c r="B414" s="9" t="inlineStr">
        <is>
          <t>Quạt tạo áp: PAF-A2-RF.09
- Ly tâm, nối ống gió.
- Lưu lượng: 15800L/s@550Pa</t>
        </is>
      </c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inlineStr">
        <is>
          <t>Cái</t>
        </is>
      </c>
      <c r="M414" s="10" t="n">
        <v>1</v>
      </c>
      <c r="N414" s="11" t="n"/>
      <c r="O414" s="11" t="n"/>
      <c r="P414" s="9" t="n"/>
    </row>
    <row r="415">
      <c r="A415" s="8" t="n"/>
      <c r="B415" s="9" t="inlineStr">
        <is>
          <t>Lò xo chống rung cho quạt</t>
        </is>
      </c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inlineStr">
        <is>
          <t>Cái</t>
        </is>
      </c>
      <c r="M415" s="10" t="n">
        <v>80</v>
      </c>
      <c r="N415" s="11" t="n"/>
      <c r="O415" s="11" t="n"/>
      <c r="P415" s="9" t="n"/>
    </row>
    <row r="416">
      <c r="A416" s="8" t="n"/>
      <c r="B416" s="9" t="inlineStr">
        <is>
          <t>Vật tư phụ lắp đặt thiết bị</t>
        </is>
      </c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inlineStr">
        <is>
          <t>Lô</t>
        </is>
      </c>
      <c r="M416" s="10" t="n">
        <v>1</v>
      </c>
      <c r="N416" s="11" t="n"/>
      <c r="O416" s="11" t="n"/>
      <c r="P416" s="9" t="n"/>
    </row>
    <row r="417">
      <c r="A417" s="6" t="n"/>
      <c r="B417" s="7" t="inlineStr">
        <is>
          <t>Vật tư đường ống</t>
        </is>
      </c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</row>
    <row r="418">
      <c r="A418" s="8" t="n"/>
      <c r="B418" s="9" t="inlineStr">
        <is>
          <t>Bộ cảm biến khói, loại gắn trên ống gió</t>
        </is>
      </c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inlineStr">
        <is>
          <t>Bộ</t>
        </is>
      </c>
      <c r="M418" s="10" t="n">
        <v>20</v>
      </c>
      <c r="N418" s="11" t="n"/>
      <c r="O418" s="11" t="n"/>
      <c r="P418" s="9" t="n"/>
    </row>
    <row r="419">
      <c r="A419" s="6" t="n"/>
      <c r="B419" s="7" t="inlineStr">
        <is>
          <t>Van xả áp</t>
        </is>
      </c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</row>
    <row r="420">
      <c r="A420" s="8" t="n"/>
      <c r="B420" s="9" t="inlineStr">
        <is>
          <t>Van xả áp loại dùng đối trọng PRD 1100x400</t>
        </is>
      </c>
      <c r="C420" s="8" t="inlineStr">
        <is>
          <t>PRD</t>
        </is>
      </c>
      <c r="D420" s="8" t="inlineStr">
        <is>
          <t>SWIND</t>
        </is>
      </c>
      <c r="E420" s="8" t="n">
        <v>1100</v>
      </c>
      <c r="F420" s="8" t="n">
        <v>400</v>
      </c>
      <c r="G420" s="8" t="n"/>
      <c r="H420" s="8" t="n"/>
      <c r="I420" s="8" t="n"/>
      <c r="J420" s="8" t="n">
        <v>200</v>
      </c>
      <c r="K420" s="12" t="n">
        <v>1.15</v>
      </c>
      <c r="L420" s="8" t="inlineStr">
        <is>
          <t>cái</t>
        </is>
      </c>
      <c r="M420" s="10" t="n">
        <v>12</v>
      </c>
      <c r="N420" s="10" t="n">
        <v>1127000</v>
      </c>
      <c r="O420" s="10">
        <f>ROUNDUP(N420*M420, -2)</f>
        <v/>
      </c>
      <c r="P420" s="9" t="inlineStr">
        <is>
          <t>Van xả áp đối trọng tôn mạ kẽm</t>
        </is>
      </c>
    </row>
    <row r="421">
      <c r="A421" s="8" t="n"/>
      <c r="B421" s="9" t="inlineStr">
        <is>
          <t>Van xả áp loại dùng đối trọng PRD 900x500</t>
        </is>
      </c>
      <c r="C421" s="8" t="inlineStr">
        <is>
          <t>PRD</t>
        </is>
      </c>
      <c r="D421" s="8" t="inlineStr">
        <is>
          <t>SWIND</t>
        </is>
      </c>
      <c r="E421" s="8" t="n">
        <v>900</v>
      </c>
      <c r="F421" s="8" t="n">
        <v>500</v>
      </c>
      <c r="G421" s="8" t="n"/>
      <c r="H421" s="8" t="n"/>
      <c r="I421" s="8" t="n"/>
      <c r="J421" s="8" t="n">
        <v>200</v>
      </c>
      <c r="K421" s="12" t="n">
        <v>0.95</v>
      </c>
      <c r="L421" s="8" t="inlineStr">
        <is>
          <t>cái</t>
        </is>
      </c>
      <c r="M421" s="10" t="n">
        <v>2</v>
      </c>
      <c r="N421" s="10" t="n">
        <v>743000</v>
      </c>
      <c r="O421" s="10">
        <f>ROUNDUP(N421*M421, -2)</f>
        <v/>
      </c>
      <c r="P421" s="9" t="inlineStr">
        <is>
          <t>Van xả áp đối trọng tôn mạ kẽm</t>
        </is>
      </c>
    </row>
    <row r="422">
      <c r="A422" s="8" t="n"/>
      <c r="B422" s="9" t="inlineStr">
        <is>
          <t>Van xả áp loại dùng đối trọng PRD 800x400</t>
        </is>
      </c>
      <c r="C422" s="8" t="inlineStr">
        <is>
          <t>PRD</t>
        </is>
      </c>
      <c r="D422" s="8" t="inlineStr">
        <is>
          <t>SWIND</t>
        </is>
      </c>
      <c r="E422" s="8" t="n">
        <v>800</v>
      </c>
      <c r="F422" s="8" t="n">
        <v>400</v>
      </c>
      <c r="G422" s="8" t="n"/>
      <c r="H422" s="8" t="n"/>
      <c r="I422" s="8" t="n"/>
      <c r="J422" s="8" t="n">
        <v>200</v>
      </c>
      <c r="K422" s="12" t="n">
        <v>0.75</v>
      </c>
      <c r="L422" s="8" t="inlineStr">
        <is>
          <t>Cái</t>
        </is>
      </c>
      <c r="M422" s="10" t="n">
        <v>4</v>
      </c>
      <c r="N422" s="10" t="n">
        <v>561000</v>
      </c>
      <c r="O422" s="10">
        <f>ROUNDUP(N422*M422, -2)</f>
        <v/>
      </c>
      <c r="P422" s="9" t="inlineStr">
        <is>
          <t>Van xả áp đối trọng tôn mạ kẽm</t>
        </is>
      </c>
    </row>
    <row r="423">
      <c r="A423" s="8" t="n"/>
      <c r="B423" s="9" t="inlineStr">
        <is>
          <t>Van xả áp loại dùng đối trọng PRD 600x300</t>
        </is>
      </c>
      <c r="C423" s="8" t="inlineStr">
        <is>
          <t>PRD</t>
        </is>
      </c>
      <c r="D423" s="8" t="inlineStr">
        <is>
          <t>SWIND</t>
        </is>
      </c>
      <c r="E423" s="8" t="n">
        <v>600</v>
      </c>
      <c r="F423" s="8" t="n">
        <v>300</v>
      </c>
      <c r="G423" s="8" t="n"/>
      <c r="H423" s="8" t="n"/>
      <c r="I423" s="8" t="n"/>
      <c r="J423" s="8" t="n">
        <v>200</v>
      </c>
      <c r="K423" s="12" t="n">
        <v>0.75</v>
      </c>
      <c r="L423" s="8" t="inlineStr">
        <is>
          <t>Cái</t>
        </is>
      </c>
      <c r="M423" s="10" t="n">
        <v>2</v>
      </c>
      <c r="N423" s="10" t="n">
        <v>461000</v>
      </c>
      <c r="O423" s="10">
        <f>ROUNDUP(N423*M423, -2)</f>
        <v/>
      </c>
      <c r="P423" s="9" t="inlineStr">
        <is>
          <t>Van xả áp đối trọng tôn mạ kẽm</t>
        </is>
      </c>
    </row>
    <row r="424">
      <c r="A424" s="6" t="n"/>
      <c r="B424" s="7" t="inlineStr">
        <is>
          <t>Miệng gió</t>
        </is>
      </c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</row>
    <row r="425">
      <c r="A425" s="8" t="n"/>
      <c r="B425" s="9" t="inlineStr">
        <is>
          <t>Miệng gió tạo áp PAG 250x250 + OBD
Kèm box gió</t>
        </is>
      </c>
      <c r="C425" s="8" t="inlineStr">
        <is>
          <t>SDG+O</t>
        </is>
      </c>
      <c r="D425" s="8" t="inlineStr">
        <is>
          <t>SWIND</t>
        </is>
      </c>
      <c r="E425" s="8" t="n">
        <v>250</v>
      </c>
      <c r="F425" s="8" t="n">
        <v>250</v>
      </c>
      <c r="G425" s="8" t="n">
        <v>200</v>
      </c>
      <c r="H425" s="8" t="n">
        <v>200</v>
      </c>
      <c r="I425" s="8" t="n"/>
      <c r="J425" s="8" t="n"/>
      <c r="K425" s="8" t="n"/>
      <c r="L425" s="8" t="inlineStr">
        <is>
          <t>Cái</t>
        </is>
      </c>
      <c r="M425" s="10" t="n">
        <v>140</v>
      </c>
      <c r="N425" s="10" t="n">
        <v>122000</v>
      </c>
      <c r="O425" s="10">
        <f>ROUNDUP(N425*M425, -2)</f>
        <v/>
      </c>
      <c r="P425" s="9" t="inlineStr">
        <is>
          <t>Cửa nan thẳng bầu dục kèm van OBD (tăng áp / hút khói). Không tính box do nhà thầu tự thi công</t>
        </is>
      </c>
    </row>
    <row r="426">
      <c r="A426" s="8" t="n"/>
      <c r="B426" s="9" t="inlineStr">
        <is>
          <t>Miệng gió xả áp PAG 200x200
Kèm box gió</t>
        </is>
      </c>
      <c r="C426" s="8" t="inlineStr">
        <is>
          <t>SDG</t>
        </is>
      </c>
      <c r="D426" s="8" t="inlineStr">
        <is>
          <t>SWIND</t>
        </is>
      </c>
      <c r="E426" s="8" t="n">
        <v>200</v>
      </c>
      <c r="F426" s="8" t="n">
        <v>200</v>
      </c>
      <c r="G426" s="8" t="n">
        <v>150</v>
      </c>
      <c r="H426" s="8" t="n">
        <v>150</v>
      </c>
      <c r="I426" s="8" t="n"/>
      <c r="J426" s="8" t="n"/>
      <c r="K426" s="8" t="n"/>
      <c r="L426" s="8" t="inlineStr">
        <is>
          <t>Cái</t>
        </is>
      </c>
      <c r="M426" s="10" t="n">
        <v>72</v>
      </c>
      <c r="N426" s="10" t="n">
        <v>48000</v>
      </c>
      <c r="O426" s="10">
        <f>ROUNDUP(N426*M426, -2)</f>
        <v/>
      </c>
      <c r="P426" s="9" t="inlineStr">
        <is>
          <t>Cửa nan bầu dục 1 lớp. Không tính box do nhà thầu tự thi công</t>
        </is>
      </c>
    </row>
    <row r="427">
      <c r="A427" s="8" t="n"/>
      <c r="B427" s="9" t="inlineStr">
        <is>
          <t>Miệng gió xả áp PAG 1100x400
Kèm box gió</t>
        </is>
      </c>
      <c r="C427" s="8" t="inlineStr">
        <is>
          <t>SDG</t>
        </is>
      </c>
      <c r="D427" s="8" t="inlineStr">
        <is>
          <t>SWIND</t>
        </is>
      </c>
      <c r="E427" s="8" t="n">
        <v>1100</v>
      </c>
      <c r="F427" s="8" t="n">
        <v>400</v>
      </c>
      <c r="G427" s="8" t="n">
        <v>1050</v>
      </c>
      <c r="H427" s="8" t="n">
        <v>350</v>
      </c>
      <c r="I427" s="8" t="n"/>
      <c r="J427" s="8" t="n"/>
      <c r="K427" s="8" t="n"/>
      <c r="L427" s="8" t="inlineStr">
        <is>
          <t>Cái</t>
        </is>
      </c>
      <c r="M427" s="10" t="n">
        <v>204</v>
      </c>
      <c r="N427" s="10" t="n">
        <v>343000</v>
      </c>
      <c r="O427" s="10">
        <f>ROUNDUP(N427*M427, -2)</f>
        <v/>
      </c>
      <c r="P427" s="9" t="inlineStr">
        <is>
          <t>Cửa nan bầu dục 1 lớp. Không tính box do nhà thầu tự thi công</t>
        </is>
      </c>
    </row>
    <row r="428">
      <c r="A428" s="8" t="n"/>
      <c r="B428" s="9" t="inlineStr">
        <is>
          <t>Miệng gió tạo áp PAG 400x400 + OBD
Kèm box gió</t>
        </is>
      </c>
      <c r="C428" s="8" t="inlineStr">
        <is>
          <t>SDG+O</t>
        </is>
      </c>
      <c r="D428" s="8" t="inlineStr">
        <is>
          <t>SWIND</t>
        </is>
      </c>
      <c r="E428" s="8" t="n">
        <v>400</v>
      </c>
      <c r="F428" s="8" t="n">
        <v>400</v>
      </c>
      <c r="G428" s="8" t="n">
        <v>350</v>
      </c>
      <c r="H428" s="8" t="n">
        <v>350</v>
      </c>
      <c r="I428" s="8" t="n"/>
      <c r="J428" s="8" t="n"/>
      <c r="K428" s="8" t="n"/>
      <c r="L428" s="8" t="inlineStr">
        <is>
          <t>Cái</t>
        </is>
      </c>
      <c r="M428" s="10" t="n">
        <v>204</v>
      </c>
      <c r="N428" s="10" t="n">
        <v>261000</v>
      </c>
      <c r="O428" s="10">
        <f>ROUNDUP(N428*M428, -2)</f>
        <v/>
      </c>
      <c r="P428" s="9" t="inlineStr">
        <is>
          <t>Cửa nan thẳng bầu dục kèm van OBD (tăng áp / hút khói). Không tính box do nhà thầu tự thi công</t>
        </is>
      </c>
    </row>
    <row r="429">
      <c r="A429" s="8" t="n"/>
      <c r="B429" s="9" t="inlineStr">
        <is>
          <t>Miệng gió xả áp PAG 1000x500
Kèm box gió</t>
        </is>
      </c>
      <c r="C429" s="8" t="inlineStr">
        <is>
          <t>SDG</t>
        </is>
      </c>
      <c r="D429" s="8" t="inlineStr">
        <is>
          <t>SWIND</t>
        </is>
      </c>
      <c r="E429" s="8" t="n">
        <v>1000</v>
      </c>
      <c r="F429" s="8" t="n">
        <v>500</v>
      </c>
      <c r="G429" s="8" t="n">
        <v>950</v>
      </c>
      <c r="H429" s="8" t="n">
        <v>450</v>
      </c>
      <c r="I429" s="8" t="n"/>
      <c r="J429" s="8" t="n"/>
      <c r="K429" s="8" t="n"/>
      <c r="L429" s="8" t="inlineStr">
        <is>
          <t>cái</t>
        </is>
      </c>
      <c r="M429" s="10" t="n">
        <v>2</v>
      </c>
      <c r="N429" s="10" t="n">
        <v>383000</v>
      </c>
      <c r="O429" s="10">
        <f>ROUNDUP(N429*M429, -2)</f>
        <v/>
      </c>
      <c r="P429" s="9" t="inlineStr">
        <is>
          <t>Cửa nan bầu dục 1 lớp. Không tính box do nhà thầu tự thi công</t>
        </is>
      </c>
    </row>
    <row r="430">
      <c r="A430" s="6" t="n"/>
      <c r="B430" s="7" t="inlineStr">
        <is>
          <t>Louver</t>
        </is>
      </c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</row>
    <row r="431">
      <c r="A431" s="8" t="n"/>
      <c r="B431" s="9" t="inlineStr">
        <is>
          <t>FAL + LCCT 1300x500</t>
        </is>
      </c>
      <c r="C431" s="8" t="inlineStr">
        <is>
          <t>WL+N</t>
        </is>
      </c>
      <c r="D431" s="8" t="inlineStr">
        <is>
          <t>SWIND</t>
        </is>
      </c>
      <c r="E431" s="8" t="n">
        <v>1300</v>
      </c>
      <c r="F431" s="8" t="n">
        <v>500</v>
      </c>
      <c r="G431" s="8" t="n">
        <v>1250</v>
      </c>
      <c r="H431" s="8" t="n">
        <v>450</v>
      </c>
      <c r="I431" s="8" t="n"/>
      <c r="J431" s="8" t="n"/>
      <c r="K431" s="8" t="n"/>
      <c r="L431" s="8" t="inlineStr">
        <is>
          <t>cửa</t>
        </is>
      </c>
      <c r="M431" s="10" t="n">
        <v>2</v>
      </c>
      <c r="N431" s="10" t="n">
        <v>916000</v>
      </c>
      <c r="O431" s="10">
        <f>ROUNDUP(N431*M431, -2)</f>
        <v/>
      </c>
      <c r="P431" s="9" t="inlineStr">
        <is>
          <t>Louver nan Z ngoài trời kèm lưới chắn côn trùng Inox 304</t>
        </is>
      </c>
    </row>
    <row r="432">
      <c r="A432" s="6" t="n"/>
      <c r="B432" s="7" t="inlineStr">
        <is>
          <t>Lưới chắn côn trùng</t>
        </is>
      </c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</row>
    <row r="433">
      <c r="A433" s="8" t="n"/>
      <c r="B433" s="9" t="inlineStr">
        <is>
          <t>LCCT D800</t>
        </is>
      </c>
      <c r="C433" s="8" t="inlineStr">
        <is>
          <t>LCCT</t>
        </is>
      </c>
      <c r="D433" s="8" t="inlineStr">
        <is>
          <t>SWIND</t>
        </is>
      </c>
      <c r="E433" s="8" t="inlineStr">
        <is>
          <t>Ø</t>
        </is>
      </c>
      <c r="F433" s="8" t="n">
        <v>800</v>
      </c>
      <c r="G433" s="8" t="n"/>
      <c r="H433" s="8" t="n"/>
      <c r="I433" s="8" t="n"/>
      <c r="J433" s="8" t="n"/>
      <c r="K433" s="8" t="n"/>
      <c r="L433" s="8" t="inlineStr">
        <is>
          <t>Cái</t>
        </is>
      </c>
      <c r="M433" s="10" t="n">
        <v>2</v>
      </c>
      <c r="N433" s="10" t="n">
        <v>128000</v>
      </c>
      <c r="O433" s="10">
        <f>ROUNDUP(N433*M433, -2)</f>
        <v/>
      </c>
      <c r="P433" s="9" t="inlineStr">
        <is>
          <t>Lưới chắn côn trùng</t>
        </is>
      </c>
    </row>
    <row r="434">
      <c r="A434" s="8" t="n"/>
      <c r="B434" s="9" t="inlineStr">
        <is>
          <t>LCCT D980</t>
        </is>
      </c>
      <c r="C434" s="8" t="inlineStr">
        <is>
          <t>LCCT</t>
        </is>
      </c>
      <c r="D434" s="8" t="inlineStr">
        <is>
          <t>SWIND</t>
        </is>
      </c>
      <c r="E434" s="8" t="inlineStr">
        <is>
          <t>Ø</t>
        </is>
      </c>
      <c r="F434" s="8" t="n">
        <v>980</v>
      </c>
      <c r="G434" s="8" t="n"/>
      <c r="H434" s="8" t="n"/>
      <c r="I434" s="8" t="n"/>
      <c r="J434" s="8" t="n"/>
      <c r="K434" s="8" t="n"/>
      <c r="L434" s="8" t="inlineStr">
        <is>
          <t>Cái</t>
        </is>
      </c>
      <c r="M434" s="10" t="n">
        <v>16</v>
      </c>
      <c r="N434" s="10" t="n">
        <v>192080</v>
      </c>
      <c r="O434" s="10">
        <f>ROUNDUP(N434*M434, -2)</f>
        <v/>
      </c>
      <c r="P434" s="9" t="inlineStr">
        <is>
          <t>Lưới chắn côn trùng</t>
        </is>
      </c>
    </row>
    <row r="435">
      <c r="A435" s="6" t="n"/>
      <c r="B435" s="7" t="inlineStr">
        <is>
          <t>Ống gió chống cháy EI30</t>
        </is>
      </c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</row>
    <row r="436">
      <c r="A436" s="8" t="n"/>
      <c r="B436" s="9" t="inlineStr">
        <is>
          <t>Ống gió chống cháy EI30 800x300, tole dày 0.75mm</t>
        </is>
      </c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inlineStr">
        <is>
          <t>m</t>
        </is>
      </c>
      <c r="M436" s="10" t="n">
        <v>26</v>
      </c>
      <c r="N436" s="11" t="n"/>
      <c r="O436" s="11" t="n"/>
      <c r="P436" s="9" t="n"/>
    </row>
    <row r="437">
      <c r="A437" s="6" t="n"/>
      <c r="B437" s="7" t="inlineStr">
        <is>
          <t>Ống gió tráng kẽm</t>
        </is>
      </c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</row>
    <row r="438">
      <c r="A438" s="8" t="n"/>
      <c r="B438" s="9" t="inlineStr">
        <is>
          <t>Ống gió tráng kẽm 400x400, dày 0.57mm</t>
        </is>
      </c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inlineStr">
        <is>
          <t>m</t>
        </is>
      </c>
      <c r="M438" s="10" t="n">
        <v>23</v>
      </c>
      <c r="N438" s="11" t="n"/>
      <c r="O438" s="11" t="n"/>
      <c r="P438" s="9" t="n"/>
    </row>
    <row r="439">
      <c r="A439" s="8" t="n"/>
      <c r="B439" s="9" t="inlineStr">
        <is>
          <t>Ống gió tráng kẽm 700x700, dày 0.75mm</t>
        </is>
      </c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inlineStr">
        <is>
          <t>m</t>
        </is>
      </c>
      <c r="M439" s="10" t="n">
        <v>87</v>
      </c>
      <c r="N439" s="11" t="n"/>
      <c r="O439" s="11" t="n"/>
      <c r="P439" s="9" t="n"/>
    </row>
    <row r="440">
      <c r="A440" s="8" t="n"/>
      <c r="B440" s="9" t="inlineStr">
        <is>
          <t>Ống gió tráng kẽm 800x600, dày 0.75mm</t>
        </is>
      </c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inlineStr">
        <is>
          <t>m</t>
        </is>
      </c>
      <c r="M440" s="10" t="n">
        <v>17</v>
      </c>
      <c r="N440" s="11" t="n"/>
      <c r="O440" s="11" t="n"/>
      <c r="P440" s="9" t="n"/>
    </row>
    <row r="441">
      <c r="A441" s="8" t="n"/>
      <c r="B441" s="9" t="inlineStr">
        <is>
          <t>Ống gió tráng kẽm 800x700, dày 0.75mm</t>
        </is>
      </c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inlineStr">
        <is>
          <t>m</t>
        </is>
      </c>
      <c r="M441" s="10" t="n">
        <v>14</v>
      </c>
      <c r="N441" s="11" t="n"/>
      <c r="O441" s="11" t="n"/>
      <c r="P441" s="9" t="n"/>
    </row>
    <row r="442">
      <c r="A442" s="8" t="n"/>
      <c r="B442" s="9" t="inlineStr">
        <is>
          <t>Ống gió tráng kẽm 900x600, dày 0.75mm</t>
        </is>
      </c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inlineStr">
        <is>
          <t>m</t>
        </is>
      </c>
      <c r="M442" s="10" t="n">
        <v>12</v>
      </c>
      <c r="N442" s="11" t="n"/>
      <c r="O442" s="11" t="n"/>
      <c r="P442" s="9" t="n"/>
    </row>
    <row r="443">
      <c r="A443" s="8" t="n"/>
      <c r="B443" s="9" t="inlineStr">
        <is>
          <t>Ống gió tráng kẽm 1200x600, dày 0.95mm</t>
        </is>
      </c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inlineStr">
        <is>
          <t>m</t>
        </is>
      </c>
      <c r="M443" s="10" t="n">
        <v>22</v>
      </c>
      <c r="N443" s="11" t="n"/>
      <c r="O443" s="11" t="n"/>
      <c r="P443" s="9" t="n"/>
    </row>
    <row r="444">
      <c r="A444" s="8" t="n"/>
      <c r="B444" s="9" t="inlineStr">
        <is>
          <t>Ống gió tráng kẽm 1000x1000, dày 0.95mm</t>
        </is>
      </c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inlineStr">
        <is>
          <t>m</t>
        </is>
      </c>
      <c r="M444" s="10" t="n">
        <v>8</v>
      </c>
      <c r="N444" s="11" t="n"/>
      <c r="O444" s="11" t="n"/>
      <c r="P444" s="9" t="n"/>
    </row>
    <row r="445">
      <c r="A445" s="8" t="n"/>
      <c r="B445" s="9" t="inlineStr">
        <is>
          <t>Ống gió tráng kẽm 1200x1200, dày 0.95mm</t>
        </is>
      </c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inlineStr">
        <is>
          <t>m</t>
        </is>
      </c>
      <c r="M445" s="10" t="n">
        <v>33</v>
      </c>
      <c r="N445" s="11" t="n"/>
      <c r="O445" s="11" t="n"/>
      <c r="P445" s="9" t="n"/>
    </row>
    <row r="446">
      <c r="A446" s="8" t="n"/>
      <c r="B446" s="9" t="inlineStr">
        <is>
          <t>Phụ kiện lắp đặt ống gió (giảm, gót dày, chuyển vuông tròn...)</t>
        </is>
      </c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inlineStr">
        <is>
          <t>Lộ</t>
        </is>
      </c>
      <c r="M446" s="10" t="n">
        <v>1</v>
      </c>
      <c r="N446" s="11" t="n"/>
      <c r="O446" s="11" t="n"/>
      <c r="P446" s="9" t="n"/>
    </row>
    <row r="447">
      <c r="A447" s="8" t="n"/>
      <c r="B447" s="9" t="inlineStr">
        <is>
          <t>Vật tư phụ</t>
        </is>
      </c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inlineStr">
        <is>
          <t>Lộ</t>
        </is>
      </c>
      <c r="M447" s="10" t="n">
        <v>1</v>
      </c>
      <c r="N447" s="11" t="n"/>
      <c r="O447" s="11" t="n"/>
      <c r="P447" s="9" t="n"/>
    </row>
    <row r="448">
      <c r="A448" s="6" t="n"/>
      <c r="B448" s="7" t="inlineStr">
        <is>
          <t>Cáp điện điều khiển thiết bị</t>
        </is>
      </c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</row>
    <row r="449">
      <c r="A449" s="8" t="n"/>
      <c r="B449" s="9" t="inlineStr">
        <is>
          <t>2Cx1.5mm2 Cu/pvc/Fr (dây chống cháy)</t>
        </is>
      </c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inlineStr">
        <is>
          <t>m</t>
        </is>
      </c>
      <c r="M449" s="10" t="n">
        <v>6305.2</v>
      </c>
      <c r="N449" s="11" t="n"/>
      <c r="O449" s="11" t="n"/>
      <c r="P449" s="9" t="n"/>
    </row>
    <row r="450">
      <c r="A450" s="8" t="n"/>
      <c r="B450" s="9" t="inlineStr">
        <is>
          <t>Ống PVC DN 25</t>
        </is>
      </c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inlineStr">
        <is>
          <t>m</t>
        </is>
      </c>
      <c r="M450" s="10" t="n">
        <v>3152.6</v>
      </c>
      <c r="N450" s="11" t="n"/>
      <c r="O450" s="11" t="n"/>
      <c r="P450" s="9" t="n"/>
    </row>
    <row r="451">
      <c r="A451" s="8" t="n"/>
      <c r="B451" s="9" t="inlineStr">
        <is>
          <t>Vật tư phụ</t>
        </is>
      </c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inlineStr">
        <is>
          <t>lô</t>
        </is>
      </c>
      <c r="M451" s="10" t="n">
        <v>1</v>
      </c>
      <c r="N451" s="11" t="n"/>
      <c r="O451" s="11" t="n"/>
      <c r="P451" s="9" t="n"/>
    </row>
    <row r="452">
      <c r="A452" s="6" t="n"/>
      <c r="B452" s="7" t="inlineStr">
        <is>
          <t>F. HỆ THỐNG CẢNH BÁO KHÍ CO TẦNG HẦM</t>
        </is>
      </c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</row>
    <row r="453">
      <c r="A453" s="8" t="n"/>
      <c r="B453" s="9" t="inlineStr">
        <is>
          <t>Cảm biến khí CO</t>
        </is>
      </c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inlineStr">
        <is>
          <t>bộ</t>
        </is>
      </c>
      <c r="M453" s="10" t="n">
        <v>96</v>
      </c>
      <c r="N453" s="11" t="n"/>
      <c r="O453" s="11" t="n"/>
      <c r="P453" s="9" t="n"/>
    </row>
    <row r="454">
      <c r="A454" s="8" t="n"/>
      <c r="B454" s="9" t="inlineStr">
        <is>
          <t>Dây tín hiệu 2Cx1.5mm2</t>
        </is>
      </c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inlineStr">
        <is>
          <t>m</t>
        </is>
      </c>
      <c r="M454" s="10" t="n">
        <v>2887.5</v>
      </c>
      <c r="N454" s="11" t="n"/>
      <c r="O454" s="11" t="n"/>
      <c r="P454" s="9" t="n"/>
    </row>
    <row r="455">
      <c r="A455" s="8" t="n"/>
      <c r="B455" s="9" t="inlineStr">
        <is>
          <t>Ống PVC DN 25</t>
        </is>
      </c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inlineStr">
        <is>
          <t>m</t>
        </is>
      </c>
      <c r="M455" s="10" t="n">
        <v>2887.5</v>
      </c>
      <c r="N455" s="11" t="n"/>
      <c r="O455" s="11" t="n"/>
      <c r="P455" s="9" t="n"/>
    </row>
    <row r="456">
      <c r="A456" s="8" t="n"/>
      <c r="B456" s="9" t="inlineStr">
        <is>
          <t>Vật tư phụ hệ điện</t>
        </is>
      </c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inlineStr">
        <is>
          <t>Lô</t>
        </is>
      </c>
      <c r="M456" s="10" t="n">
        <v>1</v>
      </c>
      <c r="N456" s="11" t="n"/>
      <c r="O456" s="11" t="n"/>
      <c r="P456" s="9" t="n"/>
    </row>
    <row r="457">
      <c r="A457" s="6" t="n"/>
      <c r="B457" s="7" t="inlineStr">
        <is>
          <t>G. HỆ THỐNG THÔNG GIÓ PHÒNG RÁC TẦNG</t>
        </is>
      </c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</row>
    <row r="458">
      <c r="A458" s="6" t="n"/>
      <c r="B458" s="7" t="inlineStr">
        <is>
          <t>Thiết bị</t>
        </is>
      </c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</row>
    <row r="459">
      <c r="A459" s="8" t="n"/>
      <c r="B459" s="9" t="inlineStr">
        <is>
          <t>Quạt thông gió: EAF-A1-RAC-RF.01
- Ly tâm, nối ống gió.
- Lưu lượng: 2200L/s@700Pa</t>
        </is>
      </c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inlineStr">
        <is>
          <t>cái</t>
        </is>
      </c>
      <c r="M459" s="10" t="n">
        <v>1</v>
      </c>
      <c r="N459" s="11" t="n"/>
      <c r="O459" s="11" t="n"/>
      <c r="P459" s="9" t="n"/>
    </row>
    <row r="460">
      <c r="A460" s="8" t="n"/>
      <c r="B460" s="9" t="inlineStr">
        <is>
          <t>Quạt thông gió: EAF-A2-RAC-RF.01
- Ly tâm, nối ống gió.
- Lưu lượng: 2200L/s@700Pa</t>
        </is>
      </c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inlineStr">
        <is>
          <t>Cái</t>
        </is>
      </c>
      <c r="M460" s="10" t="n">
        <v>1</v>
      </c>
      <c r="N460" s="11" t="n"/>
      <c r="O460" s="11" t="n"/>
      <c r="P460" s="9" t="n"/>
    </row>
    <row r="461">
      <c r="A461" s="8" t="n"/>
      <c r="B461" s="9" t="inlineStr">
        <is>
          <t>Lò xo chống rung cho quạt</t>
        </is>
      </c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inlineStr">
        <is>
          <t>Cái</t>
        </is>
      </c>
      <c r="M461" s="10" t="n">
        <v>8</v>
      </c>
      <c r="N461" s="11" t="n"/>
      <c r="O461" s="11" t="n"/>
      <c r="P461" s="9" t="n"/>
    </row>
    <row r="462">
      <c r="A462" s="8" t="n"/>
      <c r="B462" s="9" t="inlineStr">
        <is>
          <t>Vật tư phụ lắp đặt thiết bị</t>
        </is>
      </c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inlineStr">
        <is>
          <t>Lô</t>
        </is>
      </c>
      <c r="M462" s="10" t="n">
        <v>1</v>
      </c>
      <c r="N462" s="11" t="n"/>
      <c r="O462" s="11" t="n"/>
      <c r="P462" s="9" t="n"/>
    </row>
    <row r="463">
      <c r="A463" s="6" t="n"/>
      <c r="B463" s="7" t="inlineStr">
        <is>
          <t>Vật tư đường ống</t>
        </is>
      </c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</row>
    <row r="464">
      <c r="A464" s="6" t="n"/>
      <c r="B464" s="7" t="inlineStr">
        <is>
          <t>Van chặn lửa, EI30</t>
        </is>
      </c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</row>
    <row r="465">
      <c r="A465" s="8" t="n"/>
      <c r="B465" s="9" t="inlineStr">
        <is>
          <t>Van chặn lửa, EI30 FD 150x150</t>
        </is>
      </c>
      <c r="C465" s="8" t="inlineStr">
        <is>
          <t>SWIND-2.01- E-FD-EI120</t>
        </is>
      </c>
      <c r="D465" s="8" t="inlineStr">
        <is>
          <t>SWIND</t>
        </is>
      </c>
      <c r="E465" s="8" t="n">
        <v>150</v>
      </c>
      <c r="F465" s="8" t="n">
        <v>150</v>
      </c>
      <c r="G465" s="8" t="n"/>
      <c r="H465" s="8" t="n"/>
      <c r="I465" s="8" t="n"/>
      <c r="J465" s="8" t="n">
        <v>200</v>
      </c>
      <c r="K465" s="12" t="n">
        <v>1.15</v>
      </c>
      <c r="L465" s="8" t="inlineStr">
        <is>
          <t>Cái</t>
        </is>
      </c>
      <c r="M465" s="10" t="n">
        <v>76</v>
      </c>
      <c r="N465" s="10" t="n">
        <v>833698</v>
      </c>
      <c r="O465" s="10">
        <f>ROUNDUP(N465*M465, -2)</f>
        <v/>
      </c>
      <c r="P465" s="9" t="inlineStr">
        <is>
          <t>- Van chặn lửa cầu chì - Tiêu chuẩn EI 120
- 2 đầu bích TDC - gắn cầu chì 70-74 độ C
- Sản xuất theo BCTN số: 4761/VLXD-TBMT</t>
        </is>
      </c>
    </row>
    <row r="466">
      <c r="A466" s="6" t="n"/>
      <c r="B466" s="7" t="inlineStr">
        <is>
          <t>Van điều chỉnh lưu lượng</t>
        </is>
      </c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</row>
    <row r="467">
      <c r="A467" s="8" t="n"/>
      <c r="B467" s="9" t="inlineStr">
        <is>
          <t>Van điều chỉnh lưu lượng VCD 150x150</t>
        </is>
      </c>
      <c r="C467" s="8" t="inlineStr">
        <is>
          <t>VCD</t>
        </is>
      </c>
      <c r="D467" s="8" t="inlineStr">
        <is>
          <t>SWIND</t>
        </is>
      </c>
      <c r="E467" s="8" t="n">
        <v>150</v>
      </c>
      <c r="F467" s="8" t="n">
        <v>150</v>
      </c>
      <c r="G467" s="8" t="n"/>
      <c r="H467" s="8" t="n"/>
      <c r="I467" s="8" t="n"/>
      <c r="J467" s="8" t="n">
        <v>200</v>
      </c>
      <c r="K467" s="12" t="n">
        <v>0.75</v>
      </c>
      <c r="L467" s="8" t="inlineStr">
        <is>
          <t>Cái</t>
        </is>
      </c>
      <c r="M467" s="10" t="n">
        <v>76</v>
      </c>
      <c r="N467" s="10" t="n">
        <v>171000</v>
      </c>
      <c r="O467" s="10">
        <f>ROUNDUP(N467*M467, -2)</f>
        <v/>
      </c>
      <c r="P467" s="9" t="inlineStr">
        <is>
          <t>Van điều chỉnh lưu lượng tay gạt tôn mạ kẽm</t>
        </is>
      </c>
    </row>
    <row r="468">
      <c r="A468" s="6" t="n"/>
      <c r="B468" s="7" t="inlineStr">
        <is>
          <t>Miệng gió</t>
        </is>
      </c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</row>
    <row r="469">
      <c r="A469" s="8" t="n"/>
      <c r="B469" s="9" t="inlineStr">
        <is>
          <t>Miệng gió tạo áp EAG 150x150 + OBD
Kèm box gió</t>
        </is>
      </c>
      <c r="C469" s="8" t="inlineStr">
        <is>
          <t>SDG+O</t>
        </is>
      </c>
      <c r="D469" s="8" t="inlineStr">
        <is>
          <t>SWIND</t>
        </is>
      </c>
      <c r="E469" s="8" t="n">
        <v>150</v>
      </c>
      <c r="F469" s="8" t="n">
        <v>150</v>
      </c>
      <c r="G469" s="8" t="n">
        <v>100</v>
      </c>
      <c r="H469" s="8" t="n">
        <v>100</v>
      </c>
      <c r="I469" s="8" t="n"/>
      <c r="J469" s="8" t="n"/>
      <c r="K469" s="8" t="n"/>
      <c r="L469" s="8" t="inlineStr">
        <is>
          <t>Cái</t>
        </is>
      </c>
      <c r="M469" s="10" t="n">
        <v>152</v>
      </c>
      <c r="N469" s="10" t="n">
        <v>57000</v>
      </c>
      <c r="O469" s="10">
        <f>ROUNDUP(N469*M469, -2)</f>
        <v/>
      </c>
      <c r="P469" s="9" t="inlineStr">
        <is>
          <t>Cửa nan thẳng bầu dục kèm van OBD (tăng áp / hút khói). Không tính box do nhà thầu tự thi công</t>
        </is>
      </c>
    </row>
    <row r="470">
      <c r="A470" s="6" t="n"/>
      <c r="B470" s="7" t="inlineStr">
        <is>
          <t>Lưới chắn côn trùng</t>
        </is>
      </c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</row>
    <row r="471">
      <c r="A471" s="8" t="n"/>
      <c r="B471" s="9" t="inlineStr">
        <is>
          <t>LCCT 700x300</t>
        </is>
      </c>
      <c r="C471" s="8" t="inlineStr">
        <is>
          <t>LCCT</t>
        </is>
      </c>
      <c r="D471" s="8" t="inlineStr">
        <is>
          <t>SWIND</t>
        </is>
      </c>
      <c r="E471" s="8" t="n">
        <v>700</v>
      </c>
      <c r="F471" s="8" t="n">
        <v>300</v>
      </c>
      <c r="G471" s="8" t="n"/>
      <c r="H471" s="8" t="n"/>
      <c r="I471" s="8" t="n"/>
      <c r="J471" s="8" t="n"/>
      <c r="K471" s="8" t="n"/>
      <c r="L471" s="8" t="inlineStr">
        <is>
          <t>Cái</t>
        </is>
      </c>
      <c r="M471" s="10" t="n">
        <v>2</v>
      </c>
      <c r="N471" s="10" t="n">
        <v>42000</v>
      </c>
      <c r="O471" s="10">
        <f>ROUNDUP(N471*M471, -2)</f>
        <v/>
      </c>
      <c r="P471" s="9" t="inlineStr">
        <is>
          <t>Lưới chắn côn trùng</t>
        </is>
      </c>
    </row>
    <row r="472">
      <c r="A472" s="6" t="n"/>
      <c r="B472" s="7" t="inlineStr">
        <is>
          <t>Ống gió tráng kẽm</t>
        </is>
      </c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</row>
    <row r="473">
      <c r="A473" s="8" t="n"/>
      <c r="B473" s="9" t="inlineStr">
        <is>
          <t>Ống gió tráng kẽm 150x150, dày 0.57mm</t>
        </is>
      </c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inlineStr">
        <is>
          <t>m</t>
        </is>
      </c>
      <c r="M473" s="10" t="n">
        <v>239</v>
      </c>
      <c r="N473" s="11" t="n"/>
      <c r="O473" s="11" t="n"/>
      <c r="P473" s="9" t="n"/>
    </row>
    <row r="474">
      <c r="A474" s="8" t="n"/>
      <c r="B474" s="9" t="inlineStr">
        <is>
          <t>Ống gió tráng kẽm 650x300, dày 0.75mm</t>
        </is>
      </c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inlineStr">
        <is>
          <t>m</t>
        </is>
      </c>
      <c r="M474" s="10" t="n">
        <v>320</v>
      </c>
      <c r="N474" s="11" t="n"/>
      <c r="O474" s="11" t="n"/>
      <c r="P474" s="9" t="n"/>
    </row>
    <row r="475">
      <c r="A475" s="8" t="n"/>
      <c r="B475" s="9" t="inlineStr">
        <is>
          <t>Phụ kiện lắp đặt ống gió (giảm, gót dày, chuyển vuông tròn...)</t>
        </is>
      </c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inlineStr">
        <is>
          <t>Lộ</t>
        </is>
      </c>
      <c r="M475" s="10" t="n">
        <v>1</v>
      </c>
      <c r="N475" s="11" t="n"/>
      <c r="O475" s="11" t="n"/>
      <c r="P475" s="9" t="n"/>
    </row>
    <row r="476">
      <c r="A476" s="8" t="n"/>
      <c r="B476" s="9" t="inlineStr">
        <is>
          <t>Vật tư phụ</t>
        </is>
      </c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inlineStr">
        <is>
          <t>Lộ</t>
        </is>
      </c>
      <c r="M476" s="10" t="n">
        <v>1</v>
      </c>
      <c r="N476" s="11" t="n"/>
      <c r="O476" s="11" t="n"/>
      <c r="P476" s="9" t="n"/>
    </row>
    <row r="477">
      <c r="A477" s="6" t="n"/>
      <c r="B477" s="7" t="inlineStr">
        <is>
          <t>CHI PHÍ KHÁC</t>
        </is>
      </c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</row>
    <row r="478">
      <c r="A478" s="8" t="n"/>
      <c r="B478" s="9" t="inlineStr">
        <is>
          <t>Chi phí thí nghiệm thiết bị PCCC</t>
        </is>
      </c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inlineStr">
        <is>
          <t>Lô</t>
        </is>
      </c>
      <c r="M478" s="10" t="n">
        <v>1</v>
      </c>
      <c r="N478" s="11" t="n"/>
      <c r="O478" s="11" t="n"/>
      <c r="P478" s="9" t="n"/>
    </row>
    <row r="479">
      <c r="A479" s="8" t="n"/>
      <c r="B479" s="9" t="inlineStr">
        <is>
          <t>Chi phí Fill chống cháy lan: Rock wool, foam, silicon chống cháy…</t>
        </is>
      </c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inlineStr">
        <is>
          <t>Lô</t>
        </is>
      </c>
      <c r="M479" s="10" t="n">
        <v>1</v>
      </c>
      <c r="N479" s="11" t="n"/>
      <c r="O479" s="11" t="n"/>
      <c r="P479" s="9" t="n"/>
    </row>
    <row r="480">
      <c r="A480" s="8" t="n"/>
      <c r="B480" s="9" t="inlineStr">
        <is>
          <t>Chi phí T&amp;C hệ thống</t>
        </is>
      </c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inlineStr">
        <is>
          <t>Lô</t>
        </is>
      </c>
      <c r="M480" s="10" t="n">
        <v>1</v>
      </c>
      <c r="N480" s="11" t="n"/>
      <c r="O480" s="11" t="n"/>
      <c r="P480" s="9" t="n"/>
    </row>
    <row r="481"/>
    <row r="482">
      <c r="B482" s="13" t="inlineStr">
        <is>
          <t>TỔNG CỘNG (CHƯA BAO GỒM VAT):</t>
        </is>
      </c>
      <c r="O482" s="14">
        <f>SUBTOTAL(9,O14:O480)</f>
        <v/>
      </c>
    </row>
    <row r="483">
      <c r="B483" s="13" t="inlineStr">
        <is>
          <t>THUẾ GTGT (VAT 8%):</t>
        </is>
      </c>
      <c r="O483" s="14">
        <f>ROUND(O482*0.08, 0)</f>
        <v/>
      </c>
    </row>
    <row r="484">
      <c r="B484" s="13" t="inlineStr">
        <is>
          <t>TỔNG CỘNG THANH TOÁN (ĐÃ GỒM VAT 8%):</t>
        </is>
      </c>
      <c r="O484" s="14">
        <f>O482+O483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2026-10-19T04:37:21Z</dcterms:created>
  <dcterms:modified xsi:type="dcterms:W3CDTF">2026-10-19T04:37:24Z</dcterms:modified>
  <cp:lastModifiedBy>Swind Multi-Agent AI</cp:lastModifiedBy>
</cp:coreProperties>
</file>
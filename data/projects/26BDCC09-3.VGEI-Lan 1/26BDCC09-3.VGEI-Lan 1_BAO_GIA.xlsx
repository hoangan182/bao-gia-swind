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 TIÊU CHUẨ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</font>
    <font>
      <name val="Times New Roman"/>
      <b val="1"/>
      <color rgb="00002060"/>
      <sz val="11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002060"/>
      <sz val="16"/>
    </font>
    <font>
      <name val="Times New Roman"/>
      <b val="1"/>
      <color rgb="00FFFFFF"/>
      <sz val="10"/>
    </font>
    <font>
      <name val="Times New Roman"/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2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0" fontId="8" fillId="0" borderId="0" pivotButton="0" quotePrefix="0" xfId="0"/>
    <xf numFmtId="3" fontId="8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3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64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11" customWidth="1" min="13" max="13"/>
    <col width="16" customWidth="1" min="14" max="14"/>
    <col width="18" customWidth="1" min="15" max="15"/>
    <col width="44" customWidth="1" min="16" max="16"/>
  </cols>
  <sheetData>
    <row r="2">
      <c r="C2" s="1" t="inlineStr">
        <is>
          <t>CÔNG TY CỔ PHẦN TẬP ĐOÀN QUỐC TẾ SLAND</t>
        </is>
      </c>
    </row>
    <row r="3">
      <c r="C3" s="2" t="inlineStr">
        <is>
          <t>VPGD: SỐ 49, Ngõ 1295 Giải Phóng, Phường Hoàng Mai, TP Hà Nội</t>
        </is>
      </c>
    </row>
    <row r="4">
      <c r="C4" s="2" t="inlineStr">
        <is>
          <t>Nhà máy: Thôn Nhân Hiền - xã Thường Tín - TP Hà Nội</t>
        </is>
      </c>
    </row>
    <row r="5">
      <c r="C5" s="3" t="inlineStr">
        <is>
          <t>Hotline: 082 5577 999</t>
        </is>
      </c>
    </row>
    <row r="6" ht="28" customHeight="1">
      <c r="A6" s="4" t="inlineStr">
        <is>
          <t>BẢNG BÁO GIÁ (BẢNG BÁO GIÁ THIẾT BỊ VÀ VẬT TƯ HVAC (TIÊU CHUẨN BOQ))</t>
        </is>
      </c>
    </row>
    <row r="7">
      <c r="A7" s="3" t="inlineStr">
        <is>
          <t xml:space="preserve">Khách hàng : </t>
        </is>
      </c>
      <c r="M7" s="3" t="inlineStr">
        <is>
          <t>Số hiệu</t>
        </is>
      </c>
    </row>
    <row r="8">
      <c r="A8" s="3" t="inlineStr">
        <is>
          <t>Địa chỉ :</t>
        </is>
      </c>
      <c r="M8" s="3" t="inlineStr">
        <is>
          <t>PT Kinh doanh</t>
        </is>
      </c>
    </row>
    <row r="9">
      <c r="A9" s="3" t="inlineStr">
        <is>
          <t xml:space="preserve">Người nhận : </t>
        </is>
      </c>
      <c r="M9" s="3" t="inlineStr">
        <is>
          <t>Điện thoại</t>
        </is>
      </c>
    </row>
    <row r="10">
      <c r="A10" s="3" t="inlineStr">
        <is>
          <t xml:space="preserve">Email: </t>
        </is>
      </c>
      <c r="C10" s="3" t="inlineStr">
        <is>
          <t>Số điện thoại :</t>
        </is>
      </c>
      <c r="M10" s="3" t="inlineStr">
        <is>
          <t>Dự án</t>
        </is>
      </c>
    </row>
    <row r="11" ht="20" customHeight="1">
      <c r="A11" s="5" t="inlineStr">
        <is>
          <t>STT</t>
        </is>
      </c>
      <c r="B11" s="5" t="inlineStr">
        <is>
          <t>Danh mục sản phẩm</t>
        </is>
      </c>
      <c r="C11" s="5" t="inlineStr">
        <is>
          <t>Model</t>
        </is>
      </c>
      <c r="D11" s="5" t="inlineStr">
        <is>
          <t>Thương hiệu</t>
        </is>
      </c>
      <c r="E11" s="5" t="inlineStr">
        <is>
          <t>Kích thước (mm)</t>
        </is>
      </c>
      <c r="F11" s="19" t="n"/>
      <c r="G11" s="19" t="n"/>
      <c r="H11" s="20" t="n"/>
      <c r="I11" s="5" t="inlineStr">
        <is>
          <t>Modul</t>
        </is>
      </c>
      <c r="J11" s="5" t="inlineStr">
        <is>
          <t>L</t>
        </is>
      </c>
      <c r="K11" s="5" t="inlineStr">
        <is>
          <t>Độ dày
(mm)</t>
        </is>
      </c>
      <c r="L11" s="5" t="inlineStr">
        <is>
          <t>Unit
Đơn vị</t>
        </is>
      </c>
      <c r="M11" s="5" t="inlineStr">
        <is>
          <t>Q'ty
Số lượng</t>
        </is>
      </c>
      <c r="N11" s="5" t="inlineStr">
        <is>
          <t>Đơn Giá
(VNĐ)</t>
        </is>
      </c>
      <c r="O11" s="5" t="inlineStr">
        <is>
          <t>Total price
Thành tiền</t>
        </is>
      </c>
      <c r="P11" s="5" t="inlineStr">
        <is>
          <t>Remarks
Ghi chú</t>
        </is>
      </c>
    </row>
    <row r="12" ht="20" customHeight="1">
      <c r="A12" s="21" t="n"/>
      <c r="B12" s="21" t="n"/>
      <c r="C12" s="21" t="n"/>
      <c r="D12" s="21" t="n"/>
      <c r="E12" s="5" t="inlineStr">
        <is>
          <t>A1</t>
        </is>
      </c>
      <c r="F12" s="5" t="inlineStr">
        <is>
          <t>A2</t>
        </is>
      </c>
      <c r="G12" s="5" t="inlineStr">
        <is>
          <t>B1</t>
        </is>
      </c>
      <c r="H12" s="5" t="inlineStr">
        <is>
          <t>B2</t>
        </is>
      </c>
      <c r="I12" s="21" t="n"/>
      <c r="J12" s="21" t="n"/>
      <c r="K12" s="21" t="n"/>
      <c r="L12" s="21" t="n"/>
      <c r="M12" s="21" t="n"/>
      <c r="N12" s="21" t="n"/>
      <c r="O12" s="21" t="n"/>
      <c r="P12" s="21" t="n"/>
    </row>
    <row r="13" ht="20" customHeight="1">
      <c r="A13" s="22" t="n"/>
      <c r="B13" s="22" t="n"/>
      <c r="C13" s="22" t="n"/>
      <c r="D13" s="22" t="n"/>
      <c r="E13" s="5" t="inlineStr">
        <is>
          <t>Face size</t>
        </is>
      </c>
      <c r="F13" s="20" t="n"/>
      <c r="G13" s="5" t="inlineStr">
        <is>
          <t>Neck size</t>
        </is>
      </c>
      <c r="H13" s="20" t="n"/>
      <c r="I13" s="22" t="n"/>
      <c r="J13" s="22" t="n"/>
      <c r="K13" s="22" t="n"/>
      <c r="L13" s="22" t="n"/>
      <c r="M13" s="22" t="n"/>
      <c r="N13" s="22" t="n"/>
      <c r="O13" s="22" t="n"/>
      <c r="P13" s="22" t="n"/>
    </row>
    <row r="14">
      <c r="A14" s="6" t="n">
        <v>6</v>
      </c>
      <c r="B14" s="7" t="inlineStr">
        <is>
          <t>Van chặn lửa FD kích thước 600x300</t>
        </is>
      </c>
      <c r="C14" s="6" t="inlineStr">
        <is>
          <t>SWIND-2.01- E-FD-EI120</t>
        </is>
      </c>
      <c r="D14" s="6" t="inlineStr">
        <is>
          <t>SWIND</t>
        </is>
      </c>
      <c r="E14" s="6" t="n">
        <v>600</v>
      </c>
      <c r="F14" s="6" t="n">
        <v>300</v>
      </c>
      <c r="G14" s="6" t="n"/>
      <c r="H14" s="6" t="n"/>
      <c r="I14" s="6" t="n"/>
      <c r="J14" s="6" t="n">
        <v>200</v>
      </c>
      <c r="K14" s="8" t="n">
        <v>1.15</v>
      </c>
      <c r="L14" s="6" t="inlineStr">
        <is>
          <t>cái</t>
        </is>
      </c>
      <c r="M14" s="9" t="n">
        <v>39</v>
      </c>
      <c r="N14" s="9" t="n">
        <v>2262085</v>
      </c>
      <c r="O14" s="9">
        <f>ROUNDUP(N14*M14, -2)</f>
        <v/>
      </c>
      <c r="P14" s="7" t="inlineStr">
        <is>
          <t>- Van chặn lửa cầu chì - Tiêu chuẩn EI 120
- 2 đầu bích TDC - gắn cầu chì 70-74 độ C
- Sản xuất theo BCTN số: 4761/VLXD-TBMT</t>
        </is>
      </c>
    </row>
    <row r="15">
      <c r="A15" s="6" t="n">
        <v>9</v>
      </c>
      <c r="B15" s="7" t="inlineStr">
        <is>
          <t>Van chặn lửa FD kích thước 400x200</t>
        </is>
      </c>
      <c r="C15" s="6" t="inlineStr">
        <is>
          <t>SWIND-2.01- E-FD-EI120</t>
        </is>
      </c>
      <c r="D15" s="6" t="inlineStr">
        <is>
          <t>SWIND</t>
        </is>
      </c>
      <c r="E15" s="6" t="n">
        <v>400</v>
      </c>
      <c r="F15" s="6" t="n">
        <v>200</v>
      </c>
      <c r="G15" s="6" t="n"/>
      <c r="H15" s="6" t="n"/>
      <c r="I15" s="6" t="n"/>
      <c r="J15" s="6" t="n">
        <v>200</v>
      </c>
      <c r="K15" s="8" t="n">
        <v>1.15</v>
      </c>
      <c r="L15" s="6" t="inlineStr">
        <is>
          <t>cái</t>
        </is>
      </c>
      <c r="M15" s="9" t="n">
        <v>4</v>
      </c>
      <c r="N15" s="9" t="n">
        <v>1463010</v>
      </c>
      <c r="O15" s="9">
        <f>ROUNDUP(N15*M15, -2)</f>
        <v/>
      </c>
      <c r="P15" s="7" t="inlineStr">
        <is>
          <t>- Van chặn lửa cầu chì - Tiêu chuẩn EI 120
- 2 đầu bích TDC - gắn cầu chì 70-74 độ C
- Sản xuất theo BCTN số: 4761/VLXD-TBMT</t>
        </is>
      </c>
    </row>
    <row r="16">
      <c r="A16" s="6" t="n">
        <v>1</v>
      </c>
      <c r="B16" s="7" t="inlineStr">
        <is>
          <t>Van chặn lửa FD kích thước 250x100</t>
        </is>
      </c>
      <c r="C16" s="6" t="inlineStr">
        <is>
          <t>SWIND-2.01- E-FD-EI120</t>
        </is>
      </c>
      <c r="D16" s="6" t="inlineStr">
        <is>
          <t>SWIND</t>
        </is>
      </c>
      <c r="E16" s="6" t="n">
        <v>250</v>
      </c>
      <c r="F16" s="6" t="n">
        <v>100</v>
      </c>
      <c r="G16" s="6" t="n">
        <v>250</v>
      </c>
      <c r="H16" s="6" t="n">
        <v>150</v>
      </c>
      <c r="I16" s="6" t="n"/>
      <c r="J16" s="6" t="n">
        <v>200</v>
      </c>
      <c r="K16" s="8" t="n">
        <v>1.15</v>
      </c>
      <c r="L16" s="6" t="inlineStr">
        <is>
          <t>cái</t>
        </is>
      </c>
      <c r="M16" s="9" t="n">
        <v>814</v>
      </c>
      <c r="N16" s="9" t="n">
        <v>1025747</v>
      </c>
      <c r="O16" s="9">
        <f>ROUNDUP(N16*M16, -2)</f>
        <v/>
      </c>
      <c r="P16" s="7" t="inlineStr">
        <is>
          <t>- Van chặn lửa cầu chì - Tiêu chuẩn EI 120
- 2 đầu bích TDC - gắn cầu chì 70-74 độ C
- Sản xuất theo BCTN số: 4761/VLXD-TBMT
- Van thu côn 2 đầu</t>
        </is>
      </c>
    </row>
    <row r="17">
      <c r="A17" s="6" t="n">
        <v>2</v>
      </c>
      <c r="B17" s="7" t="inlineStr">
        <is>
          <t>Van chặn lửa FD kích thước 900x400</t>
        </is>
      </c>
      <c r="C17" s="6" t="inlineStr">
        <is>
          <t>SWIND-2.01- E-FD-EI120</t>
        </is>
      </c>
      <c r="D17" s="6" t="inlineStr">
        <is>
          <t>SWIND</t>
        </is>
      </c>
      <c r="E17" s="6" t="n">
        <v>900</v>
      </c>
      <c r="F17" s="6" t="n">
        <v>400</v>
      </c>
      <c r="G17" s="6" t="n"/>
      <c r="H17" s="6" t="n"/>
      <c r="I17" s="6" t="n"/>
      <c r="J17" s="6" t="n">
        <v>200</v>
      </c>
      <c r="K17" s="8" t="n">
        <v>1.15</v>
      </c>
      <c r="L17" s="6" t="inlineStr">
        <is>
          <t>cái</t>
        </is>
      </c>
      <c r="M17" s="9" t="n">
        <v>40</v>
      </c>
      <c r="N17" s="9" t="n">
        <v>3515420</v>
      </c>
      <c r="O17" s="9">
        <f>ROUNDUP(N17*M17, -2)</f>
        <v/>
      </c>
      <c r="P17" s="7" t="inlineStr">
        <is>
          <t>- Van chặn lửa cầu chì - Tiêu chuẩn EI 120
- 2 đầu bích TDC - gắn cầu chì 70-74 độ C
- Sản xuất theo BCTN số: 4761/VLXD-TBMT</t>
        </is>
      </c>
    </row>
    <row r="18">
      <c r="A18" s="6" t="n">
        <v>2</v>
      </c>
      <c r="B18" s="7" t="inlineStr">
        <is>
          <t>Van chặn lửa FD kích thước 150x100</t>
        </is>
      </c>
      <c r="C18" s="6" t="inlineStr">
        <is>
          <t>SWIND-2.01- E-FD-EI120</t>
        </is>
      </c>
      <c r="D18" s="6" t="inlineStr">
        <is>
          <t>SWIND</t>
        </is>
      </c>
      <c r="E18" s="6" t="n">
        <v>150</v>
      </c>
      <c r="F18" s="6" t="n">
        <v>100</v>
      </c>
      <c r="G18" s="6" t="n">
        <v>150</v>
      </c>
      <c r="H18" s="6" t="n">
        <v>150</v>
      </c>
      <c r="I18" s="6" t="n"/>
      <c r="J18" s="6" t="n">
        <v>200</v>
      </c>
      <c r="K18" s="8" t="n">
        <v>1.15</v>
      </c>
      <c r="L18" s="6" t="inlineStr">
        <is>
          <t>cái</t>
        </is>
      </c>
      <c r="M18" s="9" t="n">
        <v>814</v>
      </c>
      <c r="N18" s="9" t="n">
        <v>833698</v>
      </c>
      <c r="O18" s="9">
        <f>ROUNDUP(N18*M18, -2)</f>
        <v/>
      </c>
      <c r="P18" s="7" t="inlineStr">
        <is>
          <t>- Van chặn lửa cầu chì - Tiêu chuẩn EI 120
- 2 đầu bích TDC - gắn cầu chì 70-74 độ C
- Sản xuất theo BCTN số: 4761/VLXD-TBMT
- Van thu côn 2 đầu</t>
        </is>
      </c>
    </row>
    <row r="19">
      <c r="A19" s="6" t="n">
        <v>2</v>
      </c>
      <c r="B19" s="7" t="inlineStr">
        <is>
          <t>Van chặn lửa FD kích thước 150x150</t>
        </is>
      </c>
      <c r="C19" s="6" t="inlineStr">
        <is>
          <t>SWIND-2.01- E-FD-EI120</t>
        </is>
      </c>
      <c r="D19" s="6" t="inlineStr">
        <is>
          <t>SWIND</t>
        </is>
      </c>
      <c r="E19" s="6" t="n">
        <v>150</v>
      </c>
      <c r="F19" s="6" t="n">
        <v>150</v>
      </c>
      <c r="G19" s="6" t="n"/>
      <c r="H19" s="6" t="n"/>
      <c r="I19" s="6" t="n"/>
      <c r="J19" s="6" t="n">
        <v>200</v>
      </c>
      <c r="K19" s="8" t="n">
        <v>1.15</v>
      </c>
      <c r="L19" s="6" t="inlineStr">
        <is>
          <t>cái</t>
        </is>
      </c>
      <c r="M19" s="9" t="n">
        <v>44</v>
      </c>
      <c r="N19" s="9" t="n">
        <v>833698</v>
      </c>
      <c r="O19" s="9">
        <f>ROUNDUP(N19*M19, -2)</f>
        <v/>
      </c>
      <c r="P19" s="7" t="inlineStr">
        <is>
          <t>- Van chặn lửa cầu chì - Tiêu chuẩn EI 120
- 2 đầu bích TDC - gắn cầu chì 70-74 độ C
- Sản xuất theo BCTN số: 4761/VLXD-TBMT</t>
        </is>
      </c>
    </row>
    <row r="20">
      <c r="A20" s="6" t="n">
        <v>1</v>
      </c>
      <c r="B20" s="7" t="inlineStr">
        <is>
          <t>Van chặn lửa FD kích thước cho quạt 700 m3/h, 50Pa</t>
        </is>
      </c>
      <c r="C20" s="6" t="inlineStr">
        <is>
          <t>SWIND-2.01- E-FD-EI120</t>
        </is>
      </c>
      <c r="D20" s="6" t="inlineStr">
        <is>
          <t>SWIND</t>
        </is>
      </c>
      <c r="E20" s="6" t="n">
        <v>400</v>
      </c>
      <c r="F20" s="6" t="n">
        <v>400</v>
      </c>
      <c r="G20" s="6" t="n"/>
      <c r="H20" s="6" t="n"/>
      <c r="I20" s="6" t="n"/>
      <c r="J20" s="6" t="n">
        <v>200</v>
      </c>
      <c r="K20" s="8" t="n">
        <v>1.15</v>
      </c>
      <c r="L20" s="6" t="inlineStr">
        <is>
          <t>cái</t>
        </is>
      </c>
      <c r="M20" s="9" t="n">
        <v>3</v>
      </c>
      <c r="N20" s="9" t="n">
        <v>2048520</v>
      </c>
      <c r="O20" s="9">
        <f>ROUNDUP(N20*M20, -2)</f>
        <v/>
      </c>
      <c r="P20" s="7" t="inlineStr">
        <is>
          <t>- Van chặn lửa cầu chì - Tiêu chuẩn EI 120
- 2 đầu bích TDC - gắn cầu chì 70-74 độ C
- Sản xuất theo BCTN số: 4761/VLXD-TBMT</t>
        </is>
      </c>
    </row>
    <row r="21">
      <c r="A21" s="6" t="n">
        <v>2</v>
      </c>
      <c r="B21" s="7" t="inlineStr">
        <is>
          <t>Van chặn lửa FD kích thước cho quạt  600 m3/h, 50Pa</t>
        </is>
      </c>
      <c r="C21" s="6" t="inlineStr">
        <is>
          <t>SWIND-2.01- E-FD-EI120</t>
        </is>
      </c>
      <c r="D21" s="6" t="inlineStr">
        <is>
          <t>SWIND</t>
        </is>
      </c>
      <c r="E21" s="6" t="n">
        <v>400</v>
      </c>
      <c r="F21" s="6" t="n">
        <v>400</v>
      </c>
      <c r="G21" s="6" t="n"/>
      <c r="H21" s="6" t="n"/>
      <c r="I21" s="6" t="n"/>
      <c r="J21" s="6" t="n">
        <v>200</v>
      </c>
      <c r="K21" s="8" t="n">
        <v>1.15</v>
      </c>
      <c r="L21" s="6" t="inlineStr">
        <is>
          <t>cái</t>
        </is>
      </c>
      <c r="M21" s="9" t="n">
        <v>1</v>
      </c>
      <c r="N21" s="9" t="n">
        <v>2048520</v>
      </c>
      <c r="O21" s="9">
        <f>ROUNDUP(N21*M21, -2)</f>
        <v/>
      </c>
      <c r="P21" s="7" t="inlineStr">
        <is>
          <t>- Van chặn lửa cầu chì - Tiêu chuẩn EI 120
- 2 đầu bích TDC - gắn cầu chì 70-74 độ C
- Sản xuất theo BCTN số: 4761/VLXD-TBMT</t>
        </is>
      </c>
    </row>
    <row r="22">
      <c r="A22" s="6" t="n">
        <v>3</v>
      </c>
      <c r="B22" s="7" t="inlineStr">
        <is>
          <t>Van chặn lửa FD kích thước cho quạt  900 m3/h, 50Pa</t>
        </is>
      </c>
      <c r="C22" s="6" t="inlineStr">
        <is>
          <t>SWIND-2.01- E-FD-EI120</t>
        </is>
      </c>
      <c r="D22" s="6" t="inlineStr">
        <is>
          <t>SWIND</t>
        </is>
      </c>
      <c r="E22" s="6" t="n">
        <v>400</v>
      </c>
      <c r="F22" s="6" t="n">
        <v>400</v>
      </c>
      <c r="G22" s="6" t="n"/>
      <c r="H22" s="6" t="n"/>
      <c r="I22" s="6" t="n"/>
      <c r="J22" s="6" t="n">
        <v>200</v>
      </c>
      <c r="K22" s="8" t="n">
        <v>1.15</v>
      </c>
      <c r="L22" s="6" t="inlineStr">
        <is>
          <t>cái</t>
        </is>
      </c>
      <c r="M22" s="9" t="n">
        <v>1</v>
      </c>
      <c r="N22" s="9" t="n">
        <v>2048520</v>
      </c>
      <c r="O22" s="9">
        <f>ROUNDUP(N22*M22, -2)</f>
        <v/>
      </c>
      <c r="P22" s="7" t="inlineStr">
        <is>
          <t>- Van chặn lửa cầu chì - Tiêu chuẩn EI 120
- 2 đầu bích TDC - gắn cầu chì 70-74 độ C
- Sản xuất theo BCTN số: 4761/VLXD-TBMT</t>
        </is>
      </c>
    </row>
    <row r="23">
      <c r="A23" s="6" t="n">
        <v>4</v>
      </c>
      <c r="B23" s="7" t="inlineStr">
        <is>
          <t>Van chặn lửa FD kích thước cho quạt  800 m3/h, 400Pa</t>
        </is>
      </c>
      <c r="C23" s="6" t="inlineStr">
        <is>
          <t>SWIND-2.01- E-FD-EI120</t>
        </is>
      </c>
      <c r="D23" s="6" t="inlineStr">
        <is>
          <t>SWIND</t>
        </is>
      </c>
      <c r="E23" s="6" t="n">
        <v>400</v>
      </c>
      <c r="F23" s="6" t="n">
        <v>400</v>
      </c>
      <c r="G23" s="6" t="n"/>
      <c r="H23" s="6" t="n"/>
      <c r="I23" s="6" t="n"/>
      <c r="J23" s="6" t="n">
        <v>200</v>
      </c>
      <c r="K23" s="8" t="n">
        <v>1.15</v>
      </c>
      <c r="L23" s="6" t="inlineStr">
        <is>
          <t>cái</t>
        </is>
      </c>
      <c r="M23" s="9" t="n">
        <v>2</v>
      </c>
      <c r="N23" s="9" t="n">
        <v>2048520</v>
      </c>
      <c r="O23" s="9">
        <f>ROUNDUP(N23*M23, -2)</f>
        <v/>
      </c>
      <c r="P23" s="7" t="inlineStr">
        <is>
          <t>- Van chặn lửa cầu chì - Tiêu chuẩn EI 120
- 2 đầu bích TDC - gắn cầu chì 70-74 độ C
- Sản xuất theo BCTN số: 4761/VLXD-TBMT</t>
        </is>
      </c>
    </row>
    <row r="24">
      <c r="A24" s="6" t="n">
        <v>5</v>
      </c>
      <c r="B24" s="7" t="inlineStr">
        <is>
          <t>Van chặn lửa FD kích thước cho quạt  1800 m3/h, 50Pa</t>
        </is>
      </c>
      <c r="C24" s="6" t="inlineStr">
        <is>
          <t>SWIND-2.01- E-FD-EI120</t>
        </is>
      </c>
      <c r="D24" s="6" t="inlineStr">
        <is>
          <t>SWIND</t>
        </is>
      </c>
      <c r="E24" s="6" t="n">
        <v>400</v>
      </c>
      <c r="F24" s="6" t="n">
        <v>400</v>
      </c>
      <c r="G24" s="6" t="n"/>
      <c r="H24" s="6" t="n"/>
      <c r="I24" s="6" t="n"/>
      <c r="J24" s="6" t="n">
        <v>200</v>
      </c>
      <c r="K24" s="8" t="n">
        <v>1.15</v>
      </c>
      <c r="L24" s="6" t="inlineStr">
        <is>
          <t>cái</t>
        </is>
      </c>
      <c r="M24" s="9" t="n">
        <v>1</v>
      </c>
      <c r="N24" s="9" t="n">
        <v>2048520</v>
      </c>
      <c r="O24" s="9">
        <f>ROUNDUP(N24*M24, -2)</f>
        <v/>
      </c>
      <c r="P24" s="7" t="inlineStr">
        <is>
          <t>- Van chặn lửa cầu chì - Tiêu chuẩn EI 120
- 2 đầu bích TDC - gắn cầu chì 70-74 độ C
- Sản xuất theo BCTN số: 4761/VLXD-TBMT</t>
        </is>
      </c>
    </row>
    <row r="25">
      <c r="A25" s="6" t="n">
        <v>6</v>
      </c>
      <c r="B25" s="7" t="inlineStr">
        <is>
          <t>Van chặn lửa FD kích thước cho quạt  1300 m3/h, 50Pa</t>
        </is>
      </c>
      <c r="C25" s="6" t="inlineStr">
        <is>
          <t>SWIND-2.01- E-FD-EI120</t>
        </is>
      </c>
      <c r="D25" s="6" t="inlineStr">
        <is>
          <t>SWIND</t>
        </is>
      </c>
      <c r="E25" s="6" t="n">
        <v>400</v>
      </c>
      <c r="F25" s="6" t="n">
        <v>400</v>
      </c>
      <c r="G25" s="6" t="n"/>
      <c r="H25" s="6" t="n"/>
      <c r="I25" s="6" t="n"/>
      <c r="J25" s="6" t="n">
        <v>200</v>
      </c>
      <c r="K25" s="8" t="n">
        <v>1.15</v>
      </c>
      <c r="L25" s="6" t="inlineStr">
        <is>
          <t>cái</t>
        </is>
      </c>
      <c r="M25" s="9" t="n">
        <v>1</v>
      </c>
      <c r="N25" s="9" t="n">
        <v>2048520</v>
      </c>
      <c r="O25" s="9">
        <f>ROUNDUP(N25*M25, -2)</f>
        <v/>
      </c>
      <c r="P25" s="7" t="inlineStr">
        <is>
          <t>- Van chặn lửa cầu chì - Tiêu chuẩn EI 120
- 2 đầu bích TDC - gắn cầu chì 70-74 độ C
- Sản xuất theo BCTN số: 4761/VLXD-TBMT</t>
        </is>
      </c>
    </row>
    <row r="26">
      <c r="A26" s="6" t="n">
        <v>7</v>
      </c>
      <c r="B26" s="7" t="inlineStr">
        <is>
          <t>Van chặn lửa FD kích thước cho quạt  200 m3/h, 50Pa</t>
        </is>
      </c>
      <c r="C26" s="6" t="inlineStr">
        <is>
          <t>SWIND-2.01- E-FD-EI120</t>
        </is>
      </c>
      <c r="D26" s="6" t="inlineStr">
        <is>
          <t>SWIND</t>
        </is>
      </c>
      <c r="E26" s="6" t="n">
        <v>400</v>
      </c>
      <c r="F26" s="6" t="n">
        <v>400</v>
      </c>
      <c r="G26" s="6" t="n"/>
      <c r="H26" s="6" t="n"/>
      <c r="I26" s="6" t="n"/>
      <c r="J26" s="6" t="n">
        <v>200</v>
      </c>
      <c r="K26" s="8" t="n">
        <v>1.15</v>
      </c>
      <c r="L26" s="6" t="inlineStr">
        <is>
          <t>cái</t>
        </is>
      </c>
      <c r="M26" s="9" t="n">
        <v>3</v>
      </c>
      <c r="N26" s="9" t="n">
        <v>2048520</v>
      </c>
      <c r="O26" s="9">
        <f>ROUNDUP(N26*M26, -2)</f>
        <v/>
      </c>
      <c r="P26" s="7" t="inlineStr">
        <is>
          <t>- Van chặn lửa cầu chì - Tiêu chuẩn EI 120
- 2 đầu bích TDC - gắn cầu chì 70-74 độ C
- Sản xuất theo BCTN số: 4761/VLXD-TBMT</t>
        </is>
      </c>
    </row>
    <row r="27">
      <c r="A27" s="6" t="n">
        <v>8</v>
      </c>
      <c r="B27" s="7" t="inlineStr">
        <is>
          <t>Van chặn lửa FD kích thước 500x300</t>
        </is>
      </c>
      <c r="C27" s="6" t="inlineStr">
        <is>
          <t>SWIND-2.01- E-FD-EI120</t>
        </is>
      </c>
      <c r="D27" s="6" t="inlineStr">
        <is>
          <t>SWIND</t>
        </is>
      </c>
      <c r="E27" s="6" t="n">
        <v>500</v>
      </c>
      <c r="F27" s="6" t="n">
        <v>300</v>
      </c>
      <c r="G27" s="6" t="n"/>
      <c r="H27" s="6" t="n"/>
      <c r="I27" s="6" t="n"/>
      <c r="J27" s="6" t="n">
        <v>200</v>
      </c>
      <c r="K27" s="8" t="n">
        <v>1.15</v>
      </c>
      <c r="L27" s="6" t="inlineStr">
        <is>
          <t>cái</t>
        </is>
      </c>
      <c r="M27" s="9" t="n">
        <v>6</v>
      </c>
      <c r="N27" s="9" t="n">
        <v>2009237</v>
      </c>
      <c r="O27" s="9">
        <f>ROUNDUP(N27*M27, -2)</f>
        <v/>
      </c>
      <c r="P27" s="7" t="inlineStr">
        <is>
          <t>- Van chặn lửa cầu chì - Tiêu chuẩn EI 120
- 2 đầu bích TDC - gắn cầu chì 70-74 độ C
- Sản xuất theo BCTN số: 4761/VLXD-TBMT</t>
        </is>
      </c>
    </row>
    <row r="28">
      <c r="A28" s="6" t="n">
        <v>11</v>
      </c>
      <c r="B28" s="7" t="inlineStr">
        <is>
          <t>Van chặn lửa FD kích thước 300x200</t>
        </is>
      </c>
      <c r="C28" s="6" t="inlineStr">
        <is>
          <t>SWIND-2.01- E-FD-EI120</t>
        </is>
      </c>
      <c r="D28" s="6" t="inlineStr">
        <is>
          <t>SWIND</t>
        </is>
      </c>
      <c r="E28" s="6" t="n">
        <v>300</v>
      </c>
      <c r="F28" s="6" t="n">
        <v>200</v>
      </c>
      <c r="G28" s="6" t="n"/>
      <c r="H28" s="6" t="n"/>
      <c r="I28" s="6" t="n"/>
      <c r="J28" s="6" t="n">
        <v>200</v>
      </c>
      <c r="K28" s="8" t="n">
        <v>1.15</v>
      </c>
      <c r="L28" s="6" t="inlineStr">
        <is>
          <t>cái</t>
        </is>
      </c>
      <c r="M28" s="9" t="n">
        <v>2</v>
      </c>
      <c r="N28" s="9" t="n">
        <v>1249445</v>
      </c>
      <c r="O28" s="9">
        <f>ROUNDUP(N28*M28, -2)</f>
        <v/>
      </c>
      <c r="P28" s="7" t="inlineStr">
        <is>
          <t>- Van chặn lửa cầu chì - Tiêu chuẩn EI 120
- 2 đầu bích TDC - gắn cầu chì 70-74 độ C
- Sản xuất theo BCTN số: 4761/VLXD-TBMT</t>
        </is>
      </c>
    </row>
    <row r="29">
      <c r="A29" s="6" t="n">
        <v>16</v>
      </c>
      <c r="B29" s="7" t="inlineStr">
        <is>
          <t>MFD kích thước 500x200</t>
        </is>
      </c>
      <c r="C29" s="6" t="inlineStr">
        <is>
          <t>SWIND-1.02-MFD-EI90</t>
        </is>
      </c>
      <c r="D29" s="6" t="inlineStr">
        <is>
          <t>SWIND</t>
        </is>
      </c>
      <c r="E29" s="6" t="n">
        <v>500</v>
      </c>
      <c r="F29" s="6" t="n">
        <v>200</v>
      </c>
      <c r="G29" s="6" t="n"/>
      <c r="H29" s="6" t="n"/>
      <c r="I29" s="6" t="n"/>
      <c r="J29" s="6" t="n">
        <v>200</v>
      </c>
      <c r="K29" s="8" t="n">
        <v>1.15</v>
      </c>
      <c r="L29" s="6" t="inlineStr">
        <is>
          <t>cái</t>
        </is>
      </c>
      <c r="M29" s="9" t="n">
        <v>2</v>
      </c>
      <c r="N29" s="9" t="n">
        <v>5375325</v>
      </c>
      <c r="O29" s="9">
        <f>ROUNDUP(N29*M29, -2)</f>
        <v/>
      </c>
      <c r="P29" s="7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30">
      <c r="A30" s="6" t="n">
        <v>17</v>
      </c>
      <c r="B30" s="7" t="inlineStr">
        <is>
          <t>MFD kích thước 900x400</t>
        </is>
      </c>
      <c r="C30" s="6" t="inlineStr">
        <is>
          <t>SWIND-1.02-MFD-EI90</t>
        </is>
      </c>
      <c r="D30" s="6" t="inlineStr">
        <is>
          <t>SWIND</t>
        </is>
      </c>
      <c r="E30" s="6" t="n">
        <v>900</v>
      </c>
      <c r="F30" s="6" t="n">
        <v>400</v>
      </c>
      <c r="G30" s="6" t="n"/>
      <c r="H30" s="6" t="n"/>
      <c r="I30" s="6" t="n"/>
      <c r="J30" s="6" t="n">
        <v>200</v>
      </c>
      <c r="K30" s="8" t="n">
        <v>1.15</v>
      </c>
      <c r="L30" s="6" t="inlineStr">
        <is>
          <t>cái</t>
        </is>
      </c>
      <c r="M30" s="9" t="n">
        <v>1</v>
      </c>
      <c r="N30" s="9" t="n">
        <v>7215420</v>
      </c>
      <c r="O30" s="9">
        <f>ROUNDUP(N30*M30, -2)</f>
        <v/>
      </c>
      <c r="P30" s="7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31">
      <c r="A31" s="6" t="n">
        <v>19</v>
      </c>
      <c r="B31" s="7" t="inlineStr">
        <is>
          <t>MFD kích thước 3600x2000</t>
        </is>
      </c>
      <c r="C31" s="6" t="inlineStr">
        <is>
          <t>SWIND-1.02-MFD-EI90</t>
        </is>
      </c>
      <c r="D31" s="6" t="inlineStr">
        <is>
          <t>SWIND</t>
        </is>
      </c>
      <c r="E31" s="6" t="n">
        <v>3600</v>
      </c>
      <c r="F31" s="6" t="n">
        <v>2000</v>
      </c>
      <c r="G31" s="6" t="n">
        <v>900</v>
      </c>
      <c r="H31" s="6" t="n">
        <v>666</v>
      </c>
      <c r="I31" s="6" t="n">
        <v>12</v>
      </c>
      <c r="J31" s="6" t="n">
        <v>200</v>
      </c>
      <c r="K31" s="8" t="n">
        <v>1.15</v>
      </c>
      <c r="L31" s="6" t="inlineStr">
        <is>
          <t>cái</t>
        </is>
      </c>
      <c r="M31" s="9" t="n">
        <v>1</v>
      </c>
      <c r="N31" s="9" t="n">
        <v>102398400</v>
      </c>
      <c r="O31" s="9">
        <f>ROUNDUP(N31*M31, -2)</f>
        <v/>
      </c>
      <c r="P31" s="7" t="inlineStr">
        <is>
          <t>- Van chống cháy động cơ - Tiêu chuẩn EI 90
- 2 đầu bích TDC - Gắn kèm động cơ ON-OFF 3.5Nm, 24V (Type: đóng mở nhanh) BELIMO - Model: FSLF24V US
- Sản xuất theo BCTN số 4752/VLXD-TBMT
- Chia 12 modul khi sản xuất</t>
        </is>
      </c>
    </row>
    <row r="32">
      <c r="A32" s="6" t="n">
        <v>20</v>
      </c>
      <c r="B32" s="7" t="inlineStr">
        <is>
          <t>MFD kích thước 2600x1700</t>
        </is>
      </c>
      <c r="C32" s="6" t="inlineStr">
        <is>
          <t>SWIND-1.02-MFD-EI90</t>
        </is>
      </c>
      <c r="D32" s="6" t="inlineStr">
        <is>
          <t>SWIND</t>
        </is>
      </c>
      <c r="E32" s="6" t="n">
        <v>2600</v>
      </c>
      <c r="F32" s="6" t="n">
        <v>1700</v>
      </c>
      <c r="G32" s="6" t="n">
        <v>866</v>
      </c>
      <c r="H32" s="6" t="n">
        <v>566</v>
      </c>
      <c r="I32" s="6" t="n">
        <v>9</v>
      </c>
      <c r="J32" s="6" t="n">
        <v>200</v>
      </c>
      <c r="K32" s="8" t="n">
        <v>1.15</v>
      </c>
      <c r="L32" s="6" t="inlineStr">
        <is>
          <t>cái</t>
        </is>
      </c>
      <c r="M32" s="9" t="n">
        <v>1</v>
      </c>
      <c r="N32" s="9" t="n">
        <v>71269115</v>
      </c>
      <c r="O32" s="9">
        <f>ROUNDUP(N32*M32, -2)</f>
        <v/>
      </c>
      <c r="P32" s="7" t="inlineStr">
        <is>
          <t>- Van chống cháy động cơ - Tiêu chuẩn EI 90
- 2 đầu bích TDC - Gắn kèm động cơ ON-OFF 3.5Nm, 24V (Type: đóng mở nhanh) BELIMO - Model: FSLF24V US
- Sản xuất theo BCTN số 4752/VLXD-TBMT
- Chia 9 modul khi sản xuất</t>
        </is>
      </c>
    </row>
    <row r="33">
      <c r="A33" s="6" t="n">
        <v>2</v>
      </c>
      <c r="B33" s="7" t="inlineStr">
        <is>
          <t>Van chặn lửa FD kích thước 800x400</t>
        </is>
      </c>
      <c r="C33" s="6" t="inlineStr">
        <is>
          <t>SWIND-2.01- E-FD-EI120</t>
        </is>
      </c>
      <c r="D33" s="6" t="inlineStr">
        <is>
          <t>SWIND</t>
        </is>
      </c>
      <c r="E33" s="6" t="n">
        <v>800</v>
      </c>
      <c r="F33" s="6" t="n">
        <v>400</v>
      </c>
      <c r="G33" s="6" t="n"/>
      <c r="H33" s="6" t="n"/>
      <c r="I33" s="6" t="n"/>
      <c r="J33" s="6" t="n">
        <v>200</v>
      </c>
      <c r="K33" s="8" t="n">
        <v>1.15</v>
      </c>
      <c r="L33" s="6" t="inlineStr">
        <is>
          <t>cái</t>
        </is>
      </c>
      <c r="M33" s="9" t="n">
        <v>4</v>
      </c>
      <c r="N33" s="9" t="n">
        <v>3222040</v>
      </c>
      <c r="O33" s="9">
        <f>ROUNDUP(N33*M33, -2)</f>
        <v/>
      </c>
      <c r="P33" s="7" t="inlineStr">
        <is>
          <t>- Van chặn lửa cầu chì - Tiêu chuẩn EI 120
- 2 đầu bích TDC - gắn cầu chì 70-74 độ C
- Sản xuất theo BCTN số: 4761/VLXD-TBMT</t>
        </is>
      </c>
    </row>
    <row r="34">
      <c r="A34" s="6" t="n">
        <v>1</v>
      </c>
      <c r="B34" s="7" t="inlineStr">
        <is>
          <t>Van chặn lửa FD kích thước 500x250</t>
        </is>
      </c>
      <c r="C34" s="6" t="inlineStr">
        <is>
          <t>SWIND-2.01- E-FD-EI120</t>
        </is>
      </c>
      <c r="D34" s="6" t="inlineStr">
        <is>
          <t>SWIND</t>
        </is>
      </c>
      <c r="E34" s="6" t="n">
        <v>500</v>
      </c>
      <c r="F34" s="6" t="n">
        <v>250</v>
      </c>
      <c r="G34" s="6" t="n"/>
      <c r="H34" s="6" t="n"/>
      <c r="I34" s="6" t="n"/>
      <c r="J34" s="6" t="n">
        <v>200</v>
      </c>
      <c r="K34" s="8" t="n">
        <v>1.15</v>
      </c>
      <c r="L34" s="6" t="inlineStr">
        <is>
          <t>cái</t>
        </is>
      </c>
      <c r="M34" s="9" t="n">
        <v>4</v>
      </c>
      <c r="N34" s="9" t="n">
        <v>1841656</v>
      </c>
      <c r="O34" s="9">
        <f>ROUNDUP(N34*M34, -2)</f>
        <v/>
      </c>
      <c r="P34" s="7" t="inlineStr">
        <is>
          <t>- Van chặn lửa cầu chì - Tiêu chuẩn EI 120
- 2 đầu bích TDC - gắn cầu chì 70-74 độ C
- Sản xuất theo BCTN số: 4761/VLXD-TBMT</t>
        </is>
      </c>
    </row>
    <row r="35">
      <c r="A35" s="6" t="n">
        <v>3</v>
      </c>
      <c r="B35" s="7" t="inlineStr">
        <is>
          <t>Van chặn lửa bằng động cơ MFD 2400x500</t>
        </is>
      </c>
      <c r="C35" s="6" t="inlineStr">
        <is>
          <t>SWIND-1.02-MFD-EI90</t>
        </is>
      </c>
      <c r="D35" s="6" t="inlineStr">
        <is>
          <t>SWIND</t>
        </is>
      </c>
      <c r="E35" s="6" t="n">
        <v>2400</v>
      </c>
      <c r="F35" s="6" t="n">
        <v>500</v>
      </c>
      <c r="G35" s="6" t="n">
        <v>800</v>
      </c>
      <c r="H35" s="6" t="n">
        <v>500</v>
      </c>
      <c r="I35" s="6" t="n">
        <v>3</v>
      </c>
      <c r="J35" s="6" t="n">
        <v>200</v>
      </c>
      <c r="K35" s="8" t="n">
        <v>1.15</v>
      </c>
      <c r="L35" s="6" t="inlineStr">
        <is>
          <t>cái</t>
        </is>
      </c>
      <c r="M35" s="9" t="n">
        <v>2</v>
      </c>
      <c r="N35" s="9" t="n">
        <v>22128900</v>
      </c>
      <c r="O35" s="9">
        <f>ROUNDUP(N35*M35, -2)</f>
        <v/>
      </c>
      <c r="P35" s="7" t="inlineStr">
        <is>
          <t>- Van chống cháy động cơ - Tiêu chuẩn EI 90
- 2 đầu bích TDC - Gắn kèm động cơ ON-OFF 3.5Nm, 24V (Type: đóng mở nhanh) BELIMO - Model: FSLF24V US
- Sản xuất theo BCTN số 4752/VLXD-TBMT
- Chia 3 modul khi sản xuất</t>
        </is>
      </c>
    </row>
    <row r="36">
      <c r="A36" s="6" t="n">
        <v>4</v>
      </c>
      <c r="B36" s="7" t="inlineStr">
        <is>
          <t>Van chặn lửa bằng động cơ MFD 1700x500</t>
        </is>
      </c>
      <c r="C36" s="6" t="inlineStr">
        <is>
          <t>SWIND-1.02-MFD-EI90</t>
        </is>
      </c>
      <c r="D36" s="6" t="inlineStr">
        <is>
          <t>SWIND</t>
        </is>
      </c>
      <c r="E36" s="6" t="n">
        <v>1700</v>
      </c>
      <c r="F36" s="6" t="n">
        <v>500</v>
      </c>
      <c r="G36" s="6" t="n">
        <v>850</v>
      </c>
      <c r="H36" s="6" t="n">
        <v>500</v>
      </c>
      <c r="I36" s="6" t="n">
        <v>2</v>
      </c>
      <c r="J36" s="6" t="n">
        <v>200</v>
      </c>
      <c r="K36" s="8" t="n">
        <v>1.15</v>
      </c>
      <c r="L36" s="6" t="inlineStr">
        <is>
          <t>cái</t>
        </is>
      </c>
      <c r="M36" s="9" t="n">
        <v>1</v>
      </c>
      <c r="N36" s="9" t="n">
        <v>15085262</v>
      </c>
      <c r="O36" s="9">
        <f>ROUNDUP(N36*M36, -2)</f>
        <v/>
      </c>
      <c r="P36" s="7" t="inlineStr">
        <is>
          <t>- Van chống cháy động cơ - Tiêu chuẩn EI 90
- 2 đầu bích TDC - Gắn kèm động cơ ON-OFF 3.5Nm, 24V (Type: đóng mở nhanh) BELIMO - Model: FSLF24V US
- Sản xuất theo BCTN số 4752/VLXD-TBMT
- Chia 2 modul khi sản xuất</t>
        </is>
      </c>
    </row>
    <row r="37">
      <c r="A37" s="6" t="n">
        <v>5</v>
      </c>
      <c r="B37" s="7" t="inlineStr">
        <is>
          <t>Van chặn lửa bằng động cơ MFD 1200x300</t>
        </is>
      </c>
      <c r="C37" s="6" t="inlineStr">
        <is>
          <t>SWIND-1.02-MFD-EI90</t>
        </is>
      </c>
      <c r="D37" s="6" t="inlineStr">
        <is>
          <t>SWIND</t>
        </is>
      </c>
      <c r="E37" s="6" t="n">
        <v>1200</v>
      </c>
      <c r="F37" s="6" t="n">
        <v>300</v>
      </c>
      <c r="G37" s="6" t="n"/>
      <c r="H37" s="6" t="n"/>
      <c r="I37" s="6" t="n"/>
      <c r="J37" s="6" t="n">
        <v>200</v>
      </c>
      <c r="K37" s="8" t="n">
        <v>1.15</v>
      </c>
      <c r="L37" s="6" t="inlineStr">
        <is>
          <t>cái</t>
        </is>
      </c>
      <c r="M37" s="9" t="n">
        <v>1</v>
      </c>
      <c r="N37" s="9" t="n">
        <v>7481670</v>
      </c>
      <c r="O37" s="9">
        <f>ROUNDUP(N37*M37, -2)</f>
        <v/>
      </c>
      <c r="P37" s="7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38">
      <c r="A38" s="6" t="n">
        <v>6</v>
      </c>
      <c r="B38" s="7" t="inlineStr">
        <is>
          <t>Van chặn lửa bằng động cơ MFD 1500x1100</t>
        </is>
      </c>
      <c r="C38" s="6" t="inlineStr">
        <is>
          <t>SWIND-1.02-MFD-EI90</t>
        </is>
      </c>
      <c r="D38" s="6" t="inlineStr">
        <is>
          <t>SWIND</t>
        </is>
      </c>
      <c r="E38" s="6" t="n">
        <v>1500</v>
      </c>
      <c r="F38" s="6" t="n">
        <v>1100</v>
      </c>
      <c r="G38" s="6" t="n">
        <v>1500</v>
      </c>
      <c r="H38" s="6" t="n">
        <v>550</v>
      </c>
      <c r="I38" s="6" t="n">
        <v>2</v>
      </c>
      <c r="J38" s="6" t="n">
        <v>200</v>
      </c>
      <c r="K38" s="8" t="n">
        <v>1.15</v>
      </c>
      <c r="L38" s="6" t="inlineStr">
        <is>
          <t>cái</t>
        </is>
      </c>
      <c r="M38" s="9" t="n">
        <v>3</v>
      </c>
      <c r="N38" s="9" t="n">
        <v>20155362</v>
      </c>
      <c r="O38" s="9">
        <f>ROUNDUP(N38*M38, -2)</f>
        <v/>
      </c>
      <c r="P38" s="7" t="inlineStr">
        <is>
          <t>- Van chống cháy động cơ - Tiêu chuẩn EI 90
- 2 đầu bích TDC - Gắn kèm động cơ ON-OFF 3.5Nm, 24V (Type: đóng mở nhanh) BELIMO - Model: FSLF24V US
- Sản xuất theo BCTN số 4752/VLXD-TBMT
- Chia 2 modul khi sản xuất</t>
        </is>
      </c>
    </row>
    <row r="39">
      <c r="A39" s="6" t="n">
        <v>7</v>
      </c>
      <c r="B39" s="7" t="inlineStr">
        <is>
          <t>Van chặn lửa bằng động cơ MFD 1100x1000</t>
        </is>
      </c>
      <c r="C39" s="6" t="inlineStr">
        <is>
          <t>SWIND-1.02-MFD-EI90</t>
        </is>
      </c>
      <c r="D39" s="6" t="inlineStr">
        <is>
          <t>SWIND</t>
        </is>
      </c>
      <c r="E39" s="6" t="n">
        <v>1100</v>
      </c>
      <c r="F39" s="6" t="n">
        <v>1000</v>
      </c>
      <c r="G39" s="6" t="n">
        <v>1100</v>
      </c>
      <c r="H39" s="6" t="n">
        <v>500</v>
      </c>
      <c r="I39" s="6" t="n">
        <v>2</v>
      </c>
      <c r="J39" s="6" t="n">
        <v>200</v>
      </c>
      <c r="K39" s="8" t="n">
        <v>1.15</v>
      </c>
      <c r="L39" s="6" t="inlineStr">
        <is>
          <t>cái</t>
        </is>
      </c>
      <c r="M39" s="9" t="n">
        <v>3</v>
      </c>
      <c r="N39" s="9" t="n">
        <v>16753575</v>
      </c>
      <c r="O39" s="9">
        <f>ROUNDUP(N39*M39, -2)</f>
        <v/>
      </c>
      <c r="P39" s="7" t="inlineStr">
        <is>
          <t>- Van chống cháy động cơ - Tiêu chuẩn EI 90
- 2 đầu bích TDC - Gắn kèm động cơ ON-OFF 3.5Nm, 24V (Type: đóng mở nhanh) BELIMO - Model: FSLF24V US
- Sản xuất theo BCTN số 4752/VLXD-TBMT
- Chia 2 modul khi sản xuất</t>
        </is>
      </c>
    </row>
    <row r="40">
      <c r="A40" s="6" t="n">
        <v>8</v>
      </c>
      <c r="B40" s="7" t="inlineStr">
        <is>
          <t>Van chặn lửa bằng động cơ MFD 700x400</t>
        </is>
      </c>
      <c r="C40" s="6" t="inlineStr">
        <is>
          <t>SWIND-1.02-MFD-EI90</t>
        </is>
      </c>
      <c r="D40" s="6" t="inlineStr">
        <is>
          <t>SWIND</t>
        </is>
      </c>
      <c r="E40" s="6" t="n">
        <v>700</v>
      </c>
      <c r="F40" s="6" t="n">
        <v>400</v>
      </c>
      <c r="G40" s="6" t="n"/>
      <c r="H40" s="6" t="n"/>
      <c r="I40" s="6" t="n"/>
      <c r="J40" s="6" t="n">
        <v>200</v>
      </c>
      <c r="K40" s="8" t="n">
        <v>1.15</v>
      </c>
      <c r="L40" s="6" t="inlineStr">
        <is>
          <t>cái</t>
        </is>
      </c>
      <c r="M40" s="9" t="n">
        <v>10</v>
      </c>
      <c r="N40" s="9" t="n">
        <v>6628660</v>
      </c>
      <c r="O40" s="9">
        <f>ROUNDUP(N40*M40, -2)</f>
        <v/>
      </c>
      <c r="P40" s="7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41">
      <c r="A41" s="6" t="n">
        <v>1</v>
      </c>
      <c r="B41" s="7" t="inlineStr">
        <is>
          <t>Van chặn lửa FD cho quạt 900 m3/h, 50Pa</t>
        </is>
      </c>
      <c r="C41" s="6" t="inlineStr">
        <is>
          <t>SWIND-2.01- E-FD-EI120</t>
        </is>
      </c>
      <c r="D41" s="6" t="inlineStr">
        <is>
          <t>SWIND</t>
        </is>
      </c>
      <c r="E41" s="6" t="n">
        <v>400</v>
      </c>
      <c r="F41" s="6" t="n">
        <v>400</v>
      </c>
      <c r="G41" s="6" t="n"/>
      <c r="H41" s="6" t="n"/>
      <c r="I41" s="6" t="n"/>
      <c r="J41" s="6" t="n">
        <v>200</v>
      </c>
      <c r="K41" s="8" t="n">
        <v>1.15</v>
      </c>
      <c r="L41" s="6" t="inlineStr">
        <is>
          <t>cái</t>
        </is>
      </c>
      <c r="M41" s="9" t="n">
        <v>1</v>
      </c>
      <c r="N41" s="9" t="n">
        <v>2048520</v>
      </c>
      <c r="O41" s="9">
        <f>ROUNDUP(N41*M41, -2)</f>
        <v/>
      </c>
      <c r="P41" s="7" t="inlineStr">
        <is>
          <t>- Van chặn lửa cầu chì - Tiêu chuẩn EI 120
- 2 đầu bích TDC - gắn cầu chì 70-74 độ C
- Sản xuất theo BCTN số: 4761/VLXD-TBMT</t>
        </is>
      </c>
    </row>
    <row r="42">
      <c r="A42" s="6" t="n">
        <v>2</v>
      </c>
      <c r="B42" s="7" t="inlineStr">
        <is>
          <t>Van chặn lửa FD cho quạt 500 m3/h, 50Pa</t>
        </is>
      </c>
      <c r="C42" s="6" t="inlineStr">
        <is>
          <t>SWIND-2.01- E-FD-EI120</t>
        </is>
      </c>
      <c r="D42" s="6" t="inlineStr">
        <is>
          <t>SWIND</t>
        </is>
      </c>
      <c r="E42" s="6" t="n">
        <v>400</v>
      </c>
      <c r="F42" s="6" t="n">
        <v>400</v>
      </c>
      <c r="G42" s="6" t="n"/>
      <c r="H42" s="6" t="n"/>
      <c r="I42" s="6" t="n"/>
      <c r="J42" s="6" t="n">
        <v>200</v>
      </c>
      <c r="K42" s="8" t="n">
        <v>1.15</v>
      </c>
      <c r="L42" s="6" t="inlineStr">
        <is>
          <t>cái</t>
        </is>
      </c>
      <c r="M42" s="9" t="n">
        <v>1</v>
      </c>
      <c r="N42" s="9" t="n">
        <v>2048520</v>
      </c>
      <c r="O42" s="9">
        <f>ROUNDUP(N42*M42, -2)</f>
        <v/>
      </c>
      <c r="P42" s="7" t="inlineStr">
        <is>
          <t>- Van chặn lửa cầu chì - Tiêu chuẩn EI 120
- 2 đầu bích TDC - gắn cầu chì 70-74 độ C
- Sản xuất theo BCTN số: 4761/VLXD-TBMT</t>
        </is>
      </c>
    </row>
    <row r="43">
      <c r="A43" s="6" t="n">
        <v>3</v>
      </c>
      <c r="B43" s="7" t="inlineStr">
        <is>
          <t>Van chặn lửa FD cho quạt 100 m3/h, 50Pa</t>
        </is>
      </c>
      <c r="C43" s="6" t="inlineStr">
        <is>
          <t>SWIND-2.01- E-FD-EI120</t>
        </is>
      </c>
      <c r="D43" s="6" t="inlineStr">
        <is>
          <t>SWIND</t>
        </is>
      </c>
      <c r="E43" s="6" t="n">
        <v>400</v>
      </c>
      <c r="F43" s="6" t="n">
        <v>400</v>
      </c>
      <c r="G43" s="6" t="n"/>
      <c r="H43" s="6" t="n"/>
      <c r="I43" s="6" t="n"/>
      <c r="J43" s="6" t="n">
        <v>200</v>
      </c>
      <c r="K43" s="8" t="n">
        <v>1.15</v>
      </c>
      <c r="L43" s="6" t="inlineStr">
        <is>
          <t>cái</t>
        </is>
      </c>
      <c r="M43" s="9" t="n">
        <v>4</v>
      </c>
      <c r="N43" s="9" t="n">
        <v>2048520</v>
      </c>
      <c r="O43" s="9">
        <f>ROUNDUP(N43*M43, -2)</f>
        <v/>
      </c>
      <c r="P43" s="7" t="inlineStr">
        <is>
          <t>- Van chặn lửa cầu chì - Tiêu chuẩn EI 120
- 2 đầu bích TDC - gắn cầu chì 70-74 độ C
- Sản xuất theo BCTN số: 4761/VLXD-TBMT</t>
        </is>
      </c>
    </row>
    <row r="44">
      <c r="A44" s="6" t="n">
        <v>4</v>
      </c>
      <c r="B44" s="7" t="inlineStr">
        <is>
          <t>Van chặn lửa kèm động cơ MFD cho quạt 200 m3/h, 50Pa</t>
        </is>
      </c>
      <c r="C44" s="6" t="inlineStr">
        <is>
          <t>SWIND-1.02-MFD-EI90</t>
        </is>
      </c>
      <c r="D44" s="6" t="inlineStr">
        <is>
          <t>SWIND</t>
        </is>
      </c>
      <c r="E44" s="6" t="n">
        <v>400</v>
      </c>
      <c r="F44" s="6" t="n">
        <v>400</v>
      </c>
      <c r="G44" s="6" t="n"/>
      <c r="H44" s="6" t="n"/>
      <c r="I44" s="6" t="n"/>
      <c r="J44" s="6" t="n">
        <v>200</v>
      </c>
      <c r="K44" s="8" t="n">
        <v>1.15</v>
      </c>
      <c r="L44" s="6" t="inlineStr">
        <is>
          <t>cái</t>
        </is>
      </c>
      <c r="M44" s="9" t="n">
        <v>1</v>
      </c>
      <c r="N44" s="9" t="n">
        <v>5748520</v>
      </c>
      <c r="O44" s="9">
        <f>ROUNDUP(N44*M44, -2)</f>
        <v/>
      </c>
      <c r="P44" s="7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45">
      <c r="A45" s="6" t="n">
        <v>5</v>
      </c>
      <c r="B45" s="7" t="inlineStr">
        <is>
          <t>Van chặn lửa FD kích thước 1000x400</t>
        </is>
      </c>
      <c r="C45" s="6" t="inlineStr">
        <is>
          <t>SWIND-2.01- E-FD-EI120</t>
        </is>
      </c>
      <c r="D45" s="6" t="inlineStr">
        <is>
          <t>SWIND</t>
        </is>
      </c>
      <c r="E45" s="6" t="n">
        <v>1000</v>
      </c>
      <c r="F45" s="6" t="n">
        <v>400</v>
      </c>
      <c r="G45" s="6" t="n"/>
      <c r="H45" s="6" t="n"/>
      <c r="I45" s="6" t="n"/>
      <c r="J45" s="6" t="n">
        <v>200</v>
      </c>
      <c r="K45" s="8" t="n">
        <v>1.15</v>
      </c>
      <c r="L45" s="6" t="inlineStr">
        <is>
          <t>cái</t>
        </is>
      </c>
      <c r="M45" s="9" t="n">
        <v>1</v>
      </c>
      <c r="N45" s="9" t="n">
        <v>3808800</v>
      </c>
      <c r="O45" s="9">
        <f>ROUNDUP(N45*M45, -2)</f>
        <v/>
      </c>
      <c r="P45" s="7" t="inlineStr">
        <is>
          <t>- Van chặn lửa cầu chì - Tiêu chuẩn EI 120
- 2 đầu bích TDC - gắn cầu chì 70-74 độ C
- Sản xuất theo BCTN số: 4761/VLXD-TBMT</t>
        </is>
      </c>
    </row>
    <row r="46">
      <c r="A46" s="6" t="n">
        <v>7</v>
      </c>
      <c r="B46" s="7" t="inlineStr">
        <is>
          <t>Van chặn lửa FD kích thước 500x350</t>
        </is>
      </c>
      <c r="C46" s="6" t="inlineStr">
        <is>
          <t>SWIND-2.01- E-FD-EI120</t>
        </is>
      </c>
      <c r="D46" s="6" t="inlineStr">
        <is>
          <t>SWIND</t>
        </is>
      </c>
      <c r="E46" s="6" t="n">
        <v>500</v>
      </c>
      <c r="F46" s="6" t="n">
        <v>350</v>
      </c>
      <c r="G46" s="6" t="n"/>
      <c r="H46" s="6" t="n"/>
      <c r="I46" s="6" t="n"/>
      <c r="J46" s="6" t="n">
        <v>200</v>
      </c>
      <c r="K46" s="8" t="n">
        <v>1.15</v>
      </c>
      <c r="L46" s="6" t="inlineStr">
        <is>
          <t>cái</t>
        </is>
      </c>
      <c r="M46" s="9" t="n">
        <v>1</v>
      </c>
      <c r="N46" s="9" t="n">
        <v>2175569</v>
      </c>
      <c r="O46" s="9">
        <f>ROUNDUP(N46*M46, -2)</f>
        <v/>
      </c>
      <c r="P46" s="7" t="inlineStr">
        <is>
          <t>- Van chặn lửa cầu chì - Tiêu chuẩn EI 120
- 2 đầu bích TDC - gắn cầu chì 70-74 độ C
- Sản xuất theo BCTN số: 4761/VLXD-TBMT</t>
        </is>
      </c>
    </row>
    <row r="47">
      <c r="A47" s="6" t="n">
        <v>8</v>
      </c>
      <c r="B47" s="7" t="inlineStr">
        <is>
          <t>Van chặn lửa FD kích thước 400x300</t>
        </is>
      </c>
      <c r="C47" s="6" t="inlineStr">
        <is>
          <t>SWIND-2.01- E-FD-EI120</t>
        </is>
      </c>
      <c r="D47" s="6" t="inlineStr">
        <is>
          <t>SWIND</t>
        </is>
      </c>
      <c r="E47" s="6" t="n">
        <v>400</v>
      </c>
      <c r="F47" s="6" t="n">
        <v>300</v>
      </c>
      <c r="G47" s="6" t="n"/>
      <c r="H47" s="6" t="n"/>
      <c r="I47" s="6" t="n"/>
      <c r="J47" s="6" t="n">
        <v>200</v>
      </c>
      <c r="K47" s="8" t="n">
        <v>1.15</v>
      </c>
      <c r="L47" s="6" t="inlineStr">
        <is>
          <t>cái</t>
        </is>
      </c>
      <c r="M47" s="9" t="n">
        <v>4</v>
      </c>
      <c r="N47" s="9" t="n">
        <v>1755140</v>
      </c>
      <c r="O47" s="9">
        <f>ROUNDUP(N47*M47, -2)</f>
        <v/>
      </c>
      <c r="P47" s="7" t="inlineStr">
        <is>
          <t>- Van chặn lửa cầu chì - Tiêu chuẩn EI 120
- 2 đầu bích TDC - gắn cầu chì 70-74 độ C
- Sản xuất theo BCTN số: 4761/VLXD-TBMT</t>
        </is>
      </c>
    </row>
    <row r="48">
      <c r="A48" s="6" t="n">
        <v>10</v>
      </c>
      <c r="B48" s="7" t="inlineStr">
        <is>
          <t>Van chặn lửa FD kích thước 300x150</t>
        </is>
      </c>
      <c r="C48" s="6" t="inlineStr">
        <is>
          <t>SWIND-2.01- E-FD-EI120</t>
        </is>
      </c>
      <c r="D48" s="6" t="inlineStr">
        <is>
          <t>SWIND</t>
        </is>
      </c>
      <c r="E48" s="6" t="n">
        <v>300</v>
      </c>
      <c r="F48" s="6" t="n">
        <v>150</v>
      </c>
      <c r="G48" s="6" t="n"/>
      <c r="H48" s="6" t="n"/>
      <c r="I48" s="6" t="n"/>
      <c r="J48" s="6" t="n">
        <v>200</v>
      </c>
      <c r="K48" s="8" t="n">
        <v>1.15</v>
      </c>
      <c r="L48" s="6" t="inlineStr">
        <is>
          <t>cái</t>
        </is>
      </c>
      <c r="M48" s="9" t="n">
        <v>1</v>
      </c>
      <c r="N48" s="9" t="n">
        <v>1122396</v>
      </c>
      <c r="O48" s="9">
        <f>ROUNDUP(N48*M48, -2)</f>
        <v/>
      </c>
      <c r="P48" s="7" t="inlineStr">
        <is>
          <t>- Van chặn lửa cầu chì - Tiêu chuẩn EI 120
- 2 đầu bích TDC - gắn cầu chì 70-74 độ C
- Sản xuất theo BCTN số: 4761/VLXD-TBMT</t>
        </is>
      </c>
    </row>
    <row r="49">
      <c r="A49" s="6" t="n">
        <v>17</v>
      </c>
      <c r="B49" s="7" t="inlineStr">
        <is>
          <t>MFD kích thước 400x250</t>
        </is>
      </c>
      <c r="C49" s="6" t="inlineStr">
        <is>
          <t>SWIND-1.02-MFD-EI90</t>
        </is>
      </c>
      <c r="D49" s="6" t="inlineStr">
        <is>
          <t>SWIND</t>
        </is>
      </c>
      <c r="E49" s="6" t="n">
        <v>400</v>
      </c>
      <c r="F49" s="6" t="n">
        <v>250</v>
      </c>
      <c r="G49" s="6" t="n"/>
      <c r="H49" s="6" t="n"/>
      <c r="I49" s="6" t="n"/>
      <c r="J49" s="6" t="n">
        <v>200</v>
      </c>
      <c r="K49" s="8" t="n">
        <v>1.15</v>
      </c>
      <c r="L49" s="6" t="inlineStr">
        <is>
          <t>cái</t>
        </is>
      </c>
      <c r="M49" s="9" t="n">
        <v>1</v>
      </c>
      <c r="N49" s="9" t="n">
        <v>5309075</v>
      </c>
      <c r="O49" s="9">
        <f>ROUNDUP(N49*M49, -2)</f>
        <v/>
      </c>
      <c r="P49" s="7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50">
      <c r="A50" s="6" t="n">
        <v>18</v>
      </c>
      <c r="B50" s="7" t="inlineStr">
        <is>
          <t>MFD kích thước 500x400</t>
        </is>
      </c>
      <c r="C50" s="6" t="inlineStr">
        <is>
          <t>SWIND-1.02-MFD-EI90</t>
        </is>
      </c>
      <c r="D50" s="6" t="inlineStr">
        <is>
          <t>SWIND</t>
        </is>
      </c>
      <c r="E50" s="6" t="n">
        <v>500</v>
      </c>
      <c r="F50" s="6" t="n">
        <v>400</v>
      </c>
      <c r="G50" s="6" t="n"/>
      <c r="H50" s="6" t="n"/>
      <c r="I50" s="6" t="n"/>
      <c r="J50" s="6" t="n">
        <v>200</v>
      </c>
      <c r="K50" s="8" t="n">
        <v>1.15</v>
      </c>
      <c r="L50" s="6" t="inlineStr">
        <is>
          <t>cái</t>
        </is>
      </c>
      <c r="M50" s="9" t="n">
        <v>1</v>
      </c>
      <c r="N50" s="9" t="n">
        <v>6041900</v>
      </c>
      <c r="O50" s="9">
        <f>ROUNDUP(N50*M50, -2)</f>
        <v/>
      </c>
      <c r="P50" s="7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51">
      <c r="A51" s="6" t="n">
        <v>19</v>
      </c>
      <c r="B51" s="7" t="inlineStr">
        <is>
          <t>MFD kích thước 700x400</t>
        </is>
      </c>
      <c r="C51" s="6" t="inlineStr">
        <is>
          <t>SWIND-1.02-MFD-EI90</t>
        </is>
      </c>
      <c r="D51" s="6" t="inlineStr">
        <is>
          <t>SWIND</t>
        </is>
      </c>
      <c r="E51" s="6" t="n">
        <v>700</v>
      </c>
      <c r="F51" s="6" t="n">
        <v>400</v>
      </c>
      <c r="G51" s="6" t="n"/>
      <c r="H51" s="6" t="n"/>
      <c r="I51" s="6" t="n"/>
      <c r="J51" s="6" t="n">
        <v>200</v>
      </c>
      <c r="K51" s="8" t="n">
        <v>1.15</v>
      </c>
      <c r="L51" s="6" t="inlineStr">
        <is>
          <t>cái</t>
        </is>
      </c>
      <c r="M51" s="9" t="n">
        <v>1</v>
      </c>
      <c r="N51" s="9" t="n">
        <v>6628660</v>
      </c>
      <c r="O51" s="9">
        <f>ROUNDUP(N51*M51, -2)</f>
        <v/>
      </c>
      <c r="P51" s="7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52">
      <c r="A52" s="6" t="n">
        <v>20</v>
      </c>
      <c r="B52" s="7" t="inlineStr">
        <is>
          <t>MFD kích thước 1000x400</t>
        </is>
      </c>
      <c r="C52" s="6" t="inlineStr">
        <is>
          <t>SWIND-1.02-MFD-EI90</t>
        </is>
      </c>
      <c r="D52" s="6" t="inlineStr">
        <is>
          <t>SWIND</t>
        </is>
      </c>
      <c r="E52" s="6" t="n">
        <v>1000</v>
      </c>
      <c r="F52" s="6" t="n">
        <v>400</v>
      </c>
      <c r="G52" s="6" t="n"/>
      <c r="H52" s="6" t="n"/>
      <c r="I52" s="6" t="n"/>
      <c r="J52" s="6" t="n">
        <v>200</v>
      </c>
      <c r="K52" s="8" t="n">
        <v>1.15</v>
      </c>
      <c r="L52" s="6" t="inlineStr">
        <is>
          <t>cái</t>
        </is>
      </c>
      <c r="M52" s="9" t="n">
        <v>1</v>
      </c>
      <c r="N52" s="9" t="n">
        <v>7508800</v>
      </c>
      <c r="O52" s="9">
        <f>ROUNDUP(N52*M52, -2)</f>
        <v/>
      </c>
      <c r="P52" s="7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53">
      <c r="A53" s="6" t="n">
        <v>21</v>
      </c>
      <c r="B53" s="7" t="inlineStr">
        <is>
          <t>MFD kích thước 1300x1200</t>
        </is>
      </c>
      <c r="C53" s="6" t="inlineStr">
        <is>
          <t>SWIND-1.02-MFD-EI90</t>
        </is>
      </c>
      <c r="D53" s="6" t="inlineStr">
        <is>
          <t>SWIND</t>
        </is>
      </c>
      <c r="E53" s="6" t="n">
        <v>1300</v>
      </c>
      <c r="F53" s="6" t="n">
        <v>1200</v>
      </c>
      <c r="G53" s="6" t="n">
        <v>1300</v>
      </c>
      <c r="H53" s="6" t="n">
        <v>600</v>
      </c>
      <c r="I53" s="6" t="n">
        <v>2</v>
      </c>
      <c r="J53" s="6" t="n">
        <v>200</v>
      </c>
      <c r="K53" s="8" t="n">
        <v>1.15</v>
      </c>
      <c r="L53" s="6" t="inlineStr">
        <is>
          <t>cái</t>
        </is>
      </c>
      <c r="M53" s="9" t="n">
        <v>1</v>
      </c>
      <c r="N53" s="9" t="n">
        <v>19395570</v>
      </c>
      <c r="O53" s="9">
        <f>ROUNDUP(N53*M53, -2)</f>
        <v/>
      </c>
      <c r="P53" s="7" t="inlineStr">
        <is>
          <t>- Van chống cháy động cơ - Tiêu chuẩn EI 90
- 2 đầu bích TDC - Gắn kèm động cơ ON-OFF 3.5Nm, 24V (Type: đóng mở nhanh) BELIMO - Model: FSLF24V US
- Sản xuất theo BCTN số 4752/VLXD-TBMT
- Chia 2 modul khi sản xuất</t>
        </is>
      </c>
    </row>
    <row r="54">
      <c r="A54" s="6" t="n">
        <v>22</v>
      </c>
      <c r="B54" s="7" t="inlineStr">
        <is>
          <t>MFD kích thước 1500x2000</t>
        </is>
      </c>
      <c r="C54" s="6" t="inlineStr">
        <is>
          <t>SWIND-1.02-MFD-EI90</t>
        </is>
      </c>
      <c r="D54" s="6" t="inlineStr">
        <is>
          <t>SWIND</t>
        </is>
      </c>
      <c r="E54" s="6" t="n">
        <v>1500</v>
      </c>
      <c r="F54" s="6" t="n">
        <v>2000</v>
      </c>
      <c r="G54" s="6" t="n">
        <v>1500</v>
      </c>
      <c r="H54" s="6" t="n">
        <v>666</v>
      </c>
      <c r="I54" s="6" t="n">
        <v>3</v>
      </c>
      <c r="J54" s="6" t="n">
        <v>200</v>
      </c>
      <c r="K54" s="8" t="n">
        <v>1.15</v>
      </c>
      <c r="L54" s="6" t="inlineStr">
        <is>
          <t>cái</t>
        </is>
      </c>
      <c r="M54" s="9" t="n">
        <v>1</v>
      </c>
      <c r="N54" s="9" t="n">
        <v>32807250</v>
      </c>
      <c r="O54" s="9">
        <f>ROUNDUP(N54*M54, -2)</f>
        <v/>
      </c>
      <c r="P54" s="7" t="inlineStr">
        <is>
          <t>- Van chống cháy động cơ - Tiêu chuẩn EI 90
- 2 đầu bích TDC - Gắn kèm động cơ ON-OFF 3.5Nm, 24V (Type: đóng mở nhanh) BELIMO - Model: FSLF24V US
- Sản xuất theo BCTN số 4752/VLXD-TBMT
- Chia 3 modul khi sản xuất</t>
        </is>
      </c>
    </row>
    <row r="55">
      <c r="A55" s="6" t="n">
        <v>23</v>
      </c>
      <c r="B55" s="7" t="inlineStr">
        <is>
          <t>MFD kích thước 1900x3000</t>
        </is>
      </c>
      <c r="C55" s="6" t="inlineStr">
        <is>
          <t>SWIND-1.02-MFD-EI90</t>
        </is>
      </c>
      <c r="D55" s="6" t="inlineStr">
        <is>
          <t>SWIND</t>
        </is>
      </c>
      <c r="E55" s="6" t="n">
        <v>1900</v>
      </c>
      <c r="F55" s="6" t="n">
        <v>3000</v>
      </c>
      <c r="G55" s="6" t="n">
        <v>950</v>
      </c>
      <c r="H55" s="6" t="n">
        <v>750</v>
      </c>
      <c r="I55" s="6" t="n">
        <v>8</v>
      </c>
      <c r="J55" s="6" t="n">
        <v>200</v>
      </c>
      <c r="K55" s="8" t="n">
        <v>1.15</v>
      </c>
      <c r="L55" s="6" t="inlineStr">
        <is>
          <t>cái</t>
        </is>
      </c>
      <c r="M55" s="9" t="n">
        <v>1</v>
      </c>
      <c r="N55" s="9" t="n">
        <v>73293525</v>
      </c>
      <c r="O55" s="9">
        <f>ROUNDUP(N55*M55, -2)</f>
        <v/>
      </c>
      <c r="P55" s="7" t="inlineStr">
        <is>
          <t>- Van chống cháy động cơ - Tiêu chuẩn EI 90
- 2 đầu bích TDC - Gắn kèm động cơ ON-OFF 3.5Nm, 24V (Type: đóng mở nhanh) BELIMO - Model: FSLF24V US
- Sản xuất theo BCTN số 4752/VLXD-TBMT
- Chia 8 modul khi sản xuất</t>
        </is>
      </c>
    </row>
    <row r="56">
      <c r="A56" s="6" t="n">
        <v>4</v>
      </c>
      <c r="B56" s="7" t="inlineStr">
        <is>
          <t>Van chặn lửa bằng động cơ MFD kt: 900x400mm, EI30</t>
        </is>
      </c>
      <c r="C56" s="6" t="inlineStr">
        <is>
          <t>SWIND-1.02-MFD-EI90</t>
        </is>
      </c>
      <c r="D56" s="6" t="inlineStr">
        <is>
          <t>SWIND</t>
        </is>
      </c>
      <c r="E56" s="6" t="n">
        <v>900</v>
      </c>
      <c r="F56" s="6" t="n">
        <v>400</v>
      </c>
      <c r="G56" s="6" t="n"/>
      <c r="H56" s="6" t="n"/>
      <c r="I56" s="6" t="n"/>
      <c r="J56" s="6" t="n">
        <v>200</v>
      </c>
      <c r="K56" s="8" t="n">
        <v>1.15</v>
      </c>
      <c r="L56" s="6" t="inlineStr">
        <is>
          <t>Cái</t>
        </is>
      </c>
      <c r="M56" s="9" t="n">
        <v>17</v>
      </c>
      <c r="N56" s="9" t="n">
        <v>7215420</v>
      </c>
      <c r="O56" s="9">
        <f>ROUNDUP(N56*M56, -2)</f>
        <v/>
      </c>
      <c r="P56" s="7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57">
      <c r="A57" s="6" t="n">
        <v>12</v>
      </c>
      <c r="B57" s="7" t="inlineStr">
        <is>
          <t>Van chặn lửa FD kích thước 200x150</t>
        </is>
      </c>
      <c r="C57" s="6" t="inlineStr">
        <is>
          <t>SWIND-2.01- E-FD-EI120</t>
        </is>
      </c>
      <c r="D57" s="6" t="inlineStr">
        <is>
          <t>SWIND</t>
        </is>
      </c>
      <c r="E57" s="6" t="n">
        <v>200</v>
      </c>
      <c r="F57" s="6" t="n">
        <v>150</v>
      </c>
      <c r="G57" s="6" t="n"/>
      <c r="H57" s="6" t="n"/>
      <c r="I57" s="6" t="n"/>
      <c r="J57" s="6" t="n">
        <v>200</v>
      </c>
      <c r="K57" s="8" t="n">
        <v>1.15</v>
      </c>
      <c r="L57" s="6" t="inlineStr">
        <is>
          <t>cái</t>
        </is>
      </c>
      <c r="M57" s="9" t="n">
        <v>2</v>
      </c>
      <c r="N57" s="9" t="n">
        <v>930347</v>
      </c>
      <c r="O57" s="9">
        <f>ROUNDUP(N57*M57, -2)</f>
        <v/>
      </c>
      <c r="P57" s="7" t="inlineStr">
        <is>
          <t>- Van chặn lửa cầu chì - Tiêu chuẩn EI 120
- 2 đầu bích TDC - gắn cầu chì 70-74 độ C
- Sản xuất theo BCTN số: 4761/VLXD-TBMT</t>
        </is>
      </c>
    </row>
    <row r="58">
      <c r="A58" s="6" t="n">
        <v>15</v>
      </c>
      <c r="B58" s="7" t="inlineStr">
        <is>
          <t>MFD kích thước 800x400</t>
        </is>
      </c>
      <c r="C58" s="6" t="inlineStr">
        <is>
          <t>SWIND-1.02-MFD-EI90</t>
        </is>
      </c>
      <c r="D58" s="6" t="inlineStr">
        <is>
          <t>SWIND</t>
        </is>
      </c>
      <c r="E58" s="6" t="n">
        <v>800</v>
      </c>
      <c r="F58" s="6" t="n">
        <v>400</v>
      </c>
      <c r="G58" s="6" t="n"/>
      <c r="H58" s="6" t="n"/>
      <c r="I58" s="6" t="n"/>
      <c r="J58" s="6" t="n">
        <v>200</v>
      </c>
      <c r="K58" s="8" t="n">
        <v>1.15</v>
      </c>
      <c r="L58" s="6" t="inlineStr">
        <is>
          <t>cái</t>
        </is>
      </c>
      <c r="M58" s="9" t="n">
        <v>1</v>
      </c>
      <c r="N58" s="9" t="n">
        <v>6922040</v>
      </c>
      <c r="O58" s="9">
        <f>ROUNDUP(N58*M58, -2)</f>
        <v/>
      </c>
      <c r="P58" s="7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59">
      <c r="A59" s="6" t="n">
        <v>18</v>
      </c>
      <c r="B59" s="7" t="inlineStr">
        <is>
          <t>MFD kích thước 500x300</t>
        </is>
      </c>
      <c r="C59" s="6" t="inlineStr">
        <is>
          <t>SWIND-1.02-MFD-EI90</t>
        </is>
      </c>
      <c r="D59" s="6" t="inlineStr">
        <is>
          <t>SWIND</t>
        </is>
      </c>
      <c r="E59" s="6" t="n">
        <v>500</v>
      </c>
      <c r="F59" s="6" t="n">
        <v>300</v>
      </c>
      <c r="G59" s="6" t="n"/>
      <c r="H59" s="6" t="n"/>
      <c r="I59" s="6" t="n"/>
      <c r="J59" s="6" t="n">
        <v>200</v>
      </c>
      <c r="K59" s="8" t="n">
        <v>1.15</v>
      </c>
      <c r="L59" s="6" t="inlineStr">
        <is>
          <t>cái</t>
        </is>
      </c>
      <c r="M59" s="9" t="n">
        <v>4</v>
      </c>
      <c r="N59" s="9" t="n">
        <v>5709238</v>
      </c>
      <c r="O59" s="9">
        <f>ROUNDUP(N59*M59, -2)</f>
        <v/>
      </c>
      <c r="P59" s="7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60">
      <c r="A60" s="6" t="n">
        <v>3</v>
      </c>
      <c r="B60" s="7" t="inlineStr">
        <is>
          <t>Van chặn lửa bằng động cơ MFD kt: 900x500mm, EI30</t>
        </is>
      </c>
      <c r="C60" s="6" t="inlineStr">
        <is>
          <t>SWIND-1.02-MFD-EI90</t>
        </is>
      </c>
      <c r="D60" s="6" t="inlineStr">
        <is>
          <t>SWIND</t>
        </is>
      </c>
      <c r="E60" s="6" t="n">
        <v>900</v>
      </c>
      <c r="F60" s="6" t="n">
        <v>500</v>
      </c>
      <c r="G60" s="6" t="n"/>
      <c r="H60" s="6" t="n"/>
      <c r="I60" s="6" t="n"/>
      <c r="J60" s="6" t="n">
        <v>200</v>
      </c>
      <c r="K60" s="8" t="n">
        <v>1.15</v>
      </c>
      <c r="L60" s="6" t="inlineStr">
        <is>
          <t>Cái</t>
        </is>
      </c>
      <c r="M60" s="9" t="n">
        <v>36</v>
      </c>
      <c r="N60" s="9" t="n">
        <v>7710213</v>
      </c>
      <c r="O60" s="9">
        <f>ROUNDUP(N60*M60, -2)</f>
        <v/>
      </c>
      <c r="P60" s="7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61"/>
    <row r="62">
      <c r="B62" s="10" t="inlineStr">
        <is>
          <t>TỔNG CỘNG (CHƯA BAO GỒM VAT):</t>
        </is>
      </c>
      <c r="O62" s="11">
        <f>SUBTOTAL(9,O14:O60)</f>
        <v/>
      </c>
    </row>
    <row r="63">
      <c r="B63" s="10" t="inlineStr">
        <is>
          <t>THUẾ GTGT (VAT 8%):</t>
        </is>
      </c>
      <c r="O63" s="11">
        <f>ROUND(O62*0.08, 0)</f>
        <v/>
      </c>
    </row>
    <row r="64">
      <c r="B64" s="10" t="inlineStr">
        <is>
          <t>TỔNG CỘNG THANH TOÁN (ĐÃ GỒM VAT 8%):</t>
        </is>
      </c>
      <c r="O64" s="11">
        <f>O62+O63</f>
        <v/>
      </c>
    </row>
  </sheetData>
  <mergeCells count="25">
    <mergeCell ref="C3:P3"/>
    <mergeCell ref="A7:L7"/>
    <mergeCell ref="C11:C13"/>
    <mergeCell ref="O11:O13"/>
    <mergeCell ref="C5:P5"/>
    <mergeCell ref="C4:P4"/>
    <mergeCell ref="L11:L13"/>
    <mergeCell ref="A8:L8"/>
    <mergeCell ref="N11:N13"/>
    <mergeCell ref="E13:F13"/>
    <mergeCell ref="G13:H13"/>
    <mergeCell ref="I11:I13"/>
    <mergeCell ref="K11:K13"/>
    <mergeCell ref="C2:P2"/>
    <mergeCell ref="A6:P6"/>
    <mergeCell ref="A11:A13"/>
    <mergeCell ref="B11:B13"/>
    <mergeCell ref="M11:M13"/>
    <mergeCell ref="A9:L9"/>
    <mergeCell ref="C10:L10"/>
    <mergeCell ref="A10:B10"/>
    <mergeCell ref="D11:D13"/>
    <mergeCell ref="J11:J13"/>
    <mergeCell ref="P11:P13"/>
    <mergeCell ref="E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Swind Multi-Agent AI</dc:creator>
  <dcterms:created xsi:type="dcterms:W3CDTF">2026-10-19T06:41:22Z</dcterms:created>
  <dcterms:modified xsi:type="dcterms:W3CDTF">2026-10-19T06:41:22Z</dcterms:modified>
  <cp:lastModifiedBy>Swind Multi-Agent AI</cp:lastModifiedBy>
</cp:coreProperties>
</file>
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8" fillId="0" borderId="0" pivotButton="0" quotePrefix="0" xfId="0"/>
    <xf numFmtId="3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>
        <v>6</v>
      </c>
      <c r="B14" s="7" t="inlineStr">
        <is>
          <t>Van chặn lửa FD kích thước 600x300</t>
        </is>
      </c>
      <c r="C14" s="6" t="inlineStr">
        <is>
          <t>SWIND-2.01- E-FD-EI120</t>
        </is>
      </c>
      <c r="D14" s="6" t="inlineStr">
        <is>
          <t>SWIND</t>
        </is>
      </c>
      <c r="E14" s="6" t="n">
        <v>600</v>
      </c>
      <c r="F14" s="6" t="n">
        <v>300</v>
      </c>
      <c r="G14" s="6" t="n"/>
      <c r="H14" s="6" t="n"/>
      <c r="I14" s="6" t="n"/>
      <c r="J14" s="6" t="n">
        <v>200</v>
      </c>
      <c r="K14" s="8" t="n">
        <v>1.15</v>
      </c>
      <c r="L14" s="6" t="inlineStr">
        <is>
          <t>cái</t>
        </is>
      </c>
      <c r="M14" s="9" t="n">
        <v>39</v>
      </c>
      <c r="N14" s="9">
        <f>ROUND('00_TONG_HOP_BAO_GIA'!Q2, 0)</f>
        <v/>
      </c>
      <c r="O14" s="9">
        <f>ROUNDUP(N14*M14, -2)</f>
        <v/>
      </c>
      <c r="P14" s="7" t="inlineStr">
        <is>
          <t>- Van chặn lửa cầu chì - Tiêu chuẩn EI 120
- 2 đầu bích TDC - gắn cầu chì 70-74 độ C
- Sản xuất theo BCTN số: 4761/VLXD-TBMT</t>
        </is>
      </c>
    </row>
    <row r="15">
      <c r="A15" s="6" t="n">
        <v>9</v>
      </c>
      <c r="B15" s="7" t="inlineStr">
        <is>
          <t>Van chặn lửa FD kích thước 400x200</t>
        </is>
      </c>
      <c r="C15" s="6" t="inlineStr">
        <is>
          <t>SWIND-2.01- E-FD-EI120</t>
        </is>
      </c>
      <c r="D15" s="6" t="inlineStr">
        <is>
          <t>SWIND</t>
        </is>
      </c>
      <c r="E15" s="6" t="n">
        <v>400</v>
      </c>
      <c r="F15" s="6" t="n">
        <v>200</v>
      </c>
      <c r="G15" s="6" t="n"/>
      <c r="H15" s="6" t="n"/>
      <c r="I15" s="6" t="n"/>
      <c r="J15" s="6" t="n">
        <v>200</v>
      </c>
      <c r="K15" s="8" t="n">
        <v>1.15</v>
      </c>
      <c r="L15" s="6" t="inlineStr">
        <is>
          <t>cái</t>
        </is>
      </c>
      <c r="M15" s="9" t="n">
        <v>4</v>
      </c>
      <c r="N15" s="9">
        <f>ROUND('00_TONG_HOP_BAO_GIA'!Q3, 0)</f>
        <v/>
      </c>
      <c r="O15" s="9">
        <f>ROUNDUP(N15*M15, -2)</f>
        <v/>
      </c>
      <c r="P15" s="7" t="inlineStr">
        <is>
          <t>- Van chặn lửa cầu chì - Tiêu chuẩn EI 120
- 2 đầu bích TDC - gắn cầu chì 70-74 độ C
- Sản xuất theo BCTN số: 4761/VLXD-TBMT</t>
        </is>
      </c>
    </row>
    <row r="16">
      <c r="A16" s="6" t="n">
        <v>1</v>
      </c>
      <c r="B16" s="7" t="inlineStr">
        <is>
          <t>Van chặn lửa FD kích thước 250x100</t>
        </is>
      </c>
      <c r="C16" s="6" t="inlineStr">
        <is>
          <t>SWIND-2.01- E-FD-EI120</t>
        </is>
      </c>
      <c r="D16" s="6" t="inlineStr">
        <is>
          <t>SWIND</t>
        </is>
      </c>
      <c r="E16" s="6" t="n">
        <v>250</v>
      </c>
      <c r="F16" s="6" t="n">
        <v>100</v>
      </c>
      <c r="G16" s="6" t="n">
        <v>250</v>
      </c>
      <c r="H16" s="6" t="n">
        <v>150</v>
      </c>
      <c r="I16" s="6" t="n"/>
      <c r="J16" s="6" t="n">
        <v>200</v>
      </c>
      <c r="K16" s="8" t="n">
        <v>1.15</v>
      </c>
      <c r="L16" s="6" t="inlineStr">
        <is>
          <t>cái</t>
        </is>
      </c>
      <c r="M16" s="9" t="n">
        <v>814</v>
      </c>
      <c r="N16" s="9">
        <f>ROUND('00_TONG_HOP_BAO_GIA'!Q4, 0)</f>
        <v/>
      </c>
      <c r="O16" s="9">
        <f>ROUNDUP(N16*M16, -2)</f>
        <v/>
      </c>
      <c r="P16" s="7" t="inlineStr">
        <is>
          <t>- Van chặn lửa cầu chì - Tiêu chuẩn EI 120
- 2 đầu bích TDC - gắn cầu chì 70-74 độ C
- Sản xuất theo BCTN số: 4761/VLXD-TBMT
- Van thu côn 2 đầu</t>
        </is>
      </c>
    </row>
    <row r="17">
      <c r="A17" s="6" t="n">
        <v>2</v>
      </c>
      <c r="B17" s="7" t="inlineStr">
        <is>
          <t>Van chặn lửa FD kích thước 900x400</t>
        </is>
      </c>
      <c r="C17" s="6" t="inlineStr">
        <is>
          <t>SWIND-2.01- E-FD-EI120</t>
        </is>
      </c>
      <c r="D17" s="6" t="inlineStr">
        <is>
          <t>SWIND</t>
        </is>
      </c>
      <c r="E17" s="6" t="n">
        <v>900</v>
      </c>
      <c r="F17" s="6" t="n">
        <v>400</v>
      </c>
      <c r="G17" s="6" t="n"/>
      <c r="H17" s="6" t="n"/>
      <c r="I17" s="6" t="n"/>
      <c r="J17" s="6" t="n">
        <v>200</v>
      </c>
      <c r="K17" s="8" t="n">
        <v>1.15</v>
      </c>
      <c r="L17" s="6" t="inlineStr">
        <is>
          <t>cái</t>
        </is>
      </c>
      <c r="M17" s="9" t="n">
        <v>40</v>
      </c>
      <c r="N17" s="9">
        <f>ROUND('00_TONG_HOP_BAO_GIA'!Q5, 0)</f>
        <v/>
      </c>
      <c r="O17" s="9">
        <f>ROUNDUP(N17*M17, -2)</f>
        <v/>
      </c>
      <c r="P17" s="7" t="inlineStr">
        <is>
          <t>- Van chặn lửa cầu chì - Tiêu chuẩn EI 120
- 2 đầu bích TDC - gắn cầu chì 70-74 độ C
- Sản xuất theo BCTN số: 4761/VLXD-TBMT</t>
        </is>
      </c>
    </row>
    <row r="18">
      <c r="A18" s="6" t="n">
        <v>2</v>
      </c>
      <c r="B18" s="7" t="inlineStr">
        <is>
          <t>Van chặn lửa FD kích thước 150x100</t>
        </is>
      </c>
      <c r="C18" s="6" t="inlineStr">
        <is>
          <t>SWIND-2.01- E-FD-EI120</t>
        </is>
      </c>
      <c r="D18" s="6" t="inlineStr">
        <is>
          <t>SWIND</t>
        </is>
      </c>
      <c r="E18" s="6" t="n">
        <v>150</v>
      </c>
      <c r="F18" s="6" t="n">
        <v>100</v>
      </c>
      <c r="G18" s="6" t="n">
        <v>150</v>
      </c>
      <c r="H18" s="6" t="n">
        <v>150</v>
      </c>
      <c r="I18" s="6" t="n"/>
      <c r="J18" s="6" t="n">
        <v>200</v>
      </c>
      <c r="K18" s="8" t="n">
        <v>1.15</v>
      </c>
      <c r="L18" s="6" t="inlineStr">
        <is>
          <t>cái</t>
        </is>
      </c>
      <c r="M18" s="9" t="n">
        <v>814</v>
      </c>
      <c r="N18" s="9">
        <f>ROUND('00_TONG_HOP_BAO_GIA'!Q6, 0)</f>
        <v/>
      </c>
      <c r="O18" s="9">
        <f>ROUNDUP(N18*M18, -2)</f>
        <v/>
      </c>
      <c r="P18" s="7" t="inlineStr">
        <is>
          <t>- Van chặn lửa cầu chì - Tiêu chuẩn EI 120
- 2 đầu bích TDC - gắn cầu chì 70-74 độ C
- Sản xuất theo BCTN số: 4761/VLXD-TBMT
- Van thu côn 2 đầu</t>
        </is>
      </c>
    </row>
    <row r="19">
      <c r="A19" s="6" t="n">
        <v>2</v>
      </c>
      <c r="B19" s="7" t="inlineStr">
        <is>
          <t>Van chặn lửa FD kích thước 150x150</t>
        </is>
      </c>
      <c r="C19" s="6" t="inlineStr">
        <is>
          <t>SWIND-2.01- E-FD-EI120</t>
        </is>
      </c>
      <c r="D19" s="6" t="inlineStr">
        <is>
          <t>SWIND</t>
        </is>
      </c>
      <c r="E19" s="6" t="n">
        <v>150</v>
      </c>
      <c r="F19" s="6" t="n">
        <v>150</v>
      </c>
      <c r="G19" s="6" t="n"/>
      <c r="H19" s="6" t="n"/>
      <c r="I19" s="6" t="n"/>
      <c r="J19" s="6" t="n">
        <v>200</v>
      </c>
      <c r="K19" s="8" t="n">
        <v>1.15</v>
      </c>
      <c r="L19" s="6" t="inlineStr">
        <is>
          <t>cái</t>
        </is>
      </c>
      <c r="M19" s="9" t="n">
        <v>44</v>
      </c>
      <c r="N19" s="9">
        <f>ROUND('00_TONG_HOP_BAO_GIA'!Q7, 0)</f>
        <v/>
      </c>
      <c r="O19" s="9">
        <f>ROUNDUP(N19*M19, -2)</f>
        <v/>
      </c>
      <c r="P19" s="7" t="inlineStr">
        <is>
          <t>- Van chặn lửa cầu chì - Tiêu chuẩn EI 120
- 2 đầu bích TDC - gắn cầu chì 70-74 độ C
- Sản xuất theo BCTN số: 4761/VLXD-TBMT</t>
        </is>
      </c>
    </row>
    <row r="20">
      <c r="A20" s="6" t="n">
        <v>1</v>
      </c>
      <c r="B20" s="7" t="inlineStr">
        <is>
          <t>Van chặn lửa FD kích thước cho quạt 700 m3/h, 50Pa</t>
        </is>
      </c>
      <c r="C20" s="6" t="inlineStr">
        <is>
          <t>SWIND-2.01- E-FD-EI120</t>
        </is>
      </c>
      <c r="D20" s="6" t="inlineStr">
        <is>
          <t>SWIND</t>
        </is>
      </c>
      <c r="E20" s="6" t="n">
        <v>400</v>
      </c>
      <c r="F20" s="6" t="n">
        <v>400</v>
      </c>
      <c r="G20" s="6" t="n"/>
      <c r="H20" s="6" t="n"/>
      <c r="I20" s="6" t="n"/>
      <c r="J20" s="6" t="n">
        <v>200</v>
      </c>
      <c r="K20" s="8" t="n">
        <v>1.15</v>
      </c>
      <c r="L20" s="6" t="inlineStr">
        <is>
          <t>cái</t>
        </is>
      </c>
      <c r="M20" s="9" t="n">
        <v>3</v>
      </c>
      <c r="N20" s="9">
        <f>ROUND('00_TONG_HOP_BAO_GIA'!Q8, 0)</f>
        <v/>
      </c>
      <c r="O20" s="9">
        <f>ROUNDUP(N20*M20, -2)</f>
        <v/>
      </c>
      <c r="P20" s="7" t="inlineStr">
        <is>
          <t>- Van chặn lửa cầu chì - Tiêu chuẩn EI 120
- 2 đầu bích TDC - gắn cầu chì 70-74 độ C
- Sản xuất theo BCTN số: 4761/VLXD-TBMT</t>
        </is>
      </c>
    </row>
    <row r="21">
      <c r="A21" s="6" t="n">
        <v>2</v>
      </c>
      <c r="B21" s="7" t="inlineStr">
        <is>
          <t>Van chặn lửa FD kích thước cho quạt  600 m3/h, 50Pa</t>
        </is>
      </c>
      <c r="C21" s="6" t="inlineStr">
        <is>
          <t>SWIND-2.01- E-FD-EI120</t>
        </is>
      </c>
      <c r="D21" s="6" t="inlineStr">
        <is>
          <t>SWIND</t>
        </is>
      </c>
      <c r="E21" s="6" t="n">
        <v>400</v>
      </c>
      <c r="F21" s="6" t="n">
        <v>400</v>
      </c>
      <c r="G21" s="6" t="n"/>
      <c r="H21" s="6" t="n"/>
      <c r="I21" s="6" t="n"/>
      <c r="J21" s="6" t="n">
        <v>200</v>
      </c>
      <c r="K21" s="8" t="n">
        <v>1.15</v>
      </c>
      <c r="L21" s="6" t="inlineStr">
        <is>
          <t>cái</t>
        </is>
      </c>
      <c r="M21" s="9" t="n">
        <v>1</v>
      </c>
      <c r="N21" s="9">
        <f>ROUND('00_TONG_HOP_BAO_GIA'!Q9, 0)</f>
        <v/>
      </c>
      <c r="O21" s="9">
        <f>ROUNDUP(N21*M21, -2)</f>
        <v/>
      </c>
      <c r="P21" s="7" t="inlineStr">
        <is>
          <t>- Van chặn lửa cầu chì - Tiêu chuẩn EI 120
- 2 đầu bích TDC - gắn cầu chì 70-74 độ C
- Sản xuất theo BCTN số: 4761/VLXD-TBMT</t>
        </is>
      </c>
    </row>
    <row r="22">
      <c r="A22" s="6" t="n">
        <v>3</v>
      </c>
      <c r="B22" s="7" t="inlineStr">
        <is>
          <t>Van chặn lửa FD kích thước cho quạt  900 m3/h, 50Pa</t>
        </is>
      </c>
      <c r="C22" s="6" t="inlineStr">
        <is>
          <t>SWIND-2.01- E-FD-EI120</t>
        </is>
      </c>
      <c r="D22" s="6" t="inlineStr">
        <is>
          <t>SWIND</t>
        </is>
      </c>
      <c r="E22" s="6" t="n">
        <v>400</v>
      </c>
      <c r="F22" s="6" t="n">
        <v>400</v>
      </c>
      <c r="G22" s="6" t="n"/>
      <c r="H22" s="6" t="n"/>
      <c r="I22" s="6" t="n"/>
      <c r="J22" s="6" t="n">
        <v>200</v>
      </c>
      <c r="K22" s="8" t="n">
        <v>1.15</v>
      </c>
      <c r="L22" s="6" t="inlineStr">
        <is>
          <t>cái</t>
        </is>
      </c>
      <c r="M22" s="9" t="n">
        <v>1</v>
      </c>
      <c r="N22" s="9">
        <f>ROUND('00_TONG_HOP_BAO_GIA'!Q10, 0)</f>
        <v/>
      </c>
      <c r="O22" s="9">
        <f>ROUNDUP(N22*M22, -2)</f>
        <v/>
      </c>
      <c r="P22" s="7" t="inlineStr">
        <is>
          <t>- Van chặn lửa cầu chì - Tiêu chuẩn EI 120
- 2 đầu bích TDC - gắn cầu chì 70-74 độ C
- Sản xuất theo BCTN số: 4761/VLXD-TBMT</t>
        </is>
      </c>
    </row>
    <row r="23">
      <c r="A23" s="6" t="n">
        <v>4</v>
      </c>
      <c r="B23" s="7" t="inlineStr">
        <is>
          <t>Van chặn lửa FD kích thước cho quạt  800 m3/h, 400Pa</t>
        </is>
      </c>
      <c r="C23" s="6" t="inlineStr">
        <is>
          <t>SWIND-2.01- E-FD-EI120</t>
        </is>
      </c>
      <c r="D23" s="6" t="inlineStr">
        <is>
          <t>SWIND</t>
        </is>
      </c>
      <c r="E23" s="6" t="n">
        <v>400</v>
      </c>
      <c r="F23" s="6" t="n">
        <v>400</v>
      </c>
      <c r="G23" s="6" t="n"/>
      <c r="H23" s="6" t="n"/>
      <c r="I23" s="6" t="n"/>
      <c r="J23" s="6" t="n">
        <v>200</v>
      </c>
      <c r="K23" s="8" t="n">
        <v>1.15</v>
      </c>
      <c r="L23" s="6" t="inlineStr">
        <is>
          <t>cái</t>
        </is>
      </c>
      <c r="M23" s="9" t="n">
        <v>2</v>
      </c>
      <c r="N23" s="9">
        <f>ROUND('00_TONG_HOP_BAO_GIA'!Q11, 0)</f>
        <v/>
      </c>
      <c r="O23" s="9">
        <f>ROUNDUP(N23*M23, -2)</f>
        <v/>
      </c>
      <c r="P23" s="7" t="inlineStr">
        <is>
          <t>- Van chặn lửa cầu chì - Tiêu chuẩn EI 120
- 2 đầu bích TDC - gắn cầu chì 70-74 độ C
- Sản xuất theo BCTN số: 4761/VLXD-TBMT</t>
        </is>
      </c>
    </row>
    <row r="24">
      <c r="A24" s="6" t="n">
        <v>5</v>
      </c>
      <c r="B24" s="7" t="inlineStr">
        <is>
          <t>Van chặn lửa FD kích thước cho quạt  1800 m3/h, 50Pa</t>
        </is>
      </c>
      <c r="C24" s="6" t="inlineStr">
        <is>
          <t>SWIND-2.01- E-FD-EI120</t>
        </is>
      </c>
      <c r="D24" s="6" t="inlineStr">
        <is>
          <t>SWIND</t>
        </is>
      </c>
      <c r="E24" s="6" t="n">
        <v>400</v>
      </c>
      <c r="F24" s="6" t="n">
        <v>400</v>
      </c>
      <c r="G24" s="6" t="n"/>
      <c r="H24" s="6" t="n"/>
      <c r="I24" s="6" t="n"/>
      <c r="J24" s="6" t="n">
        <v>200</v>
      </c>
      <c r="K24" s="8" t="n">
        <v>1.15</v>
      </c>
      <c r="L24" s="6" t="inlineStr">
        <is>
          <t>cái</t>
        </is>
      </c>
      <c r="M24" s="9" t="n">
        <v>1</v>
      </c>
      <c r="N24" s="9">
        <f>ROUND('00_TONG_HOP_BAO_GIA'!Q12, 0)</f>
        <v/>
      </c>
      <c r="O24" s="9">
        <f>ROUNDUP(N24*M24, -2)</f>
        <v/>
      </c>
      <c r="P24" s="7" t="inlineStr">
        <is>
          <t>- Van chặn lửa cầu chì - Tiêu chuẩn EI 120
- 2 đầu bích TDC - gắn cầu chì 70-74 độ C
- Sản xuất theo BCTN số: 4761/VLXD-TBMT</t>
        </is>
      </c>
    </row>
    <row r="25">
      <c r="A25" s="6" t="n">
        <v>6</v>
      </c>
      <c r="B25" s="7" t="inlineStr">
        <is>
          <t>Van chặn lửa FD kích thước cho quạt  1300 m3/h, 50Pa</t>
        </is>
      </c>
      <c r="C25" s="6" t="inlineStr">
        <is>
          <t>SWIND-2.01- E-FD-EI120</t>
        </is>
      </c>
      <c r="D25" s="6" t="inlineStr">
        <is>
          <t>SWIND</t>
        </is>
      </c>
      <c r="E25" s="6" t="n">
        <v>400</v>
      </c>
      <c r="F25" s="6" t="n">
        <v>400</v>
      </c>
      <c r="G25" s="6" t="n"/>
      <c r="H25" s="6" t="n"/>
      <c r="I25" s="6" t="n"/>
      <c r="J25" s="6" t="n">
        <v>200</v>
      </c>
      <c r="K25" s="8" t="n">
        <v>1.15</v>
      </c>
      <c r="L25" s="6" t="inlineStr">
        <is>
          <t>cái</t>
        </is>
      </c>
      <c r="M25" s="9" t="n">
        <v>1</v>
      </c>
      <c r="N25" s="9">
        <f>ROUND('00_TONG_HOP_BAO_GIA'!Q13, 0)</f>
        <v/>
      </c>
      <c r="O25" s="9">
        <f>ROUNDUP(N25*M25, -2)</f>
        <v/>
      </c>
      <c r="P25" s="7" t="inlineStr">
        <is>
          <t>- Van chặn lửa cầu chì - Tiêu chuẩn EI 120
- 2 đầu bích TDC - gắn cầu chì 70-74 độ C
- Sản xuất theo BCTN số: 4761/VLXD-TBMT</t>
        </is>
      </c>
    </row>
    <row r="26">
      <c r="A26" s="6" t="n">
        <v>7</v>
      </c>
      <c r="B26" s="7" t="inlineStr">
        <is>
          <t>Van chặn lửa FD kích thước cho quạt  200 m3/h, 50Pa</t>
        </is>
      </c>
      <c r="C26" s="6" t="inlineStr">
        <is>
          <t>SWIND-2.01- E-FD-EI120</t>
        </is>
      </c>
      <c r="D26" s="6" t="inlineStr">
        <is>
          <t>SWIND</t>
        </is>
      </c>
      <c r="E26" s="6" t="n">
        <v>400</v>
      </c>
      <c r="F26" s="6" t="n">
        <v>400</v>
      </c>
      <c r="G26" s="6" t="n"/>
      <c r="H26" s="6" t="n"/>
      <c r="I26" s="6" t="n"/>
      <c r="J26" s="6" t="n">
        <v>200</v>
      </c>
      <c r="K26" s="8" t="n">
        <v>1.15</v>
      </c>
      <c r="L26" s="6" t="inlineStr">
        <is>
          <t>cái</t>
        </is>
      </c>
      <c r="M26" s="9" t="n">
        <v>3</v>
      </c>
      <c r="N26" s="9">
        <f>ROUND('00_TONG_HOP_BAO_GIA'!Q14, 0)</f>
        <v/>
      </c>
      <c r="O26" s="9">
        <f>ROUNDUP(N26*M26, -2)</f>
        <v/>
      </c>
      <c r="P26" s="7" t="inlineStr">
        <is>
          <t>- Van chặn lửa cầu chì - Tiêu chuẩn EI 120
- 2 đầu bích TDC - gắn cầu chì 70-74 độ C
- Sản xuất theo BCTN số: 4761/VLXD-TBMT</t>
        </is>
      </c>
    </row>
    <row r="27">
      <c r="A27" s="6" t="n">
        <v>8</v>
      </c>
      <c r="B27" s="7" t="inlineStr">
        <is>
          <t>Van chặn lửa FD kích thước 500x300</t>
        </is>
      </c>
      <c r="C27" s="6" t="inlineStr">
        <is>
          <t>SWIND-2.01- E-FD-EI120</t>
        </is>
      </c>
      <c r="D27" s="6" t="inlineStr">
        <is>
          <t>SWIND</t>
        </is>
      </c>
      <c r="E27" s="6" t="n">
        <v>500</v>
      </c>
      <c r="F27" s="6" t="n">
        <v>300</v>
      </c>
      <c r="G27" s="6" t="n"/>
      <c r="H27" s="6" t="n"/>
      <c r="I27" s="6" t="n"/>
      <c r="J27" s="6" t="n">
        <v>200</v>
      </c>
      <c r="K27" s="8" t="n">
        <v>1.15</v>
      </c>
      <c r="L27" s="6" t="inlineStr">
        <is>
          <t>cái</t>
        </is>
      </c>
      <c r="M27" s="9" t="n">
        <v>6</v>
      </c>
      <c r="N27" s="9">
        <f>ROUND('00_TONG_HOP_BAO_GIA'!Q15, 0)</f>
        <v/>
      </c>
      <c r="O27" s="9">
        <f>ROUNDUP(N27*M27, -2)</f>
        <v/>
      </c>
      <c r="P27" s="7" t="inlineStr">
        <is>
          <t>- Van chặn lửa cầu chì - Tiêu chuẩn EI 120
- 2 đầu bích TDC - gắn cầu chì 70-74 độ C
- Sản xuất theo BCTN số: 4761/VLXD-TBMT</t>
        </is>
      </c>
    </row>
    <row r="28">
      <c r="A28" s="6" t="n">
        <v>11</v>
      </c>
      <c r="B28" s="7" t="inlineStr">
        <is>
          <t>Van chặn lửa FD kích thước 300x200</t>
        </is>
      </c>
      <c r="C28" s="6" t="inlineStr">
        <is>
          <t>SWIND-2.01- E-FD-EI120</t>
        </is>
      </c>
      <c r="D28" s="6" t="inlineStr">
        <is>
          <t>SWIND</t>
        </is>
      </c>
      <c r="E28" s="6" t="n">
        <v>300</v>
      </c>
      <c r="F28" s="6" t="n">
        <v>200</v>
      </c>
      <c r="G28" s="6" t="n"/>
      <c r="H28" s="6" t="n"/>
      <c r="I28" s="6" t="n"/>
      <c r="J28" s="6" t="n">
        <v>200</v>
      </c>
      <c r="K28" s="8" t="n">
        <v>1.15</v>
      </c>
      <c r="L28" s="6" t="inlineStr">
        <is>
          <t>cái</t>
        </is>
      </c>
      <c r="M28" s="9" t="n">
        <v>2</v>
      </c>
      <c r="N28" s="9">
        <f>ROUND('00_TONG_HOP_BAO_GIA'!Q16, 0)</f>
        <v/>
      </c>
      <c r="O28" s="9">
        <f>ROUNDUP(N28*M28, -2)</f>
        <v/>
      </c>
      <c r="P28" s="7" t="inlineStr">
        <is>
          <t>- Van chặn lửa cầu chì - Tiêu chuẩn EI 120
- 2 đầu bích TDC - gắn cầu chì 70-74 độ C
- Sản xuất theo BCTN số: 4761/VLXD-TBMT</t>
        </is>
      </c>
    </row>
    <row r="29">
      <c r="A29" s="6" t="n">
        <v>16</v>
      </c>
      <c r="B29" s="7" t="inlineStr">
        <is>
          <t>MFD kích thước 500x200</t>
        </is>
      </c>
      <c r="C29" s="6" t="inlineStr">
        <is>
          <t>SWIND-1.02-MFD-EI90</t>
        </is>
      </c>
      <c r="D29" s="6" t="inlineStr">
        <is>
          <t>SWIND</t>
        </is>
      </c>
      <c r="E29" s="6" t="n">
        <v>500</v>
      </c>
      <c r="F29" s="6" t="n">
        <v>200</v>
      </c>
      <c r="G29" s="6" t="n"/>
      <c r="H29" s="6" t="n"/>
      <c r="I29" s="6" t="n"/>
      <c r="J29" s="6" t="n">
        <v>200</v>
      </c>
      <c r="K29" s="8" t="n">
        <v>1.15</v>
      </c>
      <c r="L29" s="6" t="inlineStr">
        <is>
          <t>cái</t>
        </is>
      </c>
      <c r="M29" s="9" t="n">
        <v>2</v>
      </c>
      <c r="N29" s="9">
        <f>ROUND('00_TONG_HOP_BAO_GIA'!Q17, 0)</f>
        <v/>
      </c>
      <c r="O29" s="9">
        <f>ROUNDUP(N29*M29, -2)</f>
        <v/>
      </c>
      <c r="P29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0">
      <c r="A30" s="6" t="n">
        <v>17</v>
      </c>
      <c r="B30" s="7" t="inlineStr">
        <is>
          <t>MFD kích thước 900x400</t>
        </is>
      </c>
      <c r="C30" s="6" t="inlineStr">
        <is>
          <t>SWIND-1.02-MFD-EI90</t>
        </is>
      </c>
      <c r="D30" s="6" t="inlineStr">
        <is>
          <t>SWIND</t>
        </is>
      </c>
      <c r="E30" s="6" t="n">
        <v>900</v>
      </c>
      <c r="F30" s="6" t="n">
        <v>400</v>
      </c>
      <c r="G30" s="6" t="n"/>
      <c r="H30" s="6" t="n"/>
      <c r="I30" s="6" t="n"/>
      <c r="J30" s="6" t="n">
        <v>200</v>
      </c>
      <c r="K30" s="8" t="n">
        <v>1.15</v>
      </c>
      <c r="L30" s="6" t="inlineStr">
        <is>
          <t>cái</t>
        </is>
      </c>
      <c r="M30" s="9" t="n">
        <v>1</v>
      </c>
      <c r="N30" s="9">
        <f>ROUND('00_TONG_HOP_BAO_GIA'!Q18, 0)</f>
        <v/>
      </c>
      <c r="O30" s="9">
        <f>ROUNDUP(N30*M30, -2)</f>
        <v/>
      </c>
      <c r="P3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1">
      <c r="A31" s="6" t="n">
        <v>19</v>
      </c>
      <c r="B31" s="7" t="inlineStr">
        <is>
          <t>MFD kích thước 3600x2000</t>
        </is>
      </c>
      <c r="C31" s="6" t="inlineStr">
        <is>
          <t>SWIND-1.02-MFD-EI90</t>
        </is>
      </c>
      <c r="D31" s="6" t="inlineStr">
        <is>
          <t>SWIND</t>
        </is>
      </c>
      <c r="E31" s="6" t="n">
        <v>3600</v>
      </c>
      <c r="F31" s="6" t="n">
        <v>2000</v>
      </c>
      <c r="G31" s="6" t="n">
        <v>900</v>
      </c>
      <c r="H31" s="6" t="n">
        <v>666</v>
      </c>
      <c r="I31" s="6" t="n">
        <v>12</v>
      </c>
      <c r="J31" s="6" t="n">
        <v>200</v>
      </c>
      <c r="K31" s="8" t="n">
        <v>1.15</v>
      </c>
      <c r="L31" s="6" t="inlineStr">
        <is>
          <t>cái</t>
        </is>
      </c>
      <c r="M31" s="9" t="n">
        <v>1</v>
      </c>
      <c r="N31" s="9">
        <f>ROUND('00_TONG_HOP_BAO_GIA'!Q19, 0)</f>
        <v/>
      </c>
      <c r="O31" s="9">
        <f>ROUNDUP(N31*M31, -2)</f>
        <v/>
      </c>
      <c r="P31" s="7" t="inlineStr">
        <is>
          <t>- Van chống cháy động cơ - Tiêu chuẩn EI 90
- 2 đầu bích TDC - Gắn kèm động cơ ON-OFF 3.5Nm, 24V (Type: đóng mở nhanh) BELIMO - Model: FSLF24V US
- Sản xuất theo BCTN số 4752/VLXD-TBMT
- Chia 12 modul khi sản xuất</t>
        </is>
      </c>
    </row>
    <row r="32">
      <c r="A32" s="6" t="n">
        <v>20</v>
      </c>
      <c r="B32" s="7" t="inlineStr">
        <is>
          <t>MFD kích thước 2600x1700</t>
        </is>
      </c>
      <c r="C32" s="6" t="inlineStr">
        <is>
          <t>SWIND-1.02-MFD-EI90</t>
        </is>
      </c>
      <c r="D32" s="6" t="inlineStr">
        <is>
          <t>SWIND</t>
        </is>
      </c>
      <c r="E32" s="6" t="n">
        <v>2600</v>
      </c>
      <c r="F32" s="6" t="n">
        <v>1700</v>
      </c>
      <c r="G32" s="6" t="n">
        <v>866</v>
      </c>
      <c r="H32" s="6" t="n">
        <v>566</v>
      </c>
      <c r="I32" s="6" t="n">
        <v>9</v>
      </c>
      <c r="J32" s="6" t="n">
        <v>200</v>
      </c>
      <c r="K32" s="8" t="n">
        <v>1.15</v>
      </c>
      <c r="L32" s="6" t="inlineStr">
        <is>
          <t>cái</t>
        </is>
      </c>
      <c r="M32" s="9" t="n">
        <v>1</v>
      </c>
      <c r="N32" s="9">
        <f>ROUND('00_TONG_HOP_BAO_GIA'!Q20, 0)</f>
        <v/>
      </c>
      <c r="O32" s="9">
        <f>ROUNDUP(N32*M32, -2)</f>
        <v/>
      </c>
      <c r="P32" s="7" t="inlineStr">
        <is>
          <t>- Van chống cháy động cơ - Tiêu chuẩn EI 90
- 2 đầu bích TDC - Gắn kèm động cơ ON-OFF 3.5Nm, 24V (Type: đóng mở nhanh) BELIMO - Model: FSLF24V US
- Sản xuất theo BCTN số 4752/VLXD-TBMT
- Chia 9 modul khi sản xuất</t>
        </is>
      </c>
    </row>
    <row r="33">
      <c r="A33" s="6" t="n">
        <v>2</v>
      </c>
      <c r="B33" s="7" t="inlineStr">
        <is>
          <t>Van chặn lửa FD kích thước 800x400</t>
        </is>
      </c>
      <c r="C33" s="6" t="inlineStr">
        <is>
          <t>SWIND-2.01- E-FD-EI120</t>
        </is>
      </c>
      <c r="D33" s="6" t="inlineStr">
        <is>
          <t>SWIND</t>
        </is>
      </c>
      <c r="E33" s="6" t="n">
        <v>800</v>
      </c>
      <c r="F33" s="6" t="n">
        <v>400</v>
      </c>
      <c r="G33" s="6" t="n"/>
      <c r="H33" s="6" t="n"/>
      <c r="I33" s="6" t="n"/>
      <c r="J33" s="6" t="n">
        <v>200</v>
      </c>
      <c r="K33" s="8" t="n">
        <v>1.15</v>
      </c>
      <c r="L33" s="6" t="inlineStr">
        <is>
          <t>cái</t>
        </is>
      </c>
      <c r="M33" s="9" t="n">
        <v>4</v>
      </c>
      <c r="N33" s="9">
        <f>ROUND('00_TONG_HOP_BAO_GIA'!Q21, 0)</f>
        <v/>
      </c>
      <c r="O33" s="9">
        <f>ROUNDUP(N33*M33, -2)</f>
        <v/>
      </c>
      <c r="P33" s="7" t="inlineStr">
        <is>
          <t>- Van chặn lửa cầu chì - Tiêu chuẩn EI 120
- 2 đầu bích TDC - gắn cầu chì 70-74 độ C
- Sản xuất theo BCTN số: 4761/VLXD-TBMT</t>
        </is>
      </c>
    </row>
    <row r="34">
      <c r="A34" s="6" t="n">
        <v>1</v>
      </c>
      <c r="B34" s="7" t="inlineStr">
        <is>
          <t>Van chặn lửa FD kích thước 500x250</t>
        </is>
      </c>
      <c r="C34" s="6" t="inlineStr">
        <is>
          <t>SWIND-2.01- E-FD-EI120</t>
        </is>
      </c>
      <c r="D34" s="6" t="inlineStr">
        <is>
          <t>SWIND</t>
        </is>
      </c>
      <c r="E34" s="6" t="n">
        <v>500</v>
      </c>
      <c r="F34" s="6" t="n">
        <v>250</v>
      </c>
      <c r="G34" s="6" t="n"/>
      <c r="H34" s="6" t="n"/>
      <c r="I34" s="6" t="n"/>
      <c r="J34" s="6" t="n">
        <v>200</v>
      </c>
      <c r="K34" s="8" t="n">
        <v>1.15</v>
      </c>
      <c r="L34" s="6" t="inlineStr">
        <is>
          <t>cái</t>
        </is>
      </c>
      <c r="M34" s="9" t="n">
        <v>4</v>
      </c>
      <c r="N34" s="9">
        <f>ROUND('00_TONG_HOP_BAO_GIA'!Q22, 0)</f>
        <v/>
      </c>
      <c r="O34" s="9">
        <f>ROUNDUP(N34*M34, -2)</f>
        <v/>
      </c>
      <c r="P34" s="7" t="inlineStr">
        <is>
          <t>- Van chặn lửa cầu chì - Tiêu chuẩn EI 120
- 2 đầu bích TDC - gắn cầu chì 70-74 độ C
- Sản xuất theo BCTN số: 4761/VLXD-TBMT</t>
        </is>
      </c>
    </row>
    <row r="35">
      <c r="A35" s="6" t="n">
        <v>3</v>
      </c>
      <c r="B35" s="7" t="inlineStr">
        <is>
          <t>Van chặn lửa bằng động cơ MFD 2400x500</t>
        </is>
      </c>
      <c r="C35" s="6" t="inlineStr">
        <is>
          <t>SWIND-1.02-MFD-EI90</t>
        </is>
      </c>
      <c r="D35" s="6" t="inlineStr">
        <is>
          <t>SWIND</t>
        </is>
      </c>
      <c r="E35" s="6" t="n">
        <v>2400</v>
      </c>
      <c r="F35" s="6" t="n">
        <v>500</v>
      </c>
      <c r="G35" s="6" t="n">
        <v>800</v>
      </c>
      <c r="H35" s="6" t="n">
        <v>500</v>
      </c>
      <c r="I35" s="6" t="n">
        <v>3</v>
      </c>
      <c r="J35" s="6" t="n">
        <v>200</v>
      </c>
      <c r="K35" s="8" t="n">
        <v>1.15</v>
      </c>
      <c r="L35" s="6" t="inlineStr">
        <is>
          <t>cái</t>
        </is>
      </c>
      <c r="M35" s="9" t="n">
        <v>2</v>
      </c>
      <c r="N35" s="9">
        <f>ROUND('00_TONG_HOP_BAO_GIA'!Q23, 0)</f>
        <v/>
      </c>
      <c r="O35" s="9">
        <f>ROUNDUP(N35*M35, -2)</f>
        <v/>
      </c>
      <c r="P35" s="7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</row>
    <row r="36">
      <c r="A36" s="6" t="n">
        <v>4</v>
      </c>
      <c r="B36" s="7" t="inlineStr">
        <is>
          <t>Van chặn lửa bằng động cơ MFD 1700x500</t>
        </is>
      </c>
      <c r="C36" s="6" t="inlineStr">
        <is>
          <t>SWIND-1.02-MFD-EI90</t>
        </is>
      </c>
      <c r="D36" s="6" t="inlineStr">
        <is>
          <t>SWIND</t>
        </is>
      </c>
      <c r="E36" s="6" t="n">
        <v>1700</v>
      </c>
      <c r="F36" s="6" t="n">
        <v>500</v>
      </c>
      <c r="G36" s="6" t="n">
        <v>850</v>
      </c>
      <c r="H36" s="6" t="n">
        <v>500</v>
      </c>
      <c r="I36" s="6" t="n">
        <v>2</v>
      </c>
      <c r="J36" s="6" t="n">
        <v>200</v>
      </c>
      <c r="K36" s="8" t="n">
        <v>1.15</v>
      </c>
      <c r="L36" s="6" t="inlineStr">
        <is>
          <t>cái</t>
        </is>
      </c>
      <c r="M36" s="9" t="n">
        <v>1</v>
      </c>
      <c r="N36" s="9">
        <f>ROUND('00_TONG_HOP_BAO_GIA'!Q24, 0)</f>
        <v/>
      </c>
      <c r="O36" s="9">
        <f>ROUNDUP(N36*M36, -2)</f>
        <v/>
      </c>
      <c r="P36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7">
      <c r="A37" s="6" t="n">
        <v>5</v>
      </c>
      <c r="B37" s="7" t="inlineStr">
        <is>
          <t>Van chặn lửa bằng động cơ MFD 1200x300</t>
        </is>
      </c>
      <c r="C37" s="6" t="inlineStr">
        <is>
          <t>SWIND-1.02-MFD-EI90</t>
        </is>
      </c>
      <c r="D37" s="6" t="inlineStr">
        <is>
          <t>SWIND</t>
        </is>
      </c>
      <c r="E37" s="6" t="n">
        <v>1200</v>
      </c>
      <c r="F37" s="6" t="n">
        <v>300</v>
      </c>
      <c r="G37" s="6" t="n"/>
      <c r="H37" s="6" t="n"/>
      <c r="I37" s="6" t="n"/>
      <c r="J37" s="6" t="n">
        <v>200</v>
      </c>
      <c r="K37" s="8" t="n">
        <v>1.15</v>
      </c>
      <c r="L37" s="6" t="inlineStr">
        <is>
          <t>cái</t>
        </is>
      </c>
      <c r="M37" s="9" t="n">
        <v>1</v>
      </c>
      <c r="N37" s="9">
        <f>ROUND('00_TONG_HOP_BAO_GIA'!Q25, 0)</f>
        <v/>
      </c>
      <c r="O37" s="9">
        <f>ROUNDUP(N37*M37, -2)</f>
        <v/>
      </c>
      <c r="P37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8">
      <c r="A38" s="6" t="n">
        <v>6</v>
      </c>
      <c r="B38" s="7" t="inlineStr">
        <is>
          <t>Van chặn lửa bằng động cơ MFD 1500x1100</t>
        </is>
      </c>
      <c r="C38" s="6" t="inlineStr">
        <is>
          <t>SWIND-1.02-MFD-EI90</t>
        </is>
      </c>
      <c r="D38" s="6" t="inlineStr">
        <is>
          <t>SWIND</t>
        </is>
      </c>
      <c r="E38" s="6" t="n">
        <v>1500</v>
      </c>
      <c r="F38" s="6" t="n">
        <v>1100</v>
      </c>
      <c r="G38" s="6" t="n">
        <v>1500</v>
      </c>
      <c r="H38" s="6" t="n">
        <v>550</v>
      </c>
      <c r="I38" s="6" t="n">
        <v>2</v>
      </c>
      <c r="J38" s="6" t="n">
        <v>200</v>
      </c>
      <c r="K38" s="8" t="n">
        <v>1.15</v>
      </c>
      <c r="L38" s="6" t="inlineStr">
        <is>
          <t>cái</t>
        </is>
      </c>
      <c r="M38" s="9" t="n">
        <v>3</v>
      </c>
      <c r="N38" s="9">
        <f>ROUND('00_TONG_HOP_BAO_GIA'!Q26, 0)</f>
        <v/>
      </c>
      <c r="O38" s="9">
        <f>ROUNDUP(N38*M38, -2)</f>
        <v/>
      </c>
      <c r="P38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39">
      <c r="A39" s="6" t="n">
        <v>7</v>
      </c>
      <c r="B39" s="7" t="inlineStr">
        <is>
          <t>Van chặn lửa bằng động cơ MFD 1100x1000</t>
        </is>
      </c>
      <c r="C39" s="6" t="inlineStr">
        <is>
          <t>SWIND-1.02-MFD-EI90</t>
        </is>
      </c>
      <c r="D39" s="6" t="inlineStr">
        <is>
          <t>SWIND</t>
        </is>
      </c>
      <c r="E39" s="6" t="n">
        <v>1100</v>
      </c>
      <c r="F39" s="6" t="n">
        <v>1000</v>
      </c>
      <c r="G39" s="6" t="n">
        <v>1100</v>
      </c>
      <c r="H39" s="6" t="n">
        <v>500</v>
      </c>
      <c r="I39" s="6" t="n">
        <v>2</v>
      </c>
      <c r="J39" s="6" t="n">
        <v>200</v>
      </c>
      <c r="K39" s="8" t="n">
        <v>1.15</v>
      </c>
      <c r="L39" s="6" t="inlineStr">
        <is>
          <t>cái</t>
        </is>
      </c>
      <c r="M39" s="9" t="n">
        <v>3</v>
      </c>
      <c r="N39" s="9">
        <f>ROUND('00_TONG_HOP_BAO_GIA'!Q27, 0)</f>
        <v/>
      </c>
      <c r="O39" s="9">
        <f>ROUNDUP(N39*M39, -2)</f>
        <v/>
      </c>
      <c r="P39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40">
      <c r="A40" s="6" t="n">
        <v>8</v>
      </c>
      <c r="B40" s="7" t="inlineStr">
        <is>
          <t>Van chặn lửa bằng động cơ MFD 700x400</t>
        </is>
      </c>
      <c r="C40" s="6" t="inlineStr">
        <is>
          <t>SWIND-1.02-MFD-EI90</t>
        </is>
      </c>
      <c r="D40" s="6" t="inlineStr">
        <is>
          <t>SWIND</t>
        </is>
      </c>
      <c r="E40" s="6" t="n">
        <v>700</v>
      </c>
      <c r="F40" s="6" t="n">
        <v>400</v>
      </c>
      <c r="G40" s="6" t="n"/>
      <c r="H40" s="6" t="n"/>
      <c r="I40" s="6" t="n"/>
      <c r="J40" s="6" t="n">
        <v>200</v>
      </c>
      <c r="K40" s="8" t="n">
        <v>1.15</v>
      </c>
      <c r="L40" s="6" t="inlineStr">
        <is>
          <t>cái</t>
        </is>
      </c>
      <c r="M40" s="9" t="n">
        <v>10</v>
      </c>
      <c r="N40" s="9">
        <f>ROUND('00_TONG_HOP_BAO_GIA'!Q28, 0)</f>
        <v/>
      </c>
      <c r="O40" s="9">
        <f>ROUNDUP(N40*M40, -2)</f>
        <v/>
      </c>
      <c r="P4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1">
      <c r="A41" s="6" t="n">
        <v>1</v>
      </c>
      <c r="B41" s="7" t="inlineStr">
        <is>
          <t>Van chặn lửa FD cho quạt 900 m3/h, 50Pa</t>
        </is>
      </c>
      <c r="C41" s="6" t="inlineStr">
        <is>
          <t>SWIND-2.01- E-FD-EI120</t>
        </is>
      </c>
      <c r="D41" s="6" t="inlineStr">
        <is>
          <t>SWIND</t>
        </is>
      </c>
      <c r="E41" s="6" t="n">
        <v>400</v>
      </c>
      <c r="F41" s="6" t="n">
        <v>400</v>
      </c>
      <c r="G41" s="6" t="n"/>
      <c r="H41" s="6" t="n"/>
      <c r="I41" s="6" t="n"/>
      <c r="J41" s="6" t="n">
        <v>200</v>
      </c>
      <c r="K41" s="8" t="n">
        <v>1.15</v>
      </c>
      <c r="L41" s="6" t="inlineStr">
        <is>
          <t>cái</t>
        </is>
      </c>
      <c r="M41" s="9" t="n">
        <v>1</v>
      </c>
      <c r="N41" s="9">
        <f>ROUND('00_TONG_HOP_BAO_GIA'!Q29, 0)</f>
        <v/>
      </c>
      <c r="O41" s="9">
        <f>ROUNDUP(N41*M41, -2)</f>
        <v/>
      </c>
      <c r="P41" s="7" t="inlineStr">
        <is>
          <t>- Van chặn lửa cầu chì - Tiêu chuẩn EI 120
- 2 đầu bích TDC - gắn cầu chì 70-74 độ C
- Sản xuất theo BCTN số: 4761/VLXD-TBMT</t>
        </is>
      </c>
    </row>
    <row r="42">
      <c r="A42" s="6" t="n">
        <v>2</v>
      </c>
      <c r="B42" s="7" t="inlineStr">
        <is>
          <t>Van chặn lửa FD cho quạt 500 m3/h, 50Pa</t>
        </is>
      </c>
      <c r="C42" s="6" t="inlineStr">
        <is>
          <t>SWIND-2.01- E-FD-EI120</t>
        </is>
      </c>
      <c r="D42" s="6" t="inlineStr">
        <is>
          <t>SWIND</t>
        </is>
      </c>
      <c r="E42" s="6" t="n">
        <v>400</v>
      </c>
      <c r="F42" s="6" t="n">
        <v>400</v>
      </c>
      <c r="G42" s="6" t="n"/>
      <c r="H42" s="6" t="n"/>
      <c r="I42" s="6" t="n"/>
      <c r="J42" s="6" t="n">
        <v>200</v>
      </c>
      <c r="K42" s="8" t="n">
        <v>1.15</v>
      </c>
      <c r="L42" s="6" t="inlineStr">
        <is>
          <t>cái</t>
        </is>
      </c>
      <c r="M42" s="9" t="n">
        <v>1</v>
      </c>
      <c r="N42" s="9">
        <f>ROUND('00_TONG_HOP_BAO_GIA'!Q30, 0)</f>
        <v/>
      </c>
      <c r="O42" s="9">
        <f>ROUNDUP(N42*M42, -2)</f>
        <v/>
      </c>
      <c r="P42" s="7" t="inlineStr">
        <is>
          <t>- Van chặn lửa cầu chì - Tiêu chuẩn EI 120
- 2 đầu bích TDC - gắn cầu chì 70-74 độ C
- Sản xuất theo BCTN số: 4761/VLXD-TBMT</t>
        </is>
      </c>
    </row>
    <row r="43">
      <c r="A43" s="6" t="n">
        <v>3</v>
      </c>
      <c r="B43" s="7" t="inlineStr">
        <is>
          <t>Van chặn lửa FD cho quạt 100 m3/h, 50Pa</t>
        </is>
      </c>
      <c r="C43" s="6" t="inlineStr">
        <is>
          <t>SWIND-2.01- E-FD-EI120</t>
        </is>
      </c>
      <c r="D43" s="6" t="inlineStr">
        <is>
          <t>SWIND</t>
        </is>
      </c>
      <c r="E43" s="6" t="n">
        <v>400</v>
      </c>
      <c r="F43" s="6" t="n">
        <v>400</v>
      </c>
      <c r="G43" s="6" t="n"/>
      <c r="H43" s="6" t="n"/>
      <c r="I43" s="6" t="n"/>
      <c r="J43" s="6" t="n">
        <v>200</v>
      </c>
      <c r="K43" s="8" t="n">
        <v>1.15</v>
      </c>
      <c r="L43" s="6" t="inlineStr">
        <is>
          <t>cái</t>
        </is>
      </c>
      <c r="M43" s="9" t="n">
        <v>4</v>
      </c>
      <c r="N43" s="9">
        <f>ROUND('00_TONG_HOP_BAO_GIA'!Q31, 0)</f>
        <v/>
      </c>
      <c r="O43" s="9">
        <f>ROUNDUP(N43*M43, -2)</f>
        <v/>
      </c>
      <c r="P43" s="7" t="inlineStr">
        <is>
          <t>- Van chặn lửa cầu chì - Tiêu chuẩn EI 120
- 2 đầu bích TDC - gắn cầu chì 70-74 độ C
- Sản xuất theo BCTN số: 4761/VLXD-TBMT</t>
        </is>
      </c>
    </row>
    <row r="44">
      <c r="A44" s="6" t="n">
        <v>4</v>
      </c>
      <c r="B44" s="7" t="inlineStr">
        <is>
          <t>Van chặn lửa kèm động cơ MFD cho quạt 200 m3/h, 50Pa</t>
        </is>
      </c>
      <c r="C44" s="6" t="inlineStr">
        <is>
          <t>SWIND-1.02-MFD-EI90</t>
        </is>
      </c>
      <c r="D44" s="6" t="inlineStr">
        <is>
          <t>SWIND</t>
        </is>
      </c>
      <c r="E44" s="6" t="n">
        <v>400</v>
      </c>
      <c r="F44" s="6" t="n">
        <v>400</v>
      </c>
      <c r="G44" s="6" t="n"/>
      <c r="H44" s="6" t="n"/>
      <c r="I44" s="6" t="n"/>
      <c r="J44" s="6" t="n">
        <v>200</v>
      </c>
      <c r="K44" s="8" t="n">
        <v>1.15</v>
      </c>
      <c r="L44" s="6" t="inlineStr">
        <is>
          <t>cái</t>
        </is>
      </c>
      <c r="M44" s="9" t="n">
        <v>1</v>
      </c>
      <c r="N44" s="9">
        <f>ROUND('00_TONG_HOP_BAO_GIA'!Q32, 0)</f>
        <v/>
      </c>
      <c r="O44" s="9">
        <f>ROUNDUP(N44*M44, -2)</f>
        <v/>
      </c>
      <c r="P44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5">
      <c r="A45" s="6" t="n">
        <v>5</v>
      </c>
      <c r="B45" s="7" t="inlineStr">
        <is>
          <t>Van chặn lửa FD kích thước 1000x400</t>
        </is>
      </c>
      <c r="C45" s="6" t="inlineStr">
        <is>
          <t>SWIND-2.01- E-FD-EI120</t>
        </is>
      </c>
      <c r="D45" s="6" t="inlineStr">
        <is>
          <t>SWIND</t>
        </is>
      </c>
      <c r="E45" s="6" t="n">
        <v>1000</v>
      </c>
      <c r="F45" s="6" t="n">
        <v>400</v>
      </c>
      <c r="G45" s="6" t="n"/>
      <c r="H45" s="6" t="n"/>
      <c r="I45" s="6" t="n"/>
      <c r="J45" s="6" t="n">
        <v>200</v>
      </c>
      <c r="K45" s="8" t="n">
        <v>1.15</v>
      </c>
      <c r="L45" s="6" t="inlineStr">
        <is>
          <t>cái</t>
        </is>
      </c>
      <c r="M45" s="9" t="n">
        <v>1</v>
      </c>
      <c r="N45" s="9">
        <f>ROUND('00_TONG_HOP_BAO_GIA'!Q33, 0)</f>
        <v/>
      </c>
      <c r="O45" s="9">
        <f>ROUNDUP(N45*M45, -2)</f>
        <v/>
      </c>
      <c r="P45" s="7" t="inlineStr">
        <is>
          <t>- Van chặn lửa cầu chì - Tiêu chuẩn EI 120
- 2 đầu bích TDC - gắn cầu chì 70-74 độ C
- Sản xuất theo BCTN số: 4761/VLXD-TBMT</t>
        </is>
      </c>
    </row>
    <row r="46">
      <c r="A46" s="6" t="n">
        <v>7</v>
      </c>
      <c r="B46" s="7" t="inlineStr">
        <is>
          <t>Van chặn lửa FD kích thước 500x350</t>
        </is>
      </c>
      <c r="C46" s="6" t="inlineStr">
        <is>
          <t>SWIND-2.01- E-FD-EI120</t>
        </is>
      </c>
      <c r="D46" s="6" t="inlineStr">
        <is>
          <t>SWIND</t>
        </is>
      </c>
      <c r="E46" s="6" t="n">
        <v>500</v>
      </c>
      <c r="F46" s="6" t="n">
        <v>350</v>
      </c>
      <c r="G46" s="6" t="n"/>
      <c r="H46" s="6" t="n"/>
      <c r="I46" s="6" t="n"/>
      <c r="J46" s="6" t="n">
        <v>200</v>
      </c>
      <c r="K46" s="8" t="n">
        <v>1.15</v>
      </c>
      <c r="L46" s="6" t="inlineStr">
        <is>
          <t>cái</t>
        </is>
      </c>
      <c r="M46" s="9" t="n">
        <v>1</v>
      </c>
      <c r="N46" s="9">
        <f>ROUND('00_TONG_HOP_BAO_GIA'!Q34, 0)</f>
        <v/>
      </c>
      <c r="O46" s="9">
        <f>ROUNDUP(N46*M46, -2)</f>
        <v/>
      </c>
      <c r="P46" s="7" t="inlineStr">
        <is>
          <t>- Van chặn lửa cầu chì - Tiêu chuẩn EI 120
- 2 đầu bích TDC - gắn cầu chì 70-74 độ C
- Sản xuất theo BCTN số: 4761/VLXD-TBMT</t>
        </is>
      </c>
    </row>
    <row r="47">
      <c r="A47" s="6" t="n">
        <v>8</v>
      </c>
      <c r="B47" s="7" t="inlineStr">
        <is>
          <t>Van chặn lửa FD kích thước 400x300</t>
        </is>
      </c>
      <c r="C47" s="6" t="inlineStr">
        <is>
          <t>SWIND-2.01- E-FD-EI120</t>
        </is>
      </c>
      <c r="D47" s="6" t="inlineStr">
        <is>
          <t>SWIND</t>
        </is>
      </c>
      <c r="E47" s="6" t="n">
        <v>400</v>
      </c>
      <c r="F47" s="6" t="n">
        <v>300</v>
      </c>
      <c r="G47" s="6" t="n"/>
      <c r="H47" s="6" t="n"/>
      <c r="I47" s="6" t="n"/>
      <c r="J47" s="6" t="n">
        <v>200</v>
      </c>
      <c r="K47" s="8" t="n">
        <v>1.15</v>
      </c>
      <c r="L47" s="6" t="inlineStr">
        <is>
          <t>cái</t>
        </is>
      </c>
      <c r="M47" s="9" t="n">
        <v>4</v>
      </c>
      <c r="N47" s="9">
        <f>ROUND('00_TONG_HOP_BAO_GIA'!Q35, 0)</f>
        <v/>
      </c>
      <c r="O47" s="9">
        <f>ROUNDUP(N47*M47, -2)</f>
        <v/>
      </c>
      <c r="P47" s="7" t="inlineStr">
        <is>
          <t>- Van chặn lửa cầu chì - Tiêu chuẩn EI 120
- 2 đầu bích TDC - gắn cầu chì 70-74 độ C
- Sản xuất theo BCTN số: 4761/VLXD-TBMT</t>
        </is>
      </c>
    </row>
    <row r="48">
      <c r="A48" s="6" t="n">
        <v>10</v>
      </c>
      <c r="B48" s="7" t="inlineStr">
        <is>
          <t>Van chặn lửa FD kích thước 300x150</t>
        </is>
      </c>
      <c r="C48" s="6" t="inlineStr">
        <is>
          <t>SWIND-2.01- E-FD-EI120</t>
        </is>
      </c>
      <c r="D48" s="6" t="inlineStr">
        <is>
          <t>SWIND</t>
        </is>
      </c>
      <c r="E48" s="6" t="n">
        <v>300</v>
      </c>
      <c r="F48" s="6" t="n">
        <v>150</v>
      </c>
      <c r="G48" s="6" t="n"/>
      <c r="H48" s="6" t="n"/>
      <c r="I48" s="6" t="n"/>
      <c r="J48" s="6" t="n">
        <v>200</v>
      </c>
      <c r="K48" s="8" t="n">
        <v>1.15</v>
      </c>
      <c r="L48" s="6" t="inlineStr">
        <is>
          <t>cái</t>
        </is>
      </c>
      <c r="M48" s="9" t="n">
        <v>1</v>
      </c>
      <c r="N48" s="9">
        <f>ROUND('00_TONG_HOP_BAO_GIA'!Q36, 0)</f>
        <v/>
      </c>
      <c r="O48" s="9">
        <f>ROUNDUP(N48*M48, -2)</f>
        <v/>
      </c>
      <c r="P48" s="7" t="inlineStr">
        <is>
          <t>- Van chặn lửa cầu chì - Tiêu chuẩn EI 120
- 2 đầu bích TDC - gắn cầu chì 70-74 độ C
- Sản xuất theo BCTN số: 4761/VLXD-TBMT</t>
        </is>
      </c>
    </row>
    <row r="49">
      <c r="A49" s="6" t="n">
        <v>17</v>
      </c>
      <c r="B49" s="7" t="inlineStr">
        <is>
          <t>MFD kích thước 400x250</t>
        </is>
      </c>
      <c r="C49" s="6" t="inlineStr">
        <is>
          <t>SWIND-1.02-MFD-EI90</t>
        </is>
      </c>
      <c r="D49" s="6" t="inlineStr">
        <is>
          <t>SWIND</t>
        </is>
      </c>
      <c r="E49" s="6" t="n">
        <v>400</v>
      </c>
      <c r="F49" s="6" t="n">
        <v>250</v>
      </c>
      <c r="G49" s="6" t="n"/>
      <c r="H49" s="6" t="n"/>
      <c r="I49" s="6" t="n"/>
      <c r="J49" s="6" t="n">
        <v>200</v>
      </c>
      <c r="K49" s="8" t="n">
        <v>1.15</v>
      </c>
      <c r="L49" s="6" t="inlineStr">
        <is>
          <t>cái</t>
        </is>
      </c>
      <c r="M49" s="9" t="n">
        <v>1</v>
      </c>
      <c r="N49" s="9">
        <f>ROUND('00_TONG_HOP_BAO_GIA'!Q37, 0)</f>
        <v/>
      </c>
      <c r="O49" s="9">
        <f>ROUNDUP(N49*M49, -2)</f>
        <v/>
      </c>
      <c r="P49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0">
      <c r="A50" s="6" t="n">
        <v>18</v>
      </c>
      <c r="B50" s="7" t="inlineStr">
        <is>
          <t>MFD kích thước 500x400</t>
        </is>
      </c>
      <c r="C50" s="6" t="inlineStr">
        <is>
          <t>SWIND-1.02-MFD-EI90</t>
        </is>
      </c>
      <c r="D50" s="6" t="inlineStr">
        <is>
          <t>SWIND</t>
        </is>
      </c>
      <c r="E50" s="6" t="n">
        <v>500</v>
      </c>
      <c r="F50" s="6" t="n">
        <v>400</v>
      </c>
      <c r="G50" s="6" t="n"/>
      <c r="H50" s="6" t="n"/>
      <c r="I50" s="6" t="n"/>
      <c r="J50" s="6" t="n">
        <v>200</v>
      </c>
      <c r="K50" s="8" t="n">
        <v>1.15</v>
      </c>
      <c r="L50" s="6" t="inlineStr">
        <is>
          <t>cái</t>
        </is>
      </c>
      <c r="M50" s="9" t="n">
        <v>1</v>
      </c>
      <c r="N50" s="9">
        <f>ROUND('00_TONG_HOP_BAO_GIA'!Q38, 0)</f>
        <v/>
      </c>
      <c r="O50" s="9">
        <f>ROUNDUP(N50*M50, -2)</f>
        <v/>
      </c>
      <c r="P5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1">
      <c r="A51" s="6" t="n">
        <v>19</v>
      </c>
      <c r="B51" s="7" t="inlineStr">
        <is>
          <t>MFD kích thước 700x400</t>
        </is>
      </c>
      <c r="C51" s="6" t="inlineStr">
        <is>
          <t>SWIND-1.02-MFD-EI90</t>
        </is>
      </c>
      <c r="D51" s="6" t="inlineStr">
        <is>
          <t>SWIND</t>
        </is>
      </c>
      <c r="E51" s="6" t="n">
        <v>700</v>
      </c>
      <c r="F51" s="6" t="n">
        <v>400</v>
      </c>
      <c r="G51" s="6" t="n"/>
      <c r="H51" s="6" t="n"/>
      <c r="I51" s="6" t="n"/>
      <c r="J51" s="6" t="n">
        <v>200</v>
      </c>
      <c r="K51" s="8" t="n">
        <v>1.15</v>
      </c>
      <c r="L51" s="6" t="inlineStr">
        <is>
          <t>cái</t>
        </is>
      </c>
      <c r="M51" s="9" t="n">
        <v>1</v>
      </c>
      <c r="N51" s="9">
        <f>ROUND('00_TONG_HOP_BAO_GIA'!Q39, 0)</f>
        <v/>
      </c>
      <c r="O51" s="9">
        <f>ROUNDUP(N51*M51, -2)</f>
        <v/>
      </c>
      <c r="P51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2">
      <c r="A52" s="6" t="n">
        <v>20</v>
      </c>
      <c r="B52" s="7" t="inlineStr">
        <is>
          <t>MFD kích thước 1000x400</t>
        </is>
      </c>
      <c r="C52" s="6" t="inlineStr">
        <is>
          <t>SWIND-1.02-MFD-EI90</t>
        </is>
      </c>
      <c r="D52" s="6" t="inlineStr">
        <is>
          <t>SWIND</t>
        </is>
      </c>
      <c r="E52" s="6" t="n">
        <v>1000</v>
      </c>
      <c r="F52" s="6" t="n">
        <v>400</v>
      </c>
      <c r="G52" s="6" t="n"/>
      <c r="H52" s="6" t="n"/>
      <c r="I52" s="6" t="n"/>
      <c r="J52" s="6" t="n">
        <v>200</v>
      </c>
      <c r="K52" s="8" t="n">
        <v>1.15</v>
      </c>
      <c r="L52" s="6" t="inlineStr">
        <is>
          <t>cái</t>
        </is>
      </c>
      <c r="M52" s="9" t="n">
        <v>1</v>
      </c>
      <c r="N52" s="9">
        <f>ROUND('00_TONG_HOP_BAO_GIA'!Q40, 0)</f>
        <v/>
      </c>
      <c r="O52" s="9">
        <f>ROUNDUP(N52*M52, -2)</f>
        <v/>
      </c>
      <c r="P52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3">
      <c r="A53" s="6" t="n">
        <v>21</v>
      </c>
      <c r="B53" s="7" t="inlineStr">
        <is>
          <t>MFD kích thước 1300x1200</t>
        </is>
      </c>
      <c r="C53" s="6" t="inlineStr">
        <is>
          <t>SWIND-1.02-MFD-EI90</t>
        </is>
      </c>
      <c r="D53" s="6" t="inlineStr">
        <is>
          <t>SWIND</t>
        </is>
      </c>
      <c r="E53" s="6" t="n">
        <v>1300</v>
      </c>
      <c r="F53" s="6" t="n">
        <v>1200</v>
      </c>
      <c r="G53" s="6" t="n">
        <v>1300</v>
      </c>
      <c r="H53" s="6" t="n">
        <v>600</v>
      </c>
      <c r="I53" s="6" t="n">
        <v>2</v>
      </c>
      <c r="J53" s="6" t="n">
        <v>200</v>
      </c>
      <c r="K53" s="8" t="n">
        <v>1.15</v>
      </c>
      <c r="L53" s="6" t="inlineStr">
        <is>
          <t>cái</t>
        </is>
      </c>
      <c r="M53" s="9" t="n">
        <v>1</v>
      </c>
      <c r="N53" s="9">
        <f>ROUND('00_TONG_HOP_BAO_GIA'!Q41, 0)</f>
        <v/>
      </c>
      <c r="O53" s="9">
        <f>ROUNDUP(N53*M53, -2)</f>
        <v/>
      </c>
      <c r="P53" s="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54">
      <c r="A54" s="6" t="n">
        <v>22</v>
      </c>
      <c r="B54" s="7" t="inlineStr">
        <is>
          <t>MFD kích thước 1500x2000</t>
        </is>
      </c>
      <c r="C54" s="6" t="inlineStr">
        <is>
          <t>SWIND-1.02-MFD-EI90</t>
        </is>
      </c>
      <c r="D54" s="6" t="inlineStr">
        <is>
          <t>SWIND</t>
        </is>
      </c>
      <c r="E54" s="6" t="n">
        <v>1500</v>
      </c>
      <c r="F54" s="6" t="n">
        <v>2000</v>
      </c>
      <c r="G54" s="6" t="n">
        <v>1500</v>
      </c>
      <c r="H54" s="6" t="n">
        <v>666</v>
      </c>
      <c r="I54" s="6" t="n">
        <v>3</v>
      </c>
      <c r="J54" s="6" t="n">
        <v>200</v>
      </c>
      <c r="K54" s="8" t="n">
        <v>1.15</v>
      </c>
      <c r="L54" s="6" t="inlineStr">
        <is>
          <t>cái</t>
        </is>
      </c>
      <c r="M54" s="9" t="n">
        <v>1</v>
      </c>
      <c r="N54" s="9">
        <f>ROUND('00_TONG_HOP_BAO_GIA'!Q42, 0)</f>
        <v/>
      </c>
      <c r="O54" s="9">
        <f>ROUNDUP(N54*M54, -2)</f>
        <v/>
      </c>
      <c r="P54" s="7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</row>
    <row r="55">
      <c r="A55" s="6" t="n">
        <v>23</v>
      </c>
      <c r="B55" s="7" t="inlineStr">
        <is>
          <t>MFD kích thước 1900x3000</t>
        </is>
      </c>
      <c r="C55" s="6" t="inlineStr">
        <is>
          <t>SWIND-1.02-MFD-EI90</t>
        </is>
      </c>
      <c r="D55" s="6" t="inlineStr">
        <is>
          <t>SWIND</t>
        </is>
      </c>
      <c r="E55" s="6" t="n">
        <v>1900</v>
      </c>
      <c r="F55" s="6" t="n">
        <v>3000</v>
      </c>
      <c r="G55" s="6" t="n">
        <v>950</v>
      </c>
      <c r="H55" s="6" t="n">
        <v>750</v>
      </c>
      <c r="I55" s="6" t="n">
        <v>8</v>
      </c>
      <c r="J55" s="6" t="n">
        <v>200</v>
      </c>
      <c r="K55" s="8" t="n">
        <v>1.15</v>
      </c>
      <c r="L55" s="6" t="inlineStr">
        <is>
          <t>cái</t>
        </is>
      </c>
      <c r="M55" s="9" t="n">
        <v>1</v>
      </c>
      <c r="N55" s="9">
        <f>ROUND('00_TONG_HOP_BAO_GIA'!Q43, 0)</f>
        <v/>
      </c>
      <c r="O55" s="9">
        <f>ROUNDUP(N55*M55, -2)</f>
        <v/>
      </c>
      <c r="P55" s="7" t="inlineStr">
        <is>
          <t>- Van chống cháy động cơ - Tiêu chuẩn EI 90
- 2 đầu bích TDC - Gắn kèm động cơ ON-OFF 3.5Nm, 24V (Type: đóng mở nhanh) BELIMO - Model: FSLF24V US
- Sản xuất theo BCTN số 4752/VLXD-TBMT
- Chia 8 modul khi sản xuất</t>
        </is>
      </c>
    </row>
    <row r="56">
      <c r="A56" s="6" t="n">
        <v>4</v>
      </c>
      <c r="B56" s="7" t="inlineStr">
        <is>
          <t>Van chặn lửa bằng động cơ MFD kt: 900x400mm, EI30</t>
        </is>
      </c>
      <c r="C56" s="6" t="inlineStr">
        <is>
          <t>SWIND-1.02-MFD-EI90</t>
        </is>
      </c>
      <c r="D56" s="6" t="inlineStr">
        <is>
          <t>SWIND</t>
        </is>
      </c>
      <c r="E56" s="6" t="n">
        <v>900</v>
      </c>
      <c r="F56" s="6" t="n">
        <v>400</v>
      </c>
      <c r="G56" s="6" t="n"/>
      <c r="H56" s="6" t="n"/>
      <c r="I56" s="6" t="n"/>
      <c r="J56" s="6" t="n">
        <v>200</v>
      </c>
      <c r="K56" s="8" t="n">
        <v>1.15</v>
      </c>
      <c r="L56" s="6" t="inlineStr">
        <is>
          <t>Cái</t>
        </is>
      </c>
      <c r="M56" s="9" t="n">
        <v>17</v>
      </c>
      <c r="N56" s="9">
        <f>ROUND('00_TONG_HOP_BAO_GIA'!Q44, 0)</f>
        <v/>
      </c>
      <c r="O56" s="9">
        <f>ROUNDUP(N56*M56, -2)</f>
        <v/>
      </c>
      <c r="P56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7">
      <c r="A57" s="6" t="n">
        <v>12</v>
      </c>
      <c r="B57" s="7" t="inlineStr">
        <is>
          <t>Van chặn lửa FD kích thước 200x150</t>
        </is>
      </c>
      <c r="C57" s="6" t="inlineStr">
        <is>
          <t>SWIND-2.01- E-FD-EI120</t>
        </is>
      </c>
      <c r="D57" s="6" t="inlineStr">
        <is>
          <t>SWIND</t>
        </is>
      </c>
      <c r="E57" s="6" t="n">
        <v>200</v>
      </c>
      <c r="F57" s="6" t="n">
        <v>150</v>
      </c>
      <c r="G57" s="6" t="n"/>
      <c r="H57" s="6" t="n"/>
      <c r="I57" s="6" t="n"/>
      <c r="J57" s="6" t="n">
        <v>200</v>
      </c>
      <c r="K57" s="8" t="n">
        <v>1.15</v>
      </c>
      <c r="L57" s="6" t="inlineStr">
        <is>
          <t>cái</t>
        </is>
      </c>
      <c r="M57" s="9" t="n">
        <v>2</v>
      </c>
      <c r="N57" s="9">
        <f>ROUND('00_TONG_HOP_BAO_GIA'!Q45, 0)</f>
        <v/>
      </c>
      <c r="O57" s="9">
        <f>ROUNDUP(N57*M57, -2)</f>
        <v/>
      </c>
      <c r="P57" s="7" t="inlineStr">
        <is>
          <t>- Van chặn lửa cầu chì - Tiêu chuẩn EI 120
- 2 đầu bích TDC - gắn cầu chì 70-74 độ C
- Sản xuất theo BCTN số: 4761/VLXD-TBMT</t>
        </is>
      </c>
    </row>
    <row r="58">
      <c r="A58" s="6" t="n">
        <v>15</v>
      </c>
      <c r="B58" s="7" t="inlineStr">
        <is>
          <t>MFD kích thước 800x400</t>
        </is>
      </c>
      <c r="C58" s="6" t="inlineStr">
        <is>
          <t>SWIND-1.02-MFD-EI90</t>
        </is>
      </c>
      <c r="D58" s="6" t="inlineStr">
        <is>
          <t>SWIND</t>
        </is>
      </c>
      <c r="E58" s="6" t="n">
        <v>800</v>
      </c>
      <c r="F58" s="6" t="n">
        <v>400</v>
      </c>
      <c r="G58" s="6" t="n"/>
      <c r="H58" s="6" t="n"/>
      <c r="I58" s="6" t="n"/>
      <c r="J58" s="6" t="n">
        <v>200</v>
      </c>
      <c r="K58" s="8" t="n">
        <v>1.15</v>
      </c>
      <c r="L58" s="6" t="inlineStr">
        <is>
          <t>cái</t>
        </is>
      </c>
      <c r="M58" s="9" t="n">
        <v>1</v>
      </c>
      <c r="N58" s="9">
        <f>ROUND('00_TONG_HOP_BAO_GIA'!Q46, 0)</f>
        <v/>
      </c>
      <c r="O58" s="9">
        <f>ROUNDUP(N58*M58, -2)</f>
        <v/>
      </c>
      <c r="P58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59">
      <c r="A59" s="6" t="n">
        <v>18</v>
      </c>
      <c r="B59" s="7" t="inlineStr">
        <is>
          <t>MFD kích thước 500x300</t>
        </is>
      </c>
      <c r="C59" s="6" t="inlineStr">
        <is>
          <t>SWIND-1.02-MFD-EI90</t>
        </is>
      </c>
      <c r="D59" s="6" t="inlineStr">
        <is>
          <t>SWIND</t>
        </is>
      </c>
      <c r="E59" s="6" t="n">
        <v>500</v>
      </c>
      <c r="F59" s="6" t="n">
        <v>300</v>
      </c>
      <c r="G59" s="6" t="n"/>
      <c r="H59" s="6" t="n"/>
      <c r="I59" s="6" t="n"/>
      <c r="J59" s="6" t="n">
        <v>200</v>
      </c>
      <c r="K59" s="8" t="n">
        <v>1.15</v>
      </c>
      <c r="L59" s="6" t="inlineStr">
        <is>
          <t>cái</t>
        </is>
      </c>
      <c r="M59" s="9" t="n">
        <v>4</v>
      </c>
      <c r="N59" s="9">
        <f>ROUND('00_TONG_HOP_BAO_GIA'!Q47, 0)</f>
        <v/>
      </c>
      <c r="O59" s="9">
        <f>ROUNDUP(N59*M59, -2)</f>
        <v/>
      </c>
      <c r="P59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0">
      <c r="A60" s="6" t="n">
        <v>3</v>
      </c>
      <c r="B60" s="7" t="inlineStr">
        <is>
          <t>Van chặn lửa bằng động cơ MFD kt: 900x500mm, EI30</t>
        </is>
      </c>
      <c r="C60" s="6" t="inlineStr">
        <is>
          <t>SWIND-1.02-MFD-EI90</t>
        </is>
      </c>
      <c r="D60" s="6" t="inlineStr">
        <is>
          <t>SWIND</t>
        </is>
      </c>
      <c r="E60" s="6" t="n">
        <v>900</v>
      </c>
      <c r="F60" s="6" t="n">
        <v>500</v>
      </c>
      <c r="G60" s="6" t="n"/>
      <c r="H60" s="6" t="n"/>
      <c r="I60" s="6" t="n"/>
      <c r="J60" s="6" t="n">
        <v>200</v>
      </c>
      <c r="K60" s="8" t="n">
        <v>1.15</v>
      </c>
      <c r="L60" s="6" t="inlineStr">
        <is>
          <t>Cái</t>
        </is>
      </c>
      <c r="M60" s="9" t="n">
        <v>36</v>
      </c>
      <c r="N60" s="9">
        <f>ROUND('00_TONG_HOP_BAO_GIA'!Q48, 0)</f>
        <v/>
      </c>
      <c r="O60" s="9">
        <f>ROUNDUP(N60*M60, -2)</f>
        <v/>
      </c>
      <c r="P60" s="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2">
      <c r="B62" s="10" t="inlineStr">
        <is>
          <t>TỔNG CỘNG (CHƯA BAO GỒM VAT):</t>
        </is>
      </c>
      <c r="O62" s="11">
        <f>SUBTOTAL(9,O14:O60)</f>
        <v/>
      </c>
    </row>
    <row r="63">
      <c r="B63" s="10" t="inlineStr">
        <is>
          <t>THUẾ GTGT (VAT 8%):</t>
        </is>
      </c>
      <c r="O63" s="11">
        <f>ROUND(O62*0.08, 0)</f>
        <v/>
      </c>
    </row>
    <row r="64">
      <c r="B64" s="10" t="inlineStr">
        <is>
          <t>TỔNG CỘNG THANH TOÁN (ĐÃ GỒM VAT 8%):</t>
        </is>
      </c>
      <c r="O64" s="11">
        <f>O62+O63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2" t="inlineStr">
        <is>
          <t>STT</t>
        </is>
      </c>
      <c r="B1" s="12" t="inlineStr">
        <is>
          <t>ITEM_ID</t>
        </is>
      </c>
      <c r="C1" s="12" t="inlineStr">
        <is>
          <t>PHÂN NHÓM</t>
        </is>
      </c>
      <c r="D1" s="12" t="inlineStr">
        <is>
          <t>TÊN SẢN PHẨM</t>
        </is>
      </c>
      <c r="E1" s="12" t="inlineStr">
        <is>
          <t>QUY CÁCH (WxH)</t>
        </is>
      </c>
      <c r="F1" s="12" t="inlineStr">
        <is>
          <t>ĐVT</t>
        </is>
      </c>
      <c r="G1" s="12" t="inlineStr">
        <is>
          <t>SỐ LƯỢNG</t>
        </is>
      </c>
      <c r="H1" s="12" t="inlineStr">
        <is>
          <t>CP VẬT TƯ ỐNG</t>
        </is>
      </c>
      <c r="I1" s="12" t="inlineStr">
        <is>
          <t>CP VẬT TƯ CỬA</t>
        </is>
      </c>
      <c r="J1" s="12" t="inlineStr">
        <is>
          <t>CP VẬT TƯ VAN</t>
        </is>
      </c>
      <c r="K1" s="12" t="inlineStr">
        <is>
          <t>TỔNG CP VẬT TƯ</t>
        </is>
      </c>
      <c r="L1" s="12" t="inlineStr">
        <is>
          <t>NHÂN CÔNG (25%)</t>
        </is>
      </c>
      <c r="M1" s="12" t="inlineStr">
        <is>
          <t>CP XƯỞNG (10%)</t>
        </is>
      </c>
      <c r="N1" s="12" t="inlineStr">
        <is>
          <t>TỔNG GIÁ VỐN</t>
        </is>
      </c>
      <c r="O1" s="12" t="inlineStr">
        <is>
          <t>GIÁ VỐN / ĐVT</t>
        </is>
      </c>
      <c r="P1" s="12" t="inlineStr">
        <is>
          <t>MARGIN (%)</t>
        </is>
      </c>
      <c r="Q1" s="12" t="inlineStr">
        <is>
          <t>ĐƠN GIÁ BÁN</t>
        </is>
      </c>
      <c r="R1" s="12" t="inlineStr">
        <is>
          <t>THÀNH TIỀN (VNĐ)</t>
        </is>
      </c>
      <c r="S1" s="12" t="inlineStr">
        <is>
          <t>GHI CHÚ</t>
        </is>
      </c>
    </row>
    <row r="2">
      <c r="A2" t="n">
        <v>1</v>
      </c>
      <c r="B2" t="inlineStr">
        <is>
          <t>SW-DAMPER-001</t>
        </is>
      </c>
      <c r="C2" t="inlineStr">
        <is>
          <t>VAN GIÓ</t>
        </is>
      </c>
      <c r="D2" t="inlineStr">
        <is>
          <t>Van chặn lửa FD kích thước 600x300</t>
        </is>
      </c>
      <c r="E2" t="inlineStr">
        <is>
          <t>600x300</t>
        </is>
      </c>
      <c r="F2" t="inlineStr">
        <is>
          <t>cái</t>
        </is>
      </c>
      <c r="G2" s="13" t="n">
        <v>39</v>
      </c>
      <c r="H2" s="13">
        <f>SUMIF('01_BOC_TACH_ONG'!$B$2:$B$5000, B2, '01_BOC_TACH_ONG'!$K$2:$K$5000)</f>
        <v/>
      </c>
      <c r="I2" s="13">
        <f>SUMIF('02_BOC_TACH_CUA'!$B$2:$B$5000, B2, '02_BOC_TACH_CUA'!$K$2:$K$5000)</f>
        <v/>
      </c>
      <c r="J2" s="13">
        <f>SUMIF('03_BOC_TACH_VAN'!$B$2:$B$5000, B2, '03_BOC_TACH_VAN'!$K$2:$K$5000)</f>
        <v/>
      </c>
      <c r="K2" s="13">
        <f>SUM(H2:J2)</f>
        <v/>
      </c>
      <c r="L2" s="13">
        <f>(K2-SUMIFS('03_BOC_TACH_VAN'!$K$2:$K$5000, '03_BOC_TACH_VAN'!$B$2:$B$5000, B2, '03_BOC_TACH_VAN'!$D$2:$D$5000, "ĐỘNG_CƠ_VÀ_CẢM_BIẾN"))*0.25</f>
        <v/>
      </c>
      <c r="M2" s="13">
        <f>(K2-SUMIFS('03_BOC_TACH_VAN'!$K$2:$K$5000, '03_BOC_TACH_VAN'!$B$2:$B$5000, B2, '03_BOC_TACH_VAN'!$D$2:$D$5000, "ĐỘNG_CƠ_VÀ_CẢM_BIẾN"))*0.10</f>
        <v/>
      </c>
      <c r="N2" s="13">
        <f>K2+L2+M2</f>
        <v/>
      </c>
      <c r="O2" s="13">
        <f>IF(G2&gt;0, N2/G2, 0)</f>
        <v/>
      </c>
      <c r="P2" s="14" t="n">
        <v>0.18</v>
      </c>
      <c r="Q2" s="13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3">
        <f>G2*Q2</f>
        <v/>
      </c>
      <c r="S2" t="inlineStr">
        <is>
          <t>- Van chặn lửa cầu chì - Tiêu chuẩn EI 120
- 2 đầu bích TDC - gắn cầu chì 70-74 độ C
- Sản xuất theo BCTN số: 4761/VLXD-TBMT</t>
        </is>
      </c>
    </row>
    <row r="3">
      <c r="A3" t="n">
        <v>2</v>
      </c>
      <c r="B3" t="inlineStr">
        <is>
          <t>SW-DAMPER-002</t>
        </is>
      </c>
      <c r="C3" t="inlineStr">
        <is>
          <t>VAN GIÓ</t>
        </is>
      </c>
      <c r="D3" t="inlineStr">
        <is>
          <t>Van chặn lửa FD kích thước 400x200</t>
        </is>
      </c>
      <c r="E3" t="inlineStr">
        <is>
          <t>400x200</t>
        </is>
      </c>
      <c r="F3" t="inlineStr">
        <is>
          <t>cái</t>
        </is>
      </c>
      <c r="G3" s="13" t="n">
        <v>4</v>
      </c>
      <c r="H3" s="13">
        <f>SUMIF('01_BOC_TACH_ONG'!$B$2:$B$5000, B3, '01_BOC_TACH_ONG'!$K$2:$K$5000)</f>
        <v/>
      </c>
      <c r="I3" s="13">
        <f>SUMIF('02_BOC_TACH_CUA'!$B$2:$B$5000, B3, '02_BOC_TACH_CUA'!$K$2:$K$5000)</f>
        <v/>
      </c>
      <c r="J3" s="13">
        <f>SUMIF('03_BOC_TACH_VAN'!$B$2:$B$5000, B3, '03_BOC_TACH_VAN'!$K$2:$K$5000)</f>
        <v/>
      </c>
      <c r="K3" s="13">
        <f>SUM(H3:J3)</f>
        <v/>
      </c>
      <c r="L3" s="13">
        <f>(K3-SUMIFS('03_BOC_TACH_VAN'!$K$2:$K$5000, '03_BOC_TACH_VAN'!$B$2:$B$5000, B3, '03_BOC_TACH_VAN'!$D$2:$D$5000, "ĐỘNG_CƠ_VÀ_CẢM_BIẾN"))*0.25</f>
        <v/>
      </c>
      <c r="M3" s="13">
        <f>(K3-SUMIFS('03_BOC_TACH_VAN'!$K$2:$K$5000, '03_BOC_TACH_VAN'!$B$2:$B$5000, B3, '03_BOC_TACH_VAN'!$D$2:$D$5000, "ĐỘNG_CƠ_VÀ_CẢM_BIẾN"))*0.10</f>
        <v/>
      </c>
      <c r="N3" s="13">
        <f>K3+L3+M3</f>
        <v/>
      </c>
      <c r="O3" s="13">
        <f>IF(G3&gt;0, N3/G3, 0)</f>
        <v/>
      </c>
      <c r="P3" s="14" t="n">
        <v>0.18</v>
      </c>
      <c r="Q3" s="13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3">
        <f>G3*Q3</f>
        <v/>
      </c>
      <c r="S3" t="inlineStr">
        <is>
          <t>- Van chặn lửa cầu chì - Tiêu chuẩn EI 120
- 2 đầu bích TDC - gắn cầu chì 70-74 độ C
- Sản xuất theo BCTN số: 4761/VLXD-TBMT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Van chặn lửa FD kích thước 250x100</t>
        </is>
      </c>
      <c r="E4" t="inlineStr">
        <is>
          <t>250x100</t>
        </is>
      </c>
      <c r="F4" t="inlineStr">
        <is>
          <t>cái</t>
        </is>
      </c>
      <c r="G4" s="13" t="n">
        <v>814</v>
      </c>
      <c r="H4" s="13">
        <f>SUMIF('01_BOC_TACH_ONG'!$B$2:$B$5000, B4, '01_BOC_TACH_ONG'!$K$2:$K$5000)</f>
        <v/>
      </c>
      <c r="I4" s="13">
        <f>SUMIF('02_BOC_TACH_CUA'!$B$2:$B$5000, B4, '02_BOC_TACH_CUA'!$K$2:$K$5000)</f>
        <v/>
      </c>
      <c r="J4" s="13">
        <f>SUMIF('03_BOC_TACH_VAN'!$B$2:$B$5000, B4, '03_BOC_TACH_VAN'!$K$2:$K$5000)</f>
        <v/>
      </c>
      <c r="K4" s="13">
        <f>SUM(H4:J4)</f>
        <v/>
      </c>
      <c r="L4" s="13">
        <f>(K4-SUMIFS('03_BOC_TACH_VAN'!$K$2:$K$5000, '03_BOC_TACH_VAN'!$B$2:$B$5000, B4, '03_BOC_TACH_VAN'!$D$2:$D$5000, "ĐỘNG_CƠ_VÀ_CẢM_BIẾN"))*0.25</f>
        <v/>
      </c>
      <c r="M4" s="13">
        <f>(K4-SUMIFS('03_BOC_TACH_VAN'!$K$2:$K$5000, '03_BOC_TACH_VAN'!$B$2:$B$5000, B4, '03_BOC_TACH_VAN'!$D$2:$D$5000, "ĐỘNG_CƠ_VÀ_CẢM_BIẾN"))*0.10</f>
        <v/>
      </c>
      <c r="N4" s="13">
        <f>K4+L4+M4</f>
        <v/>
      </c>
      <c r="O4" s="13">
        <f>IF(G4&gt;0, N4/G4, 0)</f>
        <v/>
      </c>
      <c r="P4" s="14" t="n">
        <v>0.18</v>
      </c>
      <c r="Q4" s="13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3">
        <f>G4*Q4</f>
        <v/>
      </c>
      <c r="S4" t="inlineStr">
        <is>
          <t>- Van chặn lửa cầu chì - Tiêu chuẩn EI 120
- 2 đầu bích TDC - gắn cầu chì 70-74 độ C
- Sản xuất theo BCTN số: 4761/VLXD-TBMT
- Van thu côn 2 đầu</t>
        </is>
      </c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Van chặn lửa FD kích thước 900x400</t>
        </is>
      </c>
      <c r="E5" t="inlineStr">
        <is>
          <t>900x400</t>
        </is>
      </c>
      <c r="F5" t="inlineStr">
        <is>
          <t>cái</t>
        </is>
      </c>
      <c r="G5" s="13" t="n">
        <v>40</v>
      </c>
      <c r="H5" s="13">
        <f>SUMIF('01_BOC_TACH_ONG'!$B$2:$B$5000, B5, '01_BOC_TACH_ONG'!$K$2:$K$5000)</f>
        <v/>
      </c>
      <c r="I5" s="13">
        <f>SUMIF('02_BOC_TACH_CUA'!$B$2:$B$5000, B5, '02_BOC_TACH_CUA'!$K$2:$K$5000)</f>
        <v/>
      </c>
      <c r="J5" s="13">
        <f>SUMIF('03_BOC_TACH_VAN'!$B$2:$B$5000, B5, '03_BOC_TACH_VAN'!$K$2:$K$5000)</f>
        <v/>
      </c>
      <c r="K5" s="13">
        <f>SUM(H5:J5)</f>
        <v/>
      </c>
      <c r="L5" s="13">
        <f>(K5-SUMIFS('03_BOC_TACH_VAN'!$K$2:$K$5000, '03_BOC_TACH_VAN'!$B$2:$B$5000, B5, '03_BOC_TACH_VAN'!$D$2:$D$5000, "ĐỘNG_CƠ_VÀ_CẢM_BIẾN"))*0.25</f>
        <v/>
      </c>
      <c r="M5" s="13">
        <f>(K5-SUMIFS('03_BOC_TACH_VAN'!$K$2:$K$5000, '03_BOC_TACH_VAN'!$B$2:$B$5000, B5, '03_BOC_TACH_VAN'!$D$2:$D$5000, "ĐỘNG_CƠ_VÀ_CẢM_BIẾN"))*0.10</f>
        <v/>
      </c>
      <c r="N5" s="13">
        <f>K5+L5+M5</f>
        <v/>
      </c>
      <c r="O5" s="13">
        <f>IF(G5&gt;0, N5/G5, 0)</f>
        <v/>
      </c>
      <c r="P5" s="14" t="n">
        <v>0.18</v>
      </c>
      <c r="Q5" s="13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3">
        <f>G5*Q5</f>
        <v/>
      </c>
      <c r="S5" t="inlineStr">
        <is>
          <t>- Van chặn lửa cầu chì - Tiêu chuẩn EI 120
- 2 đầu bích TDC - gắn cầu chì 70-74 độ C
- Sản xuất theo BCTN số: 4761/VLXD-TBMT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Van chặn lửa FD kích thước 150x100</t>
        </is>
      </c>
      <c r="E6" t="inlineStr">
        <is>
          <t>150x100</t>
        </is>
      </c>
      <c r="F6" t="inlineStr">
        <is>
          <t>cái</t>
        </is>
      </c>
      <c r="G6" s="13" t="n">
        <v>814</v>
      </c>
      <c r="H6" s="13">
        <f>SUMIF('01_BOC_TACH_ONG'!$B$2:$B$5000, B6, '01_BOC_TACH_ONG'!$K$2:$K$5000)</f>
        <v/>
      </c>
      <c r="I6" s="13">
        <f>SUMIF('02_BOC_TACH_CUA'!$B$2:$B$5000, B6, '02_BOC_TACH_CUA'!$K$2:$K$5000)</f>
        <v/>
      </c>
      <c r="J6" s="13">
        <f>SUMIF('03_BOC_TACH_VAN'!$B$2:$B$5000, B6, '03_BOC_TACH_VAN'!$K$2:$K$5000)</f>
        <v/>
      </c>
      <c r="K6" s="13">
        <f>SUM(H6:J6)</f>
        <v/>
      </c>
      <c r="L6" s="13">
        <f>(K6-SUMIFS('03_BOC_TACH_VAN'!$K$2:$K$5000, '03_BOC_TACH_VAN'!$B$2:$B$5000, B6, '03_BOC_TACH_VAN'!$D$2:$D$5000, "ĐỘNG_CƠ_VÀ_CẢM_BIẾN"))*0.25</f>
        <v/>
      </c>
      <c r="M6" s="13">
        <f>(K6-SUMIFS('03_BOC_TACH_VAN'!$K$2:$K$5000, '03_BOC_TACH_VAN'!$B$2:$B$5000, B6, '03_BOC_TACH_VAN'!$D$2:$D$5000, "ĐỘNG_CƠ_VÀ_CẢM_BIẾN"))*0.10</f>
        <v/>
      </c>
      <c r="N6" s="13">
        <f>K6+L6+M6</f>
        <v/>
      </c>
      <c r="O6" s="13">
        <f>IF(G6&gt;0, N6/G6, 0)</f>
        <v/>
      </c>
      <c r="P6" s="14" t="n">
        <v>0.18</v>
      </c>
      <c r="Q6" s="13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3">
        <f>G6*Q6</f>
        <v/>
      </c>
      <c r="S6" t="inlineStr">
        <is>
          <t>- Van chặn lửa cầu chì - Tiêu chuẩn EI 120
- 2 đầu bích TDC - gắn cầu chì 70-74 độ C
- Sản xuất theo BCTN số: 4761/VLXD-TBMT
- Van thu côn 2 đầu</t>
        </is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Van chặn lửa FD kích thước 150x150</t>
        </is>
      </c>
      <c r="E7" t="inlineStr">
        <is>
          <t>150x150</t>
        </is>
      </c>
      <c r="F7" t="inlineStr">
        <is>
          <t>cái</t>
        </is>
      </c>
      <c r="G7" s="13" t="n">
        <v>44</v>
      </c>
      <c r="H7" s="13">
        <f>SUMIF('01_BOC_TACH_ONG'!$B$2:$B$5000, B7, '01_BOC_TACH_ONG'!$K$2:$K$5000)</f>
        <v/>
      </c>
      <c r="I7" s="13">
        <f>SUMIF('02_BOC_TACH_CUA'!$B$2:$B$5000, B7, '02_BOC_TACH_CUA'!$K$2:$K$5000)</f>
        <v/>
      </c>
      <c r="J7" s="13">
        <f>SUMIF('03_BOC_TACH_VAN'!$B$2:$B$5000, B7, '03_BOC_TACH_VAN'!$K$2:$K$5000)</f>
        <v/>
      </c>
      <c r="K7" s="13">
        <f>SUM(H7:J7)</f>
        <v/>
      </c>
      <c r="L7" s="13">
        <f>(K7-SUMIFS('03_BOC_TACH_VAN'!$K$2:$K$5000, '03_BOC_TACH_VAN'!$B$2:$B$5000, B7, '03_BOC_TACH_VAN'!$D$2:$D$5000, "ĐỘNG_CƠ_VÀ_CẢM_BIẾN"))*0.25</f>
        <v/>
      </c>
      <c r="M7" s="13">
        <f>(K7-SUMIFS('03_BOC_TACH_VAN'!$K$2:$K$5000, '03_BOC_TACH_VAN'!$B$2:$B$5000, B7, '03_BOC_TACH_VAN'!$D$2:$D$5000, "ĐỘNG_CƠ_VÀ_CẢM_BIẾN"))*0.10</f>
        <v/>
      </c>
      <c r="N7" s="13">
        <f>K7+L7+M7</f>
        <v/>
      </c>
      <c r="O7" s="13">
        <f>IF(G7&gt;0, N7/G7, 0)</f>
        <v/>
      </c>
      <c r="P7" s="14" t="n">
        <v>0.18</v>
      </c>
      <c r="Q7" s="13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3">
        <f>G7*Q7</f>
        <v/>
      </c>
      <c r="S7" t="inlineStr">
        <is>
          <t>- Van chặn lửa cầu chì - Tiêu chuẩn EI 120
- 2 đầu bích TDC - gắn cầu chì 70-74 độ C
- Sản xuất theo BCTN số: 4761/VLXD-TBMT</t>
        </is>
      </c>
    </row>
    <row r="8">
      <c r="A8" t="n">
        <v>7</v>
      </c>
      <c r="B8" t="inlineStr">
        <is>
          <t>SW-DAMPER-007</t>
        </is>
      </c>
      <c r="C8" t="inlineStr">
        <is>
          <t>VAN GIÓ</t>
        </is>
      </c>
      <c r="D8" t="inlineStr">
        <is>
          <t>Van chặn lửa FD kích thước cho quạt 700 m3/h, 50Pa</t>
        </is>
      </c>
      <c r="E8" t="inlineStr">
        <is>
          <t>400x400</t>
        </is>
      </c>
      <c r="F8" t="inlineStr">
        <is>
          <t>cái</t>
        </is>
      </c>
      <c r="G8" s="13" t="n">
        <v>3</v>
      </c>
      <c r="H8" s="13">
        <f>SUMIF('01_BOC_TACH_ONG'!$B$2:$B$5000, B8, '01_BOC_TACH_ONG'!$K$2:$K$5000)</f>
        <v/>
      </c>
      <c r="I8" s="13">
        <f>SUMIF('02_BOC_TACH_CUA'!$B$2:$B$5000, B8, '02_BOC_TACH_CUA'!$K$2:$K$5000)</f>
        <v/>
      </c>
      <c r="J8" s="13">
        <f>SUMIF('03_BOC_TACH_VAN'!$B$2:$B$5000, B8, '03_BOC_TACH_VAN'!$K$2:$K$5000)</f>
        <v/>
      </c>
      <c r="K8" s="13">
        <f>SUM(H8:J8)</f>
        <v/>
      </c>
      <c r="L8" s="13">
        <f>(K8-SUMIFS('03_BOC_TACH_VAN'!$K$2:$K$5000, '03_BOC_TACH_VAN'!$B$2:$B$5000, B8, '03_BOC_TACH_VAN'!$D$2:$D$5000, "ĐỘNG_CƠ_VÀ_CẢM_BIẾN"))*0.25</f>
        <v/>
      </c>
      <c r="M8" s="13">
        <f>(K8-SUMIFS('03_BOC_TACH_VAN'!$K$2:$K$5000, '03_BOC_TACH_VAN'!$B$2:$B$5000, B8, '03_BOC_TACH_VAN'!$D$2:$D$5000, "ĐỘNG_CƠ_VÀ_CẢM_BIẾN"))*0.10</f>
        <v/>
      </c>
      <c r="N8" s="13">
        <f>K8+L8+M8</f>
        <v/>
      </c>
      <c r="O8" s="13">
        <f>IF(G8&gt;0, N8/G8, 0)</f>
        <v/>
      </c>
      <c r="P8" s="14" t="n">
        <v>0.18</v>
      </c>
      <c r="Q8" s="13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3">
        <f>G8*Q8</f>
        <v/>
      </c>
      <c r="S8" t="inlineStr">
        <is>
          <t>- Van chặn lửa cầu chì - Tiêu chuẩn EI 120
- 2 đầu bích TDC - gắn cầu chì 70-74 độ C
- Sản xuất theo BCTN số: 4761/VLXD-TBMT</t>
        </is>
      </c>
    </row>
    <row r="9">
      <c r="A9" t="n">
        <v>8</v>
      </c>
      <c r="B9" t="inlineStr">
        <is>
          <t>SW-DAMPER-008</t>
        </is>
      </c>
      <c r="C9" t="inlineStr">
        <is>
          <t>VAN GIÓ</t>
        </is>
      </c>
      <c r="D9" t="inlineStr">
        <is>
          <t>Van chặn lửa FD kích thước cho quạt  600 m3/h, 50Pa</t>
        </is>
      </c>
      <c r="E9" t="inlineStr">
        <is>
          <t>400x400</t>
        </is>
      </c>
      <c r="F9" t="inlineStr">
        <is>
          <t>cái</t>
        </is>
      </c>
      <c r="G9" s="13" t="n">
        <v>1</v>
      </c>
      <c r="H9" s="13">
        <f>SUMIF('01_BOC_TACH_ONG'!$B$2:$B$5000, B9, '01_BOC_TACH_ONG'!$K$2:$K$5000)</f>
        <v/>
      </c>
      <c r="I9" s="13">
        <f>SUMIF('02_BOC_TACH_CUA'!$B$2:$B$5000, B9, '02_BOC_TACH_CUA'!$K$2:$K$5000)</f>
        <v/>
      </c>
      <c r="J9" s="13">
        <f>SUMIF('03_BOC_TACH_VAN'!$B$2:$B$5000, B9, '03_BOC_TACH_VAN'!$K$2:$K$5000)</f>
        <v/>
      </c>
      <c r="K9" s="13">
        <f>SUM(H9:J9)</f>
        <v/>
      </c>
      <c r="L9" s="13">
        <f>(K9-SUMIFS('03_BOC_TACH_VAN'!$K$2:$K$5000, '03_BOC_TACH_VAN'!$B$2:$B$5000, B9, '03_BOC_TACH_VAN'!$D$2:$D$5000, "ĐỘNG_CƠ_VÀ_CẢM_BIẾN"))*0.25</f>
        <v/>
      </c>
      <c r="M9" s="13">
        <f>(K9-SUMIFS('03_BOC_TACH_VAN'!$K$2:$K$5000, '03_BOC_TACH_VAN'!$B$2:$B$5000, B9, '03_BOC_TACH_VAN'!$D$2:$D$5000, "ĐỘNG_CƠ_VÀ_CẢM_BIẾN"))*0.10</f>
        <v/>
      </c>
      <c r="N9" s="13">
        <f>K9+L9+M9</f>
        <v/>
      </c>
      <c r="O9" s="13">
        <f>IF(G9&gt;0, N9/G9, 0)</f>
        <v/>
      </c>
      <c r="P9" s="14" t="n">
        <v>0.18</v>
      </c>
      <c r="Q9" s="13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3">
        <f>G9*Q9</f>
        <v/>
      </c>
      <c r="S9" t="inlineStr">
        <is>
          <t>- Van chặn lửa cầu chì - Tiêu chuẩn EI 120
- 2 đầu bích TDC - gắn cầu chì 70-74 độ C
- Sản xuất theo BCTN số: 4761/VLXD-TBMT</t>
        </is>
      </c>
    </row>
    <row r="10">
      <c r="A10" t="n">
        <v>9</v>
      </c>
      <c r="B10" t="inlineStr">
        <is>
          <t>SW-DAMPER-009</t>
        </is>
      </c>
      <c r="C10" t="inlineStr">
        <is>
          <t>VAN GIÓ</t>
        </is>
      </c>
      <c r="D10" t="inlineStr">
        <is>
          <t>Van chặn lửa FD kích thước cho quạt  900 m3/h, 50Pa</t>
        </is>
      </c>
      <c r="E10" t="inlineStr">
        <is>
          <t>400x400</t>
        </is>
      </c>
      <c r="F10" t="inlineStr">
        <is>
          <t>cái</t>
        </is>
      </c>
      <c r="G10" s="13" t="n">
        <v>1</v>
      </c>
      <c r="H10" s="13">
        <f>SUMIF('01_BOC_TACH_ONG'!$B$2:$B$5000, B10, '01_BOC_TACH_ONG'!$K$2:$K$5000)</f>
        <v/>
      </c>
      <c r="I10" s="13">
        <f>SUMIF('02_BOC_TACH_CUA'!$B$2:$B$5000, B10, '02_BOC_TACH_CUA'!$K$2:$K$5000)</f>
        <v/>
      </c>
      <c r="J10" s="13">
        <f>SUMIF('03_BOC_TACH_VAN'!$B$2:$B$5000, B10, '03_BOC_TACH_VAN'!$K$2:$K$5000)</f>
        <v/>
      </c>
      <c r="K10" s="13">
        <f>SUM(H10:J10)</f>
        <v/>
      </c>
      <c r="L10" s="13">
        <f>(K10-SUMIFS('03_BOC_TACH_VAN'!$K$2:$K$5000, '03_BOC_TACH_VAN'!$B$2:$B$5000, B10, '03_BOC_TACH_VAN'!$D$2:$D$5000, "ĐỘNG_CƠ_VÀ_CẢM_BIẾN"))*0.25</f>
        <v/>
      </c>
      <c r="M10" s="13">
        <f>(K10-SUMIFS('03_BOC_TACH_VAN'!$K$2:$K$5000, '03_BOC_TACH_VAN'!$B$2:$B$5000, B10, '03_BOC_TACH_VAN'!$D$2:$D$5000, "ĐỘNG_CƠ_VÀ_CẢM_BIẾN"))*0.10</f>
        <v/>
      </c>
      <c r="N10" s="13">
        <f>K10+L10+M10</f>
        <v/>
      </c>
      <c r="O10" s="13">
        <f>IF(G10&gt;0, N10/G10, 0)</f>
        <v/>
      </c>
      <c r="P10" s="14" t="n">
        <v>0.18</v>
      </c>
      <c r="Q10" s="13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3">
        <f>G10*Q10</f>
        <v/>
      </c>
      <c r="S10" t="inlineStr">
        <is>
          <t>- Van chặn lửa cầu chì - Tiêu chuẩn EI 120
- 2 đầu bích TDC - gắn cầu chì 70-74 độ C
- Sản xuất theo BCTN số: 4761/VLXD-TBMT</t>
        </is>
      </c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Van chặn lửa FD kích thước cho quạt  800 m3/h, 400Pa</t>
        </is>
      </c>
      <c r="E11" t="inlineStr">
        <is>
          <t>400x400</t>
        </is>
      </c>
      <c r="F11" t="inlineStr">
        <is>
          <t>cái</t>
        </is>
      </c>
      <c r="G11" s="13" t="n">
        <v>2</v>
      </c>
      <c r="H11" s="13">
        <f>SUMIF('01_BOC_TACH_ONG'!$B$2:$B$5000, B11, '01_BOC_TACH_ONG'!$K$2:$K$5000)</f>
        <v/>
      </c>
      <c r="I11" s="13">
        <f>SUMIF('02_BOC_TACH_CUA'!$B$2:$B$5000, B11, '02_BOC_TACH_CUA'!$K$2:$K$5000)</f>
        <v/>
      </c>
      <c r="J11" s="13">
        <f>SUMIF('03_BOC_TACH_VAN'!$B$2:$B$5000, B11, '03_BOC_TACH_VAN'!$K$2:$K$5000)</f>
        <v/>
      </c>
      <c r="K11" s="13">
        <f>SUM(H11:J11)</f>
        <v/>
      </c>
      <c r="L11" s="13">
        <f>(K11-SUMIFS('03_BOC_TACH_VAN'!$K$2:$K$5000, '03_BOC_TACH_VAN'!$B$2:$B$5000, B11, '03_BOC_TACH_VAN'!$D$2:$D$5000, "ĐỘNG_CƠ_VÀ_CẢM_BIẾN"))*0.25</f>
        <v/>
      </c>
      <c r="M11" s="13">
        <f>(K11-SUMIFS('03_BOC_TACH_VAN'!$K$2:$K$5000, '03_BOC_TACH_VAN'!$B$2:$B$5000, B11, '03_BOC_TACH_VAN'!$D$2:$D$5000, "ĐỘNG_CƠ_VÀ_CẢM_BIẾN"))*0.10</f>
        <v/>
      </c>
      <c r="N11" s="13">
        <f>K11+L11+M11</f>
        <v/>
      </c>
      <c r="O11" s="13">
        <f>IF(G11&gt;0, N11/G11, 0)</f>
        <v/>
      </c>
      <c r="P11" s="14" t="n">
        <v>0.18</v>
      </c>
      <c r="Q11" s="13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3">
        <f>G11*Q11</f>
        <v/>
      </c>
      <c r="S11" t="inlineStr">
        <is>
          <t>- Van chặn lửa cầu chì - Tiêu chuẩn EI 120
- 2 đầu bích TDC - gắn cầu chì 70-74 độ C
- Sản xuất theo BCTN số: 4761/VLXD-TBMT</t>
        </is>
      </c>
    </row>
    <row r="12">
      <c r="A12" t="n">
        <v>11</v>
      </c>
      <c r="B12" t="inlineStr">
        <is>
          <t>SW-DAMPER-011</t>
        </is>
      </c>
      <c r="C12" t="inlineStr">
        <is>
          <t>VAN GIÓ</t>
        </is>
      </c>
      <c r="D12" t="inlineStr">
        <is>
          <t>Van chặn lửa FD kích thước cho quạt  1800 m3/h, 50Pa</t>
        </is>
      </c>
      <c r="E12" t="inlineStr">
        <is>
          <t>400x400</t>
        </is>
      </c>
      <c r="F12" t="inlineStr">
        <is>
          <t>cái</t>
        </is>
      </c>
      <c r="G12" s="13" t="n">
        <v>1</v>
      </c>
      <c r="H12" s="13">
        <f>SUMIF('01_BOC_TACH_ONG'!$B$2:$B$5000, B12, '01_BOC_TACH_ONG'!$K$2:$K$5000)</f>
        <v/>
      </c>
      <c r="I12" s="13">
        <f>SUMIF('02_BOC_TACH_CUA'!$B$2:$B$5000, B12, '02_BOC_TACH_CUA'!$K$2:$K$5000)</f>
        <v/>
      </c>
      <c r="J12" s="13">
        <f>SUMIF('03_BOC_TACH_VAN'!$B$2:$B$5000, B12, '03_BOC_TACH_VAN'!$K$2:$K$5000)</f>
        <v/>
      </c>
      <c r="K12" s="13">
        <f>SUM(H12:J12)</f>
        <v/>
      </c>
      <c r="L12" s="13">
        <f>(K12-SUMIFS('03_BOC_TACH_VAN'!$K$2:$K$5000, '03_BOC_TACH_VAN'!$B$2:$B$5000, B12, '03_BOC_TACH_VAN'!$D$2:$D$5000, "ĐỘNG_CƠ_VÀ_CẢM_BIẾN"))*0.25</f>
        <v/>
      </c>
      <c r="M12" s="13">
        <f>(K12-SUMIFS('03_BOC_TACH_VAN'!$K$2:$K$5000, '03_BOC_TACH_VAN'!$B$2:$B$5000, B12, '03_BOC_TACH_VAN'!$D$2:$D$5000, "ĐỘNG_CƠ_VÀ_CẢM_BIẾN"))*0.10</f>
        <v/>
      </c>
      <c r="N12" s="13">
        <f>K12+L12+M12</f>
        <v/>
      </c>
      <c r="O12" s="13">
        <f>IF(G12&gt;0, N12/G12, 0)</f>
        <v/>
      </c>
      <c r="P12" s="14" t="n">
        <v>0.18</v>
      </c>
      <c r="Q12" s="13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3">
        <f>G12*Q12</f>
        <v/>
      </c>
      <c r="S12" t="inlineStr">
        <is>
          <t>- Van chặn lửa cầu chì - Tiêu chuẩn EI 120
- 2 đầu bích TDC - gắn cầu chì 70-74 độ C
- Sản xuất theo BCTN số: 4761/VLXD-TBMT</t>
        </is>
      </c>
    </row>
    <row r="13">
      <c r="A13" t="n">
        <v>12</v>
      </c>
      <c r="B13" t="inlineStr">
        <is>
          <t>SW-DAMPER-012</t>
        </is>
      </c>
      <c r="C13" t="inlineStr">
        <is>
          <t>VAN GIÓ</t>
        </is>
      </c>
      <c r="D13" t="inlineStr">
        <is>
          <t>Van chặn lửa FD kích thước cho quạt  1300 m3/h, 50Pa</t>
        </is>
      </c>
      <c r="E13" t="inlineStr">
        <is>
          <t>400x400</t>
        </is>
      </c>
      <c r="F13" t="inlineStr">
        <is>
          <t>cái</t>
        </is>
      </c>
      <c r="G13" s="13" t="n">
        <v>1</v>
      </c>
      <c r="H13" s="13">
        <f>SUMIF('01_BOC_TACH_ONG'!$B$2:$B$5000, B13, '01_BOC_TACH_ONG'!$K$2:$K$5000)</f>
        <v/>
      </c>
      <c r="I13" s="13">
        <f>SUMIF('02_BOC_TACH_CUA'!$B$2:$B$5000, B13, '02_BOC_TACH_CUA'!$K$2:$K$5000)</f>
        <v/>
      </c>
      <c r="J13" s="13">
        <f>SUMIF('03_BOC_TACH_VAN'!$B$2:$B$5000, B13, '03_BOC_TACH_VAN'!$K$2:$K$5000)</f>
        <v/>
      </c>
      <c r="K13" s="13">
        <f>SUM(H13:J13)</f>
        <v/>
      </c>
      <c r="L13" s="13">
        <f>(K13-SUMIFS('03_BOC_TACH_VAN'!$K$2:$K$5000, '03_BOC_TACH_VAN'!$B$2:$B$5000, B13, '03_BOC_TACH_VAN'!$D$2:$D$5000, "ĐỘNG_CƠ_VÀ_CẢM_BIẾN"))*0.25</f>
        <v/>
      </c>
      <c r="M13" s="13">
        <f>(K13-SUMIFS('03_BOC_TACH_VAN'!$K$2:$K$5000, '03_BOC_TACH_VAN'!$B$2:$B$5000, B13, '03_BOC_TACH_VAN'!$D$2:$D$5000, "ĐỘNG_CƠ_VÀ_CẢM_BIẾN"))*0.10</f>
        <v/>
      </c>
      <c r="N13" s="13">
        <f>K13+L13+M13</f>
        <v/>
      </c>
      <c r="O13" s="13">
        <f>IF(G13&gt;0, N13/G13, 0)</f>
        <v/>
      </c>
      <c r="P13" s="14" t="n">
        <v>0.18</v>
      </c>
      <c r="Q13" s="13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3">
        <f>G13*Q13</f>
        <v/>
      </c>
      <c r="S13" t="inlineStr">
        <is>
          <t>- Van chặn lửa cầu chì - Tiêu chuẩn EI 120
- 2 đầu bích TDC - gắn cầu chì 70-74 độ C
- Sản xuất theo BCTN số: 4761/VLXD-TBMT</t>
        </is>
      </c>
    </row>
    <row r="14">
      <c r="A14" t="n">
        <v>13</v>
      </c>
      <c r="B14" t="inlineStr">
        <is>
          <t>SW-DAMPER-013</t>
        </is>
      </c>
      <c r="C14" t="inlineStr">
        <is>
          <t>VAN GIÓ</t>
        </is>
      </c>
      <c r="D14" t="inlineStr">
        <is>
          <t>Van chặn lửa FD kích thước cho quạt  200 m3/h, 50Pa</t>
        </is>
      </c>
      <c r="E14" t="inlineStr">
        <is>
          <t>400x400</t>
        </is>
      </c>
      <c r="F14" t="inlineStr">
        <is>
          <t>cái</t>
        </is>
      </c>
      <c r="G14" s="13" t="n">
        <v>3</v>
      </c>
      <c r="H14" s="13">
        <f>SUMIF('01_BOC_TACH_ONG'!$B$2:$B$5000, B14, '01_BOC_TACH_ONG'!$K$2:$K$5000)</f>
        <v/>
      </c>
      <c r="I14" s="13">
        <f>SUMIF('02_BOC_TACH_CUA'!$B$2:$B$5000, B14, '02_BOC_TACH_CUA'!$K$2:$K$5000)</f>
        <v/>
      </c>
      <c r="J14" s="13">
        <f>SUMIF('03_BOC_TACH_VAN'!$B$2:$B$5000, B14, '03_BOC_TACH_VAN'!$K$2:$K$5000)</f>
        <v/>
      </c>
      <c r="K14" s="13">
        <f>SUM(H14:J14)</f>
        <v/>
      </c>
      <c r="L14" s="13">
        <f>(K14-SUMIFS('03_BOC_TACH_VAN'!$K$2:$K$5000, '03_BOC_TACH_VAN'!$B$2:$B$5000, B14, '03_BOC_TACH_VAN'!$D$2:$D$5000, "ĐỘNG_CƠ_VÀ_CẢM_BIẾN"))*0.25</f>
        <v/>
      </c>
      <c r="M14" s="13">
        <f>(K14-SUMIFS('03_BOC_TACH_VAN'!$K$2:$K$5000, '03_BOC_TACH_VAN'!$B$2:$B$5000, B14, '03_BOC_TACH_VAN'!$D$2:$D$5000, "ĐỘNG_CƠ_VÀ_CẢM_BIẾN"))*0.10</f>
        <v/>
      </c>
      <c r="N14" s="13">
        <f>K14+L14+M14</f>
        <v/>
      </c>
      <c r="O14" s="13">
        <f>IF(G14&gt;0, N14/G14, 0)</f>
        <v/>
      </c>
      <c r="P14" s="14" t="n">
        <v>0.18</v>
      </c>
      <c r="Q14" s="13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3">
        <f>G14*Q14</f>
        <v/>
      </c>
      <c r="S14" t="inlineStr">
        <is>
          <t>- Van chặn lửa cầu chì - Tiêu chuẩn EI 120
- 2 đầu bích TDC - gắn cầu chì 70-74 độ C
- Sản xuất theo BCTN số: 4761/VLXD-TBMT</t>
        </is>
      </c>
    </row>
    <row r="15">
      <c r="A15" t="n">
        <v>14</v>
      </c>
      <c r="B15" t="inlineStr">
        <is>
          <t>SW-DAMPER-014</t>
        </is>
      </c>
      <c r="C15" t="inlineStr">
        <is>
          <t>VAN GIÓ</t>
        </is>
      </c>
      <c r="D15" t="inlineStr">
        <is>
          <t>Van chặn lửa FD kích thước 500x300</t>
        </is>
      </c>
      <c r="E15" t="inlineStr">
        <is>
          <t>500x300</t>
        </is>
      </c>
      <c r="F15" t="inlineStr">
        <is>
          <t>cái</t>
        </is>
      </c>
      <c r="G15" s="13" t="n">
        <v>6</v>
      </c>
      <c r="H15" s="13">
        <f>SUMIF('01_BOC_TACH_ONG'!$B$2:$B$5000, B15, '01_BOC_TACH_ONG'!$K$2:$K$5000)</f>
        <v/>
      </c>
      <c r="I15" s="13">
        <f>SUMIF('02_BOC_TACH_CUA'!$B$2:$B$5000, B15, '02_BOC_TACH_CUA'!$K$2:$K$5000)</f>
        <v/>
      </c>
      <c r="J15" s="13">
        <f>SUMIF('03_BOC_TACH_VAN'!$B$2:$B$5000, B15, '03_BOC_TACH_VAN'!$K$2:$K$5000)</f>
        <v/>
      </c>
      <c r="K15" s="13">
        <f>SUM(H15:J15)</f>
        <v/>
      </c>
      <c r="L15" s="13">
        <f>(K15-SUMIFS('03_BOC_TACH_VAN'!$K$2:$K$5000, '03_BOC_TACH_VAN'!$B$2:$B$5000, B15, '03_BOC_TACH_VAN'!$D$2:$D$5000, "ĐỘNG_CƠ_VÀ_CẢM_BIẾN"))*0.25</f>
        <v/>
      </c>
      <c r="M15" s="13">
        <f>(K15-SUMIFS('03_BOC_TACH_VAN'!$K$2:$K$5000, '03_BOC_TACH_VAN'!$B$2:$B$5000, B15, '03_BOC_TACH_VAN'!$D$2:$D$5000, "ĐỘNG_CƠ_VÀ_CẢM_BIẾN"))*0.10</f>
        <v/>
      </c>
      <c r="N15" s="13">
        <f>K15+L15+M15</f>
        <v/>
      </c>
      <c r="O15" s="13">
        <f>IF(G15&gt;0, N15/G15, 0)</f>
        <v/>
      </c>
      <c r="P15" s="14" t="n">
        <v>0.18</v>
      </c>
      <c r="Q15" s="13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3">
        <f>G15*Q15</f>
        <v/>
      </c>
      <c r="S15" t="inlineStr">
        <is>
          <t>- Van chặn lửa cầu chì - Tiêu chuẩn EI 120
- 2 đầu bích TDC - gắn cầu chì 70-74 độ C
- Sản xuất theo BCTN số: 4761/VLXD-TBMT</t>
        </is>
      </c>
    </row>
    <row r="16">
      <c r="A16" t="n">
        <v>15</v>
      </c>
      <c r="B16" t="inlineStr">
        <is>
          <t>SW-DAMPER-015</t>
        </is>
      </c>
      <c r="C16" t="inlineStr">
        <is>
          <t>VAN GIÓ</t>
        </is>
      </c>
      <c r="D16" t="inlineStr">
        <is>
          <t>Van chặn lửa FD kích thước 300x200</t>
        </is>
      </c>
      <c r="E16" t="inlineStr">
        <is>
          <t>300x200</t>
        </is>
      </c>
      <c r="F16" t="inlineStr">
        <is>
          <t>cái</t>
        </is>
      </c>
      <c r="G16" s="13" t="n">
        <v>2</v>
      </c>
      <c r="H16" s="13">
        <f>SUMIF('01_BOC_TACH_ONG'!$B$2:$B$5000, B16, '01_BOC_TACH_ONG'!$K$2:$K$5000)</f>
        <v/>
      </c>
      <c r="I16" s="13">
        <f>SUMIF('02_BOC_TACH_CUA'!$B$2:$B$5000, B16, '02_BOC_TACH_CUA'!$K$2:$K$5000)</f>
        <v/>
      </c>
      <c r="J16" s="13">
        <f>SUMIF('03_BOC_TACH_VAN'!$B$2:$B$5000, B16, '03_BOC_TACH_VAN'!$K$2:$K$5000)</f>
        <v/>
      </c>
      <c r="K16" s="13">
        <f>SUM(H16:J16)</f>
        <v/>
      </c>
      <c r="L16" s="13">
        <f>(K16-SUMIFS('03_BOC_TACH_VAN'!$K$2:$K$5000, '03_BOC_TACH_VAN'!$B$2:$B$5000, B16, '03_BOC_TACH_VAN'!$D$2:$D$5000, "ĐỘNG_CƠ_VÀ_CẢM_BIẾN"))*0.25</f>
        <v/>
      </c>
      <c r="M16" s="13">
        <f>(K16-SUMIFS('03_BOC_TACH_VAN'!$K$2:$K$5000, '03_BOC_TACH_VAN'!$B$2:$B$5000, B16, '03_BOC_TACH_VAN'!$D$2:$D$5000, "ĐỘNG_CƠ_VÀ_CẢM_BIẾN"))*0.10</f>
        <v/>
      </c>
      <c r="N16" s="13">
        <f>K16+L16+M16</f>
        <v/>
      </c>
      <c r="O16" s="13">
        <f>IF(G16&gt;0, N16/G16, 0)</f>
        <v/>
      </c>
      <c r="P16" s="14" t="n">
        <v>0.18</v>
      </c>
      <c r="Q16" s="13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3">
        <f>G16*Q16</f>
        <v/>
      </c>
      <c r="S16" t="inlineStr">
        <is>
          <t>- Van chặn lửa cầu chì - Tiêu chuẩn EI 120
- 2 đầu bích TDC - gắn cầu chì 70-74 độ C
- Sản xuất theo BCTN số: 4761/VLXD-TBMT</t>
        </is>
      </c>
    </row>
    <row r="17">
      <c r="A17" t="n">
        <v>16</v>
      </c>
      <c r="B17" t="inlineStr">
        <is>
          <t>SW-DAMPER-016</t>
        </is>
      </c>
      <c r="C17" t="inlineStr">
        <is>
          <t>VAN GIÓ</t>
        </is>
      </c>
      <c r="D17" t="inlineStr">
        <is>
          <t>MFD kích thước 500x200</t>
        </is>
      </c>
      <c r="E17" t="inlineStr">
        <is>
          <t>500x200</t>
        </is>
      </c>
      <c r="F17" t="inlineStr">
        <is>
          <t>cái</t>
        </is>
      </c>
      <c r="G17" s="13" t="n">
        <v>2</v>
      </c>
      <c r="H17" s="13">
        <f>SUMIF('01_BOC_TACH_ONG'!$B$2:$B$5000, B17, '01_BOC_TACH_ONG'!$K$2:$K$5000)</f>
        <v/>
      </c>
      <c r="I17" s="13">
        <f>SUMIF('02_BOC_TACH_CUA'!$B$2:$B$5000, B17, '02_BOC_TACH_CUA'!$K$2:$K$5000)</f>
        <v/>
      </c>
      <c r="J17" s="13">
        <f>SUMIF('03_BOC_TACH_VAN'!$B$2:$B$5000, B17, '03_BOC_TACH_VAN'!$K$2:$K$5000)</f>
        <v/>
      </c>
      <c r="K17" s="13">
        <f>SUM(H17:J17)</f>
        <v/>
      </c>
      <c r="L17" s="13">
        <f>(K17-SUMIFS('03_BOC_TACH_VAN'!$K$2:$K$5000, '03_BOC_TACH_VAN'!$B$2:$B$5000, B17, '03_BOC_TACH_VAN'!$D$2:$D$5000, "ĐỘNG_CƠ_VÀ_CẢM_BIẾN"))*0.25</f>
        <v/>
      </c>
      <c r="M17" s="13">
        <f>(K17-SUMIFS('03_BOC_TACH_VAN'!$K$2:$K$5000, '03_BOC_TACH_VAN'!$B$2:$B$5000, B17, '03_BOC_TACH_VAN'!$D$2:$D$5000, "ĐỘNG_CƠ_VÀ_CẢM_BIẾN"))*0.10</f>
        <v/>
      </c>
      <c r="N17" s="13">
        <f>K17+L17+M17</f>
        <v/>
      </c>
      <c r="O17" s="13">
        <f>IF(G17&gt;0, N17/G17, 0)</f>
        <v/>
      </c>
      <c r="P17" s="14" t="n">
        <v>0.18</v>
      </c>
      <c r="Q17" s="13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3">
        <f>G17*Q17</f>
        <v/>
      </c>
      <c r="S1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8">
      <c r="A18" t="n">
        <v>17</v>
      </c>
      <c r="B18" t="inlineStr">
        <is>
          <t>SW-DAMPER-017</t>
        </is>
      </c>
      <c r="C18" t="inlineStr">
        <is>
          <t>VAN GIÓ</t>
        </is>
      </c>
      <c r="D18" t="inlineStr">
        <is>
          <t>MFD kích thước 900x400</t>
        </is>
      </c>
      <c r="E18" t="inlineStr">
        <is>
          <t>900x400</t>
        </is>
      </c>
      <c r="F18" t="inlineStr">
        <is>
          <t>cái</t>
        </is>
      </c>
      <c r="G18" s="13" t="n">
        <v>1</v>
      </c>
      <c r="H18" s="13">
        <f>SUMIF('01_BOC_TACH_ONG'!$B$2:$B$5000, B18, '01_BOC_TACH_ONG'!$K$2:$K$5000)</f>
        <v/>
      </c>
      <c r="I18" s="13">
        <f>SUMIF('02_BOC_TACH_CUA'!$B$2:$B$5000, B18, '02_BOC_TACH_CUA'!$K$2:$K$5000)</f>
        <v/>
      </c>
      <c r="J18" s="13">
        <f>SUMIF('03_BOC_TACH_VAN'!$B$2:$B$5000, B18, '03_BOC_TACH_VAN'!$K$2:$K$5000)</f>
        <v/>
      </c>
      <c r="K18" s="13">
        <f>SUM(H18:J18)</f>
        <v/>
      </c>
      <c r="L18" s="13">
        <f>(K18-SUMIFS('03_BOC_TACH_VAN'!$K$2:$K$5000, '03_BOC_TACH_VAN'!$B$2:$B$5000, B18, '03_BOC_TACH_VAN'!$D$2:$D$5000, "ĐỘNG_CƠ_VÀ_CẢM_BIẾN"))*0.25</f>
        <v/>
      </c>
      <c r="M18" s="13">
        <f>(K18-SUMIFS('03_BOC_TACH_VAN'!$K$2:$K$5000, '03_BOC_TACH_VAN'!$B$2:$B$5000, B18, '03_BOC_TACH_VAN'!$D$2:$D$5000, "ĐỘNG_CƠ_VÀ_CẢM_BIẾN"))*0.10</f>
        <v/>
      </c>
      <c r="N18" s="13">
        <f>K18+L18+M18</f>
        <v/>
      </c>
      <c r="O18" s="13">
        <f>IF(G18&gt;0, N18/G18, 0)</f>
        <v/>
      </c>
      <c r="P18" s="14" t="n">
        <v>0.18</v>
      </c>
      <c r="Q18" s="13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3">
        <f>G18*Q18</f>
        <v/>
      </c>
      <c r="S18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19">
      <c r="A19" t="n">
        <v>18</v>
      </c>
      <c r="B19" t="inlineStr">
        <is>
          <t>SW-DAMPER-018</t>
        </is>
      </c>
      <c r="C19" t="inlineStr">
        <is>
          <t>VAN GIÓ</t>
        </is>
      </c>
      <c r="D19" t="inlineStr">
        <is>
          <t>MFD kích thước 3600x2000</t>
        </is>
      </c>
      <c r="E19" t="inlineStr">
        <is>
          <t>3600x2000</t>
        </is>
      </c>
      <c r="F19" t="inlineStr">
        <is>
          <t>cái</t>
        </is>
      </c>
      <c r="G19" s="13" t="n">
        <v>1</v>
      </c>
      <c r="H19" s="13">
        <f>SUMIF('01_BOC_TACH_ONG'!$B$2:$B$5000, B19, '01_BOC_TACH_ONG'!$K$2:$K$5000)</f>
        <v/>
      </c>
      <c r="I19" s="13">
        <f>SUMIF('02_BOC_TACH_CUA'!$B$2:$B$5000, B19, '02_BOC_TACH_CUA'!$K$2:$K$5000)</f>
        <v/>
      </c>
      <c r="J19" s="13">
        <f>SUMIF('03_BOC_TACH_VAN'!$B$2:$B$5000, B19, '03_BOC_TACH_VAN'!$K$2:$K$5000)</f>
        <v/>
      </c>
      <c r="K19" s="13">
        <f>SUM(H19:J19)</f>
        <v/>
      </c>
      <c r="L19" s="13">
        <f>(K19-SUMIFS('03_BOC_TACH_VAN'!$K$2:$K$5000, '03_BOC_TACH_VAN'!$B$2:$B$5000, B19, '03_BOC_TACH_VAN'!$D$2:$D$5000, "ĐỘNG_CƠ_VÀ_CẢM_BIẾN"))*0.25</f>
        <v/>
      </c>
      <c r="M19" s="13">
        <f>(K19-SUMIFS('03_BOC_TACH_VAN'!$K$2:$K$5000, '03_BOC_TACH_VAN'!$B$2:$B$5000, B19, '03_BOC_TACH_VAN'!$D$2:$D$5000, "ĐỘNG_CƠ_VÀ_CẢM_BIẾN"))*0.10</f>
        <v/>
      </c>
      <c r="N19" s="13">
        <f>K19+L19+M19</f>
        <v/>
      </c>
      <c r="O19" s="13">
        <f>IF(G19&gt;0, N19/G19, 0)</f>
        <v/>
      </c>
      <c r="P19" s="14" t="n">
        <v>0.18</v>
      </c>
      <c r="Q19" s="13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3">
        <f>G19*Q19</f>
        <v/>
      </c>
      <c r="S19" t="inlineStr">
        <is>
          <t>- Van chống cháy động cơ - Tiêu chuẩn EI 90
- 2 đầu bích TDC - Gắn kèm động cơ ON-OFF 3.5Nm, 24V (Type: đóng mở nhanh) BELIMO - Model: FSLF24V US
- Sản xuất theo BCTN số 4752/VLXD-TBMT
- Chia 12 modul khi sản xuất</t>
        </is>
      </c>
    </row>
    <row r="20">
      <c r="A20" t="n">
        <v>19</v>
      </c>
      <c r="B20" t="inlineStr">
        <is>
          <t>SW-DAMPER-019</t>
        </is>
      </c>
      <c r="C20" t="inlineStr">
        <is>
          <t>VAN GIÓ</t>
        </is>
      </c>
      <c r="D20" t="inlineStr">
        <is>
          <t>MFD kích thước 2600x1700</t>
        </is>
      </c>
      <c r="E20" t="inlineStr">
        <is>
          <t>2600x1700</t>
        </is>
      </c>
      <c r="F20" t="inlineStr">
        <is>
          <t>cái</t>
        </is>
      </c>
      <c r="G20" s="13" t="n">
        <v>1</v>
      </c>
      <c r="H20" s="13">
        <f>SUMIF('01_BOC_TACH_ONG'!$B$2:$B$5000, B20, '01_BOC_TACH_ONG'!$K$2:$K$5000)</f>
        <v/>
      </c>
      <c r="I20" s="13">
        <f>SUMIF('02_BOC_TACH_CUA'!$B$2:$B$5000, B20, '02_BOC_TACH_CUA'!$K$2:$K$5000)</f>
        <v/>
      </c>
      <c r="J20" s="13">
        <f>SUMIF('03_BOC_TACH_VAN'!$B$2:$B$5000, B20, '03_BOC_TACH_VAN'!$K$2:$K$5000)</f>
        <v/>
      </c>
      <c r="K20" s="13">
        <f>SUM(H20:J20)</f>
        <v/>
      </c>
      <c r="L20" s="13">
        <f>(K20-SUMIFS('03_BOC_TACH_VAN'!$K$2:$K$5000, '03_BOC_TACH_VAN'!$B$2:$B$5000, B20, '03_BOC_TACH_VAN'!$D$2:$D$5000, "ĐỘNG_CƠ_VÀ_CẢM_BIẾN"))*0.25</f>
        <v/>
      </c>
      <c r="M20" s="13">
        <f>(K20-SUMIFS('03_BOC_TACH_VAN'!$K$2:$K$5000, '03_BOC_TACH_VAN'!$B$2:$B$5000, B20, '03_BOC_TACH_VAN'!$D$2:$D$5000, "ĐỘNG_CƠ_VÀ_CẢM_BIẾN"))*0.10</f>
        <v/>
      </c>
      <c r="N20" s="13">
        <f>K20+L20+M20</f>
        <v/>
      </c>
      <c r="O20" s="13">
        <f>IF(G20&gt;0, N20/G20, 0)</f>
        <v/>
      </c>
      <c r="P20" s="14" t="n">
        <v>0.18</v>
      </c>
      <c r="Q20" s="13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3">
        <f>G20*Q20</f>
        <v/>
      </c>
      <c r="S20" t="inlineStr">
        <is>
          <t>- Van chống cháy động cơ - Tiêu chuẩn EI 90
- 2 đầu bích TDC - Gắn kèm động cơ ON-OFF 3.5Nm, 24V (Type: đóng mở nhanh) BELIMO - Model: FSLF24V US
- Sản xuất theo BCTN số 4752/VLXD-TBMT
- Chia 9 modul khi sản xuất</t>
        </is>
      </c>
    </row>
    <row r="21">
      <c r="A21" t="n">
        <v>20</v>
      </c>
      <c r="B21" t="inlineStr">
        <is>
          <t>SW-DAMPER-020</t>
        </is>
      </c>
      <c r="C21" t="inlineStr">
        <is>
          <t>VAN GIÓ</t>
        </is>
      </c>
      <c r="D21" t="inlineStr">
        <is>
          <t>Van chặn lửa FD kích thước 800x400</t>
        </is>
      </c>
      <c r="E21" t="inlineStr">
        <is>
          <t>800x400</t>
        </is>
      </c>
      <c r="F21" t="inlineStr">
        <is>
          <t>cái</t>
        </is>
      </c>
      <c r="G21" s="13" t="n">
        <v>4</v>
      </c>
      <c r="H21" s="13">
        <f>SUMIF('01_BOC_TACH_ONG'!$B$2:$B$5000, B21, '01_BOC_TACH_ONG'!$K$2:$K$5000)</f>
        <v/>
      </c>
      <c r="I21" s="13">
        <f>SUMIF('02_BOC_TACH_CUA'!$B$2:$B$5000, B21, '02_BOC_TACH_CUA'!$K$2:$K$5000)</f>
        <v/>
      </c>
      <c r="J21" s="13">
        <f>SUMIF('03_BOC_TACH_VAN'!$B$2:$B$5000, B21, '03_BOC_TACH_VAN'!$K$2:$K$5000)</f>
        <v/>
      </c>
      <c r="K21" s="13">
        <f>SUM(H21:J21)</f>
        <v/>
      </c>
      <c r="L21" s="13">
        <f>(K21-SUMIFS('03_BOC_TACH_VAN'!$K$2:$K$5000, '03_BOC_TACH_VAN'!$B$2:$B$5000, B21, '03_BOC_TACH_VAN'!$D$2:$D$5000, "ĐỘNG_CƠ_VÀ_CẢM_BIẾN"))*0.25</f>
        <v/>
      </c>
      <c r="M21" s="13">
        <f>(K21-SUMIFS('03_BOC_TACH_VAN'!$K$2:$K$5000, '03_BOC_TACH_VAN'!$B$2:$B$5000, B21, '03_BOC_TACH_VAN'!$D$2:$D$5000, "ĐỘNG_CƠ_VÀ_CẢM_BIẾN"))*0.10</f>
        <v/>
      </c>
      <c r="N21" s="13">
        <f>K21+L21+M21</f>
        <v/>
      </c>
      <c r="O21" s="13">
        <f>IF(G21&gt;0, N21/G21, 0)</f>
        <v/>
      </c>
      <c r="P21" s="14" t="n">
        <v>0.18</v>
      </c>
      <c r="Q21" s="13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3">
        <f>G21*Q21</f>
        <v/>
      </c>
      <c r="S21" t="inlineStr">
        <is>
          <t>- Van chặn lửa cầu chì - Tiêu chuẩn EI 120
- 2 đầu bích TDC - gắn cầu chì 70-74 độ C
- Sản xuất theo BCTN số: 4761/VLXD-TBMT</t>
        </is>
      </c>
    </row>
    <row r="22">
      <c r="A22" t="n">
        <v>21</v>
      </c>
      <c r="B22" t="inlineStr">
        <is>
          <t>SW-DAMPER-021</t>
        </is>
      </c>
      <c r="C22" t="inlineStr">
        <is>
          <t>VAN GIÓ</t>
        </is>
      </c>
      <c r="D22" t="inlineStr">
        <is>
          <t>Van chặn lửa FD kích thước 500x250</t>
        </is>
      </c>
      <c r="E22" t="inlineStr">
        <is>
          <t>500x250</t>
        </is>
      </c>
      <c r="F22" t="inlineStr">
        <is>
          <t>cái</t>
        </is>
      </c>
      <c r="G22" s="13" t="n">
        <v>4</v>
      </c>
      <c r="H22" s="13">
        <f>SUMIF('01_BOC_TACH_ONG'!$B$2:$B$5000, B22, '01_BOC_TACH_ONG'!$K$2:$K$5000)</f>
        <v/>
      </c>
      <c r="I22" s="13">
        <f>SUMIF('02_BOC_TACH_CUA'!$B$2:$B$5000, B22, '02_BOC_TACH_CUA'!$K$2:$K$5000)</f>
        <v/>
      </c>
      <c r="J22" s="13">
        <f>SUMIF('03_BOC_TACH_VAN'!$B$2:$B$5000, B22, '03_BOC_TACH_VAN'!$K$2:$K$5000)</f>
        <v/>
      </c>
      <c r="K22" s="13">
        <f>SUM(H22:J22)</f>
        <v/>
      </c>
      <c r="L22" s="13">
        <f>(K22-SUMIFS('03_BOC_TACH_VAN'!$K$2:$K$5000, '03_BOC_TACH_VAN'!$B$2:$B$5000, B22, '03_BOC_TACH_VAN'!$D$2:$D$5000, "ĐỘNG_CƠ_VÀ_CẢM_BIẾN"))*0.25</f>
        <v/>
      </c>
      <c r="M22" s="13">
        <f>(K22-SUMIFS('03_BOC_TACH_VAN'!$K$2:$K$5000, '03_BOC_TACH_VAN'!$B$2:$B$5000, B22, '03_BOC_TACH_VAN'!$D$2:$D$5000, "ĐỘNG_CƠ_VÀ_CẢM_BIẾN"))*0.10</f>
        <v/>
      </c>
      <c r="N22" s="13">
        <f>K22+L22+M22</f>
        <v/>
      </c>
      <c r="O22" s="13">
        <f>IF(G22&gt;0, N22/G22, 0)</f>
        <v/>
      </c>
      <c r="P22" s="14" t="n">
        <v>0.18</v>
      </c>
      <c r="Q22" s="13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3">
        <f>G22*Q22</f>
        <v/>
      </c>
      <c r="S22" t="inlineStr">
        <is>
          <t>- Van chặn lửa cầu chì - Tiêu chuẩn EI 120
- 2 đầu bích TDC - gắn cầu chì 70-74 độ C
- Sản xuất theo BCTN số: 4761/VLXD-TBMT</t>
        </is>
      </c>
    </row>
    <row r="23">
      <c r="A23" t="n">
        <v>22</v>
      </c>
      <c r="B23" t="inlineStr">
        <is>
          <t>SW-DAMPER-022</t>
        </is>
      </c>
      <c r="C23" t="inlineStr">
        <is>
          <t>VAN GIÓ</t>
        </is>
      </c>
      <c r="D23" t="inlineStr">
        <is>
          <t>Van chặn lửa bằng động cơ MFD 2400x500</t>
        </is>
      </c>
      <c r="E23" t="inlineStr">
        <is>
          <t>2400x500</t>
        </is>
      </c>
      <c r="F23" t="inlineStr">
        <is>
          <t>cái</t>
        </is>
      </c>
      <c r="G23" s="13" t="n">
        <v>2</v>
      </c>
      <c r="H23" s="13">
        <f>SUMIF('01_BOC_TACH_ONG'!$B$2:$B$5000, B23, '01_BOC_TACH_ONG'!$K$2:$K$5000)</f>
        <v/>
      </c>
      <c r="I23" s="13">
        <f>SUMIF('02_BOC_TACH_CUA'!$B$2:$B$5000, B23, '02_BOC_TACH_CUA'!$K$2:$K$5000)</f>
        <v/>
      </c>
      <c r="J23" s="13">
        <f>SUMIF('03_BOC_TACH_VAN'!$B$2:$B$5000, B23, '03_BOC_TACH_VAN'!$K$2:$K$5000)</f>
        <v/>
      </c>
      <c r="K23" s="13">
        <f>SUM(H23:J23)</f>
        <v/>
      </c>
      <c r="L23" s="13">
        <f>(K23-SUMIFS('03_BOC_TACH_VAN'!$K$2:$K$5000, '03_BOC_TACH_VAN'!$B$2:$B$5000, B23, '03_BOC_TACH_VAN'!$D$2:$D$5000, "ĐỘNG_CƠ_VÀ_CẢM_BIẾN"))*0.25</f>
        <v/>
      </c>
      <c r="M23" s="13">
        <f>(K23-SUMIFS('03_BOC_TACH_VAN'!$K$2:$K$5000, '03_BOC_TACH_VAN'!$B$2:$B$5000, B23, '03_BOC_TACH_VAN'!$D$2:$D$5000, "ĐỘNG_CƠ_VÀ_CẢM_BIẾN"))*0.10</f>
        <v/>
      </c>
      <c r="N23" s="13">
        <f>K23+L23+M23</f>
        <v/>
      </c>
      <c r="O23" s="13">
        <f>IF(G23&gt;0, N23/G23, 0)</f>
        <v/>
      </c>
      <c r="P23" s="14" t="n">
        <v>0.18</v>
      </c>
      <c r="Q23" s="13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3">
        <f>G23*Q23</f>
        <v/>
      </c>
      <c r="S23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</row>
    <row r="24">
      <c r="A24" t="n">
        <v>23</v>
      </c>
      <c r="B24" t="inlineStr">
        <is>
          <t>SW-DAMPER-023</t>
        </is>
      </c>
      <c r="C24" t="inlineStr">
        <is>
          <t>VAN GIÓ</t>
        </is>
      </c>
      <c r="D24" t="inlineStr">
        <is>
          <t>Van chặn lửa bằng động cơ MFD 1700x500</t>
        </is>
      </c>
      <c r="E24" t="inlineStr">
        <is>
          <t>1700x500</t>
        </is>
      </c>
      <c r="F24" t="inlineStr">
        <is>
          <t>cái</t>
        </is>
      </c>
      <c r="G24" s="13" t="n">
        <v>1</v>
      </c>
      <c r="H24" s="13">
        <f>SUMIF('01_BOC_TACH_ONG'!$B$2:$B$5000, B24, '01_BOC_TACH_ONG'!$K$2:$K$5000)</f>
        <v/>
      </c>
      <c r="I24" s="13">
        <f>SUMIF('02_BOC_TACH_CUA'!$B$2:$B$5000, B24, '02_BOC_TACH_CUA'!$K$2:$K$5000)</f>
        <v/>
      </c>
      <c r="J24" s="13">
        <f>SUMIF('03_BOC_TACH_VAN'!$B$2:$B$5000, B24, '03_BOC_TACH_VAN'!$K$2:$K$5000)</f>
        <v/>
      </c>
      <c r="K24" s="13">
        <f>SUM(H24:J24)</f>
        <v/>
      </c>
      <c r="L24" s="13">
        <f>(K24-SUMIFS('03_BOC_TACH_VAN'!$K$2:$K$5000, '03_BOC_TACH_VAN'!$B$2:$B$5000, B24, '03_BOC_TACH_VAN'!$D$2:$D$5000, "ĐỘNG_CƠ_VÀ_CẢM_BIẾN"))*0.25</f>
        <v/>
      </c>
      <c r="M24" s="13">
        <f>(K24-SUMIFS('03_BOC_TACH_VAN'!$K$2:$K$5000, '03_BOC_TACH_VAN'!$B$2:$B$5000, B24, '03_BOC_TACH_VAN'!$D$2:$D$5000, "ĐỘNG_CƠ_VÀ_CẢM_BIẾN"))*0.10</f>
        <v/>
      </c>
      <c r="N24" s="13">
        <f>K24+L24+M24</f>
        <v/>
      </c>
      <c r="O24" s="13">
        <f>IF(G24&gt;0, N24/G24, 0)</f>
        <v/>
      </c>
      <c r="P24" s="14" t="n">
        <v>0.18</v>
      </c>
      <c r="Q24" s="13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3">
        <f>G24*Q24</f>
        <v/>
      </c>
      <c r="S24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25">
      <c r="A25" t="n">
        <v>24</v>
      </c>
      <c r="B25" t="inlineStr">
        <is>
          <t>SW-DAMPER-024</t>
        </is>
      </c>
      <c r="C25" t="inlineStr">
        <is>
          <t>VAN GIÓ</t>
        </is>
      </c>
      <c r="D25" t="inlineStr">
        <is>
          <t>Van chặn lửa bằng động cơ MFD 1200x300</t>
        </is>
      </c>
      <c r="E25" t="inlineStr">
        <is>
          <t>1200x300</t>
        </is>
      </c>
      <c r="F25" t="inlineStr">
        <is>
          <t>cái</t>
        </is>
      </c>
      <c r="G25" s="13" t="n">
        <v>1</v>
      </c>
      <c r="H25" s="13">
        <f>SUMIF('01_BOC_TACH_ONG'!$B$2:$B$5000, B25, '01_BOC_TACH_ONG'!$K$2:$K$5000)</f>
        <v/>
      </c>
      <c r="I25" s="13">
        <f>SUMIF('02_BOC_TACH_CUA'!$B$2:$B$5000, B25, '02_BOC_TACH_CUA'!$K$2:$K$5000)</f>
        <v/>
      </c>
      <c r="J25" s="13">
        <f>SUMIF('03_BOC_TACH_VAN'!$B$2:$B$5000, B25, '03_BOC_TACH_VAN'!$K$2:$K$5000)</f>
        <v/>
      </c>
      <c r="K25" s="13">
        <f>SUM(H25:J25)</f>
        <v/>
      </c>
      <c r="L25" s="13">
        <f>(K25-SUMIFS('03_BOC_TACH_VAN'!$K$2:$K$5000, '03_BOC_TACH_VAN'!$B$2:$B$5000, B25, '03_BOC_TACH_VAN'!$D$2:$D$5000, "ĐỘNG_CƠ_VÀ_CẢM_BIẾN"))*0.25</f>
        <v/>
      </c>
      <c r="M25" s="13">
        <f>(K25-SUMIFS('03_BOC_TACH_VAN'!$K$2:$K$5000, '03_BOC_TACH_VAN'!$B$2:$B$5000, B25, '03_BOC_TACH_VAN'!$D$2:$D$5000, "ĐỘNG_CƠ_VÀ_CẢM_BIẾN"))*0.10</f>
        <v/>
      </c>
      <c r="N25" s="13">
        <f>K25+L25+M25</f>
        <v/>
      </c>
      <c r="O25" s="13">
        <f>IF(G25&gt;0, N25/G25, 0)</f>
        <v/>
      </c>
      <c r="P25" s="14" t="n">
        <v>0.18</v>
      </c>
      <c r="Q25" s="13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3">
        <f>G25*Q25</f>
        <v/>
      </c>
      <c r="S25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26">
      <c r="A26" t="n">
        <v>25</v>
      </c>
      <c r="B26" t="inlineStr">
        <is>
          <t>SW-DAMPER-025</t>
        </is>
      </c>
      <c r="C26" t="inlineStr">
        <is>
          <t>VAN GIÓ</t>
        </is>
      </c>
      <c r="D26" t="inlineStr">
        <is>
          <t>Van chặn lửa bằng động cơ MFD 1500x1100</t>
        </is>
      </c>
      <c r="E26" t="inlineStr">
        <is>
          <t>1500x1100</t>
        </is>
      </c>
      <c r="F26" t="inlineStr">
        <is>
          <t>cái</t>
        </is>
      </c>
      <c r="G26" s="13" t="n">
        <v>3</v>
      </c>
      <c r="H26" s="13">
        <f>SUMIF('01_BOC_TACH_ONG'!$B$2:$B$5000, B26, '01_BOC_TACH_ONG'!$K$2:$K$5000)</f>
        <v/>
      </c>
      <c r="I26" s="13">
        <f>SUMIF('02_BOC_TACH_CUA'!$B$2:$B$5000, B26, '02_BOC_TACH_CUA'!$K$2:$K$5000)</f>
        <v/>
      </c>
      <c r="J26" s="13">
        <f>SUMIF('03_BOC_TACH_VAN'!$B$2:$B$5000, B26, '03_BOC_TACH_VAN'!$K$2:$K$5000)</f>
        <v/>
      </c>
      <c r="K26" s="13">
        <f>SUM(H26:J26)</f>
        <v/>
      </c>
      <c r="L26" s="13">
        <f>(K26-SUMIFS('03_BOC_TACH_VAN'!$K$2:$K$5000, '03_BOC_TACH_VAN'!$B$2:$B$5000, B26, '03_BOC_TACH_VAN'!$D$2:$D$5000, "ĐỘNG_CƠ_VÀ_CẢM_BIẾN"))*0.25</f>
        <v/>
      </c>
      <c r="M26" s="13">
        <f>(K26-SUMIFS('03_BOC_TACH_VAN'!$K$2:$K$5000, '03_BOC_TACH_VAN'!$B$2:$B$5000, B26, '03_BOC_TACH_VAN'!$D$2:$D$5000, "ĐỘNG_CƠ_VÀ_CẢM_BIẾN"))*0.10</f>
        <v/>
      </c>
      <c r="N26" s="13">
        <f>K26+L26+M26</f>
        <v/>
      </c>
      <c r="O26" s="13">
        <f>IF(G26&gt;0, N26/G26, 0)</f>
        <v/>
      </c>
      <c r="P26" s="14" t="n">
        <v>0.18</v>
      </c>
      <c r="Q26" s="13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3">
        <f>G26*Q26</f>
        <v/>
      </c>
      <c r="S26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27">
      <c r="A27" t="n">
        <v>26</v>
      </c>
      <c r="B27" t="inlineStr">
        <is>
          <t>SW-DAMPER-026</t>
        </is>
      </c>
      <c r="C27" t="inlineStr">
        <is>
          <t>VAN GIÓ</t>
        </is>
      </c>
      <c r="D27" t="inlineStr">
        <is>
          <t>Van chặn lửa bằng động cơ MFD 1100x1000</t>
        </is>
      </c>
      <c r="E27" t="inlineStr">
        <is>
          <t>1100x1000</t>
        </is>
      </c>
      <c r="F27" t="inlineStr">
        <is>
          <t>cái</t>
        </is>
      </c>
      <c r="G27" s="13" t="n">
        <v>3</v>
      </c>
      <c r="H27" s="13">
        <f>SUMIF('01_BOC_TACH_ONG'!$B$2:$B$5000, B27, '01_BOC_TACH_ONG'!$K$2:$K$5000)</f>
        <v/>
      </c>
      <c r="I27" s="13">
        <f>SUMIF('02_BOC_TACH_CUA'!$B$2:$B$5000, B27, '02_BOC_TACH_CUA'!$K$2:$K$5000)</f>
        <v/>
      </c>
      <c r="J27" s="13">
        <f>SUMIF('03_BOC_TACH_VAN'!$B$2:$B$5000, B27, '03_BOC_TACH_VAN'!$K$2:$K$5000)</f>
        <v/>
      </c>
      <c r="K27" s="13">
        <f>SUM(H27:J27)</f>
        <v/>
      </c>
      <c r="L27" s="13">
        <f>(K27-SUMIFS('03_BOC_TACH_VAN'!$K$2:$K$5000, '03_BOC_TACH_VAN'!$B$2:$B$5000, B27, '03_BOC_TACH_VAN'!$D$2:$D$5000, "ĐỘNG_CƠ_VÀ_CẢM_BIẾN"))*0.25</f>
        <v/>
      </c>
      <c r="M27" s="13">
        <f>(K27-SUMIFS('03_BOC_TACH_VAN'!$K$2:$K$5000, '03_BOC_TACH_VAN'!$B$2:$B$5000, B27, '03_BOC_TACH_VAN'!$D$2:$D$5000, "ĐỘNG_CƠ_VÀ_CẢM_BIẾN"))*0.10</f>
        <v/>
      </c>
      <c r="N27" s="13">
        <f>K27+L27+M27</f>
        <v/>
      </c>
      <c r="O27" s="13">
        <f>IF(G27&gt;0, N27/G27, 0)</f>
        <v/>
      </c>
      <c r="P27" s="14" t="n">
        <v>0.18</v>
      </c>
      <c r="Q27" s="13">
        <f>IF(G27&gt;0, ((N27-SUMIFS('03_BOC_TACH_VAN'!$K$2:$K$5000, '03_BOC_TACH_VAN'!$B$2:$B$5000, B27, '03_BOC_TACH_VAN'!$D$2:$D$5000, "ĐỘNG_CƠ_VÀ_CẢM_BIẾN"))*(1+P27)+SUMIFS('03_BOC_TACH_VAN'!$K$2:$K$5000, '03_BOC_TACH_VAN'!$B$2:$B$5000, B27, '03_BOC_TACH_VAN'!$D$2:$D$5000, "ĐỘNG_CƠ_VÀ_CẢM_BIẾN"))/G27, 0)</f>
        <v/>
      </c>
      <c r="R27" s="13">
        <f>G27*Q27</f>
        <v/>
      </c>
      <c r="S27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28">
      <c r="A28" t="n">
        <v>27</v>
      </c>
      <c r="B28" t="inlineStr">
        <is>
          <t>SW-DAMPER-027</t>
        </is>
      </c>
      <c r="C28" t="inlineStr">
        <is>
          <t>VAN GIÓ</t>
        </is>
      </c>
      <c r="D28" t="inlineStr">
        <is>
          <t>Van chặn lửa bằng động cơ MFD 700x400</t>
        </is>
      </c>
      <c r="E28" t="inlineStr">
        <is>
          <t>700x400</t>
        </is>
      </c>
      <c r="F28" t="inlineStr">
        <is>
          <t>cái</t>
        </is>
      </c>
      <c r="G28" s="13" t="n">
        <v>10</v>
      </c>
      <c r="H28" s="13">
        <f>SUMIF('01_BOC_TACH_ONG'!$B$2:$B$5000, B28, '01_BOC_TACH_ONG'!$K$2:$K$5000)</f>
        <v/>
      </c>
      <c r="I28" s="13">
        <f>SUMIF('02_BOC_TACH_CUA'!$B$2:$B$5000, B28, '02_BOC_TACH_CUA'!$K$2:$K$5000)</f>
        <v/>
      </c>
      <c r="J28" s="13">
        <f>SUMIF('03_BOC_TACH_VAN'!$B$2:$B$5000, B28, '03_BOC_TACH_VAN'!$K$2:$K$5000)</f>
        <v/>
      </c>
      <c r="K28" s="13">
        <f>SUM(H28:J28)</f>
        <v/>
      </c>
      <c r="L28" s="13">
        <f>(K28-SUMIFS('03_BOC_TACH_VAN'!$K$2:$K$5000, '03_BOC_TACH_VAN'!$B$2:$B$5000, B28, '03_BOC_TACH_VAN'!$D$2:$D$5000, "ĐỘNG_CƠ_VÀ_CẢM_BIẾN"))*0.25</f>
        <v/>
      </c>
      <c r="M28" s="13">
        <f>(K28-SUMIFS('03_BOC_TACH_VAN'!$K$2:$K$5000, '03_BOC_TACH_VAN'!$B$2:$B$5000, B28, '03_BOC_TACH_VAN'!$D$2:$D$5000, "ĐỘNG_CƠ_VÀ_CẢM_BIẾN"))*0.10</f>
        <v/>
      </c>
      <c r="N28" s="13">
        <f>K28+L28+M28</f>
        <v/>
      </c>
      <c r="O28" s="13">
        <f>IF(G28&gt;0, N28/G28, 0)</f>
        <v/>
      </c>
      <c r="P28" s="14" t="n">
        <v>0.18</v>
      </c>
      <c r="Q28" s="13">
        <f>IF(G28&gt;0, ((N28-SUMIFS('03_BOC_TACH_VAN'!$K$2:$K$5000, '03_BOC_TACH_VAN'!$B$2:$B$5000, B28, '03_BOC_TACH_VAN'!$D$2:$D$5000, "ĐỘNG_CƠ_VÀ_CẢM_BIẾN"))*(1+P28)+SUMIFS('03_BOC_TACH_VAN'!$K$2:$K$5000, '03_BOC_TACH_VAN'!$B$2:$B$5000, B28, '03_BOC_TACH_VAN'!$D$2:$D$5000, "ĐỘNG_CƠ_VÀ_CẢM_BIẾN"))/G28, 0)</f>
        <v/>
      </c>
      <c r="R28" s="13">
        <f>G28*Q28</f>
        <v/>
      </c>
      <c r="S28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29">
      <c r="A29" t="n">
        <v>28</v>
      </c>
      <c r="B29" t="inlineStr">
        <is>
          <t>SW-DAMPER-028</t>
        </is>
      </c>
      <c r="C29" t="inlineStr">
        <is>
          <t>VAN GIÓ</t>
        </is>
      </c>
      <c r="D29" t="inlineStr">
        <is>
          <t>Van chặn lửa FD cho quạt 900 m3/h, 50Pa</t>
        </is>
      </c>
      <c r="E29" t="inlineStr">
        <is>
          <t>400x400</t>
        </is>
      </c>
      <c r="F29" t="inlineStr">
        <is>
          <t>cái</t>
        </is>
      </c>
      <c r="G29" s="13" t="n">
        <v>1</v>
      </c>
      <c r="H29" s="13">
        <f>SUMIF('01_BOC_TACH_ONG'!$B$2:$B$5000, B29, '01_BOC_TACH_ONG'!$K$2:$K$5000)</f>
        <v/>
      </c>
      <c r="I29" s="13">
        <f>SUMIF('02_BOC_TACH_CUA'!$B$2:$B$5000, B29, '02_BOC_TACH_CUA'!$K$2:$K$5000)</f>
        <v/>
      </c>
      <c r="J29" s="13">
        <f>SUMIF('03_BOC_TACH_VAN'!$B$2:$B$5000, B29, '03_BOC_TACH_VAN'!$K$2:$K$5000)</f>
        <v/>
      </c>
      <c r="K29" s="13">
        <f>SUM(H29:J29)</f>
        <v/>
      </c>
      <c r="L29" s="13">
        <f>(K29-SUMIFS('03_BOC_TACH_VAN'!$K$2:$K$5000, '03_BOC_TACH_VAN'!$B$2:$B$5000, B29, '03_BOC_TACH_VAN'!$D$2:$D$5000, "ĐỘNG_CƠ_VÀ_CẢM_BIẾN"))*0.25</f>
        <v/>
      </c>
      <c r="M29" s="13">
        <f>(K29-SUMIFS('03_BOC_TACH_VAN'!$K$2:$K$5000, '03_BOC_TACH_VAN'!$B$2:$B$5000, B29, '03_BOC_TACH_VAN'!$D$2:$D$5000, "ĐỘNG_CƠ_VÀ_CẢM_BIẾN"))*0.10</f>
        <v/>
      </c>
      <c r="N29" s="13">
        <f>K29+L29+M29</f>
        <v/>
      </c>
      <c r="O29" s="13">
        <f>IF(G29&gt;0, N29/G29, 0)</f>
        <v/>
      </c>
      <c r="P29" s="14" t="n">
        <v>0.18</v>
      </c>
      <c r="Q29" s="13">
        <f>IF(G29&gt;0, ((N29-SUMIFS('03_BOC_TACH_VAN'!$K$2:$K$5000, '03_BOC_TACH_VAN'!$B$2:$B$5000, B29, '03_BOC_TACH_VAN'!$D$2:$D$5000, "ĐỘNG_CƠ_VÀ_CẢM_BIẾN"))*(1+P29)+SUMIFS('03_BOC_TACH_VAN'!$K$2:$K$5000, '03_BOC_TACH_VAN'!$B$2:$B$5000, B29, '03_BOC_TACH_VAN'!$D$2:$D$5000, "ĐỘNG_CƠ_VÀ_CẢM_BIẾN"))/G29, 0)</f>
        <v/>
      </c>
      <c r="R29" s="13">
        <f>G29*Q29</f>
        <v/>
      </c>
      <c r="S29" t="inlineStr">
        <is>
          <t>- Van chặn lửa cầu chì - Tiêu chuẩn EI 120
- 2 đầu bích TDC - gắn cầu chì 70-74 độ C
- Sản xuất theo BCTN số: 4761/VLXD-TBMT</t>
        </is>
      </c>
    </row>
    <row r="30">
      <c r="A30" t="n">
        <v>29</v>
      </c>
      <c r="B30" t="inlineStr">
        <is>
          <t>SW-DAMPER-029</t>
        </is>
      </c>
      <c r="C30" t="inlineStr">
        <is>
          <t>VAN GIÓ</t>
        </is>
      </c>
      <c r="D30" t="inlineStr">
        <is>
          <t>Van chặn lửa FD cho quạt 500 m3/h, 50Pa</t>
        </is>
      </c>
      <c r="E30" t="inlineStr">
        <is>
          <t>400x400</t>
        </is>
      </c>
      <c r="F30" t="inlineStr">
        <is>
          <t>cái</t>
        </is>
      </c>
      <c r="G30" s="13" t="n">
        <v>1</v>
      </c>
      <c r="H30" s="13">
        <f>SUMIF('01_BOC_TACH_ONG'!$B$2:$B$5000, B30, '01_BOC_TACH_ONG'!$K$2:$K$5000)</f>
        <v/>
      </c>
      <c r="I30" s="13">
        <f>SUMIF('02_BOC_TACH_CUA'!$B$2:$B$5000, B30, '02_BOC_TACH_CUA'!$K$2:$K$5000)</f>
        <v/>
      </c>
      <c r="J30" s="13">
        <f>SUMIF('03_BOC_TACH_VAN'!$B$2:$B$5000, B30, '03_BOC_TACH_VAN'!$K$2:$K$5000)</f>
        <v/>
      </c>
      <c r="K30" s="13">
        <f>SUM(H30:J30)</f>
        <v/>
      </c>
      <c r="L30" s="13">
        <f>(K30-SUMIFS('03_BOC_TACH_VAN'!$K$2:$K$5000, '03_BOC_TACH_VAN'!$B$2:$B$5000, B30, '03_BOC_TACH_VAN'!$D$2:$D$5000, "ĐỘNG_CƠ_VÀ_CẢM_BIẾN"))*0.25</f>
        <v/>
      </c>
      <c r="M30" s="13">
        <f>(K30-SUMIFS('03_BOC_TACH_VAN'!$K$2:$K$5000, '03_BOC_TACH_VAN'!$B$2:$B$5000, B30, '03_BOC_TACH_VAN'!$D$2:$D$5000, "ĐỘNG_CƠ_VÀ_CẢM_BIẾN"))*0.10</f>
        <v/>
      </c>
      <c r="N30" s="13">
        <f>K30+L30+M30</f>
        <v/>
      </c>
      <c r="O30" s="13">
        <f>IF(G30&gt;0, N30/G30, 0)</f>
        <v/>
      </c>
      <c r="P30" s="14" t="n">
        <v>0.18</v>
      </c>
      <c r="Q30" s="13">
        <f>IF(G30&gt;0, ((N30-SUMIFS('03_BOC_TACH_VAN'!$K$2:$K$5000, '03_BOC_TACH_VAN'!$B$2:$B$5000, B30, '03_BOC_TACH_VAN'!$D$2:$D$5000, "ĐỘNG_CƠ_VÀ_CẢM_BIẾN"))*(1+P30)+SUMIFS('03_BOC_TACH_VAN'!$K$2:$K$5000, '03_BOC_TACH_VAN'!$B$2:$B$5000, B30, '03_BOC_TACH_VAN'!$D$2:$D$5000, "ĐỘNG_CƠ_VÀ_CẢM_BIẾN"))/G30, 0)</f>
        <v/>
      </c>
      <c r="R30" s="13">
        <f>G30*Q30</f>
        <v/>
      </c>
      <c r="S30" t="inlineStr">
        <is>
          <t>- Van chặn lửa cầu chì - Tiêu chuẩn EI 120
- 2 đầu bích TDC - gắn cầu chì 70-74 độ C
- Sản xuất theo BCTN số: 4761/VLXD-TBMT</t>
        </is>
      </c>
    </row>
    <row r="31">
      <c r="A31" t="n">
        <v>30</v>
      </c>
      <c r="B31" t="inlineStr">
        <is>
          <t>SW-DAMPER-030</t>
        </is>
      </c>
      <c r="C31" t="inlineStr">
        <is>
          <t>VAN GIÓ</t>
        </is>
      </c>
      <c r="D31" t="inlineStr">
        <is>
          <t>Van chặn lửa FD cho quạt 100 m3/h, 50Pa</t>
        </is>
      </c>
      <c r="E31" t="inlineStr">
        <is>
          <t>400x400</t>
        </is>
      </c>
      <c r="F31" t="inlineStr">
        <is>
          <t>cái</t>
        </is>
      </c>
      <c r="G31" s="13" t="n">
        <v>4</v>
      </c>
      <c r="H31" s="13">
        <f>SUMIF('01_BOC_TACH_ONG'!$B$2:$B$5000, B31, '01_BOC_TACH_ONG'!$K$2:$K$5000)</f>
        <v/>
      </c>
      <c r="I31" s="13">
        <f>SUMIF('02_BOC_TACH_CUA'!$B$2:$B$5000, B31, '02_BOC_TACH_CUA'!$K$2:$K$5000)</f>
        <v/>
      </c>
      <c r="J31" s="13">
        <f>SUMIF('03_BOC_TACH_VAN'!$B$2:$B$5000, B31, '03_BOC_TACH_VAN'!$K$2:$K$5000)</f>
        <v/>
      </c>
      <c r="K31" s="13">
        <f>SUM(H31:J31)</f>
        <v/>
      </c>
      <c r="L31" s="13">
        <f>(K31-SUMIFS('03_BOC_TACH_VAN'!$K$2:$K$5000, '03_BOC_TACH_VAN'!$B$2:$B$5000, B31, '03_BOC_TACH_VAN'!$D$2:$D$5000, "ĐỘNG_CƠ_VÀ_CẢM_BIẾN"))*0.25</f>
        <v/>
      </c>
      <c r="M31" s="13">
        <f>(K31-SUMIFS('03_BOC_TACH_VAN'!$K$2:$K$5000, '03_BOC_TACH_VAN'!$B$2:$B$5000, B31, '03_BOC_TACH_VAN'!$D$2:$D$5000, "ĐỘNG_CƠ_VÀ_CẢM_BIẾN"))*0.10</f>
        <v/>
      </c>
      <c r="N31" s="13">
        <f>K31+L31+M31</f>
        <v/>
      </c>
      <c r="O31" s="13">
        <f>IF(G31&gt;0, N31/G31, 0)</f>
        <v/>
      </c>
      <c r="P31" s="14" t="n">
        <v>0.18</v>
      </c>
      <c r="Q31" s="13">
        <f>IF(G31&gt;0, ((N31-SUMIFS('03_BOC_TACH_VAN'!$K$2:$K$5000, '03_BOC_TACH_VAN'!$B$2:$B$5000, B31, '03_BOC_TACH_VAN'!$D$2:$D$5000, "ĐỘNG_CƠ_VÀ_CẢM_BIẾN"))*(1+P31)+SUMIFS('03_BOC_TACH_VAN'!$K$2:$K$5000, '03_BOC_TACH_VAN'!$B$2:$B$5000, B31, '03_BOC_TACH_VAN'!$D$2:$D$5000, "ĐỘNG_CƠ_VÀ_CẢM_BIẾN"))/G31, 0)</f>
        <v/>
      </c>
      <c r="R31" s="13">
        <f>G31*Q31</f>
        <v/>
      </c>
      <c r="S31" t="inlineStr">
        <is>
          <t>- Van chặn lửa cầu chì - Tiêu chuẩn EI 120
- 2 đầu bích TDC - gắn cầu chì 70-74 độ C
- Sản xuất theo BCTN số: 4761/VLXD-TBMT</t>
        </is>
      </c>
    </row>
    <row r="32">
      <c r="A32" t="n">
        <v>31</v>
      </c>
      <c r="B32" t="inlineStr">
        <is>
          <t>SW-DAMPER-031</t>
        </is>
      </c>
      <c r="C32" t="inlineStr">
        <is>
          <t>VAN GIÓ</t>
        </is>
      </c>
      <c r="D32" t="inlineStr">
        <is>
          <t>Van chặn lửa kèm động cơ MFD cho quạt 200 m3/h, 50Pa</t>
        </is>
      </c>
      <c r="E32" t="inlineStr">
        <is>
          <t>400x400</t>
        </is>
      </c>
      <c r="F32" t="inlineStr">
        <is>
          <t>cái</t>
        </is>
      </c>
      <c r="G32" s="13" t="n">
        <v>1</v>
      </c>
      <c r="H32" s="13">
        <f>SUMIF('01_BOC_TACH_ONG'!$B$2:$B$5000, B32, '01_BOC_TACH_ONG'!$K$2:$K$5000)</f>
        <v/>
      </c>
      <c r="I32" s="13">
        <f>SUMIF('02_BOC_TACH_CUA'!$B$2:$B$5000, B32, '02_BOC_TACH_CUA'!$K$2:$K$5000)</f>
        <v/>
      </c>
      <c r="J32" s="13">
        <f>SUMIF('03_BOC_TACH_VAN'!$B$2:$B$5000, B32, '03_BOC_TACH_VAN'!$K$2:$K$5000)</f>
        <v/>
      </c>
      <c r="K32" s="13">
        <f>SUM(H32:J32)</f>
        <v/>
      </c>
      <c r="L32" s="13">
        <f>(K32-SUMIFS('03_BOC_TACH_VAN'!$K$2:$K$5000, '03_BOC_TACH_VAN'!$B$2:$B$5000, B32, '03_BOC_TACH_VAN'!$D$2:$D$5000, "ĐỘNG_CƠ_VÀ_CẢM_BIẾN"))*0.25</f>
        <v/>
      </c>
      <c r="M32" s="13">
        <f>(K32-SUMIFS('03_BOC_TACH_VAN'!$K$2:$K$5000, '03_BOC_TACH_VAN'!$B$2:$B$5000, B32, '03_BOC_TACH_VAN'!$D$2:$D$5000, "ĐỘNG_CƠ_VÀ_CẢM_BIẾN"))*0.10</f>
        <v/>
      </c>
      <c r="N32" s="13">
        <f>K32+L32+M32</f>
        <v/>
      </c>
      <c r="O32" s="13">
        <f>IF(G32&gt;0, N32/G32, 0)</f>
        <v/>
      </c>
      <c r="P32" s="14" t="n">
        <v>0.18</v>
      </c>
      <c r="Q32" s="13">
        <f>IF(G32&gt;0, ((N32-SUMIFS('03_BOC_TACH_VAN'!$K$2:$K$5000, '03_BOC_TACH_VAN'!$B$2:$B$5000, B32, '03_BOC_TACH_VAN'!$D$2:$D$5000, "ĐỘNG_CƠ_VÀ_CẢM_BIẾN"))*(1+P32)+SUMIFS('03_BOC_TACH_VAN'!$K$2:$K$5000, '03_BOC_TACH_VAN'!$B$2:$B$5000, B32, '03_BOC_TACH_VAN'!$D$2:$D$5000, "ĐỘNG_CƠ_VÀ_CẢM_BIẾN"))/G32, 0)</f>
        <v/>
      </c>
      <c r="R32" s="13">
        <f>G32*Q32</f>
        <v/>
      </c>
      <c r="S32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3">
      <c r="A33" t="n">
        <v>32</v>
      </c>
      <c r="B33" t="inlineStr">
        <is>
          <t>SW-DAMPER-032</t>
        </is>
      </c>
      <c r="C33" t="inlineStr">
        <is>
          <t>VAN GIÓ</t>
        </is>
      </c>
      <c r="D33" t="inlineStr">
        <is>
          <t>Van chặn lửa FD kích thước 1000x400</t>
        </is>
      </c>
      <c r="E33" t="inlineStr">
        <is>
          <t>1000x400</t>
        </is>
      </c>
      <c r="F33" t="inlineStr">
        <is>
          <t>cái</t>
        </is>
      </c>
      <c r="G33" s="13" t="n">
        <v>1</v>
      </c>
      <c r="H33" s="13">
        <f>SUMIF('01_BOC_TACH_ONG'!$B$2:$B$5000, B33, '01_BOC_TACH_ONG'!$K$2:$K$5000)</f>
        <v/>
      </c>
      <c r="I33" s="13">
        <f>SUMIF('02_BOC_TACH_CUA'!$B$2:$B$5000, B33, '02_BOC_TACH_CUA'!$K$2:$K$5000)</f>
        <v/>
      </c>
      <c r="J33" s="13">
        <f>SUMIF('03_BOC_TACH_VAN'!$B$2:$B$5000, B33, '03_BOC_TACH_VAN'!$K$2:$K$5000)</f>
        <v/>
      </c>
      <c r="K33" s="13">
        <f>SUM(H33:J33)</f>
        <v/>
      </c>
      <c r="L33" s="13">
        <f>(K33-SUMIFS('03_BOC_TACH_VAN'!$K$2:$K$5000, '03_BOC_TACH_VAN'!$B$2:$B$5000, B33, '03_BOC_TACH_VAN'!$D$2:$D$5000, "ĐỘNG_CƠ_VÀ_CẢM_BIẾN"))*0.25</f>
        <v/>
      </c>
      <c r="M33" s="13">
        <f>(K33-SUMIFS('03_BOC_TACH_VAN'!$K$2:$K$5000, '03_BOC_TACH_VAN'!$B$2:$B$5000, B33, '03_BOC_TACH_VAN'!$D$2:$D$5000, "ĐỘNG_CƠ_VÀ_CẢM_BIẾN"))*0.10</f>
        <v/>
      </c>
      <c r="N33" s="13">
        <f>K33+L33+M33</f>
        <v/>
      </c>
      <c r="O33" s="13">
        <f>IF(G33&gt;0, N33/G33, 0)</f>
        <v/>
      </c>
      <c r="P33" s="14" t="n">
        <v>0.18</v>
      </c>
      <c r="Q33" s="13">
        <f>IF(G33&gt;0, ((N33-SUMIFS('03_BOC_TACH_VAN'!$K$2:$K$5000, '03_BOC_TACH_VAN'!$B$2:$B$5000, B33, '03_BOC_TACH_VAN'!$D$2:$D$5000, "ĐỘNG_CƠ_VÀ_CẢM_BIẾN"))*(1+P33)+SUMIFS('03_BOC_TACH_VAN'!$K$2:$K$5000, '03_BOC_TACH_VAN'!$B$2:$B$5000, B33, '03_BOC_TACH_VAN'!$D$2:$D$5000, "ĐỘNG_CƠ_VÀ_CẢM_BIẾN"))/G33, 0)</f>
        <v/>
      </c>
      <c r="R33" s="13">
        <f>G33*Q33</f>
        <v/>
      </c>
      <c r="S33" t="inlineStr">
        <is>
          <t>- Van chặn lửa cầu chì - Tiêu chuẩn EI 120
- 2 đầu bích TDC - gắn cầu chì 70-74 độ C
- Sản xuất theo BCTN số: 4761/VLXD-TBMT</t>
        </is>
      </c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Van chặn lửa FD kích thước 500x350</t>
        </is>
      </c>
      <c r="E34" t="inlineStr">
        <is>
          <t>500x350</t>
        </is>
      </c>
      <c r="F34" t="inlineStr">
        <is>
          <t>cái</t>
        </is>
      </c>
      <c r="G34" s="13" t="n">
        <v>1</v>
      </c>
      <c r="H34" s="13">
        <f>SUMIF('01_BOC_TACH_ONG'!$B$2:$B$5000, B34, '01_BOC_TACH_ONG'!$K$2:$K$5000)</f>
        <v/>
      </c>
      <c r="I34" s="13">
        <f>SUMIF('02_BOC_TACH_CUA'!$B$2:$B$5000, B34, '02_BOC_TACH_CUA'!$K$2:$K$5000)</f>
        <v/>
      </c>
      <c r="J34" s="13">
        <f>SUMIF('03_BOC_TACH_VAN'!$B$2:$B$5000, B34, '03_BOC_TACH_VAN'!$K$2:$K$5000)</f>
        <v/>
      </c>
      <c r="K34" s="13">
        <f>SUM(H34:J34)</f>
        <v/>
      </c>
      <c r="L34" s="13">
        <f>(K34-SUMIFS('03_BOC_TACH_VAN'!$K$2:$K$5000, '03_BOC_TACH_VAN'!$B$2:$B$5000, B34, '03_BOC_TACH_VAN'!$D$2:$D$5000, "ĐỘNG_CƠ_VÀ_CẢM_BIẾN"))*0.25</f>
        <v/>
      </c>
      <c r="M34" s="13">
        <f>(K34-SUMIFS('03_BOC_TACH_VAN'!$K$2:$K$5000, '03_BOC_TACH_VAN'!$B$2:$B$5000, B34, '03_BOC_TACH_VAN'!$D$2:$D$5000, "ĐỘNG_CƠ_VÀ_CẢM_BIẾN"))*0.10</f>
        <v/>
      </c>
      <c r="N34" s="13">
        <f>K34+L34+M34</f>
        <v/>
      </c>
      <c r="O34" s="13">
        <f>IF(G34&gt;0, N34/G34, 0)</f>
        <v/>
      </c>
      <c r="P34" s="14" t="n">
        <v>0.18</v>
      </c>
      <c r="Q34" s="13">
        <f>IF(G34&gt;0, ((N34-SUMIFS('03_BOC_TACH_VAN'!$K$2:$K$5000, '03_BOC_TACH_VAN'!$B$2:$B$5000, B34, '03_BOC_TACH_VAN'!$D$2:$D$5000, "ĐỘNG_CƠ_VÀ_CẢM_BIẾN"))*(1+P34)+SUMIFS('03_BOC_TACH_VAN'!$K$2:$K$5000, '03_BOC_TACH_VAN'!$B$2:$B$5000, B34, '03_BOC_TACH_VAN'!$D$2:$D$5000, "ĐỘNG_CƠ_VÀ_CẢM_BIẾN"))/G34, 0)</f>
        <v/>
      </c>
      <c r="R34" s="13">
        <f>G34*Q34</f>
        <v/>
      </c>
      <c r="S34" t="inlineStr">
        <is>
          <t>- Van chặn lửa cầu chì - Tiêu chuẩn EI 120
- 2 đầu bích TDC - gắn cầu chì 70-74 độ C
- Sản xuất theo BCTN số: 4761/VLXD-TBMT</t>
        </is>
      </c>
    </row>
    <row r="35">
      <c r="A35" t="n">
        <v>34</v>
      </c>
      <c r="B35" t="inlineStr">
        <is>
          <t>SW-DAMPER-034</t>
        </is>
      </c>
      <c r="C35" t="inlineStr">
        <is>
          <t>VAN GIÓ</t>
        </is>
      </c>
      <c r="D35" t="inlineStr">
        <is>
          <t>Van chặn lửa FD kích thước 400x300</t>
        </is>
      </c>
      <c r="E35" t="inlineStr">
        <is>
          <t>400x300</t>
        </is>
      </c>
      <c r="F35" t="inlineStr">
        <is>
          <t>cái</t>
        </is>
      </c>
      <c r="G35" s="13" t="n">
        <v>4</v>
      </c>
      <c r="H35" s="13">
        <f>SUMIF('01_BOC_TACH_ONG'!$B$2:$B$5000, B35, '01_BOC_TACH_ONG'!$K$2:$K$5000)</f>
        <v/>
      </c>
      <c r="I35" s="13">
        <f>SUMIF('02_BOC_TACH_CUA'!$B$2:$B$5000, B35, '02_BOC_TACH_CUA'!$K$2:$K$5000)</f>
        <v/>
      </c>
      <c r="J35" s="13">
        <f>SUMIF('03_BOC_TACH_VAN'!$B$2:$B$5000, B35, '03_BOC_TACH_VAN'!$K$2:$K$5000)</f>
        <v/>
      </c>
      <c r="K35" s="13">
        <f>SUM(H35:J35)</f>
        <v/>
      </c>
      <c r="L35" s="13">
        <f>(K35-SUMIFS('03_BOC_TACH_VAN'!$K$2:$K$5000, '03_BOC_TACH_VAN'!$B$2:$B$5000, B35, '03_BOC_TACH_VAN'!$D$2:$D$5000, "ĐỘNG_CƠ_VÀ_CẢM_BIẾN"))*0.25</f>
        <v/>
      </c>
      <c r="M35" s="13">
        <f>(K35-SUMIFS('03_BOC_TACH_VAN'!$K$2:$K$5000, '03_BOC_TACH_VAN'!$B$2:$B$5000, B35, '03_BOC_TACH_VAN'!$D$2:$D$5000, "ĐỘNG_CƠ_VÀ_CẢM_BIẾN"))*0.10</f>
        <v/>
      </c>
      <c r="N35" s="13">
        <f>K35+L35+M35</f>
        <v/>
      </c>
      <c r="O35" s="13">
        <f>IF(G35&gt;0, N35/G35, 0)</f>
        <v/>
      </c>
      <c r="P35" s="14" t="n">
        <v>0.18</v>
      </c>
      <c r="Q35" s="13">
        <f>IF(G35&gt;0, ((N35-SUMIFS('03_BOC_TACH_VAN'!$K$2:$K$5000, '03_BOC_TACH_VAN'!$B$2:$B$5000, B35, '03_BOC_TACH_VAN'!$D$2:$D$5000, "ĐỘNG_CƠ_VÀ_CẢM_BIẾN"))*(1+P35)+SUMIFS('03_BOC_TACH_VAN'!$K$2:$K$5000, '03_BOC_TACH_VAN'!$B$2:$B$5000, B35, '03_BOC_TACH_VAN'!$D$2:$D$5000, "ĐỘNG_CƠ_VÀ_CẢM_BIẾN"))/G35, 0)</f>
        <v/>
      </c>
      <c r="R35" s="13">
        <f>G35*Q35</f>
        <v/>
      </c>
      <c r="S35" t="inlineStr">
        <is>
          <t>- Van chặn lửa cầu chì - Tiêu chuẩn EI 120
- 2 đầu bích TDC - gắn cầu chì 70-74 độ C
- Sản xuất theo BCTN số: 4761/VLXD-TBMT</t>
        </is>
      </c>
    </row>
    <row r="36">
      <c r="A36" t="n">
        <v>35</v>
      </c>
      <c r="B36" t="inlineStr">
        <is>
          <t>SW-DAMPER-035</t>
        </is>
      </c>
      <c r="C36" t="inlineStr">
        <is>
          <t>VAN GIÓ</t>
        </is>
      </c>
      <c r="D36" t="inlineStr">
        <is>
          <t>Van chặn lửa FD kích thước 300x150</t>
        </is>
      </c>
      <c r="E36" t="inlineStr">
        <is>
          <t>300x150</t>
        </is>
      </c>
      <c r="F36" t="inlineStr">
        <is>
          <t>cái</t>
        </is>
      </c>
      <c r="G36" s="13" t="n">
        <v>1</v>
      </c>
      <c r="H36" s="13">
        <f>SUMIF('01_BOC_TACH_ONG'!$B$2:$B$5000, B36, '01_BOC_TACH_ONG'!$K$2:$K$5000)</f>
        <v/>
      </c>
      <c r="I36" s="13">
        <f>SUMIF('02_BOC_TACH_CUA'!$B$2:$B$5000, B36, '02_BOC_TACH_CUA'!$K$2:$K$5000)</f>
        <v/>
      </c>
      <c r="J36" s="13">
        <f>SUMIF('03_BOC_TACH_VAN'!$B$2:$B$5000, B36, '03_BOC_TACH_VAN'!$K$2:$K$5000)</f>
        <v/>
      </c>
      <c r="K36" s="13">
        <f>SUM(H36:J36)</f>
        <v/>
      </c>
      <c r="L36" s="13">
        <f>(K36-SUMIFS('03_BOC_TACH_VAN'!$K$2:$K$5000, '03_BOC_TACH_VAN'!$B$2:$B$5000, B36, '03_BOC_TACH_VAN'!$D$2:$D$5000, "ĐỘNG_CƠ_VÀ_CẢM_BIẾN"))*0.25</f>
        <v/>
      </c>
      <c r="M36" s="13">
        <f>(K36-SUMIFS('03_BOC_TACH_VAN'!$K$2:$K$5000, '03_BOC_TACH_VAN'!$B$2:$B$5000, B36, '03_BOC_TACH_VAN'!$D$2:$D$5000, "ĐỘNG_CƠ_VÀ_CẢM_BIẾN"))*0.10</f>
        <v/>
      </c>
      <c r="N36" s="13">
        <f>K36+L36+M36</f>
        <v/>
      </c>
      <c r="O36" s="13">
        <f>IF(G36&gt;0, N36/G36, 0)</f>
        <v/>
      </c>
      <c r="P36" s="14" t="n">
        <v>0.18</v>
      </c>
      <c r="Q36" s="13">
        <f>IF(G36&gt;0, ((N36-SUMIFS('03_BOC_TACH_VAN'!$K$2:$K$5000, '03_BOC_TACH_VAN'!$B$2:$B$5000, B36, '03_BOC_TACH_VAN'!$D$2:$D$5000, "ĐỘNG_CƠ_VÀ_CẢM_BIẾN"))*(1+P36)+SUMIFS('03_BOC_TACH_VAN'!$K$2:$K$5000, '03_BOC_TACH_VAN'!$B$2:$B$5000, B36, '03_BOC_TACH_VAN'!$D$2:$D$5000, "ĐỘNG_CƠ_VÀ_CẢM_BIẾN"))/G36, 0)</f>
        <v/>
      </c>
      <c r="R36" s="13">
        <f>G36*Q36</f>
        <v/>
      </c>
      <c r="S36" t="inlineStr">
        <is>
          <t>- Van chặn lửa cầu chì - Tiêu chuẩn EI 120
- 2 đầu bích TDC - gắn cầu chì 70-74 độ C
- Sản xuất theo BCTN số: 4761/VLXD-TBMT</t>
        </is>
      </c>
    </row>
    <row r="37">
      <c r="A37" t="n">
        <v>36</v>
      </c>
      <c r="B37" t="inlineStr">
        <is>
          <t>SW-DAMPER-036</t>
        </is>
      </c>
      <c r="C37" t="inlineStr">
        <is>
          <t>VAN GIÓ</t>
        </is>
      </c>
      <c r="D37" t="inlineStr">
        <is>
          <t>MFD kích thước 400x250</t>
        </is>
      </c>
      <c r="E37" t="inlineStr">
        <is>
          <t>400x250</t>
        </is>
      </c>
      <c r="F37" t="inlineStr">
        <is>
          <t>cái</t>
        </is>
      </c>
      <c r="G37" s="13" t="n">
        <v>1</v>
      </c>
      <c r="H37" s="13">
        <f>SUMIF('01_BOC_TACH_ONG'!$B$2:$B$5000, B37, '01_BOC_TACH_ONG'!$K$2:$K$5000)</f>
        <v/>
      </c>
      <c r="I37" s="13">
        <f>SUMIF('02_BOC_TACH_CUA'!$B$2:$B$5000, B37, '02_BOC_TACH_CUA'!$K$2:$K$5000)</f>
        <v/>
      </c>
      <c r="J37" s="13">
        <f>SUMIF('03_BOC_TACH_VAN'!$B$2:$B$5000, B37, '03_BOC_TACH_VAN'!$K$2:$K$5000)</f>
        <v/>
      </c>
      <c r="K37" s="13">
        <f>SUM(H37:J37)</f>
        <v/>
      </c>
      <c r="L37" s="13">
        <f>(K37-SUMIFS('03_BOC_TACH_VAN'!$K$2:$K$5000, '03_BOC_TACH_VAN'!$B$2:$B$5000, B37, '03_BOC_TACH_VAN'!$D$2:$D$5000, "ĐỘNG_CƠ_VÀ_CẢM_BIẾN"))*0.25</f>
        <v/>
      </c>
      <c r="M37" s="13">
        <f>(K37-SUMIFS('03_BOC_TACH_VAN'!$K$2:$K$5000, '03_BOC_TACH_VAN'!$B$2:$B$5000, B37, '03_BOC_TACH_VAN'!$D$2:$D$5000, "ĐỘNG_CƠ_VÀ_CẢM_BIẾN"))*0.10</f>
        <v/>
      </c>
      <c r="N37" s="13">
        <f>K37+L37+M37</f>
        <v/>
      </c>
      <c r="O37" s="13">
        <f>IF(G37&gt;0, N37/G37, 0)</f>
        <v/>
      </c>
      <c r="P37" s="14" t="n">
        <v>0.18</v>
      </c>
      <c r="Q37" s="13">
        <f>IF(G37&gt;0, ((N37-SUMIFS('03_BOC_TACH_VAN'!$K$2:$K$5000, '03_BOC_TACH_VAN'!$B$2:$B$5000, B37, '03_BOC_TACH_VAN'!$D$2:$D$5000, "ĐỘNG_CƠ_VÀ_CẢM_BIẾN"))*(1+P37)+SUMIFS('03_BOC_TACH_VAN'!$K$2:$K$5000, '03_BOC_TACH_VAN'!$B$2:$B$5000, B37, '03_BOC_TACH_VAN'!$D$2:$D$5000, "ĐỘNG_CƠ_VÀ_CẢM_BIẾN"))/G37, 0)</f>
        <v/>
      </c>
      <c r="R37" s="13">
        <f>G37*Q37</f>
        <v/>
      </c>
      <c r="S3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8">
      <c r="A38" t="n">
        <v>37</v>
      </c>
      <c r="B38" t="inlineStr">
        <is>
          <t>SW-DAMPER-037</t>
        </is>
      </c>
      <c r="C38" t="inlineStr">
        <is>
          <t>VAN GIÓ</t>
        </is>
      </c>
      <c r="D38" t="inlineStr">
        <is>
          <t>MFD kích thước 500x400</t>
        </is>
      </c>
      <c r="E38" t="inlineStr">
        <is>
          <t>500x400</t>
        </is>
      </c>
      <c r="F38" t="inlineStr">
        <is>
          <t>cái</t>
        </is>
      </c>
      <c r="G38" s="13" t="n">
        <v>1</v>
      </c>
      <c r="H38" s="13">
        <f>SUMIF('01_BOC_TACH_ONG'!$B$2:$B$5000, B38, '01_BOC_TACH_ONG'!$K$2:$K$5000)</f>
        <v/>
      </c>
      <c r="I38" s="13">
        <f>SUMIF('02_BOC_TACH_CUA'!$B$2:$B$5000, B38, '02_BOC_TACH_CUA'!$K$2:$K$5000)</f>
        <v/>
      </c>
      <c r="J38" s="13">
        <f>SUMIF('03_BOC_TACH_VAN'!$B$2:$B$5000, B38, '03_BOC_TACH_VAN'!$K$2:$K$5000)</f>
        <v/>
      </c>
      <c r="K38" s="13">
        <f>SUM(H38:J38)</f>
        <v/>
      </c>
      <c r="L38" s="13">
        <f>(K38-SUMIFS('03_BOC_TACH_VAN'!$K$2:$K$5000, '03_BOC_TACH_VAN'!$B$2:$B$5000, B38, '03_BOC_TACH_VAN'!$D$2:$D$5000, "ĐỘNG_CƠ_VÀ_CẢM_BIẾN"))*0.25</f>
        <v/>
      </c>
      <c r="M38" s="13">
        <f>(K38-SUMIFS('03_BOC_TACH_VAN'!$K$2:$K$5000, '03_BOC_TACH_VAN'!$B$2:$B$5000, B38, '03_BOC_TACH_VAN'!$D$2:$D$5000, "ĐỘNG_CƠ_VÀ_CẢM_BIẾN"))*0.10</f>
        <v/>
      </c>
      <c r="N38" s="13">
        <f>K38+L38+M38</f>
        <v/>
      </c>
      <c r="O38" s="13">
        <f>IF(G38&gt;0, N38/G38, 0)</f>
        <v/>
      </c>
      <c r="P38" s="14" t="n">
        <v>0.18</v>
      </c>
      <c r="Q38" s="13">
        <f>IF(G38&gt;0, ((N38-SUMIFS('03_BOC_TACH_VAN'!$K$2:$K$5000, '03_BOC_TACH_VAN'!$B$2:$B$5000, B38, '03_BOC_TACH_VAN'!$D$2:$D$5000, "ĐỘNG_CƠ_VÀ_CẢM_BIẾN"))*(1+P38)+SUMIFS('03_BOC_TACH_VAN'!$K$2:$K$5000, '03_BOC_TACH_VAN'!$B$2:$B$5000, B38, '03_BOC_TACH_VAN'!$D$2:$D$5000, "ĐỘNG_CƠ_VÀ_CẢM_BIẾN"))/G38, 0)</f>
        <v/>
      </c>
      <c r="R38" s="13">
        <f>G38*Q38</f>
        <v/>
      </c>
      <c r="S38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MFD kích thước 700x400</t>
        </is>
      </c>
      <c r="E39" t="inlineStr">
        <is>
          <t>700x400</t>
        </is>
      </c>
      <c r="F39" t="inlineStr">
        <is>
          <t>cái</t>
        </is>
      </c>
      <c r="G39" s="13" t="n">
        <v>1</v>
      </c>
      <c r="H39" s="13">
        <f>SUMIF('01_BOC_TACH_ONG'!$B$2:$B$5000, B39, '01_BOC_TACH_ONG'!$K$2:$K$5000)</f>
        <v/>
      </c>
      <c r="I39" s="13">
        <f>SUMIF('02_BOC_TACH_CUA'!$B$2:$B$5000, B39, '02_BOC_TACH_CUA'!$K$2:$K$5000)</f>
        <v/>
      </c>
      <c r="J39" s="13">
        <f>SUMIF('03_BOC_TACH_VAN'!$B$2:$B$5000, B39, '03_BOC_TACH_VAN'!$K$2:$K$5000)</f>
        <v/>
      </c>
      <c r="K39" s="13">
        <f>SUM(H39:J39)</f>
        <v/>
      </c>
      <c r="L39" s="13">
        <f>(K39-SUMIFS('03_BOC_TACH_VAN'!$K$2:$K$5000, '03_BOC_TACH_VAN'!$B$2:$B$5000, B39, '03_BOC_TACH_VAN'!$D$2:$D$5000, "ĐỘNG_CƠ_VÀ_CẢM_BIẾN"))*0.25</f>
        <v/>
      </c>
      <c r="M39" s="13">
        <f>(K39-SUMIFS('03_BOC_TACH_VAN'!$K$2:$K$5000, '03_BOC_TACH_VAN'!$B$2:$B$5000, B39, '03_BOC_TACH_VAN'!$D$2:$D$5000, "ĐỘNG_CƠ_VÀ_CẢM_BIẾN"))*0.10</f>
        <v/>
      </c>
      <c r="N39" s="13">
        <f>K39+L39+M39</f>
        <v/>
      </c>
      <c r="O39" s="13">
        <f>IF(G39&gt;0, N39/G39, 0)</f>
        <v/>
      </c>
      <c r="P39" s="14" t="n">
        <v>0.18</v>
      </c>
      <c r="Q39" s="13">
        <f>IF(G39&gt;0, ((N39-SUMIFS('03_BOC_TACH_VAN'!$K$2:$K$5000, '03_BOC_TACH_VAN'!$B$2:$B$5000, B39, '03_BOC_TACH_VAN'!$D$2:$D$5000, "ĐỘNG_CƠ_VÀ_CẢM_BIẾN"))*(1+P39)+SUMIFS('03_BOC_TACH_VAN'!$K$2:$K$5000, '03_BOC_TACH_VAN'!$B$2:$B$5000, B39, '03_BOC_TACH_VAN'!$D$2:$D$5000, "ĐỘNG_CƠ_VÀ_CẢM_BIẾN"))/G39, 0)</f>
        <v/>
      </c>
      <c r="R39" s="13">
        <f>G39*Q39</f>
        <v/>
      </c>
      <c r="S39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0">
      <c r="A40" t="n">
        <v>39</v>
      </c>
      <c r="B40" t="inlineStr">
        <is>
          <t>SW-DAMPER-039</t>
        </is>
      </c>
      <c r="C40" t="inlineStr">
        <is>
          <t>VAN GIÓ</t>
        </is>
      </c>
      <c r="D40" t="inlineStr">
        <is>
          <t>MFD kích thước 1000x400</t>
        </is>
      </c>
      <c r="E40" t="inlineStr">
        <is>
          <t>1000x400</t>
        </is>
      </c>
      <c r="F40" t="inlineStr">
        <is>
          <t>cái</t>
        </is>
      </c>
      <c r="G40" s="13" t="n">
        <v>1</v>
      </c>
      <c r="H40" s="13">
        <f>SUMIF('01_BOC_TACH_ONG'!$B$2:$B$5000, B40, '01_BOC_TACH_ONG'!$K$2:$K$5000)</f>
        <v/>
      </c>
      <c r="I40" s="13">
        <f>SUMIF('02_BOC_TACH_CUA'!$B$2:$B$5000, B40, '02_BOC_TACH_CUA'!$K$2:$K$5000)</f>
        <v/>
      </c>
      <c r="J40" s="13">
        <f>SUMIF('03_BOC_TACH_VAN'!$B$2:$B$5000, B40, '03_BOC_TACH_VAN'!$K$2:$K$5000)</f>
        <v/>
      </c>
      <c r="K40" s="13">
        <f>SUM(H40:J40)</f>
        <v/>
      </c>
      <c r="L40" s="13">
        <f>(K40-SUMIFS('03_BOC_TACH_VAN'!$K$2:$K$5000, '03_BOC_TACH_VAN'!$B$2:$B$5000, B40, '03_BOC_TACH_VAN'!$D$2:$D$5000, "ĐỘNG_CƠ_VÀ_CẢM_BIẾN"))*0.25</f>
        <v/>
      </c>
      <c r="M40" s="13">
        <f>(K40-SUMIFS('03_BOC_TACH_VAN'!$K$2:$K$5000, '03_BOC_TACH_VAN'!$B$2:$B$5000, B40, '03_BOC_TACH_VAN'!$D$2:$D$5000, "ĐỘNG_CƠ_VÀ_CẢM_BIẾN"))*0.10</f>
        <v/>
      </c>
      <c r="N40" s="13">
        <f>K40+L40+M40</f>
        <v/>
      </c>
      <c r="O40" s="13">
        <f>IF(G40&gt;0, N40/G40, 0)</f>
        <v/>
      </c>
      <c r="P40" s="14" t="n">
        <v>0.18</v>
      </c>
      <c r="Q40" s="13">
        <f>IF(G40&gt;0, ((N40-SUMIFS('03_BOC_TACH_VAN'!$K$2:$K$5000, '03_BOC_TACH_VAN'!$B$2:$B$5000, B40, '03_BOC_TACH_VAN'!$D$2:$D$5000, "ĐỘNG_CƠ_VÀ_CẢM_BIẾN"))*(1+P40)+SUMIFS('03_BOC_TACH_VAN'!$K$2:$K$5000, '03_BOC_TACH_VAN'!$B$2:$B$5000, B40, '03_BOC_TACH_VAN'!$D$2:$D$5000, "ĐỘNG_CƠ_VÀ_CẢM_BIẾN"))/G40, 0)</f>
        <v/>
      </c>
      <c r="R40" s="13">
        <f>G40*Q40</f>
        <v/>
      </c>
      <c r="S4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1">
      <c r="A41" t="n">
        <v>40</v>
      </c>
      <c r="B41" t="inlineStr">
        <is>
          <t>SW-DAMPER-040</t>
        </is>
      </c>
      <c r="C41" t="inlineStr">
        <is>
          <t>VAN GIÓ</t>
        </is>
      </c>
      <c r="D41" t="inlineStr">
        <is>
          <t>MFD kích thước 1300x1200</t>
        </is>
      </c>
      <c r="E41" t="inlineStr">
        <is>
          <t>1300x1200</t>
        </is>
      </c>
      <c r="F41" t="inlineStr">
        <is>
          <t>cái</t>
        </is>
      </c>
      <c r="G41" s="13" t="n">
        <v>1</v>
      </c>
      <c r="H41" s="13">
        <f>SUMIF('01_BOC_TACH_ONG'!$B$2:$B$5000, B41, '01_BOC_TACH_ONG'!$K$2:$K$5000)</f>
        <v/>
      </c>
      <c r="I41" s="13">
        <f>SUMIF('02_BOC_TACH_CUA'!$B$2:$B$5000, B41, '02_BOC_TACH_CUA'!$K$2:$K$5000)</f>
        <v/>
      </c>
      <c r="J41" s="13">
        <f>SUMIF('03_BOC_TACH_VAN'!$B$2:$B$5000, B41, '03_BOC_TACH_VAN'!$K$2:$K$5000)</f>
        <v/>
      </c>
      <c r="K41" s="13">
        <f>SUM(H41:J41)</f>
        <v/>
      </c>
      <c r="L41" s="13">
        <f>(K41-SUMIFS('03_BOC_TACH_VAN'!$K$2:$K$5000, '03_BOC_TACH_VAN'!$B$2:$B$5000, B41, '03_BOC_TACH_VAN'!$D$2:$D$5000, "ĐỘNG_CƠ_VÀ_CẢM_BIẾN"))*0.25</f>
        <v/>
      </c>
      <c r="M41" s="13">
        <f>(K41-SUMIFS('03_BOC_TACH_VAN'!$K$2:$K$5000, '03_BOC_TACH_VAN'!$B$2:$B$5000, B41, '03_BOC_TACH_VAN'!$D$2:$D$5000, "ĐỘNG_CƠ_VÀ_CẢM_BIẾN"))*0.10</f>
        <v/>
      </c>
      <c r="N41" s="13">
        <f>K41+L41+M41</f>
        <v/>
      </c>
      <c r="O41" s="13">
        <f>IF(G41&gt;0, N41/G41, 0)</f>
        <v/>
      </c>
      <c r="P41" s="14" t="n">
        <v>0.18</v>
      </c>
      <c r="Q41" s="13">
        <f>IF(G41&gt;0, ((N41-SUMIFS('03_BOC_TACH_VAN'!$K$2:$K$5000, '03_BOC_TACH_VAN'!$B$2:$B$5000, B41, '03_BOC_TACH_VAN'!$D$2:$D$5000, "ĐỘNG_CƠ_VÀ_CẢM_BIẾN"))*(1+P41)+SUMIFS('03_BOC_TACH_VAN'!$K$2:$K$5000, '03_BOC_TACH_VAN'!$B$2:$B$5000, B41, '03_BOC_TACH_VAN'!$D$2:$D$5000, "ĐỘNG_CƠ_VÀ_CẢM_BIẾN"))/G41, 0)</f>
        <v/>
      </c>
      <c r="R41" s="13">
        <f>G41*Q41</f>
        <v/>
      </c>
      <c r="S41" t="inlineStr">
        <is>
          <t>- Van chống cháy động cơ - Tiêu chuẩn EI 90
- 2 đầu bích TDC - Gắn kèm động cơ ON-OFF 3.5Nm, 24V (Type: đóng mở nhanh) BELIMO - Model: FSLF24V US
- Sản xuất theo BCTN số 4752/VLXD-TBMT
- Chia 2 modul khi sản xuất</t>
        </is>
      </c>
    </row>
    <row r="42">
      <c r="A42" t="n">
        <v>41</v>
      </c>
      <c r="B42" t="inlineStr">
        <is>
          <t>SW-DAMPER-041</t>
        </is>
      </c>
      <c r="C42" t="inlineStr">
        <is>
          <t>VAN GIÓ</t>
        </is>
      </c>
      <c r="D42" t="inlineStr">
        <is>
          <t>MFD kích thước 1500x2000</t>
        </is>
      </c>
      <c r="E42" t="inlineStr">
        <is>
          <t>1500x2000</t>
        </is>
      </c>
      <c r="F42" t="inlineStr">
        <is>
          <t>cái</t>
        </is>
      </c>
      <c r="G42" s="13" t="n">
        <v>1</v>
      </c>
      <c r="H42" s="13">
        <f>SUMIF('01_BOC_TACH_ONG'!$B$2:$B$5000, B42, '01_BOC_TACH_ONG'!$K$2:$K$5000)</f>
        <v/>
      </c>
      <c r="I42" s="13">
        <f>SUMIF('02_BOC_TACH_CUA'!$B$2:$B$5000, B42, '02_BOC_TACH_CUA'!$K$2:$K$5000)</f>
        <v/>
      </c>
      <c r="J42" s="13">
        <f>SUMIF('03_BOC_TACH_VAN'!$B$2:$B$5000, B42, '03_BOC_TACH_VAN'!$K$2:$K$5000)</f>
        <v/>
      </c>
      <c r="K42" s="13">
        <f>SUM(H42:J42)</f>
        <v/>
      </c>
      <c r="L42" s="13">
        <f>(K42-SUMIFS('03_BOC_TACH_VAN'!$K$2:$K$5000, '03_BOC_TACH_VAN'!$B$2:$B$5000, B42, '03_BOC_TACH_VAN'!$D$2:$D$5000, "ĐỘNG_CƠ_VÀ_CẢM_BIẾN"))*0.25</f>
        <v/>
      </c>
      <c r="M42" s="13">
        <f>(K42-SUMIFS('03_BOC_TACH_VAN'!$K$2:$K$5000, '03_BOC_TACH_VAN'!$B$2:$B$5000, B42, '03_BOC_TACH_VAN'!$D$2:$D$5000, "ĐỘNG_CƠ_VÀ_CẢM_BIẾN"))*0.10</f>
        <v/>
      </c>
      <c r="N42" s="13">
        <f>K42+L42+M42</f>
        <v/>
      </c>
      <c r="O42" s="13">
        <f>IF(G42&gt;0, N42/G42, 0)</f>
        <v/>
      </c>
      <c r="P42" s="14" t="n">
        <v>0.18</v>
      </c>
      <c r="Q42" s="13">
        <f>IF(G42&gt;0, ((N42-SUMIFS('03_BOC_TACH_VAN'!$K$2:$K$5000, '03_BOC_TACH_VAN'!$B$2:$B$5000, B42, '03_BOC_TACH_VAN'!$D$2:$D$5000, "ĐỘNG_CƠ_VÀ_CẢM_BIẾN"))*(1+P42)+SUMIFS('03_BOC_TACH_VAN'!$K$2:$K$5000, '03_BOC_TACH_VAN'!$B$2:$B$5000, B42, '03_BOC_TACH_VAN'!$D$2:$D$5000, "ĐỘNG_CƠ_VÀ_CẢM_BIẾN"))/G42, 0)</f>
        <v/>
      </c>
      <c r="R42" s="13">
        <f>G42*Q42</f>
        <v/>
      </c>
      <c r="S42" t="inlineStr">
        <is>
          <t>- Van chống cháy động cơ - Tiêu chuẩn EI 90
- 2 đầu bích TDC - Gắn kèm động cơ ON-OFF 3.5Nm, 24V (Type: đóng mở nhanh) BELIMO - Model: FSLF24V US
- Sản xuất theo BCTN số 4752/VLXD-TBMT
- Chia 3 modul khi sản xuất</t>
        </is>
      </c>
    </row>
    <row r="43">
      <c r="A43" t="n">
        <v>42</v>
      </c>
      <c r="B43" t="inlineStr">
        <is>
          <t>SW-DAMPER-042</t>
        </is>
      </c>
      <c r="C43" t="inlineStr">
        <is>
          <t>VAN GIÓ</t>
        </is>
      </c>
      <c r="D43" t="inlineStr">
        <is>
          <t>MFD kích thước 1900x3000</t>
        </is>
      </c>
      <c r="E43" t="inlineStr">
        <is>
          <t>1900x3000</t>
        </is>
      </c>
      <c r="F43" t="inlineStr">
        <is>
          <t>cái</t>
        </is>
      </c>
      <c r="G43" s="13" t="n">
        <v>1</v>
      </c>
      <c r="H43" s="13">
        <f>SUMIF('01_BOC_TACH_ONG'!$B$2:$B$5000, B43, '01_BOC_TACH_ONG'!$K$2:$K$5000)</f>
        <v/>
      </c>
      <c r="I43" s="13">
        <f>SUMIF('02_BOC_TACH_CUA'!$B$2:$B$5000, B43, '02_BOC_TACH_CUA'!$K$2:$K$5000)</f>
        <v/>
      </c>
      <c r="J43" s="13">
        <f>SUMIF('03_BOC_TACH_VAN'!$B$2:$B$5000, B43, '03_BOC_TACH_VAN'!$K$2:$K$5000)</f>
        <v/>
      </c>
      <c r="K43" s="13">
        <f>SUM(H43:J43)</f>
        <v/>
      </c>
      <c r="L43" s="13">
        <f>(K43-SUMIFS('03_BOC_TACH_VAN'!$K$2:$K$5000, '03_BOC_TACH_VAN'!$B$2:$B$5000, B43, '03_BOC_TACH_VAN'!$D$2:$D$5000, "ĐỘNG_CƠ_VÀ_CẢM_BIẾN"))*0.25</f>
        <v/>
      </c>
      <c r="M43" s="13">
        <f>(K43-SUMIFS('03_BOC_TACH_VAN'!$K$2:$K$5000, '03_BOC_TACH_VAN'!$B$2:$B$5000, B43, '03_BOC_TACH_VAN'!$D$2:$D$5000, "ĐỘNG_CƠ_VÀ_CẢM_BIẾN"))*0.10</f>
        <v/>
      </c>
      <c r="N43" s="13">
        <f>K43+L43+M43</f>
        <v/>
      </c>
      <c r="O43" s="13">
        <f>IF(G43&gt;0, N43/G43, 0)</f>
        <v/>
      </c>
      <c r="P43" s="14" t="n">
        <v>0.18</v>
      </c>
      <c r="Q43" s="13">
        <f>IF(G43&gt;0, ((N43-SUMIFS('03_BOC_TACH_VAN'!$K$2:$K$5000, '03_BOC_TACH_VAN'!$B$2:$B$5000, B43, '03_BOC_TACH_VAN'!$D$2:$D$5000, "ĐỘNG_CƠ_VÀ_CẢM_BIẾN"))*(1+P43)+SUMIFS('03_BOC_TACH_VAN'!$K$2:$K$5000, '03_BOC_TACH_VAN'!$B$2:$B$5000, B43, '03_BOC_TACH_VAN'!$D$2:$D$5000, "ĐỘNG_CƠ_VÀ_CẢM_BIẾN"))/G43, 0)</f>
        <v/>
      </c>
      <c r="R43" s="13">
        <f>G43*Q43</f>
        <v/>
      </c>
      <c r="S43" t="inlineStr">
        <is>
          <t>- Van chống cháy động cơ - Tiêu chuẩn EI 90
- 2 đầu bích TDC - Gắn kèm động cơ ON-OFF 3.5Nm, 24V (Type: đóng mở nhanh) BELIMO - Model: FSLF24V US
- Sản xuất theo BCTN số 4752/VLXD-TBMT
- Chia 8 modul khi sản xuất</t>
        </is>
      </c>
    </row>
    <row r="44">
      <c r="A44" t="n">
        <v>43</v>
      </c>
      <c r="B44" t="inlineStr">
        <is>
          <t>SW-DAMPER-043</t>
        </is>
      </c>
      <c r="C44" t="inlineStr">
        <is>
          <t>VAN GIÓ</t>
        </is>
      </c>
      <c r="D44" t="inlineStr">
        <is>
          <t>Van chặn lửa bằng động cơ MFD kt: 900x400mm, EI30</t>
        </is>
      </c>
      <c r="E44" t="inlineStr">
        <is>
          <t>900x400</t>
        </is>
      </c>
      <c r="F44" t="inlineStr">
        <is>
          <t>Cái</t>
        </is>
      </c>
      <c r="G44" s="13" t="n">
        <v>17</v>
      </c>
      <c r="H44" s="13">
        <f>SUMIF('01_BOC_TACH_ONG'!$B$2:$B$5000, B44, '01_BOC_TACH_ONG'!$K$2:$K$5000)</f>
        <v/>
      </c>
      <c r="I44" s="13">
        <f>SUMIF('02_BOC_TACH_CUA'!$B$2:$B$5000, B44, '02_BOC_TACH_CUA'!$K$2:$K$5000)</f>
        <v/>
      </c>
      <c r="J44" s="13">
        <f>SUMIF('03_BOC_TACH_VAN'!$B$2:$B$5000, B44, '03_BOC_TACH_VAN'!$K$2:$K$5000)</f>
        <v/>
      </c>
      <c r="K44" s="13">
        <f>SUM(H44:J44)</f>
        <v/>
      </c>
      <c r="L44" s="13">
        <f>(K44-SUMIFS('03_BOC_TACH_VAN'!$K$2:$K$5000, '03_BOC_TACH_VAN'!$B$2:$B$5000, B44, '03_BOC_TACH_VAN'!$D$2:$D$5000, "ĐỘNG_CƠ_VÀ_CẢM_BIẾN"))*0.25</f>
        <v/>
      </c>
      <c r="M44" s="13">
        <f>(K44-SUMIFS('03_BOC_TACH_VAN'!$K$2:$K$5000, '03_BOC_TACH_VAN'!$B$2:$B$5000, B44, '03_BOC_TACH_VAN'!$D$2:$D$5000, "ĐỘNG_CƠ_VÀ_CẢM_BIẾN"))*0.10</f>
        <v/>
      </c>
      <c r="N44" s="13">
        <f>K44+L44+M44</f>
        <v/>
      </c>
      <c r="O44" s="13">
        <f>IF(G44&gt;0, N44/G44, 0)</f>
        <v/>
      </c>
      <c r="P44" s="14" t="n">
        <v>0.18</v>
      </c>
      <c r="Q44" s="13">
        <f>IF(G44&gt;0, ((N44-SUMIFS('03_BOC_TACH_VAN'!$K$2:$K$5000, '03_BOC_TACH_VAN'!$B$2:$B$5000, B44, '03_BOC_TACH_VAN'!$D$2:$D$5000, "ĐỘNG_CƠ_VÀ_CẢM_BIẾN"))*(1+P44)+SUMIFS('03_BOC_TACH_VAN'!$K$2:$K$5000, '03_BOC_TACH_VAN'!$B$2:$B$5000, B44, '03_BOC_TACH_VAN'!$D$2:$D$5000, "ĐỘNG_CƠ_VÀ_CẢM_BIẾN"))/G44, 0)</f>
        <v/>
      </c>
      <c r="R44" s="13">
        <f>G44*Q44</f>
        <v/>
      </c>
      <c r="S44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5">
      <c r="A45" t="n">
        <v>44</v>
      </c>
      <c r="B45" t="inlineStr">
        <is>
          <t>SW-DAMPER-044</t>
        </is>
      </c>
      <c r="C45" t="inlineStr">
        <is>
          <t>VAN GIÓ</t>
        </is>
      </c>
      <c r="D45" t="inlineStr">
        <is>
          <t>Van chặn lửa FD kích thước 200x150</t>
        </is>
      </c>
      <c r="E45" t="inlineStr">
        <is>
          <t>200x150</t>
        </is>
      </c>
      <c r="F45" t="inlineStr">
        <is>
          <t>cái</t>
        </is>
      </c>
      <c r="G45" s="13" t="n">
        <v>2</v>
      </c>
      <c r="H45" s="13">
        <f>SUMIF('01_BOC_TACH_ONG'!$B$2:$B$5000, B45, '01_BOC_TACH_ONG'!$K$2:$K$5000)</f>
        <v/>
      </c>
      <c r="I45" s="13">
        <f>SUMIF('02_BOC_TACH_CUA'!$B$2:$B$5000, B45, '02_BOC_TACH_CUA'!$K$2:$K$5000)</f>
        <v/>
      </c>
      <c r="J45" s="13">
        <f>SUMIF('03_BOC_TACH_VAN'!$B$2:$B$5000, B45, '03_BOC_TACH_VAN'!$K$2:$K$5000)</f>
        <v/>
      </c>
      <c r="K45" s="13">
        <f>SUM(H45:J45)</f>
        <v/>
      </c>
      <c r="L45" s="13">
        <f>(K45-SUMIFS('03_BOC_TACH_VAN'!$K$2:$K$5000, '03_BOC_TACH_VAN'!$B$2:$B$5000, B45, '03_BOC_TACH_VAN'!$D$2:$D$5000, "ĐỘNG_CƠ_VÀ_CẢM_BIẾN"))*0.25</f>
        <v/>
      </c>
      <c r="M45" s="13">
        <f>(K45-SUMIFS('03_BOC_TACH_VAN'!$K$2:$K$5000, '03_BOC_TACH_VAN'!$B$2:$B$5000, B45, '03_BOC_TACH_VAN'!$D$2:$D$5000, "ĐỘNG_CƠ_VÀ_CẢM_BIẾN"))*0.10</f>
        <v/>
      </c>
      <c r="N45" s="13">
        <f>K45+L45+M45</f>
        <v/>
      </c>
      <c r="O45" s="13">
        <f>IF(G45&gt;0, N45/G45, 0)</f>
        <v/>
      </c>
      <c r="P45" s="14" t="n">
        <v>0.18</v>
      </c>
      <c r="Q45" s="13">
        <f>IF(G45&gt;0, ((N45-SUMIFS('03_BOC_TACH_VAN'!$K$2:$K$5000, '03_BOC_TACH_VAN'!$B$2:$B$5000, B45, '03_BOC_TACH_VAN'!$D$2:$D$5000, "ĐỘNG_CƠ_VÀ_CẢM_BIẾN"))*(1+P45)+SUMIFS('03_BOC_TACH_VAN'!$K$2:$K$5000, '03_BOC_TACH_VAN'!$B$2:$B$5000, B45, '03_BOC_TACH_VAN'!$D$2:$D$5000, "ĐỘNG_CƠ_VÀ_CẢM_BIẾN"))/G45, 0)</f>
        <v/>
      </c>
      <c r="R45" s="13">
        <f>G45*Q45</f>
        <v/>
      </c>
      <c r="S45" t="inlineStr">
        <is>
          <t>- Van chặn lửa cầu chì - Tiêu chuẩn EI 120
- 2 đầu bích TDC - gắn cầu chì 70-74 độ C
- Sản xuất theo BCTN số: 4761/VLXD-TBMT</t>
        </is>
      </c>
    </row>
    <row r="46">
      <c r="A46" t="n">
        <v>45</v>
      </c>
      <c r="B46" t="inlineStr">
        <is>
          <t>SW-DAMPER-045</t>
        </is>
      </c>
      <c r="C46" t="inlineStr">
        <is>
          <t>VAN GIÓ</t>
        </is>
      </c>
      <c r="D46" t="inlineStr">
        <is>
          <t>MFD kích thước 800x400</t>
        </is>
      </c>
      <c r="E46" t="inlineStr">
        <is>
          <t>800x400</t>
        </is>
      </c>
      <c r="F46" t="inlineStr">
        <is>
          <t>cái</t>
        </is>
      </c>
      <c r="G46" s="13" t="n">
        <v>1</v>
      </c>
      <c r="H46" s="13">
        <f>SUMIF('01_BOC_TACH_ONG'!$B$2:$B$5000, B46, '01_BOC_TACH_ONG'!$K$2:$K$5000)</f>
        <v/>
      </c>
      <c r="I46" s="13">
        <f>SUMIF('02_BOC_TACH_CUA'!$B$2:$B$5000, B46, '02_BOC_TACH_CUA'!$K$2:$K$5000)</f>
        <v/>
      </c>
      <c r="J46" s="13">
        <f>SUMIF('03_BOC_TACH_VAN'!$B$2:$B$5000, B46, '03_BOC_TACH_VAN'!$K$2:$K$5000)</f>
        <v/>
      </c>
      <c r="K46" s="13">
        <f>SUM(H46:J46)</f>
        <v/>
      </c>
      <c r="L46" s="13">
        <f>(K46-SUMIFS('03_BOC_TACH_VAN'!$K$2:$K$5000, '03_BOC_TACH_VAN'!$B$2:$B$5000, B46, '03_BOC_TACH_VAN'!$D$2:$D$5000, "ĐỘNG_CƠ_VÀ_CẢM_BIẾN"))*0.25</f>
        <v/>
      </c>
      <c r="M46" s="13">
        <f>(K46-SUMIFS('03_BOC_TACH_VAN'!$K$2:$K$5000, '03_BOC_TACH_VAN'!$B$2:$B$5000, B46, '03_BOC_TACH_VAN'!$D$2:$D$5000, "ĐỘNG_CƠ_VÀ_CẢM_BIẾN"))*0.10</f>
        <v/>
      </c>
      <c r="N46" s="13">
        <f>K46+L46+M46</f>
        <v/>
      </c>
      <c r="O46" s="13">
        <f>IF(G46&gt;0, N46/G46, 0)</f>
        <v/>
      </c>
      <c r="P46" s="14" t="n">
        <v>0.18</v>
      </c>
      <c r="Q46" s="13">
        <f>IF(G46&gt;0, ((N46-SUMIFS('03_BOC_TACH_VAN'!$K$2:$K$5000, '03_BOC_TACH_VAN'!$B$2:$B$5000, B46, '03_BOC_TACH_VAN'!$D$2:$D$5000, "ĐỘNG_CƠ_VÀ_CẢM_BIẾN"))*(1+P46)+SUMIFS('03_BOC_TACH_VAN'!$K$2:$K$5000, '03_BOC_TACH_VAN'!$B$2:$B$5000, B46, '03_BOC_TACH_VAN'!$D$2:$D$5000, "ĐỘNG_CƠ_VÀ_CẢM_BIẾN"))/G46, 0)</f>
        <v/>
      </c>
      <c r="R46" s="13">
        <f>G46*Q46</f>
        <v/>
      </c>
      <c r="S46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7">
      <c r="A47" t="n">
        <v>46</v>
      </c>
      <c r="B47" t="inlineStr">
        <is>
          <t>SW-DAMPER-046</t>
        </is>
      </c>
      <c r="C47" t="inlineStr">
        <is>
          <t>VAN GIÓ</t>
        </is>
      </c>
      <c r="D47" t="inlineStr">
        <is>
          <t>MFD kích thước 500x300</t>
        </is>
      </c>
      <c r="E47" t="inlineStr">
        <is>
          <t>500x300</t>
        </is>
      </c>
      <c r="F47" t="inlineStr">
        <is>
          <t>cái</t>
        </is>
      </c>
      <c r="G47" s="13" t="n">
        <v>4</v>
      </c>
      <c r="H47" s="13">
        <f>SUMIF('01_BOC_TACH_ONG'!$B$2:$B$5000, B47, '01_BOC_TACH_ONG'!$K$2:$K$5000)</f>
        <v/>
      </c>
      <c r="I47" s="13">
        <f>SUMIF('02_BOC_TACH_CUA'!$B$2:$B$5000, B47, '02_BOC_TACH_CUA'!$K$2:$K$5000)</f>
        <v/>
      </c>
      <c r="J47" s="13">
        <f>SUMIF('03_BOC_TACH_VAN'!$B$2:$B$5000, B47, '03_BOC_TACH_VAN'!$K$2:$K$5000)</f>
        <v/>
      </c>
      <c r="K47" s="13">
        <f>SUM(H47:J47)</f>
        <v/>
      </c>
      <c r="L47" s="13">
        <f>(K47-SUMIFS('03_BOC_TACH_VAN'!$K$2:$K$5000, '03_BOC_TACH_VAN'!$B$2:$B$5000, B47, '03_BOC_TACH_VAN'!$D$2:$D$5000, "ĐỘNG_CƠ_VÀ_CẢM_BIẾN"))*0.25</f>
        <v/>
      </c>
      <c r="M47" s="13">
        <f>(K47-SUMIFS('03_BOC_TACH_VAN'!$K$2:$K$5000, '03_BOC_TACH_VAN'!$B$2:$B$5000, B47, '03_BOC_TACH_VAN'!$D$2:$D$5000, "ĐỘNG_CƠ_VÀ_CẢM_BIẾN"))*0.10</f>
        <v/>
      </c>
      <c r="N47" s="13">
        <f>K47+L47+M47</f>
        <v/>
      </c>
      <c r="O47" s="13">
        <f>IF(G47&gt;0, N47/G47, 0)</f>
        <v/>
      </c>
      <c r="P47" s="14" t="n">
        <v>0.18</v>
      </c>
      <c r="Q47" s="13">
        <f>IF(G47&gt;0, ((N47-SUMIFS('03_BOC_TACH_VAN'!$K$2:$K$5000, '03_BOC_TACH_VAN'!$B$2:$B$5000, B47, '03_BOC_TACH_VAN'!$D$2:$D$5000, "ĐỘNG_CƠ_VÀ_CẢM_BIẾN"))*(1+P47)+SUMIFS('03_BOC_TACH_VAN'!$K$2:$K$5000, '03_BOC_TACH_VAN'!$B$2:$B$5000, B47, '03_BOC_TACH_VAN'!$D$2:$D$5000, "ĐỘNG_CƠ_VÀ_CẢM_BIẾN"))/G47, 0)</f>
        <v/>
      </c>
      <c r="R47" s="13">
        <f>G47*Q47</f>
        <v/>
      </c>
      <c r="S47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8">
      <c r="A48" t="n">
        <v>47</v>
      </c>
      <c r="B48" t="inlineStr">
        <is>
          <t>SW-DAMPER-047</t>
        </is>
      </c>
      <c r="C48" t="inlineStr">
        <is>
          <t>VAN GIÓ</t>
        </is>
      </c>
      <c r="D48" t="inlineStr">
        <is>
          <t>Van chặn lửa bằng động cơ MFD kt: 900x500mm, EI30</t>
        </is>
      </c>
      <c r="E48" t="inlineStr">
        <is>
          <t>900x500</t>
        </is>
      </c>
      <c r="F48" t="inlineStr">
        <is>
          <t>Cái</t>
        </is>
      </c>
      <c r="G48" s="13" t="n">
        <v>36</v>
      </c>
      <c r="H48" s="13">
        <f>SUMIF('01_BOC_TACH_ONG'!$B$2:$B$5000, B48, '01_BOC_TACH_ONG'!$K$2:$K$5000)</f>
        <v/>
      </c>
      <c r="I48" s="13">
        <f>SUMIF('02_BOC_TACH_CUA'!$B$2:$B$5000, B48, '02_BOC_TACH_CUA'!$K$2:$K$5000)</f>
        <v/>
      </c>
      <c r="J48" s="13">
        <f>SUMIF('03_BOC_TACH_VAN'!$B$2:$B$5000, B48, '03_BOC_TACH_VAN'!$K$2:$K$5000)</f>
        <v/>
      </c>
      <c r="K48" s="13">
        <f>SUM(H48:J48)</f>
        <v/>
      </c>
      <c r="L48" s="13">
        <f>(K48-SUMIFS('03_BOC_TACH_VAN'!$K$2:$K$5000, '03_BOC_TACH_VAN'!$B$2:$B$5000, B48, '03_BOC_TACH_VAN'!$D$2:$D$5000, "ĐỘNG_CƠ_VÀ_CẢM_BIẾN"))*0.25</f>
        <v/>
      </c>
      <c r="M48" s="13">
        <f>(K48-SUMIFS('03_BOC_TACH_VAN'!$K$2:$K$5000, '03_BOC_TACH_VAN'!$B$2:$B$5000, B48, '03_BOC_TACH_VAN'!$D$2:$D$5000, "ĐỘNG_CƠ_VÀ_CẢM_BIẾN"))*0.10</f>
        <v/>
      </c>
      <c r="N48" s="13">
        <f>K48+L48+M48</f>
        <v/>
      </c>
      <c r="O48" s="13">
        <f>IF(G48&gt;0, N48/G48, 0)</f>
        <v/>
      </c>
      <c r="P48" s="14" t="n">
        <v>0.18</v>
      </c>
      <c r="Q48" s="13">
        <f>IF(G48&gt;0, ((N48-SUMIFS('03_BOC_TACH_VAN'!$K$2:$K$5000, '03_BOC_TACH_VAN'!$B$2:$B$5000, B48, '03_BOC_TACH_VAN'!$D$2:$D$5000, "ĐỘNG_CƠ_VÀ_CẢM_BIẾN"))*(1+P48)+SUMIFS('03_BOC_TACH_VAN'!$K$2:$K$5000, '03_BOC_TACH_VAN'!$B$2:$B$5000, B48, '03_BOC_TACH_VAN'!$D$2:$D$5000, "ĐỘNG_CƠ_VÀ_CẢM_BIẾN"))/G48, 0)</f>
        <v/>
      </c>
      <c r="R48" s="13">
        <f>G48*Q48</f>
        <v/>
      </c>
      <c r="S48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49">
      <c r="A49" s="15" t="inlineStr">
        <is>
          <t>TỔNG CỘNG</t>
        </is>
      </c>
      <c r="H49" s="16">
        <f>SUM(H2:H48)</f>
        <v/>
      </c>
      <c r="I49" s="16">
        <f>SUM(I2:I48)</f>
        <v/>
      </c>
      <c r="J49" s="16">
        <f>SUM(J2:J48)</f>
        <v/>
      </c>
      <c r="K49" s="16">
        <f>SUM(K2:K48)</f>
        <v/>
      </c>
      <c r="L49" s="16">
        <f>SUM(L2:L48)</f>
        <v/>
      </c>
      <c r="M49" s="16">
        <f>SUM(M2:M48)</f>
        <v/>
      </c>
      <c r="N49" s="16">
        <f>SUM(N2:N48)</f>
        <v/>
      </c>
      <c r="R49" s="16">
        <f>SUM(R2:R48)</f>
        <v/>
      </c>
    </row>
  </sheetData>
  <mergeCells count="1">
    <mergeCell ref="A49:F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2" t="inlineStr">
        <is>
          <t>SUB_KEY</t>
        </is>
      </c>
      <c r="B1" s="12" t="inlineStr">
        <is>
          <t>PARENT_ITEM_ID</t>
        </is>
      </c>
      <c r="C1" s="12" t="inlineStr">
        <is>
          <t>TÊN CẤU KIỆN</t>
        </is>
      </c>
      <c r="D1" s="12" t="inlineStr">
        <is>
          <t>PHÂN LOẠI</t>
        </is>
      </c>
      <c r="E1" s="12" t="inlineStr">
        <is>
          <t>MÃ VẬT TƯ (MAT_ID)</t>
        </is>
      </c>
      <c r="F1" s="12" t="inlineStr">
        <is>
          <t>ĐVT</t>
        </is>
      </c>
      <c r="G1" s="12" t="inlineStr">
        <is>
          <t>ĐỊNH MỨC / 1 SP</t>
        </is>
      </c>
      <c r="H1" s="12" t="inlineStr">
        <is>
          <t>SL DỰ ÁN</t>
        </is>
      </c>
      <c r="I1" s="12" t="inlineStr">
        <is>
          <t>TỔNG NHU CẦU</t>
        </is>
      </c>
      <c r="J1" s="12" t="inlineStr">
        <is>
          <t>ĐƠN GIÁ GỐC</t>
        </is>
      </c>
      <c r="K1" s="12" t="inlineStr">
        <is>
          <t>THÀNH TIỀN (VNĐ)</t>
        </is>
      </c>
      <c r="L1" s="12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2" t="inlineStr">
        <is>
          <t>SUB_KEY</t>
        </is>
      </c>
      <c r="B1" s="12" t="inlineStr">
        <is>
          <t>PARENT_ITEM_ID</t>
        </is>
      </c>
      <c r="C1" s="12" t="inlineStr">
        <is>
          <t>TÊN CẤU KIỆN</t>
        </is>
      </c>
      <c r="D1" s="12" t="inlineStr">
        <is>
          <t>PHÂN LOẠI</t>
        </is>
      </c>
      <c r="E1" s="12" t="inlineStr">
        <is>
          <t>MÃ VẬT TƯ (MAT_ID)</t>
        </is>
      </c>
      <c r="F1" s="12" t="inlineStr">
        <is>
          <t>ĐVT</t>
        </is>
      </c>
      <c r="G1" s="12" t="inlineStr">
        <is>
          <t>ĐỊNH MỨC / 1 SP</t>
        </is>
      </c>
      <c r="H1" s="12" t="inlineStr">
        <is>
          <t>SL DỰ ÁN</t>
        </is>
      </c>
      <c r="I1" s="12" t="inlineStr">
        <is>
          <t>TỔNG NHU CẦU</t>
        </is>
      </c>
      <c r="J1" s="12" t="inlineStr">
        <is>
          <t>ĐƠN GIÁ GỐC</t>
        </is>
      </c>
      <c r="K1" s="12" t="inlineStr">
        <is>
          <t>THÀNH TIỀN (VNĐ)</t>
        </is>
      </c>
      <c r="L1" s="12" t="inlineStr">
        <is>
          <t>GHI CHÚ KỸ THUẬT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2" t="inlineStr">
        <is>
          <t>SUB_KEY</t>
        </is>
      </c>
      <c r="B1" s="12" t="inlineStr">
        <is>
          <t>PARENT_ITEM_ID</t>
        </is>
      </c>
      <c r="C1" s="12" t="inlineStr">
        <is>
          <t>TÊN CẤU KIỆN</t>
        </is>
      </c>
      <c r="D1" s="12" t="inlineStr">
        <is>
          <t>PHÂN LOẠI</t>
        </is>
      </c>
      <c r="E1" s="12" t="inlineStr">
        <is>
          <t>MÃ VẬT TƯ (MAT_ID)</t>
        </is>
      </c>
      <c r="F1" s="12" t="inlineStr">
        <is>
          <t>ĐVT</t>
        </is>
      </c>
      <c r="G1" s="12" t="inlineStr">
        <is>
          <t>ĐỊNH MỨC / 1 SP</t>
        </is>
      </c>
      <c r="H1" s="12" t="inlineStr">
        <is>
          <t>SL DỰ ÁN</t>
        </is>
      </c>
      <c r="I1" s="12" t="inlineStr">
        <is>
          <t>TỔNG NHU CẦU</t>
        </is>
      </c>
      <c r="J1" s="12" t="inlineStr">
        <is>
          <t>ĐƠN GIÁ GỐC</t>
        </is>
      </c>
      <c r="K1" s="12" t="inlineStr">
        <is>
          <t>THÀNH TIỀN (VNĐ)</t>
        </is>
      </c>
      <c r="L1" s="12" t="inlineStr">
        <is>
          <t>GHI CHÚ KỸ THUẬT</t>
        </is>
      </c>
    </row>
    <row r="2">
      <c r="A2" t="inlineStr">
        <is>
          <t>SW-DAMPER-001-BODY</t>
        </is>
      </c>
      <c r="B2" t="inlineStr">
        <is>
          <t>SW-DAMPER-001</t>
        </is>
      </c>
      <c r="C2" t="inlineStr">
        <is>
          <t>Thân vỏ van 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17" t="n">
        <v>5.327299100603574</v>
      </c>
      <c r="H2" s="13">
        <f>'00_TONG_HOP_BAO_GIA'!G2</f>
        <v/>
      </c>
      <c r="I2" s="18">
        <f>G2*H2</f>
        <v/>
      </c>
      <c r="J2" s="13">
        <f>IFERROR(INDEX('06_BANG_GIA_VAT_TU_AP_DUNG'!$E$1:$E$5000, MATCH(E2, '06_BANG_GIA_VAT_TU_AP_DUNG'!$B$1:$B$5000, 0)), 0)</f>
        <v/>
      </c>
      <c r="K2" s="13">
        <f>I2*J2</f>
        <v/>
      </c>
      <c r="L2" t="inlineStr">
        <is>
          <t>Kích thước vỏ 600x300x200mm</t>
        </is>
      </c>
    </row>
    <row r="3">
      <c r="A3" t="inlineStr">
        <is>
          <t>SW-DAMPER-001-BLADE</t>
        </is>
      </c>
      <c r="B3" t="inlineStr">
        <is>
          <t>SW-DAMPER-001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17" t="n">
        <v>3.676534921051465</v>
      </c>
      <c r="H3" s="13">
        <f>'00_TONG_HOP_BAO_GIA'!G2</f>
        <v/>
      </c>
      <c r="I3" s="18">
        <f>G3*H3</f>
        <v/>
      </c>
      <c r="J3" s="13">
        <f>IFERROR(INDEX('06_BANG_GIA_VAT_TU_AP_DUNG'!$E$1:$E$5000, MATCH(E3, '06_BANG_GIA_VAT_TU_AP_DUNG'!$B$1:$B$5000, 0)), 0)</f>
        <v/>
      </c>
      <c r="K3" s="13">
        <f>I3*J3</f>
        <v/>
      </c>
      <c r="L3" t="inlineStr">
        <is>
          <t>Tôn bọc cánh &amp; thân (1 cánh/modul)</t>
        </is>
      </c>
    </row>
    <row r="4">
      <c r="A4" t="inlineStr">
        <is>
          <t>SW-DAMPER-001-AXLE</t>
        </is>
      </c>
      <c r="B4" t="inlineStr">
        <is>
          <t>SW-DAMPER-001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17" t="n">
        <v>0.7466423729634658</v>
      </c>
      <c r="H4" s="13">
        <f>'00_TONG_HOP_BAO_GIA'!G2</f>
        <v/>
      </c>
      <c r="I4" s="18">
        <f>G4*H4</f>
        <v/>
      </c>
      <c r="J4" s="13">
        <f>IFERROR(INDEX('06_BANG_GIA_VAT_TU_AP_DUNG'!$E$1:$E$5000, MATCH(E4, '06_BANG_GIA_VAT_TU_AP_DUNG'!$B$1:$B$5000, 0)), 0)</f>
        <v/>
      </c>
      <c r="K4" s="13">
        <f>I4*J4</f>
        <v/>
      </c>
      <c r="L4" t="inlineStr">
        <is>
          <t>1 trục dài 660mm</t>
        </is>
      </c>
    </row>
    <row r="5">
      <c r="A5" t="inlineStr">
        <is>
          <t>SW-DAMPER-001-BEARING</t>
        </is>
      </c>
      <c r="B5" t="inlineStr">
        <is>
          <t>SW-DAMPER-001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17" t="n">
        <v>1</v>
      </c>
      <c r="H5" s="13">
        <f>'00_TONG_HOP_BAO_GIA'!G2</f>
        <v/>
      </c>
      <c r="I5" s="18">
        <f>G5*H5</f>
        <v/>
      </c>
      <c r="J5" s="13">
        <f>IFERROR(INDEX('06_BANG_GIA_VAT_TU_AP_DUNG'!$E$1:$E$5000, MATCH(E5, '06_BANG_GIA_VAT_TU_AP_DUNG'!$B$1:$B$5000, 0)), 0)</f>
        <v/>
      </c>
      <c r="K5" s="13">
        <f>I5*J5</f>
        <v/>
      </c>
      <c r="L5" t="inlineStr">
        <is>
          <t>1 đôi bạc đỡ 2 bên thân</t>
        </is>
      </c>
    </row>
    <row r="6">
      <c r="A6" t="inlineStr">
        <is>
          <t>SW-DAMPER-001-FUSE</t>
        </is>
      </c>
      <c r="B6" t="inlineStr">
        <is>
          <t>SW-DAMPER-001</t>
        </is>
      </c>
      <c r="C6" t="inlineStr">
        <is>
          <t>Cầu chì nhiệt nóng chảy 70°C/74°C (Elsie/USA)</t>
        </is>
      </c>
      <c r="D6" t="inlineStr">
        <is>
          <t>PHỤ_KIỆN_VAN</t>
        </is>
      </c>
      <c r="E6" t="inlineStr">
        <is>
          <t>MAT-DAMPER-CAU-CHI-USA-2-400X400</t>
        </is>
      </c>
      <c r="F6" t="inlineStr">
        <is>
          <t>Cái</t>
        </is>
      </c>
      <c r="G6" s="17" t="n">
        <v>1</v>
      </c>
      <c r="H6" s="13">
        <f>'00_TONG_HOP_BAO_GIA'!G2</f>
        <v/>
      </c>
      <c r="I6" s="18">
        <f>G6*H6</f>
        <v/>
      </c>
      <c r="J6" s="13">
        <f>IFERROR(INDEX('06_BANG_GIA_VAT_TU_AP_DUNG'!$E$1:$E$5000, MATCH(E6, '06_BANG_GIA_VAT_TU_AP_DUNG'!$B$1:$B$5000, 0)), 0)</f>
        <v/>
      </c>
      <c r="K6" s="13">
        <f>I6*J6</f>
        <v/>
      </c>
      <c r="L6" t="inlineStr">
        <is>
          <t>Cầu chì kiểm định PCCC (1 cái)</t>
        </is>
      </c>
    </row>
    <row r="7">
      <c r="A7" t="inlineStr">
        <is>
          <t>SW-DAMPER-001-FB10-BODY</t>
        </is>
      </c>
      <c r="B7" t="inlineStr">
        <is>
          <t>SW-DAMPER-001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17" t="n">
        <v>1.221778428485671</v>
      </c>
      <c r="H7" s="13">
        <f>'00_TONG_HOP_BAO_GIA'!G2</f>
        <v/>
      </c>
      <c r="I7" s="18">
        <f>G7*H7</f>
        <v/>
      </c>
      <c r="J7" s="13">
        <f>IFERROR(INDEX('06_BANG_GIA_VAT_TU_AP_DUNG'!$E$1:$E$5000, MATCH(E7, '06_BANG_GIA_VAT_TU_AP_DUNG'!$B$1:$B$5000, 0)), 0)</f>
        <v/>
      </c>
      <c r="K7" s="13">
        <f>I7*J7</f>
        <v/>
      </c>
      <c r="L7" t="inlineStr">
        <is>
          <t>Bọc 2 lớp tấm 10mm quanh thân L=300mm</t>
        </is>
      </c>
    </row>
    <row r="8">
      <c r="A8" t="inlineStr">
        <is>
          <t>SW-DAMPER-001-FB20-BLADE</t>
        </is>
      </c>
      <c r="B8" t="inlineStr">
        <is>
          <t>SW-DAMPER-001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17" t="n">
        <v>0.2036297380809452</v>
      </c>
      <c r="H8" s="13">
        <f>'00_TONG_HOP_BAO_GIA'!G2</f>
        <v/>
      </c>
      <c r="I8" s="18">
        <f>G8*H8</f>
        <v/>
      </c>
      <c r="J8" s="13">
        <f>IFERROR(INDEX('06_BANG_GIA_VAT_TU_AP_DUNG'!$E$1:$E$5000, MATCH(E8, '06_BANG_GIA_VAT_TU_AP_DUNG'!$B$1:$B$5000, 0)), 0)</f>
        <v/>
      </c>
      <c r="K8" s="13">
        <f>I8*J8</f>
        <v/>
      </c>
      <c r="L8" t="inlineStr">
        <is>
          <t>Lõi cánh tấm 20mm (Cánh đơn 600x300mm)</t>
        </is>
      </c>
    </row>
    <row r="9">
      <c r="A9" t="inlineStr">
        <is>
          <t>SW-DAMPER-001-FB10-BLADE</t>
        </is>
      </c>
      <c r="B9" t="inlineStr">
        <is>
          <t>SW-DAMPER-001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17" t="n">
        <v>0.4072594761618904</v>
      </c>
      <c r="H9" s="13">
        <f>'00_TONG_HOP_BAO_GIA'!G2</f>
        <v/>
      </c>
      <c r="I9" s="18">
        <f>G9*H9</f>
        <v/>
      </c>
      <c r="J9" s="13">
        <f>IFERROR(INDEX('06_BANG_GIA_VAT_TU_AP_DUNG'!$E$1:$E$5000, MATCH(E9, '06_BANG_GIA_VAT_TU_AP_DUNG'!$B$1:$B$5000, 0)), 0)</f>
        <v/>
      </c>
      <c r="K9" s="13">
        <f>I9*J9</f>
        <v/>
      </c>
      <c r="L9" t="inlineStr">
        <is>
          <t>Ốp 2 mặt cánh tấm 10mm (Cánh đơn 600x300mm)</t>
        </is>
      </c>
    </row>
    <row r="10">
      <c r="A10" t="inlineStr">
        <is>
          <t>SW-DAMPER-001-SPRING-BOX</t>
        </is>
      </c>
      <c r="B10" t="inlineStr">
        <is>
          <t>SW-DAMPER-001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17" t="n">
        <v>1</v>
      </c>
      <c r="H10" s="13">
        <f>'00_TONG_HOP_BAO_GIA'!G2</f>
        <v/>
      </c>
      <c r="I10" s="18">
        <f>G10*H10</f>
        <v/>
      </c>
      <c r="J10" s="13">
        <f>IFERROR(INDEX('06_BANG_GIA_VAT_TU_AP_DUNG'!$E$1:$E$5000, MATCH(E10, '06_BANG_GIA_VAT_TU_AP_DUNG'!$B$1:$B$5000, 0)), 0)</f>
        <v/>
      </c>
      <c r="K10" s="13">
        <f>I10*J10</f>
        <v/>
      </c>
      <c r="L10" t="inlineStr">
        <is>
          <t>Hộp lò xo cơ cấu đóng sập (1 bộ)</t>
        </is>
      </c>
    </row>
    <row r="11">
      <c r="A11" t="inlineStr">
        <is>
          <t>SW-DAMPER-001-SILICON-BOLT</t>
        </is>
      </c>
      <c r="B11" t="inlineStr">
        <is>
          <t>SW-DAMPER-001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17" t="n">
        <v>1</v>
      </c>
      <c r="H11" s="13">
        <f>'00_TONG_HOP_BAO_GIA'!G2</f>
        <v/>
      </c>
      <c r="I11" s="18">
        <f>G11*H11</f>
        <v/>
      </c>
      <c r="J11" s="13">
        <f>IFERROR(INDEX('06_BANG_GIA_VAT_TU_AP_DUNG'!$E$1:$E$5000, MATCH(E11, '06_BANG_GIA_VAT_TU_AP_DUNG'!$B$1:$B$5000, 0)), 0)</f>
        <v/>
      </c>
      <c r="K11" s="13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SW-DAMPER-002-BODY</t>
        </is>
      </c>
      <c r="B12" t="inlineStr">
        <is>
          <t>SW-DAMPER-002</t>
        </is>
      </c>
      <c r="C12" t="inlineStr">
        <is>
          <t>Thân vỏ van 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17" t="n">
        <v>3.503484004751392</v>
      </c>
      <c r="H12" s="13">
        <f>'00_TONG_HOP_BAO_GIA'!G3</f>
        <v/>
      </c>
      <c r="I12" s="18">
        <f>G12*H12</f>
        <v/>
      </c>
      <c r="J12" s="13">
        <f>IFERROR(INDEX('06_BANG_GIA_VAT_TU_AP_DUNG'!$E$1:$E$5000, MATCH(E12, '06_BANG_GIA_VAT_TU_AP_DUNG'!$B$1:$B$5000, 0)), 0)</f>
        <v/>
      </c>
      <c r="K12" s="13">
        <f>I12*J12</f>
        <v/>
      </c>
      <c r="L12" t="inlineStr">
        <is>
          <t>Kích thước vỏ 400x200x200mm</t>
        </is>
      </c>
    </row>
    <row r="13">
      <c r="A13" t="inlineStr">
        <is>
          <t>SW-DAMPER-002-BLADE</t>
        </is>
      </c>
      <c r="B13" t="inlineStr">
        <is>
          <t>SW-DAMPER-002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17" t="n">
        <v>1.594576551061679</v>
      </c>
      <c r="H13" s="13">
        <f>'00_TONG_HOP_BAO_GIA'!G3</f>
        <v/>
      </c>
      <c r="I13" s="18">
        <f>G13*H13</f>
        <v/>
      </c>
      <c r="J13" s="13">
        <f>IFERROR(INDEX('06_BANG_GIA_VAT_TU_AP_DUNG'!$E$1:$E$5000, MATCH(E13, '06_BANG_GIA_VAT_TU_AP_DUNG'!$B$1:$B$5000, 0)), 0)</f>
        <v/>
      </c>
      <c r="K13" s="13">
        <f>I13*J13</f>
        <v/>
      </c>
      <c r="L13" t="inlineStr">
        <is>
          <t>Tôn bọc cánh &amp; thân (1 cánh/modul)</t>
        </is>
      </c>
    </row>
    <row r="14">
      <c r="A14" t="inlineStr">
        <is>
          <t>SW-DAMPER-002-AXLE</t>
        </is>
      </c>
      <c r="B14" t="inlineStr">
        <is>
          <t>SW-DAMPER-002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17" t="n">
        <v>0.5078269270897068</v>
      </c>
      <c r="H14" s="13">
        <f>'00_TONG_HOP_BAO_GIA'!G3</f>
        <v/>
      </c>
      <c r="I14" s="18">
        <f>G14*H14</f>
        <v/>
      </c>
      <c r="J14" s="13">
        <f>IFERROR(INDEX('06_BANG_GIA_VAT_TU_AP_DUNG'!$E$1:$E$5000, MATCH(E14, '06_BANG_GIA_VAT_TU_AP_DUNG'!$B$1:$B$5000, 0)), 0)</f>
        <v/>
      </c>
      <c r="K14" s="13">
        <f>I14*J14</f>
        <v/>
      </c>
      <c r="L14" t="inlineStr">
        <is>
          <t>1 trục dài 460mm</t>
        </is>
      </c>
    </row>
    <row r="15">
      <c r="A15" t="inlineStr">
        <is>
          <t>SW-DAMPER-002-BEARING</t>
        </is>
      </c>
      <c r="B15" t="inlineStr">
        <is>
          <t>SW-DAMPER-002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17" t="n">
        <v>1</v>
      </c>
      <c r="H15" s="13">
        <f>'00_TONG_HOP_BAO_GIA'!G3</f>
        <v/>
      </c>
      <c r="I15" s="18">
        <f>G15*H15</f>
        <v/>
      </c>
      <c r="J15" s="13">
        <f>IFERROR(INDEX('06_BANG_GIA_VAT_TU_AP_DUNG'!$E$1:$E$5000, MATCH(E15, '06_BANG_GIA_VAT_TU_AP_DUNG'!$B$1:$B$5000, 0)), 0)</f>
        <v/>
      </c>
      <c r="K15" s="13">
        <f>I15*J15</f>
        <v/>
      </c>
      <c r="L15" t="inlineStr">
        <is>
          <t>1 đôi bạc đỡ 2 bên thân</t>
        </is>
      </c>
    </row>
    <row r="16">
      <c r="A16" t="inlineStr">
        <is>
          <t>SW-DAMPER-002-FUSE</t>
        </is>
      </c>
      <c r="B16" t="inlineStr">
        <is>
          <t>SW-DAMPER-002</t>
        </is>
      </c>
      <c r="C16" t="inlineStr">
        <is>
          <t>Cầu chì nhiệt nóng chảy 70°C/74°C (Elsie/USA)</t>
        </is>
      </c>
      <c r="D16" t="inlineStr">
        <is>
          <t>PHỤ_KIỆN_VAN</t>
        </is>
      </c>
      <c r="E16" t="inlineStr">
        <is>
          <t>MAT-DAMPER-CAU-CHI-USA-2-400X400</t>
        </is>
      </c>
      <c r="F16" t="inlineStr">
        <is>
          <t>Cái</t>
        </is>
      </c>
      <c r="G16" s="17" t="n">
        <v>1</v>
      </c>
      <c r="H16" s="13">
        <f>'00_TONG_HOP_BAO_GIA'!G3</f>
        <v/>
      </c>
      <c r="I16" s="18">
        <f>G16*H16</f>
        <v/>
      </c>
      <c r="J16" s="13">
        <f>IFERROR(INDEX('06_BANG_GIA_VAT_TU_AP_DUNG'!$E$1:$E$5000, MATCH(E16, '06_BANG_GIA_VAT_TU_AP_DUNG'!$B$1:$B$5000, 0)), 0)</f>
        <v/>
      </c>
      <c r="K16" s="13">
        <f>I16*J16</f>
        <v/>
      </c>
      <c r="L16" t="inlineStr">
        <is>
          <t>Cầu chì kiểm định PCCC (1 cái)</t>
        </is>
      </c>
    </row>
    <row r="17">
      <c r="A17" t="inlineStr">
        <is>
          <t>SW-DAMPER-002-FB10-BODY</t>
        </is>
      </c>
      <c r="B17" t="inlineStr">
        <is>
          <t>SW-DAMPER-002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17" t="n">
        <v>0.7948595380534541</v>
      </c>
      <c r="H17" s="13">
        <f>'00_TONG_HOP_BAO_GIA'!G3</f>
        <v/>
      </c>
      <c r="I17" s="18">
        <f>G17*H17</f>
        <v/>
      </c>
      <c r="J17" s="13">
        <f>IFERROR(INDEX('06_BANG_GIA_VAT_TU_AP_DUNG'!$E$1:$E$5000, MATCH(E17, '06_BANG_GIA_VAT_TU_AP_DUNG'!$B$1:$B$5000, 0)), 0)</f>
        <v/>
      </c>
      <c r="K17" s="13">
        <f>I17*J17</f>
        <v/>
      </c>
      <c r="L17" t="inlineStr">
        <is>
          <t>Bọc 2 lớp tấm 10mm quanh thân L=300mm</t>
        </is>
      </c>
    </row>
    <row r="18">
      <c r="A18" t="inlineStr">
        <is>
          <t>SW-DAMPER-002-FB20-BLADE</t>
        </is>
      </c>
      <c r="B18" t="inlineStr">
        <is>
          <t>SW-DAMPER-002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17" t="n">
        <v>0.08831772645038381</v>
      </c>
      <c r="H18" s="13">
        <f>'00_TONG_HOP_BAO_GIA'!G3</f>
        <v/>
      </c>
      <c r="I18" s="18">
        <f>G18*H18</f>
        <v/>
      </c>
      <c r="J18" s="13">
        <f>IFERROR(INDEX('06_BANG_GIA_VAT_TU_AP_DUNG'!$E$1:$E$5000, MATCH(E18, '06_BANG_GIA_VAT_TU_AP_DUNG'!$B$1:$B$5000, 0)), 0)</f>
        <v/>
      </c>
      <c r="K18" s="13">
        <f>I18*J18</f>
        <v/>
      </c>
      <c r="L18" t="inlineStr">
        <is>
          <t>Lõi cánh tấm 20mm (Cánh đơn 400x200mm)</t>
        </is>
      </c>
    </row>
    <row r="19">
      <c r="A19" t="inlineStr">
        <is>
          <t>SW-DAMPER-002-FB10-BLADE</t>
        </is>
      </c>
      <c r="B19" t="inlineStr">
        <is>
          <t>SW-DAMPER-002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17" t="n">
        <v>0.1766354529007676</v>
      </c>
      <c r="H19" s="13">
        <f>'00_TONG_HOP_BAO_GIA'!G3</f>
        <v/>
      </c>
      <c r="I19" s="18">
        <f>G19*H19</f>
        <v/>
      </c>
      <c r="J19" s="13">
        <f>IFERROR(INDEX('06_BANG_GIA_VAT_TU_AP_DUNG'!$E$1:$E$5000, MATCH(E19, '06_BANG_GIA_VAT_TU_AP_DUNG'!$B$1:$B$5000, 0)), 0)</f>
        <v/>
      </c>
      <c r="K19" s="13">
        <f>I19*J19</f>
        <v/>
      </c>
      <c r="L19" t="inlineStr">
        <is>
          <t>Ốp 2 mặt cánh tấm 10mm (Cánh đơn 400x200mm)</t>
        </is>
      </c>
    </row>
    <row r="20">
      <c r="A20" t="inlineStr">
        <is>
          <t>SW-DAMPER-002-SPRING-BOX</t>
        </is>
      </c>
      <c r="B20" t="inlineStr">
        <is>
          <t>SW-DAMPER-002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17" t="n">
        <v>1</v>
      </c>
      <c r="H20" s="13">
        <f>'00_TONG_HOP_BAO_GIA'!G3</f>
        <v/>
      </c>
      <c r="I20" s="18">
        <f>G20*H20</f>
        <v/>
      </c>
      <c r="J20" s="13">
        <f>IFERROR(INDEX('06_BANG_GIA_VAT_TU_AP_DUNG'!$E$1:$E$5000, MATCH(E20, '06_BANG_GIA_VAT_TU_AP_DUNG'!$B$1:$B$5000, 0)), 0)</f>
        <v/>
      </c>
      <c r="K20" s="13">
        <f>I20*J20</f>
        <v/>
      </c>
      <c r="L20" t="inlineStr">
        <is>
          <t>Hộp lò xo cơ cấu đóng sập (1 bộ)</t>
        </is>
      </c>
    </row>
    <row r="21">
      <c r="A21" t="inlineStr">
        <is>
          <t>SW-DAMPER-002-SILICON-BOLT</t>
        </is>
      </c>
      <c r="B21" t="inlineStr">
        <is>
          <t>SW-DAMPER-002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17" t="n">
        <v>1</v>
      </c>
      <c r="H21" s="13">
        <f>'00_TONG_HOP_BAO_GIA'!G3</f>
        <v/>
      </c>
      <c r="I21" s="18">
        <f>G21*H21</f>
        <v/>
      </c>
      <c r="J21" s="13">
        <f>IFERROR(INDEX('06_BANG_GIA_VAT_TU_AP_DUNG'!$E$1:$E$5000, MATCH(E21, '06_BANG_GIA_VAT_TU_AP_DUNG'!$B$1:$B$5000, 0)), 0)</f>
        <v/>
      </c>
      <c r="K21" s="13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SW-DAMPER-003-BODY</t>
        </is>
      </c>
      <c r="B22" t="inlineStr">
        <is>
          <t>SW-DAMPER-003</t>
        </is>
      </c>
      <c r="C22" t="inlineStr">
        <is>
          <t>Thân vỏ van 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17" t="n">
        <v>2.425612667299754</v>
      </c>
      <c r="H22" s="13">
        <f>'00_TONG_HOP_BAO_GIA'!G4</f>
        <v/>
      </c>
      <c r="I22" s="18">
        <f>G22*H22</f>
        <v/>
      </c>
      <c r="J22" s="13">
        <f>IFERROR(INDEX('06_BANG_GIA_VAT_TU_AP_DUNG'!$E$1:$E$5000, MATCH(E22, '06_BANG_GIA_VAT_TU_AP_DUNG'!$B$1:$B$5000, 0)), 0)</f>
        <v/>
      </c>
      <c r="K22" s="13">
        <f>I22*J22</f>
        <v/>
      </c>
      <c r="L22" t="inlineStr">
        <is>
          <t>Kích thước vỏ 250x150x200mm (Thu côn từ 250x150mm về 250x100mm)</t>
        </is>
      </c>
    </row>
    <row r="23">
      <c r="A23" t="inlineStr">
        <is>
          <t>SW-DAMPER-003-BLADE</t>
        </is>
      </c>
      <c r="B23" t="inlineStr">
        <is>
          <t>SW-DAMPER-003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17" t="n">
        <v>0.7639243724174077</v>
      </c>
      <c r="H23" s="13">
        <f>'00_TONG_HOP_BAO_GIA'!G4</f>
        <v/>
      </c>
      <c r="I23" s="18">
        <f>G23*H23</f>
        <v/>
      </c>
      <c r="J23" s="13">
        <f>IFERROR(INDEX('06_BANG_GIA_VAT_TU_AP_DUNG'!$E$1:$E$5000, MATCH(E23, '06_BANG_GIA_VAT_TU_AP_DUNG'!$B$1:$B$5000, 0)), 0)</f>
        <v/>
      </c>
      <c r="K23" s="13">
        <f>I23*J23</f>
        <v/>
      </c>
      <c r="L23" t="inlineStr">
        <is>
          <t>Tôn bọc cánh &amp; thân (1 cánh/modul)</t>
        </is>
      </c>
    </row>
    <row r="24">
      <c r="A24" t="inlineStr">
        <is>
          <t>SW-DAMPER-003-AXLE</t>
        </is>
      </c>
      <c r="B24" t="inlineStr">
        <is>
          <t>SW-DAMPER-003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17" t="n">
        <v>0.3497705979128906</v>
      </c>
      <c r="H24" s="13">
        <f>'00_TONG_HOP_BAO_GIA'!G4</f>
        <v/>
      </c>
      <c r="I24" s="18">
        <f>G24*H24</f>
        <v/>
      </c>
      <c r="J24" s="13">
        <f>IFERROR(INDEX('06_BANG_GIA_VAT_TU_AP_DUNG'!$E$1:$E$5000, MATCH(E24, '06_BANG_GIA_VAT_TU_AP_DUNG'!$B$1:$B$5000, 0)), 0)</f>
        <v/>
      </c>
      <c r="K24" s="13">
        <f>I24*J24</f>
        <v/>
      </c>
      <c r="L24" t="inlineStr">
        <is>
          <t>1 trục dài 310mm</t>
        </is>
      </c>
    </row>
    <row r="25">
      <c r="A25" t="inlineStr">
        <is>
          <t>SW-DAMPER-003-BEARING</t>
        </is>
      </c>
      <c r="B25" t="inlineStr">
        <is>
          <t>SW-DAMPER-003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17" t="n">
        <v>1</v>
      </c>
      <c r="H25" s="13">
        <f>'00_TONG_HOP_BAO_GIA'!G4</f>
        <v/>
      </c>
      <c r="I25" s="18">
        <f>G25*H25</f>
        <v/>
      </c>
      <c r="J25" s="13">
        <f>IFERROR(INDEX('06_BANG_GIA_VAT_TU_AP_DUNG'!$E$1:$E$5000, MATCH(E25, '06_BANG_GIA_VAT_TU_AP_DUNG'!$B$1:$B$5000, 0)), 0)</f>
        <v/>
      </c>
      <c r="K25" s="13">
        <f>I25*J25</f>
        <v/>
      </c>
      <c r="L25" t="inlineStr">
        <is>
          <t>1 đôi bạc đỡ 2 bên thân</t>
        </is>
      </c>
    </row>
    <row r="26">
      <c r="A26" t="inlineStr">
        <is>
          <t>SW-DAMPER-003-FUSE</t>
        </is>
      </c>
      <c r="B26" t="inlineStr">
        <is>
          <t>SW-DAMPER-003</t>
        </is>
      </c>
      <c r="C26" t="inlineStr">
        <is>
          <t>Cầu chì nhiệt nóng chảy 70°C/74°C (Elsie/USA)</t>
        </is>
      </c>
      <c r="D26" t="inlineStr">
        <is>
          <t>PHỤ_KIỆN_VAN</t>
        </is>
      </c>
      <c r="E26" t="inlineStr">
        <is>
          <t>MAT-DAMPER-CAU-CHI-USA-1-400X400</t>
        </is>
      </c>
      <c r="F26" t="inlineStr">
        <is>
          <t>Cái</t>
        </is>
      </c>
      <c r="G26" s="17" t="n">
        <v>1</v>
      </c>
      <c r="H26" s="13">
        <f>'00_TONG_HOP_BAO_GIA'!G4</f>
        <v/>
      </c>
      <c r="I26" s="18">
        <f>G26*H26</f>
        <v/>
      </c>
      <c r="J26" s="13">
        <f>IFERROR(INDEX('06_BANG_GIA_VAT_TU_AP_DUNG'!$E$1:$E$5000, MATCH(E26, '06_BANG_GIA_VAT_TU_AP_DUNG'!$B$1:$B$5000, 0)), 0)</f>
        <v/>
      </c>
      <c r="K26" s="13">
        <f>I26*J26</f>
        <v/>
      </c>
      <c r="L26" t="inlineStr">
        <is>
          <t>Cầu chì kiểm định PCCC (1 cái)</t>
        </is>
      </c>
    </row>
    <row r="27">
      <c r="A27" t="inlineStr">
        <is>
          <t>SW-DAMPER-003-FB10-BODY</t>
        </is>
      </c>
      <c r="B27" t="inlineStr">
        <is>
          <t>SW-DAMPER-003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17" t="n">
        <v>0.5415802806393144</v>
      </c>
      <c r="H27" s="13">
        <f>'00_TONG_HOP_BAO_GIA'!G4</f>
        <v/>
      </c>
      <c r="I27" s="18">
        <f>G27*H27</f>
        <v/>
      </c>
      <c r="J27" s="13">
        <f>IFERROR(INDEX('06_BANG_GIA_VAT_TU_AP_DUNG'!$E$1:$E$5000, MATCH(E27, '06_BANG_GIA_VAT_TU_AP_DUNG'!$B$1:$B$5000, 0)), 0)</f>
        <v/>
      </c>
      <c r="K27" s="13">
        <f>I27*J27</f>
        <v/>
      </c>
      <c r="L27" t="inlineStr">
        <is>
          <t>Bọc 2 lớp tấm 10mm quanh thân L=300mm</t>
        </is>
      </c>
    </row>
    <row r="28">
      <c r="A28" t="inlineStr">
        <is>
          <t>SW-DAMPER-003-FB20-BLADE</t>
        </is>
      </c>
      <c r="B28" t="inlineStr">
        <is>
          <t>SW-DAMPER-003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17" t="n">
        <v>0.04231095942494644</v>
      </c>
      <c r="H28" s="13">
        <f>'00_TONG_HOP_BAO_GIA'!G4</f>
        <v/>
      </c>
      <c r="I28" s="18">
        <f>G28*H28</f>
        <v/>
      </c>
      <c r="J28" s="13">
        <f>IFERROR(INDEX('06_BANG_GIA_VAT_TU_AP_DUNG'!$E$1:$E$5000, MATCH(E28, '06_BANG_GIA_VAT_TU_AP_DUNG'!$B$1:$B$5000, 0)), 0)</f>
        <v/>
      </c>
      <c r="K28" s="13">
        <f>I28*J28</f>
        <v/>
      </c>
      <c r="L28" t="inlineStr">
        <is>
          <t>Lõi cánh tấm 20mm (Cánh đơn 250x150mm)</t>
        </is>
      </c>
    </row>
    <row r="29">
      <c r="A29" t="inlineStr">
        <is>
          <t>SW-DAMPER-003-FB10-BLADE</t>
        </is>
      </c>
      <c r="B29" t="inlineStr">
        <is>
          <t>SW-DAMPER-003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17" t="n">
        <v>0.08462191884989288</v>
      </c>
      <c r="H29" s="13">
        <f>'00_TONG_HOP_BAO_GIA'!G4</f>
        <v/>
      </c>
      <c r="I29" s="18">
        <f>G29*H29</f>
        <v/>
      </c>
      <c r="J29" s="13">
        <f>IFERROR(INDEX('06_BANG_GIA_VAT_TU_AP_DUNG'!$E$1:$E$5000, MATCH(E29, '06_BANG_GIA_VAT_TU_AP_DUNG'!$B$1:$B$5000, 0)), 0)</f>
        <v/>
      </c>
      <c r="K29" s="13">
        <f>I29*J29</f>
        <v/>
      </c>
      <c r="L29" t="inlineStr">
        <is>
          <t>Ốp 2 mặt cánh tấm 10mm (Cánh đơn 250x150mm)</t>
        </is>
      </c>
    </row>
    <row r="30">
      <c r="A30" t="inlineStr">
        <is>
          <t>SW-DAMPER-003-SPRING-BOX</t>
        </is>
      </c>
      <c r="B30" t="inlineStr">
        <is>
          <t>SW-DAMPER-003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17" t="n">
        <v>1</v>
      </c>
      <c r="H30" s="13">
        <f>'00_TONG_HOP_BAO_GIA'!G4</f>
        <v/>
      </c>
      <c r="I30" s="18">
        <f>G30*H30</f>
        <v/>
      </c>
      <c r="J30" s="13">
        <f>IFERROR(INDEX('06_BANG_GIA_VAT_TU_AP_DUNG'!$E$1:$E$5000, MATCH(E30, '06_BANG_GIA_VAT_TU_AP_DUNG'!$B$1:$B$5000, 0)), 0)</f>
        <v/>
      </c>
      <c r="K30" s="13">
        <f>I30*J30</f>
        <v/>
      </c>
      <c r="L30" t="inlineStr">
        <is>
          <t>Hộp lò xo cơ cấu đóng sập (1 bộ)</t>
        </is>
      </c>
    </row>
    <row r="31">
      <c r="A31" t="inlineStr">
        <is>
          <t>SW-DAMPER-003-SILICON-BOLT</t>
        </is>
      </c>
      <c r="B31" t="inlineStr">
        <is>
          <t>SW-DAMPER-003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17" t="n">
        <v>1</v>
      </c>
      <c r="H31" s="13">
        <f>'00_TONG_HOP_BAO_GIA'!G4</f>
        <v/>
      </c>
      <c r="I31" s="18">
        <f>G31*H31</f>
        <v/>
      </c>
      <c r="J31" s="13">
        <f>IFERROR(INDEX('06_BANG_GIA_VAT_TU_AP_DUNG'!$E$1:$E$5000, MATCH(E31, '06_BANG_GIA_VAT_TU_AP_DUNG'!$B$1:$B$5000, 0)), 0)</f>
        <v/>
      </c>
      <c r="K31" s="13">
        <f>I31*J31</f>
        <v/>
      </c>
      <c r="L31" t="inlineStr">
        <is>
          <t>Keo silicon chống cháy &amp; phụ kiện lắp ghép (1 bộ)</t>
        </is>
      </c>
    </row>
    <row r="32">
      <c r="A32" t="inlineStr">
        <is>
          <t>SW-DAMPER-004-BODY</t>
        </is>
      </c>
      <c r="B32" t="inlineStr">
        <is>
          <t>SW-DAMPER-004</t>
        </is>
      </c>
      <c r="C32" t="inlineStr">
        <is>
          <t>Thân vỏ van FD bích C30/TDF (1.15mm)</t>
        </is>
      </c>
      <c r="D32" t="inlineStr">
        <is>
          <t>TÔN_CUỘN_MẠ_KẼM</t>
        </is>
      </c>
      <c r="E32" t="inlineStr">
        <is>
          <t>MAT-STEEL-PN-1.15</t>
        </is>
      </c>
      <c r="F32" t="inlineStr">
        <is>
          <t>kg</t>
        </is>
      </c>
      <c r="G32" s="17" t="n">
        <v>7.773619547910389</v>
      </c>
      <c r="H32" s="13">
        <f>'00_TONG_HOP_BAO_GIA'!G5</f>
        <v/>
      </c>
      <c r="I32" s="18">
        <f>G32*H32</f>
        <v/>
      </c>
      <c r="J32" s="13">
        <f>IFERROR(INDEX('06_BANG_GIA_VAT_TU_AP_DUNG'!$E$1:$E$5000, MATCH(E32, '06_BANG_GIA_VAT_TU_AP_DUNG'!$B$1:$B$5000, 0)), 0)</f>
        <v/>
      </c>
      <c r="K32" s="13">
        <f>I32*J32</f>
        <v/>
      </c>
      <c r="L32" t="inlineStr">
        <is>
          <t>Kích thước vỏ 900x400x200mm</t>
        </is>
      </c>
    </row>
    <row r="33">
      <c r="A33" t="inlineStr">
        <is>
          <t>SW-DAMPER-004-BLADE</t>
        </is>
      </c>
      <c r="B33" t="inlineStr">
        <is>
          <t>SW-DAMPER-004</t>
        </is>
      </c>
      <c r="C33" t="inlineStr">
        <is>
          <t>Lá cánh / Tôn tấm bọc van (1 cánh)</t>
        </is>
      </c>
      <c r="D33" t="inlineStr">
        <is>
          <t>TÔN_CUỘN_MẠ_KẼM</t>
        </is>
      </c>
      <c r="E33" t="inlineStr">
        <is>
          <t>MAT-STEEL-PN-1.15</t>
        </is>
      </c>
      <c r="F33" t="inlineStr">
        <is>
          <t>kg</t>
        </is>
      </c>
      <c r="G33" s="17" t="n">
        <v>7.478229483319278</v>
      </c>
      <c r="H33" s="13">
        <f>'00_TONG_HOP_BAO_GIA'!G5</f>
        <v/>
      </c>
      <c r="I33" s="18">
        <f>G33*H33</f>
        <v/>
      </c>
      <c r="J33" s="13">
        <f>IFERROR(INDEX('06_BANG_GIA_VAT_TU_AP_DUNG'!$E$1:$E$5000, MATCH(E33, '06_BANG_GIA_VAT_TU_AP_DUNG'!$B$1:$B$5000, 0)), 0)</f>
        <v/>
      </c>
      <c r="K33" s="13">
        <f>I33*J33</f>
        <v/>
      </c>
      <c r="L33" t="inlineStr">
        <is>
          <t>Tôn bọc cánh &amp; thân (1 cánh/modul)</t>
        </is>
      </c>
    </row>
    <row r="34">
      <c r="A34" t="inlineStr">
        <is>
          <t>SW-DAMPER-004-AXLE</t>
        </is>
      </c>
      <c r="B34" t="inlineStr">
        <is>
          <t>SW-DAMPER-004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17" t="n">
        <v>1.104510954796533</v>
      </c>
      <c r="H34" s="13">
        <f>'00_TONG_HOP_BAO_GIA'!G5</f>
        <v/>
      </c>
      <c r="I34" s="18">
        <f>G34*H34</f>
        <v/>
      </c>
      <c r="J34" s="13">
        <f>IFERROR(INDEX('06_BANG_GIA_VAT_TU_AP_DUNG'!$E$1:$E$5000, MATCH(E34, '06_BANG_GIA_VAT_TU_AP_DUNG'!$B$1:$B$5000, 0)), 0)</f>
        <v/>
      </c>
      <c r="K34" s="13">
        <f>I34*J34</f>
        <v/>
      </c>
      <c r="L34" t="inlineStr">
        <is>
          <t>1 trục dài 960mm</t>
        </is>
      </c>
    </row>
    <row r="35">
      <c r="A35" t="inlineStr">
        <is>
          <t>SW-DAMPER-004-BEARING</t>
        </is>
      </c>
      <c r="B35" t="inlineStr">
        <is>
          <t>SW-DAMPER-004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17" t="n">
        <v>1</v>
      </c>
      <c r="H35" s="13">
        <f>'00_TONG_HOP_BAO_GIA'!G5</f>
        <v/>
      </c>
      <c r="I35" s="18">
        <f>G35*H35</f>
        <v/>
      </c>
      <c r="J35" s="13">
        <f>IFERROR(INDEX('06_BANG_GIA_VAT_TU_AP_DUNG'!$E$1:$E$5000, MATCH(E35, '06_BANG_GIA_VAT_TU_AP_DUNG'!$B$1:$B$5000, 0)), 0)</f>
        <v/>
      </c>
      <c r="K35" s="13">
        <f>I35*J35</f>
        <v/>
      </c>
      <c r="L35" t="inlineStr">
        <is>
          <t>1 đôi bạc đỡ 2 bên thân</t>
        </is>
      </c>
    </row>
    <row r="36">
      <c r="A36" t="inlineStr">
        <is>
          <t>SW-DAMPER-004-FUSE</t>
        </is>
      </c>
      <c r="B36" t="inlineStr">
        <is>
          <t>SW-DAMPER-004</t>
        </is>
      </c>
      <c r="C36" t="inlineStr">
        <is>
          <t>Cầu chì nhiệt nóng chảy 70°C/74°C (Elsie/USA)</t>
        </is>
      </c>
      <c r="D36" t="inlineStr">
        <is>
          <t>PHỤ_KIỆN_VAN</t>
        </is>
      </c>
      <c r="E36" t="inlineStr">
        <is>
          <t>MAT-DAMPER-CAU-CHI-USA-2-400X400</t>
        </is>
      </c>
      <c r="F36" t="inlineStr">
        <is>
          <t>Cái</t>
        </is>
      </c>
      <c r="G36" s="17" t="n">
        <v>1</v>
      </c>
      <c r="H36" s="13">
        <f>'00_TONG_HOP_BAO_GIA'!G5</f>
        <v/>
      </c>
      <c r="I36" s="18">
        <f>G36*H36</f>
        <v/>
      </c>
      <c r="J36" s="13">
        <f>IFERROR(INDEX('06_BANG_GIA_VAT_TU_AP_DUNG'!$E$1:$E$5000, MATCH(E36, '06_BANG_GIA_VAT_TU_AP_DUNG'!$B$1:$B$5000, 0)), 0)</f>
        <v/>
      </c>
      <c r="K36" s="13">
        <f>I36*J36</f>
        <v/>
      </c>
      <c r="L36" t="inlineStr">
        <is>
          <t>Cầu chì kiểm định PCCC (1 cái)</t>
        </is>
      </c>
    </row>
    <row r="37">
      <c r="A37" t="inlineStr">
        <is>
          <t>SW-DAMPER-004-FB10-BODY</t>
        </is>
      </c>
      <c r="B37" t="inlineStr">
        <is>
          <t>SW-DAMPER-004</t>
        </is>
      </c>
      <c r="C37" t="inlineStr">
        <is>
          <t>Tấm chống cháy dày 10mm bọc thân van FD/MFD (2 lớp)</t>
        </is>
      </c>
      <c r="D37" t="inlineStr">
        <is>
          <t>VẬT_LIỆU_CÁCH_NHIỆT</t>
        </is>
      </c>
      <c r="E37" t="inlineStr">
        <is>
          <t>MAT-FIREBOARD-10MM-BODY</t>
        </is>
      </c>
      <c r="F37" t="inlineStr">
        <is>
          <t>m2</t>
        </is>
      </c>
      <c r="G37" s="17" t="n">
        <v>1.794830301544367</v>
      </c>
      <c r="H37" s="13">
        <f>'00_TONG_HOP_BAO_GIA'!G5</f>
        <v/>
      </c>
      <c r="I37" s="18">
        <f>G37*H37</f>
        <v/>
      </c>
      <c r="J37" s="13">
        <f>IFERROR(INDEX('06_BANG_GIA_VAT_TU_AP_DUNG'!$E$1:$E$5000, MATCH(E37, '06_BANG_GIA_VAT_TU_AP_DUNG'!$B$1:$B$5000, 0)), 0)</f>
        <v/>
      </c>
      <c r="K37" s="13">
        <f>I37*J37</f>
        <v/>
      </c>
      <c r="L37" t="inlineStr">
        <is>
          <t>Bọc 2 lớp tấm 10mm quanh thân L=300mm</t>
        </is>
      </c>
    </row>
    <row r="38">
      <c r="A38" t="inlineStr">
        <is>
          <t>SW-DAMPER-004-FB20-BLADE</t>
        </is>
      </c>
      <c r="B38" t="inlineStr">
        <is>
          <t>SW-DAMPER-004</t>
        </is>
      </c>
      <c r="C38" t="inlineStr">
        <is>
          <t>Tấm chống cháy dày 20mm làm lõi cánh van FD/MFD</t>
        </is>
      </c>
      <c r="D38" t="inlineStr">
        <is>
          <t>VẬT_LIỆU_CÁCH_NHIỆT</t>
        </is>
      </c>
      <c r="E38" t="inlineStr">
        <is>
          <t>MAT-FIREBOARD-20MM-BLADE</t>
        </is>
      </c>
      <c r="F38" t="inlineStr">
        <is>
          <t>m2</t>
        </is>
      </c>
      <c r="G38" s="17" t="n">
        <v>0.4141916080487</v>
      </c>
      <c r="H38" s="13">
        <f>'00_TONG_HOP_BAO_GIA'!G5</f>
        <v/>
      </c>
      <c r="I38" s="18">
        <f>G38*H38</f>
        <v/>
      </c>
      <c r="J38" s="13">
        <f>IFERROR(INDEX('06_BANG_GIA_VAT_TU_AP_DUNG'!$E$1:$E$5000, MATCH(E38, '06_BANG_GIA_VAT_TU_AP_DUNG'!$B$1:$B$5000, 0)), 0)</f>
        <v/>
      </c>
      <c r="K38" s="13">
        <f>I38*J38</f>
        <v/>
      </c>
      <c r="L38" t="inlineStr">
        <is>
          <t>Lõi cánh tấm 20mm (Cánh đơn 900x400mm)</t>
        </is>
      </c>
    </row>
    <row r="39">
      <c r="A39" t="inlineStr">
        <is>
          <t>SW-DAMPER-004-FB10-BLADE</t>
        </is>
      </c>
      <c r="B39" t="inlineStr">
        <is>
          <t>SW-DAMPER-004</t>
        </is>
      </c>
      <c r="C39" t="inlineStr">
        <is>
          <t>Tấm chống cháy dày 10mm ốp 2 mặt cánh van FD/MFD</t>
        </is>
      </c>
      <c r="D39" t="inlineStr">
        <is>
          <t>VẬT_LIỆU_CÁCH_NHIỆT</t>
        </is>
      </c>
      <c r="E39" t="inlineStr">
        <is>
          <t>MAT-FIREBOARD-10MM-BLADE</t>
        </is>
      </c>
      <c r="F39" t="inlineStr">
        <is>
          <t>m2</t>
        </is>
      </c>
      <c r="G39" s="17" t="n">
        <v>0.8283832160974001</v>
      </c>
      <c r="H39" s="13">
        <f>'00_TONG_HOP_BAO_GIA'!G5</f>
        <v/>
      </c>
      <c r="I39" s="18">
        <f>G39*H39</f>
        <v/>
      </c>
      <c r="J39" s="13">
        <f>IFERROR(INDEX('06_BANG_GIA_VAT_TU_AP_DUNG'!$E$1:$E$5000, MATCH(E39, '06_BANG_GIA_VAT_TU_AP_DUNG'!$B$1:$B$5000, 0)), 0)</f>
        <v/>
      </c>
      <c r="K39" s="13">
        <f>I39*J39</f>
        <v/>
      </c>
      <c r="L39" t="inlineStr">
        <is>
          <t>Ốp 2 mặt cánh tấm 10mm (Cánh đơn 900x400mm)</t>
        </is>
      </c>
    </row>
    <row r="40">
      <c r="A40" t="inlineStr">
        <is>
          <t>SW-DAMPER-004-SPRING-BOX</t>
        </is>
      </c>
      <c r="B40" t="inlineStr">
        <is>
          <t>SW-DAMPER-004</t>
        </is>
      </c>
      <c r="C40" t="inlineStr">
        <is>
          <t>Hộp lò xo van chặn lửa FD/MFD</t>
        </is>
      </c>
      <c r="D40" t="inlineStr">
        <is>
          <t>PHỤ_KIỆN_VAN</t>
        </is>
      </c>
      <c r="E40" t="inlineStr">
        <is>
          <t>MAT-DAMPER-HOP-LO-XO</t>
        </is>
      </c>
      <c r="F40" t="inlineStr">
        <is>
          <t>Bộ</t>
        </is>
      </c>
      <c r="G40" s="17" t="n">
        <v>1</v>
      </c>
      <c r="H40" s="13">
        <f>'00_TONG_HOP_BAO_GIA'!G5</f>
        <v/>
      </c>
      <c r="I40" s="18">
        <f>G40*H40</f>
        <v/>
      </c>
      <c r="J40" s="13">
        <f>IFERROR(INDEX('06_BANG_GIA_VAT_TU_AP_DUNG'!$E$1:$E$5000, MATCH(E40, '06_BANG_GIA_VAT_TU_AP_DUNG'!$B$1:$B$5000, 0)), 0)</f>
        <v/>
      </c>
      <c r="K40" s="13">
        <f>I40*J40</f>
        <v/>
      </c>
      <c r="L40" t="inlineStr">
        <is>
          <t>Hộp lò xo cơ cấu đóng sập (1 bộ)</t>
        </is>
      </c>
    </row>
    <row r="41">
      <c r="A41" t="inlineStr">
        <is>
          <t>SW-DAMPER-004-SILICON-BOLT</t>
        </is>
      </c>
      <c r="B41" t="inlineStr">
        <is>
          <t>SW-DAMPER-004</t>
        </is>
      </c>
      <c r="C41" t="inlineStr">
        <is>
          <t>Silicon chống cháy + bu lông, ốc vít van FD/MFD</t>
        </is>
      </c>
      <c r="D41" t="inlineStr">
        <is>
          <t>PHỤ_KIỆN_VAN</t>
        </is>
      </c>
      <c r="E41" t="inlineStr">
        <is>
          <t>MAT-DAMPER-SILICON-BULONG-VIT</t>
        </is>
      </c>
      <c r="F41" t="inlineStr">
        <is>
          <t>Bộ</t>
        </is>
      </c>
      <c r="G41" s="17" t="n">
        <v>1</v>
      </c>
      <c r="H41" s="13">
        <f>'00_TONG_HOP_BAO_GIA'!G5</f>
        <v/>
      </c>
      <c r="I41" s="18">
        <f>G41*H41</f>
        <v/>
      </c>
      <c r="J41" s="13">
        <f>IFERROR(INDEX('06_BANG_GIA_VAT_TU_AP_DUNG'!$E$1:$E$5000, MATCH(E41, '06_BANG_GIA_VAT_TU_AP_DUNG'!$B$1:$B$5000, 0)), 0)</f>
        <v/>
      </c>
      <c r="K41" s="13">
        <f>I41*J41</f>
        <v/>
      </c>
      <c r="L41" t="inlineStr">
        <is>
          <t>Keo silicon chống cháy &amp; phụ kiện lắp ghép (1 bộ)</t>
        </is>
      </c>
    </row>
    <row r="42">
      <c r="A42" t="inlineStr">
        <is>
          <t>SW-DAMPER-005-BODY</t>
        </is>
      </c>
      <c r="B42" t="inlineStr">
        <is>
          <t>SW-DAMPER-005</t>
        </is>
      </c>
      <c r="C42" t="inlineStr">
        <is>
          <t>Thân vỏ van FD bích C30/TDF (1.15mm)</t>
        </is>
      </c>
      <c r="D42" t="inlineStr">
        <is>
          <t>TÔN_CUỘN_MẠ_KẼM</t>
        </is>
      </c>
      <c r="E42" t="inlineStr">
        <is>
          <t>MAT-STEEL-PN-1.15</t>
        </is>
      </c>
      <c r="F42" t="inlineStr">
        <is>
          <t>kg</t>
        </is>
      </c>
      <c r="G42" s="17" t="n">
        <v>1.854293367090143</v>
      </c>
      <c r="H42" s="13">
        <f>'00_TONG_HOP_BAO_GIA'!G6</f>
        <v/>
      </c>
      <c r="I42" s="18">
        <f>G42*H42</f>
        <v/>
      </c>
      <c r="J42" s="13">
        <f>IFERROR(INDEX('06_BANG_GIA_VAT_TU_AP_DUNG'!$E$1:$E$5000, MATCH(E42, '06_BANG_GIA_VAT_TU_AP_DUNG'!$B$1:$B$5000, 0)), 0)</f>
        <v/>
      </c>
      <c r="K42" s="13">
        <f>I42*J42</f>
        <v/>
      </c>
      <c r="L42" t="inlineStr">
        <is>
          <t>Kích thước vỏ 150x150x200mm (Thu côn từ 150x150mm về 150x100mm)</t>
        </is>
      </c>
    </row>
    <row r="43">
      <c r="A43" t="inlineStr">
        <is>
          <t>SW-DAMPER-005-BLADE</t>
        </is>
      </c>
      <c r="B43" t="inlineStr">
        <is>
          <t>SW-DAMPER-005</t>
        </is>
      </c>
      <c r="C43" t="inlineStr">
        <is>
          <t>Lá cánh / Tôn tấm bọc van (1 cánh)</t>
        </is>
      </c>
      <c r="D43" t="inlineStr">
        <is>
          <t>TÔN_CUỘN_MẠ_KẼM</t>
        </is>
      </c>
      <c r="E43" t="inlineStr">
        <is>
          <t>MAT-STEEL-PN-1.15</t>
        </is>
      </c>
      <c r="F43" t="inlineStr">
        <is>
          <t>kg</t>
        </is>
      </c>
      <c r="G43" s="17" t="n">
        <v>0.4598941882664044</v>
      </c>
      <c r="H43" s="13">
        <f>'00_TONG_HOP_BAO_GIA'!G6</f>
        <v/>
      </c>
      <c r="I43" s="18">
        <f>G43*H43</f>
        <v/>
      </c>
      <c r="J43" s="13">
        <f>IFERROR(INDEX('06_BANG_GIA_VAT_TU_AP_DUNG'!$E$1:$E$5000, MATCH(E43, '06_BANG_GIA_VAT_TU_AP_DUNG'!$B$1:$B$5000, 0)), 0)</f>
        <v/>
      </c>
      <c r="K43" s="13">
        <f>I43*J43</f>
        <v/>
      </c>
      <c r="L43" t="inlineStr">
        <is>
          <t>Tôn bọc cánh &amp; thân (1 cánh/modul)</t>
        </is>
      </c>
    </row>
    <row r="44">
      <c r="A44" t="inlineStr">
        <is>
          <t>SW-DAMPER-005-AXLE</t>
        </is>
      </c>
      <c r="B44" t="inlineStr">
        <is>
          <t>SW-DAMPER-005</t>
        </is>
      </c>
      <c r="C44" t="inlineStr">
        <is>
          <t>Trục Sus 201 D10</t>
        </is>
      </c>
      <c r="D44" t="inlineStr">
        <is>
          <t>PHỤ_KIỆN_VAN</t>
        </is>
      </c>
      <c r="E44" t="inlineStr">
        <is>
          <t>MAT-DAMPER-TRUC-SUS-201-D10</t>
        </is>
      </c>
      <c r="F44" t="inlineStr">
        <is>
          <t>m</t>
        </is>
      </c>
      <c r="G44" s="17" t="n">
        <v>0.2377372338495214</v>
      </c>
      <c r="H44" s="13">
        <f>'00_TONG_HOP_BAO_GIA'!G6</f>
        <v/>
      </c>
      <c r="I44" s="18">
        <f>G44*H44</f>
        <v/>
      </c>
      <c r="J44" s="13">
        <f>IFERROR(INDEX('06_BANG_GIA_VAT_TU_AP_DUNG'!$E$1:$E$5000, MATCH(E44, '06_BANG_GIA_VAT_TU_AP_DUNG'!$B$1:$B$5000, 0)), 0)</f>
        <v/>
      </c>
      <c r="K44" s="13">
        <f>I44*J44</f>
        <v/>
      </c>
      <c r="L44" t="inlineStr">
        <is>
          <t>1 trục dài 210mm</t>
        </is>
      </c>
    </row>
    <row r="45">
      <c r="A45" t="inlineStr">
        <is>
          <t>SW-DAMPER-005-BEARING</t>
        </is>
      </c>
      <c r="B45" t="inlineStr">
        <is>
          <t>SW-DAMPER-005</t>
        </is>
      </c>
      <c r="C45" t="inlineStr">
        <is>
          <t>Bạc đồng D10</t>
        </is>
      </c>
      <c r="D45" t="inlineStr">
        <is>
          <t>PHỤ_KIỆN_VAN</t>
        </is>
      </c>
      <c r="E45" t="inlineStr">
        <is>
          <t>MAT-DAMPER-BAC-DONG-D10</t>
        </is>
      </c>
      <c r="F45" t="inlineStr">
        <is>
          <t>Đôi</t>
        </is>
      </c>
      <c r="G45" s="17" t="n">
        <v>1</v>
      </c>
      <c r="H45" s="13">
        <f>'00_TONG_HOP_BAO_GIA'!G6</f>
        <v/>
      </c>
      <c r="I45" s="18">
        <f>G45*H45</f>
        <v/>
      </c>
      <c r="J45" s="13">
        <f>IFERROR(INDEX('06_BANG_GIA_VAT_TU_AP_DUNG'!$E$1:$E$5000, MATCH(E45, '06_BANG_GIA_VAT_TU_AP_DUNG'!$B$1:$B$5000, 0)), 0)</f>
        <v/>
      </c>
      <c r="K45" s="13">
        <f>I45*J45</f>
        <v/>
      </c>
      <c r="L45" t="inlineStr">
        <is>
          <t>1 đôi bạc đỡ 2 bên thân</t>
        </is>
      </c>
    </row>
    <row r="46">
      <c r="A46" t="inlineStr">
        <is>
          <t>SW-DAMPER-005-FUSE</t>
        </is>
      </c>
      <c r="B46" t="inlineStr">
        <is>
          <t>SW-DAMPER-005</t>
        </is>
      </c>
      <c r="C46" t="inlineStr">
        <is>
          <t>Cầu chì nhiệt nóng chảy 70°C/74°C (Elsie/USA)</t>
        </is>
      </c>
      <c r="D46" t="inlineStr">
        <is>
          <t>PHỤ_KIỆN_VAN</t>
        </is>
      </c>
      <c r="E46" t="inlineStr">
        <is>
          <t>MAT-DAMPER-CAU-CHI-USA-1-400X400</t>
        </is>
      </c>
      <c r="F46" t="inlineStr">
        <is>
          <t>Cái</t>
        </is>
      </c>
      <c r="G46" s="17" t="n">
        <v>1</v>
      </c>
      <c r="H46" s="13">
        <f>'00_TONG_HOP_BAO_GIA'!G6</f>
        <v/>
      </c>
      <c r="I46" s="18">
        <f>G46*H46</f>
        <v/>
      </c>
      <c r="J46" s="13">
        <f>IFERROR(INDEX('06_BANG_GIA_VAT_TU_AP_DUNG'!$E$1:$E$5000, MATCH(E46, '06_BANG_GIA_VAT_TU_AP_DUNG'!$B$1:$B$5000, 0)), 0)</f>
        <v/>
      </c>
      <c r="K46" s="13">
        <f>I46*J46</f>
        <v/>
      </c>
      <c r="L46" t="inlineStr">
        <is>
          <t>Cầu chì kiểm định PCCC (1 cái)</t>
        </is>
      </c>
    </row>
    <row r="47">
      <c r="A47" t="inlineStr">
        <is>
          <t>SW-DAMPER-005-FB10-BODY</t>
        </is>
      </c>
      <c r="B47" t="inlineStr">
        <is>
          <t>SW-DAMPER-005</t>
        </is>
      </c>
      <c r="C47" t="inlineStr">
        <is>
          <t>Tấm chống cháy dày 10mm bọc thân van FD/MFD (2 lớp)</t>
        </is>
      </c>
      <c r="D47" t="inlineStr">
        <is>
          <t>VẬT_LIỆU_CÁCH_NHIỆT</t>
        </is>
      </c>
      <c r="E47" t="inlineStr">
        <is>
          <t>MAT-FIREBOARD-10MM-BODY</t>
        </is>
      </c>
      <c r="F47" t="inlineStr">
        <is>
          <t>m2</t>
        </is>
      </c>
      <c r="G47" s="17" t="n">
        <v>0.4075495437420367</v>
      </c>
      <c r="H47" s="13">
        <f>'00_TONG_HOP_BAO_GIA'!G6</f>
        <v/>
      </c>
      <c r="I47" s="18">
        <f>G47*H47</f>
        <v/>
      </c>
      <c r="J47" s="13">
        <f>IFERROR(INDEX('06_BANG_GIA_VAT_TU_AP_DUNG'!$E$1:$E$5000, MATCH(E47, '06_BANG_GIA_VAT_TU_AP_DUNG'!$B$1:$B$5000, 0)), 0)</f>
        <v/>
      </c>
      <c r="K47" s="13">
        <f>I47*J47</f>
        <v/>
      </c>
      <c r="L47" t="inlineStr">
        <is>
          <t>Bọc 2 lớp tấm 10mm quanh thân L=300mm</t>
        </is>
      </c>
    </row>
    <row r="48">
      <c r="A48" t="inlineStr">
        <is>
          <t>SW-DAMPER-005-FB20-BLADE</t>
        </is>
      </c>
      <c r="B48" t="inlineStr">
        <is>
          <t>SW-DAMPER-005</t>
        </is>
      </c>
      <c r="C48" t="inlineStr">
        <is>
          <t>Tấm chống cháy dày 20mm làm lõi cánh van FD/MFD</t>
        </is>
      </c>
      <c r="D48" t="inlineStr">
        <is>
          <t>VẬT_LIỆU_CÁCH_NHIỆT</t>
        </is>
      </c>
      <c r="E48" t="inlineStr">
        <is>
          <t>MAT-FIREBOARD-20MM-BLADE</t>
        </is>
      </c>
      <c r="F48" t="inlineStr">
        <is>
          <t>m2</t>
        </is>
      </c>
      <c r="G48" s="17" t="n">
        <v>0.02547184648387729</v>
      </c>
      <c r="H48" s="13">
        <f>'00_TONG_HOP_BAO_GIA'!G6</f>
        <v/>
      </c>
      <c r="I48" s="18">
        <f>G48*H48</f>
        <v/>
      </c>
      <c r="J48" s="13">
        <f>IFERROR(INDEX('06_BANG_GIA_VAT_TU_AP_DUNG'!$E$1:$E$5000, MATCH(E48, '06_BANG_GIA_VAT_TU_AP_DUNG'!$B$1:$B$5000, 0)), 0)</f>
        <v/>
      </c>
      <c r="K48" s="13">
        <f>I48*J48</f>
        <v/>
      </c>
      <c r="L48" t="inlineStr">
        <is>
          <t>Lõi cánh tấm 20mm (Cánh đơn 150x150mm)</t>
        </is>
      </c>
    </row>
    <row r="49">
      <c r="A49" t="inlineStr">
        <is>
          <t>SW-DAMPER-005-FB10-BLADE</t>
        </is>
      </c>
      <c r="B49" t="inlineStr">
        <is>
          <t>SW-DAMPER-005</t>
        </is>
      </c>
      <c r="C49" t="inlineStr">
        <is>
          <t>Tấm chống cháy dày 10mm ốp 2 mặt cánh van FD/MFD</t>
        </is>
      </c>
      <c r="D49" t="inlineStr">
        <is>
          <t>VẬT_LIỆU_CÁCH_NHIỆT</t>
        </is>
      </c>
      <c r="E49" t="inlineStr">
        <is>
          <t>MAT-FIREBOARD-10MM-BLADE</t>
        </is>
      </c>
      <c r="F49" t="inlineStr">
        <is>
          <t>m2</t>
        </is>
      </c>
      <c r="G49" s="17" t="n">
        <v>0.05094369296775458</v>
      </c>
      <c r="H49" s="13">
        <f>'00_TONG_HOP_BAO_GIA'!G6</f>
        <v/>
      </c>
      <c r="I49" s="18">
        <f>G49*H49</f>
        <v/>
      </c>
      <c r="J49" s="13">
        <f>IFERROR(INDEX('06_BANG_GIA_VAT_TU_AP_DUNG'!$E$1:$E$5000, MATCH(E49, '06_BANG_GIA_VAT_TU_AP_DUNG'!$B$1:$B$5000, 0)), 0)</f>
        <v/>
      </c>
      <c r="K49" s="13">
        <f>I49*J49</f>
        <v/>
      </c>
      <c r="L49" t="inlineStr">
        <is>
          <t>Ốp 2 mặt cánh tấm 10mm (Cánh đơn 150x150mm)</t>
        </is>
      </c>
    </row>
    <row r="50">
      <c r="A50" t="inlineStr">
        <is>
          <t>SW-DAMPER-005-SPRING-BOX</t>
        </is>
      </c>
      <c r="B50" t="inlineStr">
        <is>
          <t>SW-DAMPER-005</t>
        </is>
      </c>
      <c r="C50" t="inlineStr">
        <is>
          <t>Hộp lò xo van chặn lửa FD/MFD</t>
        </is>
      </c>
      <c r="D50" t="inlineStr">
        <is>
          <t>PHỤ_KIỆN_VAN</t>
        </is>
      </c>
      <c r="E50" t="inlineStr">
        <is>
          <t>MAT-DAMPER-HOP-LO-XO</t>
        </is>
      </c>
      <c r="F50" t="inlineStr">
        <is>
          <t>Bộ</t>
        </is>
      </c>
      <c r="G50" s="17" t="n">
        <v>1</v>
      </c>
      <c r="H50" s="13">
        <f>'00_TONG_HOP_BAO_GIA'!G6</f>
        <v/>
      </c>
      <c r="I50" s="18">
        <f>G50*H50</f>
        <v/>
      </c>
      <c r="J50" s="13">
        <f>IFERROR(INDEX('06_BANG_GIA_VAT_TU_AP_DUNG'!$E$1:$E$5000, MATCH(E50, '06_BANG_GIA_VAT_TU_AP_DUNG'!$B$1:$B$5000, 0)), 0)</f>
        <v/>
      </c>
      <c r="K50" s="13">
        <f>I50*J50</f>
        <v/>
      </c>
      <c r="L50" t="inlineStr">
        <is>
          <t>Hộp lò xo cơ cấu đóng sập (1 bộ)</t>
        </is>
      </c>
    </row>
    <row r="51">
      <c r="A51" t="inlineStr">
        <is>
          <t>SW-DAMPER-005-SILICON-BOLT</t>
        </is>
      </c>
      <c r="B51" t="inlineStr">
        <is>
          <t>SW-DAMPER-005</t>
        </is>
      </c>
      <c r="C51" t="inlineStr">
        <is>
          <t>Silicon chống cháy + bu lông, ốc vít van FD/MFD</t>
        </is>
      </c>
      <c r="D51" t="inlineStr">
        <is>
          <t>PHỤ_KIỆN_VAN</t>
        </is>
      </c>
      <c r="E51" t="inlineStr">
        <is>
          <t>MAT-DAMPER-SILICON-BULONG-VIT</t>
        </is>
      </c>
      <c r="F51" t="inlineStr">
        <is>
          <t>Bộ</t>
        </is>
      </c>
      <c r="G51" s="17" t="n">
        <v>1</v>
      </c>
      <c r="H51" s="13">
        <f>'00_TONG_HOP_BAO_GIA'!G6</f>
        <v/>
      </c>
      <c r="I51" s="18">
        <f>G51*H51</f>
        <v/>
      </c>
      <c r="J51" s="13">
        <f>IFERROR(INDEX('06_BANG_GIA_VAT_TU_AP_DUNG'!$E$1:$E$5000, MATCH(E51, '06_BANG_GIA_VAT_TU_AP_DUNG'!$B$1:$B$5000, 0)), 0)</f>
        <v/>
      </c>
      <c r="K51" s="13">
        <f>I51*J51</f>
        <v/>
      </c>
      <c r="L51" t="inlineStr">
        <is>
          <t>Keo silicon chống cháy &amp; phụ kiện lắp ghép (1 bộ)</t>
        </is>
      </c>
    </row>
    <row r="52">
      <c r="A52" t="inlineStr">
        <is>
          <t>SW-DAMPER-006-BODY</t>
        </is>
      </c>
      <c r="B52" t="inlineStr">
        <is>
          <t>SW-DAMPER-006</t>
        </is>
      </c>
      <c r="C52" t="inlineStr">
        <is>
          <t>Thân vỏ van FD bích C30/TDF (1.15mm)</t>
        </is>
      </c>
      <c r="D52" t="inlineStr">
        <is>
          <t>TÔN_CUỘN_MẠ_KẼM</t>
        </is>
      </c>
      <c r="E52" t="inlineStr">
        <is>
          <t>MAT-STEEL-PN-1.15</t>
        </is>
      </c>
      <c r="F52" t="inlineStr">
        <is>
          <t>kg</t>
        </is>
      </c>
      <c r="G52" s="17" t="n">
        <v>1.854293367090143</v>
      </c>
      <c r="H52" s="13">
        <f>'00_TONG_HOP_BAO_GIA'!G7</f>
        <v/>
      </c>
      <c r="I52" s="18">
        <f>G52*H52</f>
        <v/>
      </c>
      <c r="J52" s="13">
        <f>IFERROR(INDEX('06_BANG_GIA_VAT_TU_AP_DUNG'!$E$1:$E$5000, MATCH(E52, '06_BANG_GIA_VAT_TU_AP_DUNG'!$B$1:$B$5000, 0)), 0)</f>
        <v/>
      </c>
      <c r="K52" s="13">
        <f>I52*J52</f>
        <v/>
      </c>
      <c r="L52" t="inlineStr">
        <is>
          <t>Kích thước vỏ 150x150x200mm</t>
        </is>
      </c>
    </row>
    <row r="53">
      <c r="A53" t="inlineStr">
        <is>
          <t>SW-DAMPER-006-BLADE</t>
        </is>
      </c>
      <c r="B53" t="inlineStr">
        <is>
          <t>SW-DAMPER-006</t>
        </is>
      </c>
      <c r="C53" t="inlineStr">
        <is>
          <t>Lá cánh / Tôn tấm bọc van (1 cánh)</t>
        </is>
      </c>
      <c r="D53" t="inlineStr">
        <is>
          <t>TÔN_CUỘN_MẠ_KẼM</t>
        </is>
      </c>
      <c r="E53" t="inlineStr">
        <is>
          <t>MAT-STEEL-PN-1.15</t>
        </is>
      </c>
      <c r="F53" t="inlineStr">
        <is>
          <t>kg</t>
        </is>
      </c>
      <c r="G53" s="17" t="n">
        <v>0.4598941882664044</v>
      </c>
      <c r="H53" s="13">
        <f>'00_TONG_HOP_BAO_GIA'!G7</f>
        <v/>
      </c>
      <c r="I53" s="18">
        <f>G53*H53</f>
        <v/>
      </c>
      <c r="J53" s="13">
        <f>IFERROR(INDEX('06_BANG_GIA_VAT_TU_AP_DUNG'!$E$1:$E$5000, MATCH(E53, '06_BANG_GIA_VAT_TU_AP_DUNG'!$B$1:$B$5000, 0)), 0)</f>
        <v/>
      </c>
      <c r="K53" s="13">
        <f>I53*J53</f>
        <v/>
      </c>
      <c r="L53" t="inlineStr">
        <is>
          <t>Tôn bọc cánh &amp; thân (1 cánh/modul)</t>
        </is>
      </c>
    </row>
    <row r="54">
      <c r="A54" t="inlineStr">
        <is>
          <t>SW-DAMPER-006-AXLE</t>
        </is>
      </c>
      <c r="B54" t="inlineStr">
        <is>
          <t>SW-DAMPER-006</t>
        </is>
      </c>
      <c r="C54" t="inlineStr">
        <is>
          <t>Trục Sus 201 D10</t>
        </is>
      </c>
      <c r="D54" t="inlineStr">
        <is>
          <t>PHỤ_KIỆN_VAN</t>
        </is>
      </c>
      <c r="E54" t="inlineStr">
        <is>
          <t>MAT-DAMPER-TRUC-SUS-201-D10</t>
        </is>
      </c>
      <c r="F54" t="inlineStr">
        <is>
          <t>m</t>
        </is>
      </c>
      <c r="G54" s="17" t="n">
        <v>0.2377372338495214</v>
      </c>
      <c r="H54" s="13">
        <f>'00_TONG_HOP_BAO_GIA'!G7</f>
        <v/>
      </c>
      <c r="I54" s="18">
        <f>G54*H54</f>
        <v/>
      </c>
      <c r="J54" s="13">
        <f>IFERROR(INDEX('06_BANG_GIA_VAT_TU_AP_DUNG'!$E$1:$E$5000, MATCH(E54, '06_BANG_GIA_VAT_TU_AP_DUNG'!$B$1:$B$5000, 0)), 0)</f>
        <v/>
      </c>
      <c r="K54" s="13">
        <f>I54*J54</f>
        <v/>
      </c>
      <c r="L54" t="inlineStr">
        <is>
          <t>1 trục dài 210mm</t>
        </is>
      </c>
    </row>
    <row r="55">
      <c r="A55" t="inlineStr">
        <is>
          <t>SW-DAMPER-006-BEARING</t>
        </is>
      </c>
      <c r="B55" t="inlineStr">
        <is>
          <t>SW-DAMPER-006</t>
        </is>
      </c>
      <c r="C55" t="inlineStr">
        <is>
          <t>Bạc đồng D10</t>
        </is>
      </c>
      <c r="D55" t="inlineStr">
        <is>
          <t>PHỤ_KIỆN_VAN</t>
        </is>
      </c>
      <c r="E55" t="inlineStr">
        <is>
          <t>MAT-DAMPER-BAC-DONG-D10</t>
        </is>
      </c>
      <c r="F55" t="inlineStr">
        <is>
          <t>Đôi</t>
        </is>
      </c>
      <c r="G55" s="17" t="n">
        <v>1</v>
      </c>
      <c r="H55" s="13">
        <f>'00_TONG_HOP_BAO_GIA'!G7</f>
        <v/>
      </c>
      <c r="I55" s="18">
        <f>G55*H55</f>
        <v/>
      </c>
      <c r="J55" s="13">
        <f>IFERROR(INDEX('06_BANG_GIA_VAT_TU_AP_DUNG'!$E$1:$E$5000, MATCH(E55, '06_BANG_GIA_VAT_TU_AP_DUNG'!$B$1:$B$5000, 0)), 0)</f>
        <v/>
      </c>
      <c r="K55" s="13">
        <f>I55*J55</f>
        <v/>
      </c>
      <c r="L55" t="inlineStr">
        <is>
          <t>1 đôi bạc đỡ 2 bên thân</t>
        </is>
      </c>
    </row>
    <row r="56">
      <c r="A56" t="inlineStr">
        <is>
          <t>SW-DAMPER-006-FUSE</t>
        </is>
      </c>
      <c r="B56" t="inlineStr">
        <is>
          <t>SW-DAMPER-006</t>
        </is>
      </c>
      <c r="C56" t="inlineStr">
        <is>
          <t>Cầu chì nhiệt nóng chảy 70°C/74°C (Elsie/USA)</t>
        </is>
      </c>
      <c r="D56" t="inlineStr">
        <is>
          <t>PHỤ_KIỆN_VAN</t>
        </is>
      </c>
      <c r="E56" t="inlineStr">
        <is>
          <t>MAT-DAMPER-CAU-CHI-USA-1-400X400</t>
        </is>
      </c>
      <c r="F56" t="inlineStr">
        <is>
          <t>Cái</t>
        </is>
      </c>
      <c r="G56" s="17" t="n">
        <v>1</v>
      </c>
      <c r="H56" s="13">
        <f>'00_TONG_HOP_BAO_GIA'!G7</f>
        <v/>
      </c>
      <c r="I56" s="18">
        <f>G56*H56</f>
        <v/>
      </c>
      <c r="J56" s="13">
        <f>IFERROR(INDEX('06_BANG_GIA_VAT_TU_AP_DUNG'!$E$1:$E$5000, MATCH(E56, '06_BANG_GIA_VAT_TU_AP_DUNG'!$B$1:$B$5000, 0)), 0)</f>
        <v/>
      </c>
      <c r="K56" s="13">
        <f>I56*J56</f>
        <v/>
      </c>
      <c r="L56" t="inlineStr">
        <is>
          <t>Cầu chì kiểm định PCCC (1 cái)</t>
        </is>
      </c>
    </row>
    <row r="57">
      <c r="A57" t="inlineStr">
        <is>
          <t>SW-DAMPER-006-FB10-BODY</t>
        </is>
      </c>
      <c r="B57" t="inlineStr">
        <is>
          <t>SW-DAMPER-006</t>
        </is>
      </c>
      <c r="C57" t="inlineStr">
        <is>
          <t>Tấm chống cháy dày 10mm bọc thân van FD/MFD (2 lớp)</t>
        </is>
      </c>
      <c r="D57" t="inlineStr">
        <is>
          <t>VẬT_LIỆU_CÁCH_NHIỆT</t>
        </is>
      </c>
      <c r="E57" t="inlineStr">
        <is>
          <t>MAT-FIREBOARD-10MM-BODY</t>
        </is>
      </c>
      <c r="F57" t="inlineStr">
        <is>
          <t>m2</t>
        </is>
      </c>
      <c r="G57" s="17" t="n">
        <v>0.4075495437420367</v>
      </c>
      <c r="H57" s="13">
        <f>'00_TONG_HOP_BAO_GIA'!G7</f>
        <v/>
      </c>
      <c r="I57" s="18">
        <f>G57*H57</f>
        <v/>
      </c>
      <c r="J57" s="13">
        <f>IFERROR(INDEX('06_BANG_GIA_VAT_TU_AP_DUNG'!$E$1:$E$5000, MATCH(E57, '06_BANG_GIA_VAT_TU_AP_DUNG'!$B$1:$B$5000, 0)), 0)</f>
        <v/>
      </c>
      <c r="K57" s="13">
        <f>I57*J57</f>
        <v/>
      </c>
      <c r="L57" t="inlineStr">
        <is>
          <t>Bọc 2 lớp tấm 10mm quanh thân L=300mm</t>
        </is>
      </c>
    </row>
    <row r="58">
      <c r="A58" t="inlineStr">
        <is>
          <t>SW-DAMPER-006-FB20-BLADE</t>
        </is>
      </c>
      <c r="B58" t="inlineStr">
        <is>
          <t>SW-DAMPER-006</t>
        </is>
      </c>
      <c r="C58" t="inlineStr">
        <is>
          <t>Tấm chống cháy dày 20mm làm lõi cánh van FD/MFD</t>
        </is>
      </c>
      <c r="D58" t="inlineStr">
        <is>
          <t>VẬT_LIỆU_CÁCH_NHIỆT</t>
        </is>
      </c>
      <c r="E58" t="inlineStr">
        <is>
          <t>MAT-FIREBOARD-20MM-BLADE</t>
        </is>
      </c>
      <c r="F58" t="inlineStr">
        <is>
          <t>m2</t>
        </is>
      </c>
      <c r="G58" s="17" t="n">
        <v>0.02547184648387729</v>
      </c>
      <c r="H58" s="13">
        <f>'00_TONG_HOP_BAO_GIA'!G7</f>
        <v/>
      </c>
      <c r="I58" s="18">
        <f>G58*H58</f>
        <v/>
      </c>
      <c r="J58" s="13">
        <f>IFERROR(INDEX('06_BANG_GIA_VAT_TU_AP_DUNG'!$E$1:$E$5000, MATCH(E58, '06_BANG_GIA_VAT_TU_AP_DUNG'!$B$1:$B$5000, 0)), 0)</f>
        <v/>
      </c>
      <c r="K58" s="13">
        <f>I58*J58</f>
        <v/>
      </c>
      <c r="L58" t="inlineStr">
        <is>
          <t>Lõi cánh tấm 20mm (Cánh đơn 150x150mm)</t>
        </is>
      </c>
    </row>
    <row r="59">
      <c r="A59" t="inlineStr">
        <is>
          <t>SW-DAMPER-006-FB10-BLADE</t>
        </is>
      </c>
      <c r="B59" t="inlineStr">
        <is>
          <t>SW-DAMPER-006</t>
        </is>
      </c>
      <c r="C59" t="inlineStr">
        <is>
          <t>Tấm chống cháy dày 10mm ốp 2 mặt cánh van FD/MFD</t>
        </is>
      </c>
      <c r="D59" t="inlineStr">
        <is>
          <t>VẬT_LIỆU_CÁCH_NHIỆT</t>
        </is>
      </c>
      <c r="E59" t="inlineStr">
        <is>
          <t>MAT-FIREBOARD-10MM-BLADE</t>
        </is>
      </c>
      <c r="F59" t="inlineStr">
        <is>
          <t>m2</t>
        </is>
      </c>
      <c r="G59" s="17" t="n">
        <v>0.05094369296775458</v>
      </c>
      <c r="H59" s="13">
        <f>'00_TONG_HOP_BAO_GIA'!G7</f>
        <v/>
      </c>
      <c r="I59" s="18">
        <f>G59*H59</f>
        <v/>
      </c>
      <c r="J59" s="13">
        <f>IFERROR(INDEX('06_BANG_GIA_VAT_TU_AP_DUNG'!$E$1:$E$5000, MATCH(E59, '06_BANG_GIA_VAT_TU_AP_DUNG'!$B$1:$B$5000, 0)), 0)</f>
        <v/>
      </c>
      <c r="K59" s="13">
        <f>I59*J59</f>
        <v/>
      </c>
      <c r="L59" t="inlineStr">
        <is>
          <t>Ốp 2 mặt cánh tấm 10mm (Cánh đơn 150x150mm)</t>
        </is>
      </c>
    </row>
    <row r="60">
      <c r="A60" t="inlineStr">
        <is>
          <t>SW-DAMPER-006-SPRING-BOX</t>
        </is>
      </c>
      <c r="B60" t="inlineStr">
        <is>
          <t>SW-DAMPER-006</t>
        </is>
      </c>
      <c r="C60" t="inlineStr">
        <is>
          <t>Hộp lò xo van chặn lửa FD/MFD</t>
        </is>
      </c>
      <c r="D60" t="inlineStr">
        <is>
          <t>PHỤ_KIỆN_VAN</t>
        </is>
      </c>
      <c r="E60" t="inlineStr">
        <is>
          <t>MAT-DAMPER-HOP-LO-XO</t>
        </is>
      </c>
      <c r="F60" t="inlineStr">
        <is>
          <t>Bộ</t>
        </is>
      </c>
      <c r="G60" s="17" t="n">
        <v>1</v>
      </c>
      <c r="H60" s="13">
        <f>'00_TONG_HOP_BAO_GIA'!G7</f>
        <v/>
      </c>
      <c r="I60" s="18">
        <f>G60*H60</f>
        <v/>
      </c>
      <c r="J60" s="13">
        <f>IFERROR(INDEX('06_BANG_GIA_VAT_TU_AP_DUNG'!$E$1:$E$5000, MATCH(E60, '06_BANG_GIA_VAT_TU_AP_DUNG'!$B$1:$B$5000, 0)), 0)</f>
        <v/>
      </c>
      <c r="K60" s="13">
        <f>I60*J60</f>
        <v/>
      </c>
      <c r="L60" t="inlineStr">
        <is>
          <t>Hộp lò xo cơ cấu đóng sập (1 bộ)</t>
        </is>
      </c>
    </row>
    <row r="61">
      <c r="A61" t="inlineStr">
        <is>
          <t>SW-DAMPER-006-SILICON-BOLT</t>
        </is>
      </c>
      <c r="B61" t="inlineStr">
        <is>
          <t>SW-DAMPER-006</t>
        </is>
      </c>
      <c r="C61" t="inlineStr">
        <is>
          <t>Silicon chống cháy + bu lông, ốc vít van FD/MFD</t>
        </is>
      </c>
      <c r="D61" t="inlineStr">
        <is>
          <t>PHỤ_KIỆN_VAN</t>
        </is>
      </c>
      <c r="E61" t="inlineStr">
        <is>
          <t>MAT-DAMPER-SILICON-BULONG-VIT</t>
        </is>
      </c>
      <c r="F61" t="inlineStr">
        <is>
          <t>Bộ</t>
        </is>
      </c>
      <c r="G61" s="17" t="n">
        <v>1</v>
      </c>
      <c r="H61" s="13">
        <f>'00_TONG_HOP_BAO_GIA'!G7</f>
        <v/>
      </c>
      <c r="I61" s="18">
        <f>G61*H61</f>
        <v/>
      </c>
      <c r="J61" s="13">
        <f>IFERROR(INDEX('06_BANG_GIA_VAT_TU_AP_DUNG'!$E$1:$E$5000, MATCH(E61, '06_BANG_GIA_VAT_TU_AP_DUNG'!$B$1:$B$5000, 0)), 0)</f>
        <v/>
      </c>
      <c r="K61" s="13">
        <f>I61*J61</f>
        <v/>
      </c>
      <c r="L61" t="inlineStr">
        <is>
          <t>Keo silicon chống cháy &amp; phụ kiện lắp ghép (1 bộ)</t>
        </is>
      </c>
    </row>
    <row r="62">
      <c r="A62" t="inlineStr">
        <is>
          <t>SW-DAMPER-007-BODY</t>
        </is>
      </c>
      <c r="B62" t="inlineStr">
        <is>
          <t>SW-DAMPER-007</t>
        </is>
      </c>
      <c r="C62" t="inlineStr">
        <is>
          <t>Thân vỏ van FD bích C30/TDF (1.15mm)</t>
        </is>
      </c>
      <c r="D62" t="inlineStr">
        <is>
          <t>TÔN_CUỘN_MẠ_KẼM</t>
        </is>
      </c>
      <c r="E62" t="inlineStr">
        <is>
          <t>MAT-STEEL-PN-1.15</t>
        </is>
      </c>
      <c r="F62" t="inlineStr">
        <is>
          <t>kg</t>
        </is>
      </c>
      <c r="G62" s="17" t="n">
        <v>4.770136598561558</v>
      </c>
      <c r="H62" s="13">
        <f>'00_TONG_HOP_BAO_GIA'!G8</f>
        <v/>
      </c>
      <c r="I62" s="18">
        <f>G62*H62</f>
        <v/>
      </c>
      <c r="J62" s="13">
        <f>IFERROR(INDEX('06_BANG_GIA_VAT_TU_AP_DUNG'!$E$1:$E$5000, MATCH(E62, '06_BANG_GIA_VAT_TU_AP_DUNG'!$B$1:$B$5000, 0)), 0)</f>
        <v/>
      </c>
      <c r="K62" s="13">
        <f>I62*J62</f>
        <v/>
      </c>
      <c r="L62" t="inlineStr">
        <is>
          <t>Kích thước vỏ 400x400x200mm</t>
        </is>
      </c>
    </row>
    <row r="63">
      <c r="A63" t="inlineStr">
        <is>
          <t>SW-DAMPER-007-BLADE</t>
        </is>
      </c>
      <c r="B63" t="inlineStr">
        <is>
          <t>SW-DAMPER-007</t>
        </is>
      </c>
      <c r="C63" t="inlineStr">
        <is>
          <t>Lá cánh / Tôn tấm bọc van (1 cánh)</t>
        </is>
      </c>
      <c r="D63" t="inlineStr">
        <is>
          <t>TÔN_CUỘN_MẠ_KẼM</t>
        </is>
      </c>
      <c r="E63" t="inlineStr">
        <is>
          <t>MAT-STEEL-PN-1.15</t>
        </is>
      </c>
      <c r="F63" t="inlineStr">
        <is>
          <t>kg</t>
        </is>
      </c>
      <c r="G63" s="17" t="n">
        <v>3.283098274056218</v>
      </c>
      <c r="H63" s="13">
        <f>'00_TONG_HOP_BAO_GIA'!G8</f>
        <v/>
      </c>
      <c r="I63" s="18">
        <f>G63*H63</f>
        <v/>
      </c>
      <c r="J63" s="13">
        <f>IFERROR(INDEX('06_BANG_GIA_VAT_TU_AP_DUNG'!$E$1:$E$5000, MATCH(E63, '06_BANG_GIA_VAT_TU_AP_DUNG'!$B$1:$B$5000, 0)), 0)</f>
        <v/>
      </c>
      <c r="K63" s="13">
        <f>I63*J63</f>
        <v/>
      </c>
      <c r="L63" t="inlineStr">
        <is>
          <t>Tôn bọc cánh &amp; thân (1 cánh/modul)</t>
        </is>
      </c>
    </row>
    <row r="64">
      <c r="A64" t="inlineStr">
        <is>
          <t>SW-DAMPER-007-AXLE</t>
        </is>
      </c>
      <c r="B64" t="inlineStr">
        <is>
          <t>SW-DAMPER-007</t>
        </is>
      </c>
      <c r="C64" t="inlineStr">
        <is>
          <t>Trục Sus 201 D10</t>
        </is>
      </c>
      <c r="D64" t="inlineStr">
        <is>
          <t>PHỤ_KIỆN_VAN</t>
        </is>
      </c>
      <c r="E64" t="inlineStr">
        <is>
          <t>MAT-DAMPER-TRUC-SUS-201-D10</t>
        </is>
      </c>
      <c r="F64" t="inlineStr">
        <is>
          <t>m</t>
        </is>
      </c>
      <c r="G64" s="17" t="n">
        <v>0.5227863493720094</v>
      </c>
      <c r="H64" s="13">
        <f>'00_TONG_HOP_BAO_GIA'!G8</f>
        <v/>
      </c>
      <c r="I64" s="18">
        <f>G64*H64</f>
        <v/>
      </c>
      <c r="J64" s="13">
        <f>IFERROR(INDEX('06_BANG_GIA_VAT_TU_AP_DUNG'!$E$1:$E$5000, MATCH(E64, '06_BANG_GIA_VAT_TU_AP_DUNG'!$B$1:$B$5000, 0)), 0)</f>
        <v/>
      </c>
      <c r="K64" s="13">
        <f>I64*J64</f>
        <v/>
      </c>
      <c r="L64" t="inlineStr">
        <is>
          <t>1 trục dài 460mm</t>
        </is>
      </c>
    </row>
    <row r="65">
      <c r="A65" t="inlineStr">
        <is>
          <t>SW-DAMPER-007-BEARING</t>
        </is>
      </c>
      <c r="B65" t="inlineStr">
        <is>
          <t>SW-DAMPER-007</t>
        </is>
      </c>
      <c r="C65" t="inlineStr">
        <is>
          <t>Bạc đồng D10</t>
        </is>
      </c>
      <c r="D65" t="inlineStr">
        <is>
          <t>PHỤ_KIỆN_VAN</t>
        </is>
      </c>
      <c r="E65" t="inlineStr">
        <is>
          <t>MAT-DAMPER-BAC-DONG-D10</t>
        </is>
      </c>
      <c r="F65" t="inlineStr">
        <is>
          <t>Đôi</t>
        </is>
      </c>
      <c r="G65" s="17" t="n">
        <v>1</v>
      </c>
      <c r="H65" s="13">
        <f>'00_TONG_HOP_BAO_GIA'!G8</f>
        <v/>
      </c>
      <c r="I65" s="18">
        <f>G65*H65</f>
        <v/>
      </c>
      <c r="J65" s="13">
        <f>IFERROR(INDEX('06_BANG_GIA_VAT_TU_AP_DUNG'!$E$1:$E$5000, MATCH(E65, '06_BANG_GIA_VAT_TU_AP_DUNG'!$B$1:$B$5000, 0)), 0)</f>
        <v/>
      </c>
      <c r="K65" s="13">
        <f>I65*J65</f>
        <v/>
      </c>
      <c r="L65" t="inlineStr">
        <is>
          <t>1 đôi bạc đỡ 2 bên thân</t>
        </is>
      </c>
    </row>
    <row r="66">
      <c r="A66" t="inlineStr">
        <is>
          <t>SW-DAMPER-007-FUSE</t>
        </is>
      </c>
      <c r="B66" t="inlineStr">
        <is>
          <t>SW-DAMPER-007</t>
        </is>
      </c>
      <c r="C66" t="inlineStr">
        <is>
          <t>Cầu chì nhiệt nóng chảy 70°C/74°C (Elsie/USA)</t>
        </is>
      </c>
      <c r="D66" t="inlineStr">
        <is>
          <t>PHỤ_KIỆN_VAN</t>
        </is>
      </c>
      <c r="E66" t="inlineStr">
        <is>
          <t>MAT-DAMPER-CAU-CHI-USA-2-400X400</t>
        </is>
      </c>
      <c r="F66" t="inlineStr">
        <is>
          <t>Cái</t>
        </is>
      </c>
      <c r="G66" s="17" t="n">
        <v>1</v>
      </c>
      <c r="H66" s="13">
        <f>'00_TONG_HOP_BAO_GIA'!G8</f>
        <v/>
      </c>
      <c r="I66" s="18">
        <f>G66*H66</f>
        <v/>
      </c>
      <c r="J66" s="13">
        <f>IFERROR(INDEX('06_BANG_GIA_VAT_TU_AP_DUNG'!$E$1:$E$5000, MATCH(E66, '06_BANG_GIA_VAT_TU_AP_DUNG'!$B$1:$B$5000, 0)), 0)</f>
        <v/>
      </c>
      <c r="K66" s="13">
        <f>I66*J66</f>
        <v/>
      </c>
      <c r="L66" t="inlineStr">
        <is>
          <t>Cầu chì kiểm định PCCC (1 cái)</t>
        </is>
      </c>
    </row>
    <row r="67">
      <c r="A67" t="inlineStr">
        <is>
          <t>SW-DAMPER-007-FB10-BODY</t>
        </is>
      </c>
      <c r="B67" t="inlineStr">
        <is>
          <t>SW-DAMPER-007</t>
        </is>
      </c>
      <c r="C67" t="inlineStr">
        <is>
          <t>Tấm chống cháy dày 10mm bọc thân van FD/MFD (2 lớp)</t>
        </is>
      </c>
      <c r="D67" t="inlineStr">
        <is>
          <t>VẬT_LIỆU_CÁCH_NHIỆT</t>
        </is>
      </c>
      <c r="E67" t="inlineStr">
        <is>
          <t>MAT-FIREBOARD-10MM-BODY</t>
        </is>
      </c>
      <c r="F67" t="inlineStr">
        <is>
          <t>m2</t>
        </is>
      </c>
      <c r="G67" s="17" t="n">
        <v>1.091032381298106</v>
      </c>
      <c r="H67" s="13">
        <f>'00_TONG_HOP_BAO_GIA'!G8</f>
        <v/>
      </c>
      <c r="I67" s="18">
        <f>G67*H67</f>
        <v/>
      </c>
      <c r="J67" s="13">
        <f>IFERROR(INDEX('06_BANG_GIA_VAT_TU_AP_DUNG'!$E$1:$E$5000, MATCH(E67, '06_BANG_GIA_VAT_TU_AP_DUNG'!$B$1:$B$5000, 0)), 0)</f>
        <v/>
      </c>
      <c r="K67" s="13">
        <f>I67*J67</f>
        <v/>
      </c>
      <c r="L67" t="inlineStr">
        <is>
          <t>Bọc 2 lớp tấm 10mm quanh thân L=300mm</t>
        </is>
      </c>
    </row>
    <row r="68">
      <c r="A68" t="inlineStr">
        <is>
          <t>SW-DAMPER-007-FB20-BLADE</t>
        </is>
      </c>
      <c r="B68" t="inlineStr">
        <is>
          <t>SW-DAMPER-007</t>
        </is>
      </c>
      <c r="C68" t="inlineStr">
        <is>
          <t>Tấm chống cháy dày 20mm làm lõi cánh van FD/MFD</t>
        </is>
      </c>
      <c r="D68" t="inlineStr">
        <is>
          <t>VẬT_LIỆU_CÁCH_NHIỆT</t>
        </is>
      </c>
      <c r="E68" t="inlineStr">
        <is>
          <t>MAT-FIREBOARD-20MM-BLADE</t>
        </is>
      </c>
      <c r="F68" t="inlineStr">
        <is>
          <t>m2</t>
        </is>
      </c>
      <c r="G68" s="17" t="n">
        <v>0.1818387302163511</v>
      </c>
      <c r="H68" s="13">
        <f>'00_TONG_HOP_BAO_GIA'!G8</f>
        <v/>
      </c>
      <c r="I68" s="18">
        <f>G68*H68</f>
        <v/>
      </c>
      <c r="J68" s="13">
        <f>IFERROR(INDEX('06_BANG_GIA_VAT_TU_AP_DUNG'!$E$1:$E$5000, MATCH(E68, '06_BANG_GIA_VAT_TU_AP_DUNG'!$B$1:$B$5000, 0)), 0)</f>
        <v/>
      </c>
      <c r="K68" s="13">
        <f>I68*J68</f>
        <v/>
      </c>
      <c r="L68" t="inlineStr">
        <is>
          <t>Lõi cánh tấm 20mm (Cánh đơn 400x400mm)</t>
        </is>
      </c>
    </row>
    <row r="69">
      <c r="A69" t="inlineStr">
        <is>
          <t>SW-DAMPER-007-FB10-BLADE</t>
        </is>
      </c>
      <c r="B69" t="inlineStr">
        <is>
          <t>SW-DAMPER-007</t>
        </is>
      </c>
      <c r="C69" t="inlineStr">
        <is>
          <t>Tấm chống cháy dày 10mm ốp 2 mặt cánh van FD/MFD</t>
        </is>
      </c>
      <c r="D69" t="inlineStr">
        <is>
          <t>VẬT_LIỆU_CÁCH_NHIỆT</t>
        </is>
      </c>
      <c r="E69" t="inlineStr">
        <is>
          <t>MAT-FIREBOARD-10MM-BLADE</t>
        </is>
      </c>
      <c r="F69" t="inlineStr">
        <is>
          <t>m2</t>
        </is>
      </c>
      <c r="G69" s="17" t="n">
        <v>0.3636774604327022</v>
      </c>
      <c r="H69" s="13">
        <f>'00_TONG_HOP_BAO_GIA'!G8</f>
        <v/>
      </c>
      <c r="I69" s="18">
        <f>G69*H69</f>
        <v/>
      </c>
      <c r="J69" s="13">
        <f>IFERROR(INDEX('06_BANG_GIA_VAT_TU_AP_DUNG'!$E$1:$E$5000, MATCH(E69, '06_BANG_GIA_VAT_TU_AP_DUNG'!$B$1:$B$5000, 0)), 0)</f>
        <v/>
      </c>
      <c r="K69" s="13">
        <f>I69*J69</f>
        <v/>
      </c>
      <c r="L69" t="inlineStr">
        <is>
          <t>Ốp 2 mặt cánh tấm 10mm (Cánh đơn 400x400mm)</t>
        </is>
      </c>
    </row>
    <row r="70">
      <c r="A70" t="inlineStr">
        <is>
          <t>SW-DAMPER-007-SPRING-BOX</t>
        </is>
      </c>
      <c r="B70" t="inlineStr">
        <is>
          <t>SW-DAMPER-007</t>
        </is>
      </c>
      <c r="C70" t="inlineStr">
        <is>
          <t>Hộp lò xo van chặn lửa FD/MFD</t>
        </is>
      </c>
      <c r="D70" t="inlineStr">
        <is>
          <t>PHỤ_KIỆN_VAN</t>
        </is>
      </c>
      <c r="E70" t="inlineStr">
        <is>
          <t>MAT-DAMPER-HOP-LO-XO</t>
        </is>
      </c>
      <c r="F70" t="inlineStr">
        <is>
          <t>Bộ</t>
        </is>
      </c>
      <c r="G70" s="17" t="n">
        <v>1</v>
      </c>
      <c r="H70" s="13">
        <f>'00_TONG_HOP_BAO_GIA'!G8</f>
        <v/>
      </c>
      <c r="I70" s="18">
        <f>G70*H70</f>
        <v/>
      </c>
      <c r="J70" s="13">
        <f>IFERROR(INDEX('06_BANG_GIA_VAT_TU_AP_DUNG'!$E$1:$E$5000, MATCH(E70, '06_BANG_GIA_VAT_TU_AP_DUNG'!$B$1:$B$5000, 0)), 0)</f>
        <v/>
      </c>
      <c r="K70" s="13">
        <f>I70*J70</f>
        <v/>
      </c>
      <c r="L70" t="inlineStr">
        <is>
          <t>Hộp lò xo cơ cấu đóng sập (1 bộ)</t>
        </is>
      </c>
    </row>
    <row r="71">
      <c r="A71" t="inlineStr">
        <is>
          <t>SW-DAMPER-007-SILICON-BOLT</t>
        </is>
      </c>
      <c r="B71" t="inlineStr">
        <is>
          <t>SW-DAMPER-007</t>
        </is>
      </c>
      <c r="C71" t="inlineStr">
        <is>
          <t>Silicon chống cháy + bu lông, ốc vít van FD/MFD</t>
        </is>
      </c>
      <c r="D71" t="inlineStr">
        <is>
          <t>PHỤ_KIỆN_VAN</t>
        </is>
      </c>
      <c r="E71" t="inlineStr">
        <is>
          <t>MAT-DAMPER-SILICON-BULONG-VIT</t>
        </is>
      </c>
      <c r="F71" t="inlineStr">
        <is>
          <t>Bộ</t>
        </is>
      </c>
      <c r="G71" s="17" t="n">
        <v>1</v>
      </c>
      <c r="H71" s="13">
        <f>'00_TONG_HOP_BAO_GIA'!G8</f>
        <v/>
      </c>
      <c r="I71" s="18">
        <f>G71*H71</f>
        <v/>
      </c>
      <c r="J71" s="13">
        <f>IFERROR(INDEX('06_BANG_GIA_VAT_TU_AP_DUNG'!$E$1:$E$5000, MATCH(E71, '06_BANG_GIA_VAT_TU_AP_DUNG'!$B$1:$B$5000, 0)), 0)</f>
        <v/>
      </c>
      <c r="K71" s="13">
        <f>I71*J71</f>
        <v/>
      </c>
      <c r="L71" t="inlineStr">
        <is>
          <t>Keo silicon chống cháy &amp; phụ kiện lắp ghép (1 bộ)</t>
        </is>
      </c>
    </row>
    <row r="72">
      <c r="A72" t="inlineStr">
        <is>
          <t>SW-DAMPER-008-BODY</t>
        </is>
      </c>
      <c r="B72" t="inlineStr">
        <is>
          <t>SW-DAMPER-008</t>
        </is>
      </c>
      <c r="C72" t="inlineStr">
        <is>
          <t>Thân vỏ van FD bích C30/TDF (1.15mm)</t>
        </is>
      </c>
      <c r="D72" t="inlineStr">
        <is>
          <t>TÔN_CUỘN_MẠ_KẼM</t>
        </is>
      </c>
      <c r="E72" t="inlineStr">
        <is>
          <t>MAT-STEEL-PN-1.15</t>
        </is>
      </c>
      <c r="F72" t="inlineStr">
        <is>
          <t>kg</t>
        </is>
      </c>
      <c r="G72" s="17" t="n">
        <v>4.770136598561558</v>
      </c>
      <c r="H72" s="13">
        <f>'00_TONG_HOP_BAO_GIA'!G9</f>
        <v/>
      </c>
      <c r="I72" s="18">
        <f>G72*H72</f>
        <v/>
      </c>
      <c r="J72" s="13">
        <f>IFERROR(INDEX('06_BANG_GIA_VAT_TU_AP_DUNG'!$E$1:$E$5000, MATCH(E72, '06_BANG_GIA_VAT_TU_AP_DUNG'!$B$1:$B$5000, 0)), 0)</f>
        <v/>
      </c>
      <c r="K72" s="13">
        <f>I72*J72</f>
        <v/>
      </c>
      <c r="L72" t="inlineStr">
        <is>
          <t>Kích thước vỏ 400x400x200mm</t>
        </is>
      </c>
    </row>
    <row r="73">
      <c r="A73" t="inlineStr">
        <is>
          <t>SW-DAMPER-008-BLADE</t>
        </is>
      </c>
      <c r="B73" t="inlineStr">
        <is>
          <t>SW-DAMPER-008</t>
        </is>
      </c>
      <c r="C73" t="inlineStr">
        <is>
          <t>Lá cánh / Tôn tấm bọc van (1 cánh)</t>
        </is>
      </c>
      <c r="D73" t="inlineStr">
        <is>
          <t>TÔN_CUỘN_MẠ_KẼM</t>
        </is>
      </c>
      <c r="E73" t="inlineStr">
        <is>
          <t>MAT-STEEL-PN-1.15</t>
        </is>
      </c>
      <c r="F73" t="inlineStr">
        <is>
          <t>kg</t>
        </is>
      </c>
      <c r="G73" s="17" t="n">
        <v>3.283098274056218</v>
      </c>
      <c r="H73" s="13">
        <f>'00_TONG_HOP_BAO_GIA'!G9</f>
        <v/>
      </c>
      <c r="I73" s="18">
        <f>G73*H73</f>
        <v/>
      </c>
      <c r="J73" s="13">
        <f>IFERROR(INDEX('06_BANG_GIA_VAT_TU_AP_DUNG'!$E$1:$E$5000, MATCH(E73, '06_BANG_GIA_VAT_TU_AP_DUNG'!$B$1:$B$5000, 0)), 0)</f>
        <v/>
      </c>
      <c r="K73" s="13">
        <f>I73*J73</f>
        <v/>
      </c>
      <c r="L73" t="inlineStr">
        <is>
          <t>Tôn bọc cánh &amp; thân (1 cánh/modul)</t>
        </is>
      </c>
    </row>
    <row r="74">
      <c r="A74" t="inlineStr">
        <is>
          <t>SW-DAMPER-008-AXLE</t>
        </is>
      </c>
      <c r="B74" t="inlineStr">
        <is>
          <t>SW-DAMPER-008</t>
        </is>
      </c>
      <c r="C74" t="inlineStr">
        <is>
          <t>Trục Sus 201 D10</t>
        </is>
      </c>
      <c r="D74" t="inlineStr">
        <is>
          <t>PHỤ_KIỆN_VAN</t>
        </is>
      </c>
      <c r="E74" t="inlineStr">
        <is>
          <t>MAT-DAMPER-TRUC-SUS-201-D10</t>
        </is>
      </c>
      <c r="F74" t="inlineStr">
        <is>
          <t>m</t>
        </is>
      </c>
      <c r="G74" s="17" t="n">
        <v>0.5227863493720094</v>
      </c>
      <c r="H74" s="13">
        <f>'00_TONG_HOP_BAO_GIA'!G9</f>
        <v/>
      </c>
      <c r="I74" s="18">
        <f>G74*H74</f>
        <v/>
      </c>
      <c r="J74" s="13">
        <f>IFERROR(INDEX('06_BANG_GIA_VAT_TU_AP_DUNG'!$E$1:$E$5000, MATCH(E74, '06_BANG_GIA_VAT_TU_AP_DUNG'!$B$1:$B$5000, 0)), 0)</f>
        <v/>
      </c>
      <c r="K74" s="13">
        <f>I74*J74</f>
        <v/>
      </c>
      <c r="L74" t="inlineStr">
        <is>
          <t>1 trục dài 460mm</t>
        </is>
      </c>
    </row>
    <row r="75">
      <c r="A75" t="inlineStr">
        <is>
          <t>SW-DAMPER-008-BEARING</t>
        </is>
      </c>
      <c r="B75" t="inlineStr">
        <is>
          <t>SW-DAMPER-008</t>
        </is>
      </c>
      <c r="C75" t="inlineStr">
        <is>
          <t>Bạc đồng D10</t>
        </is>
      </c>
      <c r="D75" t="inlineStr">
        <is>
          <t>PHỤ_KIỆN_VAN</t>
        </is>
      </c>
      <c r="E75" t="inlineStr">
        <is>
          <t>MAT-DAMPER-BAC-DONG-D10</t>
        </is>
      </c>
      <c r="F75" t="inlineStr">
        <is>
          <t>Đôi</t>
        </is>
      </c>
      <c r="G75" s="17" t="n">
        <v>1</v>
      </c>
      <c r="H75" s="13">
        <f>'00_TONG_HOP_BAO_GIA'!G9</f>
        <v/>
      </c>
      <c r="I75" s="18">
        <f>G75*H75</f>
        <v/>
      </c>
      <c r="J75" s="13">
        <f>IFERROR(INDEX('06_BANG_GIA_VAT_TU_AP_DUNG'!$E$1:$E$5000, MATCH(E75, '06_BANG_GIA_VAT_TU_AP_DUNG'!$B$1:$B$5000, 0)), 0)</f>
        <v/>
      </c>
      <c r="K75" s="13">
        <f>I75*J75</f>
        <v/>
      </c>
      <c r="L75" t="inlineStr">
        <is>
          <t>1 đôi bạc đỡ 2 bên thân</t>
        </is>
      </c>
    </row>
    <row r="76">
      <c r="A76" t="inlineStr">
        <is>
          <t>SW-DAMPER-008-FUSE</t>
        </is>
      </c>
      <c r="B76" t="inlineStr">
        <is>
          <t>SW-DAMPER-008</t>
        </is>
      </c>
      <c r="C76" t="inlineStr">
        <is>
          <t>Cầu chì nhiệt nóng chảy 70°C/74°C (Elsie/USA)</t>
        </is>
      </c>
      <c r="D76" t="inlineStr">
        <is>
          <t>PHỤ_KIỆN_VAN</t>
        </is>
      </c>
      <c r="E76" t="inlineStr">
        <is>
          <t>MAT-DAMPER-CAU-CHI-USA-2-400X400</t>
        </is>
      </c>
      <c r="F76" t="inlineStr">
        <is>
          <t>Cái</t>
        </is>
      </c>
      <c r="G76" s="17" t="n">
        <v>1</v>
      </c>
      <c r="H76" s="13">
        <f>'00_TONG_HOP_BAO_GIA'!G9</f>
        <v/>
      </c>
      <c r="I76" s="18">
        <f>G76*H76</f>
        <v/>
      </c>
      <c r="J76" s="13">
        <f>IFERROR(INDEX('06_BANG_GIA_VAT_TU_AP_DUNG'!$E$1:$E$5000, MATCH(E76, '06_BANG_GIA_VAT_TU_AP_DUNG'!$B$1:$B$5000, 0)), 0)</f>
        <v/>
      </c>
      <c r="K76" s="13">
        <f>I76*J76</f>
        <v/>
      </c>
      <c r="L76" t="inlineStr">
        <is>
          <t>Cầu chì kiểm định PCCC (1 cái)</t>
        </is>
      </c>
    </row>
    <row r="77">
      <c r="A77" t="inlineStr">
        <is>
          <t>SW-DAMPER-008-FB10-BODY</t>
        </is>
      </c>
      <c r="B77" t="inlineStr">
        <is>
          <t>SW-DAMPER-008</t>
        </is>
      </c>
      <c r="C77" t="inlineStr">
        <is>
          <t>Tấm chống cháy dày 10mm bọc thân van FD/MFD (2 lớp)</t>
        </is>
      </c>
      <c r="D77" t="inlineStr">
        <is>
          <t>VẬT_LIỆU_CÁCH_NHIỆT</t>
        </is>
      </c>
      <c r="E77" t="inlineStr">
        <is>
          <t>MAT-FIREBOARD-10MM-BODY</t>
        </is>
      </c>
      <c r="F77" t="inlineStr">
        <is>
          <t>m2</t>
        </is>
      </c>
      <c r="G77" s="17" t="n">
        <v>1.091032381298106</v>
      </c>
      <c r="H77" s="13">
        <f>'00_TONG_HOP_BAO_GIA'!G9</f>
        <v/>
      </c>
      <c r="I77" s="18">
        <f>G77*H77</f>
        <v/>
      </c>
      <c r="J77" s="13">
        <f>IFERROR(INDEX('06_BANG_GIA_VAT_TU_AP_DUNG'!$E$1:$E$5000, MATCH(E77, '06_BANG_GIA_VAT_TU_AP_DUNG'!$B$1:$B$5000, 0)), 0)</f>
        <v/>
      </c>
      <c r="K77" s="13">
        <f>I77*J77</f>
        <v/>
      </c>
      <c r="L77" t="inlineStr">
        <is>
          <t>Bọc 2 lớp tấm 10mm quanh thân L=300mm</t>
        </is>
      </c>
    </row>
    <row r="78">
      <c r="A78" t="inlineStr">
        <is>
          <t>SW-DAMPER-008-FB20-BLADE</t>
        </is>
      </c>
      <c r="B78" t="inlineStr">
        <is>
          <t>SW-DAMPER-008</t>
        </is>
      </c>
      <c r="C78" t="inlineStr">
        <is>
          <t>Tấm chống cháy dày 20mm làm lõi cánh van FD/MFD</t>
        </is>
      </c>
      <c r="D78" t="inlineStr">
        <is>
          <t>VẬT_LIỆU_CÁCH_NHIỆT</t>
        </is>
      </c>
      <c r="E78" t="inlineStr">
        <is>
          <t>MAT-FIREBOARD-20MM-BLADE</t>
        </is>
      </c>
      <c r="F78" t="inlineStr">
        <is>
          <t>m2</t>
        </is>
      </c>
      <c r="G78" s="17" t="n">
        <v>0.1818387302163511</v>
      </c>
      <c r="H78" s="13">
        <f>'00_TONG_HOP_BAO_GIA'!G9</f>
        <v/>
      </c>
      <c r="I78" s="18">
        <f>G78*H78</f>
        <v/>
      </c>
      <c r="J78" s="13">
        <f>IFERROR(INDEX('06_BANG_GIA_VAT_TU_AP_DUNG'!$E$1:$E$5000, MATCH(E78, '06_BANG_GIA_VAT_TU_AP_DUNG'!$B$1:$B$5000, 0)), 0)</f>
        <v/>
      </c>
      <c r="K78" s="13">
        <f>I78*J78</f>
        <v/>
      </c>
      <c r="L78" t="inlineStr">
        <is>
          <t>Lõi cánh tấm 20mm (Cánh đơn 400x400mm)</t>
        </is>
      </c>
    </row>
    <row r="79">
      <c r="A79" t="inlineStr">
        <is>
          <t>SW-DAMPER-008-FB10-BLADE</t>
        </is>
      </c>
      <c r="B79" t="inlineStr">
        <is>
          <t>SW-DAMPER-008</t>
        </is>
      </c>
      <c r="C79" t="inlineStr">
        <is>
          <t>Tấm chống cháy dày 10mm ốp 2 mặt cánh van FD/MFD</t>
        </is>
      </c>
      <c r="D79" t="inlineStr">
        <is>
          <t>VẬT_LIỆU_CÁCH_NHIỆT</t>
        </is>
      </c>
      <c r="E79" t="inlineStr">
        <is>
          <t>MAT-FIREBOARD-10MM-BLADE</t>
        </is>
      </c>
      <c r="F79" t="inlineStr">
        <is>
          <t>m2</t>
        </is>
      </c>
      <c r="G79" s="17" t="n">
        <v>0.3636774604327022</v>
      </c>
      <c r="H79" s="13">
        <f>'00_TONG_HOP_BAO_GIA'!G9</f>
        <v/>
      </c>
      <c r="I79" s="18">
        <f>G79*H79</f>
        <v/>
      </c>
      <c r="J79" s="13">
        <f>IFERROR(INDEX('06_BANG_GIA_VAT_TU_AP_DUNG'!$E$1:$E$5000, MATCH(E79, '06_BANG_GIA_VAT_TU_AP_DUNG'!$B$1:$B$5000, 0)), 0)</f>
        <v/>
      </c>
      <c r="K79" s="13">
        <f>I79*J79</f>
        <v/>
      </c>
      <c r="L79" t="inlineStr">
        <is>
          <t>Ốp 2 mặt cánh tấm 10mm (Cánh đơn 400x400mm)</t>
        </is>
      </c>
    </row>
    <row r="80">
      <c r="A80" t="inlineStr">
        <is>
          <t>SW-DAMPER-008-SPRING-BOX</t>
        </is>
      </c>
      <c r="B80" t="inlineStr">
        <is>
          <t>SW-DAMPER-008</t>
        </is>
      </c>
      <c r="C80" t="inlineStr">
        <is>
          <t>Hộp lò xo van chặn lửa FD/MFD</t>
        </is>
      </c>
      <c r="D80" t="inlineStr">
        <is>
          <t>PHỤ_KIỆN_VAN</t>
        </is>
      </c>
      <c r="E80" t="inlineStr">
        <is>
          <t>MAT-DAMPER-HOP-LO-XO</t>
        </is>
      </c>
      <c r="F80" t="inlineStr">
        <is>
          <t>Bộ</t>
        </is>
      </c>
      <c r="G80" s="17" t="n">
        <v>1</v>
      </c>
      <c r="H80" s="13">
        <f>'00_TONG_HOP_BAO_GIA'!G9</f>
        <v/>
      </c>
      <c r="I80" s="18">
        <f>G80*H80</f>
        <v/>
      </c>
      <c r="J80" s="13">
        <f>IFERROR(INDEX('06_BANG_GIA_VAT_TU_AP_DUNG'!$E$1:$E$5000, MATCH(E80, '06_BANG_GIA_VAT_TU_AP_DUNG'!$B$1:$B$5000, 0)), 0)</f>
        <v/>
      </c>
      <c r="K80" s="13">
        <f>I80*J80</f>
        <v/>
      </c>
      <c r="L80" t="inlineStr">
        <is>
          <t>Hộp lò xo cơ cấu đóng sập (1 bộ)</t>
        </is>
      </c>
    </row>
    <row r="81">
      <c r="A81" t="inlineStr">
        <is>
          <t>SW-DAMPER-008-SILICON-BOLT</t>
        </is>
      </c>
      <c r="B81" t="inlineStr">
        <is>
          <t>SW-DAMPER-008</t>
        </is>
      </c>
      <c r="C81" t="inlineStr">
        <is>
          <t>Silicon chống cháy + bu lông, ốc vít van FD/MFD</t>
        </is>
      </c>
      <c r="D81" t="inlineStr">
        <is>
          <t>PHỤ_KIỆN_VAN</t>
        </is>
      </c>
      <c r="E81" t="inlineStr">
        <is>
          <t>MAT-DAMPER-SILICON-BULONG-VIT</t>
        </is>
      </c>
      <c r="F81" t="inlineStr">
        <is>
          <t>Bộ</t>
        </is>
      </c>
      <c r="G81" s="17" t="n">
        <v>1</v>
      </c>
      <c r="H81" s="13">
        <f>'00_TONG_HOP_BAO_GIA'!G9</f>
        <v/>
      </c>
      <c r="I81" s="18">
        <f>G81*H81</f>
        <v/>
      </c>
      <c r="J81" s="13">
        <f>IFERROR(INDEX('06_BANG_GIA_VAT_TU_AP_DUNG'!$E$1:$E$5000, MATCH(E81, '06_BANG_GIA_VAT_TU_AP_DUNG'!$B$1:$B$5000, 0)), 0)</f>
        <v/>
      </c>
      <c r="K81" s="13">
        <f>I81*J81</f>
        <v/>
      </c>
      <c r="L81" t="inlineStr">
        <is>
          <t>Keo silicon chống cháy &amp; phụ kiện lắp ghép (1 bộ)</t>
        </is>
      </c>
    </row>
    <row r="82">
      <c r="A82" t="inlineStr">
        <is>
          <t>SW-DAMPER-009-BODY</t>
        </is>
      </c>
      <c r="B82" t="inlineStr">
        <is>
          <t>SW-DAMPER-009</t>
        </is>
      </c>
      <c r="C82" t="inlineStr">
        <is>
          <t>Thân vỏ van FD bích C30/TDF (1.15mm)</t>
        </is>
      </c>
      <c r="D82" t="inlineStr">
        <is>
          <t>TÔN_CUỘN_MẠ_KẼM</t>
        </is>
      </c>
      <c r="E82" t="inlineStr">
        <is>
          <t>MAT-STEEL-PN-1.15</t>
        </is>
      </c>
      <c r="F82" t="inlineStr">
        <is>
          <t>kg</t>
        </is>
      </c>
      <c r="G82" s="17" t="n">
        <v>4.770136598561558</v>
      </c>
      <c r="H82" s="13">
        <f>'00_TONG_HOP_BAO_GIA'!G10</f>
        <v/>
      </c>
      <c r="I82" s="18">
        <f>G82*H82</f>
        <v/>
      </c>
      <c r="J82" s="13">
        <f>IFERROR(INDEX('06_BANG_GIA_VAT_TU_AP_DUNG'!$E$1:$E$5000, MATCH(E82, '06_BANG_GIA_VAT_TU_AP_DUNG'!$B$1:$B$5000, 0)), 0)</f>
        <v/>
      </c>
      <c r="K82" s="13">
        <f>I82*J82</f>
        <v/>
      </c>
      <c r="L82" t="inlineStr">
        <is>
          <t>Kích thước vỏ 400x400x200mm</t>
        </is>
      </c>
    </row>
    <row r="83">
      <c r="A83" t="inlineStr">
        <is>
          <t>SW-DAMPER-009-BLADE</t>
        </is>
      </c>
      <c r="B83" t="inlineStr">
        <is>
          <t>SW-DAMPER-009</t>
        </is>
      </c>
      <c r="C83" t="inlineStr">
        <is>
          <t>Lá cánh / Tôn tấm bọc van (1 cánh)</t>
        </is>
      </c>
      <c r="D83" t="inlineStr">
        <is>
          <t>TÔN_CUỘN_MẠ_KẼM</t>
        </is>
      </c>
      <c r="E83" t="inlineStr">
        <is>
          <t>MAT-STEEL-PN-1.15</t>
        </is>
      </c>
      <c r="F83" t="inlineStr">
        <is>
          <t>kg</t>
        </is>
      </c>
      <c r="G83" s="17" t="n">
        <v>3.283098274056218</v>
      </c>
      <c r="H83" s="13">
        <f>'00_TONG_HOP_BAO_GIA'!G10</f>
        <v/>
      </c>
      <c r="I83" s="18">
        <f>G83*H83</f>
        <v/>
      </c>
      <c r="J83" s="13">
        <f>IFERROR(INDEX('06_BANG_GIA_VAT_TU_AP_DUNG'!$E$1:$E$5000, MATCH(E83, '06_BANG_GIA_VAT_TU_AP_DUNG'!$B$1:$B$5000, 0)), 0)</f>
        <v/>
      </c>
      <c r="K83" s="13">
        <f>I83*J83</f>
        <v/>
      </c>
      <c r="L83" t="inlineStr">
        <is>
          <t>Tôn bọc cánh &amp; thân (1 cánh/modul)</t>
        </is>
      </c>
    </row>
    <row r="84">
      <c r="A84" t="inlineStr">
        <is>
          <t>SW-DAMPER-009-AXLE</t>
        </is>
      </c>
      <c r="B84" t="inlineStr">
        <is>
          <t>SW-DAMPER-009</t>
        </is>
      </c>
      <c r="C84" t="inlineStr">
        <is>
          <t>Trục Sus 201 D10</t>
        </is>
      </c>
      <c r="D84" t="inlineStr">
        <is>
          <t>PHỤ_KIỆN_VAN</t>
        </is>
      </c>
      <c r="E84" t="inlineStr">
        <is>
          <t>MAT-DAMPER-TRUC-SUS-201-D10</t>
        </is>
      </c>
      <c r="F84" t="inlineStr">
        <is>
          <t>m</t>
        </is>
      </c>
      <c r="G84" s="17" t="n">
        <v>0.5227863493720094</v>
      </c>
      <c r="H84" s="13">
        <f>'00_TONG_HOP_BAO_GIA'!G10</f>
        <v/>
      </c>
      <c r="I84" s="18">
        <f>G84*H84</f>
        <v/>
      </c>
      <c r="J84" s="13">
        <f>IFERROR(INDEX('06_BANG_GIA_VAT_TU_AP_DUNG'!$E$1:$E$5000, MATCH(E84, '06_BANG_GIA_VAT_TU_AP_DUNG'!$B$1:$B$5000, 0)), 0)</f>
        <v/>
      </c>
      <c r="K84" s="13">
        <f>I84*J84</f>
        <v/>
      </c>
      <c r="L84" t="inlineStr">
        <is>
          <t>1 trục dài 460mm</t>
        </is>
      </c>
    </row>
    <row r="85">
      <c r="A85" t="inlineStr">
        <is>
          <t>SW-DAMPER-009-BEARING</t>
        </is>
      </c>
      <c r="B85" t="inlineStr">
        <is>
          <t>SW-DAMPER-009</t>
        </is>
      </c>
      <c r="C85" t="inlineStr">
        <is>
          <t>Bạc đồng D10</t>
        </is>
      </c>
      <c r="D85" t="inlineStr">
        <is>
          <t>PHỤ_KIỆN_VAN</t>
        </is>
      </c>
      <c r="E85" t="inlineStr">
        <is>
          <t>MAT-DAMPER-BAC-DONG-D10</t>
        </is>
      </c>
      <c r="F85" t="inlineStr">
        <is>
          <t>Đôi</t>
        </is>
      </c>
      <c r="G85" s="17" t="n">
        <v>1</v>
      </c>
      <c r="H85" s="13">
        <f>'00_TONG_HOP_BAO_GIA'!G10</f>
        <v/>
      </c>
      <c r="I85" s="18">
        <f>G85*H85</f>
        <v/>
      </c>
      <c r="J85" s="13">
        <f>IFERROR(INDEX('06_BANG_GIA_VAT_TU_AP_DUNG'!$E$1:$E$5000, MATCH(E85, '06_BANG_GIA_VAT_TU_AP_DUNG'!$B$1:$B$5000, 0)), 0)</f>
        <v/>
      </c>
      <c r="K85" s="13">
        <f>I85*J85</f>
        <v/>
      </c>
      <c r="L85" t="inlineStr">
        <is>
          <t>1 đôi bạc đỡ 2 bên thân</t>
        </is>
      </c>
    </row>
    <row r="86">
      <c r="A86" t="inlineStr">
        <is>
          <t>SW-DAMPER-009-FUSE</t>
        </is>
      </c>
      <c r="B86" t="inlineStr">
        <is>
          <t>SW-DAMPER-009</t>
        </is>
      </c>
      <c r="C86" t="inlineStr">
        <is>
          <t>Cầu chì nhiệt nóng chảy 70°C/74°C (Elsie/USA)</t>
        </is>
      </c>
      <c r="D86" t="inlineStr">
        <is>
          <t>PHỤ_KIỆN_VAN</t>
        </is>
      </c>
      <c r="E86" t="inlineStr">
        <is>
          <t>MAT-DAMPER-CAU-CHI-USA-2-400X400</t>
        </is>
      </c>
      <c r="F86" t="inlineStr">
        <is>
          <t>Cái</t>
        </is>
      </c>
      <c r="G86" s="17" t="n">
        <v>1</v>
      </c>
      <c r="H86" s="13">
        <f>'00_TONG_HOP_BAO_GIA'!G10</f>
        <v/>
      </c>
      <c r="I86" s="18">
        <f>G86*H86</f>
        <v/>
      </c>
      <c r="J86" s="13">
        <f>IFERROR(INDEX('06_BANG_GIA_VAT_TU_AP_DUNG'!$E$1:$E$5000, MATCH(E86, '06_BANG_GIA_VAT_TU_AP_DUNG'!$B$1:$B$5000, 0)), 0)</f>
        <v/>
      </c>
      <c r="K86" s="13">
        <f>I86*J86</f>
        <v/>
      </c>
      <c r="L86" t="inlineStr">
        <is>
          <t>Cầu chì kiểm định PCCC (1 cái)</t>
        </is>
      </c>
    </row>
    <row r="87">
      <c r="A87" t="inlineStr">
        <is>
          <t>SW-DAMPER-009-FB10-BODY</t>
        </is>
      </c>
      <c r="B87" t="inlineStr">
        <is>
          <t>SW-DAMPER-009</t>
        </is>
      </c>
      <c r="C87" t="inlineStr">
        <is>
          <t>Tấm chống cháy dày 10mm bọc thân van FD/MFD (2 lớp)</t>
        </is>
      </c>
      <c r="D87" t="inlineStr">
        <is>
          <t>VẬT_LIỆU_CÁCH_NHIỆT</t>
        </is>
      </c>
      <c r="E87" t="inlineStr">
        <is>
          <t>MAT-FIREBOARD-10MM-BODY</t>
        </is>
      </c>
      <c r="F87" t="inlineStr">
        <is>
          <t>m2</t>
        </is>
      </c>
      <c r="G87" s="17" t="n">
        <v>1.091032381298106</v>
      </c>
      <c r="H87" s="13">
        <f>'00_TONG_HOP_BAO_GIA'!G10</f>
        <v/>
      </c>
      <c r="I87" s="18">
        <f>G87*H87</f>
        <v/>
      </c>
      <c r="J87" s="13">
        <f>IFERROR(INDEX('06_BANG_GIA_VAT_TU_AP_DUNG'!$E$1:$E$5000, MATCH(E87, '06_BANG_GIA_VAT_TU_AP_DUNG'!$B$1:$B$5000, 0)), 0)</f>
        <v/>
      </c>
      <c r="K87" s="13">
        <f>I87*J87</f>
        <v/>
      </c>
      <c r="L87" t="inlineStr">
        <is>
          <t>Bọc 2 lớp tấm 10mm quanh thân L=300mm</t>
        </is>
      </c>
    </row>
    <row r="88">
      <c r="A88" t="inlineStr">
        <is>
          <t>SW-DAMPER-009-FB20-BLADE</t>
        </is>
      </c>
      <c r="B88" t="inlineStr">
        <is>
          <t>SW-DAMPER-009</t>
        </is>
      </c>
      <c r="C88" t="inlineStr">
        <is>
          <t>Tấm chống cháy dày 20mm làm lõi cánh van FD/MFD</t>
        </is>
      </c>
      <c r="D88" t="inlineStr">
        <is>
          <t>VẬT_LIỆU_CÁCH_NHIỆT</t>
        </is>
      </c>
      <c r="E88" t="inlineStr">
        <is>
          <t>MAT-FIREBOARD-20MM-BLADE</t>
        </is>
      </c>
      <c r="F88" t="inlineStr">
        <is>
          <t>m2</t>
        </is>
      </c>
      <c r="G88" s="17" t="n">
        <v>0.1818387302163511</v>
      </c>
      <c r="H88" s="13">
        <f>'00_TONG_HOP_BAO_GIA'!G10</f>
        <v/>
      </c>
      <c r="I88" s="18">
        <f>G88*H88</f>
        <v/>
      </c>
      <c r="J88" s="13">
        <f>IFERROR(INDEX('06_BANG_GIA_VAT_TU_AP_DUNG'!$E$1:$E$5000, MATCH(E88, '06_BANG_GIA_VAT_TU_AP_DUNG'!$B$1:$B$5000, 0)), 0)</f>
        <v/>
      </c>
      <c r="K88" s="13">
        <f>I88*J88</f>
        <v/>
      </c>
      <c r="L88" t="inlineStr">
        <is>
          <t>Lõi cánh tấm 20mm (Cánh đơn 400x400mm)</t>
        </is>
      </c>
    </row>
    <row r="89">
      <c r="A89" t="inlineStr">
        <is>
          <t>SW-DAMPER-009-FB10-BLADE</t>
        </is>
      </c>
      <c r="B89" t="inlineStr">
        <is>
          <t>SW-DAMPER-009</t>
        </is>
      </c>
      <c r="C89" t="inlineStr">
        <is>
          <t>Tấm chống cháy dày 10mm ốp 2 mặt cánh van FD/MFD</t>
        </is>
      </c>
      <c r="D89" t="inlineStr">
        <is>
          <t>VẬT_LIỆU_CÁCH_NHIỆT</t>
        </is>
      </c>
      <c r="E89" t="inlineStr">
        <is>
          <t>MAT-FIREBOARD-10MM-BLADE</t>
        </is>
      </c>
      <c r="F89" t="inlineStr">
        <is>
          <t>m2</t>
        </is>
      </c>
      <c r="G89" s="17" t="n">
        <v>0.3636774604327022</v>
      </c>
      <c r="H89" s="13">
        <f>'00_TONG_HOP_BAO_GIA'!G10</f>
        <v/>
      </c>
      <c r="I89" s="18">
        <f>G89*H89</f>
        <v/>
      </c>
      <c r="J89" s="13">
        <f>IFERROR(INDEX('06_BANG_GIA_VAT_TU_AP_DUNG'!$E$1:$E$5000, MATCH(E89, '06_BANG_GIA_VAT_TU_AP_DUNG'!$B$1:$B$5000, 0)), 0)</f>
        <v/>
      </c>
      <c r="K89" s="13">
        <f>I89*J89</f>
        <v/>
      </c>
      <c r="L89" t="inlineStr">
        <is>
          <t>Ốp 2 mặt cánh tấm 10mm (Cánh đơn 400x400mm)</t>
        </is>
      </c>
    </row>
    <row r="90">
      <c r="A90" t="inlineStr">
        <is>
          <t>SW-DAMPER-009-SPRING-BOX</t>
        </is>
      </c>
      <c r="B90" t="inlineStr">
        <is>
          <t>SW-DAMPER-009</t>
        </is>
      </c>
      <c r="C90" t="inlineStr">
        <is>
          <t>Hộp lò xo van chặn lửa FD/MFD</t>
        </is>
      </c>
      <c r="D90" t="inlineStr">
        <is>
          <t>PHỤ_KIỆN_VAN</t>
        </is>
      </c>
      <c r="E90" t="inlineStr">
        <is>
          <t>MAT-DAMPER-HOP-LO-XO</t>
        </is>
      </c>
      <c r="F90" t="inlineStr">
        <is>
          <t>Bộ</t>
        </is>
      </c>
      <c r="G90" s="17" t="n">
        <v>1</v>
      </c>
      <c r="H90" s="13">
        <f>'00_TONG_HOP_BAO_GIA'!G10</f>
        <v/>
      </c>
      <c r="I90" s="18">
        <f>G90*H90</f>
        <v/>
      </c>
      <c r="J90" s="13">
        <f>IFERROR(INDEX('06_BANG_GIA_VAT_TU_AP_DUNG'!$E$1:$E$5000, MATCH(E90, '06_BANG_GIA_VAT_TU_AP_DUNG'!$B$1:$B$5000, 0)), 0)</f>
        <v/>
      </c>
      <c r="K90" s="13">
        <f>I90*J90</f>
        <v/>
      </c>
      <c r="L90" t="inlineStr">
        <is>
          <t>Hộp lò xo cơ cấu đóng sập (1 bộ)</t>
        </is>
      </c>
    </row>
    <row r="91">
      <c r="A91" t="inlineStr">
        <is>
          <t>SW-DAMPER-009-SILICON-BOLT</t>
        </is>
      </c>
      <c r="B91" t="inlineStr">
        <is>
          <t>SW-DAMPER-009</t>
        </is>
      </c>
      <c r="C91" t="inlineStr">
        <is>
          <t>Silicon chống cháy + bu lông, ốc vít van FD/MFD</t>
        </is>
      </c>
      <c r="D91" t="inlineStr">
        <is>
          <t>PHỤ_KIỆN_VAN</t>
        </is>
      </c>
      <c r="E91" t="inlineStr">
        <is>
          <t>MAT-DAMPER-SILICON-BULONG-VIT</t>
        </is>
      </c>
      <c r="F91" t="inlineStr">
        <is>
          <t>Bộ</t>
        </is>
      </c>
      <c r="G91" s="17" t="n">
        <v>1</v>
      </c>
      <c r="H91" s="13">
        <f>'00_TONG_HOP_BAO_GIA'!G10</f>
        <v/>
      </c>
      <c r="I91" s="18">
        <f>G91*H91</f>
        <v/>
      </c>
      <c r="J91" s="13">
        <f>IFERROR(INDEX('06_BANG_GIA_VAT_TU_AP_DUNG'!$E$1:$E$5000, MATCH(E91, '06_BANG_GIA_VAT_TU_AP_DUNG'!$B$1:$B$5000, 0)), 0)</f>
        <v/>
      </c>
      <c r="K91" s="13">
        <f>I91*J91</f>
        <v/>
      </c>
      <c r="L91" t="inlineStr">
        <is>
          <t>Keo silicon chống cháy &amp; phụ kiện lắp ghép (1 bộ)</t>
        </is>
      </c>
    </row>
    <row r="92">
      <c r="A92" t="inlineStr">
        <is>
          <t>SW-DAMPER-010-BODY</t>
        </is>
      </c>
      <c r="B92" t="inlineStr">
        <is>
          <t>SW-DAMPER-010</t>
        </is>
      </c>
      <c r="C92" t="inlineStr">
        <is>
          <t>Thân vỏ van FD bích C30/TDF (1.15mm)</t>
        </is>
      </c>
      <c r="D92" t="inlineStr">
        <is>
          <t>TÔN_CUỘN_MẠ_KẼM</t>
        </is>
      </c>
      <c r="E92" t="inlineStr">
        <is>
          <t>MAT-STEEL-PN-1.15</t>
        </is>
      </c>
      <c r="F92" t="inlineStr">
        <is>
          <t>kg</t>
        </is>
      </c>
      <c r="G92" s="17" t="n">
        <v>4.770136598561558</v>
      </c>
      <c r="H92" s="13">
        <f>'00_TONG_HOP_BAO_GIA'!G11</f>
        <v/>
      </c>
      <c r="I92" s="18">
        <f>G92*H92</f>
        <v/>
      </c>
      <c r="J92" s="13">
        <f>IFERROR(INDEX('06_BANG_GIA_VAT_TU_AP_DUNG'!$E$1:$E$5000, MATCH(E92, '06_BANG_GIA_VAT_TU_AP_DUNG'!$B$1:$B$5000, 0)), 0)</f>
        <v/>
      </c>
      <c r="K92" s="13">
        <f>I92*J92</f>
        <v/>
      </c>
      <c r="L92" t="inlineStr">
        <is>
          <t>Kích thước vỏ 400x400x200mm</t>
        </is>
      </c>
    </row>
    <row r="93">
      <c r="A93" t="inlineStr">
        <is>
          <t>SW-DAMPER-010-BLADE</t>
        </is>
      </c>
      <c r="B93" t="inlineStr">
        <is>
          <t>SW-DAMPER-010</t>
        </is>
      </c>
      <c r="C93" t="inlineStr">
        <is>
          <t>Lá cánh / Tôn tấm bọc van (1 cánh)</t>
        </is>
      </c>
      <c r="D93" t="inlineStr">
        <is>
          <t>TÔN_CUỘN_MẠ_KẼM</t>
        </is>
      </c>
      <c r="E93" t="inlineStr">
        <is>
          <t>MAT-STEEL-PN-1.15</t>
        </is>
      </c>
      <c r="F93" t="inlineStr">
        <is>
          <t>kg</t>
        </is>
      </c>
      <c r="G93" s="17" t="n">
        <v>3.283098274056218</v>
      </c>
      <c r="H93" s="13">
        <f>'00_TONG_HOP_BAO_GIA'!G11</f>
        <v/>
      </c>
      <c r="I93" s="18">
        <f>G93*H93</f>
        <v/>
      </c>
      <c r="J93" s="13">
        <f>IFERROR(INDEX('06_BANG_GIA_VAT_TU_AP_DUNG'!$E$1:$E$5000, MATCH(E93, '06_BANG_GIA_VAT_TU_AP_DUNG'!$B$1:$B$5000, 0)), 0)</f>
        <v/>
      </c>
      <c r="K93" s="13">
        <f>I93*J93</f>
        <v/>
      </c>
      <c r="L93" t="inlineStr">
        <is>
          <t>Tôn bọc cánh &amp; thân (1 cánh/modul)</t>
        </is>
      </c>
    </row>
    <row r="94">
      <c r="A94" t="inlineStr">
        <is>
          <t>SW-DAMPER-010-AXLE</t>
        </is>
      </c>
      <c r="B94" t="inlineStr">
        <is>
          <t>SW-DAMPER-010</t>
        </is>
      </c>
      <c r="C94" t="inlineStr">
        <is>
          <t>Trục Sus 201 D10</t>
        </is>
      </c>
      <c r="D94" t="inlineStr">
        <is>
          <t>PHỤ_KIỆN_VAN</t>
        </is>
      </c>
      <c r="E94" t="inlineStr">
        <is>
          <t>MAT-DAMPER-TRUC-SUS-201-D10</t>
        </is>
      </c>
      <c r="F94" t="inlineStr">
        <is>
          <t>m</t>
        </is>
      </c>
      <c r="G94" s="17" t="n">
        <v>0.5227863493720094</v>
      </c>
      <c r="H94" s="13">
        <f>'00_TONG_HOP_BAO_GIA'!G11</f>
        <v/>
      </c>
      <c r="I94" s="18">
        <f>G94*H94</f>
        <v/>
      </c>
      <c r="J94" s="13">
        <f>IFERROR(INDEX('06_BANG_GIA_VAT_TU_AP_DUNG'!$E$1:$E$5000, MATCH(E94, '06_BANG_GIA_VAT_TU_AP_DUNG'!$B$1:$B$5000, 0)), 0)</f>
        <v/>
      </c>
      <c r="K94" s="13">
        <f>I94*J94</f>
        <v/>
      </c>
      <c r="L94" t="inlineStr">
        <is>
          <t>1 trục dài 460mm</t>
        </is>
      </c>
    </row>
    <row r="95">
      <c r="A95" t="inlineStr">
        <is>
          <t>SW-DAMPER-010-BEARING</t>
        </is>
      </c>
      <c r="B95" t="inlineStr">
        <is>
          <t>SW-DAMPER-010</t>
        </is>
      </c>
      <c r="C95" t="inlineStr">
        <is>
          <t>Bạc đồng D10</t>
        </is>
      </c>
      <c r="D95" t="inlineStr">
        <is>
          <t>PHỤ_KIỆN_VAN</t>
        </is>
      </c>
      <c r="E95" t="inlineStr">
        <is>
          <t>MAT-DAMPER-BAC-DONG-D10</t>
        </is>
      </c>
      <c r="F95" t="inlineStr">
        <is>
          <t>Đôi</t>
        </is>
      </c>
      <c r="G95" s="17" t="n">
        <v>1</v>
      </c>
      <c r="H95" s="13">
        <f>'00_TONG_HOP_BAO_GIA'!G11</f>
        <v/>
      </c>
      <c r="I95" s="18">
        <f>G95*H95</f>
        <v/>
      </c>
      <c r="J95" s="13">
        <f>IFERROR(INDEX('06_BANG_GIA_VAT_TU_AP_DUNG'!$E$1:$E$5000, MATCH(E95, '06_BANG_GIA_VAT_TU_AP_DUNG'!$B$1:$B$5000, 0)), 0)</f>
        <v/>
      </c>
      <c r="K95" s="13">
        <f>I95*J95</f>
        <v/>
      </c>
      <c r="L95" t="inlineStr">
        <is>
          <t>1 đôi bạc đỡ 2 bên thân</t>
        </is>
      </c>
    </row>
    <row r="96">
      <c r="A96" t="inlineStr">
        <is>
          <t>SW-DAMPER-010-FUSE</t>
        </is>
      </c>
      <c r="B96" t="inlineStr">
        <is>
          <t>SW-DAMPER-010</t>
        </is>
      </c>
      <c r="C96" t="inlineStr">
        <is>
          <t>Cầu chì nhiệt nóng chảy 70°C/74°C (Elsie/USA)</t>
        </is>
      </c>
      <c r="D96" t="inlineStr">
        <is>
          <t>PHỤ_KIỆN_VAN</t>
        </is>
      </c>
      <c r="E96" t="inlineStr">
        <is>
          <t>MAT-DAMPER-CAU-CHI-USA-2-400X400</t>
        </is>
      </c>
      <c r="F96" t="inlineStr">
        <is>
          <t>Cái</t>
        </is>
      </c>
      <c r="G96" s="17" t="n">
        <v>1</v>
      </c>
      <c r="H96" s="13">
        <f>'00_TONG_HOP_BAO_GIA'!G11</f>
        <v/>
      </c>
      <c r="I96" s="18">
        <f>G96*H96</f>
        <v/>
      </c>
      <c r="J96" s="13">
        <f>IFERROR(INDEX('06_BANG_GIA_VAT_TU_AP_DUNG'!$E$1:$E$5000, MATCH(E96, '06_BANG_GIA_VAT_TU_AP_DUNG'!$B$1:$B$5000, 0)), 0)</f>
        <v/>
      </c>
      <c r="K96" s="13">
        <f>I96*J96</f>
        <v/>
      </c>
      <c r="L96" t="inlineStr">
        <is>
          <t>Cầu chì kiểm định PCCC (1 cái)</t>
        </is>
      </c>
    </row>
    <row r="97">
      <c r="A97" t="inlineStr">
        <is>
          <t>SW-DAMPER-010-FB10-BODY</t>
        </is>
      </c>
      <c r="B97" t="inlineStr">
        <is>
          <t>SW-DAMPER-010</t>
        </is>
      </c>
      <c r="C97" t="inlineStr">
        <is>
          <t>Tấm chống cháy dày 10mm bọc thân van FD/MFD (2 lớp)</t>
        </is>
      </c>
      <c r="D97" t="inlineStr">
        <is>
          <t>VẬT_LIỆU_CÁCH_NHIỆT</t>
        </is>
      </c>
      <c r="E97" t="inlineStr">
        <is>
          <t>MAT-FIREBOARD-10MM-BODY</t>
        </is>
      </c>
      <c r="F97" t="inlineStr">
        <is>
          <t>m2</t>
        </is>
      </c>
      <c r="G97" s="17" t="n">
        <v>1.091032381298106</v>
      </c>
      <c r="H97" s="13">
        <f>'00_TONG_HOP_BAO_GIA'!G11</f>
        <v/>
      </c>
      <c r="I97" s="18">
        <f>G97*H97</f>
        <v/>
      </c>
      <c r="J97" s="13">
        <f>IFERROR(INDEX('06_BANG_GIA_VAT_TU_AP_DUNG'!$E$1:$E$5000, MATCH(E97, '06_BANG_GIA_VAT_TU_AP_DUNG'!$B$1:$B$5000, 0)), 0)</f>
        <v/>
      </c>
      <c r="K97" s="13">
        <f>I97*J97</f>
        <v/>
      </c>
      <c r="L97" t="inlineStr">
        <is>
          <t>Bọc 2 lớp tấm 10mm quanh thân L=300mm</t>
        </is>
      </c>
    </row>
    <row r="98">
      <c r="A98" t="inlineStr">
        <is>
          <t>SW-DAMPER-010-FB20-BLADE</t>
        </is>
      </c>
      <c r="B98" t="inlineStr">
        <is>
          <t>SW-DAMPER-010</t>
        </is>
      </c>
      <c r="C98" t="inlineStr">
        <is>
          <t>Tấm chống cháy dày 20mm làm lõi cánh van FD/MFD</t>
        </is>
      </c>
      <c r="D98" t="inlineStr">
        <is>
          <t>VẬT_LIỆU_CÁCH_NHIỆT</t>
        </is>
      </c>
      <c r="E98" t="inlineStr">
        <is>
          <t>MAT-FIREBOARD-20MM-BLADE</t>
        </is>
      </c>
      <c r="F98" t="inlineStr">
        <is>
          <t>m2</t>
        </is>
      </c>
      <c r="G98" s="17" t="n">
        <v>0.1818387302163511</v>
      </c>
      <c r="H98" s="13">
        <f>'00_TONG_HOP_BAO_GIA'!G11</f>
        <v/>
      </c>
      <c r="I98" s="18">
        <f>G98*H98</f>
        <v/>
      </c>
      <c r="J98" s="13">
        <f>IFERROR(INDEX('06_BANG_GIA_VAT_TU_AP_DUNG'!$E$1:$E$5000, MATCH(E98, '06_BANG_GIA_VAT_TU_AP_DUNG'!$B$1:$B$5000, 0)), 0)</f>
        <v/>
      </c>
      <c r="K98" s="13">
        <f>I98*J98</f>
        <v/>
      </c>
      <c r="L98" t="inlineStr">
        <is>
          <t>Lõi cánh tấm 20mm (Cánh đơn 400x400mm)</t>
        </is>
      </c>
    </row>
    <row r="99">
      <c r="A99" t="inlineStr">
        <is>
          <t>SW-DAMPER-010-FB10-BLADE</t>
        </is>
      </c>
      <c r="B99" t="inlineStr">
        <is>
          <t>SW-DAMPER-010</t>
        </is>
      </c>
      <c r="C99" t="inlineStr">
        <is>
          <t>Tấm chống cháy dày 10mm ốp 2 mặt cánh van FD/MFD</t>
        </is>
      </c>
      <c r="D99" t="inlineStr">
        <is>
          <t>VẬT_LIỆU_CÁCH_NHIỆT</t>
        </is>
      </c>
      <c r="E99" t="inlineStr">
        <is>
          <t>MAT-FIREBOARD-10MM-BLADE</t>
        </is>
      </c>
      <c r="F99" t="inlineStr">
        <is>
          <t>m2</t>
        </is>
      </c>
      <c r="G99" s="17" t="n">
        <v>0.3636774604327022</v>
      </c>
      <c r="H99" s="13">
        <f>'00_TONG_HOP_BAO_GIA'!G11</f>
        <v/>
      </c>
      <c r="I99" s="18">
        <f>G99*H99</f>
        <v/>
      </c>
      <c r="J99" s="13">
        <f>IFERROR(INDEX('06_BANG_GIA_VAT_TU_AP_DUNG'!$E$1:$E$5000, MATCH(E99, '06_BANG_GIA_VAT_TU_AP_DUNG'!$B$1:$B$5000, 0)), 0)</f>
        <v/>
      </c>
      <c r="K99" s="13">
        <f>I99*J99</f>
        <v/>
      </c>
      <c r="L99" t="inlineStr">
        <is>
          <t>Ốp 2 mặt cánh tấm 10mm (Cánh đơn 400x400mm)</t>
        </is>
      </c>
    </row>
    <row r="100">
      <c r="A100" t="inlineStr">
        <is>
          <t>SW-DAMPER-010-SPRING-BOX</t>
        </is>
      </c>
      <c r="B100" t="inlineStr">
        <is>
          <t>SW-DAMPER-010</t>
        </is>
      </c>
      <c r="C100" t="inlineStr">
        <is>
          <t>Hộp lò xo van chặn lửa FD/MFD</t>
        </is>
      </c>
      <c r="D100" t="inlineStr">
        <is>
          <t>PHỤ_KIỆN_VAN</t>
        </is>
      </c>
      <c r="E100" t="inlineStr">
        <is>
          <t>MAT-DAMPER-HOP-LO-XO</t>
        </is>
      </c>
      <c r="F100" t="inlineStr">
        <is>
          <t>Bộ</t>
        </is>
      </c>
      <c r="G100" s="17" t="n">
        <v>1</v>
      </c>
      <c r="H100" s="13">
        <f>'00_TONG_HOP_BAO_GIA'!G11</f>
        <v/>
      </c>
      <c r="I100" s="18">
        <f>G100*H100</f>
        <v/>
      </c>
      <c r="J100" s="13">
        <f>IFERROR(INDEX('06_BANG_GIA_VAT_TU_AP_DUNG'!$E$1:$E$5000, MATCH(E100, '06_BANG_GIA_VAT_TU_AP_DUNG'!$B$1:$B$5000, 0)), 0)</f>
        <v/>
      </c>
      <c r="K100" s="13">
        <f>I100*J100</f>
        <v/>
      </c>
      <c r="L100" t="inlineStr">
        <is>
          <t>Hộp lò xo cơ cấu đóng sập (1 bộ)</t>
        </is>
      </c>
    </row>
    <row r="101">
      <c r="A101" t="inlineStr">
        <is>
          <t>SW-DAMPER-010-SILICON-BOLT</t>
        </is>
      </c>
      <c r="B101" t="inlineStr">
        <is>
          <t>SW-DAMPER-010</t>
        </is>
      </c>
      <c r="C101" t="inlineStr">
        <is>
          <t>Silicon chống cháy + bu lông, ốc vít van FD/MFD</t>
        </is>
      </c>
      <c r="D101" t="inlineStr">
        <is>
          <t>PHỤ_KIỆN_VAN</t>
        </is>
      </c>
      <c r="E101" t="inlineStr">
        <is>
          <t>MAT-DAMPER-SILICON-BULONG-VIT</t>
        </is>
      </c>
      <c r="F101" t="inlineStr">
        <is>
          <t>Bộ</t>
        </is>
      </c>
      <c r="G101" s="17" t="n">
        <v>1</v>
      </c>
      <c r="H101" s="13">
        <f>'00_TONG_HOP_BAO_GIA'!G11</f>
        <v/>
      </c>
      <c r="I101" s="18">
        <f>G101*H101</f>
        <v/>
      </c>
      <c r="J101" s="13">
        <f>IFERROR(INDEX('06_BANG_GIA_VAT_TU_AP_DUNG'!$E$1:$E$5000, MATCH(E101, '06_BANG_GIA_VAT_TU_AP_DUNG'!$B$1:$B$5000, 0)), 0)</f>
        <v/>
      </c>
      <c r="K101" s="13">
        <f>I101*J101</f>
        <v/>
      </c>
      <c r="L101" t="inlineStr">
        <is>
          <t>Keo silicon chống cháy &amp; phụ kiện lắp ghép (1 bộ)</t>
        </is>
      </c>
    </row>
    <row r="102">
      <c r="A102" t="inlineStr">
        <is>
          <t>SW-DAMPER-011-BODY</t>
        </is>
      </c>
      <c r="B102" t="inlineStr">
        <is>
          <t>SW-DAMPER-011</t>
        </is>
      </c>
      <c r="C102" t="inlineStr">
        <is>
          <t>Thân vỏ van FD bích C30/TDF (1.15mm)</t>
        </is>
      </c>
      <c r="D102" t="inlineStr">
        <is>
          <t>TÔN_CUỘN_MẠ_KẼM</t>
        </is>
      </c>
      <c r="E102" t="inlineStr">
        <is>
          <t>MAT-STEEL-PN-1.15</t>
        </is>
      </c>
      <c r="F102" t="inlineStr">
        <is>
          <t>kg</t>
        </is>
      </c>
      <c r="G102" s="17" t="n">
        <v>4.770136598561558</v>
      </c>
      <c r="H102" s="13">
        <f>'00_TONG_HOP_BAO_GIA'!G12</f>
        <v/>
      </c>
      <c r="I102" s="18">
        <f>G102*H102</f>
        <v/>
      </c>
      <c r="J102" s="13">
        <f>IFERROR(INDEX('06_BANG_GIA_VAT_TU_AP_DUNG'!$E$1:$E$5000, MATCH(E102, '06_BANG_GIA_VAT_TU_AP_DUNG'!$B$1:$B$5000, 0)), 0)</f>
        <v/>
      </c>
      <c r="K102" s="13">
        <f>I102*J102</f>
        <v/>
      </c>
      <c r="L102" t="inlineStr">
        <is>
          <t>Kích thước vỏ 400x400x200mm</t>
        </is>
      </c>
    </row>
    <row r="103">
      <c r="A103" t="inlineStr">
        <is>
          <t>SW-DAMPER-011-BLADE</t>
        </is>
      </c>
      <c r="B103" t="inlineStr">
        <is>
          <t>SW-DAMPER-011</t>
        </is>
      </c>
      <c r="C103" t="inlineStr">
        <is>
          <t>Lá cánh / Tôn tấm bọc van (1 cánh)</t>
        </is>
      </c>
      <c r="D103" t="inlineStr">
        <is>
          <t>TÔN_CUỘN_MẠ_KẼM</t>
        </is>
      </c>
      <c r="E103" t="inlineStr">
        <is>
          <t>MAT-STEEL-PN-1.15</t>
        </is>
      </c>
      <c r="F103" t="inlineStr">
        <is>
          <t>kg</t>
        </is>
      </c>
      <c r="G103" s="17" t="n">
        <v>3.283098274056218</v>
      </c>
      <c r="H103" s="13">
        <f>'00_TONG_HOP_BAO_GIA'!G12</f>
        <v/>
      </c>
      <c r="I103" s="18">
        <f>G103*H103</f>
        <v/>
      </c>
      <c r="J103" s="13">
        <f>IFERROR(INDEX('06_BANG_GIA_VAT_TU_AP_DUNG'!$E$1:$E$5000, MATCH(E103, '06_BANG_GIA_VAT_TU_AP_DUNG'!$B$1:$B$5000, 0)), 0)</f>
        <v/>
      </c>
      <c r="K103" s="13">
        <f>I103*J103</f>
        <v/>
      </c>
      <c r="L103" t="inlineStr">
        <is>
          <t>Tôn bọc cánh &amp; thân (1 cánh/modul)</t>
        </is>
      </c>
    </row>
    <row r="104">
      <c r="A104" t="inlineStr">
        <is>
          <t>SW-DAMPER-011-AXLE</t>
        </is>
      </c>
      <c r="B104" t="inlineStr">
        <is>
          <t>SW-DAMPER-011</t>
        </is>
      </c>
      <c r="C104" t="inlineStr">
        <is>
          <t>Trục Sus 201 D10</t>
        </is>
      </c>
      <c r="D104" t="inlineStr">
        <is>
          <t>PHỤ_KIỆN_VAN</t>
        </is>
      </c>
      <c r="E104" t="inlineStr">
        <is>
          <t>MAT-DAMPER-TRUC-SUS-201-D10</t>
        </is>
      </c>
      <c r="F104" t="inlineStr">
        <is>
          <t>m</t>
        </is>
      </c>
      <c r="G104" s="17" t="n">
        <v>0.5227863493720094</v>
      </c>
      <c r="H104" s="13">
        <f>'00_TONG_HOP_BAO_GIA'!G12</f>
        <v/>
      </c>
      <c r="I104" s="18">
        <f>G104*H104</f>
        <v/>
      </c>
      <c r="J104" s="13">
        <f>IFERROR(INDEX('06_BANG_GIA_VAT_TU_AP_DUNG'!$E$1:$E$5000, MATCH(E104, '06_BANG_GIA_VAT_TU_AP_DUNG'!$B$1:$B$5000, 0)), 0)</f>
        <v/>
      </c>
      <c r="K104" s="13">
        <f>I104*J104</f>
        <v/>
      </c>
      <c r="L104" t="inlineStr">
        <is>
          <t>1 trục dài 460mm</t>
        </is>
      </c>
    </row>
    <row r="105">
      <c r="A105" t="inlineStr">
        <is>
          <t>SW-DAMPER-011-BEARING</t>
        </is>
      </c>
      <c r="B105" t="inlineStr">
        <is>
          <t>SW-DAMPER-011</t>
        </is>
      </c>
      <c r="C105" t="inlineStr">
        <is>
          <t>Bạc đồng D10</t>
        </is>
      </c>
      <c r="D105" t="inlineStr">
        <is>
          <t>PHỤ_KIỆN_VAN</t>
        </is>
      </c>
      <c r="E105" t="inlineStr">
        <is>
          <t>MAT-DAMPER-BAC-DONG-D10</t>
        </is>
      </c>
      <c r="F105" t="inlineStr">
        <is>
          <t>Đôi</t>
        </is>
      </c>
      <c r="G105" s="17" t="n">
        <v>1</v>
      </c>
      <c r="H105" s="13">
        <f>'00_TONG_HOP_BAO_GIA'!G12</f>
        <v/>
      </c>
      <c r="I105" s="18">
        <f>G105*H105</f>
        <v/>
      </c>
      <c r="J105" s="13">
        <f>IFERROR(INDEX('06_BANG_GIA_VAT_TU_AP_DUNG'!$E$1:$E$5000, MATCH(E105, '06_BANG_GIA_VAT_TU_AP_DUNG'!$B$1:$B$5000, 0)), 0)</f>
        <v/>
      </c>
      <c r="K105" s="13">
        <f>I105*J105</f>
        <v/>
      </c>
      <c r="L105" t="inlineStr">
        <is>
          <t>1 đôi bạc đỡ 2 bên thân</t>
        </is>
      </c>
    </row>
    <row r="106">
      <c r="A106" t="inlineStr">
        <is>
          <t>SW-DAMPER-011-FUSE</t>
        </is>
      </c>
      <c r="B106" t="inlineStr">
        <is>
          <t>SW-DAMPER-011</t>
        </is>
      </c>
      <c r="C106" t="inlineStr">
        <is>
          <t>Cầu chì nhiệt nóng chảy 70°C/74°C (Elsie/USA)</t>
        </is>
      </c>
      <c r="D106" t="inlineStr">
        <is>
          <t>PHỤ_KIỆN_VAN</t>
        </is>
      </c>
      <c r="E106" t="inlineStr">
        <is>
          <t>MAT-DAMPER-CAU-CHI-USA-2-400X400</t>
        </is>
      </c>
      <c r="F106" t="inlineStr">
        <is>
          <t>Cái</t>
        </is>
      </c>
      <c r="G106" s="17" t="n">
        <v>1</v>
      </c>
      <c r="H106" s="13">
        <f>'00_TONG_HOP_BAO_GIA'!G12</f>
        <v/>
      </c>
      <c r="I106" s="18">
        <f>G106*H106</f>
        <v/>
      </c>
      <c r="J106" s="13">
        <f>IFERROR(INDEX('06_BANG_GIA_VAT_TU_AP_DUNG'!$E$1:$E$5000, MATCH(E106, '06_BANG_GIA_VAT_TU_AP_DUNG'!$B$1:$B$5000, 0)), 0)</f>
        <v/>
      </c>
      <c r="K106" s="13">
        <f>I106*J106</f>
        <v/>
      </c>
      <c r="L106" t="inlineStr">
        <is>
          <t>Cầu chì kiểm định PCCC (1 cái)</t>
        </is>
      </c>
    </row>
    <row r="107">
      <c r="A107" t="inlineStr">
        <is>
          <t>SW-DAMPER-011-FB10-BODY</t>
        </is>
      </c>
      <c r="B107" t="inlineStr">
        <is>
          <t>SW-DAMPER-011</t>
        </is>
      </c>
      <c r="C107" t="inlineStr">
        <is>
          <t>Tấm chống cháy dày 10mm bọc thân van FD/MFD (2 lớp)</t>
        </is>
      </c>
      <c r="D107" t="inlineStr">
        <is>
          <t>VẬT_LIỆU_CÁCH_NHIỆT</t>
        </is>
      </c>
      <c r="E107" t="inlineStr">
        <is>
          <t>MAT-FIREBOARD-10MM-BODY</t>
        </is>
      </c>
      <c r="F107" t="inlineStr">
        <is>
          <t>m2</t>
        </is>
      </c>
      <c r="G107" s="17" t="n">
        <v>1.091032381298106</v>
      </c>
      <c r="H107" s="13">
        <f>'00_TONG_HOP_BAO_GIA'!G12</f>
        <v/>
      </c>
      <c r="I107" s="18">
        <f>G107*H107</f>
        <v/>
      </c>
      <c r="J107" s="13">
        <f>IFERROR(INDEX('06_BANG_GIA_VAT_TU_AP_DUNG'!$E$1:$E$5000, MATCH(E107, '06_BANG_GIA_VAT_TU_AP_DUNG'!$B$1:$B$5000, 0)), 0)</f>
        <v/>
      </c>
      <c r="K107" s="13">
        <f>I107*J107</f>
        <v/>
      </c>
      <c r="L107" t="inlineStr">
        <is>
          <t>Bọc 2 lớp tấm 10mm quanh thân L=300mm</t>
        </is>
      </c>
    </row>
    <row r="108">
      <c r="A108" t="inlineStr">
        <is>
          <t>SW-DAMPER-011-FB20-BLADE</t>
        </is>
      </c>
      <c r="B108" t="inlineStr">
        <is>
          <t>SW-DAMPER-011</t>
        </is>
      </c>
      <c r="C108" t="inlineStr">
        <is>
          <t>Tấm chống cháy dày 20mm làm lõi cánh van FD/MFD</t>
        </is>
      </c>
      <c r="D108" t="inlineStr">
        <is>
          <t>VẬT_LIỆU_CÁCH_NHIỆT</t>
        </is>
      </c>
      <c r="E108" t="inlineStr">
        <is>
          <t>MAT-FIREBOARD-20MM-BLADE</t>
        </is>
      </c>
      <c r="F108" t="inlineStr">
        <is>
          <t>m2</t>
        </is>
      </c>
      <c r="G108" s="17" t="n">
        <v>0.1818387302163511</v>
      </c>
      <c r="H108" s="13">
        <f>'00_TONG_HOP_BAO_GIA'!G12</f>
        <v/>
      </c>
      <c r="I108" s="18">
        <f>G108*H108</f>
        <v/>
      </c>
      <c r="J108" s="13">
        <f>IFERROR(INDEX('06_BANG_GIA_VAT_TU_AP_DUNG'!$E$1:$E$5000, MATCH(E108, '06_BANG_GIA_VAT_TU_AP_DUNG'!$B$1:$B$5000, 0)), 0)</f>
        <v/>
      </c>
      <c r="K108" s="13">
        <f>I108*J108</f>
        <v/>
      </c>
      <c r="L108" t="inlineStr">
        <is>
          <t>Lõi cánh tấm 20mm (Cánh đơn 400x400mm)</t>
        </is>
      </c>
    </row>
    <row r="109">
      <c r="A109" t="inlineStr">
        <is>
          <t>SW-DAMPER-011-FB10-BLADE</t>
        </is>
      </c>
      <c r="B109" t="inlineStr">
        <is>
          <t>SW-DAMPER-011</t>
        </is>
      </c>
      <c r="C109" t="inlineStr">
        <is>
          <t>Tấm chống cháy dày 10mm ốp 2 mặt cánh van FD/MFD</t>
        </is>
      </c>
      <c r="D109" t="inlineStr">
        <is>
          <t>VẬT_LIỆU_CÁCH_NHIỆT</t>
        </is>
      </c>
      <c r="E109" t="inlineStr">
        <is>
          <t>MAT-FIREBOARD-10MM-BLADE</t>
        </is>
      </c>
      <c r="F109" t="inlineStr">
        <is>
          <t>m2</t>
        </is>
      </c>
      <c r="G109" s="17" t="n">
        <v>0.3636774604327022</v>
      </c>
      <c r="H109" s="13">
        <f>'00_TONG_HOP_BAO_GIA'!G12</f>
        <v/>
      </c>
      <c r="I109" s="18">
        <f>G109*H109</f>
        <v/>
      </c>
      <c r="J109" s="13">
        <f>IFERROR(INDEX('06_BANG_GIA_VAT_TU_AP_DUNG'!$E$1:$E$5000, MATCH(E109, '06_BANG_GIA_VAT_TU_AP_DUNG'!$B$1:$B$5000, 0)), 0)</f>
        <v/>
      </c>
      <c r="K109" s="13">
        <f>I109*J109</f>
        <v/>
      </c>
      <c r="L109" t="inlineStr">
        <is>
          <t>Ốp 2 mặt cánh tấm 10mm (Cánh đơn 400x400mm)</t>
        </is>
      </c>
    </row>
    <row r="110">
      <c r="A110" t="inlineStr">
        <is>
          <t>SW-DAMPER-011-SPRING-BOX</t>
        </is>
      </c>
      <c r="B110" t="inlineStr">
        <is>
          <t>SW-DAMPER-011</t>
        </is>
      </c>
      <c r="C110" t="inlineStr">
        <is>
          <t>Hộp lò xo van chặn lửa FD/MFD</t>
        </is>
      </c>
      <c r="D110" t="inlineStr">
        <is>
          <t>PHỤ_KIỆN_VAN</t>
        </is>
      </c>
      <c r="E110" t="inlineStr">
        <is>
          <t>MAT-DAMPER-HOP-LO-XO</t>
        </is>
      </c>
      <c r="F110" t="inlineStr">
        <is>
          <t>Bộ</t>
        </is>
      </c>
      <c r="G110" s="17" t="n">
        <v>1</v>
      </c>
      <c r="H110" s="13">
        <f>'00_TONG_HOP_BAO_GIA'!G12</f>
        <v/>
      </c>
      <c r="I110" s="18">
        <f>G110*H110</f>
        <v/>
      </c>
      <c r="J110" s="13">
        <f>IFERROR(INDEX('06_BANG_GIA_VAT_TU_AP_DUNG'!$E$1:$E$5000, MATCH(E110, '06_BANG_GIA_VAT_TU_AP_DUNG'!$B$1:$B$5000, 0)), 0)</f>
        <v/>
      </c>
      <c r="K110" s="13">
        <f>I110*J110</f>
        <v/>
      </c>
      <c r="L110" t="inlineStr">
        <is>
          <t>Hộp lò xo cơ cấu đóng sập (1 bộ)</t>
        </is>
      </c>
    </row>
    <row r="111">
      <c r="A111" t="inlineStr">
        <is>
          <t>SW-DAMPER-011-SILICON-BOLT</t>
        </is>
      </c>
      <c r="B111" t="inlineStr">
        <is>
          <t>SW-DAMPER-011</t>
        </is>
      </c>
      <c r="C111" t="inlineStr">
        <is>
          <t>Silicon chống cháy + bu lông, ốc vít van FD/MFD</t>
        </is>
      </c>
      <c r="D111" t="inlineStr">
        <is>
          <t>PHỤ_KIỆN_VAN</t>
        </is>
      </c>
      <c r="E111" t="inlineStr">
        <is>
          <t>MAT-DAMPER-SILICON-BULONG-VIT</t>
        </is>
      </c>
      <c r="F111" t="inlineStr">
        <is>
          <t>Bộ</t>
        </is>
      </c>
      <c r="G111" s="17" t="n">
        <v>1</v>
      </c>
      <c r="H111" s="13">
        <f>'00_TONG_HOP_BAO_GIA'!G12</f>
        <v/>
      </c>
      <c r="I111" s="18">
        <f>G111*H111</f>
        <v/>
      </c>
      <c r="J111" s="13">
        <f>IFERROR(INDEX('06_BANG_GIA_VAT_TU_AP_DUNG'!$E$1:$E$5000, MATCH(E111, '06_BANG_GIA_VAT_TU_AP_DUNG'!$B$1:$B$5000, 0)), 0)</f>
        <v/>
      </c>
      <c r="K111" s="13">
        <f>I111*J111</f>
        <v/>
      </c>
      <c r="L111" t="inlineStr">
        <is>
          <t>Keo silicon chống cháy &amp; phụ kiện lắp ghép (1 bộ)</t>
        </is>
      </c>
    </row>
    <row r="112">
      <c r="A112" t="inlineStr">
        <is>
          <t>SW-DAMPER-012-BODY</t>
        </is>
      </c>
      <c r="B112" t="inlineStr">
        <is>
          <t>SW-DAMPER-012</t>
        </is>
      </c>
      <c r="C112" t="inlineStr">
        <is>
          <t>Thân vỏ van FD bích C30/TDF (1.15mm)</t>
        </is>
      </c>
      <c r="D112" t="inlineStr">
        <is>
          <t>TÔN_CUỘN_MẠ_KẼM</t>
        </is>
      </c>
      <c r="E112" t="inlineStr">
        <is>
          <t>MAT-STEEL-PN-1.15</t>
        </is>
      </c>
      <c r="F112" t="inlineStr">
        <is>
          <t>kg</t>
        </is>
      </c>
      <c r="G112" s="17" t="n">
        <v>4.770136598561558</v>
      </c>
      <c r="H112" s="13">
        <f>'00_TONG_HOP_BAO_GIA'!G13</f>
        <v/>
      </c>
      <c r="I112" s="18">
        <f>G112*H112</f>
        <v/>
      </c>
      <c r="J112" s="13">
        <f>IFERROR(INDEX('06_BANG_GIA_VAT_TU_AP_DUNG'!$E$1:$E$5000, MATCH(E112, '06_BANG_GIA_VAT_TU_AP_DUNG'!$B$1:$B$5000, 0)), 0)</f>
        <v/>
      </c>
      <c r="K112" s="13">
        <f>I112*J112</f>
        <v/>
      </c>
      <c r="L112" t="inlineStr">
        <is>
          <t>Kích thước vỏ 400x400x200mm</t>
        </is>
      </c>
    </row>
    <row r="113">
      <c r="A113" t="inlineStr">
        <is>
          <t>SW-DAMPER-012-BLADE</t>
        </is>
      </c>
      <c r="B113" t="inlineStr">
        <is>
          <t>SW-DAMPER-012</t>
        </is>
      </c>
      <c r="C113" t="inlineStr">
        <is>
          <t>Lá cánh / Tôn tấm bọc van (1 cánh)</t>
        </is>
      </c>
      <c r="D113" t="inlineStr">
        <is>
          <t>TÔN_CUỘN_MẠ_KẼM</t>
        </is>
      </c>
      <c r="E113" t="inlineStr">
        <is>
          <t>MAT-STEEL-PN-1.15</t>
        </is>
      </c>
      <c r="F113" t="inlineStr">
        <is>
          <t>kg</t>
        </is>
      </c>
      <c r="G113" s="17" t="n">
        <v>3.283098274056218</v>
      </c>
      <c r="H113" s="13">
        <f>'00_TONG_HOP_BAO_GIA'!G13</f>
        <v/>
      </c>
      <c r="I113" s="18">
        <f>G113*H113</f>
        <v/>
      </c>
      <c r="J113" s="13">
        <f>IFERROR(INDEX('06_BANG_GIA_VAT_TU_AP_DUNG'!$E$1:$E$5000, MATCH(E113, '06_BANG_GIA_VAT_TU_AP_DUNG'!$B$1:$B$5000, 0)), 0)</f>
        <v/>
      </c>
      <c r="K113" s="13">
        <f>I113*J113</f>
        <v/>
      </c>
      <c r="L113" t="inlineStr">
        <is>
          <t>Tôn bọc cánh &amp; thân (1 cánh/modul)</t>
        </is>
      </c>
    </row>
    <row r="114">
      <c r="A114" t="inlineStr">
        <is>
          <t>SW-DAMPER-012-AXLE</t>
        </is>
      </c>
      <c r="B114" t="inlineStr">
        <is>
          <t>SW-DAMPER-012</t>
        </is>
      </c>
      <c r="C114" t="inlineStr">
        <is>
          <t>Trục Sus 201 D10</t>
        </is>
      </c>
      <c r="D114" t="inlineStr">
        <is>
          <t>PHỤ_KIỆN_VAN</t>
        </is>
      </c>
      <c r="E114" t="inlineStr">
        <is>
          <t>MAT-DAMPER-TRUC-SUS-201-D10</t>
        </is>
      </c>
      <c r="F114" t="inlineStr">
        <is>
          <t>m</t>
        </is>
      </c>
      <c r="G114" s="17" t="n">
        <v>0.5227863493720094</v>
      </c>
      <c r="H114" s="13">
        <f>'00_TONG_HOP_BAO_GIA'!G13</f>
        <v/>
      </c>
      <c r="I114" s="18">
        <f>G114*H114</f>
        <v/>
      </c>
      <c r="J114" s="13">
        <f>IFERROR(INDEX('06_BANG_GIA_VAT_TU_AP_DUNG'!$E$1:$E$5000, MATCH(E114, '06_BANG_GIA_VAT_TU_AP_DUNG'!$B$1:$B$5000, 0)), 0)</f>
        <v/>
      </c>
      <c r="K114" s="13">
        <f>I114*J114</f>
        <v/>
      </c>
      <c r="L114" t="inlineStr">
        <is>
          <t>1 trục dài 460mm</t>
        </is>
      </c>
    </row>
    <row r="115">
      <c r="A115" t="inlineStr">
        <is>
          <t>SW-DAMPER-012-BEARING</t>
        </is>
      </c>
      <c r="B115" t="inlineStr">
        <is>
          <t>SW-DAMPER-012</t>
        </is>
      </c>
      <c r="C115" t="inlineStr">
        <is>
          <t>Bạc đồng D10</t>
        </is>
      </c>
      <c r="D115" t="inlineStr">
        <is>
          <t>PHỤ_KIỆN_VAN</t>
        </is>
      </c>
      <c r="E115" t="inlineStr">
        <is>
          <t>MAT-DAMPER-BAC-DONG-D10</t>
        </is>
      </c>
      <c r="F115" t="inlineStr">
        <is>
          <t>Đôi</t>
        </is>
      </c>
      <c r="G115" s="17" t="n">
        <v>1</v>
      </c>
      <c r="H115" s="13">
        <f>'00_TONG_HOP_BAO_GIA'!G13</f>
        <v/>
      </c>
      <c r="I115" s="18">
        <f>G115*H115</f>
        <v/>
      </c>
      <c r="J115" s="13">
        <f>IFERROR(INDEX('06_BANG_GIA_VAT_TU_AP_DUNG'!$E$1:$E$5000, MATCH(E115, '06_BANG_GIA_VAT_TU_AP_DUNG'!$B$1:$B$5000, 0)), 0)</f>
        <v/>
      </c>
      <c r="K115" s="13">
        <f>I115*J115</f>
        <v/>
      </c>
      <c r="L115" t="inlineStr">
        <is>
          <t>1 đôi bạc đỡ 2 bên thân</t>
        </is>
      </c>
    </row>
    <row r="116">
      <c r="A116" t="inlineStr">
        <is>
          <t>SW-DAMPER-012-FUSE</t>
        </is>
      </c>
      <c r="B116" t="inlineStr">
        <is>
          <t>SW-DAMPER-012</t>
        </is>
      </c>
      <c r="C116" t="inlineStr">
        <is>
          <t>Cầu chì nhiệt nóng chảy 70°C/74°C (Elsie/USA)</t>
        </is>
      </c>
      <c r="D116" t="inlineStr">
        <is>
          <t>PHỤ_KIỆN_VAN</t>
        </is>
      </c>
      <c r="E116" t="inlineStr">
        <is>
          <t>MAT-DAMPER-CAU-CHI-USA-2-400X400</t>
        </is>
      </c>
      <c r="F116" t="inlineStr">
        <is>
          <t>Cái</t>
        </is>
      </c>
      <c r="G116" s="17" t="n">
        <v>1</v>
      </c>
      <c r="H116" s="13">
        <f>'00_TONG_HOP_BAO_GIA'!G13</f>
        <v/>
      </c>
      <c r="I116" s="18">
        <f>G116*H116</f>
        <v/>
      </c>
      <c r="J116" s="13">
        <f>IFERROR(INDEX('06_BANG_GIA_VAT_TU_AP_DUNG'!$E$1:$E$5000, MATCH(E116, '06_BANG_GIA_VAT_TU_AP_DUNG'!$B$1:$B$5000, 0)), 0)</f>
        <v/>
      </c>
      <c r="K116" s="13">
        <f>I116*J116</f>
        <v/>
      </c>
      <c r="L116" t="inlineStr">
        <is>
          <t>Cầu chì kiểm định PCCC (1 cái)</t>
        </is>
      </c>
    </row>
    <row r="117">
      <c r="A117" t="inlineStr">
        <is>
          <t>SW-DAMPER-012-FB10-BODY</t>
        </is>
      </c>
      <c r="B117" t="inlineStr">
        <is>
          <t>SW-DAMPER-012</t>
        </is>
      </c>
      <c r="C117" t="inlineStr">
        <is>
          <t>Tấm chống cháy dày 10mm bọc thân van FD/MFD (2 lớp)</t>
        </is>
      </c>
      <c r="D117" t="inlineStr">
        <is>
          <t>VẬT_LIỆU_CÁCH_NHIỆT</t>
        </is>
      </c>
      <c r="E117" t="inlineStr">
        <is>
          <t>MAT-FIREBOARD-10MM-BODY</t>
        </is>
      </c>
      <c r="F117" t="inlineStr">
        <is>
          <t>m2</t>
        </is>
      </c>
      <c r="G117" s="17" t="n">
        <v>1.091032381298106</v>
      </c>
      <c r="H117" s="13">
        <f>'00_TONG_HOP_BAO_GIA'!G13</f>
        <v/>
      </c>
      <c r="I117" s="18">
        <f>G117*H117</f>
        <v/>
      </c>
      <c r="J117" s="13">
        <f>IFERROR(INDEX('06_BANG_GIA_VAT_TU_AP_DUNG'!$E$1:$E$5000, MATCH(E117, '06_BANG_GIA_VAT_TU_AP_DUNG'!$B$1:$B$5000, 0)), 0)</f>
        <v/>
      </c>
      <c r="K117" s="13">
        <f>I117*J117</f>
        <v/>
      </c>
      <c r="L117" t="inlineStr">
        <is>
          <t>Bọc 2 lớp tấm 10mm quanh thân L=300mm</t>
        </is>
      </c>
    </row>
    <row r="118">
      <c r="A118" t="inlineStr">
        <is>
          <t>SW-DAMPER-012-FB20-BLADE</t>
        </is>
      </c>
      <c r="B118" t="inlineStr">
        <is>
          <t>SW-DAMPER-012</t>
        </is>
      </c>
      <c r="C118" t="inlineStr">
        <is>
          <t>Tấm chống cháy dày 20mm làm lõi cánh van FD/MFD</t>
        </is>
      </c>
      <c r="D118" t="inlineStr">
        <is>
          <t>VẬT_LIỆU_CÁCH_NHIỆT</t>
        </is>
      </c>
      <c r="E118" t="inlineStr">
        <is>
          <t>MAT-FIREBOARD-20MM-BLADE</t>
        </is>
      </c>
      <c r="F118" t="inlineStr">
        <is>
          <t>m2</t>
        </is>
      </c>
      <c r="G118" s="17" t="n">
        <v>0.1818387302163511</v>
      </c>
      <c r="H118" s="13">
        <f>'00_TONG_HOP_BAO_GIA'!G13</f>
        <v/>
      </c>
      <c r="I118" s="18">
        <f>G118*H118</f>
        <v/>
      </c>
      <c r="J118" s="13">
        <f>IFERROR(INDEX('06_BANG_GIA_VAT_TU_AP_DUNG'!$E$1:$E$5000, MATCH(E118, '06_BANG_GIA_VAT_TU_AP_DUNG'!$B$1:$B$5000, 0)), 0)</f>
        <v/>
      </c>
      <c r="K118" s="13">
        <f>I118*J118</f>
        <v/>
      </c>
      <c r="L118" t="inlineStr">
        <is>
          <t>Lõi cánh tấm 20mm (Cánh đơn 400x400mm)</t>
        </is>
      </c>
    </row>
    <row r="119">
      <c r="A119" t="inlineStr">
        <is>
          <t>SW-DAMPER-012-FB10-BLADE</t>
        </is>
      </c>
      <c r="B119" t="inlineStr">
        <is>
          <t>SW-DAMPER-012</t>
        </is>
      </c>
      <c r="C119" t="inlineStr">
        <is>
          <t>Tấm chống cháy dày 10mm ốp 2 mặt cánh van FD/MFD</t>
        </is>
      </c>
      <c r="D119" t="inlineStr">
        <is>
          <t>VẬT_LIỆU_CÁCH_NHIỆT</t>
        </is>
      </c>
      <c r="E119" t="inlineStr">
        <is>
          <t>MAT-FIREBOARD-10MM-BLADE</t>
        </is>
      </c>
      <c r="F119" t="inlineStr">
        <is>
          <t>m2</t>
        </is>
      </c>
      <c r="G119" s="17" t="n">
        <v>0.3636774604327022</v>
      </c>
      <c r="H119" s="13">
        <f>'00_TONG_HOP_BAO_GIA'!G13</f>
        <v/>
      </c>
      <c r="I119" s="18">
        <f>G119*H119</f>
        <v/>
      </c>
      <c r="J119" s="13">
        <f>IFERROR(INDEX('06_BANG_GIA_VAT_TU_AP_DUNG'!$E$1:$E$5000, MATCH(E119, '06_BANG_GIA_VAT_TU_AP_DUNG'!$B$1:$B$5000, 0)), 0)</f>
        <v/>
      </c>
      <c r="K119" s="13">
        <f>I119*J119</f>
        <v/>
      </c>
      <c r="L119" t="inlineStr">
        <is>
          <t>Ốp 2 mặt cánh tấm 10mm (Cánh đơn 400x400mm)</t>
        </is>
      </c>
    </row>
    <row r="120">
      <c r="A120" t="inlineStr">
        <is>
          <t>SW-DAMPER-012-SPRING-BOX</t>
        </is>
      </c>
      <c r="B120" t="inlineStr">
        <is>
          <t>SW-DAMPER-012</t>
        </is>
      </c>
      <c r="C120" t="inlineStr">
        <is>
          <t>Hộp lò xo van chặn lửa FD/MFD</t>
        </is>
      </c>
      <c r="D120" t="inlineStr">
        <is>
          <t>PHỤ_KIỆN_VAN</t>
        </is>
      </c>
      <c r="E120" t="inlineStr">
        <is>
          <t>MAT-DAMPER-HOP-LO-XO</t>
        </is>
      </c>
      <c r="F120" t="inlineStr">
        <is>
          <t>Bộ</t>
        </is>
      </c>
      <c r="G120" s="17" t="n">
        <v>1</v>
      </c>
      <c r="H120" s="13">
        <f>'00_TONG_HOP_BAO_GIA'!G13</f>
        <v/>
      </c>
      <c r="I120" s="18">
        <f>G120*H120</f>
        <v/>
      </c>
      <c r="J120" s="13">
        <f>IFERROR(INDEX('06_BANG_GIA_VAT_TU_AP_DUNG'!$E$1:$E$5000, MATCH(E120, '06_BANG_GIA_VAT_TU_AP_DUNG'!$B$1:$B$5000, 0)), 0)</f>
        <v/>
      </c>
      <c r="K120" s="13">
        <f>I120*J120</f>
        <v/>
      </c>
      <c r="L120" t="inlineStr">
        <is>
          <t>Hộp lò xo cơ cấu đóng sập (1 bộ)</t>
        </is>
      </c>
    </row>
    <row r="121">
      <c r="A121" t="inlineStr">
        <is>
          <t>SW-DAMPER-012-SILICON-BOLT</t>
        </is>
      </c>
      <c r="B121" t="inlineStr">
        <is>
          <t>SW-DAMPER-012</t>
        </is>
      </c>
      <c r="C121" t="inlineStr">
        <is>
          <t>Silicon chống cháy + bu lông, ốc vít van FD/MFD</t>
        </is>
      </c>
      <c r="D121" t="inlineStr">
        <is>
          <t>PHỤ_KIỆN_VAN</t>
        </is>
      </c>
      <c r="E121" t="inlineStr">
        <is>
          <t>MAT-DAMPER-SILICON-BULONG-VIT</t>
        </is>
      </c>
      <c r="F121" t="inlineStr">
        <is>
          <t>Bộ</t>
        </is>
      </c>
      <c r="G121" s="17" t="n">
        <v>1</v>
      </c>
      <c r="H121" s="13">
        <f>'00_TONG_HOP_BAO_GIA'!G13</f>
        <v/>
      </c>
      <c r="I121" s="18">
        <f>G121*H121</f>
        <v/>
      </c>
      <c r="J121" s="13">
        <f>IFERROR(INDEX('06_BANG_GIA_VAT_TU_AP_DUNG'!$E$1:$E$5000, MATCH(E121, '06_BANG_GIA_VAT_TU_AP_DUNG'!$B$1:$B$5000, 0)), 0)</f>
        <v/>
      </c>
      <c r="K121" s="13">
        <f>I121*J121</f>
        <v/>
      </c>
      <c r="L121" t="inlineStr">
        <is>
          <t>Keo silicon chống cháy &amp; phụ kiện lắp ghép (1 bộ)</t>
        </is>
      </c>
    </row>
    <row r="122">
      <c r="A122" t="inlineStr">
        <is>
          <t>SW-DAMPER-013-BODY</t>
        </is>
      </c>
      <c r="B122" t="inlineStr">
        <is>
          <t>SW-DAMPER-013</t>
        </is>
      </c>
      <c r="C122" t="inlineStr">
        <is>
          <t>Thân vỏ van FD bích C30/TDF (1.15mm)</t>
        </is>
      </c>
      <c r="D122" t="inlineStr">
        <is>
          <t>TÔN_CUỘN_MẠ_KẼM</t>
        </is>
      </c>
      <c r="E122" t="inlineStr">
        <is>
          <t>MAT-STEEL-PN-1.15</t>
        </is>
      </c>
      <c r="F122" t="inlineStr">
        <is>
          <t>kg</t>
        </is>
      </c>
      <c r="G122" s="17" t="n">
        <v>4.770136598561558</v>
      </c>
      <c r="H122" s="13">
        <f>'00_TONG_HOP_BAO_GIA'!G14</f>
        <v/>
      </c>
      <c r="I122" s="18">
        <f>G122*H122</f>
        <v/>
      </c>
      <c r="J122" s="13">
        <f>IFERROR(INDEX('06_BANG_GIA_VAT_TU_AP_DUNG'!$E$1:$E$5000, MATCH(E122, '06_BANG_GIA_VAT_TU_AP_DUNG'!$B$1:$B$5000, 0)), 0)</f>
        <v/>
      </c>
      <c r="K122" s="13">
        <f>I122*J122</f>
        <v/>
      </c>
      <c r="L122" t="inlineStr">
        <is>
          <t>Kích thước vỏ 400x400x200mm</t>
        </is>
      </c>
    </row>
    <row r="123">
      <c r="A123" t="inlineStr">
        <is>
          <t>SW-DAMPER-013-BLADE</t>
        </is>
      </c>
      <c r="B123" t="inlineStr">
        <is>
          <t>SW-DAMPER-013</t>
        </is>
      </c>
      <c r="C123" t="inlineStr">
        <is>
          <t>Lá cánh / Tôn tấm bọc van (1 cánh)</t>
        </is>
      </c>
      <c r="D123" t="inlineStr">
        <is>
          <t>TÔN_CUỘN_MẠ_KẼM</t>
        </is>
      </c>
      <c r="E123" t="inlineStr">
        <is>
          <t>MAT-STEEL-PN-1.15</t>
        </is>
      </c>
      <c r="F123" t="inlineStr">
        <is>
          <t>kg</t>
        </is>
      </c>
      <c r="G123" s="17" t="n">
        <v>3.283098274056218</v>
      </c>
      <c r="H123" s="13">
        <f>'00_TONG_HOP_BAO_GIA'!G14</f>
        <v/>
      </c>
      <c r="I123" s="18">
        <f>G123*H123</f>
        <v/>
      </c>
      <c r="J123" s="13">
        <f>IFERROR(INDEX('06_BANG_GIA_VAT_TU_AP_DUNG'!$E$1:$E$5000, MATCH(E123, '06_BANG_GIA_VAT_TU_AP_DUNG'!$B$1:$B$5000, 0)), 0)</f>
        <v/>
      </c>
      <c r="K123" s="13">
        <f>I123*J123</f>
        <v/>
      </c>
      <c r="L123" t="inlineStr">
        <is>
          <t>Tôn bọc cánh &amp; thân (1 cánh/modul)</t>
        </is>
      </c>
    </row>
    <row r="124">
      <c r="A124" t="inlineStr">
        <is>
          <t>SW-DAMPER-013-AXLE</t>
        </is>
      </c>
      <c r="B124" t="inlineStr">
        <is>
          <t>SW-DAMPER-013</t>
        </is>
      </c>
      <c r="C124" t="inlineStr">
        <is>
          <t>Trục Sus 201 D10</t>
        </is>
      </c>
      <c r="D124" t="inlineStr">
        <is>
          <t>PHỤ_KIỆN_VAN</t>
        </is>
      </c>
      <c r="E124" t="inlineStr">
        <is>
          <t>MAT-DAMPER-TRUC-SUS-201-D10</t>
        </is>
      </c>
      <c r="F124" t="inlineStr">
        <is>
          <t>m</t>
        </is>
      </c>
      <c r="G124" s="17" t="n">
        <v>0.5227863493720094</v>
      </c>
      <c r="H124" s="13">
        <f>'00_TONG_HOP_BAO_GIA'!G14</f>
        <v/>
      </c>
      <c r="I124" s="18">
        <f>G124*H124</f>
        <v/>
      </c>
      <c r="J124" s="13">
        <f>IFERROR(INDEX('06_BANG_GIA_VAT_TU_AP_DUNG'!$E$1:$E$5000, MATCH(E124, '06_BANG_GIA_VAT_TU_AP_DUNG'!$B$1:$B$5000, 0)), 0)</f>
        <v/>
      </c>
      <c r="K124" s="13">
        <f>I124*J124</f>
        <v/>
      </c>
      <c r="L124" t="inlineStr">
        <is>
          <t>1 trục dài 460mm</t>
        </is>
      </c>
    </row>
    <row r="125">
      <c r="A125" t="inlineStr">
        <is>
          <t>SW-DAMPER-013-BEARING</t>
        </is>
      </c>
      <c r="B125" t="inlineStr">
        <is>
          <t>SW-DAMPER-013</t>
        </is>
      </c>
      <c r="C125" t="inlineStr">
        <is>
          <t>Bạc đồng D10</t>
        </is>
      </c>
      <c r="D125" t="inlineStr">
        <is>
          <t>PHỤ_KIỆN_VAN</t>
        </is>
      </c>
      <c r="E125" t="inlineStr">
        <is>
          <t>MAT-DAMPER-BAC-DONG-D10</t>
        </is>
      </c>
      <c r="F125" t="inlineStr">
        <is>
          <t>Đôi</t>
        </is>
      </c>
      <c r="G125" s="17" t="n">
        <v>1</v>
      </c>
      <c r="H125" s="13">
        <f>'00_TONG_HOP_BAO_GIA'!G14</f>
        <v/>
      </c>
      <c r="I125" s="18">
        <f>G125*H125</f>
        <v/>
      </c>
      <c r="J125" s="13">
        <f>IFERROR(INDEX('06_BANG_GIA_VAT_TU_AP_DUNG'!$E$1:$E$5000, MATCH(E125, '06_BANG_GIA_VAT_TU_AP_DUNG'!$B$1:$B$5000, 0)), 0)</f>
        <v/>
      </c>
      <c r="K125" s="13">
        <f>I125*J125</f>
        <v/>
      </c>
      <c r="L125" t="inlineStr">
        <is>
          <t>1 đôi bạc đỡ 2 bên thân</t>
        </is>
      </c>
    </row>
    <row r="126">
      <c r="A126" t="inlineStr">
        <is>
          <t>SW-DAMPER-013-FUSE</t>
        </is>
      </c>
      <c r="B126" t="inlineStr">
        <is>
          <t>SW-DAMPER-013</t>
        </is>
      </c>
      <c r="C126" t="inlineStr">
        <is>
          <t>Cầu chì nhiệt nóng chảy 70°C/74°C (Elsie/USA)</t>
        </is>
      </c>
      <c r="D126" t="inlineStr">
        <is>
          <t>PHỤ_KIỆN_VAN</t>
        </is>
      </c>
      <c r="E126" t="inlineStr">
        <is>
          <t>MAT-DAMPER-CAU-CHI-USA-2-400X400</t>
        </is>
      </c>
      <c r="F126" t="inlineStr">
        <is>
          <t>Cái</t>
        </is>
      </c>
      <c r="G126" s="17" t="n">
        <v>1</v>
      </c>
      <c r="H126" s="13">
        <f>'00_TONG_HOP_BAO_GIA'!G14</f>
        <v/>
      </c>
      <c r="I126" s="18">
        <f>G126*H126</f>
        <v/>
      </c>
      <c r="J126" s="13">
        <f>IFERROR(INDEX('06_BANG_GIA_VAT_TU_AP_DUNG'!$E$1:$E$5000, MATCH(E126, '06_BANG_GIA_VAT_TU_AP_DUNG'!$B$1:$B$5000, 0)), 0)</f>
        <v/>
      </c>
      <c r="K126" s="13">
        <f>I126*J126</f>
        <v/>
      </c>
      <c r="L126" t="inlineStr">
        <is>
          <t>Cầu chì kiểm định PCCC (1 cái)</t>
        </is>
      </c>
    </row>
    <row r="127">
      <c r="A127" t="inlineStr">
        <is>
          <t>SW-DAMPER-013-FB10-BODY</t>
        </is>
      </c>
      <c r="B127" t="inlineStr">
        <is>
          <t>SW-DAMPER-013</t>
        </is>
      </c>
      <c r="C127" t="inlineStr">
        <is>
          <t>Tấm chống cháy dày 10mm bọc thân van FD/MFD (2 lớp)</t>
        </is>
      </c>
      <c r="D127" t="inlineStr">
        <is>
          <t>VẬT_LIỆU_CÁCH_NHIỆT</t>
        </is>
      </c>
      <c r="E127" t="inlineStr">
        <is>
          <t>MAT-FIREBOARD-10MM-BODY</t>
        </is>
      </c>
      <c r="F127" t="inlineStr">
        <is>
          <t>m2</t>
        </is>
      </c>
      <c r="G127" s="17" t="n">
        <v>1.091032381298106</v>
      </c>
      <c r="H127" s="13">
        <f>'00_TONG_HOP_BAO_GIA'!G14</f>
        <v/>
      </c>
      <c r="I127" s="18">
        <f>G127*H127</f>
        <v/>
      </c>
      <c r="J127" s="13">
        <f>IFERROR(INDEX('06_BANG_GIA_VAT_TU_AP_DUNG'!$E$1:$E$5000, MATCH(E127, '06_BANG_GIA_VAT_TU_AP_DUNG'!$B$1:$B$5000, 0)), 0)</f>
        <v/>
      </c>
      <c r="K127" s="13">
        <f>I127*J127</f>
        <v/>
      </c>
      <c r="L127" t="inlineStr">
        <is>
          <t>Bọc 2 lớp tấm 10mm quanh thân L=300mm</t>
        </is>
      </c>
    </row>
    <row r="128">
      <c r="A128" t="inlineStr">
        <is>
          <t>SW-DAMPER-013-FB20-BLADE</t>
        </is>
      </c>
      <c r="B128" t="inlineStr">
        <is>
          <t>SW-DAMPER-013</t>
        </is>
      </c>
      <c r="C128" t="inlineStr">
        <is>
          <t>Tấm chống cháy dày 20mm làm lõi cánh van FD/MFD</t>
        </is>
      </c>
      <c r="D128" t="inlineStr">
        <is>
          <t>VẬT_LIỆU_CÁCH_NHIỆT</t>
        </is>
      </c>
      <c r="E128" t="inlineStr">
        <is>
          <t>MAT-FIREBOARD-20MM-BLADE</t>
        </is>
      </c>
      <c r="F128" t="inlineStr">
        <is>
          <t>m2</t>
        </is>
      </c>
      <c r="G128" s="17" t="n">
        <v>0.1818387302163511</v>
      </c>
      <c r="H128" s="13">
        <f>'00_TONG_HOP_BAO_GIA'!G14</f>
        <v/>
      </c>
      <c r="I128" s="18">
        <f>G128*H128</f>
        <v/>
      </c>
      <c r="J128" s="13">
        <f>IFERROR(INDEX('06_BANG_GIA_VAT_TU_AP_DUNG'!$E$1:$E$5000, MATCH(E128, '06_BANG_GIA_VAT_TU_AP_DUNG'!$B$1:$B$5000, 0)), 0)</f>
        <v/>
      </c>
      <c r="K128" s="13">
        <f>I128*J128</f>
        <v/>
      </c>
      <c r="L128" t="inlineStr">
        <is>
          <t>Lõi cánh tấm 20mm (Cánh đơn 400x400mm)</t>
        </is>
      </c>
    </row>
    <row r="129">
      <c r="A129" t="inlineStr">
        <is>
          <t>SW-DAMPER-013-FB10-BLADE</t>
        </is>
      </c>
      <c r="B129" t="inlineStr">
        <is>
          <t>SW-DAMPER-013</t>
        </is>
      </c>
      <c r="C129" t="inlineStr">
        <is>
          <t>Tấm chống cháy dày 10mm ốp 2 mặt cánh van FD/MFD</t>
        </is>
      </c>
      <c r="D129" t="inlineStr">
        <is>
          <t>VẬT_LIỆU_CÁCH_NHIỆT</t>
        </is>
      </c>
      <c r="E129" t="inlineStr">
        <is>
          <t>MAT-FIREBOARD-10MM-BLADE</t>
        </is>
      </c>
      <c r="F129" t="inlineStr">
        <is>
          <t>m2</t>
        </is>
      </c>
      <c r="G129" s="17" t="n">
        <v>0.3636774604327022</v>
      </c>
      <c r="H129" s="13">
        <f>'00_TONG_HOP_BAO_GIA'!G14</f>
        <v/>
      </c>
      <c r="I129" s="18">
        <f>G129*H129</f>
        <v/>
      </c>
      <c r="J129" s="13">
        <f>IFERROR(INDEX('06_BANG_GIA_VAT_TU_AP_DUNG'!$E$1:$E$5000, MATCH(E129, '06_BANG_GIA_VAT_TU_AP_DUNG'!$B$1:$B$5000, 0)), 0)</f>
        <v/>
      </c>
      <c r="K129" s="13">
        <f>I129*J129</f>
        <v/>
      </c>
      <c r="L129" t="inlineStr">
        <is>
          <t>Ốp 2 mặt cánh tấm 10mm (Cánh đơn 400x400mm)</t>
        </is>
      </c>
    </row>
    <row r="130">
      <c r="A130" t="inlineStr">
        <is>
          <t>SW-DAMPER-013-SPRING-BOX</t>
        </is>
      </c>
      <c r="B130" t="inlineStr">
        <is>
          <t>SW-DAMPER-013</t>
        </is>
      </c>
      <c r="C130" t="inlineStr">
        <is>
          <t>Hộp lò xo van chặn lửa FD/MFD</t>
        </is>
      </c>
      <c r="D130" t="inlineStr">
        <is>
          <t>PHỤ_KIỆN_VAN</t>
        </is>
      </c>
      <c r="E130" t="inlineStr">
        <is>
          <t>MAT-DAMPER-HOP-LO-XO</t>
        </is>
      </c>
      <c r="F130" t="inlineStr">
        <is>
          <t>Bộ</t>
        </is>
      </c>
      <c r="G130" s="17" t="n">
        <v>1</v>
      </c>
      <c r="H130" s="13">
        <f>'00_TONG_HOP_BAO_GIA'!G14</f>
        <v/>
      </c>
      <c r="I130" s="18">
        <f>G130*H130</f>
        <v/>
      </c>
      <c r="J130" s="13">
        <f>IFERROR(INDEX('06_BANG_GIA_VAT_TU_AP_DUNG'!$E$1:$E$5000, MATCH(E130, '06_BANG_GIA_VAT_TU_AP_DUNG'!$B$1:$B$5000, 0)), 0)</f>
        <v/>
      </c>
      <c r="K130" s="13">
        <f>I130*J130</f>
        <v/>
      </c>
      <c r="L130" t="inlineStr">
        <is>
          <t>Hộp lò xo cơ cấu đóng sập (1 bộ)</t>
        </is>
      </c>
    </row>
    <row r="131">
      <c r="A131" t="inlineStr">
        <is>
          <t>SW-DAMPER-013-SILICON-BOLT</t>
        </is>
      </c>
      <c r="B131" t="inlineStr">
        <is>
          <t>SW-DAMPER-013</t>
        </is>
      </c>
      <c r="C131" t="inlineStr">
        <is>
          <t>Silicon chống cháy + bu lông, ốc vít van FD/MFD</t>
        </is>
      </c>
      <c r="D131" t="inlineStr">
        <is>
          <t>PHỤ_KIỆN_VAN</t>
        </is>
      </c>
      <c r="E131" t="inlineStr">
        <is>
          <t>MAT-DAMPER-SILICON-BULONG-VIT</t>
        </is>
      </c>
      <c r="F131" t="inlineStr">
        <is>
          <t>Bộ</t>
        </is>
      </c>
      <c r="G131" s="17" t="n">
        <v>1</v>
      </c>
      <c r="H131" s="13">
        <f>'00_TONG_HOP_BAO_GIA'!G14</f>
        <v/>
      </c>
      <c r="I131" s="18">
        <f>G131*H131</f>
        <v/>
      </c>
      <c r="J131" s="13">
        <f>IFERROR(INDEX('06_BANG_GIA_VAT_TU_AP_DUNG'!$E$1:$E$5000, MATCH(E131, '06_BANG_GIA_VAT_TU_AP_DUNG'!$B$1:$B$5000, 0)), 0)</f>
        <v/>
      </c>
      <c r="K131" s="13">
        <f>I131*J131</f>
        <v/>
      </c>
      <c r="L131" t="inlineStr">
        <is>
          <t>Keo silicon chống cháy &amp; phụ kiện lắp ghép (1 bộ)</t>
        </is>
      </c>
    </row>
    <row r="132">
      <c r="A132" t="inlineStr">
        <is>
          <t>SW-DAMPER-014-BODY</t>
        </is>
      </c>
      <c r="B132" t="inlineStr">
        <is>
          <t>SW-DAMPER-014</t>
        </is>
      </c>
      <c r="C132" t="inlineStr">
        <is>
          <t>Thân vỏ van FD bích C30/TDF (1.15mm)</t>
        </is>
      </c>
      <c r="D132" t="inlineStr">
        <is>
          <t>TÔN_CUỘN_MẠ_KẼM</t>
        </is>
      </c>
      <c r="E132" t="inlineStr">
        <is>
          <t>MAT-STEEL-PN-1.15</t>
        </is>
      </c>
      <c r="F132" t="inlineStr">
        <is>
          <t>kg</t>
        </is>
      </c>
      <c r="G132" s="17" t="n">
        <v>4.735185113035478</v>
      </c>
      <c r="H132" s="13">
        <f>'00_TONG_HOP_BAO_GIA'!G15</f>
        <v/>
      </c>
      <c r="I132" s="18">
        <f>G132*H132</f>
        <v/>
      </c>
      <c r="J132" s="13">
        <f>IFERROR(INDEX('06_BANG_GIA_VAT_TU_AP_DUNG'!$E$1:$E$5000, MATCH(E132, '06_BANG_GIA_VAT_TU_AP_DUNG'!$B$1:$B$5000, 0)), 0)</f>
        <v/>
      </c>
      <c r="K132" s="13">
        <f>I132*J132</f>
        <v/>
      </c>
      <c r="L132" t="inlineStr">
        <is>
          <t>Kích thước vỏ 500x300x200mm</t>
        </is>
      </c>
    </row>
    <row r="133">
      <c r="A133" t="inlineStr">
        <is>
          <t>SW-DAMPER-014-BLADE</t>
        </is>
      </c>
      <c r="B133" t="inlineStr">
        <is>
          <t>SW-DAMPER-014</t>
        </is>
      </c>
      <c r="C133" t="inlineStr">
        <is>
          <t>Lá cánh / Tôn tấm bọc van (1 cánh)</t>
        </is>
      </c>
      <c r="D133" t="inlineStr">
        <is>
          <t>TÔN_CUỘN_MẠ_KẼM</t>
        </is>
      </c>
      <c r="E133" t="inlineStr">
        <is>
          <t>MAT-STEEL-PN-1.15</t>
        </is>
      </c>
      <c r="F133" t="inlineStr">
        <is>
          <t>kg</t>
        </is>
      </c>
      <c r="G133" s="17" t="n">
        <v>3.05535237645856</v>
      </c>
      <c r="H133" s="13">
        <f>'00_TONG_HOP_BAO_GIA'!G15</f>
        <v/>
      </c>
      <c r="I133" s="18">
        <f>G133*H133</f>
        <v/>
      </c>
      <c r="J133" s="13">
        <f>IFERROR(INDEX('06_BANG_GIA_VAT_TU_AP_DUNG'!$E$1:$E$5000, MATCH(E133, '06_BANG_GIA_VAT_TU_AP_DUNG'!$B$1:$B$5000, 0)), 0)</f>
        <v/>
      </c>
      <c r="K133" s="13">
        <f>I133*J133</f>
        <v/>
      </c>
      <c r="L133" t="inlineStr">
        <is>
          <t>Tôn bọc cánh &amp; thân (1 cánh/modul)</t>
        </is>
      </c>
    </row>
    <row r="134">
      <c r="A134" t="inlineStr">
        <is>
          <t>SW-DAMPER-014-AXLE</t>
        </is>
      </c>
      <c r="B134" t="inlineStr">
        <is>
          <t>SW-DAMPER-014</t>
        </is>
      </c>
      <c r="C134" t="inlineStr">
        <is>
          <t>Trục Sus 201 D10</t>
        </is>
      </c>
      <c r="D134" t="inlineStr">
        <is>
          <t>PHỤ_KIỆN_VAN</t>
        </is>
      </c>
      <c r="E134" t="inlineStr">
        <is>
          <t>MAT-DAMPER-TRUC-SUS-201-D10</t>
        </is>
      </c>
      <c r="F134" t="inlineStr">
        <is>
          <t>m</t>
        </is>
      </c>
      <c r="G134" s="17" t="n">
        <v>0.6317722997569628</v>
      </c>
      <c r="H134" s="13">
        <f>'00_TONG_HOP_BAO_GIA'!G15</f>
        <v/>
      </c>
      <c r="I134" s="18">
        <f>G134*H134</f>
        <v/>
      </c>
      <c r="J134" s="13">
        <f>IFERROR(INDEX('06_BANG_GIA_VAT_TU_AP_DUNG'!$E$1:$E$5000, MATCH(E134, '06_BANG_GIA_VAT_TU_AP_DUNG'!$B$1:$B$5000, 0)), 0)</f>
        <v/>
      </c>
      <c r="K134" s="13">
        <f>I134*J134</f>
        <v/>
      </c>
      <c r="L134" t="inlineStr">
        <is>
          <t>1 trục dài 560mm</t>
        </is>
      </c>
    </row>
    <row r="135">
      <c r="A135" t="inlineStr">
        <is>
          <t>SW-DAMPER-014-BEARING</t>
        </is>
      </c>
      <c r="B135" t="inlineStr">
        <is>
          <t>SW-DAMPER-014</t>
        </is>
      </c>
      <c r="C135" t="inlineStr">
        <is>
          <t>Bạc đồng D10</t>
        </is>
      </c>
      <c r="D135" t="inlineStr">
        <is>
          <t>PHỤ_KIỆN_VAN</t>
        </is>
      </c>
      <c r="E135" t="inlineStr">
        <is>
          <t>MAT-DAMPER-BAC-DONG-D10</t>
        </is>
      </c>
      <c r="F135" t="inlineStr">
        <is>
          <t>Đôi</t>
        </is>
      </c>
      <c r="G135" s="17" t="n">
        <v>1</v>
      </c>
      <c r="H135" s="13">
        <f>'00_TONG_HOP_BAO_GIA'!G15</f>
        <v/>
      </c>
      <c r="I135" s="18">
        <f>G135*H135</f>
        <v/>
      </c>
      <c r="J135" s="13">
        <f>IFERROR(INDEX('06_BANG_GIA_VAT_TU_AP_DUNG'!$E$1:$E$5000, MATCH(E135, '06_BANG_GIA_VAT_TU_AP_DUNG'!$B$1:$B$5000, 0)), 0)</f>
        <v/>
      </c>
      <c r="K135" s="13">
        <f>I135*J135</f>
        <v/>
      </c>
      <c r="L135" t="inlineStr">
        <is>
          <t>1 đôi bạc đỡ 2 bên thân</t>
        </is>
      </c>
    </row>
    <row r="136">
      <c r="A136" t="inlineStr">
        <is>
          <t>SW-DAMPER-014-FUSE</t>
        </is>
      </c>
      <c r="B136" t="inlineStr">
        <is>
          <t>SW-DAMPER-014</t>
        </is>
      </c>
      <c r="C136" t="inlineStr">
        <is>
          <t>Cầu chì nhiệt nóng chảy 70°C/74°C (Elsie/USA)</t>
        </is>
      </c>
      <c r="D136" t="inlineStr">
        <is>
          <t>PHỤ_KIỆN_VAN</t>
        </is>
      </c>
      <c r="E136" t="inlineStr">
        <is>
          <t>MAT-DAMPER-CAU-CHI-USA-2-400X400</t>
        </is>
      </c>
      <c r="F136" t="inlineStr">
        <is>
          <t>Cái</t>
        </is>
      </c>
      <c r="G136" s="17" t="n">
        <v>1</v>
      </c>
      <c r="H136" s="13">
        <f>'00_TONG_HOP_BAO_GIA'!G15</f>
        <v/>
      </c>
      <c r="I136" s="18">
        <f>G136*H136</f>
        <v/>
      </c>
      <c r="J136" s="13">
        <f>IFERROR(INDEX('06_BANG_GIA_VAT_TU_AP_DUNG'!$E$1:$E$5000, MATCH(E136, '06_BANG_GIA_VAT_TU_AP_DUNG'!$B$1:$B$5000, 0)), 0)</f>
        <v/>
      </c>
      <c r="K136" s="13">
        <f>I136*J136</f>
        <v/>
      </c>
      <c r="L136" t="inlineStr">
        <is>
          <t>Cầu chì kiểm định PCCC (1 cái)</t>
        </is>
      </c>
    </row>
    <row r="137">
      <c r="A137" t="inlineStr">
        <is>
          <t>SW-DAMPER-014-FB10-BODY</t>
        </is>
      </c>
      <c r="B137" t="inlineStr">
        <is>
          <t>SW-DAMPER-014</t>
        </is>
      </c>
      <c r="C137" t="inlineStr">
        <is>
          <t>Tấm chống cháy dày 10mm bọc thân van FD/MFD (2 lớp)</t>
        </is>
      </c>
      <c r="D137" t="inlineStr">
        <is>
          <t>VẬT_LIỆU_CÁCH_NHIỆT</t>
        </is>
      </c>
      <c r="E137" t="inlineStr">
        <is>
          <t>MAT-FIREBOARD-10MM-BODY</t>
        </is>
      </c>
      <c r="F137" t="inlineStr">
        <is>
          <t>m2</t>
        </is>
      </c>
      <c r="G137" s="17" t="n">
        <v>1.083038228154793</v>
      </c>
      <c r="H137" s="13">
        <f>'00_TONG_HOP_BAO_GIA'!G15</f>
        <v/>
      </c>
      <c r="I137" s="18">
        <f>G137*H137</f>
        <v/>
      </c>
      <c r="J137" s="13">
        <f>IFERROR(INDEX('06_BANG_GIA_VAT_TU_AP_DUNG'!$E$1:$E$5000, MATCH(E137, '06_BANG_GIA_VAT_TU_AP_DUNG'!$B$1:$B$5000, 0)), 0)</f>
        <v/>
      </c>
      <c r="K137" s="13">
        <f>I137*J137</f>
        <v/>
      </c>
      <c r="L137" t="inlineStr">
        <is>
          <t>Bọc 2 lớp tấm 10mm quanh thân L=300mm</t>
        </is>
      </c>
    </row>
    <row r="138">
      <c r="A138" t="inlineStr">
        <is>
          <t>SW-DAMPER-014-FB20-BLADE</t>
        </is>
      </c>
      <c r="B138" t="inlineStr">
        <is>
          <t>SW-DAMPER-014</t>
        </is>
      </c>
      <c r="C138" t="inlineStr">
        <is>
          <t>Tấm chống cháy dày 20mm làm lõi cánh van FD/MFD</t>
        </is>
      </c>
      <c r="D138" t="inlineStr">
        <is>
          <t>VẬT_LIỆU_CÁCH_NHIỆT</t>
        </is>
      </c>
      <c r="E138" t="inlineStr">
        <is>
          <t>MAT-FIREBOARD-20MM-BLADE</t>
        </is>
      </c>
      <c r="F138" t="inlineStr">
        <is>
          <t>m2</t>
        </is>
      </c>
      <c r="G138" s="17" t="n">
        <v>0.1692247231491864</v>
      </c>
      <c r="H138" s="13">
        <f>'00_TONG_HOP_BAO_GIA'!G15</f>
        <v/>
      </c>
      <c r="I138" s="18">
        <f>G138*H138</f>
        <v/>
      </c>
      <c r="J138" s="13">
        <f>IFERROR(INDEX('06_BANG_GIA_VAT_TU_AP_DUNG'!$E$1:$E$5000, MATCH(E138, '06_BANG_GIA_VAT_TU_AP_DUNG'!$B$1:$B$5000, 0)), 0)</f>
        <v/>
      </c>
      <c r="K138" s="13">
        <f>I138*J138</f>
        <v/>
      </c>
      <c r="L138" t="inlineStr">
        <is>
          <t>Lõi cánh tấm 20mm (Cánh đơn 500x300mm)</t>
        </is>
      </c>
    </row>
    <row r="139">
      <c r="A139" t="inlineStr">
        <is>
          <t>SW-DAMPER-014-FB10-BLADE</t>
        </is>
      </c>
      <c r="B139" t="inlineStr">
        <is>
          <t>SW-DAMPER-014</t>
        </is>
      </c>
      <c r="C139" t="inlineStr">
        <is>
          <t>Tấm chống cháy dày 10mm ốp 2 mặt cánh van FD/MFD</t>
        </is>
      </c>
      <c r="D139" t="inlineStr">
        <is>
          <t>VẬT_LIỆU_CÁCH_NHIỆT</t>
        </is>
      </c>
      <c r="E139" t="inlineStr">
        <is>
          <t>MAT-FIREBOARD-10MM-BLADE</t>
        </is>
      </c>
      <c r="F139" t="inlineStr">
        <is>
          <t>m2</t>
        </is>
      </c>
      <c r="G139" s="17" t="n">
        <v>0.3384494462983729</v>
      </c>
      <c r="H139" s="13">
        <f>'00_TONG_HOP_BAO_GIA'!G15</f>
        <v/>
      </c>
      <c r="I139" s="18">
        <f>G139*H139</f>
        <v/>
      </c>
      <c r="J139" s="13">
        <f>IFERROR(INDEX('06_BANG_GIA_VAT_TU_AP_DUNG'!$E$1:$E$5000, MATCH(E139, '06_BANG_GIA_VAT_TU_AP_DUNG'!$B$1:$B$5000, 0)), 0)</f>
        <v/>
      </c>
      <c r="K139" s="13">
        <f>I139*J139</f>
        <v/>
      </c>
      <c r="L139" t="inlineStr">
        <is>
          <t>Ốp 2 mặt cánh tấm 10mm (Cánh đơn 500x300mm)</t>
        </is>
      </c>
    </row>
    <row r="140">
      <c r="A140" t="inlineStr">
        <is>
          <t>SW-DAMPER-014-SPRING-BOX</t>
        </is>
      </c>
      <c r="B140" t="inlineStr">
        <is>
          <t>SW-DAMPER-014</t>
        </is>
      </c>
      <c r="C140" t="inlineStr">
        <is>
          <t>Hộp lò xo van chặn lửa FD/MFD</t>
        </is>
      </c>
      <c r="D140" t="inlineStr">
        <is>
          <t>PHỤ_KIỆN_VAN</t>
        </is>
      </c>
      <c r="E140" t="inlineStr">
        <is>
          <t>MAT-DAMPER-HOP-LO-XO</t>
        </is>
      </c>
      <c r="F140" t="inlineStr">
        <is>
          <t>Bộ</t>
        </is>
      </c>
      <c r="G140" s="17" t="n">
        <v>1</v>
      </c>
      <c r="H140" s="13">
        <f>'00_TONG_HOP_BAO_GIA'!G15</f>
        <v/>
      </c>
      <c r="I140" s="18">
        <f>G140*H140</f>
        <v/>
      </c>
      <c r="J140" s="13">
        <f>IFERROR(INDEX('06_BANG_GIA_VAT_TU_AP_DUNG'!$E$1:$E$5000, MATCH(E140, '06_BANG_GIA_VAT_TU_AP_DUNG'!$B$1:$B$5000, 0)), 0)</f>
        <v/>
      </c>
      <c r="K140" s="13">
        <f>I140*J140</f>
        <v/>
      </c>
      <c r="L140" t="inlineStr">
        <is>
          <t>Hộp lò xo cơ cấu đóng sập (1 bộ)</t>
        </is>
      </c>
    </row>
    <row r="141">
      <c r="A141" t="inlineStr">
        <is>
          <t>SW-DAMPER-014-SILICON-BOLT</t>
        </is>
      </c>
      <c r="B141" t="inlineStr">
        <is>
          <t>SW-DAMPER-014</t>
        </is>
      </c>
      <c r="C141" t="inlineStr">
        <is>
          <t>Silicon chống cháy + bu lông, ốc vít van FD/MFD</t>
        </is>
      </c>
      <c r="D141" t="inlineStr">
        <is>
          <t>PHỤ_KIỆN_VAN</t>
        </is>
      </c>
      <c r="E141" t="inlineStr">
        <is>
          <t>MAT-DAMPER-SILICON-BULONG-VIT</t>
        </is>
      </c>
      <c r="F141" t="inlineStr">
        <is>
          <t>Bộ</t>
        </is>
      </c>
      <c r="G141" s="17" t="n">
        <v>1</v>
      </c>
      <c r="H141" s="13">
        <f>'00_TONG_HOP_BAO_GIA'!G15</f>
        <v/>
      </c>
      <c r="I141" s="18">
        <f>G141*H141</f>
        <v/>
      </c>
      <c r="J141" s="13">
        <f>IFERROR(INDEX('06_BANG_GIA_VAT_TU_AP_DUNG'!$E$1:$E$5000, MATCH(E141, '06_BANG_GIA_VAT_TU_AP_DUNG'!$B$1:$B$5000, 0)), 0)</f>
        <v/>
      </c>
      <c r="K141" s="13">
        <f>I141*J141</f>
        <v/>
      </c>
      <c r="L141" t="inlineStr">
        <is>
          <t>Keo silicon chống cháy &amp; phụ kiện lắp ghép (1 bộ)</t>
        </is>
      </c>
    </row>
    <row r="142">
      <c r="A142" t="inlineStr">
        <is>
          <t>SW-DAMPER-015-BODY</t>
        </is>
      </c>
      <c r="B142" t="inlineStr">
        <is>
          <t>SW-DAMPER-015</t>
        </is>
      </c>
      <c r="C142" t="inlineStr">
        <is>
          <t>Thân vỏ van FD bích C30/TDF (1.15mm)</t>
        </is>
      </c>
      <c r="D142" t="inlineStr">
        <is>
          <t>TÔN_CUỘN_MẠ_KẼM</t>
        </is>
      </c>
      <c r="E142" t="inlineStr">
        <is>
          <t>MAT-STEEL-PN-1.15</t>
        </is>
      </c>
      <c r="F142" t="inlineStr">
        <is>
          <t>kg</t>
        </is>
      </c>
      <c r="G142" s="17" t="n">
        <v>3.028002114614096</v>
      </c>
      <c r="H142" s="13">
        <f>'00_TONG_HOP_BAO_GIA'!G16</f>
        <v/>
      </c>
      <c r="I142" s="18">
        <f>G142*H142</f>
        <v/>
      </c>
      <c r="J142" s="13">
        <f>IFERROR(INDEX('06_BANG_GIA_VAT_TU_AP_DUNG'!$E$1:$E$5000, MATCH(E142, '06_BANG_GIA_VAT_TU_AP_DUNG'!$B$1:$B$5000, 0)), 0)</f>
        <v/>
      </c>
      <c r="K142" s="13">
        <f>I142*J142</f>
        <v/>
      </c>
      <c r="L142" t="inlineStr">
        <is>
          <t>Kích thước vỏ 300x200x200mm</t>
        </is>
      </c>
    </row>
    <row r="143">
      <c r="A143" t="inlineStr">
        <is>
          <t>SW-DAMPER-015-BLADE</t>
        </is>
      </c>
      <c r="B143" t="inlineStr">
        <is>
          <t>SW-DAMPER-015</t>
        </is>
      </c>
      <c r="C143" t="inlineStr">
        <is>
          <t>Lá cánh / Tôn tấm bọc van (1 cánh)</t>
        </is>
      </c>
      <c r="D143" t="inlineStr">
        <is>
          <t>TÔN_CUỘN_MẠ_KẼM</t>
        </is>
      </c>
      <c r="E143" t="inlineStr">
        <is>
          <t>MAT-STEEL-PN-1.15</t>
        </is>
      </c>
      <c r="F143" t="inlineStr">
        <is>
          <t>kg</t>
        </is>
      </c>
      <c r="G143" s="17" t="n">
        <v>1.23239809304603</v>
      </c>
      <c r="H143" s="13">
        <f>'00_TONG_HOP_BAO_GIA'!G16</f>
        <v/>
      </c>
      <c r="I143" s="18">
        <f>G143*H143</f>
        <v/>
      </c>
      <c r="J143" s="13">
        <f>IFERROR(INDEX('06_BANG_GIA_VAT_TU_AP_DUNG'!$E$1:$E$5000, MATCH(E143, '06_BANG_GIA_VAT_TU_AP_DUNG'!$B$1:$B$5000, 0)), 0)</f>
        <v/>
      </c>
      <c r="K143" s="13">
        <f>I143*J143</f>
        <v/>
      </c>
      <c r="L143" t="inlineStr">
        <is>
          <t>Tôn bọc cánh &amp; thân (1 cánh/modul)</t>
        </is>
      </c>
    </row>
    <row r="144">
      <c r="A144" t="inlineStr">
        <is>
          <t>SW-DAMPER-015-AXLE</t>
        </is>
      </c>
      <c r="B144" t="inlineStr">
        <is>
          <t>SW-DAMPER-015</t>
        </is>
      </c>
      <c r="C144" t="inlineStr">
        <is>
          <t>Trục Sus 201 D10</t>
        </is>
      </c>
      <c r="D144" t="inlineStr">
        <is>
          <t>PHỤ_KIỆN_VAN</t>
        </is>
      </c>
      <c r="E144" t="inlineStr">
        <is>
          <t>MAT-DAMPER-TRUC-SUS-201-D10</t>
        </is>
      </c>
      <c r="F144" t="inlineStr">
        <is>
          <t>m</t>
        </is>
      </c>
      <c r="G144" s="17" t="n">
        <v>0.4095479677804587</v>
      </c>
      <c r="H144" s="13">
        <f>'00_TONG_HOP_BAO_GIA'!G16</f>
        <v/>
      </c>
      <c r="I144" s="18">
        <f>G144*H144</f>
        <v/>
      </c>
      <c r="J144" s="13">
        <f>IFERROR(INDEX('06_BANG_GIA_VAT_TU_AP_DUNG'!$E$1:$E$5000, MATCH(E144, '06_BANG_GIA_VAT_TU_AP_DUNG'!$B$1:$B$5000, 0)), 0)</f>
        <v/>
      </c>
      <c r="K144" s="13">
        <f>I144*J144</f>
        <v/>
      </c>
      <c r="L144" t="inlineStr">
        <is>
          <t>1 trục dài 360mm</t>
        </is>
      </c>
    </row>
    <row r="145">
      <c r="A145" t="inlineStr">
        <is>
          <t>SW-DAMPER-015-BEARING</t>
        </is>
      </c>
      <c r="B145" t="inlineStr">
        <is>
          <t>SW-DAMPER-015</t>
        </is>
      </c>
      <c r="C145" t="inlineStr">
        <is>
          <t>Bạc đồng D10</t>
        </is>
      </c>
      <c r="D145" t="inlineStr">
        <is>
          <t>PHỤ_KIỆN_VAN</t>
        </is>
      </c>
      <c r="E145" t="inlineStr">
        <is>
          <t>MAT-DAMPER-BAC-DONG-D10</t>
        </is>
      </c>
      <c r="F145" t="inlineStr">
        <is>
          <t>Đôi</t>
        </is>
      </c>
      <c r="G145" s="17" t="n">
        <v>1</v>
      </c>
      <c r="H145" s="13">
        <f>'00_TONG_HOP_BAO_GIA'!G16</f>
        <v/>
      </c>
      <c r="I145" s="18">
        <f>G145*H145</f>
        <v/>
      </c>
      <c r="J145" s="13">
        <f>IFERROR(INDEX('06_BANG_GIA_VAT_TU_AP_DUNG'!$E$1:$E$5000, MATCH(E145, '06_BANG_GIA_VAT_TU_AP_DUNG'!$B$1:$B$5000, 0)), 0)</f>
        <v/>
      </c>
      <c r="K145" s="13">
        <f>I145*J145</f>
        <v/>
      </c>
      <c r="L145" t="inlineStr">
        <is>
          <t>1 đôi bạc đỡ 2 bên thân</t>
        </is>
      </c>
    </row>
    <row r="146">
      <c r="A146" t="inlineStr">
        <is>
          <t>SW-DAMPER-015-FUSE</t>
        </is>
      </c>
      <c r="B146" t="inlineStr">
        <is>
          <t>SW-DAMPER-015</t>
        </is>
      </c>
      <c r="C146" t="inlineStr">
        <is>
          <t>Cầu chì nhiệt nóng chảy 70°C/74°C (Elsie/USA)</t>
        </is>
      </c>
      <c r="D146" t="inlineStr">
        <is>
          <t>PHỤ_KIỆN_VAN</t>
        </is>
      </c>
      <c r="E146" t="inlineStr">
        <is>
          <t>MAT-DAMPER-CAU-CHI-USA-1-400X400</t>
        </is>
      </c>
      <c r="F146" t="inlineStr">
        <is>
          <t>Cái</t>
        </is>
      </c>
      <c r="G146" s="17" t="n">
        <v>1</v>
      </c>
      <c r="H146" s="13">
        <f>'00_TONG_HOP_BAO_GIA'!G16</f>
        <v/>
      </c>
      <c r="I146" s="18">
        <f>G146*H146</f>
        <v/>
      </c>
      <c r="J146" s="13">
        <f>IFERROR(INDEX('06_BANG_GIA_VAT_TU_AP_DUNG'!$E$1:$E$5000, MATCH(E146, '06_BANG_GIA_VAT_TU_AP_DUNG'!$B$1:$B$5000, 0)), 0)</f>
        <v/>
      </c>
      <c r="K146" s="13">
        <f>I146*J146</f>
        <v/>
      </c>
      <c r="L146" t="inlineStr">
        <is>
          <t>Cầu chì kiểm định PCCC (1 cái)</t>
        </is>
      </c>
    </row>
    <row r="147">
      <c r="A147" t="inlineStr">
        <is>
          <t>SW-DAMPER-015-FB10-BODY</t>
        </is>
      </c>
      <c r="B147" t="inlineStr">
        <is>
          <t>SW-DAMPER-015</t>
        </is>
      </c>
      <c r="C147" t="inlineStr">
        <is>
          <t>Tấm chống cháy dày 10mm bọc thân van FD/MFD (2 lớp)</t>
        </is>
      </c>
      <c r="D147" t="inlineStr">
        <is>
          <t>VẬT_LIỆU_CÁCH_NHIỆT</t>
        </is>
      </c>
      <c r="E147" t="inlineStr">
        <is>
          <t>MAT-FIREBOARD-10MM-BODY</t>
        </is>
      </c>
      <c r="F147" t="inlineStr">
        <is>
          <t>m2</t>
        </is>
      </c>
      <c r="G147" s="17" t="n">
        <v>0.6825799463007645</v>
      </c>
      <c r="H147" s="13">
        <f>'00_TONG_HOP_BAO_GIA'!G16</f>
        <v/>
      </c>
      <c r="I147" s="18">
        <f>G147*H147</f>
        <v/>
      </c>
      <c r="J147" s="13">
        <f>IFERROR(INDEX('06_BANG_GIA_VAT_TU_AP_DUNG'!$E$1:$E$5000, MATCH(E147, '06_BANG_GIA_VAT_TU_AP_DUNG'!$B$1:$B$5000, 0)), 0)</f>
        <v/>
      </c>
      <c r="K147" s="13">
        <f>I147*J147</f>
        <v/>
      </c>
      <c r="L147" t="inlineStr">
        <is>
          <t>Bọc 2 lớp tấm 10mm quanh thân L=300mm</t>
        </is>
      </c>
    </row>
    <row r="148">
      <c r="A148" t="inlineStr">
        <is>
          <t>SW-DAMPER-015-FB20-BLADE</t>
        </is>
      </c>
      <c r="B148" t="inlineStr">
        <is>
          <t>SW-DAMPER-015</t>
        </is>
      </c>
      <c r="C148" t="inlineStr">
        <is>
          <t>Tấm chống cháy dày 20mm làm lõi cánh van FD/MFD</t>
        </is>
      </c>
      <c r="D148" t="inlineStr">
        <is>
          <t>VẬT_LIỆU_CÁCH_NHIỆT</t>
        </is>
      </c>
      <c r="E148" t="inlineStr">
        <is>
          <t>MAT-FIREBOARD-20MM-BLADE</t>
        </is>
      </c>
      <c r="F148" t="inlineStr">
        <is>
          <t>m2</t>
        </is>
      </c>
      <c r="G148" s="17" t="n">
        <v>0.06825799463007645</v>
      </c>
      <c r="H148" s="13">
        <f>'00_TONG_HOP_BAO_GIA'!G16</f>
        <v/>
      </c>
      <c r="I148" s="18">
        <f>G148*H148</f>
        <v/>
      </c>
      <c r="J148" s="13">
        <f>IFERROR(INDEX('06_BANG_GIA_VAT_TU_AP_DUNG'!$E$1:$E$5000, MATCH(E148, '06_BANG_GIA_VAT_TU_AP_DUNG'!$B$1:$B$5000, 0)), 0)</f>
        <v/>
      </c>
      <c r="K148" s="13">
        <f>I148*J148</f>
        <v/>
      </c>
      <c r="L148" t="inlineStr">
        <is>
          <t>Lõi cánh tấm 20mm (Cánh đơn 300x200mm)</t>
        </is>
      </c>
    </row>
    <row r="149">
      <c r="A149" t="inlineStr">
        <is>
          <t>SW-DAMPER-015-FB10-BLADE</t>
        </is>
      </c>
      <c r="B149" t="inlineStr">
        <is>
          <t>SW-DAMPER-015</t>
        </is>
      </c>
      <c r="C149" t="inlineStr">
        <is>
          <t>Tấm chống cháy dày 10mm ốp 2 mặt cánh van FD/MFD</t>
        </is>
      </c>
      <c r="D149" t="inlineStr">
        <is>
          <t>VẬT_LIỆU_CÁCH_NHIỆT</t>
        </is>
      </c>
      <c r="E149" t="inlineStr">
        <is>
          <t>MAT-FIREBOARD-10MM-BLADE</t>
        </is>
      </c>
      <c r="F149" t="inlineStr">
        <is>
          <t>m2</t>
        </is>
      </c>
      <c r="G149" s="17" t="n">
        <v>0.1365159892601529</v>
      </c>
      <c r="H149" s="13">
        <f>'00_TONG_HOP_BAO_GIA'!G16</f>
        <v/>
      </c>
      <c r="I149" s="18">
        <f>G149*H149</f>
        <v/>
      </c>
      <c r="J149" s="13">
        <f>IFERROR(INDEX('06_BANG_GIA_VAT_TU_AP_DUNG'!$E$1:$E$5000, MATCH(E149, '06_BANG_GIA_VAT_TU_AP_DUNG'!$B$1:$B$5000, 0)), 0)</f>
        <v/>
      </c>
      <c r="K149" s="13">
        <f>I149*J149</f>
        <v/>
      </c>
      <c r="L149" t="inlineStr">
        <is>
          <t>Ốp 2 mặt cánh tấm 10mm (Cánh đơn 300x200mm)</t>
        </is>
      </c>
    </row>
    <row r="150">
      <c r="A150" t="inlineStr">
        <is>
          <t>SW-DAMPER-015-SPRING-BOX</t>
        </is>
      </c>
      <c r="B150" t="inlineStr">
        <is>
          <t>SW-DAMPER-015</t>
        </is>
      </c>
      <c r="C150" t="inlineStr">
        <is>
          <t>Hộp lò xo van chặn lửa FD/MFD</t>
        </is>
      </c>
      <c r="D150" t="inlineStr">
        <is>
          <t>PHỤ_KIỆN_VAN</t>
        </is>
      </c>
      <c r="E150" t="inlineStr">
        <is>
          <t>MAT-DAMPER-HOP-LO-XO</t>
        </is>
      </c>
      <c r="F150" t="inlineStr">
        <is>
          <t>Bộ</t>
        </is>
      </c>
      <c r="G150" s="17" t="n">
        <v>1</v>
      </c>
      <c r="H150" s="13">
        <f>'00_TONG_HOP_BAO_GIA'!G16</f>
        <v/>
      </c>
      <c r="I150" s="18">
        <f>G150*H150</f>
        <v/>
      </c>
      <c r="J150" s="13">
        <f>IFERROR(INDEX('06_BANG_GIA_VAT_TU_AP_DUNG'!$E$1:$E$5000, MATCH(E150, '06_BANG_GIA_VAT_TU_AP_DUNG'!$B$1:$B$5000, 0)), 0)</f>
        <v/>
      </c>
      <c r="K150" s="13">
        <f>I150*J150</f>
        <v/>
      </c>
      <c r="L150" t="inlineStr">
        <is>
          <t>Hộp lò xo cơ cấu đóng sập (1 bộ)</t>
        </is>
      </c>
    </row>
    <row r="151">
      <c r="A151" t="inlineStr">
        <is>
          <t>SW-DAMPER-015-SILICON-BOLT</t>
        </is>
      </c>
      <c r="B151" t="inlineStr">
        <is>
          <t>SW-DAMPER-015</t>
        </is>
      </c>
      <c r="C151" t="inlineStr">
        <is>
          <t>Silicon chống cháy + bu lông, ốc vít van FD/MFD</t>
        </is>
      </c>
      <c r="D151" t="inlineStr">
        <is>
          <t>PHỤ_KIỆN_VAN</t>
        </is>
      </c>
      <c r="E151" t="inlineStr">
        <is>
          <t>MAT-DAMPER-SILICON-BULONG-VIT</t>
        </is>
      </c>
      <c r="F151" t="inlineStr">
        <is>
          <t>Bộ</t>
        </is>
      </c>
      <c r="G151" s="17" t="n">
        <v>1</v>
      </c>
      <c r="H151" s="13">
        <f>'00_TONG_HOP_BAO_GIA'!G16</f>
        <v/>
      </c>
      <c r="I151" s="18">
        <f>G151*H151</f>
        <v/>
      </c>
      <c r="J151" s="13">
        <f>IFERROR(INDEX('06_BANG_GIA_VAT_TU_AP_DUNG'!$E$1:$E$5000, MATCH(E151, '06_BANG_GIA_VAT_TU_AP_DUNG'!$B$1:$B$5000, 0)), 0)</f>
        <v/>
      </c>
      <c r="K151" s="13">
        <f>I151*J151</f>
        <v/>
      </c>
      <c r="L151" t="inlineStr">
        <is>
          <t>Keo silicon chống cháy &amp; phụ kiện lắp ghép (1 bộ)</t>
        </is>
      </c>
    </row>
    <row r="152">
      <c r="A152" t="inlineStr">
        <is>
          <t>SW-DAMPER-016-BODY</t>
        </is>
      </c>
      <c r="B152" t="inlineStr">
        <is>
          <t>SW-DAMPER-016</t>
        </is>
      </c>
      <c r="C152" t="inlineStr">
        <is>
          <t>Thân vỏ van MFD bích C30/TDF (1.15mm)</t>
        </is>
      </c>
      <c r="D152" t="inlineStr">
        <is>
          <t>TÔN_CUỘN_MẠ_KẼM</t>
        </is>
      </c>
      <c r="E152" t="inlineStr">
        <is>
          <t>MAT-STEEL-PN-1.15</t>
        </is>
      </c>
      <c r="F152" t="inlineStr">
        <is>
          <t>kg</t>
        </is>
      </c>
      <c r="G152" s="17" t="n">
        <v>4.712666194311923</v>
      </c>
      <c r="H152" s="13">
        <f>'00_TONG_HOP_BAO_GIA'!G17</f>
        <v/>
      </c>
      <c r="I152" s="18">
        <f>G152*H152</f>
        <v/>
      </c>
      <c r="J152" s="13">
        <f>IFERROR(INDEX('06_BANG_GIA_VAT_TU_AP_DUNG'!$E$1:$E$5000, MATCH(E152, '06_BANG_GIA_VAT_TU_AP_DUNG'!$B$1:$B$5000, 0)), 0)</f>
        <v/>
      </c>
      <c r="K152" s="13">
        <f>I152*J152</f>
        <v/>
      </c>
      <c r="L152" t="inlineStr">
        <is>
          <t>Kích thước vỏ 500x200x200mm</t>
        </is>
      </c>
    </row>
    <row r="153">
      <c r="A153" t="inlineStr">
        <is>
          <t>SW-DAMPER-016-BLADE</t>
        </is>
      </c>
      <c r="B153" t="inlineStr">
        <is>
          <t>SW-DAMPER-016</t>
        </is>
      </c>
      <c r="C153" t="inlineStr">
        <is>
          <t>Lá cánh / Tôn tấm bọc van (1 cánh)</t>
        </is>
      </c>
      <c r="D153" t="inlineStr">
        <is>
          <t>TÔN_CUỘN_MẠ_KẼM</t>
        </is>
      </c>
      <c r="E153" t="inlineStr">
        <is>
          <t>MAT-STEEL-PN-1.15</t>
        </is>
      </c>
      <c r="F153" t="inlineStr">
        <is>
          <t>kg</t>
        </is>
      </c>
      <c r="G153" s="17" t="n">
        <v>2.308772386004273</v>
      </c>
      <c r="H153" s="13">
        <f>'00_TONG_HOP_BAO_GIA'!G17</f>
        <v/>
      </c>
      <c r="I153" s="18">
        <f>G153*H153</f>
        <v/>
      </c>
      <c r="J153" s="13">
        <f>IFERROR(INDEX('06_BANG_GIA_VAT_TU_AP_DUNG'!$E$1:$E$5000, MATCH(E153, '06_BANG_GIA_VAT_TU_AP_DUNG'!$B$1:$B$5000, 0)), 0)</f>
        <v/>
      </c>
      <c r="K153" s="13">
        <f>I153*J153</f>
        <v/>
      </c>
      <c r="L153" t="inlineStr">
        <is>
          <t>Tôn bọc cánh &amp; thân (1 cánh/modul)</t>
        </is>
      </c>
    </row>
    <row r="154">
      <c r="A154" t="inlineStr">
        <is>
          <t>SW-DAMPER-016-AXLE</t>
        </is>
      </c>
      <c r="B154" t="inlineStr">
        <is>
          <t>SW-DAMPER-016</t>
        </is>
      </c>
      <c r="C154" t="inlineStr">
        <is>
          <t>Trục Sus 201 D10</t>
        </is>
      </c>
      <c r="D154" t="inlineStr">
        <is>
          <t>PHỤ_KIỆN_VAN</t>
        </is>
      </c>
      <c r="E154" t="inlineStr">
        <is>
          <t>MAT-DAMPER-TRUC-SUS-201-D10</t>
        </is>
      </c>
      <c r="F154" t="inlineStr">
        <is>
          <t>m</t>
        </is>
      </c>
      <c r="G154" s="17" t="n">
        <v>0.7160966691566841</v>
      </c>
      <c r="H154" s="13">
        <f>'00_TONG_HOP_BAO_GIA'!G17</f>
        <v/>
      </c>
      <c r="I154" s="18">
        <f>G154*H154</f>
        <v/>
      </c>
      <c r="J154" s="13">
        <f>IFERROR(INDEX('06_BANG_GIA_VAT_TU_AP_DUNG'!$E$1:$E$5000, MATCH(E154, '06_BANG_GIA_VAT_TU_AP_DUNG'!$B$1:$B$5000, 0)), 0)</f>
        <v/>
      </c>
      <c r="K154" s="13">
        <f>I154*J154</f>
        <v/>
      </c>
      <c r="L154" t="inlineStr">
        <is>
          <t>1 trục dài 560mm</t>
        </is>
      </c>
    </row>
    <row r="155">
      <c r="A155" t="inlineStr">
        <is>
          <t>SW-DAMPER-016-BEARING</t>
        </is>
      </c>
      <c r="B155" t="inlineStr">
        <is>
          <t>SW-DAMPER-016</t>
        </is>
      </c>
      <c r="C155" t="inlineStr">
        <is>
          <t>Bạc đồng D10</t>
        </is>
      </c>
      <c r="D155" t="inlineStr">
        <is>
          <t>PHỤ_KIỆN_VAN</t>
        </is>
      </c>
      <c r="E155" t="inlineStr">
        <is>
          <t>MAT-DAMPER-BAC-DONG-D10</t>
        </is>
      </c>
      <c r="F155" t="inlineStr">
        <is>
          <t>Đôi</t>
        </is>
      </c>
      <c r="G155" s="17" t="n">
        <v>1</v>
      </c>
      <c r="H155" s="13">
        <f>'00_TONG_HOP_BAO_GIA'!G17</f>
        <v/>
      </c>
      <c r="I155" s="18">
        <f>G155*H155</f>
        <v/>
      </c>
      <c r="J155" s="13">
        <f>IFERROR(INDEX('06_BANG_GIA_VAT_TU_AP_DUNG'!$E$1:$E$5000, MATCH(E155, '06_BANG_GIA_VAT_TU_AP_DUNG'!$B$1:$B$5000, 0)), 0)</f>
        <v/>
      </c>
      <c r="K155" s="13">
        <f>I155*J155</f>
        <v/>
      </c>
      <c r="L155" t="inlineStr">
        <is>
          <t>1 đôi bạc đỡ 2 bên thân</t>
        </is>
      </c>
    </row>
    <row r="156">
      <c r="A156" t="inlineStr">
        <is>
          <t>SW-DAMPER-016-ACTUATOR</t>
        </is>
      </c>
      <c r="B156" t="inlineStr">
        <is>
          <t>SW-DAMPER-016</t>
        </is>
      </c>
      <c r="C156" t="inlineStr">
        <is>
          <t>Động cơ chặn lửa ON/OFF 3.5Nm, 230V/24V (BELIMO FSLF24 / FSLF230)</t>
        </is>
      </c>
      <c r="D156" t="inlineStr">
        <is>
          <t>ĐỘNG_CƠ_VÀ_CẢM_BIẾN</t>
        </is>
      </c>
      <c r="E156" t="inlineStr">
        <is>
          <t>MAT-ACTUATOR-BELIMO-FSLF24</t>
        </is>
      </c>
      <c r="F156" t="inlineStr">
        <is>
          <t>Cái</t>
        </is>
      </c>
      <c r="G156" s="17" t="n">
        <v>1</v>
      </c>
      <c r="H156" s="13">
        <f>'00_TONG_HOP_BAO_GIA'!G17</f>
        <v/>
      </c>
      <c r="I156" s="18">
        <f>G156*H156</f>
        <v/>
      </c>
      <c r="J156" s="13">
        <f>IFERROR(INDEX('06_BANG_GIA_VAT_TU_AP_DUNG'!$E$1:$E$5000, MATCH(E156, '06_BANG_GIA_VAT_TU_AP_DUNG'!$B$1:$B$5000, 0)), 0)</f>
        <v/>
      </c>
      <c r="K156" s="13">
        <f>I156*J156</f>
        <v/>
      </c>
      <c r="L156" t="inlineStr">
        <is>
          <t>Động cơ lò xo phản hồi MFD (1 bộ)</t>
        </is>
      </c>
    </row>
    <row r="157">
      <c r="A157" t="inlineStr">
        <is>
          <t>SW-DAMPER-016-FB10-BODY</t>
        </is>
      </c>
      <c r="B157" t="inlineStr">
        <is>
          <t>SW-DAMPER-016</t>
        </is>
      </c>
      <c r="C157" t="inlineStr">
        <is>
          <t>Tấm chống cháy dày 10mm bọc thân van FD/MFD (2 lớp)</t>
        </is>
      </c>
      <c r="D157" t="inlineStr">
        <is>
          <t>VẬT_LIỆU_CÁCH_NHIỆT</t>
        </is>
      </c>
      <c r="E157" t="inlineStr">
        <is>
          <t>MAT-FIREBOARD-10MM-BODY</t>
        </is>
      </c>
      <c r="F157" t="inlineStr">
        <is>
          <t>m2</t>
        </is>
      </c>
      <c r="G157" s="17" t="n">
        <v>1.074145003735026</v>
      </c>
      <c r="H157" s="13">
        <f>'00_TONG_HOP_BAO_GIA'!G17</f>
        <v/>
      </c>
      <c r="I157" s="18">
        <f>G157*H157</f>
        <v/>
      </c>
      <c r="J157" s="13">
        <f>IFERROR(INDEX('06_BANG_GIA_VAT_TU_AP_DUNG'!$E$1:$E$5000, MATCH(E157, '06_BANG_GIA_VAT_TU_AP_DUNG'!$B$1:$B$5000, 0)), 0)</f>
        <v/>
      </c>
      <c r="K157" s="13">
        <f>I157*J157</f>
        <v/>
      </c>
      <c r="L157" t="inlineStr">
        <is>
          <t>Bọc 2 lớp tấm 10mm quanh thân L=300mm</t>
        </is>
      </c>
    </row>
    <row r="158">
      <c r="A158" t="inlineStr">
        <is>
          <t>SW-DAMPER-016-FB20-BLADE</t>
        </is>
      </c>
      <c r="B158" t="inlineStr">
        <is>
          <t>SW-DAMPER-016</t>
        </is>
      </c>
      <c r="C158" t="inlineStr">
        <is>
          <t>Tấm chống cháy dày 20mm làm lõi cánh van FD/MFD</t>
        </is>
      </c>
      <c r="D158" t="inlineStr">
        <is>
          <t>VẬT_LIỆU_CÁCH_NHIỆT</t>
        </is>
      </c>
      <c r="E158" t="inlineStr">
        <is>
          <t>MAT-FIREBOARD-20MM-BLADE</t>
        </is>
      </c>
      <c r="F158" t="inlineStr">
        <is>
          <t>m2</t>
        </is>
      </c>
      <c r="G158" s="17" t="n">
        <v>0.1278744052065507</v>
      </c>
      <c r="H158" s="13">
        <f>'00_TONG_HOP_BAO_GIA'!G17</f>
        <v/>
      </c>
      <c r="I158" s="18">
        <f>G158*H158</f>
        <v/>
      </c>
      <c r="J158" s="13">
        <f>IFERROR(INDEX('06_BANG_GIA_VAT_TU_AP_DUNG'!$E$1:$E$5000, MATCH(E158, '06_BANG_GIA_VAT_TU_AP_DUNG'!$B$1:$B$5000, 0)), 0)</f>
        <v/>
      </c>
      <c r="K158" s="13">
        <f>I158*J158</f>
        <v/>
      </c>
      <c r="L158" t="inlineStr">
        <is>
          <t>Lõi cánh tấm 20mm (Cánh đơn 500x200mm)</t>
        </is>
      </c>
    </row>
    <row r="159">
      <c r="A159" t="inlineStr">
        <is>
          <t>SW-DAMPER-016-FB10-BLADE</t>
        </is>
      </c>
      <c r="B159" t="inlineStr">
        <is>
          <t>SW-DAMPER-016</t>
        </is>
      </c>
      <c r="C159" t="inlineStr">
        <is>
          <t>Tấm chống cháy dày 10mm ốp 2 mặt cánh van FD/MFD</t>
        </is>
      </c>
      <c r="D159" t="inlineStr">
        <is>
          <t>VẬT_LIỆU_CÁCH_NHIỆT</t>
        </is>
      </c>
      <c r="E159" t="inlineStr">
        <is>
          <t>MAT-FIREBOARD-10MM-BLADE</t>
        </is>
      </c>
      <c r="F159" t="inlineStr">
        <is>
          <t>m2</t>
        </is>
      </c>
      <c r="G159" s="17" t="n">
        <v>0.2557488104131015</v>
      </c>
      <c r="H159" s="13">
        <f>'00_TONG_HOP_BAO_GIA'!G17</f>
        <v/>
      </c>
      <c r="I159" s="18">
        <f>G159*H159</f>
        <v/>
      </c>
      <c r="J159" s="13">
        <f>IFERROR(INDEX('06_BANG_GIA_VAT_TU_AP_DUNG'!$E$1:$E$5000, MATCH(E159, '06_BANG_GIA_VAT_TU_AP_DUNG'!$B$1:$B$5000, 0)), 0)</f>
        <v/>
      </c>
      <c r="K159" s="13">
        <f>I159*J159</f>
        <v/>
      </c>
      <c r="L159" t="inlineStr">
        <is>
          <t>Ốp 2 mặt cánh tấm 10mm (Cánh đơn 500x200mm)</t>
        </is>
      </c>
    </row>
    <row r="160">
      <c r="A160" t="inlineStr">
        <is>
          <t>SW-DAMPER-016-SPRING-BOX</t>
        </is>
      </c>
      <c r="B160" t="inlineStr">
        <is>
          <t>SW-DAMPER-016</t>
        </is>
      </c>
      <c r="C160" t="inlineStr">
        <is>
          <t>Hộp lò xo van chặn lửa FD/MFD</t>
        </is>
      </c>
      <c r="D160" t="inlineStr">
        <is>
          <t>PHỤ_KIỆN_VAN</t>
        </is>
      </c>
      <c r="E160" t="inlineStr">
        <is>
          <t>MAT-DAMPER-HOP-LO-XO</t>
        </is>
      </c>
      <c r="F160" t="inlineStr">
        <is>
          <t>Bộ</t>
        </is>
      </c>
      <c r="G160" s="17" t="n">
        <v>1</v>
      </c>
      <c r="H160" s="13">
        <f>'00_TONG_HOP_BAO_GIA'!G17</f>
        <v/>
      </c>
      <c r="I160" s="18">
        <f>G160*H160</f>
        <v/>
      </c>
      <c r="J160" s="13">
        <f>IFERROR(INDEX('06_BANG_GIA_VAT_TU_AP_DUNG'!$E$1:$E$5000, MATCH(E160, '06_BANG_GIA_VAT_TU_AP_DUNG'!$B$1:$B$5000, 0)), 0)</f>
        <v/>
      </c>
      <c r="K160" s="13">
        <f>I160*J160</f>
        <v/>
      </c>
      <c r="L160" t="inlineStr">
        <is>
          <t>Hộp lò xo cơ cấu đóng sập (1 bộ)</t>
        </is>
      </c>
    </row>
    <row r="161">
      <c r="A161" t="inlineStr">
        <is>
          <t>SW-DAMPER-016-SILICON-BOLT</t>
        </is>
      </c>
      <c r="B161" t="inlineStr">
        <is>
          <t>SW-DAMPER-016</t>
        </is>
      </c>
      <c r="C161" t="inlineStr">
        <is>
          <t>Silicon chống cháy + bu lông, ốc vít van FD/MFD</t>
        </is>
      </c>
      <c r="D161" t="inlineStr">
        <is>
          <t>PHỤ_KIỆN_VAN</t>
        </is>
      </c>
      <c r="E161" t="inlineStr">
        <is>
          <t>MAT-DAMPER-SILICON-BULONG-VIT</t>
        </is>
      </c>
      <c r="F161" t="inlineStr">
        <is>
          <t>Bộ</t>
        </is>
      </c>
      <c r="G161" s="17" t="n">
        <v>1</v>
      </c>
      <c r="H161" s="13">
        <f>'00_TONG_HOP_BAO_GIA'!G17</f>
        <v/>
      </c>
      <c r="I161" s="18">
        <f>G161*H161</f>
        <v/>
      </c>
      <c r="J161" s="13">
        <f>IFERROR(INDEX('06_BANG_GIA_VAT_TU_AP_DUNG'!$E$1:$E$5000, MATCH(E161, '06_BANG_GIA_VAT_TU_AP_DUNG'!$B$1:$B$5000, 0)), 0)</f>
        <v/>
      </c>
      <c r="K161" s="13">
        <f>I161*J161</f>
        <v/>
      </c>
      <c r="L161" t="inlineStr">
        <is>
          <t>Keo silicon chống cháy &amp; phụ kiện lắp ghép (1 bộ)</t>
        </is>
      </c>
    </row>
    <row r="162">
      <c r="A162" t="inlineStr">
        <is>
          <t>SW-DAMPER-017-BODY</t>
        </is>
      </c>
      <c r="B162" t="inlineStr">
        <is>
          <t>SW-DAMPER-017</t>
        </is>
      </c>
      <c r="C162" t="inlineStr">
        <is>
          <t>Thân vỏ van MFD bích C30/TDF (1.15mm)</t>
        </is>
      </c>
      <c r="D162" t="inlineStr">
        <is>
          <t>TÔN_CUỘN_MẠ_KẼM</t>
        </is>
      </c>
      <c r="E162" t="inlineStr">
        <is>
          <t>MAT-STEEL-PN-1.15</t>
        </is>
      </c>
      <c r="F162" t="inlineStr">
        <is>
          <t>kg</t>
        </is>
      </c>
      <c r="G162" s="17" t="n">
        <v>8.269608976635233</v>
      </c>
      <c r="H162" s="13">
        <f>'00_TONG_HOP_BAO_GIA'!G18</f>
        <v/>
      </c>
      <c r="I162" s="18">
        <f>G162*H162</f>
        <v/>
      </c>
      <c r="J162" s="13">
        <f>IFERROR(INDEX('06_BANG_GIA_VAT_TU_AP_DUNG'!$E$1:$E$5000, MATCH(E162, '06_BANG_GIA_VAT_TU_AP_DUNG'!$B$1:$B$5000, 0)), 0)</f>
        <v/>
      </c>
      <c r="K162" s="13">
        <f>I162*J162</f>
        <v/>
      </c>
      <c r="L162" t="inlineStr">
        <is>
          <t>Kích thước vỏ 900x400x200mm</t>
        </is>
      </c>
    </row>
    <row r="163">
      <c r="A163" t="inlineStr">
        <is>
          <t>SW-DAMPER-017-BLADE</t>
        </is>
      </c>
      <c r="B163" t="inlineStr">
        <is>
          <t>SW-DAMPER-017</t>
        </is>
      </c>
      <c r="C163" t="inlineStr">
        <is>
          <t>Lá cánh / Tôn tấm bọc van (1 cánh)</t>
        </is>
      </c>
      <c r="D163" t="inlineStr">
        <is>
          <t>TÔN_CUỘN_MẠ_KẼM</t>
        </is>
      </c>
      <c r="E163" t="inlineStr">
        <is>
          <t>MAT-STEEL-PN-1.15</t>
        </is>
      </c>
      <c r="F163" t="inlineStr">
        <is>
          <t>kg</t>
        </is>
      </c>
      <c r="G163" s="17" t="n">
        <v>7.955371790894885</v>
      </c>
      <c r="H163" s="13">
        <f>'00_TONG_HOP_BAO_GIA'!G18</f>
        <v/>
      </c>
      <c r="I163" s="18">
        <f>G163*H163</f>
        <v/>
      </c>
      <c r="J163" s="13">
        <f>IFERROR(INDEX('06_BANG_GIA_VAT_TU_AP_DUNG'!$E$1:$E$5000, MATCH(E163, '06_BANG_GIA_VAT_TU_AP_DUNG'!$B$1:$B$5000, 0)), 0)</f>
        <v/>
      </c>
      <c r="K163" s="13">
        <f>I163*J163</f>
        <v/>
      </c>
      <c r="L163" t="inlineStr">
        <is>
          <t>Tôn bọc cánh &amp; thân (1 cánh/modul)</t>
        </is>
      </c>
    </row>
    <row r="164">
      <c r="A164" t="inlineStr">
        <is>
          <t>SW-DAMPER-017-AXLE</t>
        </is>
      </c>
      <c r="B164" t="inlineStr">
        <is>
          <t>SW-DAMPER-017</t>
        </is>
      </c>
      <c r="C164" t="inlineStr">
        <is>
          <t>Trục Sus 201 D10</t>
        </is>
      </c>
      <c r="D164" t="inlineStr">
        <is>
          <t>PHỤ_KIỆN_VAN</t>
        </is>
      </c>
      <c r="E164" t="inlineStr">
        <is>
          <t>MAT-DAMPER-TRUC-SUS-201-D10</t>
        </is>
      </c>
      <c r="F164" t="inlineStr">
        <is>
          <t>m</t>
        </is>
      </c>
      <c r="G164" s="17" t="n">
        <v>1.174983371682065</v>
      </c>
      <c r="H164" s="13">
        <f>'00_TONG_HOP_BAO_GIA'!G18</f>
        <v/>
      </c>
      <c r="I164" s="18">
        <f>G164*H164</f>
        <v/>
      </c>
      <c r="J164" s="13">
        <f>IFERROR(INDEX('06_BANG_GIA_VAT_TU_AP_DUNG'!$E$1:$E$5000, MATCH(E164, '06_BANG_GIA_VAT_TU_AP_DUNG'!$B$1:$B$5000, 0)), 0)</f>
        <v/>
      </c>
      <c r="K164" s="13">
        <f>I164*J164</f>
        <v/>
      </c>
      <c r="L164" t="inlineStr">
        <is>
          <t>1 trục dài 960mm</t>
        </is>
      </c>
    </row>
    <row r="165">
      <c r="A165" t="inlineStr">
        <is>
          <t>SW-DAMPER-017-BEARING</t>
        </is>
      </c>
      <c r="B165" t="inlineStr">
        <is>
          <t>SW-DAMPER-017</t>
        </is>
      </c>
      <c r="C165" t="inlineStr">
        <is>
          <t>Bạc đồng D10</t>
        </is>
      </c>
      <c r="D165" t="inlineStr">
        <is>
          <t>PHỤ_KIỆN_VAN</t>
        </is>
      </c>
      <c r="E165" t="inlineStr">
        <is>
          <t>MAT-DAMPER-BAC-DONG-D10</t>
        </is>
      </c>
      <c r="F165" t="inlineStr">
        <is>
          <t>Đôi</t>
        </is>
      </c>
      <c r="G165" s="17" t="n">
        <v>1</v>
      </c>
      <c r="H165" s="13">
        <f>'00_TONG_HOP_BAO_GIA'!G18</f>
        <v/>
      </c>
      <c r="I165" s="18">
        <f>G165*H165</f>
        <v/>
      </c>
      <c r="J165" s="13">
        <f>IFERROR(INDEX('06_BANG_GIA_VAT_TU_AP_DUNG'!$E$1:$E$5000, MATCH(E165, '06_BANG_GIA_VAT_TU_AP_DUNG'!$B$1:$B$5000, 0)), 0)</f>
        <v/>
      </c>
      <c r="K165" s="13">
        <f>I165*J165</f>
        <v/>
      </c>
      <c r="L165" t="inlineStr">
        <is>
          <t>1 đôi bạc đỡ 2 bên thân</t>
        </is>
      </c>
    </row>
    <row r="166">
      <c r="A166" t="inlineStr">
        <is>
          <t>SW-DAMPER-017-ACTUATOR</t>
        </is>
      </c>
      <c r="B166" t="inlineStr">
        <is>
          <t>SW-DAMPER-017</t>
        </is>
      </c>
      <c r="C166" t="inlineStr">
        <is>
          <t>Động cơ chặn lửa ON/OFF 3.5Nm, 230V/24V (BELIMO FSLF24 / FSLF230)</t>
        </is>
      </c>
      <c r="D166" t="inlineStr">
        <is>
          <t>ĐỘNG_CƠ_VÀ_CẢM_BIẾN</t>
        </is>
      </c>
      <c r="E166" t="inlineStr">
        <is>
          <t>MAT-ACTUATOR-BELIMO-FSLF24</t>
        </is>
      </c>
      <c r="F166" t="inlineStr">
        <is>
          <t>Cái</t>
        </is>
      </c>
      <c r="G166" s="17" t="n">
        <v>1</v>
      </c>
      <c r="H166" s="13">
        <f>'00_TONG_HOP_BAO_GIA'!G18</f>
        <v/>
      </c>
      <c r="I166" s="18">
        <f>G166*H166</f>
        <v/>
      </c>
      <c r="J166" s="13">
        <f>IFERROR(INDEX('06_BANG_GIA_VAT_TU_AP_DUNG'!$E$1:$E$5000, MATCH(E166, '06_BANG_GIA_VAT_TU_AP_DUNG'!$B$1:$B$5000, 0)), 0)</f>
        <v/>
      </c>
      <c r="K166" s="13">
        <f>I166*J166</f>
        <v/>
      </c>
      <c r="L166" t="inlineStr">
        <is>
          <t>Động cơ lò xo phản hồi MFD (1 bộ)</t>
        </is>
      </c>
    </row>
    <row r="167">
      <c r="A167" t="inlineStr">
        <is>
          <t>SW-DAMPER-017-FB10-BODY</t>
        </is>
      </c>
      <c r="B167" t="inlineStr">
        <is>
          <t>SW-DAMPER-017</t>
        </is>
      </c>
      <c r="C167" t="inlineStr">
        <is>
          <t>Tấm chống cháy dày 10mm bọc thân van FD/MFD (2 lớp)</t>
        </is>
      </c>
      <c r="D167" t="inlineStr">
        <is>
          <t>VẬT_LIỆU_CÁCH_NHIỆT</t>
        </is>
      </c>
      <c r="E167" t="inlineStr">
        <is>
          <t>MAT-FIREBOARD-10MM-BODY</t>
        </is>
      </c>
      <c r="F167" t="inlineStr">
        <is>
          <t>m2</t>
        </is>
      </c>
      <c r="G167" s="17" t="n">
        <v>1.909347978983357</v>
      </c>
      <c r="H167" s="13">
        <f>'00_TONG_HOP_BAO_GIA'!G18</f>
        <v/>
      </c>
      <c r="I167" s="18">
        <f>G167*H167</f>
        <v/>
      </c>
      <c r="J167" s="13">
        <f>IFERROR(INDEX('06_BANG_GIA_VAT_TU_AP_DUNG'!$E$1:$E$5000, MATCH(E167, '06_BANG_GIA_VAT_TU_AP_DUNG'!$B$1:$B$5000, 0)), 0)</f>
        <v/>
      </c>
      <c r="K167" s="13">
        <f>I167*J167</f>
        <v/>
      </c>
      <c r="L167" t="inlineStr">
        <is>
          <t>Bọc 2 lớp tấm 10mm quanh thân L=300mm</t>
        </is>
      </c>
    </row>
    <row r="168">
      <c r="A168" t="inlineStr">
        <is>
          <t>SW-DAMPER-017-FB20-BLADE</t>
        </is>
      </c>
      <c r="B168" t="inlineStr">
        <is>
          <t>SW-DAMPER-017</t>
        </is>
      </c>
      <c r="C168" t="inlineStr">
        <is>
          <t>Tấm chống cháy dày 20mm làm lõi cánh van FD/MFD</t>
        </is>
      </c>
      <c r="D168" t="inlineStr">
        <is>
          <t>VẬT_LIỆU_CÁCH_NHIỆT</t>
        </is>
      </c>
      <c r="E168" t="inlineStr">
        <is>
          <t>MAT-FIREBOARD-20MM-BLADE</t>
        </is>
      </c>
      <c r="F168" t="inlineStr">
        <is>
          <t>m2</t>
        </is>
      </c>
      <c r="G168" s="17" t="n">
        <v>0.4406187643807746</v>
      </c>
      <c r="H168" s="13">
        <f>'00_TONG_HOP_BAO_GIA'!G18</f>
        <v/>
      </c>
      <c r="I168" s="18">
        <f>G168*H168</f>
        <v/>
      </c>
      <c r="J168" s="13">
        <f>IFERROR(INDEX('06_BANG_GIA_VAT_TU_AP_DUNG'!$E$1:$E$5000, MATCH(E168, '06_BANG_GIA_VAT_TU_AP_DUNG'!$B$1:$B$5000, 0)), 0)</f>
        <v/>
      </c>
      <c r="K168" s="13">
        <f>I168*J168</f>
        <v/>
      </c>
      <c r="L168" t="inlineStr">
        <is>
          <t>Lõi cánh tấm 20mm (Cánh đơn 900x400mm)</t>
        </is>
      </c>
    </row>
    <row r="169">
      <c r="A169" t="inlineStr">
        <is>
          <t>SW-DAMPER-017-FB10-BLADE</t>
        </is>
      </c>
      <c r="B169" t="inlineStr">
        <is>
          <t>SW-DAMPER-017</t>
        </is>
      </c>
      <c r="C169" t="inlineStr">
        <is>
          <t>Tấm chống cháy dày 10mm ốp 2 mặt cánh van FD/MFD</t>
        </is>
      </c>
      <c r="D169" t="inlineStr">
        <is>
          <t>VẬT_LIỆU_CÁCH_NHIỆT</t>
        </is>
      </c>
      <c r="E169" t="inlineStr">
        <is>
          <t>MAT-FIREBOARD-10MM-BLADE</t>
        </is>
      </c>
      <c r="F169" t="inlineStr">
        <is>
          <t>m2</t>
        </is>
      </c>
      <c r="G169" s="17" t="n">
        <v>0.8812375287615493</v>
      </c>
      <c r="H169" s="13">
        <f>'00_TONG_HOP_BAO_GIA'!G18</f>
        <v/>
      </c>
      <c r="I169" s="18">
        <f>G169*H169</f>
        <v/>
      </c>
      <c r="J169" s="13">
        <f>IFERROR(INDEX('06_BANG_GIA_VAT_TU_AP_DUNG'!$E$1:$E$5000, MATCH(E169, '06_BANG_GIA_VAT_TU_AP_DUNG'!$B$1:$B$5000, 0)), 0)</f>
        <v/>
      </c>
      <c r="K169" s="13">
        <f>I169*J169</f>
        <v/>
      </c>
      <c r="L169" t="inlineStr">
        <is>
          <t>Ốp 2 mặt cánh tấm 10mm (Cánh đơn 900x400mm)</t>
        </is>
      </c>
    </row>
    <row r="170">
      <c r="A170" t="inlineStr">
        <is>
          <t>SW-DAMPER-017-SPRING-BOX</t>
        </is>
      </c>
      <c r="B170" t="inlineStr">
        <is>
          <t>SW-DAMPER-017</t>
        </is>
      </c>
      <c r="C170" t="inlineStr">
        <is>
          <t>Hộp lò xo van chặn lửa FD/MFD</t>
        </is>
      </c>
      <c r="D170" t="inlineStr">
        <is>
          <t>PHỤ_KIỆN_VAN</t>
        </is>
      </c>
      <c r="E170" t="inlineStr">
        <is>
          <t>MAT-DAMPER-HOP-LO-XO</t>
        </is>
      </c>
      <c r="F170" t="inlineStr">
        <is>
          <t>Bộ</t>
        </is>
      </c>
      <c r="G170" s="17" t="n">
        <v>1</v>
      </c>
      <c r="H170" s="13">
        <f>'00_TONG_HOP_BAO_GIA'!G18</f>
        <v/>
      </c>
      <c r="I170" s="18">
        <f>G170*H170</f>
        <v/>
      </c>
      <c r="J170" s="13">
        <f>IFERROR(INDEX('06_BANG_GIA_VAT_TU_AP_DUNG'!$E$1:$E$5000, MATCH(E170, '06_BANG_GIA_VAT_TU_AP_DUNG'!$B$1:$B$5000, 0)), 0)</f>
        <v/>
      </c>
      <c r="K170" s="13">
        <f>I170*J170</f>
        <v/>
      </c>
      <c r="L170" t="inlineStr">
        <is>
          <t>Hộp lò xo cơ cấu đóng sập (1 bộ)</t>
        </is>
      </c>
    </row>
    <row r="171">
      <c r="A171" t="inlineStr">
        <is>
          <t>SW-DAMPER-017-SILICON-BOLT</t>
        </is>
      </c>
      <c r="B171" t="inlineStr">
        <is>
          <t>SW-DAMPER-017</t>
        </is>
      </c>
      <c r="C171" t="inlineStr">
        <is>
          <t>Silicon chống cháy + bu lông, ốc vít van FD/MFD</t>
        </is>
      </c>
      <c r="D171" t="inlineStr">
        <is>
          <t>PHỤ_KIỆN_VAN</t>
        </is>
      </c>
      <c r="E171" t="inlineStr">
        <is>
          <t>MAT-DAMPER-SILICON-BULONG-VIT</t>
        </is>
      </c>
      <c r="F171" t="inlineStr">
        <is>
          <t>Bộ</t>
        </is>
      </c>
      <c r="G171" s="17" t="n">
        <v>1</v>
      </c>
      <c r="H171" s="13">
        <f>'00_TONG_HOP_BAO_GIA'!G18</f>
        <v/>
      </c>
      <c r="I171" s="18">
        <f>G171*H171</f>
        <v/>
      </c>
      <c r="J171" s="13">
        <f>IFERROR(INDEX('06_BANG_GIA_VAT_TU_AP_DUNG'!$E$1:$E$5000, MATCH(E171, '06_BANG_GIA_VAT_TU_AP_DUNG'!$B$1:$B$5000, 0)), 0)</f>
        <v/>
      </c>
      <c r="K171" s="13">
        <f>I171*J171</f>
        <v/>
      </c>
      <c r="L171" t="inlineStr">
        <is>
          <t>Keo silicon chống cháy &amp; phụ kiện lắp ghép (1 bộ)</t>
        </is>
      </c>
    </row>
    <row r="172">
      <c r="A172" t="inlineStr">
        <is>
          <t>SW-DAMPER-018-BODY</t>
        </is>
      </c>
      <c r="B172" t="inlineStr">
        <is>
          <t>SW-DAMPER-018</t>
        </is>
      </c>
      <c r="C172" t="inlineStr">
        <is>
          <t>Thân vỏ van MFD bích C30/TDF (1.15mm)</t>
        </is>
      </c>
      <c r="D172" t="inlineStr">
        <is>
          <t>TÔN_CUỘN_MẠ_KẼM</t>
        </is>
      </c>
      <c r="E172" t="inlineStr">
        <is>
          <t>MAT-STEEL-PN-1.15</t>
        </is>
      </c>
      <c r="F172" t="inlineStr">
        <is>
          <t>kg</t>
        </is>
      </c>
      <c r="G172" s="17" t="n">
        <v>119.3600255914089</v>
      </c>
      <c r="H172" s="13">
        <f>'00_TONG_HOP_BAO_GIA'!G19</f>
        <v/>
      </c>
      <c r="I172" s="18">
        <f>G172*H172</f>
        <v/>
      </c>
      <c r="J172" s="13">
        <f>IFERROR(INDEX('06_BANG_GIA_VAT_TU_AP_DUNG'!$E$1:$E$5000, MATCH(E172, '06_BANG_GIA_VAT_TU_AP_DUNG'!$B$1:$B$5000, 0)), 0)</f>
        <v/>
      </c>
      <c r="K172" s="13">
        <f>I172*J172</f>
        <v/>
      </c>
      <c r="L172" t="inlineStr">
        <is>
          <t>Kích thước vỏ 3600x2000x200mm (12 modul 900x667mm)</t>
        </is>
      </c>
    </row>
    <row r="173">
      <c r="A173" t="inlineStr">
        <is>
          <t>SW-DAMPER-018-BLADE</t>
        </is>
      </c>
      <c r="B173" t="inlineStr">
        <is>
          <t>SW-DAMPER-018</t>
        </is>
      </c>
      <c r="C173" t="inlineStr">
        <is>
          <t>Lá cánh / Tôn tấm bọc van (12 cánh)</t>
        </is>
      </c>
      <c r="D173" t="inlineStr">
        <is>
          <t>TÔN_CUỘN_MẠ_KẼM</t>
        </is>
      </c>
      <c r="E173" t="inlineStr">
        <is>
          <t>MAT-STEEL-PN-1.15</t>
        </is>
      </c>
      <c r="F173" t="inlineStr">
        <is>
          <t>kg</t>
        </is>
      </c>
      <c r="G173" s="17" t="n">
        <v>159.2103849425222</v>
      </c>
      <c r="H173" s="13">
        <f>'00_TONG_HOP_BAO_GIA'!G19</f>
        <v/>
      </c>
      <c r="I173" s="18">
        <f>G173*H173</f>
        <v/>
      </c>
      <c r="J173" s="13">
        <f>IFERROR(INDEX('06_BANG_GIA_VAT_TU_AP_DUNG'!$E$1:$E$5000, MATCH(E173, '06_BANG_GIA_VAT_TU_AP_DUNG'!$B$1:$B$5000, 0)), 0)</f>
        <v/>
      </c>
      <c r="K173" s="13">
        <f>I173*J173</f>
        <v/>
      </c>
      <c r="L173" t="inlineStr">
        <is>
          <t>Tôn bọc cánh &amp; thân (1 cánh/modul (12 modul 900x667mm))</t>
        </is>
      </c>
    </row>
    <row r="174">
      <c r="A174" t="inlineStr">
        <is>
          <t>SW-DAMPER-018-AXLE</t>
        </is>
      </c>
      <c r="B174" t="inlineStr">
        <is>
          <t>SW-DAMPER-018</t>
        </is>
      </c>
      <c r="C174" t="inlineStr">
        <is>
          <t>Trục Sus 201 D10</t>
        </is>
      </c>
      <c r="D174" t="inlineStr">
        <is>
          <t>PHỤ_KIỆN_VAN</t>
        </is>
      </c>
      <c r="E174" t="inlineStr">
        <is>
          <t>MAT-DAMPER-TRUC-SUS-201-D10</t>
        </is>
      </c>
      <c r="F174" t="inlineStr">
        <is>
          <t>m</t>
        </is>
      </c>
      <c r="G174" s="17" t="n">
        <v>14.10892361717173</v>
      </c>
      <c r="H174" s="13">
        <f>'00_TONG_HOP_BAO_GIA'!G19</f>
        <v/>
      </c>
      <c r="I174" s="18">
        <f>G174*H174</f>
        <v/>
      </c>
      <c r="J174" s="13">
        <f>IFERROR(INDEX('06_BANG_GIA_VAT_TU_AP_DUNG'!$E$1:$E$5000, MATCH(E174, '06_BANG_GIA_VAT_TU_AP_DUNG'!$B$1:$B$5000, 0)), 0)</f>
        <v/>
      </c>
      <c r="K174" s="13">
        <f>I174*J174</f>
        <v/>
      </c>
      <c r="L174" t="inlineStr">
        <is>
          <t>12 trục dài 960mm</t>
        </is>
      </c>
    </row>
    <row r="175">
      <c r="A175" t="inlineStr">
        <is>
          <t>SW-DAMPER-018-BEARING</t>
        </is>
      </c>
      <c r="B175" t="inlineStr">
        <is>
          <t>SW-DAMPER-018</t>
        </is>
      </c>
      <c r="C175" t="inlineStr">
        <is>
          <t>Bạc đồng D10</t>
        </is>
      </c>
      <c r="D175" t="inlineStr">
        <is>
          <t>PHỤ_KIỆN_VAN</t>
        </is>
      </c>
      <c r="E175" t="inlineStr">
        <is>
          <t>MAT-DAMPER-BAC-DONG-D10</t>
        </is>
      </c>
      <c r="F175" t="inlineStr">
        <is>
          <t>Đôi</t>
        </is>
      </c>
      <c r="G175" s="17" t="n">
        <v>12</v>
      </c>
      <c r="H175" s="13">
        <f>'00_TONG_HOP_BAO_GIA'!G19</f>
        <v/>
      </c>
      <c r="I175" s="18">
        <f>G175*H175</f>
        <v/>
      </c>
      <c r="J175" s="13">
        <f>IFERROR(INDEX('06_BANG_GIA_VAT_TU_AP_DUNG'!$E$1:$E$5000, MATCH(E175, '06_BANG_GIA_VAT_TU_AP_DUNG'!$B$1:$B$5000, 0)), 0)</f>
        <v/>
      </c>
      <c r="K175" s="13">
        <f>I175*J175</f>
        <v/>
      </c>
      <c r="L175" t="inlineStr">
        <is>
          <t>12 đôi bạc đỡ 2 bên thân</t>
        </is>
      </c>
    </row>
    <row r="176">
      <c r="A176" t="inlineStr">
        <is>
          <t>SW-DAMPER-018-ACTUATOR</t>
        </is>
      </c>
      <c r="B176" t="inlineStr">
        <is>
          <t>SW-DAMPER-018</t>
        </is>
      </c>
      <c r="C176" t="inlineStr">
        <is>
          <t>Động cơ chặn lửa ON/OFF 3.5Nm, 230V/24V (BELIMO FSLF24 / FSLF230)</t>
        </is>
      </c>
      <c r="D176" t="inlineStr">
        <is>
          <t>ĐỘNG_CƠ_VÀ_CẢM_BIẾN</t>
        </is>
      </c>
      <c r="E176" t="inlineStr">
        <is>
          <t>MAT-ACTUATOR-BELIMO-FSLF24</t>
        </is>
      </c>
      <c r="F176" t="inlineStr">
        <is>
          <t>Cái</t>
        </is>
      </c>
      <c r="G176" s="17" t="n">
        <v>12</v>
      </c>
      <c r="H176" s="13">
        <f>'00_TONG_HOP_BAO_GIA'!G19</f>
        <v/>
      </c>
      <c r="I176" s="18">
        <f>G176*H176</f>
        <v/>
      </c>
      <c r="J176" s="13">
        <f>IFERROR(INDEX('06_BANG_GIA_VAT_TU_AP_DUNG'!$E$1:$E$5000, MATCH(E176, '06_BANG_GIA_VAT_TU_AP_DUNG'!$B$1:$B$5000, 0)), 0)</f>
        <v/>
      </c>
      <c r="K176" s="13">
        <f>I176*J176</f>
        <v/>
      </c>
      <c r="L176" t="inlineStr">
        <is>
          <t>Động cơ lò xo phản hồi MFD (12 bộ (12 modul 900x667mm))</t>
        </is>
      </c>
    </row>
    <row r="177">
      <c r="A177" t="inlineStr">
        <is>
          <t>SW-DAMPER-018-FB10-BODY</t>
        </is>
      </c>
      <c r="B177" t="inlineStr">
        <is>
          <t>SW-DAMPER-018</t>
        </is>
      </c>
      <c r="C177" t="inlineStr">
        <is>
          <t>Tấm chống cháy dày 10mm bọc thân van FD/MFD (2 lớp)</t>
        </is>
      </c>
      <c r="D177" t="inlineStr">
        <is>
          <t>VẬT_LIỆU_CÁCH_NHIỆT</t>
        </is>
      </c>
      <c r="E177" t="inlineStr">
        <is>
          <t>MAT-FIREBOARD-10MM-BODY</t>
        </is>
      </c>
      <c r="F177" t="inlineStr">
        <is>
          <t>m2</t>
        </is>
      </c>
      <c r="G177" s="17" t="n">
        <v>27.62997541696131</v>
      </c>
      <c r="H177" s="13">
        <f>'00_TONG_HOP_BAO_GIA'!G19</f>
        <v/>
      </c>
      <c r="I177" s="18">
        <f>G177*H177</f>
        <v/>
      </c>
      <c r="J177" s="13">
        <f>IFERROR(INDEX('06_BANG_GIA_VAT_TU_AP_DUNG'!$E$1:$E$5000, MATCH(E177, '06_BANG_GIA_VAT_TU_AP_DUNG'!$B$1:$B$5000, 0)), 0)</f>
        <v/>
      </c>
      <c r="K177" s="13">
        <f>I177*J177</f>
        <v/>
      </c>
      <c r="L177" t="inlineStr">
        <is>
          <t>Bọc 2 lớp tấm 10mm quanh thân L=300mm (12 modul 900x667mm)</t>
        </is>
      </c>
    </row>
    <row r="178">
      <c r="A178" t="inlineStr">
        <is>
          <t>SW-DAMPER-018-FB20-BLADE</t>
        </is>
      </c>
      <c r="B178" t="inlineStr">
        <is>
          <t>SW-DAMPER-018</t>
        </is>
      </c>
      <c r="C178" t="inlineStr">
        <is>
          <t>Tấm chống cháy dày 20mm làm lõi cánh van FD/MFD</t>
        </is>
      </c>
      <c r="D178" t="inlineStr">
        <is>
          <t>VẬT_LIỆU_CÁCH_NHIỆT</t>
        </is>
      </c>
      <c r="E178" t="inlineStr">
        <is>
          <t>MAT-FIREBOARD-20MM-BLADE</t>
        </is>
      </c>
      <c r="F178" t="inlineStr">
        <is>
          <t>m2</t>
        </is>
      </c>
      <c r="G178" s="17" t="n">
        <v>8.818077260732332</v>
      </c>
      <c r="H178" s="13">
        <f>'00_TONG_HOP_BAO_GIA'!G19</f>
        <v/>
      </c>
      <c r="I178" s="18">
        <f>G178*H178</f>
        <v/>
      </c>
      <c r="J178" s="13">
        <f>IFERROR(INDEX('06_BANG_GIA_VAT_TU_AP_DUNG'!$E$1:$E$5000, MATCH(E178, '06_BANG_GIA_VAT_TU_AP_DUNG'!$B$1:$B$5000, 0)), 0)</f>
        <v/>
      </c>
      <c r="K178" s="13">
        <f>I178*J178</f>
        <v/>
      </c>
      <c r="L178" t="inlineStr">
        <is>
          <t>Lõi cánh tấm 20mm (Cánh đơn 900x667mm (12 modul 900x667mm))</t>
        </is>
      </c>
    </row>
    <row r="179">
      <c r="A179" t="inlineStr">
        <is>
          <t>SW-DAMPER-018-FB10-BLADE</t>
        </is>
      </c>
      <c r="B179" t="inlineStr">
        <is>
          <t>SW-DAMPER-018</t>
        </is>
      </c>
      <c r="C179" t="inlineStr">
        <is>
          <t>Tấm chống cháy dày 10mm ốp 2 mặt cánh van FD/MFD</t>
        </is>
      </c>
      <c r="D179" t="inlineStr">
        <is>
          <t>VẬT_LIỆU_CÁCH_NHIỆT</t>
        </is>
      </c>
      <c r="E179" t="inlineStr">
        <is>
          <t>MAT-FIREBOARD-10MM-BLADE</t>
        </is>
      </c>
      <c r="F179" t="inlineStr">
        <is>
          <t>m2</t>
        </is>
      </c>
      <c r="G179" s="17" t="n">
        <v>17.63615452146466</v>
      </c>
      <c r="H179" s="13">
        <f>'00_TONG_HOP_BAO_GIA'!G19</f>
        <v/>
      </c>
      <c r="I179" s="18">
        <f>G179*H179</f>
        <v/>
      </c>
      <c r="J179" s="13">
        <f>IFERROR(INDEX('06_BANG_GIA_VAT_TU_AP_DUNG'!$E$1:$E$5000, MATCH(E179, '06_BANG_GIA_VAT_TU_AP_DUNG'!$B$1:$B$5000, 0)), 0)</f>
        <v/>
      </c>
      <c r="K179" s="13">
        <f>I179*J179</f>
        <v/>
      </c>
      <c r="L179" t="inlineStr">
        <is>
          <t>Ốp 2 mặt cánh tấm 10mm (Cánh đơn 900x667mm (12 modul 900x667mm))</t>
        </is>
      </c>
    </row>
    <row r="180">
      <c r="A180" t="inlineStr">
        <is>
          <t>SW-DAMPER-018-SPRING-BOX</t>
        </is>
      </c>
      <c r="B180" t="inlineStr">
        <is>
          <t>SW-DAMPER-018</t>
        </is>
      </c>
      <c r="C180" t="inlineStr">
        <is>
          <t>Hộp lò xo van chặn lửa FD/MFD</t>
        </is>
      </c>
      <c r="D180" t="inlineStr">
        <is>
          <t>PHỤ_KIỆN_VAN</t>
        </is>
      </c>
      <c r="E180" t="inlineStr">
        <is>
          <t>MAT-DAMPER-HOP-LO-XO</t>
        </is>
      </c>
      <c r="F180" t="inlineStr">
        <is>
          <t>Bộ</t>
        </is>
      </c>
      <c r="G180" s="17" t="n">
        <v>12</v>
      </c>
      <c r="H180" s="13">
        <f>'00_TONG_HOP_BAO_GIA'!G19</f>
        <v/>
      </c>
      <c r="I180" s="18">
        <f>G180*H180</f>
        <v/>
      </c>
      <c r="J180" s="13">
        <f>IFERROR(INDEX('06_BANG_GIA_VAT_TU_AP_DUNG'!$E$1:$E$5000, MATCH(E180, '06_BANG_GIA_VAT_TU_AP_DUNG'!$B$1:$B$5000, 0)), 0)</f>
        <v/>
      </c>
      <c r="K180" s="13">
        <f>I180*J180</f>
        <v/>
      </c>
      <c r="L180" t="inlineStr">
        <is>
          <t>Hộp lò xo cơ cấu đóng sập (12 bộ)</t>
        </is>
      </c>
    </row>
    <row r="181">
      <c r="A181" t="inlineStr">
        <is>
          <t>SW-DAMPER-018-SILICON-BOLT</t>
        </is>
      </c>
      <c r="B181" t="inlineStr">
        <is>
          <t>SW-DAMPER-018</t>
        </is>
      </c>
      <c r="C181" t="inlineStr">
        <is>
          <t>Silicon chống cháy + bu lông, ốc vít van FD/MFD</t>
        </is>
      </c>
      <c r="D181" t="inlineStr">
        <is>
          <t>PHỤ_KIỆN_VAN</t>
        </is>
      </c>
      <c r="E181" t="inlineStr">
        <is>
          <t>MAT-DAMPER-SILICON-BULONG-VIT</t>
        </is>
      </c>
      <c r="F181" t="inlineStr">
        <is>
          <t>Bộ</t>
        </is>
      </c>
      <c r="G181" s="17" t="n">
        <v>12</v>
      </c>
      <c r="H181" s="13">
        <f>'00_TONG_HOP_BAO_GIA'!G19</f>
        <v/>
      </c>
      <c r="I181" s="18">
        <f>G181*H181</f>
        <v/>
      </c>
      <c r="J181" s="13">
        <f>IFERROR(INDEX('06_BANG_GIA_VAT_TU_AP_DUNG'!$E$1:$E$5000, MATCH(E181, '06_BANG_GIA_VAT_TU_AP_DUNG'!$B$1:$B$5000, 0)), 0)</f>
        <v/>
      </c>
      <c r="K181" s="13">
        <f>I181*J181</f>
        <v/>
      </c>
      <c r="L181" t="inlineStr">
        <is>
          <t>Keo silicon chống cháy &amp; phụ kiện lắp ghép (12 bộ)</t>
        </is>
      </c>
    </row>
    <row r="182">
      <c r="A182" t="inlineStr">
        <is>
          <t>SW-DAMPER-019-BODY</t>
        </is>
      </c>
      <c r="B182" t="inlineStr">
        <is>
          <t>SW-DAMPER-019</t>
        </is>
      </c>
      <c r="C182" t="inlineStr">
        <is>
          <t>Thân vỏ van MFD bích C30/TDF (1.15mm)</t>
        </is>
      </c>
      <c r="D182" t="inlineStr">
        <is>
          <t>TÔN_CUỘN_MẠ_KẼM</t>
        </is>
      </c>
      <c r="E182" t="inlineStr">
        <is>
          <t>MAT-STEEL-PN-1.15</t>
        </is>
      </c>
      <c r="F182" t="inlineStr">
        <is>
          <t>kg</t>
        </is>
      </c>
      <c r="G182" s="17" t="n">
        <v>82.06350901425593</v>
      </c>
      <c r="H182" s="13">
        <f>'00_TONG_HOP_BAO_GIA'!G20</f>
        <v/>
      </c>
      <c r="I182" s="18">
        <f>G182*H182</f>
        <v/>
      </c>
      <c r="J182" s="13">
        <f>IFERROR(INDEX('06_BANG_GIA_VAT_TU_AP_DUNG'!$E$1:$E$5000, MATCH(E182, '06_BANG_GIA_VAT_TU_AP_DUNG'!$B$1:$B$5000, 0)), 0)</f>
        <v/>
      </c>
      <c r="K182" s="13">
        <f>I182*J182</f>
        <v/>
      </c>
      <c r="L182" t="inlineStr">
        <is>
          <t>Kích thước vỏ 2600x1700x200mm (9 modul 867x567mm)</t>
        </is>
      </c>
    </row>
    <row r="183">
      <c r="A183" t="inlineStr">
        <is>
          <t>SW-DAMPER-019-BLADE</t>
        </is>
      </c>
      <c r="B183" t="inlineStr">
        <is>
          <t>SW-DAMPER-019</t>
        </is>
      </c>
      <c r="C183" t="inlineStr">
        <is>
          <t>Lá cánh / Tôn tấm bọc van (9 cánh)</t>
        </is>
      </c>
      <c r="D183" t="inlineStr">
        <is>
          <t>TÔN_CUỘN_MẠ_KẼM</t>
        </is>
      </c>
      <c r="E183" t="inlineStr">
        <is>
          <t>MAT-STEEL-PN-1.15</t>
        </is>
      </c>
      <c r="F183" t="inlineStr">
        <is>
          <t>kg</t>
        </is>
      </c>
      <c r="G183" s="17" t="n">
        <v>97.81637079187396</v>
      </c>
      <c r="H183" s="13">
        <f>'00_TONG_HOP_BAO_GIA'!G20</f>
        <v/>
      </c>
      <c r="I183" s="18">
        <f>G183*H183</f>
        <v/>
      </c>
      <c r="J183" s="13">
        <f>IFERROR(INDEX('06_BANG_GIA_VAT_TU_AP_DUNG'!$E$1:$E$5000, MATCH(E183, '06_BANG_GIA_VAT_TU_AP_DUNG'!$B$1:$B$5000, 0)), 0)</f>
        <v/>
      </c>
      <c r="K183" s="13">
        <f>I183*J183</f>
        <v/>
      </c>
      <c r="L183" t="inlineStr">
        <is>
          <t>Tôn bọc cánh &amp; thân (1 cánh/modul (9 modul 867x567mm))</t>
        </is>
      </c>
    </row>
    <row r="184">
      <c r="A184" t="inlineStr">
        <is>
          <t>SW-DAMPER-019-AXLE</t>
        </is>
      </c>
      <c r="B184" t="inlineStr">
        <is>
          <t>SW-DAMPER-019</t>
        </is>
      </c>
      <c r="C184" t="inlineStr">
        <is>
          <t>Trục Sus 201 D10</t>
        </is>
      </c>
      <c r="D184" t="inlineStr">
        <is>
          <t>PHỤ_KIỆN_VAN</t>
        </is>
      </c>
      <c r="E184" t="inlineStr">
        <is>
          <t>MAT-DAMPER-TRUC-SUS-201-D10</t>
        </is>
      </c>
      <c r="F184" t="inlineStr">
        <is>
          <t>m</t>
        </is>
      </c>
      <c r="G184" s="17" t="n">
        <v>10.22251682458738</v>
      </c>
      <c r="H184" s="13">
        <f>'00_TONG_HOP_BAO_GIA'!G20</f>
        <v/>
      </c>
      <c r="I184" s="18">
        <f>G184*H184</f>
        <v/>
      </c>
      <c r="J184" s="13">
        <f>IFERROR(INDEX('06_BANG_GIA_VAT_TU_AP_DUNG'!$E$1:$E$5000, MATCH(E184, '06_BANG_GIA_VAT_TU_AP_DUNG'!$B$1:$B$5000, 0)), 0)</f>
        <v/>
      </c>
      <c r="K184" s="13">
        <f>I184*J184</f>
        <v/>
      </c>
      <c r="L184" t="inlineStr">
        <is>
          <t>9 trục dài 927mm</t>
        </is>
      </c>
    </row>
    <row r="185">
      <c r="A185" t="inlineStr">
        <is>
          <t>SW-DAMPER-019-BEARING</t>
        </is>
      </c>
      <c r="B185" t="inlineStr">
        <is>
          <t>SW-DAMPER-019</t>
        </is>
      </c>
      <c r="C185" t="inlineStr">
        <is>
          <t>Bạc đồng D10</t>
        </is>
      </c>
      <c r="D185" t="inlineStr">
        <is>
          <t>PHỤ_KIỆN_VAN</t>
        </is>
      </c>
      <c r="E185" t="inlineStr">
        <is>
          <t>MAT-DAMPER-BAC-DONG-D10</t>
        </is>
      </c>
      <c r="F185" t="inlineStr">
        <is>
          <t>Đôi</t>
        </is>
      </c>
      <c r="G185" s="17" t="n">
        <v>9</v>
      </c>
      <c r="H185" s="13">
        <f>'00_TONG_HOP_BAO_GIA'!G20</f>
        <v/>
      </c>
      <c r="I185" s="18">
        <f>G185*H185</f>
        <v/>
      </c>
      <c r="J185" s="13">
        <f>IFERROR(INDEX('06_BANG_GIA_VAT_TU_AP_DUNG'!$E$1:$E$5000, MATCH(E185, '06_BANG_GIA_VAT_TU_AP_DUNG'!$B$1:$B$5000, 0)), 0)</f>
        <v/>
      </c>
      <c r="K185" s="13">
        <f>I185*J185</f>
        <v/>
      </c>
      <c r="L185" t="inlineStr">
        <is>
          <t>9 đôi bạc đỡ 2 bên thân</t>
        </is>
      </c>
    </row>
    <row r="186">
      <c r="A186" t="inlineStr">
        <is>
          <t>SW-DAMPER-019-ACTUATOR</t>
        </is>
      </c>
      <c r="B186" t="inlineStr">
        <is>
          <t>SW-DAMPER-019</t>
        </is>
      </c>
      <c r="C186" t="inlineStr">
        <is>
          <t>Động cơ chặn lửa ON/OFF 3.5Nm, 230V/24V (BELIMO FSLF24 / FSLF230)</t>
        </is>
      </c>
      <c r="D186" t="inlineStr">
        <is>
          <t>ĐỘNG_CƠ_VÀ_CẢM_BIẾN</t>
        </is>
      </c>
      <c r="E186" t="inlineStr">
        <is>
          <t>MAT-ACTUATOR-BELIMO-FSLF24</t>
        </is>
      </c>
      <c r="F186" t="inlineStr">
        <is>
          <t>Cái</t>
        </is>
      </c>
      <c r="G186" s="17" t="n">
        <v>9</v>
      </c>
      <c r="H186" s="13">
        <f>'00_TONG_HOP_BAO_GIA'!G20</f>
        <v/>
      </c>
      <c r="I186" s="18">
        <f>G186*H186</f>
        <v/>
      </c>
      <c r="J186" s="13">
        <f>IFERROR(INDEX('06_BANG_GIA_VAT_TU_AP_DUNG'!$E$1:$E$5000, MATCH(E186, '06_BANG_GIA_VAT_TU_AP_DUNG'!$B$1:$B$5000, 0)), 0)</f>
        <v/>
      </c>
      <c r="K186" s="13">
        <f>I186*J186</f>
        <v/>
      </c>
      <c r="L186" t="inlineStr">
        <is>
          <t>Động cơ lò xo phản hồi MFD (9 bộ (9 modul 867x567mm))</t>
        </is>
      </c>
    </row>
    <row r="187">
      <c r="A187" t="inlineStr">
        <is>
          <t>SW-DAMPER-019-FB10-BODY</t>
        </is>
      </c>
      <c r="B187" t="inlineStr">
        <is>
          <t>SW-DAMPER-019</t>
        </is>
      </c>
      <c r="C187" t="inlineStr">
        <is>
          <t>Tấm chống cháy dày 10mm bọc thân van FD/MFD (2 lớp)</t>
        </is>
      </c>
      <c r="D187" t="inlineStr">
        <is>
          <t>VẬT_LIỆU_CÁCH_NHIỆT</t>
        </is>
      </c>
      <c r="E187" t="inlineStr">
        <is>
          <t>MAT-FIREBOARD-10MM-BODY</t>
        </is>
      </c>
      <c r="F187" t="inlineStr">
        <is>
          <t>m2</t>
        </is>
      </c>
      <c r="G187" s="17" t="n">
        <v>18.9741679190183</v>
      </c>
      <c r="H187" s="13">
        <f>'00_TONG_HOP_BAO_GIA'!G20</f>
        <v/>
      </c>
      <c r="I187" s="18">
        <f>G187*H187</f>
        <v/>
      </c>
      <c r="J187" s="13">
        <f>IFERROR(INDEX('06_BANG_GIA_VAT_TU_AP_DUNG'!$E$1:$E$5000, MATCH(E187, '06_BANG_GIA_VAT_TU_AP_DUNG'!$B$1:$B$5000, 0)), 0)</f>
        <v/>
      </c>
      <c r="K187" s="13">
        <f>I187*J187</f>
        <v/>
      </c>
      <c r="L187" t="inlineStr">
        <is>
          <t>Bọc 2 lớp tấm 10mm quanh thân L=300mm (9 modul 867x567mm)</t>
        </is>
      </c>
    </row>
    <row r="188">
      <c r="A188" t="inlineStr">
        <is>
          <t>SW-DAMPER-019-FB20-BLADE</t>
        </is>
      </c>
      <c r="B188" t="inlineStr">
        <is>
          <t>SW-DAMPER-019</t>
        </is>
      </c>
      <c r="C188" t="inlineStr">
        <is>
          <t>Tấm chống cháy dày 20mm làm lõi cánh van FD/MFD</t>
        </is>
      </c>
      <c r="D188" t="inlineStr">
        <is>
          <t>VẬT_LIỆU_CÁCH_NHIỆT</t>
        </is>
      </c>
      <c r="E188" t="inlineStr">
        <is>
          <t>MAT-FIREBOARD-20MM-BLADE</t>
        </is>
      </c>
      <c r="F188" t="inlineStr">
        <is>
          <t>m2</t>
        </is>
      </c>
      <c r="G188" s="17" t="n">
        <v>5.417688772742951</v>
      </c>
      <c r="H188" s="13">
        <f>'00_TONG_HOP_BAO_GIA'!G20</f>
        <v/>
      </c>
      <c r="I188" s="18">
        <f>G188*H188</f>
        <v/>
      </c>
      <c r="J188" s="13">
        <f>IFERROR(INDEX('06_BANG_GIA_VAT_TU_AP_DUNG'!$E$1:$E$5000, MATCH(E188, '06_BANG_GIA_VAT_TU_AP_DUNG'!$B$1:$B$5000, 0)), 0)</f>
        <v/>
      </c>
      <c r="K188" s="13">
        <f>I188*J188</f>
        <v/>
      </c>
      <c r="L188" t="inlineStr">
        <is>
          <t>Lõi cánh tấm 20mm (Cánh đơn 867x567mm (9 modul 867x567mm))</t>
        </is>
      </c>
    </row>
    <row r="189">
      <c r="A189" t="inlineStr">
        <is>
          <t>SW-DAMPER-019-FB10-BLADE</t>
        </is>
      </c>
      <c r="B189" t="inlineStr">
        <is>
          <t>SW-DAMPER-019</t>
        </is>
      </c>
      <c r="C189" t="inlineStr">
        <is>
          <t>Tấm chống cháy dày 10mm ốp 2 mặt cánh van FD/MFD</t>
        </is>
      </c>
      <c r="D189" t="inlineStr">
        <is>
          <t>VẬT_LIỆU_CÁCH_NHIỆT</t>
        </is>
      </c>
      <c r="E189" t="inlineStr">
        <is>
          <t>MAT-FIREBOARD-10MM-BLADE</t>
        </is>
      </c>
      <c r="F189" t="inlineStr">
        <is>
          <t>m2</t>
        </is>
      </c>
      <c r="G189" s="17" t="n">
        <v>10.8353775454859</v>
      </c>
      <c r="H189" s="13">
        <f>'00_TONG_HOP_BAO_GIA'!G20</f>
        <v/>
      </c>
      <c r="I189" s="18">
        <f>G189*H189</f>
        <v/>
      </c>
      <c r="J189" s="13">
        <f>IFERROR(INDEX('06_BANG_GIA_VAT_TU_AP_DUNG'!$E$1:$E$5000, MATCH(E189, '06_BANG_GIA_VAT_TU_AP_DUNG'!$B$1:$B$5000, 0)), 0)</f>
        <v/>
      </c>
      <c r="K189" s="13">
        <f>I189*J189</f>
        <v/>
      </c>
      <c r="L189" t="inlineStr">
        <is>
          <t>Ốp 2 mặt cánh tấm 10mm (Cánh đơn 867x567mm (9 modul 867x567mm))</t>
        </is>
      </c>
    </row>
    <row r="190">
      <c r="A190" t="inlineStr">
        <is>
          <t>SW-DAMPER-019-SPRING-BOX</t>
        </is>
      </c>
      <c r="B190" t="inlineStr">
        <is>
          <t>SW-DAMPER-019</t>
        </is>
      </c>
      <c r="C190" t="inlineStr">
        <is>
          <t>Hộp lò xo van chặn lửa FD/MFD</t>
        </is>
      </c>
      <c r="D190" t="inlineStr">
        <is>
          <t>PHỤ_KIỆN_VAN</t>
        </is>
      </c>
      <c r="E190" t="inlineStr">
        <is>
          <t>MAT-DAMPER-HOP-LO-XO</t>
        </is>
      </c>
      <c r="F190" t="inlineStr">
        <is>
          <t>Bộ</t>
        </is>
      </c>
      <c r="G190" s="17" t="n">
        <v>9</v>
      </c>
      <c r="H190" s="13">
        <f>'00_TONG_HOP_BAO_GIA'!G20</f>
        <v/>
      </c>
      <c r="I190" s="18">
        <f>G190*H190</f>
        <v/>
      </c>
      <c r="J190" s="13">
        <f>IFERROR(INDEX('06_BANG_GIA_VAT_TU_AP_DUNG'!$E$1:$E$5000, MATCH(E190, '06_BANG_GIA_VAT_TU_AP_DUNG'!$B$1:$B$5000, 0)), 0)</f>
        <v/>
      </c>
      <c r="K190" s="13">
        <f>I190*J190</f>
        <v/>
      </c>
      <c r="L190" t="inlineStr">
        <is>
          <t>Hộp lò xo cơ cấu đóng sập (9 bộ)</t>
        </is>
      </c>
    </row>
    <row r="191">
      <c r="A191" t="inlineStr">
        <is>
          <t>SW-DAMPER-019-SILICON-BOLT</t>
        </is>
      </c>
      <c r="B191" t="inlineStr">
        <is>
          <t>SW-DAMPER-019</t>
        </is>
      </c>
      <c r="C191" t="inlineStr">
        <is>
          <t>Silicon chống cháy + bu lông, ốc vít van FD/MFD</t>
        </is>
      </c>
      <c r="D191" t="inlineStr">
        <is>
          <t>PHỤ_KIỆN_VAN</t>
        </is>
      </c>
      <c r="E191" t="inlineStr">
        <is>
          <t>MAT-DAMPER-SILICON-BULONG-VIT</t>
        </is>
      </c>
      <c r="F191" t="inlineStr">
        <is>
          <t>Bộ</t>
        </is>
      </c>
      <c r="G191" s="17" t="n">
        <v>9</v>
      </c>
      <c r="H191" s="13">
        <f>'00_TONG_HOP_BAO_GIA'!G20</f>
        <v/>
      </c>
      <c r="I191" s="18">
        <f>G191*H191</f>
        <v/>
      </c>
      <c r="J191" s="13">
        <f>IFERROR(INDEX('06_BANG_GIA_VAT_TU_AP_DUNG'!$E$1:$E$5000, MATCH(E191, '06_BANG_GIA_VAT_TU_AP_DUNG'!$B$1:$B$5000, 0)), 0)</f>
        <v/>
      </c>
      <c r="K191" s="13">
        <f>I191*J191</f>
        <v/>
      </c>
      <c r="L191" t="inlineStr">
        <is>
          <t>Keo silicon chống cháy &amp; phụ kiện lắp ghép (9 bộ)</t>
        </is>
      </c>
    </row>
    <row r="192">
      <c r="A192" t="inlineStr">
        <is>
          <t>SW-DAMPER-020-BODY</t>
        </is>
      </c>
      <c r="B192" t="inlineStr">
        <is>
          <t>SW-DAMPER-020</t>
        </is>
      </c>
      <c r="C192" t="inlineStr">
        <is>
          <t>Thân vỏ van FD bích C30/TDF (1.15mm)</t>
        </is>
      </c>
      <c r="D192" t="inlineStr">
        <is>
          <t>TÔN_CUỘN_MẠ_KẼM</t>
        </is>
      </c>
      <c r="E192" t="inlineStr">
        <is>
          <t>MAT-STEEL-PN-1.15</t>
        </is>
      </c>
      <c r="F192" t="inlineStr">
        <is>
          <t>kg</t>
        </is>
      </c>
      <c r="G192" s="17" t="n">
        <v>7.174275467621592</v>
      </c>
      <c r="H192" s="13">
        <f>'00_TONG_HOP_BAO_GIA'!G21</f>
        <v/>
      </c>
      <c r="I192" s="18">
        <f>G192*H192</f>
        <v/>
      </c>
      <c r="J192" s="13">
        <f>IFERROR(INDEX('06_BANG_GIA_VAT_TU_AP_DUNG'!$E$1:$E$5000, MATCH(E192, '06_BANG_GIA_VAT_TU_AP_DUNG'!$B$1:$B$5000, 0)), 0)</f>
        <v/>
      </c>
      <c r="K192" s="13">
        <f>I192*J192</f>
        <v/>
      </c>
      <c r="L192" t="inlineStr">
        <is>
          <t>Kích thước vỏ 800x400x200mm</t>
        </is>
      </c>
    </row>
    <row r="193">
      <c r="A193" t="inlineStr">
        <is>
          <t>SW-DAMPER-020-BLADE</t>
        </is>
      </c>
      <c r="B193" t="inlineStr">
        <is>
          <t>SW-DAMPER-020</t>
        </is>
      </c>
      <c r="C193" t="inlineStr">
        <is>
          <t>Lá cánh / Tôn tấm bọc van (1 cánh)</t>
        </is>
      </c>
      <c r="D193" t="inlineStr">
        <is>
          <t>TÔN_CUỘN_MẠ_KẼM</t>
        </is>
      </c>
      <c r="E193" t="inlineStr">
        <is>
          <t>MAT-STEEL-PN-1.15</t>
        </is>
      </c>
      <c r="F193" t="inlineStr">
        <is>
          <t>kg</t>
        </is>
      </c>
      <c r="G193" s="17" t="n">
        <v>6.63766198178191</v>
      </c>
      <c r="H193" s="13">
        <f>'00_TONG_HOP_BAO_GIA'!G21</f>
        <v/>
      </c>
      <c r="I193" s="18">
        <f>G193*H193</f>
        <v/>
      </c>
      <c r="J193" s="13">
        <f>IFERROR(INDEX('06_BANG_GIA_VAT_TU_AP_DUNG'!$E$1:$E$5000, MATCH(E193, '06_BANG_GIA_VAT_TU_AP_DUNG'!$B$1:$B$5000, 0)), 0)</f>
        <v/>
      </c>
      <c r="K193" s="13">
        <f>I193*J193</f>
        <v/>
      </c>
      <c r="L193" t="inlineStr">
        <is>
          <t>Tôn bọc cánh &amp; thân (1 cánh/modul)</t>
        </is>
      </c>
    </row>
    <row r="194">
      <c r="A194" t="inlineStr">
        <is>
          <t>SW-DAMPER-020-AXLE</t>
        </is>
      </c>
      <c r="B194" t="inlineStr">
        <is>
          <t>SW-DAMPER-020</t>
        </is>
      </c>
      <c r="C194" t="inlineStr">
        <is>
          <t>Trục Sus 201 D10</t>
        </is>
      </c>
      <c r="D194" t="inlineStr">
        <is>
          <t>PHỤ_KIỆN_VAN</t>
        </is>
      </c>
      <c r="E194" t="inlineStr">
        <is>
          <t>MAT-DAMPER-TRUC-SUS-201-D10</t>
        </is>
      </c>
      <c r="F194" t="inlineStr">
        <is>
          <t>m</t>
        </is>
      </c>
      <c r="G194" s="17" t="n">
        <v>0.9880208571608354</v>
      </c>
      <c r="H194" s="13">
        <f>'00_TONG_HOP_BAO_GIA'!G21</f>
        <v/>
      </c>
      <c r="I194" s="18">
        <f>G194*H194</f>
        <v/>
      </c>
      <c r="J194" s="13">
        <f>IFERROR(INDEX('06_BANG_GIA_VAT_TU_AP_DUNG'!$E$1:$E$5000, MATCH(E194, '06_BANG_GIA_VAT_TU_AP_DUNG'!$B$1:$B$5000, 0)), 0)</f>
        <v/>
      </c>
      <c r="K194" s="13">
        <f>I194*J194</f>
        <v/>
      </c>
      <c r="L194" t="inlineStr">
        <is>
          <t>1 trục dài 860mm</t>
        </is>
      </c>
    </row>
    <row r="195">
      <c r="A195" t="inlineStr">
        <is>
          <t>SW-DAMPER-020-BEARING</t>
        </is>
      </c>
      <c r="B195" t="inlineStr">
        <is>
          <t>SW-DAMPER-020</t>
        </is>
      </c>
      <c r="C195" t="inlineStr">
        <is>
          <t>Bạc đồng D10</t>
        </is>
      </c>
      <c r="D195" t="inlineStr">
        <is>
          <t>PHỤ_KIỆN_VAN</t>
        </is>
      </c>
      <c r="E195" t="inlineStr">
        <is>
          <t>MAT-DAMPER-BAC-DONG-D10</t>
        </is>
      </c>
      <c r="F195" t="inlineStr">
        <is>
          <t>Đôi</t>
        </is>
      </c>
      <c r="G195" s="17" t="n">
        <v>1</v>
      </c>
      <c r="H195" s="13">
        <f>'00_TONG_HOP_BAO_GIA'!G21</f>
        <v/>
      </c>
      <c r="I195" s="18">
        <f>G195*H195</f>
        <v/>
      </c>
      <c r="J195" s="13">
        <f>IFERROR(INDEX('06_BANG_GIA_VAT_TU_AP_DUNG'!$E$1:$E$5000, MATCH(E195, '06_BANG_GIA_VAT_TU_AP_DUNG'!$B$1:$B$5000, 0)), 0)</f>
        <v/>
      </c>
      <c r="K195" s="13">
        <f>I195*J195</f>
        <v/>
      </c>
      <c r="L195" t="inlineStr">
        <is>
          <t>1 đôi bạc đỡ 2 bên thân</t>
        </is>
      </c>
    </row>
    <row r="196">
      <c r="A196" t="inlineStr">
        <is>
          <t>SW-DAMPER-020-FUSE</t>
        </is>
      </c>
      <c r="B196" t="inlineStr">
        <is>
          <t>SW-DAMPER-020</t>
        </is>
      </c>
      <c r="C196" t="inlineStr">
        <is>
          <t>Cầu chì nhiệt nóng chảy 70°C/74°C (Elsie/USA)</t>
        </is>
      </c>
      <c r="D196" t="inlineStr">
        <is>
          <t>PHỤ_KIỆN_VAN</t>
        </is>
      </c>
      <c r="E196" t="inlineStr">
        <is>
          <t>MAT-DAMPER-CAU-CHI-USA-2-400X400</t>
        </is>
      </c>
      <c r="F196" t="inlineStr">
        <is>
          <t>Cái</t>
        </is>
      </c>
      <c r="G196" s="17" t="n">
        <v>1</v>
      </c>
      <c r="H196" s="13">
        <f>'00_TONG_HOP_BAO_GIA'!G21</f>
        <v/>
      </c>
      <c r="I196" s="18">
        <f>G196*H196</f>
        <v/>
      </c>
      <c r="J196" s="13">
        <f>IFERROR(INDEX('06_BANG_GIA_VAT_TU_AP_DUNG'!$E$1:$E$5000, MATCH(E196, '06_BANG_GIA_VAT_TU_AP_DUNG'!$B$1:$B$5000, 0)), 0)</f>
        <v/>
      </c>
      <c r="K196" s="13">
        <f>I196*J196</f>
        <v/>
      </c>
      <c r="L196" t="inlineStr">
        <is>
          <t>Cầu chì kiểm định PCCC (1 cái)</t>
        </is>
      </c>
    </row>
    <row r="197">
      <c r="A197" t="inlineStr">
        <is>
          <t>SW-DAMPER-020-FB10-BODY</t>
        </is>
      </c>
      <c r="B197" t="inlineStr">
        <is>
          <t>SW-DAMPER-020</t>
        </is>
      </c>
      <c r="C197" t="inlineStr">
        <is>
          <t>Tấm chống cháy dày 10mm bọc thân van FD/MFD (2 lớp)</t>
        </is>
      </c>
      <c r="D197" t="inlineStr">
        <is>
          <t>VẬT_LIỆU_CÁCH_NHIỆT</t>
        </is>
      </c>
      <c r="E197" t="inlineStr">
        <is>
          <t>MAT-FIREBOARD-10MM-BODY</t>
        </is>
      </c>
      <c r="F197" t="inlineStr">
        <is>
          <t>m2</t>
        </is>
      </c>
      <c r="G197" s="17" t="n">
        <v>1.654360505013492</v>
      </c>
      <c r="H197" s="13">
        <f>'00_TONG_HOP_BAO_GIA'!G21</f>
        <v/>
      </c>
      <c r="I197" s="18">
        <f>G197*H197</f>
        <v/>
      </c>
      <c r="J197" s="13">
        <f>IFERROR(INDEX('06_BANG_GIA_VAT_TU_AP_DUNG'!$E$1:$E$5000, MATCH(E197, '06_BANG_GIA_VAT_TU_AP_DUNG'!$B$1:$B$5000, 0)), 0)</f>
        <v/>
      </c>
      <c r="K197" s="13">
        <f>I197*J197</f>
        <v/>
      </c>
      <c r="L197" t="inlineStr">
        <is>
          <t>Bọc 2 lớp tấm 10mm quanh thân L=300mm</t>
        </is>
      </c>
    </row>
    <row r="198">
      <c r="A198" t="inlineStr">
        <is>
          <t>SW-DAMPER-020-FB20-BLADE</t>
        </is>
      </c>
      <c r="B198" t="inlineStr">
        <is>
          <t>SW-DAMPER-020</t>
        </is>
      </c>
      <c r="C198" t="inlineStr">
        <is>
          <t>Tấm chống cháy dày 20mm làm lõi cánh van FD/MFD</t>
        </is>
      </c>
      <c r="D198" t="inlineStr">
        <is>
          <t>VẬT_LIỆU_CÁCH_NHIỆT</t>
        </is>
      </c>
      <c r="E198" t="inlineStr">
        <is>
          <t>MAT-FIREBOARD-20MM-BLADE</t>
        </is>
      </c>
      <c r="F198" t="inlineStr">
        <is>
          <t>m2</t>
        </is>
      </c>
      <c r="G198" s="17" t="n">
        <v>0.3676356677807761</v>
      </c>
      <c r="H198" s="13">
        <f>'00_TONG_HOP_BAO_GIA'!G21</f>
        <v/>
      </c>
      <c r="I198" s="18">
        <f>G198*H198</f>
        <v/>
      </c>
      <c r="J198" s="13">
        <f>IFERROR(INDEX('06_BANG_GIA_VAT_TU_AP_DUNG'!$E$1:$E$5000, MATCH(E198, '06_BANG_GIA_VAT_TU_AP_DUNG'!$B$1:$B$5000, 0)), 0)</f>
        <v/>
      </c>
      <c r="K198" s="13">
        <f>I198*J198</f>
        <v/>
      </c>
      <c r="L198" t="inlineStr">
        <is>
          <t>Lõi cánh tấm 20mm (Cánh đơn 800x400mm)</t>
        </is>
      </c>
    </row>
    <row r="199">
      <c r="A199" t="inlineStr">
        <is>
          <t>SW-DAMPER-020-FB10-BLADE</t>
        </is>
      </c>
      <c r="B199" t="inlineStr">
        <is>
          <t>SW-DAMPER-020</t>
        </is>
      </c>
      <c r="C199" t="inlineStr">
        <is>
          <t>Tấm chống cháy dày 10mm ốp 2 mặt cánh van FD/MFD</t>
        </is>
      </c>
      <c r="D199" t="inlineStr">
        <is>
          <t>VẬT_LIỆU_CÁCH_NHIỆT</t>
        </is>
      </c>
      <c r="E199" t="inlineStr">
        <is>
          <t>MAT-FIREBOARD-10MM-BLADE</t>
        </is>
      </c>
      <c r="F199" t="inlineStr">
        <is>
          <t>m2</t>
        </is>
      </c>
      <c r="G199" s="17" t="n">
        <v>0.7352713355615521</v>
      </c>
      <c r="H199" s="13">
        <f>'00_TONG_HOP_BAO_GIA'!G21</f>
        <v/>
      </c>
      <c r="I199" s="18">
        <f>G199*H199</f>
        <v/>
      </c>
      <c r="J199" s="13">
        <f>IFERROR(INDEX('06_BANG_GIA_VAT_TU_AP_DUNG'!$E$1:$E$5000, MATCH(E199, '06_BANG_GIA_VAT_TU_AP_DUNG'!$B$1:$B$5000, 0)), 0)</f>
        <v/>
      </c>
      <c r="K199" s="13">
        <f>I199*J199</f>
        <v/>
      </c>
      <c r="L199" t="inlineStr">
        <is>
          <t>Ốp 2 mặt cánh tấm 10mm (Cánh đơn 800x400mm)</t>
        </is>
      </c>
    </row>
    <row r="200">
      <c r="A200" t="inlineStr">
        <is>
          <t>SW-DAMPER-020-SPRING-BOX</t>
        </is>
      </c>
      <c r="B200" t="inlineStr">
        <is>
          <t>SW-DAMPER-020</t>
        </is>
      </c>
      <c r="C200" t="inlineStr">
        <is>
          <t>Hộp lò xo van chặn lửa FD/MFD</t>
        </is>
      </c>
      <c r="D200" t="inlineStr">
        <is>
          <t>PHỤ_KIỆN_VAN</t>
        </is>
      </c>
      <c r="E200" t="inlineStr">
        <is>
          <t>MAT-DAMPER-HOP-LO-XO</t>
        </is>
      </c>
      <c r="F200" t="inlineStr">
        <is>
          <t>Bộ</t>
        </is>
      </c>
      <c r="G200" s="17" t="n">
        <v>1</v>
      </c>
      <c r="H200" s="13">
        <f>'00_TONG_HOP_BAO_GIA'!G21</f>
        <v/>
      </c>
      <c r="I200" s="18">
        <f>G200*H200</f>
        <v/>
      </c>
      <c r="J200" s="13">
        <f>IFERROR(INDEX('06_BANG_GIA_VAT_TU_AP_DUNG'!$E$1:$E$5000, MATCH(E200, '06_BANG_GIA_VAT_TU_AP_DUNG'!$B$1:$B$5000, 0)), 0)</f>
        <v/>
      </c>
      <c r="K200" s="13">
        <f>I200*J200</f>
        <v/>
      </c>
      <c r="L200" t="inlineStr">
        <is>
          <t>Hộp lò xo cơ cấu đóng sập (1 bộ)</t>
        </is>
      </c>
    </row>
    <row r="201">
      <c r="A201" t="inlineStr">
        <is>
          <t>SW-DAMPER-020-SILICON-BOLT</t>
        </is>
      </c>
      <c r="B201" t="inlineStr">
        <is>
          <t>SW-DAMPER-020</t>
        </is>
      </c>
      <c r="C201" t="inlineStr">
        <is>
          <t>Silicon chống cháy + bu lông, ốc vít van FD/MFD</t>
        </is>
      </c>
      <c r="D201" t="inlineStr">
        <is>
          <t>PHỤ_KIỆN_VAN</t>
        </is>
      </c>
      <c r="E201" t="inlineStr">
        <is>
          <t>MAT-DAMPER-SILICON-BULONG-VIT</t>
        </is>
      </c>
      <c r="F201" t="inlineStr">
        <is>
          <t>Bộ</t>
        </is>
      </c>
      <c r="G201" s="17" t="n">
        <v>1</v>
      </c>
      <c r="H201" s="13">
        <f>'00_TONG_HOP_BAO_GIA'!G21</f>
        <v/>
      </c>
      <c r="I201" s="18">
        <f>G201*H201</f>
        <v/>
      </c>
      <c r="J201" s="13">
        <f>IFERROR(INDEX('06_BANG_GIA_VAT_TU_AP_DUNG'!$E$1:$E$5000, MATCH(E201, '06_BANG_GIA_VAT_TU_AP_DUNG'!$B$1:$B$5000, 0)), 0)</f>
        <v/>
      </c>
      <c r="K201" s="13">
        <f>I201*J201</f>
        <v/>
      </c>
      <c r="L201" t="inlineStr">
        <is>
          <t>Keo silicon chống cháy &amp; phụ kiện lắp ghép (1 bộ)</t>
        </is>
      </c>
    </row>
    <row r="202">
      <c r="A202" t="inlineStr">
        <is>
          <t>SW-DAMPER-021-BODY</t>
        </is>
      </c>
      <c r="B202" t="inlineStr">
        <is>
          <t>SW-DAMPER-021</t>
        </is>
      </c>
      <c r="C202" t="inlineStr">
        <is>
          <t>Thân vỏ van FD bích C30/TDF (1.15mm)</t>
        </is>
      </c>
      <c r="D202" t="inlineStr">
        <is>
          <t>TÔN_CUỘN_MẠ_KẼM</t>
        </is>
      </c>
      <c r="E202" t="inlineStr">
        <is>
          <t>MAT-STEEL-PN-1.15</t>
        </is>
      </c>
      <c r="F202" t="inlineStr">
        <is>
          <t>kg</t>
        </is>
      </c>
      <c r="G202" s="17" t="n">
        <v>4.409649639399037</v>
      </c>
      <c r="H202" s="13">
        <f>'00_TONG_HOP_BAO_GIA'!G22</f>
        <v/>
      </c>
      <c r="I202" s="18">
        <f>G202*H202</f>
        <v/>
      </c>
      <c r="J202" s="13">
        <f>IFERROR(INDEX('06_BANG_GIA_VAT_TU_AP_DUNG'!$E$1:$E$5000, MATCH(E202, '06_BANG_GIA_VAT_TU_AP_DUNG'!$B$1:$B$5000, 0)), 0)</f>
        <v/>
      </c>
      <c r="K202" s="13">
        <f>I202*J202</f>
        <v/>
      </c>
      <c r="L202" t="inlineStr">
        <is>
          <t>Kích thước vỏ 500x250x200mm</t>
        </is>
      </c>
    </row>
    <row r="203">
      <c r="A203" t="inlineStr">
        <is>
          <t>SW-DAMPER-021-BLADE</t>
        </is>
      </c>
      <c r="B203" t="inlineStr">
        <is>
          <t>SW-DAMPER-021</t>
        </is>
      </c>
      <c r="C203" t="inlineStr">
        <is>
          <t>Lá cánh / Tôn tấm bọc van (1 cánh)</t>
        </is>
      </c>
      <c r="D203" t="inlineStr">
        <is>
          <t>TÔN_CUỘN_MẠ_KẼM</t>
        </is>
      </c>
      <c r="E203" t="inlineStr">
        <is>
          <t>MAT-STEEL-PN-1.15</t>
        </is>
      </c>
      <c r="F203" t="inlineStr">
        <is>
          <t>kg</t>
        </is>
      </c>
      <c r="G203" s="17" t="n">
        <v>2.525051901898255</v>
      </c>
      <c r="H203" s="13">
        <f>'00_TONG_HOP_BAO_GIA'!G22</f>
        <v/>
      </c>
      <c r="I203" s="18">
        <f>G203*H203</f>
        <v/>
      </c>
      <c r="J203" s="13">
        <f>IFERROR(INDEX('06_BANG_GIA_VAT_TU_AP_DUNG'!$E$1:$E$5000, MATCH(E203, '06_BANG_GIA_VAT_TU_AP_DUNG'!$B$1:$B$5000, 0)), 0)</f>
        <v/>
      </c>
      <c r="K203" s="13">
        <f>I203*J203</f>
        <v/>
      </c>
      <c r="L203" t="inlineStr">
        <is>
          <t>Tôn bọc cánh &amp; thân (1 cánh/modul)</t>
        </is>
      </c>
    </row>
    <row r="204">
      <c r="A204" t="inlineStr">
        <is>
          <t>SW-DAMPER-021-AXLE</t>
        </is>
      </c>
      <c r="B204" t="inlineStr">
        <is>
          <t>SW-DAMPER-021</t>
        </is>
      </c>
      <c r="C204" t="inlineStr">
        <is>
          <t>Trục Sus 201 D10</t>
        </is>
      </c>
      <c r="D204" t="inlineStr">
        <is>
          <t>PHỤ_KIỆN_VAN</t>
        </is>
      </c>
      <c r="E204" t="inlineStr">
        <is>
          <t>MAT-DAMPER-TRUC-SUS-201-D10</t>
        </is>
      </c>
      <c r="F204" t="inlineStr">
        <is>
          <t>m</t>
        </is>
      </c>
      <c r="G204" s="17" t="n">
        <v>0.626542925533325</v>
      </c>
      <c r="H204" s="13">
        <f>'00_TONG_HOP_BAO_GIA'!G22</f>
        <v/>
      </c>
      <c r="I204" s="18">
        <f>G204*H204</f>
        <v/>
      </c>
      <c r="J204" s="13">
        <f>IFERROR(INDEX('06_BANG_GIA_VAT_TU_AP_DUNG'!$E$1:$E$5000, MATCH(E204, '06_BANG_GIA_VAT_TU_AP_DUNG'!$B$1:$B$5000, 0)), 0)</f>
        <v/>
      </c>
      <c r="K204" s="13">
        <f>I204*J204</f>
        <v/>
      </c>
      <c r="L204" t="inlineStr">
        <is>
          <t>1 trục dài 560mm</t>
        </is>
      </c>
    </row>
    <row r="205">
      <c r="A205" t="inlineStr">
        <is>
          <t>SW-DAMPER-021-BEARING</t>
        </is>
      </c>
      <c r="B205" t="inlineStr">
        <is>
          <t>SW-DAMPER-021</t>
        </is>
      </c>
      <c r="C205" t="inlineStr">
        <is>
          <t>Bạc đồng D10</t>
        </is>
      </c>
      <c r="D205" t="inlineStr">
        <is>
          <t>PHỤ_KIỆN_VAN</t>
        </is>
      </c>
      <c r="E205" t="inlineStr">
        <is>
          <t>MAT-DAMPER-BAC-DONG-D10</t>
        </is>
      </c>
      <c r="F205" t="inlineStr">
        <is>
          <t>Đôi</t>
        </is>
      </c>
      <c r="G205" s="17" t="n">
        <v>1</v>
      </c>
      <c r="H205" s="13">
        <f>'00_TONG_HOP_BAO_GIA'!G22</f>
        <v/>
      </c>
      <c r="I205" s="18">
        <f>G205*H205</f>
        <v/>
      </c>
      <c r="J205" s="13">
        <f>IFERROR(INDEX('06_BANG_GIA_VAT_TU_AP_DUNG'!$E$1:$E$5000, MATCH(E205, '06_BANG_GIA_VAT_TU_AP_DUNG'!$B$1:$B$5000, 0)), 0)</f>
        <v/>
      </c>
      <c r="K205" s="13">
        <f>I205*J205</f>
        <v/>
      </c>
      <c r="L205" t="inlineStr">
        <is>
          <t>1 đôi bạc đỡ 2 bên thân</t>
        </is>
      </c>
    </row>
    <row r="206">
      <c r="A206" t="inlineStr">
        <is>
          <t>SW-DAMPER-021-FUSE</t>
        </is>
      </c>
      <c r="B206" t="inlineStr">
        <is>
          <t>SW-DAMPER-021</t>
        </is>
      </c>
      <c r="C206" t="inlineStr">
        <is>
          <t>Cầu chì nhiệt nóng chảy 70°C/74°C (Elsie/USA)</t>
        </is>
      </c>
      <c r="D206" t="inlineStr">
        <is>
          <t>PHỤ_KIỆN_VAN</t>
        </is>
      </c>
      <c r="E206" t="inlineStr">
        <is>
          <t>MAT-DAMPER-CAU-CHI-USA-2-400X400</t>
        </is>
      </c>
      <c r="F206" t="inlineStr">
        <is>
          <t>Cái</t>
        </is>
      </c>
      <c r="G206" s="17" t="n">
        <v>1</v>
      </c>
      <c r="H206" s="13">
        <f>'00_TONG_HOP_BAO_GIA'!G22</f>
        <v/>
      </c>
      <c r="I206" s="18">
        <f>G206*H206</f>
        <v/>
      </c>
      <c r="J206" s="13">
        <f>IFERROR(INDEX('06_BANG_GIA_VAT_TU_AP_DUNG'!$E$1:$E$5000, MATCH(E206, '06_BANG_GIA_VAT_TU_AP_DUNG'!$B$1:$B$5000, 0)), 0)</f>
        <v/>
      </c>
      <c r="K206" s="13">
        <f>I206*J206</f>
        <v/>
      </c>
      <c r="L206" t="inlineStr">
        <is>
          <t>Cầu chì kiểm định PCCC (1 cái)</t>
        </is>
      </c>
    </row>
    <row r="207">
      <c r="A207" t="inlineStr">
        <is>
          <t>SW-DAMPER-021-FB10-BODY</t>
        </is>
      </c>
      <c r="B207" t="inlineStr">
        <is>
          <t>SW-DAMPER-021</t>
        </is>
      </c>
      <c r="C207" t="inlineStr">
        <is>
          <t>Tấm chống cháy dày 10mm bọc thân van FD/MFD (2 lớp)</t>
        </is>
      </c>
      <c r="D207" t="inlineStr">
        <is>
          <t>VẬT_LIỆU_CÁCH_NHIỆT</t>
        </is>
      </c>
      <c r="E207" t="inlineStr">
        <is>
          <t>MAT-FIREBOARD-10MM-BODY</t>
        </is>
      </c>
      <c r="F207" t="inlineStr">
        <is>
          <t>m2</t>
        </is>
      </c>
      <c r="G207" s="17" t="n">
        <v>1.006943987464272</v>
      </c>
      <c r="H207" s="13">
        <f>'00_TONG_HOP_BAO_GIA'!G22</f>
        <v/>
      </c>
      <c r="I207" s="18">
        <f>G207*H207</f>
        <v/>
      </c>
      <c r="J207" s="13">
        <f>IFERROR(INDEX('06_BANG_GIA_VAT_TU_AP_DUNG'!$E$1:$E$5000, MATCH(E207, '06_BANG_GIA_VAT_TU_AP_DUNG'!$B$1:$B$5000, 0)), 0)</f>
        <v/>
      </c>
      <c r="K207" s="13">
        <f>I207*J207</f>
        <v/>
      </c>
      <c r="L207" t="inlineStr">
        <is>
          <t>Bọc 2 lớp tấm 10mm quanh thân L=300mm</t>
        </is>
      </c>
    </row>
    <row r="208">
      <c r="A208" t="inlineStr">
        <is>
          <t>SW-DAMPER-021-FB20-BLADE</t>
        </is>
      </c>
      <c r="B208" t="inlineStr">
        <is>
          <t>SW-DAMPER-021</t>
        </is>
      </c>
      <c r="C208" t="inlineStr">
        <is>
          <t>Tấm chống cháy dày 20mm làm lõi cánh van FD/MFD</t>
        </is>
      </c>
      <c r="D208" t="inlineStr">
        <is>
          <t>VẬT_LIỆU_CÁCH_NHIỆT</t>
        </is>
      </c>
      <c r="E208" t="inlineStr">
        <is>
          <t>MAT-FIREBOARD-20MM-BLADE</t>
        </is>
      </c>
      <c r="F208" t="inlineStr">
        <is>
          <t>m2</t>
        </is>
      </c>
      <c r="G208" s="17" t="n">
        <v>0.13985333159226</v>
      </c>
      <c r="H208" s="13">
        <f>'00_TONG_HOP_BAO_GIA'!G22</f>
        <v/>
      </c>
      <c r="I208" s="18">
        <f>G208*H208</f>
        <v/>
      </c>
      <c r="J208" s="13">
        <f>IFERROR(INDEX('06_BANG_GIA_VAT_TU_AP_DUNG'!$E$1:$E$5000, MATCH(E208, '06_BANG_GIA_VAT_TU_AP_DUNG'!$B$1:$B$5000, 0)), 0)</f>
        <v/>
      </c>
      <c r="K208" s="13">
        <f>I208*J208</f>
        <v/>
      </c>
      <c r="L208" t="inlineStr">
        <is>
          <t>Lõi cánh tấm 20mm (Cánh đơn 500x250mm)</t>
        </is>
      </c>
    </row>
    <row r="209">
      <c r="A209" t="inlineStr">
        <is>
          <t>SW-DAMPER-021-FB10-BLADE</t>
        </is>
      </c>
      <c r="B209" t="inlineStr">
        <is>
          <t>SW-DAMPER-021</t>
        </is>
      </c>
      <c r="C209" t="inlineStr">
        <is>
          <t>Tấm chống cháy dày 10mm ốp 2 mặt cánh van FD/MFD</t>
        </is>
      </c>
      <c r="D209" t="inlineStr">
        <is>
          <t>VẬT_LIỆU_CÁCH_NHIỆT</t>
        </is>
      </c>
      <c r="E209" t="inlineStr">
        <is>
          <t>MAT-FIREBOARD-10MM-BLADE</t>
        </is>
      </c>
      <c r="F209" t="inlineStr">
        <is>
          <t>m2</t>
        </is>
      </c>
      <c r="G209" s="17" t="n">
        <v>0.2797066631845201</v>
      </c>
      <c r="H209" s="13">
        <f>'00_TONG_HOP_BAO_GIA'!G22</f>
        <v/>
      </c>
      <c r="I209" s="18">
        <f>G209*H209</f>
        <v/>
      </c>
      <c r="J209" s="13">
        <f>IFERROR(INDEX('06_BANG_GIA_VAT_TU_AP_DUNG'!$E$1:$E$5000, MATCH(E209, '06_BANG_GIA_VAT_TU_AP_DUNG'!$B$1:$B$5000, 0)), 0)</f>
        <v/>
      </c>
      <c r="K209" s="13">
        <f>I209*J209</f>
        <v/>
      </c>
      <c r="L209" t="inlineStr">
        <is>
          <t>Ốp 2 mặt cánh tấm 10mm (Cánh đơn 500x250mm)</t>
        </is>
      </c>
    </row>
    <row r="210">
      <c r="A210" t="inlineStr">
        <is>
          <t>SW-DAMPER-021-SPRING-BOX</t>
        </is>
      </c>
      <c r="B210" t="inlineStr">
        <is>
          <t>SW-DAMPER-021</t>
        </is>
      </c>
      <c r="C210" t="inlineStr">
        <is>
          <t>Hộp lò xo van chặn lửa FD/MFD</t>
        </is>
      </c>
      <c r="D210" t="inlineStr">
        <is>
          <t>PHỤ_KIỆN_VAN</t>
        </is>
      </c>
      <c r="E210" t="inlineStr">
        <is>
          <t>MAT-DAMPER-HOP-LO-XO</t>
        </is>
      </c>
      <c r="F210" t="inlineStr">
        <is>
          <t>Bộ</t>
        </is>
      </c>
      <c r="G210" s="17" t="n">
        <v>1</v>
      </c>
      <c r="H210" s="13">
        <f>'00_TONG_HOP_BAO_GIA'!G22</f>
        <v/>
      </c>
      <c r="I210" s="18">
        <f>G210*H210</f>
        <v/>
      </c>
      <c r="J210" s="13">
        <f>IFERROR(INDEX('06_BANG_GIA_VAT_TU_AP_DUNG'!$E$1:$E$5000, MATCH(E210, '06_BANG_GIA_VAT_TU_AP_DUNG'!$B$1:$B$5000, 0)), 0)</f>
        <v/>
      </c>
      <c r="K210" s="13">
        <f>I210*J210</f>
        <v/>
      </c>
      <c r="L210" t="inlineStr">
        <is>
          <t>Hộp lò xo cơ cấu đóng sập (1 bộ)</t>
        </is>
      </c>
    </row>
    <row r="211">
      <c r="A211" t="inlineStr">
        <is>
          <t>SW-DAMPER-021-SILICON-BOLT</t>
        </is>
      </c>
      <c r="B211" t="inlineStr">
        <is>
          <t>SW-DAMPER-021</t>
        </is>
      </c>
      <c r="C211" t="inlineStr">
        <is>
          <t>Silicon chống cháy + bu lông, ốc vít van FD/MFD</t>
        </is>
      </c>
      <c r="D211" t="inlineStr">
        <is>
          <t>PHỤ_KIỆN_VAN</t>
        </is>
      </c>
      <c r="E211" t="inlineStr">
        <is>
          <t>MAT-DAMPER-SILICON-BULONG-VIT</t>
        </is>
      </c>
      <c r="F211" t="inlineStr">
        <is>
          <t>Bộ</t>
        </is>
      </c>
      <c r="G211" s="17" t="n">
        <v>1</v>
      </c>
      <c r="H211" s="13">
        <f>'00_TONG_HOP_BAO_GIA'!G22</f>
        <v/>
      </c>
      <c r="I211" s="18">
        <f>G211*H211</f>
        <v/>
      </c>
      <c r="J211" s="13">
        <f>IFERROR(INDEX('06_BANG_GIA_VAT_TU_AP_DUNG'!$E$1:$E$5000, MATCH(E211, '06_BANG_GIA_VAT_TU_AP_DUNG'!$B$1:$B$5000, 0)), 0)</f>
        <v/>
      </c>
      <c r="K211" s="13">
        <f>I211*J211</f>
        <v/>
      </c>
      <c r="L211" t="inlineStr">
        <is>
          <t>Keo silicon chống cháy &amp; phụ kiện lắp ghép (1 bộ)</t>
        </is>
      </c>
    </row>
    <row r="212">
      <c r="A212" t="inlineStr">
        <is>
          <t>SW-DAMPER-022-BODY</t>
        </is>
      </c>
      <c r="B212" t="inlineStr">
        <is>
          <t>SW-DAMPER-022</t>
        </is>
      </c>
      <c r="C212" t="inlineStr">
        <is>
          <t>Thân vỏ van MFD bích C30/TDF (1.15mm)</t>
        </is>
      </c>
      <c r="D212" t="inlineStr">
        <is>
          <t>TÔN_CUỘN_MẠ_KẼM</t>
        </is>
      </c>
      <c r="E212" t="inlineStr">
        <is>
          <t>MAT-STEEL-PN-1.15</t>
        </is>
      </c>
      <c r="F212" t="inlineStr">
        <is>
          <t>kg</t>
        </is>
      </c>
      <c r="G212" s="17" t="n">
        <v>24.91216532242941</v>
      </c>
      <c r="H212" s="13">
        <f>'00_TONG_HOP_BAO_GIA'!G23</f>
        <v/>
      </c>
      <c r="I212" s="18">
        <f>G212*H212</f>
        <v/>
      </c>
      <c r="J212" s="13">
        <f>IFERROR(INDEX('06_BANG_GIA_VAT_TU_AP_DUNG'!$E$1:$E$5000, MATCH(E212, '06_BANG_GIA_VAT_TU_AP_DUNG'!$B$1:$B$5000, 0)), 0)</f>
        <v/>
      </c>
      <c r="K212" s="13">
        <f>I212*J212</f>
        <v/>
      </c>
      <c r="L212" t="inlineStr">
        <is>
          <t>Kích thước vỏ 2400x500x200mm (3 modul 800x500mm)</t>
        </is>
      </c>
    </row>
    <row r="213">
      <c r="A213" t="inlineStr">
        <is>
          <t>SW-DAMPER-022-BLADE</t>
        </is>
      </c>
      <c r="B213" t="inlineStr">
        <is>
          <t>SW-DAMPER-022</t>
        </is>
      </c>
      <c r="C213" t="inlineStr">
        <is>
          <t>Lá cánh / Tôn tấm bọc van (3 cánh)</t>
        </is>
      </c>
      <c r="D213" t="inlineStr">
        <is>
          <t>TÔN_CUỘN_MẠ_KẼM</t>
        </is>
      </c>
      <c r="E213" t="inlineStr">
        <is>
          <t>MAT-STEEL-PN-1.15</t>
        </is>
      </c>
      <c r="F213" t="inlineStr">
        <is>
          <t>kg</t>
        </is>
      </c>
      <c r="G213" s="17" t="n">
        <v>26.62836333967122</v>
      </c>
      <c r="H213" s="13">
        <f>'00_TONG_HOP_BAO_GIA'!G23</f>
        <v/>
      </c>
      <c r="I213" s="18">
        <f>G213*H213</f>
        <v/>
      </c>
      <c r="J213" s="13">
        <f>IFERROR(INDEX('06_BANG_GIA_VAT_TU_AP_DUNG'!$E$1:$E$5000, MATCH(E213, '06_BANG_GIA_VAT_TU_AP_DUNG'!$B$1:$B$5000, 0)), 0)</f>
        <v/>
      </c>
      <c r="K213" s="13">
        <f>I213*J213</f>
        <v/>
      </c>
      <c r="L213" t="inlineStr">
        <is>
          <t>Tôn bọc cánh &amp; thân (1 cánh/modul (3 modul 800x500mm))</t>
        </is>
      </c>
    </row>
    <row r="214">
      <c r="A214" t="inlineStr">
        <is>
          <t>SW-DAMPER-022-AXLE</t>
        </is>
      </c>
      <c r="B214" t="inlineStr">
        <is>
          <t>SW-DAMPER-022</t>
        </is>
      </c>
      <c r="C214" t="inlineStr">
        <is>
          <t>Trục Sus 201 D10</t>
        </is>
      </c>
      <c r="D214" t="inlineStr">
        <is>
          <t>PHỤ_KIỆN_VAN</t>
        </is>
      </c>
      <c r="E214" t="inlineStr">
        <is>
          <t>MAT-DAMPER-TRUC-SUS-201-D10</t>
        </is>
      </c>
      <c r="F214" t="inlineStr">
        <is>
          <t>m</t>
        </is>
      </c>
      <c r="G214" s="17" t="n">
        <v>3.170921139866692</v>
      </c>
      <c r="H214" s="13">
        <f>'00_TONG_HOP_BAO_GIA'!G23</f>
        <v/>
      </c>
      <c r="I214" s="18">
        <f>G214*H214</f>
        <v/>
      </c>
      <c r="J214" s="13">
        <f>IFERROR(INDEX('06_BANG_GIA_VAT_TU_AP_DUNG'!$E$1:$E$5000, MATCH(E214, '06_BANG_GIA_VAT_TU_AP_DUNG'!$B$1:$B$5000, 0)), 0)</f>
        <v/>
      </c>
      <c r="K214" s="13">
        <f>I214*J214</f>
        <v/>
      </c>
      <c r="L214" t="inlineStr">
        <is>
          <t>3 trục dài 860mm</t>
        </is>
      </c>
    </row>
    <row r="215">
      <c r="A215" t="inlineStr">
        <is>
          <t>SW-DAMPER-022-BEARING</t>
        </is>
      </c>
      <c r="B215" t="inlineStr">
        <is>
          <t>SW-DAMPER-022</t>
        </is>
      </c>
      <c r="C215" t="inlineStr">
        <is>
          <t>Bạc đồng D10</t>
        </is>
      </c>
      <c r="D215" t="inlineStr">
        <is>
          <t>PHỤ_KIỆN_VAN</t>
        </is>
      </c>
      <c r="E215" t="inlineStr">
        <is>
          <t>MAT-DAMPER-BAC-DONG-D10</t>
        </is>
      </c>
      <c r="F215" t="inlineStr">
        <is>
          <t>Đôi</t>
        </is>
      </c>
      <c r="G215" s="17" t="n">
        <v>3</v>
      </c>
      <c r="H215" s="13">
        <f>'00_TONG_HOP_BAO_GIA'!G23</f>
        <v/>
      </c>
      <c r="I215" s="18">
        <f>G215*H215</f>
        <v/>
      </c>
      <c r="J215" s="13">
        <f>IFERROR(INDEX('06_BANG_GIA_VAT_TU_AP_DUNG'!$E$1:$E$5000, MATCH(E215, '06_BANG_GIA_VAT_TU_AP_DUNG'!$B$1:$B$5000, 0)), 0)</f>
        <v/>
      </c>
      <c r="K215" s="13">
        <f>I215*J215</f>
        <v/>
      </c>
      <c r="L215" t="inlineStr">
        <is>
          <t>3 đôi bạc đỡ 2 bên thân</t>
        </is>
      </c>
    </row>
    <row r="216">
      <c r="A216" t="inlineStr">
        <is>
          <t>SW-DAMPER-022-ACTUATOR</t>
        </is>
      </c>
      <c r="B216" t="inlineStr">
        <is>
          <t>SW-DAMPER-022</t>
        </is>
      </c>
      <c r="C216" t="inlineStr">
        <is>
          <t>Động cơ chặn lửa ON/OFF 3.5Nm, 230V/24V (BELIMO FSLF24 / FSLF230)</t>
        </is>
      </c>
      <c r="D216" t="inlineStr">
        <is>
          <t>ĐỘNG_CƠ_VÀ_CẢM_BIẾN</t>
        </is>
      </c>
      <c r="E216" t="inlineStr">
        <is>
          <t>MAT-ACTUATOR-BELIMO-FSLF24</t>
        </is>
      </c>
      <c r="F216" t="inlineStr">
        <is>
          <t>Cái</t>
        </is>
      </c>
      <c r="G216" s="17" t="n">
        <v>3</v>
      </c>
      <c r="H216" s="13">
        <f>'00_TONG_HOP_BAO_GIA'!G23</f>
        <v/>
      </c>
      <c r="I216" s="18">
        <f>G216*H216</f>
        <v/>
      </c>
      <c r="J216" s="13">
        <f>IFERROR(INDEX('06_BANG_GIA_VAT_TU_AP_DUNG'!$E$1:$E$5000, MATCH(E216, '06_BANG_GIA_VAT_TU_AP_DUNG'!$B$1:$B$5000, 0)), 0)</f>
        <v/>
      </c>
      <c r="K216" s="13">
        <f>I216*J216</f>
        <v/>
      </c>
      <c r="L216" t="inlineStr">
        <is>
          <t>Động cơ lò xo phản hồi MFD (3 bộ (3 modul 800x500mm))</t>
        </is>
      </c>
    </row>
    <row r="217">
      <c r="A217" t="inlineStr">
        <is>
          <t>SW-DAMPER-022-FB10-BODY</t>
        </is>
      </c>
      <c r="B217" t="inlineStr">
        <is>
          <t>SW-DAMPER-022</t>
        </is>
      </c>
      <c r="C217" t="inlineStr">
        <is>
          <t>Tấm chống cháy dày 10mm bọc thân van FD/MFD (2 lớp)</t>
        </is>
      </c>
      <c r="D217" t="inlineStr">
        <is>
          <t>VẬT_LIỆU_CÁCH_NHIỆT</t>
        </is>
      </c>
      <c r="E217" t="inlineStr">
        <is>
          <t>MAT-FIREBOARD-10MM-BODY</t>
        </is>
      </c>
      <c r="F217" t="inlineStr">
        <is>
          <t>m2</t>
        </is>
      </c>
      <c r="G217" s="17" t="n">
        <v>5.751903463013998</v>
      </c>
      <c r="H217" s="13">
        <f>'00_TONG_HOP_BAO_GIA'!G23</f>
        <v/>
      </c>
      <c r="I217" s="18">
        <f>G217*H217</f>
        <v/>
      </c>
      <c r="J217" s="13">
        <f>IFERROR(INDEX('06_BANG_GIA_VAT_TU_AP_DUNG'!$E$1:$E$5000, MATCH(E217, '06_BANG_GIA_VAT_TU_AP_DUNG'!$B$1:$B$5000, 0)), 0)</f>
        <v/>
      </c>
      <c r="K217" s="13">
        <f>I217*J217</f>
        <v/>
      </c>
      <c r="L217" t="inlineStr">
        <is>
          <t>Bọc 2 lớp tấm 10mm quanh thân L=300mm (3 modul 800x500mm)</t>
        </is>
      </c>
    </row>
    <row r="218">
      <c r="A218" t="inlineStr">
        <is>
          <t>SW-DAMPER-022-FB20-BLADE</t>
        </is>
      </c>
      <c r="B218" t="inlineStr">
        <is>
          <t>SW-DAMPER-022</t>
        </is>
      </c>
      <c r="C218" t="inlineStr">
        <is>
          <t>Tấm chống cháy dày 20mm làm lõi cánh van FD/MFD</t>
        </is>
      </c>
      <c r="D218" t="inlineStr">
        <is>
          <t>VẬT_LIỆU_CÁCH_NHIỆT</t>
        </is>
      </c>
      <c r="E218" t="inlineStr">
        <is>
          <t>MAT-FIREBOARD-20MM-BLADE</t>
        </is>
      </c>
      <c r="F218" t="inlineStr">
        <is>
          <t>m2</t>
        </is>
      </c>
      <c r="G218" s="17" t="n">
        <v>1.474847041798461</v>
      </c>
      <c r="H218" s="13">
        <f>'00_TONG_HOP_BAO_GIA'!G23</f>
        <v/>
      </c>
      <c r="I218" s="18">
        <f>G218*H218</f>
        <v/>
      </c>
      <c r="J218" s="13">
        <f>IFERROR(INDEX('06_BANG_GIA_VAT_TU_AP_DUNG'!$E$1:$E$5000, MATCH(E218, '06_BANG_GIA_VAT_TU_AP_DUNG'!$B$1:$B$5000, 0)), 0)</f>
        <v/>
      </c>
      <c r="K218" s="13">
        <f>I218*J218</f>
        <v/>
      </c>
      <c r="L218" t="inlineStr">
        <is>
          <t>Lõi cánh tấm 20mm (Cánh đơn 800x500mm (3 modul 800x500mm))</t>
        </is>
      </c>
    </row>
    <row r="219">
      <c r="A219" t="inlineStr">
        <is>
          <t>SW-DAMPER-022-FB10-BLADE</t>
        </is>
      </c>
      <c r="B219" t="inlineStr">
        <is>
          <t>SW-DAMPER-022</t>
        </is>
      </c>
      <c r="C219" t="inlineStr">
        <is>
          <t>Tấm chống cháy dày 10mm ốp 2 mặt cánh van FD/MFD</t>
        </is>
      </c>
      <c r="D219" t="inlineStr">
        <is>
          <t>VẬT_LIỆU_CÁCH_NHIỆT</t>
        </is>
      </c>
      <c r="E219" t="inlineStr">
        <is>
          <t>MAT-FIREBOARD-10MM-BLADE</t>
        </is>
      </c>
      <c r="F219" t="inlineStr">
        <is>
          <t>m2</t>
        </is>
      </c>
      <c r="G219" s="17" t="n">
        <v>2.949694083596923</v>
      </c>
      <c r="H219" s="13">
        <f>'00_TONG_HOP_BAO_GIA'!G23</f>
        <v/>
      </c>
      <c r="I219" s="18">
        <f>G219*H219</f>
        <v/>
      </c>
      <c r="J219" s="13">
        <f>IFERROR(INDEX('06_BANG_GIA_VAT_TU_AP_DUNG'!$E$1:$E$5000, MATCH(E219, '06_BANG_GIA_VAT_TU_AP_DUNG'!$B$1:$B$5000, 0)), 0)</f>
        <v/>
      </c>
      <c r="K219" s="13">
        <f>I219*J219</f>
        <v/>
      </c>
      <c r="L219" t="inlineStr">
        <is>
          <t>Ốp 2 mặt cánh tấm 10mm (Cánh đơn 800x500mm (3 modul 800x500mm))</t>
        </is>
      </c>
    </row>
    <row r="220">
      <c r="A220" t="inlineStr">
        <is>
          <t>SW-DAMPER-022-SPRING-BOX</t>
        </is>
      </c>
      <c r="B220" t="inlineStr">
        <is>
          <t>SW-DAMPER-022</t>
        </is>
      </c>
      <c r="C220" t="inlineStr">
        <is>
          <t>Hộp lò xo van chặn lửa FD/MFD</t>
        </is>
      </c>
      <c r="D220" t="inlineStr">
        <is>
          <t>PHỤ_KIỆN_VAN</t>
        </is>
      </c>
      <c r="E220" t="inlineStr">
        <is>
          <t>MAT-DAMPER-HOP-LO-XO</t>
        </is>
      </c>
      <c r="F220" t="inlineStr">
        <is>
          <t>Bộ</t>
        </is>
      </c>
      <c r="G220" s="17" t="n">
        <v>3</v>
      </c>
      <c r="H220" s="13">
        <f>'00_TONG_HOP_BAO_GIA'!G23</f>
        <v/>
      </c>
      <c r="I220" s="18">
        <f>G220*H220</f>
        <v/>
      </c>
      <c r="J220" s="13">
        <f>IFERROR(INDEX('06_BANG_GIA_VAT_TU_AP_DUNG'!$E$1:$E$5000, MATCH(E220, '06_BANG_GIA_VAT_TU_AP_DUNG'!$B$1:$B$5000, 0)), 0)</f>
        <v/>
      </c>
      <c r="K220" s="13">
        <f>I220*J220</f>
        <v/>
      </c>
      <c r="L220" t="inlineStr">
        <is>
          <t>Hộp lò xo cơ cấu đóng sập (3 bộ)</t>
        </is>
      </c>
    </row>
    <row r="221">
      <c r="A221" t="inlineStr">
        <is>
          <t>SW-DAMPER-022-SILICON-BOLT</t>
        </is>
      </c>
      <c r="B221" t="inlineStr">
        <is>
          <t>SW-DAMPER-022</t>
        </is>
      </c>
      <c r="C221" t="inlineStr">
        <is>
          <t>Silicon chống cháy + bu lông, ốc vít van FD/MFD</t>
        </is>
      </c>
      <c r="D221" t="inlineStr">
        <is>
          <t>PHỤ_KIỆN_VAN</t>
        </is>
      </c>
      <c r="E221" t="inlineStr">
        <is>
          <t>MAT-DAMPER-SILICON-BULONG-VIT</t>
        </is>
      </c>
      <c r="F221" t="inlineStr">
        <is>
          <t>Bộ</t>
        </is>
      </c>
      <c r="G221" s="17" t="n">
        <v>3</v>
      </c>
      <c r="H221" s="13">
        <f>'00_TONG_HOP_BAO_GIA'!G23</f>
        <v/>
      </c>
      <c r="I221" s="18">
        <f>G221*H221</f>
        <v/>
      </c>
      <c r="J221" s="13">
        <f>IFERROR(INDEX('06_BANG_GIA_VAT_TU_AP_DUNG'!$E$1:$E$5000, MATCH(E221, '06_BANG_GIA_VAT_TU_AP_DUNG'!$B$1:$B$5000, 0)), 0)</f>
        <v/>
      </c>
      <c r="K221" s="13">
        <f>I221*J221</f>
        <v/>
      </c>
      <c r="L221" t="inlineStr">
        <is>
          <t>Keo silicon chống cháy &amp; phụ kiện lắp ghép (3 bộ)</t>
        </is>
      </c>
    </row>
    <row r="222">
      <c r="A222" t="inlineStr">
        <is>
          <t>SW-DAMPER-023-BODY</t>
        </is>
      </c>
      <c r="B222" t="inlineStr">
        <is>
          <t>SW-DAMPER-023</t>
        </is>
      </c>
      <c r="C222" t="inlineStr">
        <is>
          <t>Thân vỏ van MFD bích C30/TDF (1.15mm)</t>
        </is>
      </c>
      <c r="D222" t="inlineStr">
        <is>
          <t>TÔN_CUỘN_MẠ_KẼM</t>
        </is>
      </c>
      <c r="E222" t="inlineStr">
        <is>
          <t>MAT-STEEL-PN-1.15</t>
        </is>
      </c>
      <c r="F222" t="inlineStr">
        <is>
          <t>kg</t>
        </is>
      </c>
      <c r="G222" s="17" t="n">
        <v>17.2009485952931</v>
      </c>
      <c r="H222" s="13">
        <f>'00_TONG_HOP_BAO_GIA'!G24</f>
        <v/>
      </c>
      <c r="I222" s="18">
        <f>G222*H222</f>
        <v/>
      </c>
      <c r="J222" s="13">
        <f>IFERROR(INDEX('06_BANG_GIA_VAT_TU_AP_DUNG'!$E$1:$E$5000, MATCH(E222, '06_BANG_GIA_VAT_TU_AP_DUNG'!$B$1:$B$5000, 0)), 0)</f>
        <v/>
      </c>
      <c r="K222" s="13">
        <f>I222*J222</f>
        <v/>
      </c>
      <c r="L222" t="inlineStr">
        <is>
          <t>Kích thước vỏ 1700x500x200mm (2 modul 850x500mm)</t>
        </is>
      </c>
    </row>
    <row r="223">
      <c r="A223" t="inlineStr">
        <is>
          <t>SW-DAMPER-023-BLADE</t>
        </is>
      </c>
      <c r="B223" t="inlineStr">
        <is>
          <t>SW-DAMPER-023</t>
        </is>
      </c>
      <c r="C223" t="inlineStr">
        <is>
          <t>Lá cánh / Tôn tấm bọc van (2 cánh)</t>
        </is>
      </c>
      <c r="D223" t="inlineStr">
        <is>
          <t>TÔN_CUỘN_MẠ_KẼM</t>
        </is>
      </c>
      <c r="E223" t="inlineStr">
        <is>
          <t>MAT-STEEL-PN-1.15</t>
        </is>
      </c>
      <c r="F223" t="inlineStr">
        <is>
          <t>kg</t>
        </is>
      </c>
      <c r="G223" s="17" t="n">
        <v>18.82208358243429</v>
      </c>
      <c r="H223" s="13">
        <f>'00_TONG_HOP_BAO_GIA'!G24</f>
        <v/>
      </c>
      <c r="I223" s="18">
        <f>G223*H223</f>
        <v/>
      </c>
      <c r="J223" s="13">
        <f>IFERROR(INDEX('06_BANG_GIA_VAT_TU_AP_DUNG'!$E$1:$E$5000, MATCH(E223, '06_BANG_GIA_VAT_TU_AP_DUNG'!$B$1:$B$5000, 0)), 0)</f>
        <v/>
      </c>
      <c r="K223" s="13">
        <f>I223*J223</f>
        <v/>
      </c>
      <c r="L223" t="inlineStr">
        <is>
          <t>Tôn bọc cánh &amp; thân (1 cánh/modul (2 modul 850x500mm))</t>
        </is>
      </c>
    </row>
    <row r="224">
      <c r="A224" t="inlineStr">
        <is>
          <t>SW-DAMPER-023-AXLE</t>
        </is>
      </c>
      <c r="B224" t="inlineStr">
        <is>
          <t>SW-DAMPER-023</t>
        </is>
      </c>
      <c r="C224" t="inlineStr">
        <is>
          <t>Trục Sus 201 D10</t>
        </is>
      </c>
      <c r="D224" t="inlineStr">
        <is>
          <t>PHỤ_KIỆN_VAN</t>
        </is>
      </c>
      <c r="E224" t="inlineStr">
        <is>
          <t>MAT-DAMPER-TRUC-SUS-201-D10</t>
        </is>
      </c>
      <c r="F224" t="inlineStr">
        <is>
          <t>m</t>
        </is>
      </c>
      <c r="G224" s="17" t="n">
        <v>2.232146358025668</v>
      </c>
      <c r="H224" s="13">
        <f>'00_TONG_HOP_BAO_GIA'!G24</f>
        <v/>
      </c>
      <c r="I224" s="18">
        <f>G224*H224</f>
        <v/>
      </c>
      <c r="J224" s="13">
        <f>IFERROR(INDEX('06_BANG_GIA_VAT_TU_AP_DUNG'!$E$1:$E$5000, MATCH(E224, '06_BANG_GIA_VAT_TU_AP_DUNG'!$B$1:$B$5000, 0)), 0)</f>
        <v/>
      </c>
      <c r="K224" s="13">
        <f>I224*J224</f>
        <v/>
      </c>
      <c r="L224" t="inlineStr">
        <is>
          <t>2 trục dài 910mm</t>
        </is>
      </c>
    </row>
    <row r="225">
      <c r="A225" t="inlineStr">
        <is>
          <t>SW-DAMPER-023-BEARING</t>
        </is>
      </c>
      <c r="B225" t="inlineStr">
        <is>
          <t>SW-DAMPER-023</t>
        </is>
      </c>
      <c r="C225" t="inlineStr">
        <is>
          <t>Bạc đồng D10</t>
        </is>
      </c>
      <c r="D225" t="inlineStr">
        <is>
          <t>PHỤ_KIỆN_VAN</t>
        </is>
      </c>
      <c r="E225" t="inlineStr">
        <is>
          <t>MAT-DAMPER-BAC-DONG-D10</t>
        </is>
      </c>
      <c r="F225" t="inlineStr">
        <is>
          <t>Đôi</t>
        </is>
      </c>
      <c r="G225" s="17" t="n">
        <v>2</v>
      </c>
      <c r="H225" s="13">
        <f>'00_TONG_HOP_BAO_GIA'!G24</f>
        <v/>
      </c>
      <c r="I225" s="18">
        <f>G225*H225</f>
        <v/>
      </c>
      <c r="J225" s="13">
        <f>IFERROR(INDEX('06_BANG_GIA_VAT_TU_AP_DUNG'!$E$1:$E$5000, MATCH(E225, '06_BANG_GIA_VAT_TU_AP_DUNG'!$B$1:$B$5000, 0)), 0)</f>
        <v/>
      </c>
      <c r="K225" s="13">
        <f>I225*J225</f>
        <v/>
      </c>
      <c r="L225" t="inlineStr">
        <is>
          <t>2 đôi bạc đỡ 2 bên thân</t>
        </is>
      </c>
    </row>
    <row r="226">
      <c r="A226" t="inlineStr">
        <is>
          <t>SW-DAMPER-023-ACTUATOR</t>
        </is>
      </c>
      <c r="B226" t="inlineStr">
        <is>
          <t>SW-DAMPER-023</t>
        </is>
      </c>
      <c r="C226" t="inlineStr">
        <is>
          <t>Động cơ chặn lửa ON/OFF 3.5Nm, 230V/24V (BELIMO FSLF24 / FSLF230)</t>
        </is>
      </c>
      <c r="D226" t="inlineStr">
        <is>
          <t>ĐỘNG_CƠ_VÀ_CẢM_BIẾN</t>
        </is>
      </c>
      <c r="E226" t="inlineStr">
        <is>
          <t>MAT-ACTUATOR-BELIMO-FSLF24</t>
        </is>
      </c>
      <c r="F226" t="inlineStr">
        <is>
          <t>Cái</t>
        </is>
      </c>
      <c r="G226" s="17" t="n">
        <v>2</v>
      </c>
      <c r="H226" s="13">
        <f>'00_TONG_HOP_BAO_GIA'!G24</f>
        <v/>
      </c>
      <c r="I226" s="18">
        <f>G226*H226</f>
        <v/>
      </c>
      <c r="J226" s="13">
        <f>IFERROR(INDEX('06_BANG_GIA_VAT_TU_AP_DUNG'!$E$1:$E$5000, MATCH(E226, '06_BANG_GIA_VAT_TU_AP_DUNG'!$B$1:$B$5000, 0)), 0)</f>
        <v/>
      </c>
      <c r="K226" s="13">
        <f>I226*J226</f>
        <v/>
      </c>
      <c r="L226" t="inlineStr">
        <is>
          <t>Động cơ lò xo phản hồi MFD (2 bộ (2 modul 850x500mm))</t>
        </is>
      </c>
    </row>
    <row r="227">
      <c r="A227" t="inlineStr">
        <is>
          <t>SW-DAMPER-023-FB10-BODY</t>
        </is>
      </c>
      <c r="B227" t="inlineStr">
        <is>
          <t>SW-DAMPER-023</t>
        </is>
      </c>
      <c r="C227" t="inlineStr">
        <is>
          <t>Tấm chống cháy dày 10mm bọc thân van FD/MFD (2 lớp)</t>
        </is>
      </c>
      <c r="D227" t="inlineStr">
        <is>
          <t>VẬT_LIỆU_CÁCH_NHIỆT</t>
        </is>
      </c>
      <c r="E227" t="inlineStr">
        <is>
          <t>MAT-FIREBOARD-10MM-BODY</t>
        </is>
      </c>
      <c r="F227" t="inlineStr">
        <is>
          <t>m2</t>
        </is>
      </c>
      <c r="G227" s="17" t="n">
        <v>3.973711098902837</v>
      </c>
      <c r="H227" s="13">
        <f>'00_TONG_HOP_BAO_GIA'!G24</f>
        <v/>
      </c>
      <c r="I227" s="18">
        <f>G227*H227</f>
        <v/>
      </c>
      <c r="J227" s="13">
        <f>IFERROR(INDEX('06_BANG_GIA_VAT_TU_AP_DUNG'!$E$1:$E$5000, MATCH(E227, '06_BANG_GIA_VAT_TU_AP_DUNG'!$B$1:$B$5000, 0)), 0)</f>
        <v/>
      </c>
      <c r="K227" s="13">
        <f>I227*J227</f>
        <v/>
      </c>
      <c r="L227" t="inlineStr">
        <is>
          <t>Bọc 2 lớp tấm 10mm quanh thân L=300mm (2 modul 850x500mm)</t>
        </is>
      </c>
    </row>
    <row r="228">
      <c r="A228" t="inlineStr">
        <is>
          <t>SW-DAMPER-023-FB20-BLADE</t>
        </is>
      </c>
      <c r="B228" t="inlineStr">
        <is>
          <t>SW-DAMPER-023</t>
        </is>
      </c>
      <c r="C228" t="inlineStr">
        <is>
          <t>Tấm chống cháy dày 20mm làm lõi cánh van FD/MFD</t>
        </is>
      </c>
      <c r="D228" t="inlineStr">
        <is>
          <t>VẬT_LIỆU_CÁCH_NHIỆT</t>
        </is>
      </c>
      <c r="E228" t="inlineStr">
        <is>
          <t>MAT-FIREBOARD-20MM-BLADE</t>
        </is>
      </c>
      <c r="F228" t="inlineStr">
        <is>
          <t>m2</t>
        </is>
      </c>
      <c r="G228" s="17" t="n">
        <v>1.042485936440559</v>
      </c>
      <c r="H228" s="13">
        <f>'00_TONG_HOP_BAO_GIA'!G24</f>
        <v/>
      </c>
      <c r="I228" s="18">
        <f>G228*H228</f>
        <v/>
      </c>
      <c r="J228" s="13">
        <f>IFERROR(INDEX('06_BANG_GIA_VAT_TU_AP_DUNG'!$E$1:$E$5000, MATCH(E228, '06_BANG_GIA_VAT_TU_AP_DUNG'!$B$1:$B$5000, 0)), 0)</f>
        <v/>
      </c>
      <c r="K228" s="13">
        <f>I228*J228</f>
        <v/>
      </c>
      <c r="L228" t="inlineStr">
        <is>
          <t>Lõi cánh tấm 20mm (Cánh đơn 850x500mm (2 modul 850x500mm))</t>
        </is>
      </c>
    </row>
    <row r="229">
      <c r="A229" t="inlineStr">
        <is>
          <t>SW-DAMPER-023-FB10-BLADE</t>
        </is>
      </c>
      <c r="B229" t="inlineStr">
        <is>
          <t>SW-DAMPER-023</t>
        </is>
      </c>
      <c r="C229" t="inlineStr">
        <is>
          <t>Tấm chống cháy dày 10mm ốp 2 mặt cánh van FD/MFD</t>
        </is>
      </c>
      <c r="D229" t="inlineStr">
        <is>
          <t>VẬT_LIỆU_CÁCH_NHIỆT</t>
        </is>
      </c>
      <c r="E229" t="inlineStr">
        <is>
          <t>MAT-FIREBOARD-10MM-BLADE</t>
        </is>
      </c>
      <c r="F229" t="inlineStr">
        <is>
          <t>m2</t>
        </is>
      </c>
      <c r="G229" s="17" t="n">
        <v>2.084971872881118</v>
      </c>
      <c r="H229" s="13">
        <f>'00_TONG_HOP_BAO_GIA'!G24</f>
        <v/>
      </c>
      <c r="I229" s="18">
        <f>G229*H229</f>
        <v/>
      </c>
      <c r="J229" s="13">
        <f>IFERROR(INDEX('06_BANG_GIA_VAT_TU_AP_DUNG'!$E$1:$E$5000, MATCH(E229, '06_BANG_GIA_VAT_TU_AP_DUNG'!$B$1:$B$5000, 0)), 0)</f>
        <v/>
      </c>
      <c r="K229" s="13">
        <f>I229*J229</f>
        <v/>
      </c>
      <c r="L229" t="inlineStr">
        <is>
          <t>Ốp 2 mặt cánh tấm 10mm (Cánh đơn 850x500mm (2 modul 850x500mm))</t>
        </is>
      </c>
    </row>
    <row r="230">
      <c r="A230" t="inlineStr">
        <is>
          <t>SW-DAMPER-023-SPRING-BOX</t>
        </is>
      </c>
      <c r="B230" t="inlineStr">
        <is>
          <t>SW-DAMPER-023</t>
        </is>
      </c>
      <c r="C230" t="inlineStr">
        <is>
          <t>Hộp lò xo van chặn lửa FD/MFD</t>
        </is>
      </c>
      <c r="D230" t="inlineStr">
        <is>
          <t>PHỤ_KIỆN_VAN</t>
        </is>
      </c>
      <c r="E230" t="inlineStr">
        <is>
          <t>MAT-DAMPER-HOP-LO-XO</t>
        </is>
      </c>
      <c r="F230" t="inlineStr">
        <is>
          <t>Bộ</t>
        </is>
      </c>
      <c r="G230" s="17" t="n">
        <v>2</v>
      </c>
      <c r="H230" s="13">
        <f>'00_TONG_HOP_BAO_GIA'!G24</f>
        <v/>
      </c>
      <c r="I230" s="18">
        <f>G230*H230</f>
        <v/>
      </c>
      <c r="J230" s="13">
        <f>IFERROR(INDEX('06_BANG_GIA_VAT_TU_AP_DUNG'!$E$1:$E$5000, MATCH(E230, '06_BANG_GIA_VAT_TU_AP_DUNG'!$B$1:$B$5000, 0)), 0)</f>
        <v/>
      </c>
      <c r="K230" s="13">
        <f>I230*J230</f>
        <v/>
      </c>
      <c r="L230" t="inlineStr">
        <is>
          <t>Hộp lò xo cơ cấu đóng sập (2 bộ)</t>
        </is>
      </c>
    </row>
    <row r="231">
      <c r="A231" t="inlineStr">
        <is>
          <t>SW-DAMPER-023-SILICON-BOLT</t>
        </is>
      </c>
      <c r="B231" t="inlineStr">
        <is>
          <t>SW-DAMPER-023</t>
        </is>
      </c>
      <c r="C231" t="inlineStr">
        <is>
          <t>Silicon chống cháy + bu lông, ốc vít van FD/MFD</t>
        </is>
      </c>
      <c r="D231" t="inlineStr">
        <is>
          <t>PHỤ_KIỆN_VAN</t>
        </is>
      </c>
      <c r="E231" t="inlineStr">
        <is>
          <t>MAT-DAMPER-SILICON-BULONG-VIT</t>
        </is>
      </c>
      <c r="F231" t="inlineStr">
        <is>
          <t>Bộ</t>
        </is>
      </c>
      <c r="G231" s="17" t="n">
        <v>2</v>
      </c>
      <c r="H231" s="13">
        <f>'00_TONG_HOP_BAO_GIA'!G24</f>
        <v/>
      </c>
      <c r="I231" s="18">
        <f>G231*H231</f>
        <v/>
      </c>
      <c r="J231" s="13">
        <f>IFERROR(INDEX('06_BANG_GIA_VAT_TU_AP_DUNG'!$E$1:$E$5000, MATCH(E231, '06_BANG_GIA_VAT_TU_AP_DUNG'!$B$1:$B$5000, 0)), 0)</f>
        <v/>
      </c>
      <c r="K231" s="13">
        <f>I231*J231</f>
        <v/>
      </c>
      <c r="L231" t="inlineStr">
        <is>
          <t>Keo silicon chống cháy &amp; phụ kiện lắp ghép (2 bộ)</t>
        </is>
      </c>
    </row>
    <row r="232">
      <c r="A232" t="inlineStr">
        <is>
          <t>SW-DAMPER-024-BODY</t>
        </is>
      </c>
      <c r="B232" t="inlineStr">
        <is>
          <t>SW-DAMPER-024</t>
        </is>
      </c>
      <c r="C232" t="inlineStr">
        <is>
          <t>Thân vỏ van MFD bích C30/TDF (1.15mm)</t>
        </is>
      </c>
      <c r="D232" t="inlineStr">
        <is>
          <t>TÔN_CUỘN_MẠ_KẼM</t>
        </is>
      </c>
      <c r="E232" t="inlineStr">
        <is>
          <t>MAT-STEEL-PN-1.15</t>
        </is>
      </c>
      <c r="F232" t="inlineStr">
        <is>
          <t>kg</t>
        </is>
      </c>
      <c r="G232" s="17" t="n">
        <v>9.401030192467509</v>
      </c>
      <c r="H232" s="13">
        <f>'00_TONG_HOP_BAO_GIA'!G25</f>
        <v/>
      </c>
      <c r="I232" s="18">
        <f>G232*H232</f>
        <v/>
      </c>
      <c r="J232" s="13">
        <f>IFERROR(INDEX('06_BANG_GIA_VAT_TU_AP_DUNG'!$E$1:$E$5000, MATCH(E232, '06_BANG_GIA_VAT_TU_AP_DUNG'!$B$1:$B$5000, 0)), 0)</f>
        <v/>
      </c>
      <c r="K232" s="13">
        <f>I232*J232</f>
        <v/>
      </c>
      <c r="L232" t="inlineStr">
        <is>
          <t>Kích thước vỏ 1200x300x200mm</t>
        </is>
      </c>
    </row>
    <row r="233">
      <c r="A233" t="inlineStr">
        <is>
          <t>SW-DAMPER-024-BLADE</t>
        </is>
      </c>
      <c r="B233" t="inlineStr">
        <is>
          <t>SW-DAMPER-024</t>
        </is>
      </c>
      <c r="C233" t="inlineStr">
        <is>
          <t>Lá cánh / Tôn tấm bọc van (1 cánh)</t>
        </is>
      </c>
      <c r="D233" t="inlineStr">
        <is>
          <t>TÔN_CUỘN_MẠ_KẼM</t>
        </is>
      </c>
      <c r="E233" t="inlineStr">
        <is>
          <t>MAT-STEEL-PN-1.15</t>
        </is>
      </c>
      <c r="F233" t="inlineStr">
        <is>
          <t>kg</t>
        </is>
      </c>
      <c r="G233" s="17" t="n">
        <v>7.853826393038854</v>
      </c>
      <c r="H233" s="13">
        <f>'00_TONG_HOP_BAO_GIA'!G25</f>
        <v/>
      </c>
      <c r="I233" s="18">
        <f>G233*H233</f>
        <v/>
      </c>
      <c r="J233" s="13">
        <f>IFERROR(INDEX('06_BANG_GIA_VAT_TU_AP_DUNG'!$E$1:$E$5000, MATCH(E233, '06_BANG_GIA_VAT_TU_AP_DUNG'!$B$1:$B$5000, 0)), 0)</f>
        <v/>
      </c>
      <c r="K233" s="13">
        <f>I233*J233</f>
        <v/>
      </c>
      <c r="L233" t="inlineStr">
        <is>
          <t>Tôn bọc cánh &amp; thân (1 cánh/modul)</t>
        </is>
      </c>
    </row>
    <row r="234">
      <c r="A234" t="inlineStr">
        <is>
          <t>SW-DAMPER-024-AXLE</t>
        </is>
      </c>
      <c r="B234" t="inlineStr">
        <is>
          <t>SW-DAMPER-024</t>
        </is>
      </c>
      <c r="C234" t="inlineStr">
        <is>
          <t>Trục Sus 201 D10</t>
        </is>
      </c>
      <c r="D234" t="inlineStr">
        <is>
          <t>PHỤ_KIỆN_VAN</t>
        </is>
      </c>
      <c r="E234" t="inlineStr">
        <is>
          <t>MAT-DAMPER-TRUC-SUS-201-D10</t>
        </is>
      </c>
      <c r="F234" t="inlineStr">
        <is>
          <t>m</t>
        </is>
      </c>
      <c r="G234" s="17" t="n">
        <v>1.522480884831681</v>
      </c>
      <c r="H234" s="13">
        <f>'00_TONG_HOP_BAO_GIA'!G25</f>
        <v/>
      </c>
      <c r="I234" s="18">
        <f>G234*H234</f>
        <v/>
      </c>
      <c r="J234" s="13">
        <f>IFERROR(INDEX('06_BANG_GIA_VAT_TU_AP_DUNG'!$E$1:$E$5000, MATCH(E234, '06_BANG_GIA_VAT_TU_AP_DUNG'!$B$1:$B$5000, 0)), 0)</f>
        <v/>
      </c>
      <c r="K234" s="13">
        <f>I234*J234</f>
        <v/>
      </c>
      <c r="L234" t="inlineStr">
        <is>
          <t>1 trục dài 1260mm</t>
        </is>
      </c>
    </row>
    <row r="235">
      <c r="A235" t="inlineStr">
        <is>
          <t>SW-DAMPER-024-BEARING</t>
        </is>
      </c>
      <c r="B235" t="inlineStr">
        <is>
          <t>SW-DAMPER-024</t>
        </is>
      </c>
      <c r="C235" t="inlineStr">
        <is>
          <t>Bạc đồng D10</t>
        </is>
      </c>
      <c r="D235" t="inlineStr">
        <is>
          <t>PHỤ_KIỆN_VAN</t>
        </is>
      </c>
      <c r="E235" t="inlineStr">
        <is>
          <t>MAT-DAMPER-BAC-DONG-D10</t>
        </is>
      </c>
      <c r="F235" t="inlineStr">
        <is>
          <t>Đôi</t>
        </is>
      </c>
      <c r="G235" s="17" t="n">
        <v>1</v>
      </c>
      <c r="H235" s="13">
        <f>'00_TONG_HOP_BAO_GIA'!G25</f>
        <v/>
      </c>
      <c r="I235" s="18">
        <f>G235*H235</f>
        <v/>
      </c>
      <c r="J235" s="13">
        <f>IFERROR(INDEX('06_BANG_GIA_VAT_TU_AP_DUNG'!$E$1:$E$5000, MATCH(E235, '06_BANG_GIA_VAT_TU_AP_DUNG'!$B$1:$B$5000, 0)), 0)</f>
        <v/>
      </c>
      <c r="K235" s="13">
        <f>I235*J235</f>
        <v/>
      </c>
      <c r="L235" t="inlineStr">
        <is>
          <t>1 đôi bạc đỡ 2 bên thân</t>
        </is>
      </c>
    </row>
    <row r="236">
      <c r="A236" t="inlineStr">
        <is>
          <t>SW-DAMPER-024-ACTUATOR</t>
        </is>
      </c>
      <c r="B236" t="inlineStr">
        <is>
          <t>SW-DAMPER-024</t>
        </is>
      </c>
      <c r="C236" t="inlineStr">
        <is>
          <t>Động cơ chặn lửa ON/OFF 3.5Nm, 230V/24V (BELIMO FSLF24 / FSLF230)</t>
        </is>
      </c>
      <c r="D236" t="inlineStr">
        <is>
          <t>ĐỘNG_CƠ_VÀ_CẢM_BIẾN</t>
        </is>
      </c>
      <c r="E236" t="inlineStr">
        <is>
          <t>MAT-ACTUATOR-BELIMO-FSLF24</t>
        </is>
      </c>
      <c r="F236" t="inlineStr">
        <is>
          <t>Cái</t>
        </is>
      </c>
      <c r="G236" s="17" t="n">
        <v>1</v>
      </c>
      <c r="H236" s="13">
        <f>'00_TONG_HOP_BAO_GIA'!G25</f>
        <v/>
      </c>
      <c r="I236" s="18">
        <f>G236*H236</f>
        <v/>
      </c>
      <c r="J236" s="13">
        <f>IFERROR(INDEX('06_BANG_GIA_VAT_TU_AP_DUNG'!$E$1:$E$5000, MATCH(E236, '06_BANG_GIA_VAT_TU_AP_DUNG'!$B$1:$B$5000, 0)), 0)</f>
        <v/>
      </c>
      <c r="K236" s="13">
        <f>I236*J236</f>
        <v/>
      </c>
      <c r="L236" t="inlineStr">
        <is>
          <t>Động cơ lò xo phản hồi MFD (1 bộ)</t>
        </is>
      </c>
    </row>
    <row r="237">
      <c r="A237" t="inlineStr">
        <is>
          <t>SW-DAMPER-024-FB10-BODY</t>
        </is>
      </c>
      <c r="B237" t="inlineStr">
        <is>
          <t>SW-DAMPER-024</t>
        </is>
      </c>
      <c r="C237" t="inlineStr">
        <is>
          <t>Tấm chống cháy dày 10mm bọc thân van FD/MFD (2 lớp)</t>
        </is>
      </c>
      <c r="D237" t="inlineStr">
        <is>
          <t>VẬT_LIỆU_CÁCH_NHIỆT</t>
        </is>
      </c>
      <c r="E237" t="inlineStr">
        <is>
          <t>MAT-FIREBOARD-10MM-BODY</t>
        </is>
      </c>
      <c r="F237" t="inlineStr">
        <is>
          <t>m2</t>
        </is>
      </c>
      <c r="G237" s="17" t="n">
        <v>2.174972692616687</v>
      </c>
      <c r="H237" s="13">
        <f>'00_TONG_HOP_BAO_GIA'!G25</f>
        <v/>
      </c>
      <c r="I237" s="18">
        <f>G237*H237</f>
        <v/>
      </c>
      <c r="J237" s="13">
        <f>IFERROR(INDEX('06_BANG_GIA_VAT_TU_AP_DUNG'!$E$1:$E$5000, MATCH(E237, '06_BANG_GIA_VAT_TU_AP_DUNG'!$B$1:$B$5000, 0)), 0)</f>
        <v/>
      </c>
      <c r="K237" s="13">
        <f>I237*J237</f>
        <v/>
      </c>
      <c r="L237" t="inlineStr">
        <is>
          <t>Bọc 2 lớp tấm 10mm quanh thân L=300mm</t>
        </is>
      </c>
    </row>
    <row r="238">
      <c r="A238" t="inlineStr">
        <is>
          <t>SW-DAMPER-024-FB20-BLADE</t>
        </is>
      </c>
      <c r="B238" t="inlineStr">
        <is>
          <t>SW-DAMPER-024</t>
        </is>
      </c>
      <c r="C238" t="inlineStr">
        <is>
          <t>Tấm chống cháy dày 20mm làm lõi cánh van FD/MFD</t>
        </is>
      </c>
      <c r="D238" t="inlineStr">
        <is>
          <t>VẬT_LIỆU_CÁCH_NHIỆT</t>
        </is>
      </c>
      <c r="E238" t="inlineStr">
        <is>
          <t>MAT-FIREBOARD-20MM-BLADE</t>
        </is>
      </c>
      <c r="F238" t="inlineStr">
        <is>
          <t>m2</t>
        </is>
      </c>
      <c r="G238" s="17" t="n">
        <v>0.4349945385233373</v>
      </c>
      <c r="H238" s="13">
        <f>'00_TONG_HOP_BAO_GIA'!G25</f>
        <v/>
      </c>
      <c r="I238" s="18">
        <f>G238*H238</f>
        <v/>
      </c>
      <c r="J238" s="13">
        <f>IFERROR(INDEX('06_BANG_GIA_VAT_TU_AP_DUNG'!$E$1:$E$5000, MATCH(E238, '06_BANG_GIA_VAT_TU_AP_DUNG'!$B$1:$B$5000, 0)), 0)</f>
        <v/>
      </c>
      <c r="K238" s="13">
        <f>I238*J238</f>
        <v/>
      </c>
      <c r="L238" t="inlineStr">
        <is>
          <t>Lõi cánh tấm 20mm (Cánh đơn 1200x300mm)</t>
        </is>
      </c>
    </row>
    <row r="239">
      <c r="A239" t="inlineStr">
        <is>
          <t>SW-DAMPER-024-FB10-BLADE</t>
        </is>
      </c>
      <c r="B239" t="inlineStr">
        <is>
          <t>SW-DAMPER-024</t>
        </is>
      </c>
      <c r="C239" t="inlineStr">
        <is>
          <t>Tấm chống cháy dày 10mm ốp 2 mặt cánh van FD/MFD</t>
        </is>
      </c>
      <c r="D239" t="inlineStr">
        <is>
          <t>VẬT_LIỆU_CÁCH_NHIỆT</t>
        </is>
      </c>
      <c r="E239" t="inlineStr">
        <is>
          <t>MAT-FIREBOARD-10MM-BLADE</t>
        </is>
      </c>
      <c r="F239" t="inlineStr">
        <is>
          <t>m2</t>
        </is>
      </c>
      <c r="G239" s="17" t="n">
        <v>0.8699890770466746</v>
      </c>
      <c r="H239" s="13">
        <f>'00_TONG_HOP_BAO_GIA'!G25</f>
        <v/>
      </c>
      <c r="I239" s="18">
        <f>G239*H239</f>
        <v/>
      </c>
      <c r="J239" s="13">
        <f>IFERROR(INDEX('06_BANG_GIA_VAT_TU_AP_DUNG'!$E$1:$E$5000, MATCH(E239, '06_BANG_GIA_VAT_TU_AP_DUNG'!$B$1:$B$5000, 0)), 0)</f>
        <v/>
      </c>
      <c r="K239" s="13">
        <f>I239*J239</f>
        <v/>
      </c>
      <c r="L239" t="inlineStr">
        <is>
          <t>Ốp 2 mặt cánh tấm 10mm (Cánh đơn 1200x300mm)</t>
        </is>
      </c>
    </row>
    <row r="240">
      <c r="A240" t="inlineStr">
        <is>
          <t>SW-DAMPER-024-SPRING-BOX</t>
        </is>
      </c>
      <c r="B240" t="inlineStr">
        <is>
          <t>SW-DAMPER-024</t>
        </is>
      </c>
      <c r="C240" t="inlineStr">
        <is>
          <t>Hộp lò xo van chặn lửa FD/MFD</t>
        </is>
      </c>
      <c r="D240" t="inlineStr">
        <is>
          <t>PHỤ_KIỆN_VAN</t>
        </is>
      </c>
      <c r="E240" t="inlineStr">
        <is>
          <t>MAT-DAMPER-HOP-LO-XO</t>
        </is>
      </c>
      <c r="F240" t="inlineStr">
        <is>
          <t>Bộ</t>
        </is>
      </c>
      <c r="G240" s="17" t="n">
        <v>1</v>
      </c>
      <c r="H240" s="13">
        <f>'00_TONG_HOP_BAO_GIA'!G25</f>
        <v/>
      </c>
      <c r="I240" s="18">
        <f>G240*H240</f>
        <v/>
      </c>
      <c r="J240" s="13">
        <f>IFERROR(INDEX('06_BANG_GIA_VAT_TU_AP_DUNG'!$E$1:$E$5000, MATCH(E240, '06_BANG_GIA_VAT_TU_AP_DUNG'!$B$1:$B$5000, 0)), 0)</f>
        <v/>
      </c>
      <c r="K240" s="13">
        <f>I240*J240</f>
        <v/>
      </c>
      <c r="L240" t="inlineStr">
        <is>
          <t>Hộp lò xo cơ cấu đóng sập (1 bộ)</t>
        </is>
      </c>
    </row>
    <row r="241">
      <c r="A241" t="inlineStr">
        <is>
          <t>SW-DAMPER-024-SILICON-BOLT</t>
        </is>
      </c>
      <c r="B241" t="inlineStr">
        <is>
          <t>SW-DAMPER-024</t>
        </is>
      </c>
      <c r="C241" t="inlineStr">
        <is>
          <t>Silicon chống cháy + bu lông, ốc vít van FD/MFD</t>
        </is>
      </c>
      <c r="D241" t="inlineStr">
        <is>
          <t>PHỤ_KIỆN_VAN</t>
        </is>
      </c>
      <c r="E241" t="inlineStr">
        <is>
          <t>MAT-DAMPER-SILICON-BULONG-VIT</t>
        </is>
      </c>
      <c r="F241" t="inlineStr">
        <is>
          <t>Bộ</t>
        </is>
      </c>
      <c r="G241" s="17" t="n">
        <v>1</v>
      </c>
      <c r="H241" s="13">
        <f>'00_TONG_HOP_BAO_GIA'!G25</f>
        <v/>
      </c>
      <c r="I241" s="18">
        <f>G241*H241</f>
        <v/>
      </c>
      <c r="J241" s="13">
        <f>IFERROR(INDEX('06_BANG_GIA_VAT_TU_AP_DUNG'!$E$1:$E$5000, MATCH(E241, '06_BANG_GIA_VAT_TU_AP_DUNG'!$B$1:$B$5000, 0)), 0)</f>
        <v/>
      </c>
      <c r="K241" s="13">
        <f>I241*J241</f>
        <v/>
      </c>
      <c r="L241" t="inlineStr">
        <is>
          <t>Keo silicon chống cháy &amp; phụ kiện lắp ghép (1 bộ)</t>
        </is>
      </c>
    </row>
    <row r="242">
      <c r="A242" t="inlineStr">
        <is>
          <t>SW-DAMPER-025-BODY</t>
        </is>
      </c>
      <c r="B242" t="inlineStr">
        <is>
          <t>SW-DAMPER-025</t>
        </is>
      </c>
      <c r="C242" t="inlineStr">
        <is>
          <t>Thân vỏ van MFD bích C30/TDF (1.15mm)</t>
        </is>
      </c>
      <c r="D242" t="inlineStr">
        <is>
          <t>TÔN_CUỘN_MẠ_KẼM</t>
        </is>
      </c>
      <c r="E242" t="inlineStr">
        <is>
          <t>MAT-STEEL-PN-1.15</t>
        </is>
      </c>
      <c r="F242" t="inlineStr">
        <is>
          <t>kg</t>
        </is>
      </c>
      <c r="G242" s="17" t="n">
        <v>25.62862093366366</v>
      </c>
      <c r="H242" s="13">
        <f>'00_TONG_HOP_BAO_GIA'!G26</f>
        <v/>
      </c>
      <c r="I242" s="18">
        <f>G242*H242</f>
        <v/>
      </c>
      <c r="J242" s="13">
        <f>IFERROR(INDEX('06_BANG_GIA_VAT_TU_AP_DUNG'!$E$1:$E$5000, MATCH(E242, '06_BANG_GIA_VAT_TU_AP_DUNG'!$B$1:$B$5000, 0)), 0)</f>
        <v/>
      </c>
      <c r="K242" s="13">
        <f>I242*J242</f>
        <v/>
      </c>
      <c r="L242" t="inlineStr">
        <is>
          <t>Kích thước vỏ 1500x1100x200mm (2 modul 1500x550mm)</t>
        </is>
      </c>
    </row>
    <row r="243">
      <c r="A243" t="inlineStr">
        <is>
          <t>SW-DAMPER-025-BLADE</t>
        </is>
      </c>
      <c r="B243" t="inlineStr">
        <is>
          <t>SW-DAMPER-025</t>
        </is>
      </c>
      <c r="C243" t="inlineStr">
        <is>
          <t>Lá cánh / Tôn tấm bọc van (2 cánh)</t>
        </is>
      </c>
      <c r="D243" t="inlineStr">
        <is>
          <t>TÔN_CUỘN_MẠ_KẼM</t>
        </is>
      </c>
      <c r="E243" t="inlineStr">
        <is>
          <t>MAT-STEEL-PN-1.15</t>
        </is>
      </c>
      <c r="F243" t="inlineStr">
        <is>
          <t>kg</t>
        </is>
      </c>
      <c r="G243" s="17" t="n">
        <v>36.02929610079752</v>
      </c>
      <c r="H243" s="13">
        <f>'00_TONG_HOP_BAO_GIA'!G26</f>
        <v/>
      </c>
      <c r="I243" s="18">
        <f>G243*H243</f>
        <v/>
      </c>
      <c r="J243" s="13">
        <f>IFERROR(INDEX('06_BANG_GIA_VAT_TU_AP_DUNG'!$E$1:$E$5000, MATCH(E243, '06_BANG_GIA_VAT_TU_AP_DUNG'!$B$1:$B$5000, 0)), 0)</f>
        <v/>
      </c>
      <c r="K243" s="13">
        <f>I243*J243</f>
        <v/>
      </c>
      <c r="L243" t="inlineStr">
        <is>
          <t>Tôn bọc cánh &amp; thân (1 cánh/modul (2 modul 1500x550mm))</t>
        </is>
      </c>
    </row>
    <row r="244">
      <c r="A244" t="inlineStr">
        <is>
          <t>SW-DAMPER-025-AXLE</t>
        </is>
      </c>
      <c r="B244" t="inlineStr">
        <is>
          <t>SW-DAMPER-025</t>
        </is>
      </c>
      <c r="C244" t="inlineStr">
        <is>
          <t>Trục Sus 201 D10</t>
        </is>
      </c>
      <c r="D244" t="inlineStr">
        <is>
          <t>PHỤ_KIỆN_VAN</t>
        </is>
      </c>
      <c r="E244" t="inlineStr">
        <is>
          <t>MAT-DAMPER-TRUC-SUS-201-D10</t>
        </is>
      </c>
      <c r="F244" t="inlineStr">
        <is>
          <t>m</t>
        </is>
      </c>
      <c r="G244" s="17" t="n">
        <v>3.773366022489809</v>
      </c>
      <c r="H244" s="13">
        <f>'00_TONG_HOP_BAO_GIA'!G26</f>
        <v/>
      </c>
      <c r="I244" s="18">
        <f>G244*H244</f>
        <v/>
      </c>
      <c r="J244" s="13">
        <f>IFERROR(INDEX('06_BANG_GIA_VAT_TU_AP_DUNG'!$E$1:$E$5000, MATCH(E244, '06_BANG_GIA_VAT_TU_AP_DUNG'!$B$1:$B$5000, 0)), 0)</f>
        <v/>
      </c>
      <c r="K244" s="13">
        <f>I244*J244</f>
        <v/>
      </c>
      <c r="L244" t="inlineStr">
        <is>
          <t>2 trục dài 1560mm</t>
        </is>
      </c>
    </row>
    <row r="245">
      <c r="A245" t="inlineStr">
        <is>
          <t>SW-DAMPER-025-BEARING</t>
        </is>
      </c>
      <c r="B245" t="inlineStr">
        <is>
          <t>SW-DAMPER-025</t>
        </is>
      </c>
      <c r="C245" t="inlineStr">
        <is>
          <t>Bạc đồng D10</t>
        </is>
      </c>
      <c r="D245" t="inlineStr">
        <is>
          <t>PHỤ_KIỆN_VAN</t>
        </is>
      </c>
      <c r="E245" t="inlineStr">
        <is>
          <t>MAT-DAMPER-BAC-DONG-D10</t>
        </is>
      </c>
      <c r="F245" t="inlineStr">
        <is>
          <t>Đôi</t>
        </is>
      </c>
      <c r="G245" s="17" t="n">
        <v>2</v>
      </c>
      <c r="H245" s="13">
        <f>'00_TONG_HOP_BAO_GIA'!G26</f>
        <v/>
      </c>
      <c r="I245" s="18">
        <f>G245*H245</f>
        <v/>
      </c>
      <c r="J245" s="13">
        <f>IFERROR(INDEX('06_BANG_GIA_VAT_TU_AP_DUNG'!$E$1:$E$5000, MATCH(E245, '06_BANG_GIA_VAT_TU_AP_DUNG'!$B$1:$B$5000, 0)), 0)</f>
        <v/>
      </c>
      <c r="K245" s="13">
        <f>I245*J245</f>
        <v/>
      </c>
      <c r="L245" t="inlineStr">
        <is>
          <t>2 đôi bạc đỡ 2 bên thân</t>
        </is>
      </c>
    </row>
    <row r="246">
      <c r="A246" t="inlineStr">
        <is>
          <t>SW-DAMPER-025-ACTUATOR</t>
        </is>
      </c>
      <c r="B246" t="inlineStr">
        <is>
          <t>SW-DAMPER-025</t>
        </is>
      </c>
      <c r="C246" t="inlineStr">
        <is>
          <t>Động cơ chặn lửa ON/OFF 3.5Nm, 230V/24V (BELIMO FSLF24 / FSLF230)</t>
        </is>
      </c>
      <c r="D246" t="inlineStr">
        <is>
          <t>ĐỘNG_CƠ_VÀ_CẢM_BIẾN</t>
        </is>
      </c>
      <c r="E246" t="inlineStr">
        <is>
          <t>MAT-ACTUATOR-BELIMO-FSLF24</t>
        </is>
      </c>
      <c r="F246" t="inlineStr">
        <is>
          <t>Cái</t>
        </is>
      </c>
      <c r="G246" s="17" t="n">
        <v>2</v>
      </c>
      <c r="H246" s="13">
        <f>'00_TONG_HOP_BAO_GIA'!G26</f>
        <v/>
      </c>
      <c r="I246" s="18">
        <f>G246*H246</f>
        <v/>
      </c>
      <c r="J246" s="13">
        <f>IFERROR(INDEX('06_BANG_GIA_VAT_TU_AP_DUNG'!$E$1:$E$5000, MATCH(E246, '06_BANG_GIA_VAT_TU_AP_DUNG'!$B$1:$B$5000, 0)), 0)</f>
        <v/>
      </c>
      <c r="K246" s="13">
        <f>I246*J246</f>
        <v/>
      </c>
      <c r="L246" t="inlineStr">
        <is>
          <t>Động cơ lò xo phản hồi MFD (2 bộ (2 modul 1500x550mm))</t>
        </is>
      </c>
    </row>
    <row r="247">
      <c r="A247" t="inlineStr">
        <is>
          <t>SW-DAMPER-025-FB10-BODY</t>
        </is>
      </c>
      <c r="B247" t="inlineStr">
        <is>
          <t>SW-DAMPER-025</t>
        </is>
      </c>
      <c r="C247" t="inlineStr">
        <is>
          <t>Tấm chống cháy dày 10mm bọc thân van FD/MFD (2 lớp)</t>
        </is>
      </c>
      <c r="D247" t="inlineStr">
        <is>
          <t>VẬT_LIỆU_CÁCH_NHIỆT</t>
        </is>
      </c>
      <c r="E247" t="inlineStr">
        <is>
          <t>MAT-FIREBOARD-10MM-BODY</t>
        </is>
      </c>
      <c r="F247" t="inlineStr">
        <is>
          <t>m2</t>
        </is>
      </c>
      <c r="G247" s="17" t="n">
        <v>5.950307958541623</v>
      </c>
      <c r="H247" s="13">
        <f>'00_TONG_HOP_BAO_GIA'!G26</f>
        <v/>
      </c>
      <c r="I247" s="18">
        <f>G247*H247</f>
        <v/>
      </c>
      <c r="J247" s="13">
        <f>IFERROR(INDEX('06_BANG_GIA_VAT_TU_AP_DUNG'!$E$1:$E$5000, MATCH(E247, '06_BANG_GIA_VAT_TU_AP_DUNG'!$B$1:$B$5000, 0)), 0)</f>
        <v/>
      </c>
      <c r="K247" s="13">
        <f>I247*J247</f>
        <v/>
      </c>
      <c r="L247" t="inlineStr">
        <is>
          <t>Bọc 2 lớp tấm 10mm quanh thân L=300mm (2 modul 1500x550mm)</t>
        </is>
      </c>
    </row>
    <row r="248">
      <c r="A248" t="inlineStr">
        <is>
          <t>SW-DAMPER-025-FB20-BLADE</t>
        </is>
      </c>
      <c r="B248" t="inlineStr">
        <is>
          <t>SW-DAMPER-025</t>
        </is>
      </c>
      <c r="C248" t="inlineStr">
        <is>
          <t>Tấm chống cháy dày 20mm làm lõi cánh van FD/MFD</t>
        </is>
      </c>
      <c r="D248" t="inlineStr">
        <is>
          <t>VẬT_LIỆU_CÁCH_NHIỆT</t>
        </is>
      </c>
      <c r="E248" t="inlineStr">
        <is>
          <t>MAT-FIREBOARD-20MM-BLADE</t>
        </is>
      </c>
      <c r="F248" t="inlineStr">
        <is>
          <t>m2</t>
        </is>
      </c>
      <c r="G248" s="17" t="n">
        <v>1.995530108047495</v>
      </c>
      <c r="H248" s="13">
        <f>'00_TONG_HOP_BAO_GIA'!G26</f>
        <v/>
      </c>
      <c r="I248" s="18">
        <f>G248*H248</f>
        <v/>
      </c>
      <c r="J248" s="13">
        <f>IFERROR(INDEX('06_BANG_GIA_VAT_TU_AP_DUNG'!$E$1:$E$5000, MATCH(E248, '06_BANG_GIA_VAT_TU_AP_DUNG'!$B$1:$B$5000, 0)), 0)</f>
        <v/>
      </c>
      <c r="K248" s="13">
        <f>I248*J248</f>
        <v/>
      </c>
      <c r="L248" t="inlineStr">
        <is>
          <t>Lõi cánh tấm 20mm (Cánh đơn 1500x550mm (2 modul 1500x550mm))</t>
        </is>
      </c>
    </row>
    <row r="249">
      <c r="A249" t="inlineStr">
        <is>
          <t>SW-DAMPER-025-FB10-BLADE</t>
        </is>
      </c>
      <c r="B249" t="inlineStr">
        <is>
          <t>SW-DAMPER-025</t>
        </is>
      </c>
      <c r="C249" t="inlineStr">
        <is>
          <t>Tấm chống cháy dày 10mm ốp 2 mặt cánh van FD/MFD</t>
        </is>
      </c>
      <c r="D249" t="inlineStr">
        <is>
          <t>VẬT_LIỆU_CÁCH_NHIỆT</t>
        </is>
      </c>
      <c r="E249" t="inlineStr">
        <is>
          <t>MAT-FIREBOARD-10MM-BLADE</t>
        </is>
      </c>
      <c r="F249" t="inlineStr">
        <is>
          <t>m2</t>
        </is>
      </c>
      <c r="G249" s="17" t="n">
        <v>3.991060216094991</v>
      </c>
      <c r="H249" s="13">
        <f>'00_TONG_HOP_BAO_GIA'!G26</f>
        <v/>
      </c>
      <c r="I249" s="18">
        <f>G249*H249</f>
        <v/>
      </c>
      <c r="J249" s="13">
        <f>IFERROR(INDEX('06_BANG_GIA_VAT_TU_AP_DUNG'!$E$1:$E$5000, MATCH(E249, '06_BANG_GIA_VAT_TU_AP_DUNG'!$B$1:$B$5000, 0)), 0)</f>
        <v/>
      </c>
      <c r="K249" s="13">
        <f>I249*J249</f>
        <v/>
      </c>
      <c r="L249" t="inlineStr">
        <is>
          <t>Ốp 2 mặt cánh tấm 10mm (Cánh đơn 1500x550mm (2 modul 1500x550mm))</t>
        </is>
      </c>
    </row>
    <row r="250">
      <c r="A250" t="inlineStr">
        <is>
          <t>SW-DAMPER-025-SPRING-BOX</t>
        </is>
      </c>
      <c r="B250" t="inlineStr">
        <is>
          <t>SW-DAMPER-025</t>
        </is>
      </c>
      <c r="C250" t="inlineStr">
        <is>
          <t>Hộp lò xo van chặn lửa FD/MFD</t>
        </is>
      </c>
      <c r="D250" t="inlineStr">
        <is>
          <t>PHỤ_KIỆN_VAN</t>
        </is>
      </c>
      <c r="E250" t="inlineStr">
        <is>
          <t>MAT-DAMPER-HOP-LO-XO</t>
        </is>
      </c>
      <c r="F250" t="inlineStr">
        <is>
          <t>Bộ</t>
        </is>
      </c>
      <c r="G250" s="17" t="n">
        <v>2</v>
      </c>
      <c r="H250" s="13">
        <f>'00_TONG_HOP_BAO_GIA'!G26</f>
        <v/>
      </c>
      <c r="I250" s="18">
        <f>G250*H250</f>
        <v/>
      </c>
      <c r="J250" s="13">
        <f>IFERROR(INDEX('06_BANG_GIA_VAT_TU_AP_DUNG'!$E$1:$E$5000, MATCH(E250, '06_BANG_GIA_VAT_TU_AP_DUNG'!$B$1:$B$5000, 0)), 0)</f>
        <v/>
      </c>
      <c r="K250" s="13">
        <f>I250*J250</f>
        <v/>
      </c>
      <c r="L250" t="inlineStr">
        <is>
          <t>Hộp lò xo cơ cấu đóng sập (2 bộ)</t>
        </is>
      </c>
    </row>
    <row r="251">
      <c r="A251" t="inlineStr">
        <is>
          <t>SW-DAMPER-025-SILICON-BOLT</t>
        </is>
      </c>
      <c r="B251" t="inlineStr">
        <is>
          <t>SW-DAMPER-025</t>
        </is>
      </c>
      <c r="C251" t="inlineStr">
        <is>
          <t>Silicon chống cháy + bu lông, ốc vít van FD/MFD</t>
        </is>
      </c>
      <c r="D251" t="inlineStr">
        <is>
          <t>PHỤ_KIỆN_VAN</t>
        </is>
      </c>
      <c r="E251" t="inlineStr">
        <is>
          <t>MAT-DAMPER-SILICON-BULONG-VIT</t>
        </is>
      </c>
      <c r="F251" t="inlineStr">
        <is>
          <t>Bộ</t>
        </is>
      </c>
      <c r="G251" s="17" t="n">
        <v>2</v>
      </c>
      <c r="H251" s="13">
        <f>'00_TONG_HOP_BAO_GIA'!G26</f>
        <v/>
      </c>
      <c r="I251" s="18">
        <f>G251*H251</f>
        <v/>
      </c>
      <c r="J251" s="13">
        <f>IFERROR(INDEX('06_BANG_GIA_VAT_TU_AP_DUNG'!$E$1:$E$5000, MATCH(E251, '06_BANG_GIA_VAT_TU_AP_DUNG'!$B$1:$B$5000, 0)), 0)</f>
        <v/>
      </c>
      <c r="K251" s="13">
        <f>I251*J251</f>
        <v/>
      </c>
      <c r="L251" t="inlineStr">
        <is>
          <t>Keo silicon chống cháy &amp; phụ kiện lắp ghép (2 bộ)</t>
        </is>
      </c>
    </row>
    <row r="252">
      <c r="A252" t="inlineStr">
        <is>
          <t>SW-DAMPER-026-BODY</t>
        </is>
      </c>
      <c r="B252" t="inlineStr">
        <is>
          <t>SW-DAMPER-026</t>
        </is>
      </c>
      <c r="C252" t="inlineStr">
        <is>
          <t>Thân vỏ van MFD bích C30/TDF (1.15mm)</t>
        </is>
      </c>
      <c r="D252" t="inlineStr">
        <is>
          <t>TÔN_CUỘN_MẠ_KẼM</t>
        </is>
      </c>
      <c r="E252" t="inlineStr">
        <is>
          <t>MAT-STEEL-PN-1.15</t>
        </is>
      </c>
      <c r="F252" t="inlineStr">
        <is>
          <t>kg</t>
        </is>
      </c>
      <c r="G252" s="17" t="n">
        <v>20.18582477441564</v>
      </c>
      <c r="H252" s="13">
        <f>'00_TONG_HOP_BAO_GIA'!G27</f>
        <v/>
      </c>
      <c r="I252" s="18">
        <f>G252*H252</f>
        <v/>
      </c>
      <c r="J252" s="13">
        <f>IFERROR(INDEX('06_BANG_GIA_VAT_TU_AP_DUNG'!$E$1:$E$5000, MATCH(E252, '06_BANG_GIA_VAT_TU_AP_DUNG'!$B$1:$B$5000, 0)), 0)</f>
        <v/>
      </c>
      <c r="K252" s="13">
        <f>I252*J252</f>
        <v/>
      </c>
      <c r="L252" t="inlineStr">
        <is>
          <t>Kích thước vỏ 1100x1000x200mm (2 modul 1100x500mm)</t>
        </is>
      </c>
    </row>
    <row r="253">
      <c r="A253" t="inlineStr">
        <is>
          <t>SW-DAMPER-026-BLADE</t>
        </is>
      </c>
      <c r="B253" t="inlineStr">
        <is>
          <t>SW-DAMPER-026</t>
        </is>
      </c>
      <c r="C253" t="inlineStr">
        <is>
          <t>Lá cánh / Tôn tấm bọc van (2 cánh)</t>
        </is>
      </c>
      <c r="D253" t="inlineStr">
        <is>
          <t>TÔN_CUỘN_MẠ_KẼM</t>
        </is>
      </c>
      <c r="E253" t="inlineStr">
        <is>
          <t>MAT-STEEL-PN-1.15</t>
        </is>
      </c>
      <c r="F253" t="inlineStr">
        <is>
          <t>kg</t>
        </is>
      </c>
      <c r="G253" s="17" t="n">
        <v>24.17358770642237</v>
      </c>
      <c r="H253" s="13">
        <f>'00_TONG_HOP_BAO_GIA'!G27</f>
        <v/>
      </c>
      <c r="I253" s="18">
        <f>G253*H253</f>
        <v/>
      </c>
      <c r="J253" s="13">
        <f>IFERROR(INDEX('06_BANG_GIA_VAT_TU_AP_DUNG'!$E$1:$E$5000, MATCH(E253, '06_BANG_GIA_VAT_TU_AP_DUNG'!$B$1:$B$5000, 0)), 0)</f>
        <v/>
      </c>
      <c r="K253" s="13">
        <f>I253*J253</f>
        <v/>
      </c>
      <c r="L253" t="inlineStr">
        <is>
          <t>Tôn bọc cánh &amp; thân (1 cánh/modul (2 modul 1100x500mm))</t>
        </is>
      </c>
    </row>
    <row r="254">
      <c r="A254" t="inlineStr">
        <is>
          <t>SW-DAMPER-026-AXLE</t>
        </is>
      </c>
      <c r="B254" t="inlineStr">
        <is>
          <t>SW-DAMPER-026</t>
        </is>
      </c>
      <c r="C254" t="inlineStr">
        <is>
          <t>Trục Sus 201 D10</t>
        </is>
      </c>
      <c r="D254" t="inlineStr">
        <is>
          <t>PHỤ_KIỆN_VAN</t>
        </is>
      </c>
      <c r="E254" t="inlineStr">
        <is>
          <t>MAT-DAMPER-TRUC-SUS-201-D10</t>
        </is>
      </c>
      <c r="F254" t="inlineStr">
        <is>
          <t>m</t>
        </is>
      </c>
      <c r="G254" s="17" t="n">
        <v>2.823832404969658</v>
      </c>
      <c r="H254" s="13">
        <f>'00_TONG_HOP_BAO_GIA'!G27</f>
        <v/>
      </c>
      <c r="I254" s="18">
        <f>G254*H254</f>
        <v/>
      </c>
      <c r="J254" s="13">
        <f>IFERROR(INDEX('06_BANG_GIA_VAT_TU_AP_DUNG'!$E$1:$E$5000, MATCH(E254, '06_BANG_GIA_VAT_TU_AP_DUNG'!$B$1:$B$5000, 0)), 0)</f>
        <v/>
      </c>
      <c r="K254" s="13">
        <f>I254*J254</f>
        <v/>
      </c>
      <c r="L254" t="inlineStr">
        <is>
          <t>2 trục dài 1160mm</t>
        </is>
      </c>
    </row>
    <row r="255">
      <c r="A255" t="inlineStr">
        <is>
          <t>SW-DAMPER-026-BEARING</t>
        </is>
      </c>
      <c r="B255" t="inlineStr">
        <is>
          <t>SW-DAMPER-026</t>
        </is>
      </c>
      <c r="C255" t="inlineStr">
        <is>
          <t>Bạc đồng D10</t>
        </is>
      </c>
      <c r="D255" t="inlineStr">
        <is>
          <t>PHỤ_KIỆN_VAN</t>
        </is>
      </c>
      <c r="E255" t="inlineStr">
        <is>
          <t>MAT-DAMPER-BAC-DONG-D10</t>
        </is>
      </c>
      <c r="F255" t="inlineStr">
        <is>
          <t>Đôi</t>
        </is>
      </c>
      <c r="G255" s="17" t="n">
        <v>2</v>
      </c>
      <c r="H255" s="13">
        <f>'00_TONG_HOP_BAO_GIA'!G27</f>
        <v/>
      </c>
      <c r="I255" s="18">
        <f>G255*H255</f>
        <v/>
      </c>
      <c r="J255" s="13">
        <f>IFERROR(INDEX('06_BANG_GIA_VAT_TU_AP_DUNG'!$E$1:$E$5000, MATCH(E255, '06_BANG_GIA_VAT_TU_AP_DUNG'!$B$1:$B$5000, 0)), 0)</f>
        <v/>
      </c>
      <c r="K255" s="13">
        <f>I255*J255</f>
        <v/>
      </c>
      <c r="L255" t="inlineStr">
        <is>
          <t>2 đôi bạc đỡ 2 bên thân</t>
        </is>
      </c>
    </row>
    <row r="256">
      <c r="A256" t="inlineStr">
        <is>
          <t>SW-DAMPER-026-ACTUATOR</t>
        </is>
      </c>
      <c r="B256" t="inlineStr">
        <is>
          <t>SW-DAMPER-026</t>
        </is>
      </c>
      <c r="C256" t="inlineStr">
        <is>
          <t>Động cơ chặn lửa ON/OFF 3.5Nm, 230V/24V (BELIMO FSLF24 / FSLF230)</t>
        </is>
      </c>
      <c r="D256" t="inlineStr">
        <is>
          <t>ĐỘNG_CƠ_VÀ_CẢM_BIẾN</t>
        </is>
      </c>
      <c r="E256" t="inlineStr">
        <is>
          <t>MAT-ACTUATOR-BELIMO-FSLF24</t>
        </is>
      </c>
      <c r="F256" t="inlineStr">
        <is>
          <t>Cái</t>
        </is>
      </c>
      <c r="G256" s="17" t="n">
        <v>2</v>
      </c>
      <c r="H256" s="13">
        <f>'00_TONG_HOP_BAO_GIA'!G27</f>
        <v/>
      </c>
      <c r="I256" s="18">
        <f>G256*H256</f>
        <v/>
      </c>
      <c r="J256" s="13">
        <f>IFERROR(INDEX('06_BANG_GIA_VAT_TU_AP_DUNG'!$E$1:$E$5000, MATCH(E256, '06_BANG_GIA_VAT_TU_AP_DUNG'!$B$1:$B$5000, 0)), 0)</f>
        <v/>
      </c>
      <c r="K256" s="13">
        <f>I256*J256</f>
        <v/>
      </c>
      <c r="L256" t="inlineStr">
        <is>
          <t>Động cơ lò xo phản hồi MFD (2 bộ (2 modul 1100x500mm))</t>
        </is>
      </c>
    </row>
    <row r="257">
      <c r="A257" t="inlineStr">
        <is>
          <t>SW-DAMPER-026-FB10-BODY</t>
        </is>
      </c>
      <c r="B257" t="inlineStr">
        <is>
          <t>SW-DAMPER-026</t>
        </is>
      </c>
      <c r="C257" t="inlineStr">
        <is>
          <t>Tấm chống cháy dày 10mm bọc thân van FD/MFD (2 lớp)</t>
        </is>
      </c>
      <c r="D257" t="inlineStr">
        <is>
          <t>VẬT_LIỆU_CÁCH_NHIỆT</t>
        </is>
      </c>
      <c r="E257" t="inlineStr">
        <is>
          <t>MAT-FIREBOARD-10MM-BODY</t>
        </is>
      </c>
      <c r="F257" t="inlineStr">
        <is>
          <t>m2</t>
        </is>
      </c>
      <c r="G257" s="17" t="n">
        <v>4.673929497880813</v>
      </c>
      <c r="H257" s="13">
        <f>'00_TONG_HOP_BAO_GIA'!G27</f>
        <v/>
      </c>
      <c r="I257" s="18">
        <f>G257*H257</f>
        <v/>
      </c>
      <c r="J257" s="13">
        <f>IFERROR(INDEX('06_BANG_GIA_VAT_TU_AP_DUNG'!$E$1:$E$5000, MATCH(E257, '06_BANG_GIA_VAT_TU_AP_DUNG'!$B$1:$B$5000, 0)), 0)</f>
        <v/>
      </c>
      <c r="K257" s="13">
        <f>I257*J257</f>
        <v/>
      </c>
      <c r="L257" t="inlineStr">
        <is>
          <t>Bọc 2 lớp tấm 10mm quanh thân L=300mm (2 modul 1100x500mm)</t>
        </is>
      </c>
    </row>
    <row r="258">
      <c r="A258" t="inlineStr">
        <is>
          <t>SW-DAMPER-026-FB20-BLADE</t>
        </is>
      </c>
      <c r="B258" t="inlineStr">
        <is>
          <t>SW-DAMPER-026</t>
        </is>
      </c>
      <c r="C258" t="inlineStr">
        <is>
          <t>Tấm chống cháy dày 20mm làm lõi cánh van FD/MFD</t>
        </is>
      </c>
      <c r="D258" t="inlineStr">
        <is>
          <t>VẬT_LIỆU_CÁCH_NHIỆT</t>
        </is>
      </c>
      <c r="E258" t="inlineStr">
        <is>
          <t>MAT-FIREBOARD-20MM-BLADE</t>
        </is>
      </c>
      <c r="F258" t="inlineStr">
        <is>
          <t>m2</t>
        </is>
      </c>
      <c r="G258" s="17" t="n">
        <v>1.338886054080441</v>
      </c>
      <c r="H258" s="13">
        <f>'00_TONG_HOP_BAO_GIA'!G27</f>
        <v/>
      </c>
      <c r="I258" s="18">
        <f>G258*H258</f>
        <v/>
      </c>
      <c r="J258" s="13">
        <f>IFERROR(INDEX('06_BANG_GIA_VAT_TU_AP_DUNG'!$E$1:$E$5000, MATCH(E258, '06_BANG_GIA_VAT_TU_AP_DUNG'!$B$1:$B$5000, 0)), 0)</f>
        <v/>
      </c>
      <c r="K258" s="13">
        <f>I258*J258</f>
        <v/>
      </c>
      <c r="L258" t="inlineStr">
        <is>
          <t>Lõi cánh tấm 20mm (Cánh đơn 1100x500mm (2 modul 1100x500mm))</t>
        </is>
      </c>
    </row>
    <row r="259">
      <c r="A259" t="inlineStr">
        <is>
          <t>SW-DAMPER-026-FB10-BLADE</t>
        </is>
      </c>
      <c r="B259" t="inlineStr">
        <is>
          <t>SW-DAMPER-026</t>
        </is>
      </c>
      <c r="C259" t="inlineStr">
        <is>
          <t>Tấm chống cháy dày 10mm ốp 2 mặt cánh van FD/MFD</t>
        </is>
      </c>
      <c r="D259" t="inlineStr">
        <is>
          <t>VẬT_LIỆU_CÁCH_NHIỆT</t>
        </is>
      </c>
      <c r="E259" t="inlineStr">
        <is>
          <t>MAT-FIREBOARD-10MM-BLADE</t>
        </is>
      </c>
      <c r="F259" t="inlineStr">
        <is>
          <t>m2</t>
        </is>
      </c>
      <c r="G259" s="17" t="n">
        <v>2.677772108160883</v>
      </c>
      <c r="H259" s="13">
        <f>'00_TONG_HOP_BAO_GIA'!G27</f>
        <v/>
      </c>
      <c r="I259" s="18">
        <f>G259*H259</f>
        <v/>
      </c>
      <c r="J259" s="13">
        <f>IFERROR(INDEX('06_BANG_GIA_VAT_TU_AP_DUNG'!$E$1:$E$5000, MATCH(E259, '06_BANG_GIA_VAT_TU_AP_DUNG'!$B$1:$B$5000, 0)), 0)</f>
        <v/>
      </c>
      <c r="K259" s="13">
        <f>I259*J259</f>
        <v/>
      </c>
      <c r="L259" t="inlineStr">
        <is>
          <t>Ốp 2 mặt cánh tấm 10mm (Cánh đơn 1100x500mm (2 modul 1100x500mm))</t>
        </is>
      </c>
    </row>
    <row r="260">
      <c r="A260" t="inlineStr">
        <is>
          <t>SW-DAMPER-026-SPRING-BOX</t>
        </is>
      </c>
      <c r="B260" t="inlineStr">
        <is>
          <t>SW-DAMPER-026</t>
        </is>
      </c>
      <c r="C260" t="inlineStr">
        <is>
          <t>Hộp lò xo van chặn lửa FD/MFD</t>
        </is>
      </c>
      <c r="D260" t="inlineStr">
        <is>
          <t>PHỤ_KIỆN_VAN</t>
        </is>
      </c>
      <c r="E260" t="inlineStr">
        <is>
          <t>MAT-DAMPER-HOP-LO-XO</t>
        </is>
      </c>
      <c r="F260" t="inlineStr">
        <is>
          <t>Bộ</t>
        </is>
      </c>
      <c r="G260" s="17" t="n">
        <v>2</v>
      </c>
      <c r="H260" s="13">
        <f>'00_TONG_HOP_BAO_GIA'!G27</f>
        <v/>
      </c>
      <c r="I260" s="18">
        <f>G260*H260</f>
        <v/>
      </c>
      <c r="J260" s="13">
        <f>IFERROR(INDEX('06_BANG_GIA_VAT_TU_AP_DUNG'!$E$1:$E$5000, MATCH(E260, '06_BANG_GIA_VAT_TU_AP_DUNG'!$B$1:$B$5000, 0)), 0)</f>
        <v/>
      </c>
      <c r="K260" s="13">
        <f>I260*J260</f>
        <v/>
      </c>
      <c r="L260" t="inlineStr">
        <is>
          <t>Hộp lò xo cơ cấu đóng sập (2 bộ)</t>
        </is>
      </c>
    </row>
    <row r="261">
      <c r="A261" t="inlineStr">
        <is>
          <t>SW-DAMPER-026-SILICON-BOLT</t>
        </is>
      </c>
      <c r="B261" t="inlineStr">
        <is>
          <t>SW-DAMPER-026</t>
        </is>
      </c>
      <c r="C261" t="inlineStr">
        <is>
          <t>Silicon chống cháy + bu lông, ốc vít van FD/MFD</t>
        </is>
      </c>
      <c r="D261" t="inlineStr">
        <is>
          <t>PHỤ_KIỆN_VAN</t>
        </is>
      </c>
      <c r="E261" t="inlineStr">
        <is>
          <t>MAT-DAMPER-SILICON-BULONG-VIT</t>
        </is>
      </c>
      <c r="F261" t="inlineStr">
        <is>
          <t>Bộ</t>
        </is>
      </c>
      <c r="G261" s="17" t="n">
        <v>2</v>
      </c>
      <c r="H261" s="13">
        <f>'00_TONG_HOP_BAO_GIA'!G27</f>
        <v/>
      </c>
      <c r="I261" s="18">
        <f>G261*H261</f>
        <v/>
      </c>
      <c r="J261" s="13">
        <f>IFERROR(INDEX('06_BANG_GIA_VAT_TU_AP_DUNG'!$E$1:$E$5000, MATCH(E261, '06_BANG_GIA_VAT_TU_AP_DUNG'!$B$1:$B$5000, 0)), 0)</f>
        <v/>
      </c>
      <c r="K261" s="13">
        <f>I261*J261</f>
        <v/>
      </c>
      <c r="L261" t="inlineStr">
        <is>
          <t>Keo silicon chống cháy &amp; phụ kiện lắp ghép (2 bộ)</t>
        </is>
      </c>
    </row>
    <row r="262">
      <c r="A262" t="inlineStr">
        <is>
          <t>SW-DAMPER-027-BODY</t>
        </is>
      </c>
      <c r="B262" t="inlineStr">
        <is>
          <t>SW-DAMPER-027</t>
        </is>
      </c>
      <c r="C262" t="inlineStr">
        <is>
          <t>Thân vỏ van MFD bích C30/TDF (1.15mm)</t>
        </is>
      </c>
      <c r="D262" t="inlineStr">
        <is>
          <t>TÔN_CUỘN_MẠ_KẼM</t>
        </is>
      </c>
      <c r="E262" t="inlineStr">
        <is>
          <t>MAT-STEEL-PN-1.15</t>
        </is>
      </c>
      <c r="F262" t="inlineStr">
        <is>
          <t>kg</t>
        </is>
      </c>
      <c r="G262" s="17" t="n">
        <v>7.090143670441958</v>
      </c>
      <c r="H262" s="13">
        <f>'00_TONG_HOP_BAO_GIA'!G28</f>
        <v/>
      </c>
      <c r="I262" s="18">
        <f>G262*H262</f>
        <v/>
      </c>
      <c r="J262" s="13">
        <f>IFERROR(INDEX('06_BANG_GIA_VAT_TU_AP_DUNG'!$E$1:$E$5000, MATCH(E262, '06_BANG_GIA_VAT_TU_AP_DUNG'!$B$1:$B$5000, 0)), 0)</f>
        <v/>
      </c>
      <c r="K262" s="13">
        <f>I262*J262</f>
        <v/>
      </c>
      <c r="L262" t="inlineStr">
        <is>
          <t>Kích thước vỏ 700x400x200mm</t>
        </is>
      </c>
    </row>
    <row r="263">
      <c r="A263" t="inlineStr">
        <is>
          <t>SW-DAMPER-027-BLADE</t>
        </is>
      </c>
      <c r="B263" t="inlineStr">
        <is>
          <t>SW-DAMPER-027</t>
        </is>
      </c>
      <c r="C263" t="inlineStr">
        <is>
          <t>Lá cánh / Tôn tấm bọc van (1 cánh)</t>
        </is>
      </c>
      <c r="D263" t="inlineStr">
        <is>
          <t>TÔN_CUỘN_MẠ_KẼM</t>
        </is>
      </c>
      <c r="E263" t="inlineStr">
        <is>
          <t>MAT-STEEL-PN-1.15</t>
        </is>
      </c>
      <c r="F263" t="inlineStr">
        <is>
          <t>kg</t>
        </is>
      </c>
      <c r="G263" s="17" t="n">
        <v>6.252331279049343</v>
      </c>
      <c r="H263" s="13">
        <f>'00_TONG_HOP_BAO_GIA'!G28</f>
        <v/>
      </c>
      <c r="I263" s="18">
        <f>G263*H263</f>
        <v/>
      </c>
      <c r="J263" s="13">
        <f>IFERROR(INDEX('06_BANG_GIA_VAT_TU_AP_DUNG'!$E$1:$E$5000, MATCH(E263, '06_BANG_GIA_VAT_TU_AP_DUNG'!$B$1:$B$5000, 0)), 0)</f>
        <v/>
      </c>
      <c r="K263" s="13">
        <f>I263*J263</f>
        <v/>
      </c>
      <c r="L263" t="inlineStr">
        <is>
          <t>Tôn bọc cánh &amp; thân (1 cánh/modul)</t>
        </is>
      </c>
    </row>
    <row r="264">
      <c r="A264" t="inlineStr">
        <is>
          <t>SW-DAMPER-027-AXLE</t>
        </is>
      </c>
      <c r="B264" t="inlineStr">
        <is>
          <t>SW-DAMPER-027</t>
        </is>
      </c>
      <c r="C264" t="inlineStr">
        <is>
          <t>Trục Sus 201 D10</t>
        </is>
      </c>
      <c r="D264" t="inlineStr">
        <is>
          <t>PHỤ_KIỆN_VAN</t>
        </is>
      </c>
      <c r="E264" t="inlineStr">
        <is>
          <t>MAT-DAMPER-TRUC-SUS-201-D10</t>
        </is>
      </c>
      <c r="F264" t="inlineStr">
        <is>
          <t>m</t>
        </is>
      </c>
      <c r="G264" s="17" t="n">
        <v>0.9399398211966418</v>
      </c>
      <c r="H264" s="13">
        <f>'00_TONG_HOP_BAO_GIA'!G28</f>
        <v/>
      </c>
      <c r="I264" s="18">
        <f>G264*H264</f>
        <v/>
      </c>
      <c r="J264" s="13">
        <f>IFERROR(INDEX('06_BANG_GIA_VAT_TU_AP_DUNG'!$E$1:$E$5000, MATCH(E264, '06_BANG_GIA_VAT_TU_AP_DUNG'!$B$1:$B$5000, 0)), 0)</f>
        <v/>
      </c>
      <c r="K264" s="13">
        <f>I264*J264</f>
        <v/>
      </c>
      <c r="L264" t="inlineStr">
        <is>
          <t>1 trục dài 760mm</t>
        </is>
      </c>
    </row>
    <row r="265">
      <c r="A265" t="inlineStr">
        <is>
          <t>SW-DAMPER-027-BEARING</t>
        </is>
      </c>
      <c r="B265" t="inlineStr">
        <is>
          <t>SW-DAMPER-027</t>
        </is>
      </c>
      <c r="C265" t="inlineStr">
        <is>
          <t>Bạc đồng D10</t>
        </is>
      </c>
      <c r="D265" t="inlineStr">
        <is>
          <t>PHỤ_KIỆN_VAN</t>
        </is>
      </c>
      <c r="E265" t="inlineStr">
        <is>
          <t>MAT-DAMPER-BAC-DONG-D10</t>
        </is>
      </c>
      <c r="F265" t="inlineStr">
        <is>
          <t>Đôi</t>
        </is>
      </c>
      <c r="G265" s="17" t="n">
        <v>1</v>
      </c>
      <c r="H265" s="13">
        <f>'00_TONG_HOP_BAO_GIA'!G28</f>
        <v/>
      </c>
      <c r="I265" s="18">
        <f>G265*H265</f>
        <v/>
      </c>
      <c r="J265" s="13">
        <f>IFERROR(INDEX('06_BANG_GIA_VAT_TU_AP_DUNG'!$E$1:$E$5000, MATCH(E265, '06_BANG_GIA_VAT_TU_AP_DUNG'!$B$1:$B$5000, 0)), 0)</f>
        <v/>
      </c>
      <c r="K265" s="13">
        <f>I265*J265</f>
        <v/>
      </c>
      <c r="L265" t="inlineStr">
        <is>
          <t>1 đôi bạc đỡ 2 bên thân</t>
        </is>
      </c>
    </row>
    <row r="266">
      <c r="A266" t="inlineStr">
        <is>
          <t>SW-DAMPER-027-ACTUATOR</t>
        </is>
      </c>
      <c r="B266" t="inlineStr">
        <is>
          <t>SW-DAMPER-027</t>
        </is>
      </c>
      <c r="C266" t="inlineStr">
        <is>
          <t>Động cơ chặn lửa ON/OFF 3.5Nm, 230V/24V (BELIMO FSLF24 / FSLF230)</t>
        </is>
      </c>
      <c r="D266" t="inlineStr">
        <is>
          <t>ĐỘNG_CƠ_VÀ_CẢM_BIẾN</t>
        </is>
      </c>
      <c r="E266" t="inlineStr">
        <is>
          <t>MAT-ACTUATOR-BELIMO-FSLF24</t>
        </is>
      </c>
      <c r="F266" t="inlineStr">
        <is>
          <t>Cái</t>
        </is>
      </c>
      <c r="G266" s="17" t="n">
        <v>1</v>
      </c>
      <c r="H266" s="13">
        <f>'00_TONG_HOP_BAO_GIA'!G28</f>
        <v/>
      </c>
      <c r="I266" s="18">
        <f>G266*H266</f>
        <v/>
      </c>
      <c r="J266" s="13">
        <f>IFERROR(INDEX('06_BANG_GIA_VAT_TU_AP_DUNG'!$E$1:$E$5000, MATCH(E266, '06_BANG_GIA_VAT_TU_AP_DUNG'!$B$1:$B$5000, 0)), 0)</f>
        <v/>
      </c>
      <c r="K266" s="13">
        <f>I266*J266</f>
        <v/>
      </c>
      <c r="L266" t="inlineStr">
        <is>
          <t>Động cơ lò xo phản hồi MFD (1 bộ)</t>
        </is>
      </c>
    </row>
    <row r="267">
      <c r="A267" t="inlineStr">
        <is>
          <t>SW-DAMPER-027-FB10-BODY</t>
        </is>
      </c>
      <c r="B267" t="inlineStr">
        <is>
          <t>SW-DAMPER-027</t>
        </is>
      </c>
      <c r="C267" t="inlineStr">
        <is>
          <t>Tấm chống cháy dày 10mm bọc thân van FD/MFD (2 lớp)</t>
        </is>
      </c>
      <c r="D267" t="inlineStr">
        <is>
          <t>VẬT_LIỆU_CÁCH_NHIỆT</t>
        </is>
      </c>
      <c r="E267" t="inlineStr">
        <is>
          <t>MAT-FIREBOARD-10MM-BODY</t>
        </is>
      </c>
      <c r="F267" t="inlineStr">
        <is>
          <t>m2</t>
        </is>
      </c>
      <c r="G267" s="17" t="n">
        <v>1.632527057867851</v>
      </c>
      <c r="H267" s="13">
        <f>'00_TONG_HOP_BAO_GIA'!G28</f>
        <v/>
      </c>
      <c r="I267" s="18">
        <f>G267*H267</f>
        <v/>
      </c>
      <c r="J267" s="13">
        <f>IFERROR(INDEX('06_BANG_GIA_VAT_TU_AP_DUNG'!$E$1:$E$5000, MATCH(E267, '06_BANG_GIA_VAT_TU_AP_DUNG'!$B$1:$B$5000, 0)), 0)</f>
        <v/>
      </c>
      <c r="K267" s="13">
        <f>I267*J267</f>
        <v/>
      </c>
      <c r="L267" t="inlineStr">
        <is>
          <t>Bọc 2 lớp tấm 10mm quanh thân L=300mm</t>
        </is>
      </c>
    </row>
    <row r="268">
      <c r="A268" t="inlineStr">
        <is>
          <t>SW-DAMPER-027-FB20-BLADE</t>
        </is>
      </c>
      <c r="B268" t="inlineStr">
        <is>
          <t>SW-DAMPER-027</t>
        </is>
      </c>
      <c r="C268" t="inlineStr">
        <is>
          <t>Tấm chống cháy dày 20mm làm lõi cánh van FD/MFD</t>
        </is>
      </c>
      <c r="D268" t="inlineStr">
        <is>
          <t>VẬT_LIỆU_CÁCH_NHIỆT</t>
        </is>
      </c>
      <c r="E268" t="inlineStr">
        <is>
          <t>MAT-FIREBOARD-20MM-BLADE</t>
        </is>
      </c>
      <c r="F268" t="inlineStr">
        <is>
          <t>m2</t>
        </is>
      </c>
      <c r="G268" s="17" t="n">
        <v>0.3462936183356048</v>
      </c>
      <c r="H268" s="13">
        <f>'00_TONG_HOP_BAO_GIA'!G28</f>
        <v/>
      </c>
      <c r="I268" s="18">
        <f>G268*H268</f>
        <v/>
      </c>
      <c r="J268" s="13">
        <f>IFERROR(INDEX('06_BANG_GIA_VAT_TU_AP_DUNG'!$E$1:$E$5000, MATCH(E268, '06_BANG_GIA_VAT_TU_AP_DUNG'!$B$1:$B$5000, 0)), 0)</f>
        <v/>
      </c>
      <c r="K268" s="13">
        <f>I268*J268</f>
        <v/>
      </c>
      <c r="L268" t="inlineStr">
        <is>
          <t>Lõi cánh tấm 20mm (Cánh đơn 700x400mm)</t>
        </is>
      </c>
    </row>
    <row r="269">
      <c r="A269" t="inlineStr">
        <is>
          <t>SW-DAMPER-027-FB10-BLADE</t>
        </is>
      </c>
      <c r="B269" t="inlineStr">
        <is>
          <t>SW-DAMPER-027</t>
        </is>
      </c>
      <c r="C269" t="inlineStr">
        <is>
          <t>Tấm chống cháy dày 10mm ốp 2 mặt cánh van FD/MFD</t>
        </is>
      </c>
      <c r="D269" t="inlineStr">
        <is>
          <t>VẬT_LIỆU_CÁCH_NHIỆT</t>
        </is>
      </c>
      <c r="E269" t="inlineStr">
        <is>
          <t>MAT-FIREBOARD-10MM-BLADE</t>
        </is>
      </c>
      <c r="F269" t="inlineStr">
        <is>
          <t>m2</t>
        </is>
      </c>
      <c r="G269" s="17" t="n">
        <v>0.6925872366712096</v>
      </c>
      <c r="H269" s="13">
        <f>'00_TONG_HOP_BAO_GIA'!G28</f>
        <v/>
      </c>
      <c r="I269" s="18">
        <f>G269*H269</f>
        <v/>
      </c>
      <c r="J269" s="13">
        <f>IFERROR(INDEX('06_BANG_GIA_VAT_TU_AP_DUNG'!$E$1:$E$5000, MATCH(E269, '06_BANG_GIA_VAT_TU_AP_DUNG'!$B$1:$B$5000, 0)), 0)</f>
        <v/>
      </c>
      <c r="K269" s="13">
        <f>I269*J269</f>
        <v/>
      </c>
      <c r="L269" t="inlineStr">
        <is>
          <t>Ốp 2 mặt cánh tấm 10mm (Cánh đơn 700x400mm)</t>
        </is>
      </c>
    </row>
    <row r="270">
      <c r="A270" t="inlineStr">
        <is>
          <t>SW-DAMPER-027-SPRING-BOX</t>
        </is>
      </c>
      <c r="B270" t="inlineStr">
        <is>
          <t>SW-DAMPER-027</t>
        </is>
      </c>
      <c r="C270" t="inlineStr">
        <is>
          <t>Hộp lò xo van chặn lửa FD/MFD</t>
        </is>
      </c>
      <c r="D270" t="inlineStr">
        <is>
          <t>PHỤ_KIỆN_VAN</t>
        </is>
      </c>
      <c r="E270" t="inlineStr">
        <is>
          <t>MAT-DAMPER-HOP-LO-XO</t>
        </is>
      </c>
      <c r="F270" t="inlineStr">
        <is>
          <t>Bộ</t>
        </is>
      </c>
      <c r="G270" s="17" t="n">
        <v>1</v>
      </c>
      <c r="H270" s="13">
        <f>'00_TONG_HOP_BAO_GIA'!G28</f>
        <v/>
      </c>
      <c r="I270" s="18">
        <f>G270*H270</f>
        <v/>
      </c>
      <c r="J270" s="13">
        <f>IFERROR(INDEX('06_BANG_GIA_VAT_TU_AP_DUNG'!$E$1:$E$5000, MATCH(E270, '06_BANG_GIA_VAT_TU_AP_DUNG'!$B$1:$B$5000, 0)), 0)</f>
        <v/>
      </c>
      <c r="K270" s="13">
        <f>I270*J270</f>
        <v/>
      </c>
      <c r="L270" t="inlineStr">
        <is>
          <t>Hộp lò xo cơ cấu đóng sập (1 bộ)</t>
        </is>
      </c>
    </row>
    <row r="271">
      <c r="A271" t="inlineStr">
        <is>
          <t>SW-DAMPER-027-SILICON-BOLT</t>
        </is>
      </c>
      <c r="B271" t="inlineStr">
        <is>
          <t>SW-DAMPER-027</t>
        </is>
      </c>
      <c r="C271" t="inlineStr">
        <is>
          <t>Silicon chống cháy + bu lông, ốc vít van FD/MFD</t>
        </is>
      </c>
      <c r="D271" t="inlineStr">
        <is>
          <t>PHỤ_KIỆN_VAN</t>
        </is>
      </c>
      <c r="E271" t="inlineStr">
        <is>
          <t>MAT-DAMPER-SILICON-BULONG-VIT</t>
        </is>
      </c>
      <c r="F271" t="inlineStr">
        <is>
          <t>Bộ</t>
        </is>
      </c>
      <c r="G271" s="17" t="n">
        <v>1</v>
      </c>
      <c r="H271" s="13">
        <f>'00_TONG_HOP_BAO_GIA'!G28</f>
        <v/>
      </c>
      <c r="I271" s="18">
        <f>G271*H271</f>
        <v/>
      </c>
      <c r="J271" s="13">
        <f>IFERROR(INDEX('06_BANG_GIA_VAT_TU_AP_DUNG'!$E$1:$E$5000, MATCH(E271, '06_BANG_GIA_VAT_TU_AP_DUNG'!$B$1:$B$5000, 0)), 0)</f>
        <v/>
      </c>
      <c r="K271" s="13">
        <f>I271*J271</f>
        <v/>
      </c>
      <c r="L271" t="inlineStr">
        <is>
          <t>Keo silicon chống cháy &amp; phụ kiện lắp ghép (1 bộ)</t>
        </is>
      </c>
    </row>
    <row r="272">
      <c r="A272" t="inlineStr">
        <is>
          <t>SW-DAMPER-028-BODY</t>
        </is>
      </c>
      <c r="B272" t="inlineStr">
        <is>
          <t>SW-DAMPER-028</t>
        </is>
      </c>
      <c r="C272" t="inlineStr">
        <is>
          <t>Thân vỏ van FD bích C30/TDF (1.15mm)</t>
        </is>
      </c>
      <c r="D272" t="inlineStr">
        <is>
          <t>TÔN_CUỘN_MẠ_KẼM</t>
        </is>
      </c>
      <c r="E272" t="inlineStr">
        <is>
          <t>MAT-STEEL-PN-1.15</t>
        </is>
      </c>
      <c r="F272" t="inlineStr">
        <is>
          <t>kg</t>
        </is>
      </c>
      <c r="G272" s="17" t="n">
        <v>4.770136598561558</v>
      </c>
      <c r="H272" s="13">
        <f>'00_TONG_HOP_BAO_GIA'!G29</f>
        <v/>
      </c>
      <c r="I272" s="18">
        <f>G272*H272</f>
        <v/>
      </c>
      <c r="J272" s="13">
        <f>IFERROR(INDEX('06_BANG_GIA_VAT_TU_AP_DUNG'!$E$1:$E$5000, MATCH(E272, '06_BANG_GIA_VAT_TU_AP_DUNG'!$B$1:$B$5000, 0)), 0)</f>
        <v/>
      </c>
      <c r="K272" s="13">
        <f>I272*J272</f>
        <v/>
      </c>
      <c r="L272" t="inlineStr">
        <is>
          <t>Kích thước vỏ 400x400x200mm</t>
        </is>
      </c>
    </row>
    <row r="273">
      <c r="A273" t="inlineStr">
        <is>
          <t>SW-DAMPER-028-BLADE</t>
        </is>
      </c>
      <c r="B273" t="inlineStr">
        <is>
          <t>SW-DAMPER-028</t>
        </is>
      </c>
      <c r="C273" t="inlineStr">
        <is>
          <t>Lá cánh / Tôn tấm bọc van (1 cánh)</t>
        </is>
      </c>
      <c r="D273" t="inlineStr">
        <is>
          <t>TÔN_CUỘN_MẠ_KẼM</t>
        </is>
      </c>
      <c r="E273" t="inlineStr">
        <is>
          <t>MAT-STEEL-PN-1.15</t>
        </is>
      </c>
      <c r="F273" t="inlineStr">
        <is>
          <t>kg</t>
        </is>
      </c>
      <c r="G273" s="17" t="n">
        <v>3.283098274056218</v>
      </c>
      <c r="H273" s="13">
        <f>'00_TONG_HOP_BAO_GIA'!G29</f>
        <v/>
      </c>
      <c r="I273" s="18">
        <f>G273*H273</f>
        <v/>
      </c>
      <c r="J273" s="13">
        <f>IFERROR(INDEX('06_BANG_GIA_VAT_TU_AP_DUNG'!$E$1:$E$5000, MATCH(E273, '06_BANG_GIA_VAT_TU_AP_DUNG'!$B$1:$B$5000, 0)), 0)</f>
        <v/>
      </c>
      <c r="K273" s="13">
        <f>I273*J273</f>
        <v/>
      </c>
      <c r="L273" t="inlineStr">
        <is>
          <t>Tôn bọc cánh &amp; thân (1 cánh/modul)</t>
        </is>
      </c>
    </row>
    <row r="274">
      <c r="A274" t="inlineStr">
        <is>
          <t>SW-DAMPER-028-AXLE</t>
        </is>
      </c>
      <c r="B274" t="inlineStr">
        <is>
          <t>SW-DAMPER-028</t>
        </is>
      </c>
      <c r="C274" t="inlineStr">
        <is>
          <t>Trục Sus 201 D10</t>
        </is>
      </c>
      <c r="D274" t="inlineStr">
        <is>
          <t>PHỤ_KIỆN_VAN</t>
        </is>
      </c>
      <c r="E274" t="inlineStr">
        <is>
          <t>MAT-DAMPER-TRUC-SUS-201-D10</t>
        </is>
      </c>
      <c r="F274" t="inlineStr">
        <is>
          <t>m</t>
        </is>
      </c>
      <c r="G274" s="17" t="n">
        <v>0.5227863493720094</v>
      </c>
      <c r="H274" s="13">
        <f>'00_TONG_HOP_BAO_GIA'!G29</f>
        <v/>
      </c>
      <c r="I274" s="18">
        <f>G274*H274</f>
        <v/>
      </c>
      <c r="J274" s="13">
        <f>IFERROR(INDEX('06_BANG_GIA_VAT_TU_AP_DUNG'!$E$1:$E$5000, MATCH(E274, '06_BANG_GIA_VAT_TU_AP_DUNG'!$B$1:$B$5000, 0)), 0)</f>
        <v/>
      </c>
      <c r="K274" s="13">
        <f>I274*J274</f>
        <v/>
      </c>
      <c r="L274" t="inlineStr">
        <is>
          <t>1 trục dài 460mm</t>
        </is>
      </c>
    </row>
    <row r="275">
      <c r="A275" t="inlineStr">
        <is>
          <t>SW-DAMPER-028-BEARING</t>
        </is>
      </c>
      <c r="B275" t="inlineStr">
        <is>
          <t>SW-DAMPER-028</t>
        </is>
      </c>
      <c r="C275" t="inlineStr">
        <is>
          <t>Bạc đồng D10</t>
        </is>
      </c>
      <c r="D275" t="inlineStr">
        <is>
          <t>PHỤ_KIỆN_VAN</t>
        </is>
      </c>
      <c r="E275" t="inlineStr">
        <is>
          <t>MAT-DAMPER-BAC-DONG-D10</t>
        </is>
      </c>
      <c r="F275" t="inlineStr">
        <is>
          <t>Đôi</t>
        </is>
      </c>
      <c r="G275" s="17" t="n">
        <v>1</v>
      </c>
      <c r="H275" s="13">
        <f>'00_TONG_HOP_BAO_GIA'!G29</f>
        <v/>
      </c>
      <c r="I275" s="18">
        <f>G275*H275</f>
        <v/>
      </c>
      <c r="J275" s="13">
        <f>IFERROR(INDEX('06_BANG_GIA_VAT_TU_AP_DUNG'!$E$1:$E$5000, MATCH(E275, '06_BANG_GIA_VAT_TU_AP_DUNG'!$B$1:$B$5000, 0)), 0)</f>
        <v/>
      </c>
      <c r="K275" s="13">
        <f>I275*J275</f>
        <v/>
      </c>
      <c r="L275" t="inlineStr">
        <is>
          <t>1 đôi bạc đỡ 2 bên thân</t>
        </is>
      </c>
    </row>
    <row r="276">
      <c r="A276" t="inlineStr">
        <is>
          <t>SW-DAMPER-028-FUSE</t>
        </is>
      </c>
      <c r="B276" t="inlineStr">
        <is>
          <t>SW-DAMPER-028</t>
        </is>
      </c>
      <c r="C276" t="inlineStr">
        <is>
          <t>Cầu chì nhiệt nóng chảy 70°C/74°C (Elsie/USA)</t>
        </is>
      </c>
      <c r="D276" t="inlineStr">
        <is>
          <t>PHỤ_KIỆN_VAN</t>
        </is>
      </c>
      <c r="E276" t="inlineStr">
        <is>
          <t>MAT-DAMPER-CAU-CHI-USA-2-400X400</t>
        </is>
      </c>
      <c r="F276" t="inlineStr">
        <is>
          <t>Cái</t>
        </is>
      </c>
      <c r="G276" s="17" t="n">
        <v>1</v>
      </c>
      <c r="H276" s="13">
        <f>'00_TONG_HOP_BAO_GIA'!G29</f>
        <v/>
      </c>
      <c r="I276" s="18">
        <f>G276*H276</f>
        <v/>
      </c>
      <c r="J276" s="13">
        <f>IFERROR(INDEX('06_BANG_GIA_VAT_TU_AP_DUNG'!$E$1:$E$5000, MATCH(E276, '06_BANG_GIA_VAT_TU_AP_DUNG'!$B$1:$B$5000, 0)), 0)</f>
        <v/>
      </c>
      <c r="K276" s="13">
        <f>I276*J276</f>
        <v/>
      </c>
      <c r="L276" t="inlineStr">
        <is>
          <t>Cầu chì kiểm định PCCC (1 cái)</t>
        </is>
      </c>
    </row>
    <row r="277">
      <c r="A277" t="inlineStr">
        <is>
          <t>SW-DAMPER-028-FB10-BODY</t>
        </is>
      </c>
      <c r="B277" t="inlineStr">
        <is>
          <t>SW-DAMPER-028</t>
        </is>
      </c>
      <c r="C277" t="inlineStr">
        <is>
          <t>Tấm chống cháy dày 10mm bọc thân van FD/MFD (2 lớp)</t>
        </is>
      </c>
      <c r="D277" t="inlineStr">
        <is>
          <t>VẬT_LIỆU_CÁCH_NHIỆT</t>
        </is>
      </c>
      <c r="E277" t="inlineStr">
        <is>
          <t>MAT-FIREBOARD-10MM-BODY</t>
        </is>
      </c>
      <c r="F277" t="inlineStr">
        <is>
          <t>m2</t>
        </is>
      </c>
      <c r="G277" s="17" t="n">
        <v>1.091032381298106</v>
      </c>
      <c r="H277" s="13">
        <f>'00_TONG_HOP_BAO_GIA'!G29</f>
        <v/>
      </c>
      <c r="I277" s="18">
        <f>G277*H277</f>
        <v/>
      </c>
      <c r="J277" s="13">
        <f>IFERROR(INDEX('06_BANG_GIA_VAT_TU_AP_DUNG'!$E$1:$E$5000, MATCH(E277, '06_BANG_GIA_VAT_TU_AP_DUNG'!$B$1:$B$5000, 0)), 0)</f>
        <v/>
      </c>
      <c r="K277" s="13">
        <f>I277*J277</f>
        <v/>
      </c>
      <c r="L277" t="inlineStr">
        <is>
          <t>Bọc 2 lớp tấm 10mm quanh thân L=300mm</t>
        </is>
      </c>
    </row>
    <row r="278">
      <c r="A278" t="inlineStr">
        <is>
          <t>SW-DAMPER-028-FB20-BLADE</t>
        </is>
      </c>
      <c r="B278" t="inlineStr">
        <is>
          <t>SW-DAMPER-028</t>
        </is>
      </c>
      <c r="C278" t="inlineStr">
        <is>
          <t>Tấm chống cháy dày 20mm làm lõi cánh van FD/MFD</t>
        </is>
      </c>
      <c r="D278" t="inlineStr">
        <is>
          <t>VẬT_LIỆU_CÁCH_NHIỆT</t>
        </is>
      </c>
      <c r="E278" t="inlineStr">
        <is>
          <t>MAT-FIREBOARD-20MM-BLADE</t>
        </is>
      </c>
      <c r="F278" t="inlineStr">
        <is>
          <t>m2</t>
        </is>
      </c>
      <c r="G278" s="17" t="n">
        <v>0.1818387302163511</v>
      </c>
      <c r="H278" s="13">
        <f>'00_TONG_HOP_BAO_GIA'!G29</f>
        <v/>
      </c>
      <c r="I278" s="18">
        <f>G278*H278</f>
        <v/>
      </c>
      <c r="J278" s="13">
        <f>IFERROR(INDEX('06_BANG_GIA_VAT_TU_AP_DUNG'!$E$1:$E$5000, MATCH(E278, '06_BANG_GIA_VAT_TU_AP_DUNG'!$B$1:$B$5000, 0)), 0)</f>
        <v/>
      </c>
      <c r="K278" s="13">
        <f>I278*J278</f>
        <v/>
      </c>
      <c r="L278" t="inlineStr">
        <is>
          <t>Lõi cánh tấm 20mm (Cánh đơn 400x400mm)</t>
        </is>
      </c>
    </row>
    <row r="279">
      <c r="A279" t="inlineStr">
        <is>
          <t>SW-DAMPER-028-FB10-BLADE</t>
        </is>
      </c>
      <c r="B279" t="inlineStr">
        <is>
          <t>SW-DAMPER-028</t>
        </is>
      </c>
      <c r="C279" t="inlineStr">
        <is>
          <t>Tấm chống cháy dày 10mm ốp 2 mặt cánh van FD/MFD</t>
        </is>
      </c>
      <c r="D279" t="inlineStr">
        <is>
          <t>VẬT_LIỆU_CÁCH_NHIỆT</t>
        </is>
      </c>
      <c r="E279" t="inlineStr">
        <is>
          <t>MAT-FIREBOARD-10MM-BLADE</t>
        </is>
      </c>
      <c r="F279" t="inlineStr">
        <is>
          <t>m2</t>
        </is>
      </c>
      <c r="G279" s="17" t="n">
        <v>0.3636774604327022</v>
      </c>
      <c r="H279" s="13">
        <f>'00_TONG_HOP_BAO_GIA'!G29</f>
        <v/>
      </c>
      <c r="I279" s="18">
        <f>G279*H279</f>
        <v/>
      </c>
      <c r="J279" s="13">
        <f>IFERROR(INDEX('06_BANG_GIA_VAT_TU_AP_DUNG'!$E$1:$E$5000, MATCH(E279, '06_BANG_GIA_VAT_TU_AP_DUNG'!$B$1:$B$5000, 0)), 0)</f>
        <v/>
      </c>
      <c r="K279" s="13">
        <f>I279*J279</f>
        <v/>
      </c>
      <c r="L279" t="inlineStr">
        <is>
          <t>Ốp 2 mặt cánh tấm 10mm (Cánh đơn 400x400mm)</t>
        </is>
      </c>
    </row>
    <row r="280">
      <c r="A280" t="inlineStr">
        <is>
          <t>SW-DAMPER-028-SPRING-BOX</t>
        </is>
      </c>
      <c r="B280" t="inlineStr">
        <is>
          <t>SW-DAMPER-028</t>
        </is>
      </c>
      <c r="C280" t="inlineStr">
        <is>
          <t>Hộp lò xo van chặn lửa FD/MFD</t>
        </is>
      </c>
      <c r="D280" t="inlineStr">
        <is>
          <t>PHỤ_KIỆN_VAN</t>
        </is>
      </c>
      <c r="E280" t="inlineStr">
        <is>
          <t>MAT-DAMPER-HOP-LO-XO</t>
        </is>
      </c>
      <c r="F280" t="inlineStr">
        <is>
          <t>Bộ</t>
        </is>
      </c>
      <c r="G280" s="17" t="n">
        <v>1</v>
      </c>
      <c r="H280" s="13">
        <f>'00_TONG_HOP_BAO_GIA'!G29</f>
        <v/>
      </c>
      <c r="I280" s="18">
        <f>G280*H280</f>
        <v/>
      </c>
      <c r="J280" s="13">
        <f>IFERROR(INDEX('06_BANG_GIA_VAT_TU_AP_DUNG'!$E$1:$E$5000, MATCH(E280, '06_BANG_GIA_VAT_TU_AP_DUNG'!$B$1:$B$5000, 0)), 0)</f>
        <v/>
      </c>
      <c r="K280" s="13">
        <f>I280*J280</f>
        <v/>
      </c>
      <c r="L280" t="inlineStr">
        <is>
          <t>Hộp lò xo cơ cấu đóng sập (1 bộ)</t>
        </is>
      </c>
    </row>
    <row r="281">
      <c r="A281" t="inlineStr">
        <is>
          <t>SW-DAMPER-028-SILICON-BOLT</t>
        </is>
      </c>
      <c r="B281" t="inlineStr">
        <is>
          <t>SW-DAMPER-028</t>
        </is>
      </c>
      <c r="C281" t="inlineStr">
        <is>
          <t>Silicon chống cháy + bu lông, ốc vít van FD/MFD</t>
        </is>
      </c>
      <c r="D281" t="inlineStr">
        <is>
          <t>PHỤ_KIỆN_VAN</t>
        </is>
      </c>
      <c r="E281" t="inlineStr">
        <is>
          <t>MAT-DAMPER-SILICON-BULONG-VIT</t>
        </is>
      </c>
      <c r="F281" t="inlineStr">
        <is>
          <t>Bộ</t>
        </is>
      </c>
      <c r="G281" s="17" t="n">
        <v>1</v>
      </c>
      <c r="H281" s="13">
        <f>'00_TONG_HOP_BAO_GIA'!G29</f>
        <v/>
      </c>
      <c r="I281" s="18">
        <f>G281*H281</f>
        <v/>
      </c>
      <c r="J281" s="13">
        <f>IFERROR(INDEX('06_BANG_GIA_VAT_TU_AP_DUNG'!$E$1:$E$5000, MATCH(E281, '06_BANG_GIA_VAT_TU_AP_DUNG'!$B$1:$B$5000, 0)), 0)</f>
        <v/>
      </c>
      <c r="K281" s="13">
        <f>I281*J281</f>
        <v/>
      </c>
      <c r="L281" t="inlineStr">
        <is>
          <t>Keo silicon chống cháy &amp; phụ kiện lắp ghép (1 bộ)</t>
        </is>
      </c>
    </row>
    <row r="282">
      <c r="A282" t="inlineStr">
        <is>
          <t>SW-DAMPER-029-BODY</t>
        </is>
      </c>
      <c r="B282" t="inlineStr">
        <is>
          <t>SW-DAMPER-029</t>
        </is>
      </c>
      <c r="C282" t="inlineStr">
        <is>
          <t>Thân vỏ van FD bích C30/TDF (1.15mm)</t>
        </is>
      </c>
      <c r="D282" t="inlineStr">
        <is>
          <t>TÔN_CUỘN_MẠ_KẼM</t>
        </is>
      </c>
      <c r="E282" t="inlineStr">
        <is>
          <t>MAT-STEEL-PN-1.15</t>
        </is>
      </c>
      <c r="F282" t="inlineStr">
        <is>
          <t>kg</t>
        </is>
      </c>
      <c r="G282" s="17" t="n">
        <v>4.770136598561558</v>
      </c>
      <c r="H282" s="13">
        <f>'00_TONG_HOP_BAO_GIA'!G30</f>
        <v/>
      </c>
      <c r="I282" s="18">
        <f>G282*H282</f>
        <v/>
      </c>
      <c r="J282" s="13">
        <f>IFERROR(INDEX('06_BANG_GIA_VAT_TU_AP_DUNG'!$E$1:$E$5000, MATCH(E282, '06_BANG_GIA_VAT_TU_AP_DUNG'!$B$1:$B$5000, 0)), 0)</f>
        <v/>
      </c>
      <c r="K282" s="13">
        <f>I282*J282</f>
        <v/>
      </c>
      <c r="L282" t="inlineStr">
        <is>
          <t>Kích thước vỏ 400x400x200mm</t>
        </is>
      </c>
    </row>
    <row r="283">
      <c r="A283" t="inlineStr">
        <is>
          <t>SW-DAMPER-029-BLADE</t>
        </is>
      </c>
      <c r="B283" t="inlineStr">
        <is>
          <t>SW-DAMPER-029</t>
        </is>
      </c>
      <c r="C283" t="inlineStr">
        <is>
          <t>Lá cánh / Tôn tấm bọc van (1 cánh)</t>
        </is>
      </c>
      <c r="D283" t="inlineStr">
        <is>
          <t>TÔN_CUỘN_MẠ_KẼM</t>
        </is>
      </c>
      <c r="E283" t="inlineStr">
        <is>
          <t>MAT-STEEL-PN-1.15</t>
        </is>
      </c>
      <c r="F283" t="inlineStr">
        <is>
          <t>kg</t>
        </is>
      </c>
      <c r="G283" s="17" t="n">
        <v>3.283098274056218</v>
      </c>
      <c r="H283" s="13">
        <f>'00_TONG_HOP_BAO_GIA'!G30</f>
        <v/>
      </c>
      <c r="I283" s="18">
        <f>G283*H283</f>
        <v/>
      </c>
      <c r="J283" s="13">
        <f>IFERROR(INDEX('06_BANG_GIA_VAT_TU_AP_DUNG'!$E$1:$E$5000, MATCH(E283, '06_BANG_GIA_VAT_TU_AP_DUNG'!$B$1:$B$5000, 0)), 0)</f>
        <v/>
      </c>
      <c r="K283" s="13">
        <f>I283*J283</f>
        <v/>
      </c>
      <c r="L283" t="inlineStr">
        <is>
          <t>Tôn bọc cánh &amp; thân (1 cánh/modul)</t>
        </is>
      </c>
    </row>
    <row r="284">
      <c r="A284" t="inlineStr">
        <is>
          <t>SW-DAMPER-029-AXLE</t>
        </is>
      </c>
      <c r="B284" t="inlineStr">
        <is>
          <t>SW-DAMPER-029</t>
        </is>
      </c>
      <c r="C284" t="inlineStr">
        <is>
          <t>Trục Sus 201 D10</t>
        </is>
      </c>
      <c r="D284" t="inlineStr">
        <is>
          <t>PHỤ_KIỆN_VAN</t>
        </is>
      </c>
      <c r="E284" t="inlineStr">
        <is>
          <t>MAT-DAMPER-TRUC-SUS-201-D10</t>
        </is>
      </c>
      <c r="F284" t="inlineStr">
        <is>
          <t>m</t>
        </is>
      </c>
      <c r="G284" s="17" t="n">
        <v>0.5227863493720094</v>
      </c>
      <c r="H284" s="13">
        <f>'00_TONG_HOP_BAO_GIA'!G30</f>
        <v/>
      </c>
      <c r="I284" s="18">
        <f>G284*H284</f>
        <v/>
      </c>
      <c r="J284" s="13">
        <f>IFERROR(INDEX('06_BANG_GIA_VAT_TU_AP_DUNG'!$E$1:$E$5000, MATCH(E284, '06_BANG_GIA_VAT_TU_AP_DUNG'!$B$1:$B$5000, 0)), 0)</f>
        <v/>
      </c>
      <c r="K284" s="13">
        <f>I284*J284</f>
        <v/>
      </c>
      <c r="L284" t="inlineStr">
        <is>
          <t>1 trục dài 460mm</t>
        </is>
      </c>
    </row>
    <row r="285">
      <c r="A285" t="inlineStr">
        <is>
          <t>SW-DAMPER-029-BEARING</t>
        </is>
      </c>
      <c r="B285" t="inlineStr">
        <is>
          <t>SW-DAMPER-029</t>
        </is>
      </c>
      <c r="C285" t="inlineStr">
        <is>
          <t>Bạc đồng D10</t>
        </is>
      </c>
      <c r="D285" t="inlineStr">
        <is>
          <t>PHỤ_KIỆN_VAN</t>
        </is>
      </c>
      <c r="E285" t="inlineStr">
        <is>
          <t>MAT-DAMPER-BAC-DONG-D10</t>
        </is>
      </c>
      <c r="F285" t="inlineStr">
        <is>
          <t>Đôi</t>
        </is>
      </c>
      <c r="G285" s="17" t="n">
        <v>1</v>
      </c>
      <c r="H285" s="13">
        <f>'00_TONG_HOP_BAO_GIA'!G30</f>
        <v/>
      </c>
      <c r="I285" s="18">
        <f>G285*H285</f>
        <v/>
      </c>
      <c r="J285" s="13">
        <f>IFERROR(INDEX('06_BANG_GIA_VAT_TU_AP_DUNG'!$E$1:$E$5000, MATCH(E285, '06_BANG_GIA_VAT_TU_AP_DUNG'!$B$1:$B$5000, 0)), 0)</f>
        <v/>
      </c>
      <c r="K285" s="13">
        <f>I285*J285</f>
        <v/>
      </c>
      <c r="L285" t="inlineStr">
        <is>
          <t>1 đôi bạc đỡ 2 bên thân</t>
        </is>
      </c>
    </row>
    <row r="286">
      <c r="A286" t="inlineStr">
        <is>
          <t>SW-DAMPER-029-FUSE</t>
        </is>
      </c>
      <c r="B286" t="inlineStr">
        <is>
          <t>SW-DAMPER-029</t>
        </is>
      </c>
      <c r="C286" t="inlineStr">
        <is>
          <t>Cầu chì nhiệt nóng chảy 70°C/74°C (Elsie/USA)</t>
        </is>
      </c>
      <c r="D286" t="inlineStr">
        <is>
          <t>PHỤ_KIỆN_VAN</t>
        </is>
      </c>
      <c r="E286" t="inlineStr">
        <is>
          <t>MAT-DAMPER-CAU-CHI-USA-2-400X400</t>
        </is>
      </c>
      <c r="F286" t="inlineStr">
        <is>
          <t>Cái</t>
        </is>
      </c>
      <c r="G286" s="17" t="n">
        <v>1</v>
      </c>
      <c r="H286" s="13">
        <f>'00_TONG_HOP_BAO_GIA'!G30</f>
        <v/>
      </c>
      <c r="I286" s="18">
        <f>G286*H286</f>
        <v/>
      </c>
      <c r="J286" s="13">
        <f>IFERROR(INDEX('06_BANG_GIA_VAT_TU_AP_DUNG'!$E$1:$E$5000, MATCH(E286, '06_BANG_GIA_VAT_TU_AP_DUNG'!$B$1:$B$5000, 0)), 0)</f>
        <v/>
      </c>
      <c r="K286" s="13">
        <f>I286*J286</f>
        <v/>
      </c>
      <c r="L286" t="inlineStr">
        <is>
          <t>Cầu chì kiểm định PCCC (1 cái)</t>
        </is>
      </c>
    </row>
    <row r="287">
      <c r="A287" t="inlineStr">
        <is>
          <t>SW-DAMPER-029-FB10-BODY</t>
        </is>
      </c>
      <c r="B287" t="inlineStr">
        <is>
          <t>SW-DAMPER-029</t>
        </is>
      </c>
      <c r="C287" t="inlineStr">
        <is>
          <t>Tấm chống cháy dày 10mm bọc thân van FD/MFD (2 lớp)</t>
        </is>
      </c>
      <c r="D287" t="inlineStr">
        <is>
          <t>VẬT_LIỆU_CÁCH_NHIỆT</t>
        </is>
      </c>
      <c r="E287" t="inlineStr">
        <is>
          <t>MAT-FIREBOARD-10MM-BODY</t>
        </is>
      </c>
      <c r="F287" t="inlineStr">
        <is>
          <t>m2</t>
        </is>
      </c>
      <c r="G287" s="17" t="n">
        <v>1.091032381298106</v>
      </c>
      <c r="H287" s="13">
        <f>'00_TONG_HOP_BAO_GIA'!G30</f>
        <v/>
      </c>
      <c r="I287" s="18">
        <f>G287*H287</f>
        <v/>
      </c>
      <c r="J287" s="13">
        <f>IFERROR(INDEX('06_BANG_GIA_VAT_TU_AP_DUNG'!$E$1:$E$5000, MATCH(E287, '06_BANG_GIA_VAT_TU_AP_DUNG'!$B$1:$B$5000, 0)), 0)</f>
        <v/>
      </c>
      <c r="K287" s="13">
        <f>I287*J287</f>
        <v/>
      </c>
      <c r="L287" t="inlineStr">
        <is>
          <t>Bọc 2 lớp tấm 10mm quanh thân L=300mm</t>
        </is>
      </c>
    </row>
    <row r="288">
      <c r="A288" t="inlineStr">
        <is>
          <t>SW-DAMPER-029-FB20-BLADE</t>
        </is>
      </c>
      <c r="B288" t="inlineStr">
        <is>
          <t>SW-DAMPER-029</t>
        </is>
      </c>
      <c r="C288" t="inlineStr">
        <is>
          <t>Tấm chống cháy dày 20mm làm lõi cánh van FD/MFD</t>
        </is>
      </c>
      <c r="D288" t="inlineStr">
        <is>
          <t>VẬT_LIỆU_CÁCH_NHIỆT</t>
        </is>
      </c>
      <c r="E288" t="inlineStr">
        <is>
          <t>MAT-FIREBOARD-20MM-BLADE</t>
        </is>
      </c>
      <c r="F288" t="inlineStr">
        <is>
          <t>m2</t>
        </is>
      </c>
      <c r="G288" s="17" t="n">
        <v>0.1818387302163511</v>
      </c>
      <c r="H288" s="13">
        <f>'00_TONG_HOP_BAO_GIA'!G30</f>
        <v/>
      </c>
      <c r="I288" s="18">
        <f>G288*H288</f>
        <v/>
      </c>
      <c r="J288" s="13">
        <f>IFERROR(INDEX('06_BANG_GIA_VAT_TU_AP_DUNG'!$E$1:$E$5000, MATCH(E288, '06_BANG_GIA_VAT_TU_AP_DUNG'!$B$1:$B$5000, 0)), 0)</f>
        <v/>
      </c>
      <c r="K288" s="13">
        <f>I288*J288</f>
        <v/>
      </c>
      <c r="L288" t="inlineStr">
        <is>
          <t>Lõi cánh tấm 20mm (Cánh đơn 400x400mm)</t>
        </is>
      </c>
    </row>
    <row r="289">
      <c r="A289" t="inlineStr">
        <is>
          <t>SW-DAMPER-029-FB10-BLADE</t>
        </is>
      </c>
      <c r="B289" t="inlineStr">
        <is>
          <t>SW-DAMPER-029</t>
        </is>
      </c>
      <c r="C289" t="inlineStr">
        <is>
          <t>Tấm chống cháy dày 10mm ốp 2 mặt cánh van FD/MFD</t>
        </is>
      </c>
      <c r="D289" t="inlineStr">
        <is>
          <t>VẬT_LIỆU_CÁCH_NHIỆT</t>
        </is>
      </c>
      <c r="E289" t="inlineStr">
        <is>
          <t>MAT-FIREBOARD-10MM-BLADE</t>
        </is>
      </c>
      <c r="F289" t="inlineStr">
        <is>
          <t>m2</t>
        </is>
      </c>
      <c r="G289" s="17" t="n">
        <v>0.3636774604327022</v>
      </c>
      <c r="H289" s="13">
        <f>'00_TONG_HOP_BAO_GIA'!G30</f>
        <v/>
      </c>
      <c r="I289" s="18">
        <f>G289*H289</f>
        <v/>
      </c>
      <c r="J289" s="13">
        <f>IFERROR(INDEX('06_BANG_GIA_VAT_TU_AP_DUNG'!$E$1:$E$5000, MATCH(E289, '06_BANG_GIA_VAT_TU_AP_DUNG'!$B$1:$B$5000, 0)), 0)</f>
        <v/>
      </c>
      <c r="K289" s="13">
        <f>I289*J289</f>
        <v/>
      </c>
      <c r="L289" t="inlineStr">
        <is>
          <t>Ốp 2 mặt cánh tấm 10mm (Cánh đơn 400x400mm)</t>
        </is>
      </c>
    </row>
    <row r="290">
      <c r="A290" t="inlineStr">
        <is>
          <t>SW-DAMPER-029-SPRING-BOX</t>
        </is>
      </c>
      <c r="B290" t="inlineStr">
        <is>
          <t>SW-DAMPER-029</t>
        </is>
      </c>
      <c r="C290" t="inlineStr">
        <is>
          <t>Hộp lò xo van chặn lửa FD/MFD</t>
        </is>
      </c>
      <c r="D290" t="inlineStr">
        <is>
          <t>PHỤ_KIỆN_VAN</t>
        </is>
      </c>
      <c r="E290" t="inlineStr">
        <is>
          <t>MAT-DAMPER-HOP-LO-XO</t>
        </is>
      </c>
      <c r="F290" t="inlineStr">
        <is>
          <t>Bộ</t>
        </is>
      </c>
      <c r="G290" s="17" t="n">
        <v>1</v>
      </c>
      <c r="H290" s="13">
        <f>'00_TONG_HOP_BAO_GIA'!G30</f>
        <v/>
      </c>
      <c r="I290" s="18">
        <f>G290*H290</f>
        <v/>
      </c>
      <c r="J290" s="13">
        <f>IFERROR(INDEX('06_BANG_GIA_VAT_TU_AP_DUNG'!$E$1:$E$5000, MATCH(E290, '06_BANG_GIA_VAT_TU_AP_DUNG'!$B$1:$B$5000, 0)), 0)</f>
        <v/>
      </c>
      <c r="K290" s="13">
        <f>I290*J290</f>
        <v/>
      </c>
      <c r="L290" t="inlineStr">
        <is>
          <t>Hộp lò xo cơ cấu đóng sập (1 bộ)</t>
        </is>
      </c>
    </row>
    <row r="291">
      <c r="A291" t="inlineStr">
        <is>
          <t>SW-DAMPER-029-SILICON-BOLT</t>
        </is>
      </c>
      <c r="B291" t="inlineStr">
        <is>
          <t>SW-DAMPER-029</t>
        </is>
      </c>
      <c r="C291" t="inlineStr">
        <is>
          <t>Silicon chống cháy + bu lông, ốc vít van FD/MFD</t>
        </is>
      </c>
      <c r="D291" t="inlineStr">
        <is>
          <t>PHỤ_KIỆN_VAN</t>
        </is>
      </c>
      <c r="E291" t="inlineStr">
        <is>
          <t>MAT-DAMPER-SILICON-BULONG-VIT</t>
        </is>
      </c>
      <c r="F291" t="inlineStr">
        <is>
          <t>Bộ</t>
        </is>
      </c>
      <c r="G291" s="17" t="n">
        <v>1</v>
      </c>
      <c r="H291" s="13">
        <f>'00_TONG_HOP_BAO_GIA'!G30</f>
        <v/>
      </c>
      <c r="I291" s="18">
        <f>G291*H291</f>
        <v/>
      </c>
      <c r="J291" s="13">
        <f>IFERROR(INDEX('06_BANG_GIA_VAT_TU_AP_DUNG'!$E$1:$E$5000, MATCH(E291, '06_BANG_GIA_VAT_TU_AP_DUNG'!$B$1:$B$5000, 0)), 0)</f>
        <v/>
      </c>
      <c r="K291" s="13">
        <f>I291*J291</f>
        <v/>
      </c>
      <c r="L291" t="inlineStr">
        <is>
          <t>Keo silicon chống cháy &amp; phụ kiện lắp ghép (1 bộ)</t>
        </is>
      </c>
    </row>
    <row r="292">
      <c r="A292" t="inlineStr">
        <is>
          <t>SW-DAMPER-030-BODY</t>
        </is>
      </c>
      <c r="B292" t="inlineStr">
        <is>
          <t>SW-DAMPER-030</t>
        </is>
      </c>
      <c r="C292" t="inlineStr">
        <is>
          <t>Thân vỏ van FD bích C30/TDF (1.15mm)</t>
        </is>
      </c>
      <c r="D292" t="inlineStr">
        <is>
          <t>TÔN_CUỘN_MẠ_KẼM</t>
        </is>
      </c>
      <c r="E292" t="inlineStr">
        <is>
          <t>MAT-STEEL-PN-1.15</t>
        </is>
      </c>
      <c r="F292" t="inlineStr">
        <is>
          <t>kg</t>
        </is>
      </c>
      <c r="G292" s="17" t="n">
        <v>4.770136598561558</v>
      </c>
      <c r="H292" s="13">
        <f>'00_TONG_HOP_BAO_GIA'!G31</f>
        <v/>
      </c>
      <c r="I292" s="18">
        <f>G292*H292</f>
        <v/>
      </c>
      <c r="J292" s="13">
        <f>IFERROR(INDEX('06_BANG_GIA_VAT_TU_AP_DUNG'!$E$1:$E$5000, MATCH(E292, '06_BANG_GIA_VAT_TU_AP_DUNG'!$B$1:$B$5000, 0)), 0)</f>
        <v/>
      </c>
      <c r="K292" s="13">
        <f>I292*J292</f>
        <v/>
      </c>
      <c r="L292" t="inlineStr">
        <is>
          <t>Kích thước vỏ 400x400x200mm</t>
        </is>
      </c>
    </row>
    <row r="293">
      <c r="A293" t="inlineStr">
        <is>
          <t>SW-DAMPER-030-BLADE</t>
        </is>
      </c>
      <c r="B293" t="inlineStr">
        <is>
          <t>SW-DAMPER-030</t>
        </is>
      </c>
      <c r="C293" t="inlineStr">
        <is>
          <t>Lá cánh / Tôn tấm bọc van (1 cánh)</t>
        </is>
      </c>
      <c r="D293" t="inlineStr">
        <is>
          <t>TÔN_CUỘN_MẠ_KẼM</t>
        </is>
      </c>
      <c r="E293" t="inlineStr">
        <is>
          <t>MAT-STEEL-PN-1.15</t>
        </is>
      </c>
      <c r="F293" t="inlineStr">
        <is>
          <t>kg</t>
        </is>
      </c>
      <c r="G293" s="17" t="n">
        <v>3.283098274056218</v>
      </c>
      <c r="H293" s="13">
        <f>'00_TONG_HOP_BAO_GIA'!G31</f>
        <v/>
      </c>
      <c r="I293" s="18">
        <f>G293*H293</f>
        <v/>
      </c>
      <c r="J293" s="13">
        <f>IFERROR(INDEX('06_BANG_GIA_VAT_TU_AP_DUNG'!$E$1:$E$5000, MATCH(E293, '06_BANG_GIA_VAT_TU_AP_DUNG'!$B$1:$B$5000, 0)), 0)</f>
        <v/>
      </c>
      <c r="K293" s="13">
        <f>I293*J293</f>
        <v/>
      </c>
      <c r="L293" t="inlineStr">
        <is>
          <t>Tôn bọc cánh &amp; thân (1 cánh/modul)</t>
        </is>
      </c>
    </row>
    <row r="294">
      <c r="A294" t="inlineStr">
        <is>
          <t>SW-DAMPER-030-AXLE</t>
        </is>
      </c>
      <c r="B294" t="inlineStr">
        <is>
          <t>SW-DAMPER-030</t>
        </is>
      </c>
      <c r="C294" t="inlineStr">
        <is>
          <t>Trục Sus 201 D10</t>
        </is>
      </c>
      <c r="D294" t="inlineStr">
        <is>
          <t>PHỤ_KIỆN_VAN</t>
        </is>
      </c>
      <c r="E294" t="inlineStr">
        <is>
          <t>MAT-DAMPER-TRUC-SUS-201-D10</t>
        </is>
      </c>
      <c r="F294" t="inlineStr">
        <is>
          <t>m</t>
        </is>
      </c>
      <c r="G294" s="17" t="n">
        <v>0.5227863493720094</v>
      </c>
      <c r="H294" s="13">
        <f>'00_TONG_HOP_BAO_GIA'!G31</f>
        <v/>
      </c>
      <c r="I294" s="18">
        <f>G294*H294</f>
        <v/>
      </c>
      <c r="J294" s="13">
        <f>IFERROR(INDEX('06_BANG_GIA_VAT_TU_AP_DUNG'!$E$1:$E$5000, MATCH(E294, '06_BANG_GIA_VAT_TU_AP_DUNG'!$B$1:$B$5000, 0)), 0)</f>
        <v/>
      </c>
      <c r="K294" s="13">
        <f>I294*J294</f>
        <v/>
      </c>
      <c r="L294" t="inlineStr">
        <is>
          <t>1 trục dài 460mm</t>
        </is>
      </c>
    </row>
    <row r="295">
      <c r="A295" t="inlineStr">
        <is>
          <t>SW-DAMPER-030-BEARING</t>
        </is>
      </c>
      <c r="B295" t="inlineStr">
        <is>
          <t>SW-DAMPER-030</t>
        </is>
      </c>
      <c r="C295" t="inlineStr">
        <is>
          <t>Bạc đồng D10</t>
        </is>
      </c>
      <c r="D295" t="inlineStr">
        <is>
          <t>PHỤ_KIỆN_VAN</t>
        </is>
      </c>
      <c r="E295" t="inlineStr">
        <is>
          <t>MAT-DAMPER-BAC-DONG-D10</t>
        </is>
      </c>
      <c r="F295" t="inlineStr">
        <is>
          <t>Đôi</t>
        </is>
      </c>
      <c r="G295" s="17" t="n">
        <v>1</v>
      </c>
      <c r="H295" s="13">
        <f>'00_TONG_HOP_BAO_GIA'!G31</f>
        <v/>
      </c>
      <c r="I295" s="18">
        <f>G295*H295</f>
        <v/>
      </c>
      <c r="J295" s="13">
        <f>IFERROR(INDEX('06_BANG_GIA_VAT_TU_AP_DUNG'!$E$1:$E$5000, MATCH(E295, '06_BANG_GIA_VAT_TU_AP_DUNG'!$B$1:$B$5000, 0)), 0)</f>
        <v/>
      </c>
      <c r="K295" s="13">
        <f>I295*J295</f>
        <v/>
      </c>
      <c r="L295" t="inlineStr">
        <is>
          <t>1 đôi bạc đỡ 2 bên thân</t>
        </is>
      </c>
    </row>
    <row r="296">
      <c r="A296" t="inlineStr">
        <is>
          <t>SW-DAMPER-030-FUSE</t>
        </is>
      </c>
      <c r="B296" t="inlineStr">
        <is>
          <t>SW-DAMPER-030</t>
        </is>
      </c>
      <c r="C296" t="inlineStr">
        <is>
          <t>Cầu chì nhiệt nóng chảy 70°C/74°C (Elsie/USA)</t>
        </is>
      </c>
      <c r="D296" t="inlineStr">
        <is>
          <t>PHỤ_KIỆN_VAN</t>
        </is>
      </c>
      <c r="E296" t="inlineStr">
        <is>
          <t>MAT-DAMPER-CAU-CHI-USA-2-400X400</t>
        </is>
      </c>
      <c r="F296" t="inlineStr">
        <is>
          <t>Cái</t>
        </is>
      </c>
      <c r="G296" s="17" t="n">
        <v>1</v>
      </c>
      <c r="H296" s="13">
        <f>'00_TONG_HOP_BAO_GIA'!G31</f>
        <v/>
      </c>
      <c r="I296" s="18">
        <f>G296*H296</f>
        <v/>
      </c>
      <c r="J296" s="13">
        <f>IFERROR(INDEX('06_BANG_GIA_VAT_TU_AP_DUNG'!$E$1:$E$5000, MATCH(E296, '06_BANG_GIA_VAT_TU_AP_DUNG'!$B$1:$B$5000, 0)), 0)</f>
        <v/>
      </c>
      <c r="K296" s="13">
        <f>I296*J296</f>
        <v/>
      </c>
      <c r="L296" t="inlineStr">
        <is>
          <t>Cầu chì kiểm định PCCC (1 cái)</t>
        </is>
      </c>
    </row>
    <row r="297">
      <c r="A297" t="inlineStr">
        <is>
          <t>SW-DAMPER-030-FB10-BODY</t>
        </is>
      </c>
      <c r="B297" t="inlineStr">
        <is>
          <t>SW-DAMPER-030</t>
        </is>
      </c>
      <c r="C297" t="inlineStr">
        <is>
          <t>Tấm chống cháy dày 10mm bọc thân van FD/MFD (2 lớp)</t>
        </is>
      </c>
      <c r="D297" t="inlineStr">
        <is>
          <t>VẬT_LIỆU_CÁCH_NHIỆT</t>
        </is>
      </c>
      <c r="E297" t="inlineStr">
        <is>
          <t>MAT-FIREBOARD-10MM-BODY</t>
        </is>
      </c>
      <c r="F297" t="inlineStr">
        <is>
          <t>m2</t>
        </is>
      </c>
      <c r="G297" s="17" t="n">
        <v>1.091032381298106</v>
      </c>
      <c r="H297" s="13">
        <f>'00_TONG_HOP_BAO_GIA'!G31</f>
        <v/>
      </c>
      <c r="I297" s="18">
        <f>G297*H297</f>
        <v/>
      </c>
      <c r="J297" s="13">
        <f>IFERROR(INDEX('06_BANG_GIA_VAT_TU_AP_DUNG'!$E$1:$E$5000, MATCH(E297, '06_BANG_GIA_VAT_TU_AP_DUNG'!$B$1:$B$5000, 0)), 0)</f>
        <v/>
      </c>
      <c r="K297" s="13">
        <f>I297*J297</f>
        <v/>
      </c>
      <c r="L297" t="inlineStr">
        <is>
          <t>Bọc 2 lớp tấm 10mm quanh thân L=300mm</t>
        </is>
      </c>
    </row>
    <row r="298">
      <c r="A298" t="inlineStr">
        <is>
          <t>SW-DAMPER-030-FB20-BLADE</t>
        </is>
      </c>
      <c r="B298" t="inlineStr">
        <is>
          <t>SW-DAMPER-030</t>
        </is>
      </c>
      <c r="C298" t="inlineStr">
        <is>
          <t>Tấm chống cháy dày 20mm làm lõi cánh van FD/MFD</t>
        </is>
      </c>
      <c r="D298" t="inlineStr">
        <is>
          <t>VẬT_LIỆU_CÁCH_NHIỆT</t>
        </is>
      </c>
      <c r="E298" t="inlineStr">
        <is>
          <t>MAT-FIREBOARD-20MM-BLADE</t>
        </is>
      </c>
      <c r="F298" t="inlineStr">
        <is>
          <t>m2</t>
        </is>
      </c>
      <c r="G298" s="17" t="n">
        <v>0.1818387302163511</v>
      </c>
      <c r="H298" s="13">
        <f>'00_TONG_HOP_BAO_GIA'!G31</f>
        <v/>
      </c>
      <c r="I298" s="18">
        <f>G298*H298</f>
        <v/>
      </c>
      <c r="J298" s="13">
        <f>IFERROR(INDEX('06_BANG_GIA_VAT_TU_AP_DUNG'!$E$1:$E$5000, MATCH(E298, '06_BANG_GIA_VAT_TU_AP_DUNG'!$B$1:$B$5000, 0)), 0)</f>
        <v/>
      </c>
      <c r="K298" s="13">
        <f>I298*J298</f>
        <v/>
      </c>
      <c r="L298" t="inlineStr">
        <is>
          <t>Lõi cánh tấm 20mm (Cánh đơn 400x400mm)</t>
        </is>
      </c>
    </row>
    <row r="299">
      <c r="A299" t="inlineStr">
        <is>
          <t>SW-DAMPER-030-FB10-BLADE</t>
        </is>
      </c>
      <c r="B299" t="inlineStr">
        <is>
          <t>SW-DAMPER-030</t>
        </is>
      </c>
      <c r="C299" t="inlineStr">
        <is>
          <t>Tấm chống cháy dày 10mm ốp 2 mặt cánh van FD/MFD</t>
        </is>
      </c>
      <c r="D299" t="inlineStr">
        <is>
          <t>VẬT_LIỆU_CÁCH_NHIỆT</t>
        </is>
      </c>
      <c r="E299" t="inlineStr">
        <is>
          <t>MAT-FIREBOARD-10MM-BLADE</t>
        </is>
      </c>
      <c r="F299" t="inlineStr">
        <is>
          <t>m2</t>
        </is>
      </c>
      <c r="G299" s="17" t="n">
        <v>0.3636774604327022</v>
      </c>
      <c r="H299" s="13">
        <f>'00_TONG_HOP_BAO_GIA'!G31</f>
        <v/>
      </c>
      <c r="I299" s="18">
        <f>G299*H299</f>
        <v/>
      </c>
      <c r="J299" s="13">
        <f>IFERROR(INDEX('06_BANG_GIA_VAT_TU_AP_DUNG'!$E$1:$E$5000, MATCH(E299, '06_BANG_GIA_VAT_TU_AP_DUNG'!$B$1:$B$5000, 0)), 0)</f>
        <v/>
      </c>
      <c r="K299" s="13">
        <f>I299*J299</f>
        <v/>
      </c>
      <c r="L299" t="inlineStr">
        <is>
          <t>Ốp 2 mặt cánh tấm 10mm (Cánh đơn 400x400mm)</t>
        </is>
      </c>
    </row>
    <row r="300">
      <c r="A300" t="inlineStr">
        <is>
          <t>SW-DAMPER-030-SPRING-BOX</t>
        </is>
      </c>
      <c r="B300" t="inlineStr">
        <is>
          <t>SW-DAMPER-030</t>
        </is>
      </c>
      <c r="C300" t="inlineStr">
        <is>
          <t>Hộp lò xo van chặn lửa FD/MFD</t>
        </is>
      </c>
      <c r="D300" t="inlineStr">
        <is>
          <t>PHỤ_KIỆN_VAN</t>
        </is>
      </c>
      <c r="E300" t="inlineStr">
        <is>
          <t>MAT-DAMPER-HOP-LO-XO</t>
        </is>
      </c>
      <c r="F300" t="inlineStr">
        <is>
          <t>Bộ</t>
        </is>
      </c>
      <c r="G300" s="17" t="n">
        <v>1</v>
      </c>
      <c r="H300" s="13">
        <f>'00_TONG_HOP_BAO_GIA'!G31</f>
        <v/>
      </c>
      <c r="I300" s="18">
        <f>G300*H300</f>
        <v/>
      </c>
      <c r="J300" s="13">
        <f>IFERROR(INDEX('06_BANG_GIA_VAT_TU_AP_DUNG'!$E$1:$E$5000, MATCH(E300, '06_BANG_GIA_VAT_TU_AP_DUNG'!$B$1:$B$5000, 0)), 0)</f>
        <v/>
      </c>
      <c r="K300" s="13">
        <f>I300*J300</f>
        <v/>
      </c>
      <c r="L300" t="inlineStr">
        <is>
          <t>Hộp lò xo cơ cấu đóng sập (1 bộ)</t>
        </is>
      </c>
    </row>
    <row r="301">
      <c r="A301" t="inlineStr">
        <is>
          <t>SW-DAMPER-030-SILICON-BOLT</t>
        </is>
      </c>
      <c r="B301" t="inlineStr">
        <is>
          <t>SW-DAMPER-030</t>
        </is>
      </c>
      <c r="C301" t="inlineStr">
        <is>
          <t>Silicon chống cháy + bu lông, ốc vít van FD/MFD</t>
        </is>
      </c>
      <c r="D301" t="inlineStr">
        <is>
          <t>PHỤ_KIỆN_VAN</t>
        </is>
      </c>
      <c r="E301" t="inlineStr">
        <is>
          <t>MAT-DAMPER-SILICON-BULONG-VIT</t>
        </is>
      </c>
      <c r="F301" t="inlineStr">
        <is>
          <t>Bộ</t>
        </is>
      </c>
      <c r="G301" s="17" t="n">
        <v>1</v>
      </c>
      <c r="H301" s="13">
        <f>'00_TONG_HOP_BAO_GIA'!G31</f>
        <v/>
      </c>
      <c r="I301" s="18">
        <f>G301*H301</f>
        <v/>
      </c>
      <c r="J301" s="13">
        <f>IFERROR(INDEX('06_BANG_GIA_VAT_TU_AP_DUNG'!$E$1:$E$5000, MATCH(E301, '06_BANG_GIA_VAT_TU_AP_DUNG'!$B$1:$B$5000, 0)), 0)</f>
        <v/>
      </c>
      <c r="K301" s="13">
        <f>I301*J301</f>
        <v/>
      </c>
      <c r="L301" t="inlineStr">
        <is>
          <t>Keo silicon chống cháy &amp; phụ kiện lắp ghép (1 bộ)</t>
        </is>
      </c>
    </row>
    <row r="302">
      <c r="A302" t="inlineStr">
        <is>
          <t>SW-DAMPER-031-BODY</t>
        </is>
      </c>
      <c r="B302" t="inlineStr">
        <is>
          <t>SW-DAMPER-031</t>
        </is>
      </c>
      <c r="C302" t="inlineStr">
        <is>
          <t>Thân vỏ van MFD bích C30/TDF (1.15mm)</t>
        </is>
      </c>
      <c r="D302" t="inlineStr">
        <is>
          <t>TÔN_CUỘN_MẠ_KẼM</t>
        </is>
      </c>
      <c r="E302" t="inlineStr">
        <is>
          <t>MAT-STEEL-PN-1.15</t>
        </is>
      </c>
      <c r="F302" t="inlineStr">
        <is>
          <t>kg</t>
        </is>
      </c>
      <c r="G302" s="17" t="n">
        <v>5.340407124433819</v>
      </c>
      <c r="H302" s="13">
        <f>'00_TONG_HOP_BAO_GIA'!G32</f>
        <v/>
      </c>
      <c r="I302" s="18">
        <f>G302*H302</f>
        <v/>
      </c>
      <c r="J302" s="13">
        <f>IFERROR(INDEX('06_BANG_GIA_VAT_TU_AP_DUNG'!$E$1:$E$5000, MATCH(E302, '06_BANG_GIA_VAT_TU_AP_DUNG'!$B$1:$B$5000, 0)), 0)</f>
        <v/>
      </c>
      <c r="K302" s="13">
        <f>I302*J302</f>
        <v/>
      </c>
      <c r="L302" t="inlineStr">
        <is>
          <t>Kích thước vỏ 400x400x200mm</t>
        </is>
      </c>
    </row>
    <row r="303">
      <c r="A303" t="inlineStr">
        <is>
          <t>SW-DAMPER-031-BLADE</t>
        </is>
      </c>
      <c r="B303" t="inlineStr">
        <is>
          <t>SW-DAMPER-031</t>
        </is>
      </c>
      <c r="C303" t="inlineStr">
        <is>
          <t>Lá cánh / Tôn tấm bọc van (1 cánh)</t>
        </is>
      </c>
      <c r="D303" t="inlineStr">
        <is>
          <t>TÔN_CUỘN_MẠ_KẼM</t>
        </is>
      </c>
      <c r="E303" t="inlineStr">
        <is>
          <t>MAT-STEEL-PN-1.15</t>
        </is>
      </c>
      <c r="F303" t="inlineStr">
        <is>
          <t>kg</t>
        </is>
      </c>
      <c r="G303" s="17" t="n">
        <v>3.675593151414854</v>
      </c>
      <c r="H303" s="13">
        <f>'00_TONG_HOP_BAO_GIA'!G32</f>
        <v/>
      </c>
      <c r="I303" s="18">
        <f>G303*H303</f>
        <v/>
      </c>
      <c r="J303" s="13">
        <f>IFERROR(INDEX('06_BANG_GIA_VAT_TU_AP_DUNG'!$E$1:$E$5000, MATCH(E303, '06_BANG_GIA_VAT_TU_AP_DUNG'!$B$1:$B$5000, 0)), 0)</f>
        <v/>
      </c>
      <c r="K303" s="13">
        <f>I303*J303</f>
        <v/>
      </c>
      <c r="L303" t="inlineStr">
        <is>
          <t>Tôn bọc cánh &amp; thân (1 cánh/modul)</t>
        </is>
      </c>
    </row>
    <row r="304">
      <c r="A304" t="inlineStr">
        <is>
          <t>SW-DAMPER-031-AXLE</t>
        </is>
      </c>
      <c r="B304" t="inlineStr">
        <is>
          <t>SW-DAMPER-031</t>
        </is>
      </c>
      <c r="C304" t="inlineStr">
        <is>
          <t>Trục Sus 201 D10</t>
        </is>
      </c>
      <c r="D304" t="inlineStr">
        <is>
          <t>PHỤ_KIỆN_VAN</t>
        </is>
      </c>
      <c r="E304" t="inlineStr">
        <is>
          <t>MAT-DAMPER-TRUC-SUS-201-D10</t>
        </is>
      </c>
      <c r="F304" t="inlineStr">
        <is>
          <t>m</t>
        </is>
      </c>
      <c r="G304" s="17" t="n">
        <v>0.5852855336647856</v>
      </c>
      <c r="H304" s="13">
        <f>'00_TONG_HOP_BAO_GIA'!G32</f>
        <v/>
      </c>
      <c r="I304" s="18">
        <f>G304*H304</f>
        <v/>
      </c>
      <c r="J304" s="13">
        <f>IFERROR(INDEX('06_BANG_GIA_VAT_TU_AP_DUNG'!$E$1:$E$5000, MATCH(E304, '06_BANG_GIA_VAT_TU_AP_DUNG'!$B$1:$B$5000, 0)), 0)</f>
        <v/>
      </c>
      <c r="K304" s="13">
        <f>I304*J304</f>
        <v/>
      </c>
      <c r="L304" t="inlineStr">
        <is>
          <t>1 trục dài 460mm</t>
        </is>
      </c>
    </row>
    <row r="305">
      <c r="A305" t="inlineStr">
        <is>
          <t>SW-DAMPER-031-BEARING</t>
        </is>
      </c>
      <c r="B305" t="inlineStr">
        <is>
          <t>SW-DAMPER-031</t>
        </is>
      </c>
      <c r="C305" t="inlineStr">
        <is>
          <t>Bạc đồng D10</t>
        </is>
      </c>
      <c r="D305" t="inlineStr">
        <is>
          <t>PHỤ_KIỆN_VAN</t>
        </is>
      </c>
      <c r="E305" t="inlineStr">
        <is>
          <t>MAT-DAMPER-BAC-DONG-D10</t>
        </is>
      </c>
      <c r="F305" t="inlineStr">
        <is>
          <t>Đôi</t>
        </is>
      </c>
      <c r="G305" s="17" t="n">
        <v>1</v>
      </c>
      <c r="H305" s="13">
        <f>'00_TONG_HOP_BAO_GIA'!G32</f>
        <v/>
      </c>
      <c r="I305" s="18">
        <f>G305*H305</f>
        <v/>
      </c>
      <c r="J305" s="13">
        <f>IFERROR(INDEX('06_BANG_GIA_VAT_TU_AP_DUNG'!$E$1:$E$5000, MATCH(E305, '06_BANG_GIA_VAT_TU_AP_DUNG'!$B$1:$B$5000, 0)), 0)</f>
        <v/>
      </c>
      <c r="K305" s="13">
        <f>I305*J305</f>
        <v/>
      </c>
      <c r="L305" t="inlineStr">
        <is>
          <t>1 đôi bạc đỡ 2 bên thân</t>
        </is>
      </c>
    </row>
    <row r="306">
      <c r="A306" t="inlineStr">
        <is>
          <t>SW-DAMPER-031-ACTUATOR</t>
        </is>
      </c>
      <c r="B306" t="inlineStr">
        <is>
          <t>SW-DAMPER-031</t>
        </is>
      </c>
      <c r="C306" t="inlineStr">
        <is>
          <t>Động cơ chặn lửa ON/OFF 3.5Nm, 230V/24V (BELIMO FSLF24 / FSLF230)</t>
        </is>
      </c>
      <c r="D306" t="inlineStr">
        <is>
          <t>ĐỘNG_CƠ_VÀ_CẢM_BIẾN</t>
        </is>
      </c>
      <c r="E306" t="inlineStr">
        <is>
          <t>MAT-ACTUATOR-BELIMO-FSLF24</t>
        </is>
      </c>
      <c r="F306" t="inlineStr">
        <is>
          <t>Cái</t>
        </is>
      </c>
      <c r="G306" s="17" t="n">
        <v>1</v>
      </c>
      <c r="H306" s="13">
        <f>'00_TONG_HOP_BAO_GIA'!G32</f>
        <v/>
      </c>
      <c r="I306" s="18">
        <f>G306*H306</f>
        <v/>
      </c>
      <c r="J306" s="13">
        <f>IFERROR(INDEX('06_BANG_GIA_VAT_TU_AP_DUNG'!$E$1:$E$5000, MATCH(E306, '06_BANG_GIA_VAT_TU_AP_DUNG'!$B$1:$B$5000, 0)), 0)</f>
        <v/>
      </c>
      <c r="K306" s="13">
        <f>I306*J306</f>
        <v/>
      </c>
      <c r="L306" t="inlineStr">
        <is>
          <t>Động cơ lò xo phản hồi MFD (1 bộ)</t>
        </is>
      </c>
    </row>
    <row r="307">
      <c r="A307" t="inlineStr">
        <is>
          <t>SW-DAMPER-031-FB10-BODY</t>
        </is>
      </c>
      <c r="B307" t="inlineStr">
        <is>
          <t>SW-DAMPER-031</t>
        </is>
      </c>
      <c r="C307" t="inlineStr">
        <is>
          <t>Tấm chống cháy dày 10mm bọc thân van FD/MFD (2 lớp)</t>
        </is>
      </c>
      <c r="D307" t="inlineStr">
        <is>
          <t>VẬT_LIỆU_CÁCH_NHIỆT</t>
        </is>
      </c>
      <c r="E307" t="inlineStr">
        <is>
          <t>MAT-FIREBOARD-10MM-BODY</t>
        </is>
      </c>
      <c r="F307" t="inlineStr">
        <is>
          <t>m2</t>
        </is>
      </c>
      <c r="G307" s="17" t="n">
        <v>1.221465461561292</v>
      </c>
      <c r="H307" s="13">
        <f>'00_TONG_HOP_BAO_GIA'!G32</f>
        <v/>
      </c>
      <c r="I307" s="18">
        <f>G307*H307</f>
        <v/>
      </c>
      <c r="J307" s="13">
        <f>IFERROR(INDEX('06_BANG_GIA_VAT_TU_AP_DUNG'!$E$1:$E$5000, MATCH(E307, '06_BANG_GIA_VAT_TU_AP_DUNG'!$B$1:$B$5000, 0)), 0)</f>
        <v/>
      </c>
      <c r="K307" s="13">
        <f>I307*J307</f>
        <v/>
      </c>
      <c r="L307" t="inlineStr">
        <is>
          <t>Bọc 2 lớp tấm 10mm quanh thân L=300mm</t>
        </is>
      </c>
    </row>
    <row r="308">
      <c r="A308" t="inlineStr">
        <is>
          <t>SW-DAMPER-031-FB20-BLADE</t>
        </is>
      </c>
      <c r="B308" t="inlineStr">
        <is>
          <t>SW-DAMPER-031</t>
        </is>
      </c>
      <c r="C308" t="inlineStr">
        <is>
          <t>Tấm chống cháy dày 20mm làm lõi cánh van FD/MFD</t>
        </is>
      </c>
      <c r="D308" t="inlineStr">
        <is>
          <t>VẬT_LIỆU_CÁCH_NHIỆT</t>
        </is>
      </c>
      <c r="E308" t="inlineStr">
        <is>
          <t>MAT-FIREBOARD-20MM-BLADE</t>
        </is>
      </c>
      <c r="F308" t="inlineStr">
        <is>
          <t>m2</t>
        </is>
      </c>
      <c r="G308" s="17" t="n">
        <v>0.203577576926882</v>
      </c>
      <c r="H308" s="13">
        <f>'00_TONG_HOP_BAO_GIA'!G32</f>
        <v/>
      </c>
      <c r="I308" s="18">
        <f>G308*H308</f>
        <v/>
      </c>
      <c r="J308" s="13">
        <f>IFERROR(INDEX('06_BANG_GIA_VAT_TU_AP_DUNG'!$E$1:$E$5000, MATCH(E308, '06_BANG_GIA_VAT_TU_AP_DUNG'!$B$1:$B$5000, 0)), 0)</f>
        <v/>
      </c>
      <c r="K308" s="13">
        <f>I308*J308</f>
        <v/>
      </c>
      <c r="L308" t="inlineStr">
        <is>
          <t>Lõi cánh tấm 20mm (Cánh đơn 400x400mm)</t>
        </is>
      </c>
    </row>
    <row r="309">
      <c r="A309" t="inlineStr">
        <is>
          <t>SW-DAMPER-031-FB10-BLADE</t>
        </is>
      </c>
      <c r="B309" t="inlineStr">
        <is>
          <t>SW-DAMPER-031</t>
        </is>
      </c>
      <c r="C309" t="inlineStr">
        <is>
          <t>Tấm chống cháy dày 10mm ốp 2 mặt cánh van FD/MFD</t>
        </is>
      </c>
      <c r="D309" t="inlineStr">
        <is>
          <t>VẬT_LIỆU_CÁCH_NHIỆT</t>
        </is>
      </c>
      <c r="E309" t="inlineStr">
        <is>
          <t>MAT-FIREBOARD-10MM-BLADE</t>
        </is>
      </c>
      <c r="F309" t="inlineStr">
        <is>
          <t>m2</t>
        </is>
      </c>
      <c r="G309" s="17" t="n">
        <v>0.407155153853764</v>
      </c>
      <c r="H309" s="13">
        <f>'00_TONG_HOP_BAO_GIA'!G32</f>
        <v/>
      </c>
      <c r="I309" s="18">
        <f>G309*H309</f>
        <v/>
      </c>
      <c r="J309" s="13">
        <f>IFERROR(INDEX('06_BANG_GIA_VAT_TU_AP_DUNG'!$E$1:$E$5000, MATCH(E309, '06_BANG_GIA_VAT_TU_AP_DUNG'!$B$1:$B$5000, 0)), 0)</f>
        <v/>
      </c>
      <c r="K309" s="13">
        <f>I309*J309</f>
        <v/>
      </c>
      <c r="L309" t="inlineStr">
        <is>
          <t>Ốp 2 mặt cánh tấm 10mm (Cánh đơn 400x400mm)</t>
        </is>
      </c>
    </row>
    <row r="310">
      <c r="A310" t="inlineStr">
        <is>
          <t>SW-DAMPER-031-SPRING-BOX</t>
        </is>
      </c>
      <c r="B310" t="inlineStr">
        <is>
          <t>SW-DAMPER-031</t>
        </is>
      </c>
      <c r="C310" t="inlineStr">
        <is>
          <t>Hộp lò xo van chặn lửa FD/MFD</t>
        </is>
      </c>
      <c r="D310" t="inlineStr">
        <is>
          <t>PHỤ_KIỆN_VAN</t>
        </is>
      </c>
      <c r="E310" t="inlineStr">
        <is>
          <t>MAT-DAMPER-HOP-LO-XO</t>
        </is>
      </c>
      <c r="F310" t="inlineStr">
        <is>
          <t>Bộ</t>
        </is>
      </c>
      <c r="G310" s="17" t="n">
        <v>1</v>
      </c>
      <c r="H310" s="13">
        <f>'00_TONG_HOP_BAO_GIA'!G32</f>
        <v/>
      </c>
      <c r="I310" s="18">
        <f>G310*H310</f>
        <v/>
      </c>
      <c r="J310" s="13">
        <f>IFERROR(INDEX('06_BANG_GIA_VAT_TU_AP_DUNG'!$E$1:$E$5000, MATCH(E310, '06_BANG_GIA_VAT_TU_AP_DUNG'!$B$1:$B$5000, 0)), 0)</f>
        <v/>
      </c>
      <c r="K310" s="13">
        <f>I310*J310</f>
        <v/>
      </c>
      <c r="L310" t="inlineStr">
        <is>
          <t>Hộp lò xo cơ cấu đóng sập (1 bộ)</t>
        </is>
      </c>
    </row>
    <row r="311">
      <c r="A311" t="inlineStr">
        <is>
          <t>SW-DAMPER-031-SILICON-BOLT</t>
        </is>
      </c>
      <c r="B311" t="inlineStr">
        <is>
          <t>SW-DAMPER-031</t>
        </is>
      </c>
      <c r="C311" t="inlineStr">
        <is>
          <t>Silicon chống cháy + bu lông, ốc vít van FD/MFD</t>
        </is>
      </c>
      <c r="D311" t="inlineStr">
        <is>
          <t>PHỤ_KIỆN_VAN</t>
        </is>
      </c>
      <c r="E311" t="inlineStr">
        <is>
          <t>MAT-DAMPER-SILICON-BULONG-VIT</t>
        </is>
      </c>
      <c r="F311" t="inlineStr">
        <is>
          <t>Bộ</t>
        </is>
      </c>
      <c r="G311" s="17" t="n">
        <v>1</v>
      </c>
      <c r="H311" s="13">
        <f>'00_TONG_HOP_BAO_GIA'!G32</f>
        <v/>
      </c>
      <c r="I311" s="18">
        <f>G311*H311</f>
        <v/>
      </c>
      <c r="J311" s="13">
        <f>IFERROR(INDEX('06_BANG_GIA_VAT_TU_AP_DUNG'!$E$1:$E$5000, MATCH(E311, '06_BANG_GIA_VAT_TU_AP_DUNG'!$B$1:$B$5000, 0)), 0)</f>
        <v/>
      </c>
      <c r="K311" s="13">
        <f>I311*J311</f>
        <v/>
      </c>
      <c r="L311" t="inlineStr">
        <is>
          <t>Keo silicon chống cháy &amp; phụ kiện lắp ghép (1 bộ)</t>
        </is>
      </c>
    </row>
    <row r="312">
      <c r="A312" t="inlineStr">
        <is>
          <t>SW-DAMPER-032-BODY</t>
        </is>
      </c>
      <c r="B312" t="inlineStr">
        <is>
          <t>SW-DAMPER-032</t>
        </is>
      </c>
      <c r="C312" t="inlineStr">
        <is>
          <t>Thân vỏ van FD bích C30/TDF (1.15mm)</t>
        </is>
      </c>
      <c r="D312" t="inlineStr">
        <is>
          <t>TÔN_CUỘN_MẠ_KẼM</t>
        </is>
      </c>
      <c r="E312" t="inlineStr">
        <is>
          <t>MAT-STEEL-PN-1.15</t>
        </is>
      </c>
      <c r="F312" t="inlineStr">
        <is>
          <t>kg</t>
        </is>
      </c>
      <c r="G312" s="17" t="n">
        <v>8.372629015327405</v>
      </c>
      <c r="H312" s="13">
        <f>'00_TONG_HOP_BAO_GIA'!G33</f>
        <v/>
      </c>
      <c r="I312" s="18">
        <f>G312*H312</f>
        <v/>
      </c>
      <c r="J312" s="13">
        <f>IFERROR(INDEX('06_BANG_GIA_VAT_TU_AP_DUNG'!$E$1:$E$5000, MATCH(E312, '06_BANG_GIA_VAT_TU_AP_DUNG'!$B$1:$B$5000, 0)), 0)</f>
        <v/>
      </c>
      <c r="K312" s="13">
        <f>I312*J312</f>
        <v/>
      </c>
      <c r="L312" t="inlineStr">
        <is>
          <t>Kích thước vỏ 1000x400x200mm</t>
        </is>
      </c>
    </row>
    <row r="313">
      <c r="A313" t="inlineStr">
        <is>
          <t>SW-DAMPER-032-BLADE</t>
        </is>
      </c>
      <c r="B313" t="inlineStr">
        <is>
          <t>SW-DAMPER-032</t>
        </is>
      </c>
      <c r="C313" t="inlineStr">
        <is>
          <t>Lá cánh / Tôn tấm bọc van (1 cánh)</t>
        </is>
      </c>
      <c r="D313" t="inlineStr">
        <is>
          <t>TÔN_CUỘN_MẠ_KẼM</t>
        </is>
      </c>
      <c r="E313" t="inlineStr">
        <is>
          <t>MAT-STEEL-PN-1.15</t>
        </is>
      </c>
      <c r="F313" t="inlineStr">
        <is>
          <t>kg</t>
        </is>
      </c>
      <c r="G313" s="17" t="n">
        <v>8.31917829478342</v>
      </c>
      <c r="H313" s="13">
        <f>'00_TONG_HOP_BAO_GIA'!G33</f>
        <v/>
      </c>
      <c r="I313" s="18">
        <f>G313*H313</f>
        <v/>
      </c>
      <c r="J313" s="13">
        <f>IFERROR(INDEX('06_BANG_GIA_VAT_TU_AP_DUNG'!$E$1:$E$5000, MATCH(E313, '06_BANG_GIA_VAT_TU_AP_DUNG'!$B$1:$B$5000, 0)), 0)</f>
        <v/>
      </c>
      <c r="K313" s="13">
        <f>I313*J313</f>
        <v/>
      </c>
      <c r="L313" t="inlineStr">
        <is>
          <t>Tôn bọc cánh &amp; thân (1 cánh/modul)</t>
        </is>
      </c>
    </row>
    <row r="314">
      <c r="A314" t="inlineStr">
        <is>
          <t>SW-DAMPER-032-AXLE</t>
        </is>
      </c>
      <c r="B314" t="inlineStr">
        <is>
          <t>SW-DAMPER-032</t>
        </is>
      </c>
      <c r="C314" t="inlineStr">
        <is>
          <t>Trục Sus 201 D10</t>
        </is>
      </c>
      <c r="D314" t="inlineStr">
        <is>
          <t>PHỤ_KIỆN_VAN</t>
        </is>
      </c>
      <c r="E314" t="inlineStr">
        <is>
          <t>MAT-DAMPER-TRUC-SUS-201-D10</t>
        </is>
      </c>
      <c r="F314" t="inlineStr">
        <is>
          <t>m</t>
        </is>
      </c>
      <c r="G314" s="17" t="n">
        <v>1.221036969325731</v>
      </c>
      <c r="H314" s="13">
        <f>'00_TONG_HOP_BAO_GIA'!G33</f>
        <v/>
      </c>
      <c r="I314" s="18">
        <f>G314*H314</f>
        <v/>
      </c>
      <c r="J314" s="13">
        <f>IFERROR(INDEX('06_BANG_GIA_VAT_TU_AP_DUNG'!$E$1:$E$5000, MATCH(E314, '06_BANG_GIA_VAT_TU_AP_DUNG'!$B$1:$B$5000, 0)), 0)</f>
        <v/>
      </c>
      <c r="K314" s="13">
        <f>I314*J314</f>
        <v/>
      </c>
      <c r="L314" t="inlineStr">
        <is>
          <t>1 trục dài 1060mm</t>
        </is>
      </c>
    </row>
    <row r="315">
      <c r="A315" t="inlineStr">
        <is>
          <t>SW-DAMPER-032-BEARING</t>
        </is>
      </c>
      <c r="B315" t="inlineStr">
        <is>
          <t>SW-DAMPER-032</t>
        </is>
      </c>
      <c r="C315" t="inlineStr">
        <is>
          <t>Bạc đồng D10</t>
        </is>
      </c>
      <c r="D315" t="inlineStr">
        <is>
          <t>PHỤ_KIỆN_VAN</t>
        </is>
      </c>
      <c r="E315" t="inlineStr">
        <is>
          <t>MAT-DAMPER-BAC-DONG-D10</t>
        </is>
      </c>
      <c r="F315" t="inlineStr">
        <is>
          <t>Đôi</t>
        </is>
      </c>
      <c r="G315" s="17" t="n">
        <v>1</v>
      </c>
      <c r="H315" s="13">
        <f>'00_TONG_HOP_BAO_GIA'!G33</f>
        <v/>
      </c>
      <c r="I315" s="18">
        <f>G315*H315</f>
        <v/>
      </c>
      <c r="J315" s="13">
        <f>IFERROR(INDEX('06_BANG_GIA_VAT_TU_AP_DUNG'!$E$1:$E$5000, MATCH(E315, '06_BANG_GIA_VAT_TU_AP_DUNG'!$B$1:$B$5000, 0)), 0)</f>
        <v/>
      </c>
      <c r="K315" s="13">
        <f>I315*J315</f>
        <v/>
      </c>
      <c r="L315" t="inlineStr">
        <is>
          <t>1 đôi bạc đỡ 2 bên thân</t>
        </is>
      </c>
    </row>
    <row r="316">
      <c r="A316" t="inlineStr">
        <is>
          <t>SW-DAMPER-032-FUSE</t>
        </is>
      </c>
      <c r="B316" t="inlineStr">
        <is>
          <t>SW-DAMPER-032</t>
        </is>
      </c>
      <c r="C316" t="inlineStr">
        <is>
          <t>Cầu chì nhiệt nóng chảy 70°C/74°C (Elsie/USA)</t>
        </is>
      </c>
      <c r="D316" t="inlineStr">
        <is>
          <t>PHỤ_KIỆN_VAN</t>
        </is>
      </c>
      <c r="E316" t="inlineStr">
        <is>
          <t>MAT-DAMPER-CAU-CHI-USA-2-400X400</t>
        </is>
      </c>
      <c r="F316" t="inlineStr">
        <is>
          <t>Cái</t>
        </is>
      </c>
      <c r="G316" s="17" t="n">
        <v>1</v>
      </c>
      <c r="H316" s="13">
        <f>'00_TONG_HOP_BAO_GIA'!G33</f>
        <v/>
      </c>
      <c r="I316" s="18">
        <f>G316*H316</f>
        <v/>
      </c>
      <c r="J316" s="13">
        <f>IFERROR(INDEX('06_BANG_GIA_VAT_TU_AP_DUNG'!$E$1:$E$5000, MATCH(E316, '06_BANG_GIA_VAT_TU_AP_DUNG'!$B$1:$B$5000, 0)), 0)</f>
        <v/>
      </c>
      <c r="K316" s="13">
        <f>I316*J316</f>
        <v/>
      </c>
      <c r="L316" t="inlineStr">
        <is>
          <t>Cầu chì kiểm định PCCC (1 cái)</t>
        </is>
      </c>
    </row>
    <row r="317">
      <c r="A317" t="inlineStr">
        <is>
          <t>SW-DAMPER-032-FB10-BODY</t>
        </is>
      </c>
      <c r="B317" t="inlineStr">
        <is>
          <t>SW-DAMPER-032</t>
        </is>
      </c>
      <c r="C317" t="inlineStr">
        <is>
          <t>Tấm chống cháy dày 10mm bọc thân van FD/MFD (2 lớp)</t>
        </is>
      </c>
      <c r="D317" t="inlineStr">
        <is>
          <t>VẬT_LIỆU_CÁCH_NHIỆT</t>
        </is>
      </c>
      <c r="E317" t="inlineStr">
        <is>
          <t>MAT-FIREBOARD-10MM-BODY</t>
        </is>
      </c>
      <c r="F317" t="inlineStr">
        <is>
          <t>m2</t>
        </is>
      </c>
      <c r="G317" s="17" t="n">
        <v>1.935228404214365</v>
      </c>
      <c r="H317" s="13">
        <f>'00_TONG_HOP_BAO_GIA'!G33</f>
        <v/>
      </c>
      <c r="I317" s="18">
        <f>G317*H317</f>
        <v/>
      </c>
      <c r="J317" s="13">
        <f>IFERROR(INDEX('06_BANG_GIA_VAT_TU_AP_DUNG'!$E$1:$E$5000, MATCH(E317, '06_BANG_GIA_VAT_TU_AP_DUNG'!$B$1:$B$5000, 0)), 0)</f>
        <v/>
      </c>
      <c r="K317" s="13">
        <f>I317*J317</f>
        <v/>
      </c>
      <c r="L317" t="inlineStr">
        <is>
          <t>Bọc 2 lớp tấm 10mm quanh thân L=300mm</t>
        </is>
      </c>
    </row>
    <row r="318">
      <c r="A318" t="inlineStr">
        <is>
          <t>SW-DAMPER-032-FB20-BLADE</t>
        </is>
      </c>
      <c r="B318" t="inlineStr">
        <is>
          <t>SW-DAMPER-032</t>
        </is>
      </c>
      <c r="C318" t="inlineStr">
        <is>
          <t>Tấm chống cháy dày 20mm làm lõi cánh van FD/MFD</t>
        </is>
      </c>
      <c r="D318" t="inlineStr">
        <is>
          <t>VẬT_LIỆU_CÁCH_NHIỆT</t>
        </is>
      </c>
      <c r="E318" t="inlineStr">
        <is>
          <t>MAT-FIREBOARD-20MM-BLADE</t>
        </is>
      </c>
      <c r="F318" t="inlineStr">
        <is>
          <t>m2</t>
        </is>
      </c>
      <c r="G318" s="17" t="n">
        <v>0.4607686676700871</v>
      </c>
      <c r="H318" s="13">
        <f>'00_TONG_HOP_BAO_GIA'!G33</f>
        <v/>
      </c>
      <c r="I318" s="18">
        <f>G318*H318</f>
        <v/>
      </c>
      <c r="J318" s="13">
        <f>IFERROR(INDEX('06_BANG_GIA_VAT_TU_AP_DUNG'!$E$1:$E$5000, MATCH(E318, '06_BANG_GIA_VAT_TU_AP_DUNG'!$B$1:$B$5000, 0)), 0)</f>
        <v/>
      </c>
      <c r="K318" s="13">
        <f>I318*J318</f>
        <v/>
      </c>
      <c r="L318" t="inlineStr">
        <is>
          <t>Lõi cánh tấm 20mm (Cánh đơn 1000x400mm)</t>
        </is>
      </c>
    </row>
    <row r="319">
      <c r="A319" t="inlineStr">
        <is>
          <t>SW-DAMPER-032-FB10-BLADE</t>
        </is>
      </c>
      <c r="B319" t="inlineStr">
        <is>
          <t>SW-DAMPER-032</t>
        </is>
      </c>
      <c r="C319" t="inlineStr">
        <is>
          <t>Tấm chống cháy dày 10mm ốp 2 mặt cánh van FD/MFD</t>
        </is>
      </c>
      <c r="D319" t="inlineStr">
        <is>
          <t>VẬT_LIỆU_CÁCH_NHIỆT</t>
        </is>
      </c>
      <c r="E319" t="inlineStr">
        <is>
          <t>MAT-FIREBOARD-10MM-BLADE</t>
        </is>
      </c>
      <c r="F319" t="inlineStr">
        <is>
          <t>m2</t>
        </is>
      </c>
      <c r="G319" s="17" t="n">
        <v>0.9215373353401741</v>
      </c>
      <c r="H319" s="13">
        <f>'00_TONG_HOP_BAO_GIA'!G33</f>
        <v/>
      </c>
      <c r="I319" s="18">
        <f>G319*H319</f>
        <v/>
      </c>
      <c r="J319" s="13">
        <f>IFERROR(INDEX('06_BANG_GIA_VAT_TU_AP_DUNG'!$E$1:$E$5000, MATCH(E319, '06_BANG_GIA_VAT_TU_AP_DUNG'!$B$1:$B$5000, 0)), 0)</f>
        <v/>
      </c>
      <c r="K319" s="13">
        <f>I319*J319</f>
        <v/>
      </c>
      <c r="L319" t="inlineStr">
        <is>
          <t>Ốp 2 mặt cánh tấm 10mm (Cánh đơn 1000x400mm)</t>
        </is>
      </c>
    </row>
    <row r="320">
      <c r="A320" t="inlineStr">
        <is>
          <t>SW-DAMPER-032-SPRING-BOX</t>
        </is>
      </c>
      <c r="B320" t="inlineStr">
        <is>
          <t>SW-DAMPER-032</t>
        </is>
      </c>
      <c r="C320" t="inlineStr">
        <is>
          <t>Hộp lò xo van chặn lửa FD/MFD</t>
        </is>
      </c>
      <c r="D320" t="inlineStr">
        <is>
          <t>PHỤ_KIỆN_VAN</t>
        </is>
      </c>
      <c r="E320" t="inlineStr">
        <is>
          <t>MAT-DAMPER-HOP-LO-XO</t>
        </is>
      </c>
      <c r="F320" t="inlineStr">
        <is>
          <t>Bộ</t>
        </is>
      </c>
      <c r="G320" s="17" t="n">
        <v>1</v>
      </c>
      <c r="H320" s="13">
        <f>'00_TONG_HOP_BAO_GIA'!G33</f>
        <v/>
      </c>
      <c r="I320" s="18">
        <f>G320*H320</f>
        <v/>
      </c>
      <c r="J320" s="13">
        <f>IFERROR(INDEX('06_BANG_GIA_VAT_TU_AP_DUNG'!$E$1:$E$5000, MATCH(E320, '06_BANG_GIA_VAT_TU_AP_DUNG'!$B$1:$B$5000, 0)), 0)</f>
        <v/>
      </c>
      <c r="K320" s="13">
        <f>I320*J320</f>
        <v/>
      </c>
      <c r="L320" t="inlineStr">
        <is>
          <t>Hộp lò xo cơ cấu đóng sập (1 bộ)</t>
        </is>
      </c>
    </row>
    <row r="321">
      <c r="A321" t="inlineStr">
        <is>
          <t>SW-DAMPER-032-SILICON-BOLT</t>
        </is>
      </c>
      <c r="B321" t="inlineStr">
        <is>
          <t>SW-DAMPER-032</t>
        </is>
      </c>
      <c r="C321" t="inlineStr">
        <is>
          <t>Silicon chống cháy + bu lông, ốc vít van FD/MFD</t>
        </is>
      </c>
      <c r="D321" t="inlineStr">
        <is>
          <t>PHỤ_KIỆN_VAN</t>
        </is>
      </c>
      <c r="E321" t="inlineStr">
        <is>
          <t>MAT-DAMPER-SILICON-BULONG-VIT</t>
        </is>
      </c>
      <c r="F321" t="inlineStr">
        <is>
          <t>Bộ</t>
        </is>
      </c>
      <c r="G321" s="17" t="n">
        <v>1</v>
      </c>
      <c r="H321" s="13">
        <f>'00_TONG_HOP_BAO_GIA'!G33</f>
        <v/>
      </c>
      <c r="I321" s="18">
        <f>G321*H321</f>
        <v/>
      </c>
      <c r="J321" s="13">
        <f>IFERROR(INDEX('06_BANG_GIA_VAT_TU_AP_DUNG'!$E$1:$E$5000, MATCH(E321, '06_BANG_GIA_VAT_TU_AP_DUNG'!$B$1:$B$5000, 0)), 0)</f>
        <v/>
      </c>
      <c r="K321" s="13">
        <f>I321*J321</f>
        <v/>
      </c>
      <c r="L321" t="inlineStr">
        <is>
          <t>Keo silicon chống cháy &amp; phụ kiện lắp ghép (1 bộ)</t>
        </is>
      </c>
    </row>
    <row r="322">
      <c r="A322" t="inlineStr">
        <is>
          <t>SW-DAMPER-033-BODY</t>
        </is>
      </c>
      <c r="B322" t="inlineStr">
        <is>
          <t>SW-DAMPER-033</t>
        </is>
      </c>
      <c r="C322" t="inlineStr">
        <is>
          <t>Thân vỏ van FD bích C30/TDF (1.15mm)</t>
        </is>
      </c>
      <c r="D322" t="inlineStr">
        <is>
          <t>TÔN_CUỘN_MẠ_KẼM</t>
        </is>
      </c>
      <c r="E322" t="inlineStr">
        <is>
          <t>MAT-STEEL-PN-1.15</t>
        </is>
      </c>
      <c r="F322" t="inlineStr">
        <is>
          <t>kg</t>
        </is>
      </c>
      <c r="G322" s="17" t="n">
        <v>5.0548062262229</v>
      </c>
      <c r="H322" s="13">
        <f>'00_TONG_HOP_BAO_GIA'!G34</f>
        <v/>
      </c>
      <c r="I322" s="18">
        <f>G322*H322</f>
        <v/>
      </c>
      <c r="J322" s="13">
        <f>IFERROR(INDEX('06_BANG_GIA_VAT_TU_AP_DUNG'!$E$1:$E$5000, MATCH(E322, '06_BANG_GIA_VAT_TU_AP_DUNG'!$B$1:$B$5000, 0)), 0)</f>
        <v/>
      </c>
      <c r="K322" s="13">
        <f>I322*J322</f>
        <v/>
      </c>
      <c r="L322" t="inlineStr">
        <is>
          <t>Kích thước vỏ 500x350x200mm</t>
        </is>
      </c>
    </row>
    <row r="323">
      <c r="A323" t="inlineStr">
        <is>
          <t>SW-DAMPER-033-BLADE</t>
        </is>
      </c>
      <c r="B323" t="inlineStr">
        <is>
          <t>SW-DAMPER-033</t>
        </is>
      </c>
      <c r="C323" t="inlineStr">
        <is>
          <t>Lá cánh / Tôn tấm bọc van (1 cánh)</t>
        </is>
      </c>
      <c r="D323" t="inlineStr">
        <is>
          <t>TÔN_CUỘN_MẠ_KẼM</t>
        </is>
      </c>
      <c r="E323" t="inlineStr">
        <is>
          <t>MAT-STEEL-PN-1.15</t>
        </is>
      </c>
      <c r="F323" t="inlineStr">
        <is>
          <t>kg</t>
        </is>
      </c>
      <c r="G323" s="17" t="n">
        <v>3.58649512290542</v>
      </c>
      <c r="H323" s="13">
        <f>'00_TONG_HOP_BAO_GIA'!G34</f>
        <v/>
      </c>
      <c r="I323" s="18">
        <f>G323*H323</f>
        <v/>
      </c>
      <c r="J323" s="13">
        <f>IFERROR(INDEX('06_BANG_GIA_VAT_TU_AP_DUNG'!$E$1:$E$5000, MATCH(E323, '06_BANG_GIA_VAT_TU_AP_DUNG'!$B$1:$B$5000, 0)), 0)</f>
        <v/>
      </c>
      <c r="K323" s="13">
        <f>I323*J323</f>
        <v/>
      </c>
      <c r="L323" t="inlineStr">
        <is>
          <t>Tôn bọc cánh &amp; thân (1 cánh/modul)</t>
        </is>
      </c>
    </row>
    <row r="324">
      <c r="A324" t="inlineStr">
        <is>
          <t>SW-DAMPER-033-AXLE</t>
        </is>
      </c>
      <c r="B324" t="inlineStr">
        <is>
          <t>SW-DAMPER-033</t>
        </is>
      </c>
      <c r="C324" t="inlineStr">
        <is>
          <t>Trục Sus 201 D10</t>
        </is>
      </c>
      <c r="D324" t="inlineStr">
        <is>
          <t>PHỤ_KIỆN_VAN</t>
        </is>
      </c>
      <c r="E324" t="inlineStr">
        <is>
          <t>MAT-DAMPER-TRUC-SUS-201-D10</t>
        </is>
      </c>
      <c r="F324" t="inlineStr">
        <is>
          <t>m</t>
        </is>
      </c>
      <c r="G324" s="17" t="n">
        <v>0.6356568481471808</v>
      </c>
      <c r="H324" s="13">
        <f>'00_TONG_HOP_BAO_GIA'!G34</f>
        <v/>
      </c>
      <c r="I324" s="18">
        <f>G324*H324</f>
        <v/>
      </c>
      <c r="J324" s="13">
        <f>IFERROR(INDEX('06_BANG_GIA_VAT_TU_AP_DUNG'!$E$1:$E$5000, MATCH(E324, '06_BANG_GIA_VAT_TU_AP_DUNG'!$B$1:$B$5000, 0)), 0)</f>
        <v/>
      </c>
      <c r="K324" s="13">
        <f>I324*J324</f>
        <v/>
      </c>
      <c r="L324" t="inlineStr">
        <is>
          <t>1 trục dài 560mm</t>
        </is>
      </c>
    </row>
    <row r="325">
      <c r="A325" t="inlineStr">
        <is>
          <t>SW-DAMPER-033-BEARING</t>
        </is>
      </c>
      <c r="B325" t="inlineStr">
        <is>
          <t>SW-DAMPER-033</t>
        </is>
      </c>
      <c r="C325" t="inlineStr">
        <is>
          <t>Bạc đồng D10</t>
        </is>
      </c>
      <c r="D325" t="inlineStr">
        <is>
          <t>PHỤ_KIỆN_VAN</t>
        </is>
      </c>
      <c r="E325" t="inlineStr">
        <is>
          <t>MAT-DAMPER-BAC-DONG-D10</t>
        </is>
      </c>
      <c r="F325" t="inlineStr">
        <is>
          <t>Đôi</t>
        </is>
      </c>
      <c r="G325" s="17" t="n">
        <v>1</v>
      </c>
      <c r="H325" s="13">
        <f>'00_TONG_HOP_BAO_GIA'!G34</f>
        <v/>
      </c>
      <c r="I325" s="18">
        <f>G325*H325</f>
        <v/>
      </c>
      <c r="J325" s="13">
        <f>IFERROR(INDEX('06_BANG_GIA_VAT_TU_AP_DUNG'!$E$1:$E$5000, MATCH(E325, '06_BANG_GIA_VAT_TU_AP_DUNG'!$B$1:$B$5000, 0)), 0)</f>
        <v/>
      </c>
      <c r="K325" s="13">
        <f>I325*J325</f>
        <v/>
      </c>
      <c r="L325" t="inlineStr">
        <is>
          <t>1 đôi bạc đỡ 2 bên thân</t>
        </is>
      </c>
    </row>
    <row r="326">
      <c r="A326" t="inlineStr">
        <is>
          <t>SW-DAMPER-033-FUSE</t>
        </is>
      </c>
      <c r="B326" t="inlineStr">
        <is>
          <t>SW-DAMPER-033</t>
        </is>
      </c>
      <c r="C326" t="inlineStr">
        <is>
          <t>Cầu chì nhiệt nóng chảy 70°C/74°C (Elsie/USA)</t>
        </is>
      </c>
      <c r="D326" t="inlineStr">
        <is>
          <t>PHỤ_KIỆN_VAN</t>
        </is>
      </c>
      <c r="E326" t="inlineStr">
        <is>
          <t>MAT-DAMPER-CAU-CHI-USA-2-400X400</t>
        </is>
      </c>
      <c r="F326" t="inlineStr">
        <is>
          <t>Cái</t>
        </is>
      </c>
      <c r="G326" s="17" t="n">
        <v>1</v>
      </c>
      <c r="H326" s="13">
        <f>'00_TONG_HOP_BAO_GIA'!G34</f>
        <v/>
      </c>
      <c r="I326" s="18">
        <f>G326*H326</f>
        <v/>
      </c>
      <c r="J326" s="13">
        <f>IFERROR(INDEX('06_BANG_GIA_VAT_TU_AP_DUNG'!$E$1:$E$5000, MATCH(E326, '06_BANG_GIA_VAT_TU_AP_DUNG'!$B$1:$B$5000, 0)), 0)</f>
        <v/>
      </c>
      <c r="K326" s="13">
        <f>I326*J326</f>
        <v/>
      </c>
      <c r="L326" t="inlineStr">
        <is>
          <t>Cầu chì kiểm định PCCC (1 cái)</t>
        </is>
      </c>
    </row>
    <row r="327">
      <c r="A327" t="inlineStr">
        <is>
          <t>SW-DAMPER-033-FB10-BODY</t>
        </is>
      </c>
      <c r="B327" t="inlineStr">
        <is>
          <t>SW-DAMPER-033</t>
        </is>
      </c>
      <c r="C327" t="inlineStr">
        <is>
          <t>Tấm chống cháy dày 10mm bọc thân van FD/MFD (2 lớp)</t>
        </is>
      </c>
      <c r="D327" t="inlineStr">
        <is>
          <t>VẬT_LIỆU_CÁCH_NHIỆT</t>
        </is>
      </c>
      <c r="E327" t="inlineStr">
        <is>
          <t>MAT-FIREBOARD-10MM-BODY</t>
        </is>
      </c>
      <c r="F327" t="inlineStr">
        <is>
          <t>m2</t>
        </is>
      </c>
      <c r="G327" s="17" t="n">
        <v>1.157803544839508</v>
      </c>
      <c r="H327" s="13">
        <f>'00_TONG_HOP_BAO_GIA'!G34</f>
        <v/>
      </c>
      <c r="I327" s="18">
        <f>G327*H327</f>
        <v/>
      </c>
      <c r="J327" s="13">
        <f>IFERROR(INDEX('06_BANG_GIA_VAT_TU_AP_DUNG'!$E$1:$E$5000, MATCH(E327, '06_BANG_GIA_VAT_TU_AP_DUNG'!$B$1:$B$5000, 0)), 0)</f>
        <v/>
      </c>
      <c r="K327" s="13">
        <f>I327*J327</f>
        <v/>
      </c>
      <c r="L327" t="inlineStr">
        <is>
          <t>Bọc 2 lớp tấm 10mm quanh thân L=300mm</t>
        </is>
      </c>
    </row>
    <row r="328">
      <c r="A328" t="inlineStr">
        <is>
          <t>SW-DAMPER-033-FB20-BLADE</t>
        </is>
      </c>
      <c r="B328" t="inlineStr">
        <is>
          <t>SW-DAMPER-033</t>
        </is>
      </c>
      <c r="C328" t="inlineStr">
        <is>
          <t>Tấm chống cháy dày 20mm làm lõi cánh van FD/MFD</t>
        </is>
      </c>
      <c r="D328" t="inlineStr">
        <is>
          <t>VẬT_LIỆU_CÁCH_NHIỆT</t>
        </is>
      </c>
      <c r="E328" t="inlineStr">
        <is>
          <t>MAT-FIREBOARD-20MM-BLADE</t>
        </is>
      </c>
      <c r="F328" t="inlineStr">
        <is>
          <t>m2</t>
        </is>
      </c>
      <c r="G328" s="17" t="n">
        <v>0.198642765045994</v>
      </c>
      <c r="H328" s="13">
        <f>'00_TONG_HOP_BAO_GIA'!G34</f>
        <v/>
      </c>
      <c r="I328" s="18">
        <f>G328*H328</f>
        <v/>
      </c>
      <c r="J328" s="13">
        <f>IFERROR(INDEX('06_BANG_GIA_VAT_TU_AP_DUNG'!$E$1:$E$5000, MATCH(E328, '06_BANG_GIA_VAT_TU_AP_DUNG'!$B$1:$B$5000, 0)), 0)</f>
        <v/>
      </c>
      <c r="K328" s="13">
        <f>I328*J328</f>
        <v/>
      </c>
      <c r="L328" t="inlineStr">
        <is>
          <t>Lõi cánh tấm 20mm (Cánh đơn 500x350mm)</t>
        </is>
      </c>
    </row>
    <row r="329">
      <c r="A329" t="inlineStr">
        <is>
          <t>SW-DAMPER-033-FB10-BLADE</t>
        </is>
      </c>
      <c r="B329" t="inlineStr">
        <is>
          <t>SW-DAMPER-033</t>
        </is>
      </c>
      <c r="C329" t="inlineStr">
        <is>
          <t>Tấm chống cháy dày 10mm ốp 2 mặt cánh van FD/MFD</t>
        </is>
      </c>
      <c r="D329" t="inlineStr">
        <is>
          <t>VẬT_LIỆU_CÁCH_NHIỆT</t>
        </is>
      </c>
      <c r="E329" t="inlineStr">
        <is>
          <t>MAT-FIREBOARD-10MM-BLADE</t>
        </is>
      </c>
      <c r="F329" t="inlineStr">
        <is>
          <t>m2</t>
        </is>
      </c>
      <c r="G329" s="17" t="n">
        <v>0.3972855300919879</v>
      </c>
      <c r="H329" s="13">
        <f>'00_TONG_HOP_BAO_GIA'!G34</f>
        <v/>
      </c>
      <c r="I329" s="18">
        <f>G329*H329</f>
        <v/>
      </c>
      <c r="J329" s="13">
        <f>IFERROR(INDEX('06_BANG_GIA_VAT_TU_AP_DUNG'!$E$1:$E$5000, MATCH(E329, '06_BANG_GIA_VAT_TU_AP_DUNG'!$B$1:$B$5000, 0)), 0)</f>
        <v/>
      </c>
      <c r="K329" s="13">
        <f>I329*J329</f>
        <v/>
      </c>
      <c r="L329" t="inlineStr">
        <is>
          <t>Ốp 2 mặt cánh tấm 10mm (Cánh đơn 500x350mm)</t>
        </is>
      </c>
    </row>
    <row r="330">
      <c r="A330" t="inlineStr">
        <is>
          <t>SW-DAMPER-033-SPRING-BOX</t>
        </is>
      </c>
      <c r="B330" t="inlineStr">
        <is>
          <t>SW-DAMPER-033</t>
        </is>
      </c>
      <c r="C330" t="inlineStr">
        <is>
          <t>Hộp lò xo van chặn lửa FD/MFD</t>
        </is>
      </c>
      <c r="D330" t="inlineStr">
        <is>
          <t>PHỤ_KIỆN_VAN</t>
        </is>
      </c>
      <c r="E330" t="inlineStr">
        <is>
          <t>MAT-DAMPER-HOP-LO-XO</t>
        </is>
      </c>
      <c r="F330" t="inlineStr">
        <is>
          <t>Bộ</t>
        </is>
      </c>
      <c r="G330" s="17" t="n">
        <v>1</v>
      </c>
      <c r="H330" s="13">
        <f>'00_TONG_HOP_BAO_GIA'!G34</f>
        <v/>
      </c>
      <c r="I330" s="18">
        <f>G330*H330</f>
        <v/>
      </c>
      <c r="J330" s="13">
        <f>IFERROR(INDEX('06_BANG_GIA_VAT_TU_AP_DUNG'!$E$1:$E$5000, MATCH(E330, '06_BANG_GIA_VAT_TU_AP_DUNG'!$B$1:$B$5000, 0)), 0)</f>
        <v/>
      </c>
      <c r="K330" s="13">
        <f>I330*J330</f>
        <v/>
      </c>
      <c r="L330" t="inlineStr">
        <is>
          <t>Hộp lò xo cơ cấu đóng sập (1 bộ)</t>
        </is>
      </c>
    </row>
    <row r="331">
      <c r="A331" t="inlineStr">
        <is>
          <t>SW-DAMPER-033-SILICON-BOLT</t>
        </is>
      </c>
      <c r="B331" t="inlineStr">
        <is>
          <t>SW-DAMPER-033</t>
        </is>
      </c>
      <c r="C331" t="inlineStr">
        <is>
          <t>Silicon chống cháy + bu lông, ốc vít van FD/MFD</t>
        </is>
      </c>
      <c r="D331" t="inlineStr">
        <is>
          <t>PHỤ_KIỆN_VAN</t>
        </is>
      </c>
      <c r="E331" t="inlineStr">
        <is>
          <t>MAT-DAMPER-SILICON-BULONG-VIT</t>
        </is>
      </c>
      <c r="F331" t="inlineStr">
        <is>
          <t>Bộ</t>
        </is>
      </c>
      <c r="G331" s="17" t="n">
        <v>1</v>
      </c>
      <c r="H331" s="13">
        <f>'00_TONG_HOP_BAO_GIA'!G34</f>
        <v/>
      </c>
      <c r="I331" s="18">
        <f>G331*H331</f>
        <v/>
      </c>
      <c r="J331" s="13">
        <f>IFERROR(INDEX('06_BANG_GIA_VAT_TU_AP_DUNG'!$E$1:$E$5000, MATCH(E331, '06_BANG_GIA_VAT_TU_AP_DUNG'!$B$1:$B$5000, 0)), 0)</f>
        <v/>
      </c>
      <c r="K331" s="13">
        <f>I331*J331</f>
        <v/>
      </c>
      <c r="L331" t="inlineStr">
        <is>
          <t>Keo silicon chống cháy &amp; phụ kiện lắp ghép (1 bộ)</t>
        </is>
      </c>
    </row>
    <row r="332">
      <c r="A332" t="inlineStr">
        <is>
          <t>SW-DAMPER-034-BODY</t>
        </is>
      </c>
      <c r="B332" t="inlineStr">
        <is>
          <t>SW-DAMPER-034</t>
        </is>
      </c>
      <c r="C332" t="inlineStr">
        <is>
          <t>Thân vỏ van FD bích C30/TDF (1.15mm)</t>
        </is>
      </c>
      <c r="D332" t="inlineStr">
        <is>
          <t>TÔN_CUỘN_MẠ_KẼM</t>
        </is>
      </c>
      <c r="E332" t="inlineStr">
        <is>
          <t>MAT-STEEL-PN-1.15</t>
        </is>
      </c>
      <c r="F332" t="inlineStr">
        <is>
          <t>kg</t>
        </is>
      </c>
      <c r="G332" s="17" t="n">
        <v>4.138442867616962</v>
      </c>
      <c r="H332" s="13">
        <f>'00_TONG_HOP_BAO_GIA'!G35</f>
        <v/>
      </c>
      <c r="I332" s="18">
        <f>G332*H332</f>
        <v/>
      </c>
      <c r="J332" s="13">
        <f>IFERROR(INDEX('06_BANG_GIA_VAT_TU_AP_DUNG'!$E$1:$E$5000, MATCH(E332, '06_BANG_GIA_VAT_TU_AP_DUNG'!$B$1:$B$5000, 0)), 0)</f>
        <v/>
      </c>
      <c r="K332" s="13">
        <f>I332*J332</f>
        <v/>
      </c>
      <c r="L332" t="inlineStr">
        <is>
          <t>Kích thước vỏ 400x300x200mm</t>
        </is>
      </c>
    </row>
    <row r="333">
      <c r="A333" t="inlineStr">
        <is>
          <t>SW-DAMPER-034-BLADE</t>
        </is>
      </c>
      <c r="B333" t="inlineStr">
        <is>
          <t>SW-DAMPER-034</t>
        </is>
      </c>
      <c r="C333" t="inlineStr">
        <is>
          <t>Lá cánh / Tôn tấm bọc van (1 cánh)</t>
        </is>
      </c>
      <c r="D333" t="inlineStr">
        <is>
          <t>TÔN_CUỘN_MẠ_KẼM</t>
        </is>
      </c>
      <c r="E333" t="inlineStr">
        <is>
          <t>MAT-STEEL-PN-1.15</t>
        </is>
      </c>
      <c r="F333" t="inlineStr">
        <is>
          <t>kg</t>
        </is>
      </c>
      <c r="G333" s="17" t="n">
        <v>2.432947012120494</v>
      </c>
      <c r="H333" s="13">
        <f>'00_TONG_HOP_BAO_GIA'!G35</f>
        <v/>
      </c>
      <c r="I333" s="18">
        <f>G333*H333</f>
        <v/>
      </c>
      <c r="J333" s="13">
        <f>IFERROR(INDEX('06_BANG_GIA_VAT_TU_AP_DUNG'!$E$1:$E$5000, MATCH(E333, '06_BANG_GIA_VAT_TU_AP_DUNG'!$B$1:$B$5000, 0)), 0)</f>
        <v/>
      </c>
      <c r="K333" s="13">
        <f>I333*J333</f>
        <v/>
      </c>
      <c r="L333" t="inlineStr">
        <is>
          <t>Tôn bọc cánh &amp; thân (1 cánh/modul)</t>
        </is>
      </c>
    </row>
    <row r="334">
      <c r="A334" t="inlineStr">
        <is>
          <t>SW-DAMPER-034-AXLE</t>
        </is>
      </c>
      <c r="B334" t="inlineStr">
        <is>
          <t>SW-DAMPER-034</t>
        </is>
      </c>
      <c r="C334" t="inlineStr">
        <is>
          <t>Trục Sus 201 D10</t>
        </is>
      </c>
      <c r="D334" t="inlineStr">
        <is>
          <t>PHỤ_KIỆN_VAN</t>
        </is>
      </c>
      <c r="E334" t="inlineStr">
        <is>
          <t>MAT-DAMPER-TRUC-SUS-201-D10</t>
        </is>
      </c>
      <c r="F334" t="inlineStr">
        <is>
          <t>m</t>
        </is>
      </c>
      <c r="G334" s="17" t="n">
        <v>0.5165492594735659</v>
      </c>
      <c r="H334" s="13">
        <f>'00_TONG_HOP_BAO_GIA'!G35</f>
        <v/>
      </c>
      <c r="I334" s="18">
        <f>G334*H334</f>
        <v/>
      </c>
      <c r="J334" s="13">
        <f>IFERROR(INDEX('06_BANG_GIA_VAT_TU_AP_DUNG'!$E$1:$E$5000, MATCH(E334, '06_BANG_GIA_VAT_TU_AP_DUNG'!$B$1:$B$5000, 0)), 0)</f>
        <v/>
      </c>
      <c r="K334" s="13">
        <f>I334*J334</f>
        <v/>
      </c>
      <c r="L334" t="inlineStr">
        <is>
          <t>1 trục dài 460mm</t>
        </is>
      </c>
    </row>
    <row r="335">
      <c r="A335" t="inlineStr">
        <is>
          <t>SW-DAMPER-034-BEARING</t>
        </is>
      </c>
      <c r="B335" t="inlineStr">
        <is>
          <t>SW-DAMPER-034</t>
        </is>
      </c>
      <c r="C335" t="inlineStr">
        <is>
          <t>Bạc đồng D10</t>
        </is>
      </c>
      <c r="D335" t="inlineStr">
        <is>
          <t>PHỤ_KIỆN_VAN</t>
        </is>
      </c>
      <c r="E335" t="inlineStr">
        <is>
          <t>MAT-DAMPER-BAC-DONG-D10</t>
        </is>
      </c>
      <c r="F335" t="inlineStr">
        <is>
          <t>Đôi</t>
        </is>
      </c>
      <c r="G335" s="17" t="n">
        <v>1</v>
      </c>
      <c r="H335" s="13">
        <f>'00_TONG_HOP_BAO_GIA'!G35</f>
        <v/>
      </c>
      <c r="I335" s="18">
        <f>G335*H335</f>
        <v/>
      </c>
      <c r="J335" s="13">
        <f>IFERROR(INDEX('06_BANG_GIA_VAT_TU_AP_DUNG'!$E$1:$E$5000, MATCH(E335, '06_BANG_GIA_VAT_TU_AP_DUNG'!$B$1:$B$5000, 0)), 0)</f>
        <v/>
      </c>
      <c r="K335" s="13">
        <f>I335*J335</f>
        <v/>
      </c>
      <c r="L335" t="inlineStr">
        <is>
          <t>1 đôi bạc đỡ 2 bên thân</t>
        </is>
      </c>
    </row>
    <row r="336">
      <c r="A336" t="inlineStr">
        <is>
          <t>SW-DAMPER-034-FUSE</t>
        </is>
      </c>
      <c r="B336" t="inlineStr">
        <is>
          <t>SW-DAMPER-034</t>
        </is>
      </c>
      <c r="C336" t="inlineStr">
        <is>
          <t>Cầu chì nhiệt nóng chảy 70°C/74°C (Elsie/USA)</t>
        </is>
      </c>
      <c r="D336" t="inlineStr">
        <is>
          <t>PHỤ_KIỆN_VAN</t>
        </is>
      </c>
      <c r="E336" t="inlineStr">
        <is>
          <t>MAT-DAMPER-CAU-CHI-USA-2-400X400</t>
        </is>
      </c>
      <c r="F336" t="inlineStr">
        <is>
          <t>Cái</t>
        </is>
      </c>
      <c r="G336" s="17" t="n">
        <v>1</v>
      </c>
      <c r="H336" s="13">
        <f>'00_TONG_HOP_BAO_GIA'!G35</f>
        <v/>
      </c>
      <c r="I336" s="18">
        <f>G336*H336</f>
        <v/>
      </c>
      <c r="J336" s="13">
        <f>IFERROR(INDEX('06_BANG_GIA_VAT_TU_AP_DUNG'!$E$1:$E$5000, MATCH(E336, '06_BANG_GIA_VAT_TU_AP_DUNG'!$B$1:$B$5000, 0)), 0)</f>
        <v/>
      </c>
      <c r="K336" s="13">
        <f>I336*J336</f>
        <v/>
      </c>
      <c r="L336" t="inlineStr">
        <is>
          <t>Cầu chì kiểm định PCCC (1 cái)</t>
        </is>
      </c>
    </row>
    <row r="337">
      <c r="A337" t="inlineStr">
        <is>
          <t>SW-DAMPER-034-FB10-BODY</t>
        </is>
      </c>
      <c r="B337" t="inlineStr">
        <is>
          <t>SW-DAMPER-034</t>
        </is>
      </c>
      <c r="C337" t="inlineStr">
        <is>
          <t>Tấm chống cháy dày 10mm bọc thân van FD/MFD (2 lớp)</t>
        </is>
      </c>
      <c r="D337" t="inlineStr">
        <is>
          <t>VẬT_LIỆU_CÁCH_NHIỆT</t>
        </is>
      </c>
      <c r="E337" t="inlineStr">
        <is>
          <t>MAT-FIREBOARD-10MM-BODY</t>
        </is>
      </c>
      <c r="F337" t="inlineStr">
        <is>
          <t>m2</t>
        </is>
      </c>
      <c r="G337" s="17" t="n">
        <v>0.9432638651256419</v>
      </c>
      <c r="H337" s="13">
        <f>'00_TONG_HOP_BAO_GIA'!G35</f>
        <v/>
      </c>
      <c r="I337" s="18">
        <f>G337*H337</f>
        <v/>
      </c>
      <c r="J337" s="13">
        <f>IFERROR(INDEX('06_BANG_GIA_VAT_TU_AP_DUNG'!$E$1:$E$5000, MATCH(E337, '06_BANG_GIA_VAT_TU_AP_DUNG'!$B$1:$B$5000, 0)), 0)</f>
        <v/>
      </c>
      <c r="K337" s="13">
        <f>I337*J337</f>
        <v/>
      </c>
      <c r="L337" t="inlineStr">
        <is>
          <t>Bọc 2 lớp tấm 10mm quanh thân L=300mm</t>
        </is>
      </c>
    </row>
    <row r="338">
      <c r="A338" t="inlineStr">
        <is>
          <t>SW-DAMPER-034-FB20-BLADE</t>
        </is>
      </c>
      <c r="B338" t="inlineStr">
        <is>
          <t>SW-DAMPER-034</t>
        </is>
      </c>
      <c r="C338" t="inlineStr">
        <is>
          <t>Tấm chống cháy dày 20mm làm lõi cánh van FD/MFD</t>
        </is>
      </c>
      <c r="D338" t="inlineStr">
        <is>
          <t>VẬT_LIỆU_CÁCH_NHIỆT</t>
        </is>
      </c>
      <c r="E338" t="inlineStr">
        <is>
          <t>MAT-FIREBOARD-20MM-BLADE</t>
        </is>
      </c>
      <c r="F338" t="inlineStr">
        <is>
          <t>m2</t>
        </is>
      </c>
      <c r="G338" s="17" t="n">
        <v>0.1347519807322346</v>
      </c>
      <c r="H338" s="13">
        <f>'00_TONG_HOP_BAO_GIA'!G35</f>
        <v/>
      </c>
      <c r="I338" s="18">
        <f>G338*H338</f>
        <v/>
      </c>
      <c r="J338" s="13">
        <f>IFERROR(INDEX('06_BANG_GIA_VAT_TU_AP_DUNG'!$E$1:$E$5000, MATCH(E338, '06_BANG_GIA_VAT_TU_AP_DUNG'!$B$1:$B$5000, 0)), 0)</f>
        <v/>
      </c>
      <c r="K338" s="13">
        <f>I338*J338</f>
        <v/>
      </c>
      <c r="L338" t="inlineStr">
        <is>
          <t>Lõi cánh tấm 20mm (Cánh đơn 400x300mm)</t>
        </is>
      </c>
    </row>
    <row r="339">
      <c r="A339" t="inlineStr">
        <is>
          <t>SW-DAMPER-034-FB10-BLADE</t>
        </is>
      </c>
      <c r="B339" t="inlineStr">
        <is>
          <t>SW-DAMPER-034</t>
        </is>
      </c>
      <c r="C339" t="inlineStr">
        <is>
          <t>Tấm chống cháy dày 10mm ốp 2 mặt cánh van FD/MFD</t>
        </is>
      </c>
      <c r="D339" t="inlineStr">
        <is>
          <t>VẬT_LIỆU_CÁCH_NHIỆT</t>
        </is>
      </c>
      <c r="E339" t="inlineStr">
        <is>
          <t>MAT-FIREBOARD-10MM-BLADE</t>
        </is>
      </c>
      <c r="F339" t="inlineStr">
        <is>
          <t>m2</t>
        </is>
      </c>
      <c r="G339" s="17" t="n">
        <v>0.2695039614644691</v>
      </c>
      <c r="H339" s="13">
        <f>'00_TONG_HOP_BAO_GIA'!G35</f>
        <v/>
      </c>
      <c r="I339" s="18">
        <f>G339*H339</f>
        <v/>
      </c>
      <c r="J339" s="13">
        <f>IFERROR(INDEX('06_BANG_GIA_VAT_TU_AP_DUNG'!$E$1:$E$5000, MATCH(E339, '06_BANG_GIA_VAT_TU_AP_DUNG'!$B$1:$B$5000, 0)), 0)</f>
        <v/>
      </c>
      <c r="K339" s="13">
        <f>I339*J339</f>
        <v/>
      </c>
      <c r="L339" t="inlineStr">
        <is>
          <t>Ốp 2 mặt cánh tấm 10mm (Cánh đơn 400x300mm)</t>
        </is>
      </c>
    </row>
    <row r="340">
      <c r="A340" t="inlineStr">
        <is>
          <t>SW-DAMPER-034-SPRING-BOX</t>
        </is>
      </c>
      <c r="B340" t="inlineStr">
        <is>
          <t>SW-DAMPER-034</t>
        </is>
      </c>
      <c r="C340" t="inlineStr">
        <is>
          <t>Hộp lò xo van chặn lửa FD/MFD</t>
        </is>
      </c>
      <c r="D340" t="inlineStr">
        <is>
          <t>PHỤ_KIỆN_VAN</t>
        </is>
      </c>
      <c r="E340" t="inlineStr">
        <is>
          <t>MAT-DAMPER-HOP-LO-XO</t>
        </is>
      </c>
      <c r="F340" t="inlineStr">
        <is>
          <t>Bộ</t>
        </is>
      </c>
      <c r="G340" s="17" t="n">
        <v>1</v>
      </c>
      <c r="H340" s="13">
        <f>'00_TONG_HOP_BAO_GIA'!G35</f>
        <v/>
      </c>
      <c r="I340" s="18">
        <f>G340*H340</f>
        <v/>
      </c>
      <c r="J340" s="13">
        <f>IFERROR(INDEX('06_BANG_GIA_VAT_TU_AP_DUNG'!$E$1:$E$5000, MATCH(E340, '06_BANG_GIA_VAT_TU_AP_DUNG'!$B$1:$B$5000, 0)), 0)</f>
        <v/>
      </c>
      <c r="K340" s="13">
        <f>I340*J340</f>
        <v/>
      </c>
      <c r="L340" t="inlineStr">
        <is>
          <t>Hộp lò xo cơ cấu đóng sập (1 bộ)</t>
        </is>
      </c>
    </row>
    <row r="341">
      <c r="A341" t="inlineStr">
        <is>
          <t>SW-DAMPER-034-SILICON-BOLT</t>
        </is>
      </c>
      <c r="B341" t="inlineStr">
        <is>
          <t>SW-DAMPER-034</t>
        </is>
      </c>
      <c r="C341" t="inlineStr">
        <is>
          <t>Silicon chống cháy + bu lông, ốc vít van FD/MFD</t>
        </is>
      </c>
      <c r="D341" t="inlineStr">
        <is>
          <t>PHỤ_KIỆN_VAN</t>
        </is>
      </c>
      <c r="E341" t="inlineStr">
        <is>
          <t>MAT-DAMPER-SILICON-BULONG-VIT</t>
        </is>
      </c>
      <c r="F341" t="inlineStr">
        <is>
          <t>Bộ</t>
        </is>
      </c>
      <c r="G341" s="17" t="n">
        <v>1</v>
      </c>
      <c r="H341" s="13">
        <f>'00_TONG_HOP_BAO_GIA'!G35</f>
        <v/>
      </c>
      <c r="I341" s="18">
        <f>G341*H341</f>
        <v/>
      </c>
      <c r="J341" s="13">
        <f>IFERROR(INDEX('06_BANG_GIA_VAT_TU_AP_DUNG'!$E$1:$E$5000, MATCH(E341, '06_BANG_GIA_VAT_TU_AP_DUNG'!$B$1:$B$5000, 0)), 0)</f>
        <v/>
      </c>
      <c r="K341" s="13">
        <f>I341*J341</f>
        <v/>
      </c>
      <c r="L341" t="inlineStr">
        <is>
          <t>Keo silicon chống cháy &amp; phụ kiện lắp ghép (1 bộ)</t>
        </is>
      </c>
    </row>
    <row r="342">
      <c r="A342" t="inlineStr">
        <is>
          <t>SW-DAMPER-035-BODY</t>
        </is>
      </c>
      <c r="B342" t="inlineStr">
        <is>
          <t>SW-DAMPER-035</t>
        </is>
      </c>
      <c r="C342" t="inlineStr">
        <is>
          <t>Thân vỏ van FD bích C30/TDF (1.15mm)</t>
        </is>
      </c>
      <c r="D342" t="inlineStr">
        <is>
          <t>TÔN_CUỘN_MẠ_KẼM</t>
        </is>
      </c>
      <c r="E342" t="inlineStr">
        <is>
          <t>MAT-STEEL-PN-1.15</t>
        </is>
      </c>
      <c r="F342" t="inlineStr">
        <is>
          <t>kg</t>
        </is>
      </c>
      <c r="G342" s="17" t="n">
        <v>2.713658716213134</v>
      </c>
      <c r="H342" s="13">
        <f>'00_TONG_HOP_BAO_GIA'!G36</f>
        <v/>
      </c>
      <c r="I342" s="18">
        <f>G342*H342</f>
        <v/>
      </c>
      <c r="J342" s="13">
        <f>IFERROR(INDEX('06_BANG_GIA_VAT_TU_AP_DUNG'!$E$1:$E$5000, MATCH(E342, '06_BANG_GIA_VAT_TU_AP_DUNG'!$B$1:$B$5000, 0)), 0)</f>
        <v/>
      </c>
      <c r="K342" s="13">
        <f>I342*J342</f>
        <v/>
      </c>
      <c r="L342" t="inlineStr">
        <is>
          <t>Kích thước vỏ 300x150x200mm</t>
        </is>
      </c>
    </row>
    <row r="343">
      <c r="A343" t="inlineStr">
        <is>
          <t>SW-DAMPER-035-BLADE</t>
        </is>
      </c>
      <c r="B343" t="inlineStr">
        <is>
          <t>SW-DAMPER-035</t>
        </is>
      </c>
      <c r="C343" t="inlineStr">
        <is>
          <t>Lá cánh / Tôn tấm bọc van (1 cánh)</t>
        </is>
      </c>
      <c r="D343" t="inlineStr">
        <is>
          <t>TÔN_CUỘN_MẠ_KẼM</t>
        </is>
      </c>
      <c r="E343" t="inlineStr">
        <is>
          <t>MAT-STEEL-PN-1.15</t>
        </is>
      </c>
      <c r="F343" t="inlineStr">
        <is>
          <t>kg</t>
        </is>
      </c>
      <c r="G343" s="17" t="n">
        <v>0.9164669760935944</v>
      </c>
      <c r="H343" s="13">
        <f>'00_TONG_HOP_BAO_GIA'!G36</f>
        <v/>
      </c>
      <c r="I343" s="18">
        <f>G343*H343</f>
        <v/>
      </c>
      <c r="J343" s="13">
        <f>IFERROR(INDEX('06_BANG_GIA_VAT_TU_AP_DUNG'!$E$1:$E$5000, MATCH(E343, '06_BANG_GIA_VAT_TU_AP_DUNG'!$B$1:$B$5000, 0)), 0)</f>
        <v/>
      </c>
      <c r="K343" s="13">
        <f>I343*J343</f>
        <v/>
      </c>
      <c r="L343" t="inlineStr">
        <is>
          <t>Tôn bọc cánh &amp; thân (1 cánh/modul)</t>
        </is>
      </c>
    </row>
    <row r="344">
      <c r="A344" t="inlineStr">
        <is>
          <t>SW-DAMPER-035-AXLE</t>
        </is>
      </c>
      <c r="B344" t="inlineStr">
        <is>
          <t>SW-DAMPER-035</t>
        </is>
      </c>
      <c r="C344" t="inlineStr">
        <is>
          <t>Trục Sus 201 D10</t>
        </is>
      </c>
      <c r="D344" t="inlineStr">
        <is>
          <t>PHỤ_KIỆN_VAN</t>
        </is>
      </c>
      <c r="E344" t="inlineStr">
        <is>
          <t>MAT-DAMPER-TRUC-SUS-201-D10</t>
        </is>
      </c>
      <c r="F344" t="inlineStr">
        <is>
          <t>m</t>
        </is>
      </c>
      <c r="G344" s="17" t="n">
        <v>0.4060778625726256</v>
      </c>
      <c r="H344" s="13">
        <f>'00_TONG_HOP_BAO_GIA'!G36</f>
        <v/>
      </c>
      <c r="I344" s="18">
        <f>G344*H344</f>
        <v/>
      </c>
      <c r="J344" s="13">
        <f>IFERROR(INDEX('06_BANG_GIA_VAT_TU_AP_DUNG'!$E$1:$E$5000, MATCH(E344, '06_BANG_GIA_VAT_TU_AP_DUNG'!$B$1:$B$5000, 0)), 0)</f>
        <v/>
      </c>
      <c r="K344" s="13">
        <f>I344*J344</f>
        <v/>
      </c>
      <c r="L344" t="inlineStr">
        <is>
          <t>1 trục dài 360mm</t>
        </is>
      </c>
    </row>
    <row r="345">
      <c r="A345" t="inlineStr">
        <is>
          <t>SW-DAMPER-035-BEARING</t>
        </is>
      </c>
      <c r="B345" t="inlineStr">
        <is>
          <t>SW-DAMPER-035</t>
        </is>
      </c>
      <c r="C345" t="inlineStr">
        <is>
          <t>Bạc đồng D10</t>
        </is>
      </c>
      <c r="D345" t="inlineStr">
        <is>
          <t>PHỤ_KIỆN_VAN</t>
        </is>
      </c>
      <c r="E345" t="inlineStr">
        <is>
          <t>MAT-DAMPER-BAC-DONG-D10</t>
        </is>
      </c>
      <c r="F345" t="inlineStr">
        <is>
          <t>Đôi</t>
        </is>
      </c>
      <c r="G345" s="17" t="n">
        <v>1</v>
      </c>
      <c r="H345" s="13">
        <f>'00_TONG_HOP_BAO_GIA'!G36</f>
        <v/>
      </c>
      <c r="I345" s="18">
        <f>G345*H345</f>
        <v/>
      </c>
      <c r="J345" s="13">
        <f>IFERROR(INDEX('06_BANG_GIA_VAT_TU_AP_DUNG'!$E$1:$E$5000, MATCH(E345, '06_BANG_GIA_VAT_TU_AP_DUNG'!$B$1:$B$5000, 0)), 0)</f>
        <v/>
      </c>
      <c r="K345" s="13">
        <f>I345*J345</f>
        <v/>
      </c>
      <c r="L345" t="inlineStr">
        <is>
          <t>1 đôi bạc đỡ 2 bên thân</t>
        </is>
      </c>
    </row>
    <row r="346">
      <c r="A346" t="inlineStr">
        <is>
          <t>SW-DAMPER-035-FUSE</t>
        </is>
      </c>
      <c r="B346" t="inlineStr">
        <is>
          <t>SW-DAMPER-035</t>
        </is>
      </c>
      <c r="C346" t="inlineStr">
        <is>
          <t>Cầu chì nhiệt nóng chảy 70°C/74°C (Elsie/USA)</t>
        </is>
      </c>
      <c r="D346" t="inlineStr">
        <is>
          <t>PHỤ_KIỆN_VAN</t>
        </is>
      </c>
      <c r="E346" t="inlineStr">
        <is>
          <t>MAT-DAMPER-CAU-CHI-USA-1-400X400</t>
        </is>
      </c>
      <c r="F346" t="inlineStr">
        <is>
          <t>Cái</t>
        </is>
      </c>
      <c r="G346" s="17" t="n">
        <v>1</v>
      </c>
      <c r="H346" s="13">
        <f>'00_TONG_HOP_BAO_GIA'!G36</f>
        <v/>
      </c>
      <c r="I346" s="18">
        <f>G346*H346</f>
        <v/>
      </c>
      <c r="J346" s="13">
        <f>IFERROR(INDEX('06_BANG_GIA_VAT_TU_AP_DUNG'!$E$1:$E$5000, MATCH(E346, '06_BANG_GIA_VAT_TU_AP_DUNG'!$B$1:$B$5000, 0)), 0)</f>
        <v/>
      </c>
      <c r="K346" s="13">
        <f>I346*J346</f>
        <v/>
      </c>
      <c r="L346" t="inlineStr">
        <is>
          <t>Cầu chì kiểm định PCCC (1 cái)</t>
        </is>
      </c>
    </row>
    <row r="347">
      <c r="A347" t="inlineStr">
        <is>
          <t>SW-DAMPER-035-FB10-BODY</t>
        </is>
      </c>
      <c r="B347" t="inlineStr">
        <is>
          <t>SW-DAMPER-035</t>
        </is>
      </c>
      <c r="C347" t="inlineStr">
        <is>
          <t>Tấm chống cháy dày 10mm bọc thân van FD/MFD (2 lớp)</t>
        </is>
      </c>
      <c r="D347" t="inlineStr">
        <is>
          <t>VẬT_LIỆU_CÁCH_NHIỆT</t>
        </is>
      </c>
      <c r="E347" t="inlineStr">
        <is>
          <t>MAT-FIREBOARD-10MM-BODY</t>
        </is>
      </c>
      <c r="F347" t="inlineStr">
        <is>
          <t>m2</t>
        </is>
      </c>
      <c r="G347" s="17" t="n">
        <v>0.6091167938589386</v>
      </c>
      <c r="H347" s="13">
        <f>'00_TONG_HOP_BAO_GIA'!G36</f>
        <v/>
      </c>
      <c r="I347" s="18">
        <f>G347*H347</f>
        <v/>
      </c>
      <c r="J347" s="13">
        <f>IFERROR(INDEX('06_BANG_GIA_VAT_TU_AP_DUNG'!$E$1:$E$5000, MATCH(E347, '06_BANG_GIA_VAT_TU_AP_DUNG'!$B$1:$B$5000, 0)), 0)</f>
        <v/>
      </c>
      <c r="K347" s="13">
        <f>I347*J347</f>
        <v/>
      </c>
      <c r="L347" t="inlineStr">
        <is>
          <t>Bọc 2 lớp tấm 10mm quanh thân L=300mm</t>
        </is>
      </c>
    </row>
    <row r="348">
      <c r="A348" t="inlineStr">
        <is>
          <t>SW-DAMPER-035-FB20-BLADE</t>
        </is>
      </c>
      <c r="B348" t="inlineStr">
        <is>
          <t>SW-DAMPER-035</t>
        </is>
      </c>
      <c r="C348" t="inlineStr">
        <is>
          <t>Tấm chống cháy dày 20mm làm lõi cánh van FD/MFD</t>
        </is>
      </c>
      <c r="D348" t="inlineStr">
        <is>
          <t>VẬT_LIỆU_CÁCH_NHIỆT</t>
        </is>
      </c>
      <c r="E348" t="inlineStr">
        <is>
          <t>MAT-FIREBOARD-20MM-BLADE</t>
        </is>
      </c>
      <c r="F348" t="inlineStr">
        <is>
          <t>m2</t>
        </is>
      </c>
      <c r="G348" s="17" t="n">
        <v>0.0507597328215782</v>
      </c>
      <c r="H348" s="13">
        <f>'00_TONG_HOP_BAO_GIA'!G36</f>
        <v/>
      </c>
      <c r="I348" s="18">
        <f>G348*H348</f>
        <v/>
      </c>
      <c r="J348" s="13">
        <f>IFERROR(INDEX('06_BANG_GIA_VAT_TU_AP_DUNG'!$E$1:$E$5000, MATCH(E348, '06_BANG_GIA_VAT_TU_AP_DUNG'!$B$1:$B$5000, 0)), 0)</f>
        <v/>
      </c>
      <c r="K348" s="13">
        <f>I348*J348</f>
        <v/>
      </c>
      <c r="L348" t="inlineStr">
        <is>
          <t>Lõi cánh tấm 20mm (Cánh đơn 300x150mm)</t>
        </is>
      </c>
    </row>
    <row r="349">
      <c r="A349" t="inlineStr">
        <is>
          <t>SW-DAMPER-035-FB10-BLADE</t>
        </is>
      </c>
      <c r="B349" t="inlineStr">
        <is>
          <t>SW-DAMPER-035</t>
        </is>
      </c>
      <c r="C349" t="inlineStr">
        <is>
          <t>Tấm chống cháy dày 10mm ốp 2 mặt cánh van FD/MFD</t>
        </is>
      </c>
      <c r="D349" t="inlineStr">
        <is>
          <t>VẬT_LIỆU_CÁCH_NHIỆT</t>
        </is>
      </c>
      <c r="E349" t="inlineStr">
        <is>
          <t>MAT-FIREBOARD-10MM-BLADE</t>
        </is>
      </c>
      <c r="F349" t="inlineStr">
        <is>
          <t>m2</t>
        </is>
      </c>
      <c r="G349" s="17" t="n">
        <v>0.1015194656431564</v>
      </c>
      <c r="H349" s="13">
        <f>'00_TONG_HOP_BAO_GIA'!G36</f>
        <v/>
      </c>
      <c r="I349" s="18">
        <f>G349*H349</f>
        <v/>
      </c>
      <c r="J349" s="13">
        <f>IFERROR(INDEX('06_BANG_GIA_VAT_TU_AP_DUNG'!$E$1:$E$5000, MATCH(E349, '06_BANG_GIA_VAT_TU_AP_DUNG'!$B$1:$B$5000, 0)), 0)</f>
        <v/>
      </c>
      <c r="K349" s="13">
        <f>I349*J349</f>
        <v/>
      </c>
      <c r="L349" t="inlineStr">
        <is>
          <t>Ốp 2 mặt cánh tấm 10mm (Cánh đơn 300x150mm)</t>
        </is>
      </c>
    </row>
    <row r="350">
      <c r="A350" t="inlineStr">
        <is>
          <t>SW-DAMPER-035-SPRING-BOX</t>
        </is>
      </c>
      <c r="B350" t="inlineStr">
        <is>
          <t>SW-DAMPER-035</t>
        </is>
      </c>
      <c r="C350" t="inlineStr">
        <is>
          <t>Hộp lò xo van chặn lửa FD/MFD</t>
        </is>
      </c>
      <c r="D350" t="inlineStr">
        <is>
          <t>PHỤ_KIỆN_VAN</t>
        </is>
      </c>
      <c r="E350" t="inlineStr">
        <is>
          <t>MAT-DAMPER-HOP-LO-XO</t>
        </is>
      </c>
      <c r="F350" t="inlineStr">
        <is>
          <t>Bộ</t>
        </is>
      </c>
      <c r="G350" s="17" t="n">
        <v>1</v>
      </c>
      <c r="H350" s="13">
        <f>'00_TONG_HOP_BAO_GIA'!G36</f>
        <v/>
      </c>
      <c r="I350" s="18">
        <f>G350*H350</f>
        <v/>
      </c>
      <c r="J350" s="13">
        <f>IFERROR(INDEX('06_BANG_GIA_VAT_TU_AP_DUNG'!$E$1:$E$5000, MATCH(E350, '06_BANG_GIA_VAT_TU_AP_DUNG'!$B$1:$B$5000, 0)), 0)</f>
        <v/>
      </c>
      <c r="K350" s="13">
        <f>I350*J350</f>
        <v/>
      </c>
      <c r="L350" t="inlineStr">
        <is>
          <t>Hộp lò xo cơ cấu đóng sập (1 bộ)</t>
        </is>
      </c>
    </row>
    <row r="351">
      <c r="A351" t="inlineStr">
        <is>
          <t>SW-DAMPER-035-SILICON-BOLT</t>
        </is>
      </c>
      <c r="B351" t="inlineStr">
        <is>
          <t>SW-DAMPER-035</t>
        </is>
      </c>
      <c r="C351" t="inlineStr">
        <is>
          <t>Silicon chống cháy + bu lông, ốc vít van FD/MFD</t>
        </is>
      </c>
      <c r="D351" t="inlineStr">
        <is>
          <t>PHỤ_KIỆN_VAN</t>
        </is>
      </c>
      <c r="E351" t="inlineStr">
        <is>
          <t>MAT-DAMPER-SILICON-BULONG-VIT</t>
        </is>
      </c>
      <c r="F351" t="inlineStr">
        <is>
          <t>Bộ</t>
        </is>
      </c>
      <c r="G351" s="17" t="n">
        <v>1</v>
      </c>
      <c r="H351" s="13">
        <f>'00_TONG_HOP_BAO_GIA'!G36</f>
        <v/>
      </c>
      <c r="I351" s="18">
        <f>G351*H351</f>
        <v/>
      </c>
      <c r="J351" s="13">
        <f>IFERROR(INDEX('06_BANG_GIA_VAT_TU_AP_DUNG'!$E$1:$E$5000, MATCH(E351, '06_BANG_GIA_VAT_TU_AP_DUNG'!$B$1:$B$5000, 0)), 0)</f>
        <v/>
      </c>
      <c r="K351" s="13">
        <f>I351*J351</f>
        <v/>
      </c>
      <c r="L351" t="inlineStr">
        <is>
          <t>Keo silicon chống cháy &amp; phụ kiện lắp ghép (1 bộ)</t>
        </is>
      </c>
    </row>
    <row r="352">
      <c r="A352" t="inlineStr">
        <is>
          <t>SW-DAMPER-036-BODY</t>
        </is>
      </c>
      <c r="B352" t="inlineStr">
        <is>
          <t>SW-DAMPER-036</t>
        </is>
      </c>
      <c r="C352" t="inlineStr">
        <is>
          <t>Thân vỏ van MFD bích C30/TDF (1.15mm)</t>
        </is>
      </c>
      <c r="D352" t="inlineStr">
        <is>
          <t>TÔN_CUỘN_MẠ_KẼM</t>
        </is>
      </c>
      <c r="E352" t="inlineStr">
        <is>
          <t>MAT-STEEL-PN-1.15</t>
        </is>
      </c>
      <c r="F352" t="inlineStr">
        <is>
          <t>kg</t>
        </is>
      </c>
      <c r="G352" s="17" t="n">
        <v>4.441025412677573</v>
      </c>
      <c r="H352" s="13">
        <f>'00_TONG_HOP_BAO_GIA'!G37</f>
        <v/>
      </c>
      <c r="I352" s="18">
        <f>G352*H352</f>
        <v/>
      </c>
      <c r="J352" s="13">
        <f>IFERROR(INDEX('06_BANG_GIA_VAT_TU_AP_DUNG'!$E$1:$E$5000, MATCH(E352, '06_BANG_GIA_VAT_TU_AP_DUNG'!$B$1:$B$5000, 0)), 0)</f>
        <v/>
      </c>
      <c r="K352" s="13">
        <f>I352*J352</f>
        <v/>
      </c>
      <c r="L352" t="inlineStr">
        <is>
          <t>Kích thước vỏ 400x250x200mm</t>
        </is>
      </c>
    </row>
    <row r="353">
      <c r="A353" t="inlineStr">
        <is>
          <t>SW-DAMPER-036-BLADE</t>
        </is>
      </c>
      <c r="B353" t="inlineStr">
        <is>
          <t>SW-DAMPER-036</t>
        </is>
      </c>
      <c r="C353" t="inlineStr">
        <is>
          <t>Lá cánh / Tôn tấm bọc van (1 cánh)</t>
        </is>
      </c>
      <c r="D353" t="inlineStr">
        <is>
          <t>TÔN_CUỘN_MẠ_KẼM</t>
        </is>
      </c>
      <c r="E353" t="inlineStr">
        <is>
          <t>MAT-STEEL-PN-1.15</t>
        </is>
      </c>
      <c r="F353" t="inlineStr">
        <is>
          <t>kg</t>
        </is>
      </c>
      <c r="G353" s="17" t="n">
        <v>2.33805860258368</v>
      </c>
      <c r="H353" s="13">
        <f>'00_TONG_HOP_BAO_GIA'!G37</f>
        <v/>
      </c>
      <c r="I353" s="18">
        <f>G353*H353</f>
        <v/>
      </c>
      <c r="J353" s="13">
        <f>IFERROR(INDEX('06_BANG_GIA_VAT_TU_AP_DUNG'!$E$1:$E$5000, MATCH(E353, '06_BANG_GIA_VAT_TU_AP_DUNG'!$B$1:$B$5000, 0)), 0)</f>
        <v/>
      </c>
      <c r="K353" s="13">
        <f>I353*J353</f>
        <v/>
      </c>
      <c r="L353" t="inlineStr">
        <is>
          <t>Tôn bọc cánh &amp; thân (1 cánh/modul)</t>
        </is>
      </c>
    </row>
    <row r="354">
      <c r="A354" t="inlineStr">
        <is>
          <t>SW-DAMPER-036-AXLE</t>
        </is>
      </c>
      <c r="B354" t="inlineStr">
        <is>
          <t>SW-DAMPER-036</t>
        </is>
      </c>
      <c r="C354" t="inlineStr">
        <is>
          <t>Trục Sus 201 D10</t>
        </is>
      </c>
      <c r="D354" t="inlineStr">
        <is>
          <t>PHỤ_KIỆN_VAN</t>
        </is>
      </c>
      <c r="E354" t="inlineStr">
        <is>
          <t>MAT-DAMPER-TRUC-SUS-201-D10</t>
        </is>
      </c>
      <c r="F354" t="inlineStr">
        <is>
          <t>m</t>
        </is>
      </c>
      <c r="G354" s="17" t="n">
        <v>0.5956837204034856</v>
      </c>
      <c r="H354" s="13">
        <f>'00_TONG_HOP_BAO_GIA'!G37</f>
        <v/>
      </c>
      <c r="I354" s="18">
        <f>G354*H354</f>
        <v/>
      </c>
      <c r="J354" s="13">
        <f>IFERROR(INDEX('06_BANG_GIA_VAT_TU_AP_DUNG'!$E$1:$E$5000, MATCH(E354, '06_BANG_GIA_VAT_TU_AP_DUNG'!$B$1:$B$5000, 0)), 0)</f>
        <v/>
      </c>
      <c r="K354" s="13">
        <f>I354*J354</f>
        <v/>
      </c>
      <c r="L354" t="inlineStr">
        <is>
          <t>1 trục dài 460mm</t>
        </is>
      </c>
    </row>
    <row r="355">
      <c r="A355" t="inlineStr">
        <is>
          <t>SW-DAMPER-036-BEARING</t>
        </is>
      </c>
      <c r="B355" t="inlineStr">
        <is>
          <t>SW-DAMPER-036</t>
        </is>
      </c>
      <c r="C355" t="inlineStr">
        <is>
          <t>Bạc đồng D10</t>
        </is>
      </c>
      <c r="D355" t="inlineStr">
        <is>
          <t>PHỤ_KIỆN_VAN</t>
        </is>
      </c>
      <c r="E355" t="inlineStr">
        <is>
          <t>MAT-DAMPER-BAC-DONG-D10</t>
        </is>
      </c>
      <c r="F355" t="inlineStr">
        <is>
          <t>Đôi</t>
        </is>
      </c>
      <c r="G355" s="17" t="n">
        <v>1</v>
      </c>
      <c r="H355" s="13">
        <f>'00_TONG_HOP_BAO_GIA'!G37</f>
        <v/>
      </c>
      <c r="I355" s="18">
        <f>G355*H355</f>
        <v/>
      </c>
      <c r="J355" s="13">
        <f>IFERROR(INDEX('06_BANG_GIA_VAT_TU_AP_DUNG'!$E$1:$E$5000, MATCH(E355, '06_BANG_GIA_VAT_TU_AP_DUNG'!$B$1:$B$5000, 0)), 0)</f>
        <v/>
      </c>
      <c r="K355" s="13">
        <f>I355*J355</f>
        <v/>
      </c>
      <c r="L355" t="inlineStr">
        <is>
          <t>1 đôi bạc đỡ 2 bên thân</t>
        </is>
      </c>
    </row>
    <row r="356">
      <c r="A356" t="inlineStr">
        <is>
          <t>SW-DAMPER-036-ACTUATOR</t>
        </is>
      </c>
      <c r="B356" t="inlineStr">
        <is>
          <t>SW-DAMPER-036</t>
        </is>
      </c>
      <c r="C356" t="inlineStr">
        <is>
          <t>Động cơ chặn lửa ON/OFF 3.5Nm, 230V/24V (BELIMO FSLF24 / FSLF230)</t>
        </is>
      </c>
      <c r="D356" t="inlineStr">
        <is>
          <t>ĐỘNG_CƠ_VÀ_CẢM_BIẾN</t>
        </is>
      </c>
      <c r="E356" t="inlineStr">
        <is>
          <t>MAT-ACTUATOR-BELIMO-FSLF24</t>
        </is>
      </c>
      <c r="F356" t="inlineStr">
        <is>
          <t>Cái</t>
        </is>
      </c>
      <c r="G356" s="17" t="n">
        <v>1</v>
      </c>
      <c r="H356" s="13">
        <f>'00_TONG_HOP_BAO_GIA'!G37</f>
        <v/>
      </c>
      <c r="I356" s="18">
        <f>G356*H356</f>
        <v/>
      </c>
      <c r="J356" s="13">
        <f>IFERROR(INDEX('06_BANG_GIA_VAT_TU_AP_DUNG'!$E$1:$E$5000, MATCH(E356, '06_BANG_GIA_VAT_TU_AP_DUNG'!$B$1:$B$5000, 0)), 0)</f>
        <v/>
      </c>
      <c r="K356" s="13">
        <f>I356*J356</f>
        <v/>
      </c>
      <c r="L356" t="inlineStr">
        <is>
          <t>Động cơ lò xo phản hồi MFD (1 bộ)</t>
        </is>
      </c>
    </row>
    <row r="357">
      <c r="A357" t="inlineStr">
        <is>
          <t>SW-DAMPER-036-FB10-BODY</t>
        </is>
      </c>
      <c r="B357" t="inlineStr">
        <is>
          <t>SW-DAMPER-036</t>
        </is>
      </c>
      <c r="C357" t="inlineStr">
        <is>
          <t>Tấm chống cháy dày 10mm bọc thân van FD/MFD (2 lớp)</t>
        </is>
      </c>
      <c r="D357" t="inlineStr">
        <is>
          <t>VẬT_LIỆU_CÁCH_NHIỆT</t>
        </is>
      </c>
      <c r="E357" t="inlineStr">
        <is>
          <t>MAT-FIREBOARD-10MM-BODY</t>
        </is>
      </c>
      <c r="F357" t="inlineStr">
        <is>
          <t>m2</t>
        </is>
      </c>
      <c r="G357" s="17" t="n">
        <v>1.01007239546678</v>
      </c>
      <c r="H357" s="13">
        <f>'00_TONG_HOP_BAO_GIA'!G37</f>
        <v/>
      </c>
      <c r="I357" s="18">
        <f>G357*H357</f>
        <v/>
      </c>
      <c r="J357" s="13">
        <f>IFERROR(INDEX('06_BANG_GIA_VAT_TU_AP_DUNG'!$E$1:$E$5000, MATCH(E357, '06_BANG_GIA_VAT_TU_AP_DUNG'!$B$1:$B$5000, 0)), 0)</f>
        <v/>
      </c>
      <c r="K357" s="13">
        <f>I357*J357</f>
        <v/>
      </c>
      <c r="L357" t="inlineStr">
        <is>
          <t>Bọc 2 lớp tấm 10mm quanh thân L=300mm</t>
        </is>
      </c>
    </row>
    <row r="358">
      <c r="A358" t="inlineStr">
        <is>
          <t>SW-DAMPER-036-FB20-BLADE</t>
        </is>
      </c>
      <c r="B358" t="inlineStr">
        <is>
          <t>SW-DAMPER-036</t>
        </is>
      </c>
      <c r="C358" t="inlineStr">
        <is>
          <t>Tấm chống cháy dày 20mm làm lõi cánh van FD/MFD</t>
        </is>
      </c>
      <c r="D358" t="inlineStr">
        <is>
          <t>VẬT_LIỆU_CÁCH_NHIỆT</t>
        </is>
      </c>
      <c r="E358" t="inlineStr">
        <is>
          <t>MAT-FIREBOARD-20MM-BLADE</t>
        </is>
      </c>
      <c r="F358" t="inlineStr">
        <is>
          <t>m2</t>
        </is>
      </c>
      <c r="G358" s="17" t="n">
        <v>0.1294964609572795</v>
      </c>
      <c r="H358" s="13">
        <f>'00_TONG_HOP_BAO_GIA'!G37</f>
        <v/>
      </c>
      <c r="I358" s="18">
        <f>G358*H358</f>
        <v/>
      </c>
      <c r="J358" s="13">
        <f>IFERROR(INDEX('06_BANG_GIA_VAT_TU_AP_DUNG'!$E$1:$E$5000, MATCH(E358, '06_BANG_GIA_VAT_TU_AP_DUNG'!$B$1:$B$5000, 0)), 0)</f>
        <v/>
      </c>
      <c r="K358" s="13">
        <f>I358*J358</f>
        <v/>
      </c>
      <c r="L358" t="inlineStr">
        <is>
          <t>Lõi cánh tấm 20mm (Cánh đơn 400x250mm)</t>
        </is>
      </c>
    </row>
    <row r="359">
      <c r="A359" t="inlineStr">
        <is>
          <t>SW-DAMPER-036-FB10-BLADE</t>
        </is>
      </c>
      <c r="B359" t="inlineStr">
        <is>
          <t>SW-DAMPER-036</t>
        </is>
      </c>
      <c r="C359" t="inlineStr">
        <is>
          <t>Tấm chống cháy dày 10mm ốp 2 mặt cánh van FD/MFD</t>
        </is>
      </c>
      <c r="D359" t="inlineStr">
        <is>
          <t>VẬT_LIỆU_CÁCH_NHIỆT</t>
        </is>
      </c>
      <c r="E359" t="inlineStr">
        <is>
          <t>MAT-FIREBOARD-10MM-BLADE</t>
        </is>
      </c>
      <c r="F359" t="inlineStr">
        <is>
          <t>m2</t>
        </is>
      </c>
      <c r="G359" s="17" t="n">
        <v>0.258992921914559</v>
      </c>
      <c r="H359" s="13">
        <f>'00_TONG_HOP_BAO_GIA'!G37</f>
        <v/>
      </c>
      <c r="I359" s="18">
        <f>G359*H359</f>
        <v/>
      </c>
      <c r="J359" s="13">
        <f>IFERROR(INDEX('06_BANG_GIA_VAT_TU_AP_DUNG'!$E$1:$E$5000, MATCH(E359, '06_BANG_GIA_VAT_TU_AP_DUNG'!$B$1:$B$5000, 0)), 0)</f>
        <v/>
      </c>
      <c r="K359" s="13">
        <f>I359*J359</f>
        <v/>
      </c>
      <c r="L359" t="inlineStr">
        <is>
          <t>Ốp 2 mặt cánh tấm 10mm (Cánh đơn 400x250mm)</t>
        </is>
      </c>
    </row>
    <row r="360">
      <c r="A360" t="inlineStr">
        <is>
          <t>SW-DAMPER-036-SPRING-BOX</t>
        </is>
      </c>
      <c r="B360" t="inlineStr">
        <is>
          <t>SW-DAMPER-036</t>
        </is>
      </c>
      <c r="C360" t="inlineStr">
        <is>
          <t>Hộp lò xo van chặn lửa FD/MFD</t>
        </is>
      </c>
      <c r="D360" t="inlineStr">
        <is>
          <t>PHỤ_KIỆN_VAN</t>
        </is>
      </c>
      <c r="E360" t="inlineStr">
        <is>
          <t>MAT-DAMPER-HOP-LO-XO</t>
        </is>
      </c>
      <c r="F360" t="inlineStr">
        <is>
          <t>Bộ</t>
        </is>
      </c>
      <c r="G360" s="17" t="n">
        <v>1</v>
      </c>
      <c r="H360" s="13">
        <f>'00_TONG_HOP_BAO_GIA'!G37</f>
        <v/>
      </c>
      <c r="I360" s="18">
        <f>G360*H360</f>
        <v/>
      </c>
      <c r="J360" s="13">
        <f>IFERROR(INDEX('06_BANG_GIA_VAT_TU_AP_DUNG'!$E$1:$E$5000, MATCH(E360, '06_BANG_GIA_VAT_TU_AP_DUNG'!$B$1:$B$5000, 0)), 0)</f>
        <v/>
      </c>
      <c r="K360" s="13">
        <f>I360*J360</f>
        <v/>
      </c>
      <c r="L360" t="inlineStr">
        <is>
          <t>Hộp lò xo cơ cấu đóng sập (1 bộ)</t>
        </is>
      </c>
    </row>
    <row r="361">
      <c r="A361" t="inlineStr">
        <is>
          <t>SW-DAMPER-036-SILICON-BOLT</t>
        </is>
      </c>
      <c r="B361" t="inlineStr">
        <is>
          <t>SW-DAMPER-036</t>
        </is>
      </c>
      <c r="C361" t="inlineStr">
        <is>
          <t>Silicon chống cháy + bu lông, ốc vít van FD/MFD</t>
        </is>
      </c>
      <c r="D361" t="inlineStr">
        <is>
          <t>PHỤ_KIỆN_VAN</t>
        </is>
      </c>
      <c r="E361" t="inlineStr">
        <is>
          <t>MAT-DAMPER-SILICON-BULONG-VIT</t>
        </is>
      </c>
      <c r="F361" t="inlineStr">
        <is>
          <t>Bộ</t>
        </is>
      </c>
      <c r="G361" s="17" t="n">
        <v>1</v>
      </c>
      <c r="H361" s="13">
        <f>'00_TONG_HOP_BAO_GIA'!G37</f>
        <v/>
      </c>
      <c r="I361" s="18">
        <f>G361*H361</f>
        <v/>
      </c>
      <c r="J361" s="13">
        <f>IFERROR(INDEX('06_BANG_GIA_VAT_TU_AP_DUNG'!$E$1:$E$5000, MATCH(E361, '06_BANG_GIA_VAT_TU_AP_DUNG'!$B$1:$B$5000, 0)), 0)</f>
        <v/>
      </c>
      <c r="K361" s="13">
        <f>I361*J361</f>
        <v/>
      </c>
      <c r="L361" t="inlineStr">
        <is>
          <t>Keo silicon chống cháy &amp; phụ kiện lắp ghép (1 bộ)</t>
        </is>
      </c>
    </row>
    <row r="362">
      <c r="A362" t="inlineStr">
        <is>
          <t>SW-DAMPER-037-BODY</t>
        </is>
      </c>
      <c r="B362" t="inlineStr">
        <is>
          <t>SW-DAMPER-037</t>
        </is>
      </c>
      <c r="C362" t="inlineStr">
        <is>
          <t>Thân vỏ van MFD bích C30/TDF (1.15mm)</t>
        </is>
      </c>
      <c r="D362" t="inlineStr">
        <is>
          <t>TÔN_CUỘN_MẠ_KẼM</t>
        </is>
      </c>
      <c r="E362" t="inlineStr">
        <is>
          <t>MAT-STEEL-PN-1.15</t>
        </is>
      </c>
      <c r="F362" t="inlineStr">
        <is>
          <t>kg</t>
        </is>
      </c>
      <c r="G362" s="17" t="n">
        <v>5.919548391994504</v>
      </c>
      <c r="H362" s="13">
        <f>'00_TONG_HOP_BAO_GIA'!G38</f>
        <v/>
      </c>
      <c r="I362" s="18">
        <f>G362*H362</f>
        <v/>
      </c>
      <c r="J362" s="13">
        <f>IFERROR(INDEX('06_BANG_GIA_VAT_TU_AP_DUNG'!$E$1:$E$5000, MATCH(E362, '06_BANG_GIA_VAT_TU_AP_DUNG'!$B$1:$B$5000, 0)), 0)</f>
        <v/>
      </c>
      <c r="K362" s="13">
        <f>I362*J362</f>
        <v/>
      </c>
      <c r="L362" t="inlineStr">
        <is>
          <t>Kích thước vỏ 500x400x200mm</t>
        </is>
      </c>
    </row>
    <row r="363">
      <c r="A363" t="inlineStr">
        <is>
          <t>SW-DAMPER-037-BLADE</t>
        </is>
      </c>
      <c r="B363" t="inlineStr">
        <is>
          <t>SW-DAMPER-037</t>
        </is>
      </c>
      <c r="C363" t="inlineStr">
        <is>
          <t>Lá cánh / Tôn tấm bọc van (1 cánh)</t>
        </is>
      </c>
      <c r="D363" t="inlineStr">
        <is>
          <t>TÔN_CUỘN_MẠ_KẼM</t>
        </is>
      </c>
      <c r="E363" t="inlineStr">
        <is>
          <t>MAT-STEEL-PN-1.15</t>
        </is>
      </c>
      <c r="F363" t="inlineStr">
        <is>
          <t>kg</t>
        </is>
      </c>
      <c r="G363" s="17" t="n">
        <v>4.539182878609387</v>
      </c>
      <c r="H363" s="13">
        <f>'00_TONG_HOP_BAO_GIA'!G38</f>
        <v/>
      </c>
      <c r="I363" s="18">
        <f>G363*H363</f>
        <v/>
      </c>
      <c r="J363" s="13">
        <f>IFERROR(INDEX('06_BANG_GIA_VAT_TU_AP_DUNG'!$E$1:$E$5000, MATCH(E363, '06_BANG_GIA_VAT_TU_AP_DUNG'!$B$1:$B$5000, 0)), 0)</f>
        <v/>
      </c>
      <c r="K363" s="13">
        <f>I363*J363</f>
        <v/>
      </c>
      <c r="L363" t="inlineStr">
        <is>
          <t>Tôn bọc cánh &amp; thân (1 cánh/modul)</t>
        </is>
      </c>
    </row>
    <row r="364">
      <c r="A364" t="inlineStr">
        <is>
          <t>SW-DAMPER-037-AXLE</t>
        </is>
      </c>
      <c r="B364" t="inlineStr">
        <is>
          <t>SW-DAMPER-037</t>
        </is>
      </c>
      <c r="C364" t="inlineStr">
        <is>
          <t>Trục Sus 201 D10</t>
        </is>
      </c>
      <c r="D364" t="inlineStr">
        <is>
          <t>PHỤ_KIỆN_VAN</t>
        </is>
      </c>
      <c r="E364" t="inlineStr">
        <is>
          <t>MAT-DAMPER-TRUC-SUS-201-D10</t>
        </is>
      </c>
      <c r="F364" t="inlineStr">
        <is>
          <t>m</t>
        </is>
      </c>
      <c r="G364" s="17" t="n">
        <v>0.7039441739189305</v>
      </c>
      <c r="H364" s="13">
        <f>'00_TONG_HOP_BAO_GIA'!G38</f>
        <v/>
      </c>
      <c r="I364" s="18">
        <f>G364*H364</f>
        <v/>
      </c>
      <c r="J364" s="13">
        <f>IFERROR(INDEX('06_BANG_GIA_VAT_TU_AP_DUNG'!$E$1:$E$5000, MATCH(E364, '06_BANG_GIA_VAT_TU_AP_DUNG'!$B$1:$B$5000, 0)), 0)</f>
        <v/>
      </c>
      <c r="K364" s="13">
        <f>I364*J364</f>
        <v/>
      </c>
      <c r="L364" t="inlineStr">
        <is>
          <t>1 trục dài 560mm</t>
        </is>
      </c>
    </row>
    <row r="365">
      <c r="A365" t="inlineStr">
        <is>
          <t>SW-DAMPER-037-BEARING</t>
        </is>
      </c>
      <c r="B365" t="inlineStr">
        <is>
          <t>SW-DAMPER-037</t>
        </is>
      </c>
      <c r="C365" t="inlineStr">
        <is>
          <t>Bạc đồng D10</t>
        </is>
      </c>
      <c r="D365" t="inlineStr">
        <is>
          <t>PHỤ_KIỆN_VAN</t>
        </is>
      </c>
      <c r="E365" t="inlineStr">
        <is>
          <t>MAT-DAMPER-BAC-DONG-D10</t>
        </is>
      </c>
      <c r="F365" t="inlineStr">
        <is>
          <t>Đôi</t>
        </is>
      </c>
      <c r="G365" s="17" t="n">
        <v>1</v>
      </c>
      <c r="H365" s="13">
        <f>'00_TONG_HOP_BAO_GIA'!G38</f>
        <v/>
      </c>
      <c r="I365" s="18">
        <f>G365*H365</f>
        <v/>
      </c>
      <c r="J365" s="13">
        <f>IFERROR(INDEX('06_BANG_GIA_VAT_TU_AP_DUNG'!$E$1:$E$5000, MATCH(E365, '06_BANG_GIA_VAT_TU_AP_DUNG'!$B$1:$B$5000, 0)), 0)</f>
        <v/>
      </c>
      <c r="K365" s="13">
        <f>I365*J365</f>
        <v/>
      </c>
      <c r="L365" t="inlineStr">
        <is>
          <t>1 đôi bạc đỡ 2 bên thân</t>
        </is>
      </c>
    </row>
    <row r="366">
      <c r="A366" t="inlineStr">
        <is>
          <t>SW-DAMPER-037-ACTUATOR</t>
        </is>
      </c>
      <c r="B366" t="inlineStr">
        <is>
          <t>SW-DAMPER-037</t>
        </is>
      </c>
      <c r="C366" t="inlineStr">
        <is>
          <t>Động cơ chặn lửa ON/OFF 3.5Nm, 230V/24V (BELIMO FSLF24 / FSLF230)</t>
        </is>
      </c>
      <c r="D366" t="inlineStr">
        <is>
          <t>ĐỘNG_CƠ_VÀ_CẢM_BIẾN</t>
        </is>
      </c>
      <c r="E366" t="inlineStr">
        <is>
          <t>MAT-ACTUATOR-BELIMO-FSLF24</t>
        </is>
      </c>
      <c r="F366" t="inlineStr">
        <is>
          <t>Cái</t>
        </is>
      </c>
      <c r="G366" s="17" t="n">
        <v>1</v>
      </c>
      <c r="H366" s="13">
        <f>'00_TONG_HOP_BAO_GIA'!G38</f>
        <v/>
      </c>
      <c r="I366" s="18">
        <f>G366*H366</f>
        <v/>
      </c>
      <c r="J366" s="13">
        <f>IFERROR(INDEX('06_BANG_GIA_VAT_TU_AP_DUNG'!$E$1:$E$5000, MATCH(E366, '06_BANG_GIA_VAT_TU_AP_DUNG'!$B$1:$B$5000, 0)), 0)</f>
        <v/>
      </c>
      <c r="K366" s="13">
        <f>I366*J366</f>
        <v/>
      </c>
      <c r="L366" t="inlineStr">
        <is>
          <t>Động cơ lò xo phản hồi MFD (1 bộ)</t>
        </is>
      </c>
    </row>
    <row r="367">
      <c r="A367" t="inlineStr">
        <is>
          <t>SW-DAMPER-037-FB10-BODY</t>
        </is>
      </c>
      <c r="B367" t="inlineStr">
        <is>
          <t>SW-DAMPER-037</t>
        </is>
      </c>
      <c r="C367" t="inlineStr">
        <is>
          <t>Tấm chống cháy dày 10mm bọc thân van FD/MFD (2 lớp)</t>
        </is>
      </c>
      <c r="D367" t="inlineStr">
        <is>
          <t>VẬT_LIỆU_CÁCH_NHIỆT</t>
        </is>
      </c>
      <c r="E367" t="inlineStr">
        <is>
          <t>MAT-FIREBOARD-10MM-BODY</t>
        </is>
      </c>
      <c r="F367" t="inlineStr">
        <is>
          <t>m2</t>
        </is>
      </c>
      <c r="G367" s="17" t="n">
        <v>1.357606621129366</v>
      </c>
      <c r="H367" s="13">
        <f>'00_TONG_HOP_BAO_GIA'!G38</f>
        <v/>
      </c>
      <c r="I367" s="18">
        <f>G367*H367</f>
        <v/>
      </c>
      <c r="J367" s="13">
        <f>IFERROR(INDEX('06_BANG_GIA_VAT_TU_AP_DUNG'!$E$1:$E$5000, MATCH(E367, '06_BANG_GIA_VAT_TU_AP_DUNG'!$B$1:$B$5000, 0)), 0)</f>
        <v/>
      </c>
      <c r="K367" s="13">
        <f>I367*J367</f>
        <v/>
      </c>
      <c r="L367" t="inlineStr">
        <is>
          <t>Bọc 2 lớp tấm 10mm quanh thân L=300mm</t>
        </is>
      </c>
    </row>
    <row r="368">
      <c r="A368" t="inlineStr">
        <is>
          <t>SW-DAMPER-037-FB20-BLADE</t>
        </is>
      </c>
      <c r="B368" t="inlineStr">
        <is>
          <t>SW-DAMPER-037</t>
        </is>
      </c>
      <c r="C368" t="inlineStr">
        <is>
          <t>Tấm chống cháy dày 20mm làm lõi cánh van FD/MFD</t>
        </is>
      </c>
      <c r="D368" t="inlineStr">
        <is>
          <t>VẬT_LIỆU_CÁCH_NHIỆT</t>
        </is>
      </c>
      <c r="E368" t="inlineStr">
        <is>
          <t>MAT-FIREBOARD-20MM-BLADE</t>
        </is>
      </c>
      <c r="F368" t="inlineStr">
        <is>
          <t>m2</t>
        </is>
      </c>
      <c r="G368" s="17" t="n">
        <v>0.2514086335424752</v>
      </c>
      <c r="H368" s="13">
        <f>'00_TONG_HOP_BAO_GIA'!G38</f>
        <v/>
      </c>
      <c r="I368" s="18">
        <f>G368*H368</f>
        <v/>
      </c>
      <c r="J368" s="13">
        <f>IFERROR(INDEX('06_BANG_GIA_VAT_TU_AP_DUNG'!$E$1:$E$5000, MATCH(E368, '06_BANG_GIA_VAT_TU_AP_DUNG'!$B$1:$B$5000, 0)), 0)</f>
        <v/>
      </c>
      <c r="K368" s="13">
        <f>I368*J368</f>
        <v/>
      </c>
      <c r="L368" t="inlineStr">
        <is>
          <t>Lõi cánh tấm 20mm (Cánh đơn 500x400mm)</t>
        </is>
      </c>
    </row>
    <row r="369">
      <c r="A369" t="inlineStr">
        <is>
          <t>SW-DAMPER-037-FB10-BLADE</t>
        </is>
      </c>
      <c r="B369" t="inlineStr">
        <is>
          <t>SW-DAMPER-037</t>
        </is>
      </c>
      <c r="C369" t="inlineStr">
        <is>
          <t>Tấm chống cháy dày 10mm ốp 2 mặt cánh van FD/MFD</t>
        </is>
      </c>
      <c r="D369" t="inlineStr">
        <is>
          <t>VẬT_LIỆU_CÁCH_NHIỆT</t>
        </is>
      </c>
      <c r="E369" t="inlineStr">
        <is>
          <t>MAT-FIREBOARD-10MM-BLADE</t>
        </is>
      </c>
      <c r="F369" t="inlineStr">
        <is>
          <t>m2</t>
        </is>
      </c>
      <c r="G369" s="17" t="n">
        <v>0.5028172670849503</v>
      </c>
      <c r="H369" s="13">
        <f>'00_TONG_HOP_BAO_GIA'!G38</f>
        <v/>
      </c>
      <c r="I369" s="18">
        <f>G369*H369</f>
        <v/>
      </c>
      <c r="J369" s="13">
        <f>IFERROR(INDEX('06_BANG_GIA_VAT_TU_AP_DUNG'!$E$1:$E$5000, MATCH(E369, '06_BANG_GIA_VAT_TU_AP_DUNG'!$B$1:$B$5000, 0)), 0)</f>
        <v/>
      </c>
      <c r="K369" s="13">
        <f>I369*J369</f>
        <v/>
      </c>
      <c r="L369" t="inlineStr">
        <is>
          <t>Ốp 2 mặt cánh tấm 10mm (Cánh đơn 500x400mm)</t>
        </is>
      </c>
    </row>
    <row r="370">
      <c r="A370" t="inlineStr">
        <is>
          <t>SW-DAMPER-037-SPRING-BOX</t>
        </is>
      </c>
      <c r="B370" t="inlineStr">
        <is>
          <t>SW-DAMPER-037</t>
        </is>
      </c>
      <c r="C370" t="inlineStr">
        <is>
          <t>Hộp lò xo van chặn lửa FD/MFD</t>
        </is>
      </c>
      <c r="D370" t="inlineStr">
        <is>
          <t>PHỤ_KIỆN_VAN</t>
        </is>
      </c>
      <c r="E370" t="inlineStr">
        <is>
          <t>MAT-DAMPER-HOP-LO-XO</t>
        </is>
      </c>
      <c r="F370" t="inlineStr">
        <is>
          <t>Bộ</t>
        </is>
      </c>
      <c r="G370" s="17" t="n">
        <v>1</v>
      </c>
      <c r="H370" s="13">
        <f>'00_TONG_HOP_BAO_GIA'!G38</f>
        <v/>
      </c>
      <c r="I370" s="18">
        <f>G370*H370</f>
        <v/>
      </c>
      <c r="J370" s="13">
        <f>IFERROR(INDEX('06_BANG_GIA_VAT_TU_AP_DUNG'!$E$1:$E$5000, MATCH(E370, '06_BANG_GIA_VAT_TU_AP_DUNG'!$B$1:$B$5000, 0)), 0)</f>
        <v/>
      </c>
      <c r="K370" s="13">
        <f>I370*J370</f>
        <v/>
      </c>
      <c r="L370" t="inlineStr">
        <is>
          <t>Hộp lò xo cơ cấu đóng sập (1 bộ)</t>
        </is>
      </c>
    </row>
    <row r="371">
      <c r="A371" t="inlineStr">
        <is>
          <t>SW-DAMPER-037-SILICON-BOLT</t>
        </is>
      </c>
      <c r="B371" t="inlineStr">
        <is>
          <t>SW-DAMPER-037</t>
        </is>
      </c>
      <c r="C371" t="inlineStr">
        <is>
          <t>Silicon chống cháy + bu lông, ốc vít van FD/MFD</t>
        </is>
      </c>
      <c r="D371" t="inlineStr">
        <is>
          <t>PHỤ_KIỆN_VAN</t>
        </is>
      </c>
      <c r="E371" t="inlineStr">
        <is>
          <t>MAT-DAMPER-SILICON-BULONG-VIT</t>
        </is>
      </c>
      <c r="F371" t="inlineStr">
        <is>
          <t>Bộ</t>
        </is>
      </c>
      <c r="G371" s="17" t="n">
        <v>1</v>
      </c>
      <c r="H371" s="13">
        <f>'00_TONG_HOP_BAO_GIA'!G38</f>
        <v/>
      </c>
      <c r="I371" s="18">
        <f>G371*H371</f>
        <v/>
      </c>
      <c r="J371" s="13">
        <f>IFERROR(INDEX('06_BANG_GIA_VAT_TU_AP_DUNG'!$E$1:$E$5000, MATCH(E371, '06_BANG_GIA_VAT_TU_AP_DUNG'!$B$1:$B$5000, 0)), 0)</f>
        <v/>
      </c>
      <c r="K371" s="13">
        <f>I371*J371</f>
        <v/>
      </c>
      <c r="L371" t="inlineStr">
        <is>
          <t>Keo silicon chống cháy &amp; phụ kiện lắp ghép (1 bộ)</t>
        </is>
      </c>
    </row>
    <row r="372">
      <c r="A372" t="inlineStr">
        <is>
          <t>SW-DAMPER-038-BODY</t>
        </is>
      </c>
      <c r="B372" t="inlineStr">
        <is>
          <t>SW-DAMPER-038</t>
        </is>
      </c>
      <c r="C372" t="inlineStr">
        <is>
          <t>Thân vỏ van MFD bích C30/TDF (1.15mm)</t>
        </is>
      </c>
      <c r="D372" t="inlineStr">
        <is>
          <t>TÔN_CUỘN_MẠ_KẼM</t>
        </is>
      </c>
      <c r="E372" t="inlineStr">
        <is>
          <t>MAT-STEEL-PN-1.15</t>
        </is>
      </c>
      <c r="F372" t="inlineStr">
        <is>
          <t>kg</t>
        </is>
      </c>
      <c r="G372" s="17" t="n">
        <v>7.090143670441958</v>
      </c>
      <c r="H372" s="13">
        <f>'00_TONG_HOP_BAO_GIA'!G39</f>
        <v/>
      </c>
      <c r="I372" s="18">
        <f>G372*H372</f>
        <v/>
      </c>
      <c r="J372" s="13">
        <f>IFERROR(INDEX('06_BANG_GIA_VAT_TU_AP_DUNG'!$E$1:$E$5000, MATCH(E372, '06_BANG_GIA_VAT_TU_AP_DUNG'!$B$1:$B$5000, 0)), 0)</f>
        <v/>
      </c>
      <c r="K372" s="13">
        <f>I372*J372</f>
        <v/>
      </c>
      <c r="L372" t="inlineStr">
        <is>
          <t>Kích thước vỏ 700x400x200mm</t>
        </is>
      </c>
    </row>
    <row r="373">
      <c r="A373" t="inlineStr">
        <is>
          <t>SW-DAMPER-038-BLADE</t>
        </is>
      </c>
      <c r="B373" t="inlineStr">
        <is>
          <t>SW-DAMPER-038</t>
        </is>
      </c>
      <c r="C373" t="inlineStr">
        <is>
          <t>Lá cánh / Tôn tấm bọc van (1 cánh)</t>
        </is>
      </c>
      <c r="D373" t="inlineStr">
        <is>
          <t>TÔN_CUỘN_MẠ_KẼM</t>
        </is>
      </c>
      <c r="E373" t="inlineStr">
        <is>
          <t>MAT-STEEL-PN-1.15</t>
        </is>
      </c>
      <c r="F373" t="inlineStr">
        <is>
          <t>kg</t>
        </is>
      </c>
      <c r="G373" s="17" t="n">
        <v>6.252331279049343</v>
      </c>
      <c r="H373" s="13">
        <f>'00_TONG_HOP_BAO_GIA'!G39</f>
        <v/>
      </c>
      <c r="I373" s="18">
        <f>G373*H373</f>
        <v/>
      </c>
      <c r="J373" s="13">
        <f>IFERROR(INDEX('06_BANG_GIA_VAT_TU_AP_DUNG'!$E$1:$E$5000, MATCH(E373, '06_BANG_GIA_VAT_TU_AP_DUNG'!$B$1:$B$5000, 0)), 0)</f>
        <v/>
      </c>
      <c r="K373" s="13">
        <f>I373*J373</f>
        <v/>
      </c>
      <c r="L373" t="inlineStr">
        <is>
          <t>Tôn bọc cánh &amp; thân (1 cánh/modul)</t>
        </is>
      </c>
    </row>
    <row r="374">
      <c r="A374" t="inlineStr">
        <is>
          <t>SW-DAMPER-038-AXLE</t>
        </is>
      </c>
      <c r="B374" t="inlineStr">
        <is>
          <t>SW-DAMPER-038</t>
        </is>
      </c>
      <c r="C374" t="inlineStr">
        <is>
          <t>Trục Sus 201 D10</t>
        </is>
      </c>
      <c r="D374" t="inlineStr">
        <is>
          <t>PHỤ_KIỆN_VAN</t>
        </is>
      </c>
      <c r="E374" t="inlineStr">
        <is>
          <t>MAT-DAMPER-TRUC-SUS-201-D10</t>
        </is>
      </c>
      <c r="F374" t="inlineStr">
        <is>
          <t>m</t>
        </is>
      </c>
      <c r="G374" s="17" t="n">
        <v>0.9399398211966418</v>
      </c>
      <c r="H374" s="13">
        <f>'00_TONG_HOP_BAO_GIA'!G39</f>
        <v/>
      </c>
      <c r="I374" s="18">
        <f>G374*H374</f>
        <v/>
      </c>
      <c r="J374" s="13">
        <f>IFERROR(INDEX('06_BANG_GIA_VAT_TU_AP_DUNG'!$E$1:$E$5000, MATCH(E374, '06_BANG_GIA_VAT_TU_AP_DUNG'!$B$1:$B$5000, 0)), 0)</f>
        <v/>
      </c>
      <c r="K374" s="13">
        <f>I374*J374</f>
        <v/>
      </c>
      <c r="L374" t="inlineStr">
        <is>
          <t>1 trục dài 760mm</t>
        </is>
      </c>
    </row>
    <row r="375">
      <c r="A375" t="inlineStr">
        <is>
          <t>SW-DAMPER-038-BEARING</t>
        </is>
      </c>
      <c r="B375" t="inlineStr">
        <is>
          <t>SW-DAMPER-038</t>
        </is>
      </c>
      <c r="C375" t="inlineStr">
        <is>
          <t>Bạc đồng D10</t>
        </is>
      </c>
      <c r="D375" t="inlineStr">
        <is>
          <t>PHỤ_KIỆN_VAN</t>
        </is>
      </c>
      <c r="E375" t="inlineStr">
        <is>
          <t>MAT-DAMPER-BAC-DONG-D10</t>
        </is>
      </c>
      <c r="F375" t="inlineStr">
        <is>
          <t>Đôi</t>
        </is>
      </c>
      <c r="G375" s="17" t="n">
        <v>1</v>
      </c>
      <c r="H375" s="13">
        <f>'00_TONG_HOP_BAO_GIA'!G39</f>
        <v/>
      </c>
      <c r="I375" s="18">
        <f>G375*H375</f>
        <v/>
      </c>
      <c r="J375" s="13">
        <f>IFERROR(INDEX('06_BANG_GIA_VAT_TU_AP_DUNG'!$E$1:$E$5000, MATCH(E375, '06_BANG_GIA_VAT_TU_AP_DUNG'!$B$1:$B$5000, 0)), 0)</f>
        <v/>
      </c>
      <c r="K375" s="13">
        <f>I375*J375</f>
        <v/>
      </c>
      <c r="L375" t="inlineStr">
        <is>
          <t>1 đôi bạc đỡ 2 bên thân</t>
        </is>
      </c>
    </row>
    <row r="376">
      <c r="A376" t="inlineStr">
        <is>
          <t>SW-DAMPER-038-ACTUATOR</t>
        </is>
      </c>
      <c r="B376" t="inlineStr">
        <is>
          <t>SW-DAMPER-038</t>
        </is>
      </c>
      <c r="C376" t="inlineStr">
        <is>
          <t>Động cơ chặn lửa ON/OFF 3.5Nm, 230V/24V (BELIMO FSLF24 / FSLF230)</t>
        </is>
      </c>
      <c r="D376" t="inlineStr">
        <is>
          <t>ĐỘNG_CƠ_VÀ_CẢM_BIẾN</t>
        </is>
      </c>
      <c r="E376" t="inlineStr">
        <is>
          <t>MAT-ACTUATOR-BELIMO-FSLF24</t>
        </is>
      </c>
      <c r="F376" t="inlineStr">
        <is>
          <t>Cái</t>
        </is>
      </c>
      <c r="G376" s="17" t="n">
        <v>1</v>
      </c>
      <c r="H376" s="13">
        <f>'00_TONG_HOP_BAO_GIA'!G39</f>
        <v/>
      </c>
      <c r="I376" s="18">
        <f>G376*H376</f>
        <v/>
      </c>
      <c r="J376" s="13">
        <f>IFERROR(INDEX('06_BANG_GIA_VAT_TU_AP_DUNG'!$E$1:$E$5000, MATCH(E376, '06_BANG_GIA_VAT_TU_AP_DUNG'!$B$1:$B$5000, 0)), 0)</f>
        <v/>
      </c>
      <c r="K376" s="13">
        <f>I376*J376</f>
        <v/>
      </c>
      <c r="L376" t="inlineStr">
        <is>
          <t>Động cơ lò xo phản hồi MFD (1 bộ)</t>
        </is>
      </c>
    </row>
    <row r="377">
      <c r="A377" t="inlineStr">
        <is>
          <t>SW-DAMPER-038-FB10-BODY</t>
        </is>
      </c>
      <c r="B377" t="inlineStr">
        <is>
          <t>SW-DAMPER-038</t>
        </is>
      </c>
      <c r="C377" t="inlineStr">
        <is>
          <t>Tấm chống cháy dày 10mm bọc thân van FD/MFD (2 lớp)</t>
        </is>
      </c>
      <c r="D377" t="inlineStr">
        <is>
          <t>VẬT_LIỆU_CÁCH_NHIỆT</t>
        </is>
      </c>
      <c r="E377" t="inlineStr">
        <is>
          <t>MAT-FIREBOARD-10MM-BODY</t>
        </is>
      </c>
      <c r="F377" t="inlineStr">
        <is>
          <t>m2</t>
        </is>
      </c>
      <c r="G377" s="17" t="n">
        <v>1.632527057867851</v>
      </c>
      <c r="H377" s="13">
        <f>'00_TONG_HOP_BAO_GIA'!G39</f>
        <v/>
      </c>
      <c r="I377" s="18">
        <f>G377*H377</f>
        <v/>
      </c>
      <c r="J377" s="13">
        <f>IFERROR(INDEX('06_BANG_GIA_VAT_TU_AP_DUNG'!$E$1:$E$5000, MATCH(E377, '06_BANG_GIA_VAT_TU_AP_DUNG'!$B$1:$B$5000, 0)), 0)</f>
        <v/>
      </c>
      <c r="K377" s="13">
        <f>I377*J377</f>
        <v/>
      </c>
      <c r="L377" t="inlineStr">
        <is>
          <t>Bọc 2 lớp tấm 10mm quanh thân L=300mm</t>
        </is>
      </c>
    </row>
    <row r="378">
      <c r="A378" t="inlineStr">
        <is>
          <t>SW-DAMPER-038-FB20-BLADE</t>
        </is>
      </c>
      <c r="B378" t="inlineStr">
        <is>
          <t>SW-DAMPER-038</t>
        </is>
      </c>
      <c r="C378" t="inlineStr">
        <is>
          <t>Tấm chống cháy dày 20mm làm lõi cánh van FD/MFD</t>
        </is>
      </c>
      <c r="D378" t="inlineStr">
        <is>
          <t>VẬT_LIỆU_CÁCH_NHIỆT</t>
        </is>
      </c>
      <c r="E378" t="inlineStr">
        <is>
          <t>MAT-FIREBOARD-20MM-BLADE</t>
        </is>
      </c>
      <c r="F378" t="inlineStr">
        <is>
          <t>m2</t>
        </is>
      </c>
      <c r="G378" s="17" t="n">
        <v>0.3462936183356048</v>
      </c>
      <c r="H378" s="13">
        <f>'00_TONG_HOP_BAO_GIA'!G39</f>
        <v/>
      </c>
      <c r="I378" s="18">
        <f>G378*H378</f>
        <v/>
      </c>
      <c r="J378" s="13">
        <f>IFERROR(INDEX('06_BANG_GIA_VAT_TU_AP_DUNG'!$E$1:$E$5000, MATCH(E378, '06_BANG_GIA_VAT_TU_AP_DUNG'!$B$1:$B$5000, 0)), 0)</f>
        <v/>
      </c>
      <c r="K378" s="13">
        <f>I378*J378</f>
        <v/>
      </c>
      <c r="L378" t="inlineStr">
        <is>
          <t>Lõi cánh tấm 20mm (Cánh đơn 700x400mm)</t>
        </is>
      </c>
    </row>
    <row r="379">
      <c r="A379" t="inlineStr">
        <is>
          <t>SW-DAMPER-038-FB10-BLADE</t>
        </is>
      </c>
      <c r="B379" t="inlineStr">
        <is>
          <t>SW-DAMPER-038</t>
        </is>
      </c>
      <c r="C379" t="inlineStr">
        <is>
          <t>Tấm chống cháy dày 10mm ốp 2 mặt cánh van FD/MFD</t>
        </is>
      </c>
      <c r="D379" t="inlineStr">
        <is>
          <t>VẬT_LIỆU_CÁCH_NHIỆT</t>
        </is>
      </c>
      <c r="E379" t="inlineStr">
        <is>
          <t>MAT-FIREBOARD-10MM-BLADE</t>
        </is>
      </c>
      <c r="F379" t="inlineStr">
        <is>
          <t>m2</t>
        </is>
      </c>
      <c r="G379" s="17" t="n">
        <v>0.6925872366712096</v>
      </c>
      <c r="H379" s="13">
        <f>'00_TONG_HOP_BAO_GIA'!G39</f>
        <v/>
      </c>
      <c r="I379" s="18">
        <f>G379*H379</f>
        <v/>
      </c>
      <c r="J379" s="13">
        <f>IFERROR(INDEX('06_BANG_GIA_VAT_TU_AP_DUNG'!$E$1:$E$5000, MATCH(E379, '06_BANG_GIA_VAT_TU_AP_DUNG'!$B$1:$B$5000, 0)), 0)</f>
        <v/>
      </c>
      <c r="K379" s="13">
        <f>I379*J379</f>
        <v/>
      </c>
      <c r="L379" t="inlineStr">
        <is>
          <t>Ốp 2 mặt cánh tấm 10mm (Cánh đơn 700x400mm)</t>
        </is>
      </c>
    </row>
    <row r="380">
      <c r="A380" t="inlineStr">
        <is>
          <t>SW-DAMPER-038-SPRING-BOX</t>
        </is>
      </c>
      <c r="B380" t="inlineStr">
        <is>
          <t>SW-DAMPER-038</t>
        </is>
      </c>
      <c r="C380" t="inlineStr">
        <is>
          <t>Hộp lò xo van chặn lửa FD/MFD</t>
        </is>
      </c>
      <c r="D380" t="inlineStr">
        <is>
          <t>PHỤ_KIỆN_VAN</t>
        </is>
      </c>
      <c r="E380" t="inlineStr">
        <is>
          <t>MAT-DAMPER-HOP-LO-XO</t>
        </is>
      </c>
      <c r="F380" t="inlineStr">
        <is>
          <t>Bộ</t>
        </is>
      </c>
      <c r="G380" s="17" t="n">
        <v>1</v>
      </c>
      <c r="H380" s="13">
        <f>'00_TONG_HOP_BAO_GIA'!G39</f>
        <v/>
      </c>
      <c r="I380" s="18">
        <f>G380*H380</f>
        <v/>
      </c>
      <c r="J380" s="13">
        <f>IFERROR(INDEX('06_BANG_GIA_VAT_TU_AP_DUNG'!$E$1:$E$5000, MATCH(E380, '06_BANG_GIA_VAT_TU_AP_DUNG'!$B$1:$B$5000, 0)), 0)</f>
        <v/>
      </c>
      <c r="K380" s="13">
        <f>I380*J380</f>
        <v/>
      </c>
      <c r="L380" t="inlineStr">
        <is>
          <t>Hộp lò xo cơ cấu đóng sập (1 bộ)</t>
        </is>
      </c>
    </row>
    <row r="381">
      <c r="A381" t="inlineStr">
        <is>
          <t>SW-DAMPER-038-SILICON-BOLT</t>
        </is>
      </c>
      <c r="B381" t="inlineStr">
        <is>
          <t>SW-DAMPER-038</t>
        </is>
      </c>
      <c r="C381" t="inlineStr">
        <is>
          <t>Silicon chống cháy + bu lông, ốc vít van FD/MFD</t>
        </is>
      </c>
      <c r="D381" t="inlineStr">
        <is>
          <t>PHỤ_KIỆN_VAN</t>
        </is>
      </c>
      <c r="E381" t="inlineStr">
        <is>
          <t>MAT-DAMPER-SILICON-BULONG-VIT</t>
        </is>
      </c>
      <c r="F381" t="inlineStr">
        <is>
          <t>Bộ</t>
        </is>
      </c>
      <c r="G381" s="17" t="n">
        <v>1</v>
      </c>
      <c r="H381" s="13">
        <f>'00_TONG_HOP_BAO_GIA'!G39</f>
        <v/>
      </c>
      <c r="I381" s="18">
        <f>G381*H381</f>
        <v/>
      </c>
      <c r="J381" s="13">
        <f>IFERROR(INDEX('06_BANG_GIA_VAT_TU_AP_DUNG'!$E$1:$E$5000, MATCH(E381, '06_BANG_GIA_VAT_TU_AP_DUNG'!$B$1:$B$5000, 0)), 0)</f>
        <v/>
      </c>
      <c r="K381" s="13">
        <f>I381*J381</f>
        <v/>
      </c>
      <c r="L381" t="inlineStr">
        <is>
          <t>Keo silicon chống cháy &amp; phụ kiện lắp ghép (1 bộ)</t>
        </is>
      </c>
    </row>
    <row r="382">
      <c r="A382" t="inlineStr">
        <is>
          <t>SW-DAMPER-039-BODY</t>
        </is>
      </c>
      <c r="B382" t="inlineStr">
        <is>
          <t>SW-DAMPER-039</t>
        </is>
      </c>
      <c r="C382" t="inlineStr">
        <is>
          <t>Thân vỏ van MFD bích C30/TDF (1.15mm)</t>
        </is>
      </c>
      <c r="D382" t="inlineStr">
        <is>
          <t>TÔN_CUỘN_MẠ_KẼM</t>
        </is>
      </c>
      <c r="E382" t="inlineStr">
        <is>
          <t>MAT-STEEL-PN-1.15</t>
        </is>
      </c>
      <c r="F382" t="inlineStr">
        <is>
          <t>kg</t>
        </is>
      </c>
      <c r="G382" s="17" t="n">
        <v>8.861267542709886</v>
      </c>
      <c r="H382" s="13">
        <f>'00_TONG_HOP_BAO_GIA'!G40</f>
        <v/>
      </c>
      <c r="I382" s="18">
        <f>G382*H382</f>
        <v/>
      </c>
      <c r="J382" s="13">
        <f>IFERROR(INDEX('06_BANG_GIA_VAT_TU_AP_DUNG'!$E$1:$E$5000, MATCH(E382, '06_BANG_GIA_VAT_TU_AP_DUNG'!$B$1:$B$5000, 0)), 0)</f>
        <v/>
      </c>
      <c r="K382" s="13">
        <f>I382*J382</f>
        <v/>
      </c>
      <c r="L382" t="inlineStr">
        <is>
          <t>Kích thước vỏ 1000x400x200mm</t>
        </is>
      </c>
    </row>
    <row r="383">
      <c r="A383" t="inlineStr">
        <is>
          <t>SW-DAMPER-039-BLADE</t>
        </is>
      </c>
      <c r="B383" t="inlineStr">
        <is>
          <t>SW-DAMPER-039</t>
        </is>
      </c>
      <c r="C383" t="inlineStr">
        <is>
          <t>Lá cánh / Tôn tấm bọc van (1 cánh)</t>
        </is>
      </c>
      <c r="D383" t="inlineStr">
        <is>
          <t>TÔN_CUỘN_MẠ_KẼM</t>
        </is>
      </c>
      <c r="E383" t="inlineStr">
        <is>
          <t>MAT-STEEL-PN-1.15</t>
        </is>
      </c>
      <c r="F383" t="inlineStr">
        <is>
          <t>kg</t>
        </is>
      </c>
      <c r="G383" s="17" t="n">
        <v>8.804697362158018</v>
      </c>
      <c r="H383" s="13">
        <f>'00_TONG_HOP_BAO_GIA'!G40</f>
        <v/>
      </c>
      <c r="I383" s="18">
        <f>G383*H383</f>
        <v/>
      </c>
      <c r="J383" s="13">
        <f>IFERROR(INDEX('06_BANG_GIA_VAT_TU_AP_DUNG'!$E$1:$E$5000, MATCH(E383, '06_BANG_GIA_VAT_TU_AP_DUNG'!$B$1:$B$5000, 0)), 0)</f>
        <v/>
      </c>
      <c r="K383" s="13">
        <f>I383*J383</f>
        <v/>
      </c>
      <c r="L383" t="inlineStr">
        <is>
          <t>Tôn bọc cánh &amp; thân (1 cánh/modul)</t>
        </is>
      </c>
    </row>
    <row r="384">
      <c r="A384" t="inlineStr">
        <is>
          <t>SW-DAMPER-039-AXLE</t>
        </is>
      </c>
      <c r="B384" t="inlineStr">
        <is>
          <t>SW-DAMPER-039</t>
        </is>
      </c>
      <c r="C384" t="inlineStr">
        <is>
          <t>Trục Sus 201 D10</t>
        </is>
      </c>
      <c r="D384" t="inlineStr">
        <is>
          <t>PHỤ_KIỆN_VAN</t>
        </is>
      </c>
      <c r="E384" t="inlineStr">
        <is>
          <t>MAT-DAMPER-TRUC-SUS-201-D10</t>
        </is>
      </c>
      <c r="F384" t="inlineStr">
        <is>
          <t>m</t>
        </is>
      </c>
      <c r="G384" s="17" t="n">
        <v>1.292298422028178</v>
      </c>
      <c r="H384" s="13">
        <f>'00_TONG_HOP_BAO_GIA'!G40</f>
        <v/>
      </c>
      <c r="I384" s="18">
        <f>G384*H384</f>
        <v/>
      </c>
      <c r="J384" s="13">
        <f>IFERROR(INDEX('06_BANG_GIA_VAT_TU_AP_DUNG'!$E$1:$E$5000, MATCH(E384, '06_BANG_GIA_VAT_TU_AP_DUNG'!$B$1:$B$5000, 0)), 0)</f>
        <v/>
      </c>
      <c r="K384" s="13">
        <f>I384*J384</f>
        <v/>
      </c>
      <c r="L384" t="inlineStr">
        <is>
          <t>1 trục dài 1060mm</t>
        </is>
      </c>
    </row>
    <row r="385">
      <c r="A385" t="inlineStr">
        <is>
          <t>SW-DAMPER-039-BEARING</t>
        </is>
      </c>
      <c r="B385" t="inlineStr">
        <is>
          <t>SW-DAMPER-039</t>
        </is>
      </c>
      <c r="C385" t="inlineStr">
        <is>
          <t>Bạc đồng D10</t>
        </is>
      </c>
      <c r="D385" t="inlineStr">
        <is>
          <t>PHỤ_KIỆN_VAN</t>
        </is>
      </c>
      <c r="E385" t="inlineStr">
        <is>
          <t>MAT-DAMPER-BAC-DONG-D10</t>
        </is>
      </c>
      <c r="F385" t="inlineStr">
        <is>
          <t>Đôi</t>
        </is>
      </c>
      <c r="G385" s="17" t="n">
        <v>1</v>
      </c>
      <c r="H385" s="13">
        <f>'00_TONG_HOP_BAO_GIA'!G40</f>
        <v/>
      </c>
      <c r="I385" s="18">
        <f>G385*H385</f>
        <v/>
      </c>
      <c r="J385" s="13">
        <f>IFERROR(INDEX('06_BANG_GIA_VAT_TU_AP_DUNG'!$E$1:$E$5000, MATCH(E385, '06_BANG_GIA_VAT_TU_AP_DUNG'!$B$1:$B$5000, 0)), 0)</f>
        <v/>
      </c>
      <c r="K385" s="13">
        <f>I385*J385</f>
        <v/>
      </c>
      <c r="L385" t="inlineStr">
        <is>
          <t>1 đôi bạc đỡ 2 bên thân</t>
        </is>
      </c>
    </row>
    <row r="386">
      <c r="A386" t="inlineStr">
        <is>
          <t>SW-DAMPER-039-ACTUATOR</t>
        </is>
      </c>
      <c r="B386" t="inlineStr">
        <is>
          <t>SW-DAMPER-039</t>
        </is>
      </c>
      <c r="C386" t="inlineStr">
        <is>
          <t>Động cơ chặn lửa ON/OFF 3.5Nm, 230V/24V (BELIMO FSLF24 / FSLF230)</t>
        </is>
      </c>
      <c r="D386" t="inlineStr">
        <is>
          <t>ĐỘNG_CƠ_VÀ_CẢM_BIẾN</t>
        </is>
      </c>
      <c r="E386" t="inlineStr">
        <is>
          <t>MAT-ACTUATOR-BELIMO-FSLF24</t>
        </is>
      </c>
      <c r="F386" t="inlineStr">
        <is>
          <t>Cái</t>
        </is>
      </c>
      <c r="G386" s="17" t="n">
        <v>1</v>
      </c>
      <c r="H386" s="13">
        <f>'00_TONG_HOP_BAO_GIA'!G40</f>
        <v/>
      </c>
      <c r="I386" s="18">
        <f>G386*H386</f>
        <v/>
      </c>
      <c r="J386" s="13">
        <f>IFERROR(INDEX('06_BANG_GIA_VAT_TU_AP_DUNG'!$E$1:$E$5000, MATCH(E386, '06_BANG_GIA_VAT_TU_AP_DUNG'!$B$1:$B$5000, 0)), 0)</f>
        <v/>
      </c>
      <c r="K386" s="13">
        <f>I386*J386</f>
        <v/>
      </c>
      <c r="L386" t="inlineStr">
        <is>
          <t>Động cơ lò xo phản hồi MFD (1 bộ)</t>
        </is>
      </c>
    </row>
    <row r="387">
      <c r="A387" t="inlineStr">
        <is>
          <t>SW-DAMPER-039-FB10-BODY</t>
        </is>
      </c>
      <c r="B387" t="inlineStr">
        <is>
          <t>SW-DAMPER-039</t>
        </is>
      </c>
      <c r="C387" t="inlineStr">
        <is>
          <t>Tấm chống cháy dày 10mm bọc thân van FD/MFD (2 lớp)</t>
        </is>
      </c>
      <c r="D387" t="inlineStr">
        <is>
          <t>VẬT_LIỆU_CÁCH_NHIỆT</t>
        </is>
      </c>
      <c r="E387" t="inlineStr">
        <is>
          <t>MAT-FIREBOARD-10MM-BODY</t>
        </is>
      </c>
      <c r="F387" t="inlineStr">
        <is>
          <t>m2</t>
        </is>
      </c>
      <c r="G387" s="17" t="n">
        <v>2.048171083969188</v>
      </c>
      <c r="H387" s="13">
        <f>'00_TONG_HOP_BAO_GIA'!G40</f>
        <v/>
      </c>
      <c r="I387" s="18">
        <f>G387*H387</f>
        <v/>
      </c>
      <c r="J387" s="13">
        <f>IFERROR(INDEX('06_BANG_GIA_VAT_TU_AP_DUNG'!$E$1:$E$5000, MATCH(E387, '06_BANG_GIA_VAT_TU_AP_DUNG'!$B$1:$B$5000, 0)), 0)</f>
        <v/>
      </c>
      <c r="K387" s="13">
        <f>I387*J387</f>
        <v/>
      </c>
      <c r="L387" t="inlineStr">
        <is>
          <t>Bọc 2 lớp tấm 10mm quanh thân L=300mm</t>
        </is>
      </c>
    </row>
    <row r="388">
      <c r="A388" t="inlineStr">
        <is>
          <t>SW-DAMPER-039-FB20-BLADE</t>
        </is>
      </c>
      <c r="B388" t="inlineStr">
        <is>
          <t>SW-DAMPER-039</t>
        </is>
      </c>
      <c r="C388" t="inlineStr">
        <is>
          <t>Tấm chống cháy dày 20mm làm lõi cánh van FD/MFD</t>
        </is>
      </c>
      <c r="D388" t="inlineStr">
        <is>
          <t>VẬT_LIỆU_CÁCH_NHIỆT</t>
        </is>
      </c>
      <c r="E388" t="inlineStr">
        <is>
          <t>MAT-FIREBOARD-20MM-BLADE</t>
        </is>
      </c>
      <c r="F388" t="inlineStr">
        <is>
          <t>m2</t>
        </is>
      </c>
      <c r="G388" s="17" t="n">
        <v>0.4876597818974257</v>
      </c>
      <c r="H388" s="13">
        <f>'00_TONG_HOP_BAO_GIA'!G40</f>
        <v/>
      </c>
      <c r="I388" s="18">
        <f>G388*H388</f>
        <v/>
      </c>
      <c r="J388" s="13">
        <f>IFERROR(INDEX('06_BANG_GIA_VAT_TU_AP_DUNG'!$E$1:$E$5000, MATCH(E388, '06_BANG_GIA_VAT_TU_AP_DUNG'!$B$1:$B$5000, 0)), 0)</f>
        <v/>
      </c>
      <c r="K388" s="13">
        <f>I388*J388</f>
        <v/>
      </c>
      <c r="L388" t="inlineStr">
        <is>
          <t>Lõi cánh tấm 20mm (Cánh đơn 1000x400mm)</t>
        </is>
      </c>
    </row>
    <row r="389">
      <c r="A389" t="inlineStr">
        <is>
          <t>SW-DAMPER-039-FB10-BLADE</t>
        </is>
      </c>
      <c r="B389" t="inlineStr">
        <is>
          <t>SW-DAMPER-039</t>
        </is>
      </c>
      <c r="C389" t="inlineStr">
        <is>
          <t>Tấm chống cháy dày 10mm ốp 2 mặt cánh van FD/MFD</t>
        </is>
      </c>
      <c r="D389" t="inlineStr">
        <is>
          <t>VẬT_LIỆU_CÁCH_NHIỆT</t>
        </is>
      </c>
      <c r="E389" t="inlineStr">
        <is>
          <t>MAT-FIREBOARD-10MM-BLADE</t>
        </is>
      </c>
      <c r="F389" t="inlineStr">
        <is>
          <t>m2</t>
        </is>
      </c>
      <c r="G389" s="17" t="n">
        <v>0.9753195637948514</v>
      </c>
      <c r="H389" s="13">
        <f>'00_TONG_HOP_BAO_GIA'!G40</f>
        <v/>
      </c>
      <c r="I389" s="18">
        <f>G389*H389</f>
        <v/>
      </c>
      <c r="J389" s="13">
        <f>IFERROR(INDEX('06_BANG_GIA_VAT_TU_AP_DUNG'!$E$1:$E$5000, MATCH(E389, '06_BANG_GIA_VAT_TU_AP_DUNG'!$B$1:$B$5000, 0)), 0)</f>
        <v/>
      </c>
      <c r="K389" s="13">
        <f>I389*J389</f>
        <v/>
      </c>
      <c r="L389" t="inlineStr">
        <is>
          <t>Ốp 2 mặt cánh tấm 10mm (Cánh đơn 1000x400mm)</t>
        </is>
      </c>
    </row>
    <row r="390">
      <c r="A390" t="inlineStr">
        <is>
          <t>SW-DAMPER-039-SPRING-BOX</t>
        </is>
      </c>
      <c r="B390" t="inlineStr">
        <is>
          <t>SW-DAMPER-039</t>
        </is>
      </c>
      <c r="C390" t="inlineStr">
        <is>
          <t>Hộp lò xo van chặn lửa FD/MFD</t>
        </is>
      </c>
      <c r="D390" t="inlineStr">
        <is>
          <t>PHỤ_KIỆN_VAN</t>
        </is>
      </c>
      <c r="E390" t="inlineStr">
        <is>
          <t>MAT-DAMPER-HOP-LO-XO</t>
        </is>
      </c>
      <c r="F390" t="inlineStr">
        <is>
          <t>Bộ</t>
        </is>
      </c>
      <c r="G390" s="17" t="n">
        <v>1</v>
      </c>
      <c r="H390" s="13">
        <f>'00_TONG_HOP_BAO_GIA'!G40</f>
        <v/>
      </c>
      <c r="I390" s="18">
        <f>G390*H390</f>
        <v/>
      </c>
      <c r="J390" s="13">
        <f>IFERROR(INDEX('06_BANG_GIA_VAT_TU_AP_DUNG'!$E$1:$E$5000, MATCH(E390, '06_BANG_GIA_VAT_TU_AP_DUNG'!$B$1:$B$5000, 0)), 0)</f>
        <v/>
      </c>
      <c r="K390" s="13">
        <f>I390*J390</f>
        <v/>
      </c>
      <c r="L390" t="inlineStr">
        <is>
          <t>Hộp lò xo cơ cấu đóng sập (1 bộ)</t>
        </is>
      </c>
    </row>
    <row r="391">
      <c r="A391" t="inlineStr">
        <is>
          <t>SW-DAMPER-039-SILICON-BOLT</t>
        </is>
      </c>
      <c r="B391" t="inlineStr">
        <is>
          <t>SW-DAMPER-039</t>
        </is>
      </c>
      <c r="C391" t="inlineStr">
        <is>
          <t>Silicon chống cháy + bu lông, ốc vít van FD/MFD</t>
        </is>
      </c>
      <c r="D391" t="inlineStr">
        <is>
          <t>PHỤ_KIỆN_VAN</t>
        </is>
      </c>
      <c r="E391" t="inlineStr">
        <is>
          <t>MAT-DAMPER-SILICON-BULONG-VIT</t>
        </is>
      </c>
      <c r="F391" t="inlineStr">
        <is>
          <t>Bộ</t>
        </is>
      </c>
      <c r="G391" s="17" t="n">
        <v>1</v>
      </c>
      <c r="H391" s="13">
        <f>'00_TONG_HOP_BAO_GIA'!G40</f>
        <v/>
      </c>
      <c r="I391" s="18">
        <f>G391*H391</f>
        <v/>
      </c>
      <c r="J391" s="13">
        <f>IFERROR(INDEX('06_BANG_GIA_VAT_TU_AP_DUNG'!$E$1:$E$5000, MATCH(E391, '06_BANG_GIA_VAT_TU_AP_DUNG'!$B$1:$B$5000, 0)), 0)</f>
        <v/>
      </c>
      <c r="K391" s="13">
        <f>I391*J391</f>
        <v/>
      </c>
      <c r="L391" t="inlineStr">
        <is>
          <t>Keo silicon chống cháy &amp; phụ kiện lắp ghép (1 bộ)</t>
        </is>
      </c>
    </row>
    <row r="392">
      <c r="A392" t="inlineStr">
        <is>
          <t>SW-DAMPER-040-BODY</t>
        </is>
      </c>
      <c r="B392" t="inlineStr">
        <is>
          <t>SW-DAMPER-040</t>
        </is>
      </c>
      <c r="C392" t="inlineStr">
        <is>
          <t>Thân vỏ van MFD bích C30/TDF (1.15mm)</t>
        </is>
      </c>
      <c r="D392" t="inlineStr">
        <is>
          <t>TÔN_CUỘN_MẠ_KẼM</t>
        </is>
      </c>
      <c r="E392" t="inlineStr">
        <is>
          <t>MAT-STEEL-PN-1.15</t>
        </is>
      </c>
      <c r="F392" t="inlineStr">
        <is>
          <t>kg</t>
        </is>
      </c>
      <c r="G392" s="17" t="n">
        <v>23.86620118273035</v>
      </c>
      <c r="H392" s="13">
        <f>'00_TONG_HOP_BAO_GIA'!G41</f>
        <v/>
      </c>
      <c r="I392" s="18">
        <f>G392*H392</f>
        <v/>
      </c>
      <c r="J392" s="13">
        <f>IFERROR(INDEX('06_BANG_GIA_VAT_TU_AP_DUNG'!$E$1:$E$5000, MATCH(E392, '06_BANG_GIA_VAT_TU_AP_DUNG'!$B$1:$B$5000, 0)), 0)</f>
        <v/>
      </c>
      <c r="K392" s="13">
        <f>I392*J392</f>
        <v/>
      </c>
      <c r="L392" t="inlineStr">
        <is>
          <t>Kích thước vỏ 1300x1200x200mm (2 modul 1300x600mm)</t>
        </is>
      </c>
    </row>
    <row r="393">
      <c r="A393" t="inlineStr">
        <is>
          <t>SW-DAMPER-040-BLADE</t>
        </is>
      </c>
      <c r="B393" t="inlineStr">
        <is>
          <t>SW-DAMPER-040</t>
        </is>
      </c>
      <c r="C393" t="inlineStr">
        <is>
          <t>Lá cánh / Tôn tấm bọc van (2 cánh)</t>
        </is>
      </c>
      <c r="D393" t="inlineStr">
        <is>
          <t>TÔN_CUỘN_MẠ_KẼM</t>
        </is>
      </c>
      <c r="E393" t="inlineStr">
        <is>
          <t>MAT-STEEL-PN-1.15</t>
        </is>
      </c>
      <c r="F393" t="inlineStr">
        <is>
          <t>kg</t>
        </is>
      </c>
      <c r="G393" s="17" t="n">
        <v>34.19980328213122</v>
      </c>
      <c r="H393" s="13">
        <f>'00_TONG_HOP_BAO_GIA'!G41</f>
        <v/>
      </c>
      <c r="I393" s="18">
        <f>G393*H393</f>
        <v/>
      </c>
      <c r="J393" s="13">
        <f>IFERROR(INDEX('06_BANG_GIA_VAT_TU_AP_DUNG'!$E$1:$E$5000, MATCH(E393, '06_BANG_GIA_VAT_TU_AP_DUNG'!$B$1:$B$5000, 0)), 0)</f>
        <v/>
      </c>
      <c r="K393" s="13">
        <f>I393*J393</f>
        <v/>
      </c>
      <c r="L393" t="inlineStr">
        <is>
          <t>Tôn bọc cánh &amp; thân (1 cánh/modul (2 modul 1300x600mm))</t>
        </is>
      </c>
    </row>
    <row r="394">
      <c r="A394" t="inlineStr">
        <is>
          <t>SW-DAMPER-040-AXLE</t>
        </is>
      </c>
      <c r="B394" t="inlineStr">
        <is>
          <t>SW-DAMPER-040</t>
        </is>
      </c>
      <c r="C394" t="inlineStr">
        <is>
          <t>Trục Sus 201 D10</t>
        </is>
      </c>
      <c r="D394" t="inlineStr">
        <is>
          <t>PHỤ_KIỆN_VAN</t>
        </is>
      </c>
      <c r="E394" t="inlineStr">
        <is>
          <t>MAT-DAMPER-TRUC-SUS-201-D10</t>
        </is>
      </c>
      <c r="F394" t="inlineStr">
        <is>
          <t>m</t>
        </is>
      </c>
      <c r="G394" s="17" t="n">
        <v>3.302709844115805</v>
      </c>
      <c r="H394" s="13">
        <f>'00_TONG_HOP_BAO_GIA'!G41</f>
        <v/>
      </c>
      <c r="I394" s="18">
        <f>G394*H394</f>
        <v/>
      </c>
      <c r="J394" s="13">
        <f>IFERROR(INDEX('06_BANG_GIA_VAT_TU_AP_DUNG'!$E$1:$E$5000, MATCH(E394, '06_BANG_GIA_VAT_TU_AP_DUNG'!$B$1:$B$5000, 0)), 0)</f>
        <v/>
      </c>
      <c r="K394" s="13">
        <f>I394*J394</f>
        <v/>
      </c>
      <c r="L394" t="inlineStr">
        <is>
          <t>2 trục dài 1360mm</t>
        </is>
      </c>
    </row>
    <row r="395">
      <c r="A395" t="inlineStr">
        <is>
          <t>SW-DAMPER-040-BEARING</t>
        </is>
      </c>
      <c r="B395" t="inlineStr">
        <is>
          <t>SW-DAMPER-040</t>
        </is>
      </c>
      <c r="C395" t="inlineStr">
        <is>
          <t>Bạc đồng D10</t>
        </is>
      </c>
      <c r="D395" t="inlineStr">
        <is>
          <t>PHỤ_KIỆN_VAN</t>
        </is>
      </c>
      <c r="E395" t="inlineStr">
        <is>
          <t>MAT-DAMPER-BAC-DONG-D10</t>
        </is>
      </c>
      <c r="F395" t="inlineStr">
        <is>
          <t>Đôi</t>
        </is>
      </c>
      <c r="G395" s="17" t="n">
        <v>2</v>
      </c>
      <c r="H395" s="13">
        <f>'00_TONG_HOP_BAO_GIA'!G41</f>
        <v/>
      </c>
      <c r="I395" s="18">
        <f>G395*H395</f>
        <v/>
      </c>
      <c r="J395" s="13">
        <f>IFERROR(INDEX('06_BANG_GIA_VAT_TU_AP_DUNG'!$E$1:$E$5000, MATCH(E395, '06_BANG_GIA_VAT_TU_AP_DUNG'!$B$1:$B$5000, 0)), 0)</f>
        <v/>
      </c>
      <c r="K395" s="13">
        <f>I395*J395</f>
        <v/>
      </c>
      <c r="L395" t="inlineStr">
        <is>
          <t>2 đôi bạc đỡ 2 bên thân</t>
        </is>
      </c>
    </row>
    <row r="396">
      <c r="A396" t="inlineStr">
        <is>
          <t>SW-DAMPER-040-ACTUATOR</t>
        </is>
      </c>
      <c r="B396" t="inlineStr">
        <is>
          <t>SW-DAMPER-040</t>
        </is>
      </c>
      <c r="C396" t="inlineStr">
        <is>
          <t>Động cơ chặn lửa ON/OFF 3.5Nm, 230V/24V (BELIMO FSLF24 / FSLF230)</t>
        </is>
      </c>
      <c r="D396" t="inlineStr">
        <is>
          <t>ĐỘNG_CƠ_VÀ_CẢM_BIẾN</t>
        </is>
      </c>
      <c r="E396" t="inlineStr">
        <is>
          <t>MAT-ACTUATOR-BELIMO-FSLF24</t>
        </is>
      </c>
      <c r="F396" t="inlineStr">
        <is>
          <t>Cái</t>
        </is>
      </c>
      <c r="G396" s="17" t="n">
        <v>2</v>
      </c>
      <c r="H396" s="13">
        <f>'00_TONG_HOP_BAO_GIA'!G41</f>
        <v/>
      </c>
      <c r="I396" s="18">
        <f>G396*H396</f>
        <v/>
      </c>
      <c r="J396" s="13">
        <f>IFERROR(INDEX('06_BANG_GIA_VAT_TU_AP_DUNG'!$E$1:$E$5000, MATCH(E396, '06_BANG_GIA_VAT_TU_AP_DUNG'!$B$1:$B$5000, 0)), 0)</f>
        <v/>
      </c>
      <c r="K396" s="13">
        <f>I396*J396</f>
        <v/>
      </c>
      <c r="L396" t="inlineStr">
        <is>
          <t>Động cơ lò xo phản hồi MFD (2 bộ (2 modul 1300x600mm))</t>
        </is>
      </c>
    </row>
    <row r="397">
      <c r="A397" t="inlineStr">
        <is>
          <t>SW-DAMPER-040-FB10-BODY</t>
        </is>
      </c>
      <c r="B397" t="inlineStr">
        <is>
          <t>SW-DAMPER-040</t>
        </is>
      </c>
      <c r="C397" t="inlineStr">
        <is>
          <t>Tấm chống cháy dày 10mm bọc thân van FD/MFD (2 lớp)</t>
        </is>
      </c>
      <c r="D397" t="inlineStr">
        <is>
          <t>VẬT_LIỆU_CÁCH_NHIỆT</t>
        </is>
      </c>
      <c r="E397" t="inlineStr">
        <is>
          <t>MAT-FIREBOARD-10MM-BODY</t>
        </is>
      </c>
      <c r="F397" t="inlineStr">
        <is>
          <t>m2</t>
        </is>
      </c>
      <c r="G397" s="17" t="n">
        <v>5.53689591513532</v>
      </c>
      <c r="H397" s="13">
        <f>'00_TONG_HOP_BAO_GIA'!G41</f>
        <v/>
      </c>
      <c r="I397" s="18">
        <f>G397*H397</f>
        <v/>
      </c>
      <c r="J397" s="13">
        <f>IFERROR(INDEX('06_BANG_GIA_VAT_TU_AP_DUNG'!$E$1:$E$5000, MATCH(E397, '06_BANG_GIA_VAT_TU_AP_DUNG'!$B$1:$B$5000, 0)), 0)</f>
        <v/>
      </c>
      <c r="K397" s="13">
        <f>I397*J397</f>
        <v/>
      </c>
      <c r="L397" t="inlineStr">
        <is>
          <t>Bọc 2 lớp tấm 10mm quanh thân L=300mm (2 modul 1300x600mm)</t>
        </is>
      </c>
    </row>
    <row r="398">
      <c r="A398" t="inlineStr">
        <is>
          <t>SW-DAMPER-040-FB20-BLADE</t>
        </is>
      </c>
      <c r="B398" t="inlineStr">
        <is>
          <t>SW-DAMPER-040</t>
        </is>
      </c>
      <c r="C398" t="inlineStr">
        <is>
          <t>Tấm chống cháy dày 20mm làm lõi cánh van FD/MFD</t>
        </is>
      </c>
      <c r="D398" t="inlineStr">
        <is>
          <t>VẬT_LIỆU_CÁCH_NHIỆT</t>
        </is>
      </c>
      <c r="E398" t="inlineStr">
        <is>
          <t>MAT-FIREBOARD-20MM-BLADE</t>
        </is>
      </c>
      <c r="F398" t="inlineStr">
        <is>
          <t>m2</t>
        </is>
      </c>
      <c r="G398" s="17" t="n">
        <v>1.894201234125241</v>
      </c>
      <c r="H398" s="13">
        <f>'00_TONG_HOP_BAO_GIA'!G41</f>
        <v/>
      </c>
      <c r="I398" s="18">
        <f>G398*H398</f>
        <v/>
      </c>
      <c r="J398" s="13">
        <f>IFERROR(INDEX('06_BANG_GIA_VAT_TU_AP_DUNG'!$E$1:$E$5000, MATCH(E398, '06_BANG_GIA_VAT_TU_AP_DUNG'!$B$1:$B$5000, 0)), 0)</f>
        <v/>
      </c>
      <c r="K398" s="13">
        <f>I398*J398</f>
        <v/>
      </c>
      <c r="L398" t="inlineStr">
        <is>
          <t>Lõi cánh tấm 20mm (Cánh đơn 1300x600mm (2 modul 1300x600mm))</t>
        </is>
      </c>
    </row>
    <row r="399">
      <c r="A399" t="inlineStr">
        <is>
          <t>SW-DAMPER-040-FB10-BLADE</t>
        </is>
      </c>
      <c r="B399" t="inlineStr">
        <is>
          <t>SW-DAMPER-040</t>
        </is>
      </c>
      <c r="C399" t="inlineStr">
        <is>
          <t>Tấm chống cháy dày 10mm ốp 2 mặt cánh van FD/MFD</t>
        </is>
      </c>
      <c r="D399" t="inlineStr">
        <is>
          <t>VẬT_LIỆU_CÁCH_NHIỆT</t>
        </is>
      </c>
      <c r="E399" t="inlineStr">
        <is>
          <t>MAT-FIREBOARD-10MM-BLADE</t>
        </is>
      </c>
      <c r="F399" t="inlineStr">
        <is>
          <t>m2</t>
        </is>
      </c>
      <c r="G399" s="17" t="n">
        <v>3.788402468250482</v>
      </c>
      <c r="H399" s="13">
        <f>'00_TONG_HOP_BAO_GIA'!G41</f>
        <v/>
      </c>
      <c r="I399" s="18">
        <f>G399*H399</f>
        <v/>
      </c>
      <c r="J399" s="13">
        <f>IFERROR(INDEX('06_BANG_GIA_VAT_TU_AP_DUNG'!$E$1:$E$5000, MATCH(E399, '06_BANG_GIA_VAT_TU_AP_DUNG'!$B$1:$B$5000, 0)), 0)</f>
        <v/>
      </c>
      <c r="K399" s="13">
        <f>I399*J399</f>
        <v/>
      </c>
      <c r="L399" t="inlineStr">
        <is>
          <t>Ốp 2 mặt cánh tấm 10mm (Cánh đơn 1300x600mm (2 modul 1300x600mm))</t>
        </is>
      </c>
    </row>
    <row r="400">
      <c r="A400" t="inlineStr">
        <is>
          <t>SW-DAMPER-040-SPRING-BOX</t>
        </is>
      </c>
      <c r="B400" t="inlineStr">
        <is>
          <t>SW-DAMPER-040</t>
        </is>
      </c>
      <c r="C400" t="inlineStr">
        <is>
          <t>Hộp lò xo van chặn lửa FD/MFD</t>
        </is>
      </c>
      <c r="D400" t="inlineStr">
        <is>
          <t>PHỤ_KIỆN_VAN</t>
        </is>
      </c>
      <c r="E400" t="inlineStr">
        <is>
          <t>MAT-DAMPER-HOP-LO-XO</t>
        </is>
      </c>
      <c r="F400" t="inlineStr">
        <is>
          <t>Bộ</t>
        </is>
      </c>
      <c r="G400" s="17" t="n">
        <v>2</v>
      </c>
      <c r="H400" s="13">
        <f>'00_TONG_HOP_BAO_GIA'!G41</f>
        <v/>
      </c>
      <c r="I400" s="18">
        <f>G400*H400</f>
        <v/>
      </c>
      <c r="J400" s="13">
        <f>IFERROR(INDEX('06_BANG_GIA_VAT_TU_AP_DUNG'!$E$1:$E$5000, MATCH(E400, '06_BANG_GIA_VAT_TU_AP_DUNG'!$B$1:$B$5000, 0)), 0)</f>
        <v/>
      </c>
      <c r="K400" s="13">
        <f>I400*J400</f>
        <v/>
      </c>
      <c r="L400" t="inlineStr">
        <is>
          <t>Hộp lò xo cơ cấu đóng sập (2 bộ)</t>
        </is>
      </c>
    </row>
    <row r="401">
      <c r="A401" t="inlineStr">
        <is>
          <t>SW-DAMPER-040-SILICON-BOLT</t>
        </is>
      </c>
      <c r="B401" t="inlineStr">
        <is>
          <t>SW-DAMPER-040</t>
        </is>
      </c>
      <c r="C401" t="inlineStr">
        <is>
          <t>Silicon chống cháy + bu lông, ốc vít van FD/MFD</t>
        </is>
      </c>
      <c r="D401" t="inlineStr">
        <is>
          <t>PHỤ_KIỆN_VAN</t>
        </is>
      </c>
      <c r="E401" t="inlineStr">
        <is>
          <t>MAT-DAMPER-SILICON-BULONG-VIT</t>
        </is>
      </c>
      <c r="F401" t="inlineStr">
        <is>
          <t>Bộ</t>
        </is>
      </c>
      <c r="G401" s="17" t="n">
        <v>2</v>
      </c>
      <c r="H401" s="13">
        <f>'00_TONG_HOP_BAO_GIA'!G41</f>
        <v/>
      </c>
      <c r="I401" s="18">
        <f>G401*H401</f>
        <v/>
      </c>
      <c r="J401" s="13">
        <f>IFERROR(INDEX('06_BANG_GIA_VAT_TU_AP_DUNG'!$E$1:$E$5000, MATCH(E401, '06_BANG_GIA_VAT_TU_AP_DUNG'!$B$1:$B$5000, 0)), 0)</f>
        <v/>
      </c>
      <c r="K401" s="13">
        <f>I401*J401</f>
        <v/>
      </c>
      <c r="L401" t="inlineStr">
        <is>
          <t>Keo silicon chống cháy &amp; phụ kiện lắp ghép (2 bộ)</t>
        </is>
      </c>
    </row>
    <row r="402">
      <c r="A402" t="inlineStr">
        <is>
          <t>SW-DAMPER-041-BODY</t>
        </is>
      </c>
      <c r="B402" t="inlineStr">
        <is>
          <t>SW-DAMPER-041</t>
        </is>
      </c>
      <c r="C402" t="inlineStr">
        <is>
          <t>Thân vỏ van MFD bích C30/TDF (1.15mm)</t>
        </is>
      </c>
      <c r="D402" t="inlineStr">
        <is>
          <t>TÔN_CUỘN_MẠ_KẼM</t>
        </is>
      </c>
      <c r="E402" t="inlineStr">
        <is>
          <t>MAT-STEEL-PN-1.15</t>
        </is>
      </c>
      <c r="F402" t="inlineStr">
        <is>
          <t>kg</t>
        </is>
      </c>
      <c r="G402" s="17" t="n">
        <v>40.72364899188087</v>
      </c>
      <c r="H402" s="13">
        <f>'00_TONG_HOP_BAO_GIA'!G42</f>
        <v/>
      </c>
      <c r="I402" s="18">
        <f>G402*H402</f>
        <v/>
      </c>
      <c r="J402" s="13">
        <f>IFERROR(INDEX('06_BANG_GIA_VAT_TU_AP_DUNG'!$E$1:$E$5000, MATCH(E402, '06_BANG_GIA_VAT_TU_AP_DUNG'!$B$1:$B$5000, 0)), 0)</f>
        <v/>
      </c>
      <c r="K402" s="13">
        <f>I402*J402</f>
        <v/>
      </c>
      <c r="L402" t="inlineStr">
        <is>
          <t>Kích thước vỏ 1500x2000x200mm (3 modul 1500x667mm)</t>
        </is>
      </c>
    </row>
    <row r="403">
      <c r="A403" t="inlineStr">
        <is>
          <t>SW-DAMPER-041-BLADE</t>
        </is>
      </c>
      <c r="B403" t="inlineStr">
        <is>
          <t>SW-DAMPER-041</t>
        </is>
      </c>
      <c r="C403" t="inlineStr">
        <is>
          <t>Lá cánh / Tôn tấm bọc van (3 cánh)</t>
        </is>
      </c>
      <c r="D403" t="inlineStr">
        <is>
          <t>TÔN_CUỘN_MẠ_KẼM</t>
        </is>
      </c>
      <c r="E403" t="inlineStr">
        <is>
          <t>MAT-STEEL-PN-1.15</t>
        </is>
      </c>
      <c r="F403" t="inlineStr">
        <is>
          <t>kg</t>
        </is>
      </c>
      <c r="G403" s="17" t="n">
        <v>65.69178118447682</v>
      </c>
      <c r="H403" s="13">
        <f>'00_TONG_HOP_BAO_GIA'!G42</f>
        <v/>
      </c>
      <c r="I403" s="18">
        <f>G403*H403</f>
        <v/>
      </c>
      <c r="J403" s="13">
        <f>IFERROR(INDEX('06_BANG_GIA_VAT_TU_AP_DUNG'!$E$1:$E$5000, MATCH(E403, '06_BANG_GIA_VAT_TU_AP_DUNG'!$B$1:$B$5000, 0)), 0)</f>
        <v/>
      </c>
      <c r="K403" s="13">
        <f>I403*J403</f>
        <v/>
      </c>
      <c r="L403" t="inlineStr">
        <is>
          <t>Tôn bọc cánh &amp; thân (1 cánh/modul (3 modul 1500x667mm))</t>
        </is>
      </c>
    </row>
    <row r="404">
      <c r="A404" t="inlineStr">
        <is>
          <t>SW-DAMPER-041-AXLE</t>
        </is>
      </c>
      <c r="B404" t="inlineStr">
        <is>
          <t>SW-DAMPER-041</t>
        </is>
      </c>
      <c r="C404" t="inlineStr">
        <is>
          <t>Trục Sus 201 D10</t>
        </is>
      </c>
      <c r="D404" t="inlineStr">
        <is>
          <t>PHỤ_KIỆN_VAN</t>
        </is>
      </c>
      <c r="E404" t="inlineStr">
        <is>
          <t>MAT-DAMPER-TRUC-SUS-201-D10</t>
        </is>
      </c>
      <c r="F404" t="inlineStr">
        <is>
          <t>m</t>
        </is>
      </c>
      <c r="G404" s="17" t="n">
        <v>5.675944538786146</v>
      </c>
      <c r="H404" s="13">
        <f>'00_TONG_HOP_BAO_GIA'!G42</f>
        <v/>
      </c>
      <c r="I404" s="18">
        <f>G404*H404</f>
        <v/>
      </c>
      <c r="J404" s="13">
        <f>IFERROR(INDEX('06_BANG_GIA_VAT_TU_AP_DUNG'!$E$1:$E$5000, MATCH(E404, '06_BANG_GIA_VAT_TU_AP_DUNG'!$B$1:$B$5000, 0)), 0)</f>
        <v/>
      </c>
      <c r="K404" s="13">
        <f>I404*J404</f>
        <v/>
      </c>
      <c r="L404" t="inlineStr">
        <is>
          <t>3 trục dài 1560mm</t>
        </is>
      </c>
    </row>
    <row r="405">
      <c r="A405" t="inlineStr">
        <is>
          <t>SW-DAMPER-041-BEARING</t>
        </is>
      </c>
      <c r="B405" t="inlineStr">
        <is>
          <t>SW-DAMPER-041</t>
        </is>
      </c>
      <c r="C405" t="inlineStr">
        <is>
          <t>Bạc đồng D10</t>
        </is>
      </c>
      <c r="D405" t="inlineStr">
        <is>
          <t>PHỤ_KIỆN_VAN</t>
        </is>
      </c>
      <c r="E405" t="inlineStr">
        <is>
          <t>MAT-DAMPER-BAC-DONG-D10</t>
        </is>
      </c>
      <c r="F405" t="inlineStr">
        <is>
          <t>Đôi</t>
        </is>
      </c>
      <c r="G405" s="17" t="n">
        <v>3</v>
      </c>
      <c r="H405" s="13">
        <f>'00_TONG_HOP_BAO_GIA'!G42</f>
        <v/>
      </c>
      <c r="I405" s="18">
        <f>G405*H405</f>
        <v/>
      </c>
      <c r="J405" s="13">
        <f>IFERROR(INDEX('06_BANG_GIA_VAT_TU_AP_DUNG'!$E$1:$E$5000, MATCH(E405, '06_BANG_GIA_VAT_TU_AP_DUNG'!$B$1:$B$5000, 0)), 0)</f>
        <v/>
      </c>
      <c r="K405" s="13">
        <f>I405*J405</f>
        <v/>
      </c>
      <c r="L405" t="inlineStr">
        <is>
          <t>3 đôi bạc đỡ 2 bên thân</t>
        </is>
      </c>
    </row>
    <row r="406">
      <c r="A406" t="inlineStr">
        <is>
          <t>SW-DAMPER-041-ACTUATOR</t>
        </is>
      </c>
      <c r="B406" t="inlineStr">
        <is>
          <t>SW-DAMPER-041</t>
        </is>
      </c>
      <c r="C406" t="inlineStr">
        <is>
          <t>Động cơ chặn lửa ON/OFF 3.5Nm, 230V/24V (BELIMO FSLF24 / FSLF230)</t>
        </is>
      </c>
      <c r="D406" t="inlineStr">
        <is>
          <t>ĐỘNG_CƠ_VÀ_CẢM_BIẾN</t>
        </is>
      </c>
      <c r="E406" t="inlineStr">
        <is>
          <t>MAT-ACTUATOR-BELIMO-FSLF24</t>
        </is>
      </c>
      <c r="F406" t="inlineStr">
        <is>
          <t>Cái</t>
        </is>
      </c>
      <c r="G406" s="17" t="n">
        <v>3</v>
      </c>
      <c r="H406" s="13">
        <f>'00_TONG_HOP_BAO_GIA'!G42</f>
        <v/>
      </c>
      <c r="I406" s="18">
        <f>G406*H406</f>
        <v/>
      </c>
      <c r="J406" s="13">
        <f>IFERROR(INDEX('06_BANG_GIA_VAT_TU_AP_DUNG'!$E$1:$E$5000, MATCH(E406, '06_BANG_GIA_VAT_TU_AP_DUNG'!$B$1:$B$5000, 0)), 0)</f>
        <v/>
      </c>
      <c r="K406" s="13">
        <f>I406*J406</f>
        <v/>
      </c>
      <c r="L406" t="inlineStr">
        <is>
          <t>Động cơ lò xo phản hồi MFD (3 bộ (3 modul 1500x667mm))</t>
        </is>
      </c>
    </row>
    <row r="407">
      <c r="A407" t="inlineStr">
        <is>
          <t>SW-DAMPER-041-FB10-BODY</t>
        </is>
      </c>
      <c r="B407" t="inlineStr">
        <is>
          <t>SW-DAMPER-041</t>
        </is>
      </c>
      <c r="C407" t="inlineStr">
        <is>
          <t>Tấm chống cháy dày 10mm bọc thân van FD/MFD (2 lớp)</t>
        </is>
      </c>
      <c r="D407" t="inlineStr">
        <is>
          <t>VẬT_LIỆU_CÁCH_NHIỆT</t>
        </is>
      </c>
      <c r="E407" t="inlineStr">
        <is>
          <t>MAT-FIREBOARD-10MM-BODY</t>
        </is>
      </c>
      <c r="F407" t="inlineStr">
        <is>
          <t>m2</t>
        </is>
      </c>
      <c r="G407" s="17" t="n">
        <v>9.459907564643578</v>
      </c>
      <c r="H407" s="13">
        <f>'00_TONG_HOP_BAO_GIA'!G42</f>
        <v/>
      </c>
      <c r="I407" s="18">
        <f>G407*H407</f>
        <v/>
      </c>
      <c r="J407" s="13">
        <f>IFERROR(INDEX('06_BANG_GIA_VAT_TU_AP_DUNG'!$E$1:$E$5000, MATCH(E407, '06_BANG_GIA_VAT_TU_AP_DUNG'!$B$1:$B$5000, 0)), 0)</f>
        <v/>
      </c>
      <c r="K407" s="13">
        <f>I407*J407</f>
        <v/>
      </c>
      <c r="L407" t="inlineStr">
        <is>
          <t>Bọc 2 lớp tấm 10mm quanh thân L=300mm (3 modul 1500x667mm)</t>
        </is>
      </c>
    </row>
    <row r="408">
      <c r="A408" t="inlineStr">
        <is>
          <t>SW-DAMPER-041-FB20-BLADE</t>
        </is>
      </c>
      <c r="B408" t="inlineStr">
        <is>
          <t>SW-DAMPER-041</t>
        </is>
      </c>
      <c r="C408" t="inlineStr">
        <is>
          <t>Tấm chống cháy dày 20mm làm lõi cánh van FD/MFD</t>
        </is>
      </c>
      <c r="D408" t="inlineStr">
        <is>
          <t>VẬT_LIỆU_CÁCH_NHIỆT</t>
        </is>
      </c>
      <c r="E408" t="inlineStr">
        <is>
          <t>MAT-FIREBOARD-20MM-BLADE</t>
        </is>
      </c>
      <c r="F408" t="inlineStr">
        <is>
          <t>m2</t>
        </is>
      </c>
      <c r="G408" s="17" t="n">
        <v>3.638425986401375</v>
      </c>
      <c r="H408" s="13">
        <f>'00_TONG_HOP_BAO_GIA'!G42</f>
        <v/>
      </c>
      <c r="I408" s="18">
        <f>G408*H408</f>
        <v/>
      </c>
      <c r="J408" s="13">
        <f>IFERROR(INDEX('06_BANG_GIA_VAT_TU_AP_DUNG'!$E$1:$E$5000, MATCH(E408, '06_BANG_GIA_VAT_TU_AP_DUNG'!$B$1:$B$5000, 0)), 0)</f>
        <v/>
      </c>
      <c r="K408" s="13">
        <f>I408*J408</f>
        <v/>
      </c>
      <c r="L408" t="inlineStr">
        <is>
          <t>Lõi cánh tấm 20mm (Cánh đơn 1500x667mm (3 modul 1500x667mm))</t>
        </is>
      </c>
    </row>
    <row r="409">
      <c r="A409" t="inlineStr">
        <is>
          <t>SW-DAMPER-041-FB10-BLADE</t>
        </is>
      </c>
      <c r="B409" t="inlineStr">
        <is>
          <t>SW-DAMPER-041</t>
        </is>
      </c>
      <c r="C409" t="inlineStr">
        <is>
          <t>Tấm chống cháy dày 10mm ốp 2 mặt cánh van FD/MFD</t>
        </is>
      </c>
      <c r="D409" t="inlineStr">
        <is>
          <t>VẬT_LIỆU_CÁCH_NHIỆT</t>
        </is>
      </c>
      <c r="E409" t="inlineStr">
        <is>
          <t>MAT-FIREBOARD-10MM-BLADE</t>
        </is>
      </c>
      <c r="F409" t="inlineStr">
        <is>
          <t>m2</t>
        </is>
      </c>
      <c r="G409" s="17" t="n">
        <v>7.276851972802751</v>
      </c>
      <c r="H409" s="13">
        <f>'00_TONG_HOP_BAO_GIA'!G42</f>
        <v/>
      </c>
      <c r="I409" s="18">
        <f>G409*H409</f>
        <v/>
      </c>
      <c r="J409" s="13">
        <f>IFERROR(INDEX('06_BANG_GIA_VAT_TU_AP_DUNG'!$E$1:$E$5000, MATCH(E409, '06_BANG_GIA_VAT_TU_AP_DUNG'!$B$1:$B$5000, 0)), 0)</f>
        <v/>
      </c>
      <c r="K409" s="13">
        <f>I409*J409</f>
        <v/>
      </c>
      <c r="L409" t="inlineStr">
        <is>
          <t>Ốp 2 mặt cánh tấm 10mm (Cánh đơn 1500x667mm (3 modul 1500x667mm))</t>
        </is>
      </c>
    </row>
    <row r="410">
      <c r="A410" t="inlineStr">
        <is>
          <t>SW-DAMPER-041-SPRING-BOX</t>
        </is>
      </c>
      <c r="B410" t="inlineStr">
        <is>
          <t>SW-DAMPER-041</t>
        </is>
      </c>
      <c r="C410" t="inlineStr">
        <is>
          <t>Hộp lò xo van chặn lửa FD/MFD</t>
        </is>
      </c>
      <c r="D410" t="inlineStr">
        <is>
          <t>PHỤ_KIỆN_VAN</t>
        </is>
      </c>
      <c r="E410" t="inlineStr">
        <is>
          <t>MAT-DAMPER-HOP-LO-XO</t>
        </is>
      </c>
      <c r="F410" t="inlineStr">
        <is>
          <t>Bộ</t>
        </is>
      </c>
      <c r="G410" s="17" t="n">
        <v>3</v>
      </c>
      <c r="H410" s="13">
        <f>'00_TONG_HOP_BAO_GIA'!G42</f>
        <v/>
      </c>
      <c r="I410" s="18">
        <f>G410*H410</f>
        <v/>
      </c>
      <c r="J410" s="13">
        <f>IFERROR(INDEX('06_BANG_GIA_VAT_TU_AP_DUNG'!$E$1:$E$5000, MATCH(E410, '06_BANG_GIA_VAT_TU_AP_DUNG'!$B$1:$B$5000, 0)), 0)</f>
        <v/>
      </c>
      <c r="K410" s="13">
        <f>I410*J410</f>
        <v/>
      </c>
      <c r="L410" t="inlineStr">
        <is>
          <t>Hộp lò xo cơ cấu đóng sập (3 bộ)</t>
        </is>
      </c>
    </row>
    <row r="411">
      <c r="A411" t="inlineStr">
        <is>
          <t>SW-DAMPER-041-SILICON-BOLT</t>
        </is>
      </c>
      <c r="B411" t="inlineStr">
        <is>
          <t>SW-DAMPER-041</t>
        </is>
      </c>
      <c r="C411" t="inlineStr">
        <is>
          <t>Silicon chống cháy + bu lông, ốc vít van FD/MFD</t>
        </is>
      </c>
      <c r="D411" t="inlineStr">
        <is>
          <t>PHỤ_KIỆN_VAN</t>
        </is>
      </c>
      <c r="E411" t="inlineStr">
        <is>
          <t>MAT-DAMPER-SILICON-BULONG-VIT</t>
        </is>
      </c>
      <c r="F411" t="inlineStr">
        <is>
          <t>Bộ</t>
        </is>
      </c>
      <c r="G411" s="17" t="n">
        <v>3</v>
      </c>
      <c r="H411" s="13">
        <f>'00_TONG_HOP_BAO_GIA'!G42</f>
        <v/>
      </c>
      <c r="I411" s="18">
        <f>G411*H411</f>
        <v/>
      </c>
      <c r="J411" s="13">
        <f>IFERROR(INDEX('06_BANG_GIA_VAT_TU_AP_DUNG'!$E$1:$E$5000, MATCH(E411, '06_BANG_GIA_VAT_TU_AP_DUNG'!$B$1:$B$5000, 0)), 0)</f>
        <v/>
      </c>
      <c r="K411" s="13">
        <f>I411*J411</f>
        <v/>
      </c>
      <c r="L411" t="inlineStr">
        <is>
          <t>Keo silicon chống cháy &amp; phụ kiện lắp ghép (3 bộ)</t>
        </is>
      </c>
    </row>
    <row r="412">
      <c r="A412" t="inlineStr">
        <is>
          <t>SW-DAMPER-042-BODY</t>
        </is>
      </c>
      <c r="B412" t="inlineStr">
        <is>
          <t>SW-DAMPER-042</t>
        </is>
      </c>
      <c r="C412" t="inlineStr">
        <is>
          <t>Thân vỏ van MFD bích C30/TDF (1.15mm)</t>
        </is>
      </c>
      <c r="D412" t="inlineStr">
        <is>
          <t>TÔN_CUỘN_MẠ_KẼM</t>
        </is>
      </c>
      <c r="E412" t="inlineStr">
        <is>
          <t>MAT-STEEL-PN-1.15</t>
        </is>
      </c>
      <c r="F412" t="inlineStr">
        <is>
          <t>kg</t>
        </is>
      </c>
      <c r="G412" s="17" t="n">
        <v>86.18023388784593</v>
      </c>
      <c r="H412" s="13">
        <f>'00_TONG_HOP_BAO_GIA'!G43</f>
        <v/>
      </c>
      <c r="I412" s="18">
        <f>G412*H412</f>
        <v/>
      </c>
      <c r="J412" s="13">
        <f>IFERROR(INDEX('06_BANG_GIA_VAT_TU_AP_DUNG'!$E$1:$E$5000, MATCH(E412, '06_BANG_GIA_VAT_TU_AP_DUNG'!$B$1:$B$5000, 0)), 0)</f>
        <v/>
      </c>
      <c r="K412" s="13">
        <f>I412*J412</f>
        <v/>
      </c>
      <c r="L412" t="inlineStr">
        <is>
          <t>Kích thước vỏ 1900x3000x200mm (8 modul 950x750mm)</t>
        </is>
      </c>
    </row>
    <row r="413">
      <c r="A413" t="inlineStr">
        <is>
          <t>SW-DAMPER-042-BLADE</t>
        </is>
      </c>
      <c r="B413" t="inlineStr">
        <is>
          <t>SW-DAMPER-042</t>
        </is>
      </c>
      <c r="C413" t="inlineStr">
        <is>
          <t>Lá cánh / Tôn tấm bọc van (8 cánh)</t>
        </is>
      </c>
      <c r="D413" t="inlineStr">
        <is>
          <t>TÔN_CUỘN_MẠ_KẼM</t>
        </is>
      </c>
      <c r="E413" t="inlineStr">
        <is>
          <t>MAT-STEEL-PN-1.15</t>
        </is>
      </c>
      <c r="F413" t="inlineStr">
        <is>
          <t>kg</t>
        </is>
      </c>
      <c r="G413" s="17" t="n">
        <v>125.9247295949514</v>
      </c>
      <c r="H413" s="13">
        <f>'00_TONG_HOP_BAO_GIA'!G43</f>
        <v/>
      </c>
      <c r="I413" s="18">
        <f>G413*H413</f>
        <v/>
      </c>
      <c r="J413" s="13">
        <f>IFERROR(INDEX('06_BANG_GIA_VAT_TU_AP_DUNG'!$E$1:$E$5000, MATCH(E413, '06_BANG_GIA_VAT_TU_AP_DUNG'!$B$1:$B$5000, 0)), 0)</f>
        <v/>
      </c>
      <c r="K413" s="13">
        <f>I413*J413</f>
        <v/>
      </c>
      <c r="L413" t="inlineStr">
        <is>
          <t>Tôn bọc cánh &amp; thân (1 cánh/modul (8 modul 950x750mm))</t>
        </is>
      </c>
    </row>
    <row r="414">
      <c r="A414" t="inlineStr">
        <is>
          <t>SW-DAMPER-042-AXLE</t>
        </is>
      </c>
      <c r="B414" t="inlineStr">
        <is>
          <t>SW-DAMPER-042</t>
        </is>
      </c>
      <c r="C414" t="inlineStr">
        <is>
          <t>Trục Sus 201 D10</t>
        </is>
      </c>
      <c r="D414" t="inlineStr">
        <is>
          <t>PHỤ_KIỆN_VAN</t>
        </is>
      </c>
      <c r="E414" t="inlineStr">
        <is>
          <t>MAT-DAMPER-TRUC-SUS-201-D10</t>
        </is>
      </c>
      <c r="F414" t="inlineStr">
        <is>
          <t>m</t>
        </is>
      </c>
      <c r="G414" s="17" t="n">
        <v>9.886670020232602</v>
      </c>
      <c r="H414" s="13">
        <f>'00_TONG_HOP_BAO_GIA'!G43</f>
        <v/>
      </c>
      <c r="I414" s="18">
        <f>G414*H414</f>
        <v/>
      </c>
      <c r="J414" s="13">
        <f>IFERROR(INDEX('06_BANG_GIA_VAT_TU_AP_DUNG'!$E$1:$E$5000, MATCH(E414, '06_BANG_GIA_VAT_TU_AP_DUNG'!$B$1:$B$5000, 0)), 0)</f>
        <v/>
      </c>
      <c r="K414" s="13">
        <f>I414*J414</f>
        <v/>
      </c>
      <c r="L414" t="inlineStr">
        <is>
          <t>8 trục dài 1010mm</t>
        </is>
      </c>
    </row>
    <row r="415">
      <c r="A415" t="inlineStr">
        <is>
          <t>SW-DAMPER-042-BEARING</t>
        </is>
      </c>
      <c r="B415" t="inlineStr">
        <is>
          <t>SW-DAMPER-042</t>
        </is>
      </c>
      <c r="C415" t="inlineStr">
        <is>
          <t>Bạc đồng D10</t>
        </is>
      </c>
      <c r="D415" t="inlineStr">
        <is>
          <t>PHỤ_KIỆN_VAN</t>
        </is>
      </c>
      <c r="E415" t="inlineStr">
        <is>
          <t>MAT-DAMPER-BAC-DONG-D10</t>
        </is>
      </c>
      <c r="F415" t="inlineStr">
        <is>
          <t>Đôi</t>
        </is>
      </c>
      <c r="G415" s="17" t="n">
        <v>8</v>
      </c>
      <c r="H415" s="13">
        <f>'00_TONG_HOP_BAO_GIA'!G43</f>
        <v/>
      </c>
      <c r="I415" s="18">
        <f>G415*H415</f>
        <v/>
      </c>
      <c r="J415" s="13">
        <f>IFERROR(INDEX('06_BANG_GIA_VAT_TU_AP_DUNG'!$E$1:$E$5000, MATCH(E415, '06_BANG_GIA_VAT_TU_AP_DUNG'!$B$1:$B$5000, 0)), 0)</f>
        <v/>
      </c>
      <c r="K415" s="13">
        <f>I415*J415</f>
        <v/>
      </c>
      <c r="L415" t="inlineStr">
        <is>
          <t>8 đôi bạc đỡ 2 bên thân</t>
        </is>
      </c>
    </row>
    <row r="416">
      <c r="A416" t="inlineStr">
        <is>
          <t>SW-DAMPER-042-ACTUATOR</t>
        </is>
      </c>
      <c r="B416" t="inlineStr">
        <is>
          <t>SW-DAMPER-042</t>
        </is>
      </c>
      <c r="C416" t="inlineStr">
        <is>
          <t>Động cơ chặn lửa ON/OFF 3.5Nm, 230V/24V (BELIMO FSLF24 / FSLF230)</t>
        </is>
      </c>
      <c r="D416" t="inlineStr">
        <is>
          <t>ĐỘNG_CƠ_VÀ_CẢM_BIẾN</t>
        </is>
      </c>
      <c r="E416" t="inlineStr">
        <is>
          <t>MAT-ACTUATOR-BELIMO-FSLF24</t>
        </is>
      </c>
      <c r="F416" t="inlineStr">
        <is>
          <t>Cái</t>
        </is>
      </c>
      <c r="G416" s="17" t="n">
        <v>8</v>
      </c>
      <c r="H416" s="13">
        <f>'00_TONG_HOP_BAO_GIA'!G43</f>
        <v/>
      </c>
      <c r="I416" s="18">
        <f>G416*H416</f>
        <v/>
      </c>
      <c r="J416" s="13">
        <f>IFERROR(INDEX('06_BANG_GIA_VAT_TU_AP_DUNG'!$E$1:$E$5000, MATCH(E416, '06_BANG_GIA_VAT_TU_AP_DUNG'!$B$1:$B$5000, 0)), 0)</f>
        <v/>
      </c>
      <c r="K416" s="13">
        <f>I416*J416</f>
        <v/>
      </c>
      <c r="L416" t="inlineStr">
        <is>
          <t>Động cơ lò xo phản hồi MFD (8 bộ (8 modul 950x750mm))</t>
        </is>
      </c>
    </row>
    <row r="417">
      <c r="A417" t="inlineStr">
        <is>
          <t>SW-DAMPER-042-FB10-BODY</t>
        </is>
      </c>
      <c r="B417" t="inlineStr">
        <is>
          <t>SW-DAMPER-042</t>
        </is>
      </c>
      <c r="C417" t="inlineStr">
        <is>
          <t>Tấm chống cháy dày 10mm bọc thân van FD/MFD (2 lớp)</t>
        </is>
      </c>
      <c r="D417" t="inlineStr">
        <is>
          <t>VẬT_LIỆU_CÁCH_NHIỆT</t>
        </is>
      </c>
      <c r="E417" t="inlineStr">
        <is>
          <t>MAT-FIREBOARD-10MM-BODY</t>
        </is>
      </c>
      <c r="F417" t="inlineStr">
        <is>
          <t>m2</t>
        </is>
      </c>
      <c r="G417" s="17" t="n">
        <v>19.9691156844302</v>
      </c>
      <c r="H417" s="13">
        <f>'00_TONG_HOP_BAO_GIA'!G43</f>
        <v/>
      </c>
      <c r="I417" s="18">
        <f>G417*H417</f>
        <v/>
      </c>
      <c r="J417" s="13">
        <f>IFERROR(INDEX('06_BANG_GIA_VAT_TU_AP_DUNG'!$E$1:$E$5000, MATCH(E417, '06_BANG_GIA_VAT_TU_AP_DUNG'!$B$1:$B$5000, 0)), 0)</f>
        <v/>
      </c>
      <c r="K417" s="13">
        <f>I417*J417</f>
        <v/>
      </c>
      <c r="L417" t="inlineStr">
        <is>
          <t>Bọc 2 lớp tấm 10mm quanh thân L=300mm (8 modul 950x750mm)</t>
        </is>
      </c>
    </row>
    <row r="418">
      <c r="A418" t="inlineStr">
        <is>
          <t>SW-DAMPER-042-FB20-BLADE</t>
        </is>
      </c>
      <c r="B418" t="inlineStr">
        <is>
          <t>SW-DAMPER-042</t>
        </is>
      </c>
      <c r="C418" t="inlineStr">
        <is>
          <t>Tấm chống cháy dày 20mm làm lõi cánh van FD/MFD</t>
        </is>
      </c>
      <c r="D418" t="inlineStr">
        <is>
          <t>VẬT_LIỆU_CÁCH_NHIỆT</t>
        </is>
      </c>
      <c r="E418" t="inlineStr">
        <is>
          <t>MAT-FIREBOARD-20MM-BLADE</t>
        </is>
      </c>
      <c r="F418" t="inlineStr">
        <is>
          <t>m2</t>
        </is>
      </c>
      <c r="G418" s="17" t="n">
        <v>6.974507316253195</v>
      </c>
      <c r="H418" s="13">
        <f>'00_TONG_HOP_BAO_GIA'!G43</f>
        <v/>
      </c>
      <c r="I418" s="18">
        <f>G418*H418</f>
        <v/>
      </c>
      <c r="J418" s="13">
        <f>IFERROR(INDEX('06_BANG_GIA_VAT_TU_AP_DUNG'!$E$1:$E$5000, MATCH(E418, '06_BANG_GIA_VAT_TU_AP_DUNG'!$B$1:$B$5000, 0)), 0)</f>
        <v/>
      </c>
      <c r="K418" s="13">
        <f>I418*J418</f>
        <v/>
      </c>
      <c r="L418" t="inlineStr">
        <is>
          <t>Lõi cánh tấm 20mm (Cánh đơn 950x750mm (8 modul 950x750mm))</t>
        </is>
      </c>
    </row>
    <row r="419">
      <c r="A419" t="inlineStr">
        <is>
          <t>SW-DAMPER-042-FB10-BLADE</t>
        </is>
      </c>
      <c r="B419" t="inlineStr">
        <is>
          <t>SW-DAMPER-042</t>
        </is>
      </c>
      <c r="C419" t="inlineStr">
        <is>
          <t>Tấm chống cháy dày 10mm ốp 2 mặt cánh van FD/MFD</t>
        </is>
      </c>
      <c r="D419" t="inlineStr">
        <is>
          <t>VẬT_LIỆU_CÁCH_NHIỆT</t>
        </is>
      </c>
      <c r="E419" t="inlineStr">
        <is>
          <t>MAT-FIREBOARD-10MM-BLADE</t>
        </is>
      </c>
      <c r="F419" t="inlineStr">
        <is>
          <t>m2</t>
        </is>
      </c>
      <c r="G419" s="17" t="n">
        <v>13.94901463250639</v>
      </c>
      <c r="H419" s="13">
        <f>'00_TONG_HOP_BAO_GIA'!G43</f>
        <v/>
      </c>
      <c r="I419" s="18">
        <f>G419*H419</f>
        <v/>
      </c>
      <c r="J419" s="13">
        <f>IFERROR(INDEX('06_BANG_GIA_VAT_TU_AP_DUNG'!$E$1:$E$5000, MATCH(E419, '06_BANG_GIA_VAT_TU_AP_DUNG'!$B$1:$B$5000, 0)), 0)</f>
        <v/>
      </c>
      <c r="K419" s="13">
        <f>I419*J419</f>
        <v/>
      </c>
      <c r="L419" t="inlineStr">
        <is>
          <t>Ốp 2 mặt cánh tấm 10mm (Cánh đơn 950x750mm (8 modul 950x750mm))</t>
        </is>
      </c>
    </row>
    <row r="420">
      <c r="A420" t="inlineStr">
        <is>
          <t>SW-DAMPER-042-SPRING-BOX</t>
        </is>
      </c>
      <c r="B420" t="inlineStr">
        <is>
          <t>SW-DAMPER-042</t>
        </is>
      </c>
      <c r="C420" t="inlineStr">
        <is>
          <t>Hộp lò xo van chặn lửa FD/MFD</t>
        </is>
      </c>
      <c r="D420" t="inlineStr">
        <is>
          <t>PHỤ_KIỆN_VAN</t>
        </is>
      </c>
      <c r="E420" t="inlineStr">
        <is>
          <t>MAT-DAMPER-HOP-LO-XO</t>
        </is>
      </c>
      <c r="F420" t="inlineStr">
        <is>
          <t>Bộ</t>
        </is>
      </c>
      <c r="G420" s="17" t="n">
        <v>8</v>
      </c>
      <c r="H420" s="13">
        <f>'00_TONG_HOP_BAO_GIA'!G43</f>
        <v/>
      </c>
      <c r="I420" s="18">
        <f>G420*H420</f>
        <v/>
      </c>
      <c r="J420" s="13">
        <f>IFERROR(INDEX('06_BANG_GIA_VAT_TU_AP_DUNG'!$E$1:$E$5000, MATCH(E420, '06_BANG_GIA_VAT_TU_AP_DUNG'!$B$1:$B$5000, 0)), 0)</f>
        <v/>
      </c>
      <c r="K420" s="13">
        <f>I420*J420</f>
        <v/>
      </c>
      <c r="L420" t="inlineStr">
        <is>
          <t>Hộp lò xo cơ cấu đóng sập (8 bộ)</t>
        </is>
      </c>
    </row>
    <row r="421">
      <c r="A421" t="inlineStr">
        <is>
          <t>SW-DAMPER-042-SILICON-BOLT</t>
        </is>
      </c>
      <c r="B421" t="inlineStr">
        <is>
          <t>SW-DAMPER-042</t>
        </is>
      </c>
      <c r="C421" t="inlineStr">
        <is>
          <t>Silicon chống cháy + bu lông, ốc vít van FD/MFD</t>
        </is>
      </c>
      <c r="D421" t="inlineStr">
        <is>
          <t>PHỤ_KIỆN_VAN</t>
        </is>
      </c>
      <c r="E421" t="inlineStr">
        <is>
          <t>MAT-DAMPER-SILICON-BULONG-VIT</t>
        </is>
      </c>
      <c r="F421" t="inlineStr">
        <is>
          <t>Bộ</t>
        </is>
      </c>
      <c r="G421" s="17" t="n">
        <v>8</v>
      </c>
      <c r="H421" s="13">
        <f>'00_TONG_HOP_BAO_GIA'!G43</f>
        <v/>
      </c>
      <c r="I421" s="18">
        <f>G421*H421</f>
        <v/>
      </c>
      <c r="J421" s="13">
        <f>IFERROR(INDEX('06_BANG_GIA_VAT_TU_AP_DUNG'!$E$1:$E$5000, MATCH(E421, '06_BANG_GIA_VAT_TU_AP_DUNG'!$B$1:$B$5000, 0)), 0)</f>
        <v/>
      </c>
      <c r="K421" s="13">
        <f>I421*J421</f>
        <v/>
      </c>
      <c r="L421" t="inlineStr">
        <is>
          <t>Keo silicon chống cháy &amp; phụ kiện lắp ghép (8 bộ)</t>
        </is>
      </c>
    </row>
    <row r="422">
      <c r="A422" t="inlineStr">
        <is>
          <t>SW-DAMPER-043-BODY</t>
        </is>
      </c>
      <c r="B422" t="inlineStr">
        <is>
          <t>SW-DAMPER-043</t>
        </is>
      </c>
      <c r="C422" t="inlineStr">
        <is>
          <t>Thân vỏ van MFD bích C30/TDF (1.15mm)</t>
        </is>
      </c>
      <c r="D422" t="inlineStr">
        <is>
          <t>TÔN_CUỘN_MẠ_KẼM</t>
        </is>
      </c>
      <c r="E422" t="inlineStr">
        <is>
          <t>MAT-STEEL-PN-1.15</t>
        </is>
      </c>
      <c r="F422" t="inlineStr">
        <is>
          <t>kg</t>
        </is>
      </c>
      <c r="G422" s="17" t="n">
        <v>8.269608976635233</v>
      </c>
      <c r="H422" s="13">
        <f>'00_TONG_HOP_BAO_GIA'!G44</f>
        <v/>
      </c>
      <c r="I422" s="18">
        <f>G422*H422</f>
        <v/>
      </c>
      <c r="J422" s="13">
        <f>IFERROR(INDEX('06_BANG_GIA_VAT_TU_AP_DUNG'!$E$1:$E$5000, MATCH(E422, '06_BANG_GIA_VAT_TU_AP_DUNG'!$B$1:$B$5000, 0)), 0)</f>
        <v/>
      </c>
      <c r="K422" s="13">
        <f>I422*J422</f>
        <v/>
      </c>
      <c r="L422" t="inlineStr">
        <is>
          <t>Kích thước vỏ 900x400x200mm</t>
        </is>
      </c>
    </row>
    <row r="423">
      <c r="A423" t="inlineStr">
        <is>
          <t>SW-DAMPER-043-BLADE</t>
        </is>
      </c>
      <c r="B423" t="inlineStr">
        <is>
          <t>SW-DAMPER-043</t>
        </is>
      </c>
      <c r="C423" t="inlineStr">
        <is>
          <t>Lá cánh / Tôn tấm bọc van (1 cánh)</t>
        </is>
      </c>
      <c r="D423" t="inlineStr">
        <is>
          <t>TÔN_CUỘN_MẠ_KẼM</t>
        </is>
      </c>
      <c r="E423" t="inlineStr">
        <is>
          <t>MAT-STEEL-PN-1.15</t>
        </is>
      </c>
      <c r="F423" t="inlineStr">
        <is>
          <t>kg</t>
        </is>
      </c>
      <c r="G423" s="17" t="n">
        <v>7.955371790894885</v>
      </c>
      <c r="H423" s="13">
        <f>'00_TONG_HOP_BAO_GIA'!G44</f>
        <v/>
      </c>
      <c r="I423" s="18">
        <f>G423*H423</f>
        <v/>
      </c>
      <c r="J423" s="13">
        <f>IFERROR(INDEX('06_BANG_GIA_VAT_TU_AP_DUNG'!$E$1:$E$5000, MATCH(E423, '06_BANG_GIA_VAT_TU_AP_DUNG'!$B$1:$B$5000, 0)), 0)</f>
        <v/>
      </c>
      <c r="K423" s="13">
        <f>I423*J423</f>
        <v/>
      </c>
      <c r="L423" t="inlineStr">
        <is>
          <t>Tôn bọc cánh &amp; thân (1 cánh/modul)</t>
        </is>
      </c>
    </row>
    <row r="424">
      <c r="A424" t="inlineStr">
        <is>
          <t>SW-DAMPER-043-AXLE</t>
        </is>
      </c>
      <c r="B424" t="inlineStr">
        <is>
          <t>SW-DAMPER-043</t>
        </is>
      </c>
      <c r="C424" t="inlineStr">
        <is>
          <t>Trục Sus 201 D10</t>
        </is>
      </c>
      <c r="D424" t="inlineStr">
        <is>
          <t>PHỤ_KIỆN_VAN</t>
        </is>
      </c>
      <c r="E424" t="inlineStr">
        <is>
          <t>MAT-DAMPER-TRUC-SUS-201-D10</t>
        </is>
      </c>
      <c r="F424" t="inlineStr">
        <is>
          <t>m</t>
        </is>
      </c>
      <c r="G424" s="17" t="n">
        <v>1.174983371682065</v>
      </c>
      <c r="H424" s="13">
        <f>'00_TONG_HOP_BAO_GIA'!G44</f>
        <v/>
      </c>
      <c r="I424" s="18">
        <f>G424*H424</f>
        <v/>
      </c>
      <c r="J424" s="13">
        <f>IFERROR(INDEX('06_BANG_GIA_VAT_TU_AP_DUNG'!$E$1:$E$5000, MATCH(E424, '06_BANG_GIA_VAT_TU_AP_DUNG'!$B$1:$B$5000, 0)), 0)</f>
        <v/>
      </c>
      <c r="K424" s="13">
        <f>I424*J424</f>
        <v/>
      </c>
      <c r="L424" t="inlineStr">
        <is>
          <t>1 trục dài 960mm</t>
        </is>
      </c>
    </row>
    <row r="425">
      <c r="A425" t="inlineStr">
        <is>
          <t>SW-DAMPER-043-BEARING</t>
        </is>
      </c>
      <c r="B425" t="inlineStr">
        <is>
          <t>SW-DAMPER-043</t>
        </is>
      </c>
      <c r="C425" t="inlineStr">
        <is>
          <t>Bạc đồng D10</t>
        </is>
      </c>
      <c r="D425" t="inlineStr">
        <is>
          <t>PHỤ_KIỆN_VAN</t>
        </is>
      </c>
      <c r="E425" t="inlineStr">
        <is>
          <t>MAT-DAMPER-BAC-DONG-D10</t>
        </is>
      </c>
      <c r="F425" t="inlineStr">
        <is>
          <t>Đôi</t>
        </is>
      </c>
      <c r="G425" s="17" t="n">
        <v>1</v>
      </c>
      <c r="H425" s="13">
        <f>'00_TONG_HOP_BAO_GIA'!G44</f>
        <v/>
      </c>
      <c r="I425" s="18">
        <f>G425*H425</f>
        <v/>
      </c>
      <c r="J425" s="13">
        <f>IFERROR(INDEX('06_BANG_GIA_VAT_TU_AP_DUNG'!$E$1:$E$5000, MATCH(E425, '06_BANG_GIA_VAT_TU_AP_DUNG'!$B$1:$B$5000, 0)), 0)</f>
        <v/>
      </c>
      <c r="K425" s="13">
        <f>I425*J425</f>
        <v/>
      </c>
      <c r="L425" t="inlineStr">
        <is>
          <t>1 đôi bạc đỡ 2 bên thân</t>
        </is>
      </c>
    </row>
    <row r="426">
      <c r="A426" t="inlineStr">
        <is>
          <t>SW-DAMPER-043-ACTUATOR</t>
        </is>
      </c>
      <c r="B426" t="inlineStr">
        <is>
          <t>SW-DAMPER-043</t>
        </is>
      </c>
      <c r="C426" t="inlineStr">
        <is>
          <t>Động cơ chặn lửa ON/OFF 3.5Nm, 230V/24V (BELIMO FSLF24 / FSLF230)</t>
        </is>
      </c>
      <c r="D426" t="inlineStr">
        <is>
          <t>ĐỘNG_CƠ_VÀ_CẢM_BIẾN</t>
        </is>
      </c>
      <c r="E426" t="inlineStr">
        <is>
          <t>MAT-ACTUATOR-BELIMO-FSLF24</t>
        </is>
      </c>
      <c r="F426" t="inlineStr">
        <is>
          <t>Cái</t>
        </is>
      </c>
      <c r="G426" s="17" t="n">
        <v>1</v>
      </c>
      <c r="H426" s="13">
        <f>'00_TONG_HOP_BAO_GIA'!G44</f>
        <v/>
      </c>
      <c r="I426" s="18">
        <f>G426*H426</f>
        <v/>
      </c>
      <c r="J426" s="13">
        <f>IFERROR(INDEX('06_BANG_GIA_VAT_TU_AP_DUNG'!$E$1:$E$5000, MATCH(E426, '06_BANG_GIA_VAT_TU_AP_DUNG'!$B$1:$B$5000, 0)), 0)</f>
        <v/>
      </c>
      <c r="K426" s="13">
        <f>I426*J426</f>
        <v/>
      </c>
      <c r="L426" t="inlineStr">
        <is>
          <t>Động cơ lò xo phản hồi MFD (1 bộ)</t>
        </is>
      </c>
    </row>
    <row r="427">
      <c r="A427" t="inlineStr">
        <is>
          <t>SW-DAMPER-043-FB10-BODY</t>
        </is>
      </c>
      <c r="B427" t="inlineStr">
        <is>
          <t>SW-DAMPER-043</t>
        </is>
      </c>
      <c r="C427" t="inlineStr">
        <is>
          <t>Tấm chống cháy dày 10mm bọc thân van FD/MFD (2 lớp)</t>
        </is>
      </c>
      <c r="D427" t="inlineStr">
        <is>
          <t>VẬT_LIỆU_CÁCH_NHIỆT</t>
        </is>
      </c>
      <c r="E427" t="inlineStr">
        <is>
          <t>MAT-FIREBOARD-10MM-BODY</t>
        </is>
      </c>
      <c r="F427" t="inlineStr">
        <is>
          <t>m2</t>
        </is>
      </c>
      <c r="G427" s="17" t="n">
        <v>1.909347978983357</v>
      </c>
      <c r="H427" s="13">
        <f>'00_TONG_HOP_BAO_GIA'!G44</f>
        <v/>
      </c>
      <c r="I427" s="18">
        <f>G427*H427</f>
        <v/>
      </c>
      <c r="J427" s="13">
        <f>IFERROR(INDEX('06_BANG_GIA_VAT_TU_AP_DUNG'!$E$1:$E$5000, MATCH(E427, '06_BANG_GIA_VAT_TU_AP_DUNG'!$B$1:$B$5000, 0)), 0)</f>
        <v/>
      </c>
      <c r="K427" s="13">
        <f>I427*J427</f>
        <v/>
      </c>
      <c r="L427" t="inlineStr">
        <is>
          <t>Bọc 2 lớp tấm 10mm quanh thân L=300mm</t>
        </is>
      </c>
    </row>
    <row r="428">
      <c r="A428" t="inlineStr">
        <is>
          <t>SW-DAMPER-043-FB20-BLADE</t>
        </is>
      </c>
      <c r="B428" t="inlineStr">
        <is>
          <t>SW-DAMPER-043</t>
        </is>
      </c>
      <c r="C428" t="inlineStr">
        <is>
          <t>Tấm chống cháy dày 20mm làm lõi cánh van FD/MFD</t>
        </is>
      </c>
      <c r="D428" t="inlineStr">
        <is>
          <t>VẬT_LIỆU_CÁCH_NHIỆT</t>
        </is>
      </c>
      <c r="E428" t="inlineStr">
        <is>
          <t>MAT-FIREBOARD-20MM-BLADE</t>
        </is>
      </c>
      <c r="F428" t="inlineStr">
        <is>
          <t>m2</t>
        </is>
      </c>
      <c r="G428" s="17" t="n">
        <v>0.4406187643807746</v>
      </c>
      <c r="H428" s="13">
        <f>'00_TONG_HOP_BAO_GIA'!G44</f>
        <v/>
      </c>
      <c r="I428" s="18">
        <f>G428*H428</f>
        <v/>
      </c>
      <c r="J428" s="13">
        <f>IFERROR(INDEX('06_BANG_GIA_VAT_TU_AP_DUNG'!$E$1:$E$5000, MATCH(E428, '06_BANG_GIA_VAT_TU_AP_DUNG'!$B$1:$B$5000, 0)), 0)</f>
        <v/>
      </c>
      <c r="K428" s="13">
        <f>I428*J428</f>
        <v/>
      </c>
      <c r="L428" t="inlineStr">
        <is>
          <t>Lõi cánh tấm 20mm (Cánh đơn 900x400mm)</t>
        </is>
      </c>
    </row>
    <row r="429">
      <c r="A429" t="inlineStr">
        <is>
          <t>SW-DAMPER-043-FB10-BLADE</t>
        </is>
      </c>
      <c r="B429" t="inlineStr">
        <is>
          <t>SW-DAMPER-043</t>
        </is>
      </c>
      <c r="C429" t="inlineStr">
        <is>
          <t>Tấm chống cháy dày 10mm ốp 2 mặt cánh van FD/MFD</t>
        </is>
      </c>
      <c r="D429" t="inlineStr">
        <is>
          <t>VẬT_LIỆU_CÁCH_NHIỆT</t>
        </is>
      </c>
      <c r="E429" t="inlineStr">
        <is>
          <t>MAT-FIREBOARD-10MM-BLADE</t>
        </is>
      </c>
      <c r="F429" t="inlineStr">
        <is>
          <t>m2</t>
        </is>
      </c>
      <c r="G429" s="17" t="n">
        <v>0.8812375287615493</v>
      </c>
      <c r="H429" s="13">
        <f>'00_TONG_HOP_BAO_GIA'!G44</f>
        <v/>
      </c>
      <c r="I429" s="18">
        <f>G429*H429</f>
        <v/>
      </c>
      <c r="J429" s="13">
        <f>IFERROR(INDEX('06_BANG_GIA_VAT_TU_AP_DUNG'!$E$1:$E$5000, MATCH(E429, '06_BANG_GIA_VAT_TU_AP_DUNG'!$B$1:$B$5000, 0)), 0)</f>
        <v/>
      </c>
      <c r="K429" s="13">
        <f>I429*J429</f>
        <v/>
      </c>
      <c r="L429" t="inlineStr">
        <is>
          <t>Ốp 2 mặt cánh tấm 10mm (Cánh đơn 900x400mm)</t>
        </is>
      </c>
    </row>
    <row r="430">
      <c r="A430" t="inlineStr">
        <is>
          <t>SW-DAMPER-043-SPRING-BOX</t>
        </is>
      </c>
      <c r="B430" t="inlineStr">
        <is>
          <t>SW-DAMPER-043</t>
        </is>
      </c>
      <c r="C430" t="inlineStr">
        <is>
          <t>Hộp lò xo van chặn lửa FD/MFD</t>
        </is>
      </c>
      <c r="D430" t="inlineStr">
        <is>
          <t>PHỤ_KIỆN_VAN</t>
        </is>
      </c>
      <c r="E430" t="inlineStr">
        <is>
          <t>MAT-DAMPER-HOP-LO-XO</t>
        </is>
      </c>
      <c r="F430" t="inlineStr">
        <is>
          <t>Bộ</t>
        </is>
      </c>
      <c r="G430" s="17" t="n">
        <v>1</v>
      </c>
      <c r="H430" s="13">
        <f>'00_TONG_HOP_BAO_GIA'!G44</f>
        <v/>
      </c>
      <c r="I430" s="18">
        <f>G430*H430</f>
        <v/>
      </c>
      <c r="J430" s="13">
        <f>IFERROR(INDEX('06_BANG_GIA_VAT_TU_AP_DUNG'!$E$1:$E$5000, MATCH(E430, '06_BANG_GIA_VAT_TU_AP_DUNG'!$B$1:$B$5000, 0)), 0)</f>
        <v/>
      </c>
      <c r="K430" s="13">
        <f>I430*J430</f>
        <v/>
      </c>
      <c r="L430" t="inlineStr">
        <is>
          <t>Hộp lò xo cơ cấu đóng sập (1 bộ)</t>
        </is>
      </c>
    </row>
    <row r="431">
      <c r="A431" t="inlineStr">
        <is>
          <t>SW-DAMPER-043-SILICON-BOLT</t>
        </is>
      </c>
      <c r="B431" t="inlineStr">
        <is>
          <t>SW-DAMPER-043</t>
        </is>
      </c>
      <c r="C431" t="inlineStr">
        <is>
          <t>Silicon chống cháy + bu lông, ốc vít van FD/MFD</t>
        </is>
      </c>
      <c r="D431" t="inlineStr">
        <is>
          <t>PHỤ_KIỆN_VAN</t>
        </is>
      </c>
      <c r="E431" t="inlineStr">
        <is>
          <t>MAT-DAMPER-SILICON-BULONG-VIT</t>
        </is>
      </c>
      <c r="F431" t="inlineStr">
        <is>
          <t>Bộ</t>
        </is>
      </c>
      <c r="G431" s="17" t="n">
        <v>1</v>
      </c>
      <c r="H431" s="13">
        <f>'00_TONG_HOP_BAO_GIA'!G44</f>
        <v/>
      </c>
      <c r="I431" s="18">
        <f>G431*H431</f>
        <v/>
      </c>
      <c r="J431" s="13">
        <f>IFERROR(INDEX('06_BANG_GIA_VAT_TU_AP_DUNG'!$E$1:$E$5000, MATCH(E431, '06_BANG_GIA_VAT_TU_AP_DUNG'!$B$1:$B$5000, 0)), 0)</f>
        <v/>
      </c>
      <c r="K431" s="13">
        <f>I431*J431</f>
        <v/>
      </c>
      <c r="L431" t="inlineStr">
        <is>
          <t>Keo silicon chống cháy &amp; phụ kiện lắp ghép (1 bộ)</t>
        </is>
      </c>
    </row>
    <row r="432">
      <c r="A432" t="inlineStr">
        <is>
          <t>SW-DAMPER-044-BODY</t>
        </is>
      </c>
      <c r="B432" t="inlineStr">
        <is>
          <t>SW-DAMPER-044</t>
        </is>
      </c>
      <c r="C432" t="inlineStr">
        <is>
          <t>Thân vỏ van FD bích C30/TDF (1.15mm)</t>
        </is>
      </c>
      <c r="D432" t="inlineStr">
        <is>
          <t>TÔN_CUỘN_MẠ_KẼM</t>
        </is>
      </c>
      <c r="E432" t="inlineStr">
        <is>
          <t>MAT-STEEL-PN-1.15</t>
        </is>
      </c>
      <c r="F432" t="inlineStr">
        <is>
          <t>kg</t>
        </is>
      </c>
      <c r="G432" s="17" t="n">
        <v>2.142104633887814</v>
      </c>
      <c r="H432" s="13">
        <f>'00_TONG_HOP_BAO_GIA'!G45</f>
        <v/>
      </c>
      <c r="I432" s="18">
        <f>G432*H432</f>
        <v/>
      </c>
      <c r="J432" s="13">
        <f>IFERROR(INDEX('06_BANG_GIA_VAT_TU_AP_DUNG'!$E$1:$E$5000, MATCH(E432, '06_BANG_GIA_VAT_TU_AP_DUNG'!$B$1:$B$5000, 0)), 0)</f>
        <v/>
      </c>
      <c r="K432" s="13">
        <f>I432*J432</f>
        <v/>
      </c>
      <c r="L432" t="inlineStr">
        <is>
          <t>Kích thước vỏ 200x150x200mm</t>
        </is>
      </c>
    </row>
    <row r="433">
      <c r="A433" t="inlineStr">
        <is>
          <t>SW-DAMPER-044-BLADE</t>
        </is>
      </c>
      <c r="B433" t="inlineStr">
        <is>
          <t>SW-DAMPER-044</t>
        </is>
      </c>
      <c r="C433" t="inlineStr">
        <is>
          <t>Lá cánh / Tôn tấm bọc van (1 cánh)</t>
        </is>
      </c>
      <c r="D433" t="inlineStr">
        <is>
          <t>TÔN_CUỘN_MẠ_KẼM</t>
        </is>
      </c>
      <c r="E433" t="inlineStr">
        <is>
          <t>MAT-STEEL-PN-1.15</t>
        </is>
      </c>
      <c r="F433" t="inlineStr">
        <is>
          <t>kg</t>
        </is>
      </c>
      <c r="G433" s="17" t="n">
        <v>0.6126425379344527</v>
      </c>
      <c r="H433" s="13">
        <f>'00_TONG_HOP_BAO_GIA'!G45</f>
        <v/>
      </c>
      <c r="I433" s="18">
        <f>G433*H433</f>
        <v/>
      </c>
      <c r="J433" s="13">
        <f>IFERROR(INDEX('06_BANG_GIA_VAT_TU_AP_DUNG'!$E$1:$E$5000, MATCH(E433, '06_BANG_GIA_VAT_TU_AP_DUNG'!$B$1:$B$5000, 0)), 0)</f>
        <v/>
      </c>
      <c r="K433" s="13">
        <f>I433*J433</f>
        <v/>
      </c>
      <c r="L433" t="inlineStr">
        <is>
          <t>Tôn bọc cánh &amp; thân (1 cánh/modul)</t>
        </is>
      </c>
    </row>
    <row r="434">
      <c r="A434" t="inlineStr">
        <is>
          <t>SW-DAMPER-044-AXLE</t>
        </is>
      </c>
      <c r="B434" t="inlineStr">
        <is>
          <t>SW-DAMPER-044</t>
        </is>
      </c>
      <c r="C434" t="inlineStr">
        <is>
          <t>Trục Sus 201 D10</t>
        </is>
      </c>
      <c r="D434" t="inlineStr">
        <is>
          <t>PHỤ_KIỆN_VAN</t>
        </is>
      </c>
      <c r="E434" t="inlineStr">
        <is>
          <t>MAT-DAMPER-TRUC-SUS-201-D10</t>
        </is>
      </c>
      <c r="F434" t="inlineStr">
        <is>
          <t>m</t>
        </is>
      </c>
      <c r="G434" s="17" t="n">
        <v>0.2940774667459757</v>
      </c>
      <c r="H434" s="13">
        <f>'00_TONG_HOP_BAO_GIA'!G45</f>
        <v/>
      </c>
      <c r="I434" s="18">
        <f>G434*H434</f>
        <v/>
      </c>
      <c r="J434" s="13">
        <f>IFERROR(INDEX('06_BANG_GIA_VAT_TU_AP_DUNG'!$E$1:$E$5000, MATCH(E434, '06_BANG_GIA_VAT_TU_AP_DUNG'!$B$1:$B$5000, 0)), 0)</f>
        <v/>
      </c>
      <c r="K434" s="13">
        <f>I434*J434</f>
        <v/>
      </c>
      <c r="L434" t="inlineStr">
        <is>
          <t>1 trục dài 260mm</t>
        </is>
      </c>
    </row>
    <row r="435">
      <c r="A435" t="inlineStr">
        <is>
          <t>SW-DAMPER-044-BEARING</t>
        </is>
      </c>
      <c r="B435" t="inlineStr">
        <is>
          <t>SW-DAMPER-044</t>
        </is>
      </c>
      <c r="C435" t="inlineStr">
        <is>
          <t>Bạc đồng D10</t>
        </is>
      </c>
      <c r="D435" t="inlineStr">
        <is>
          <t>PHỤ_KIỆN_VAN</t>
        </is>
      </c>
      <c r="E435" t="inlineStr">
        <is>
          <t>MAT-DAMPER-BAC-DONG-D10</t>
        </is>
      </c>
      <c r="F435" t="inlineStr">
        <is>
          <t>Đôi</t>
        </is>
      </c>
      <c r="G435" s="17" t="n">
        <v>1</v>
      </c>
      <c r="H435" s="13">
        <f>'00_TONG_HOP_BAO_GIA'!G45</f>
        <v/>
      </c>
      <c r="I435" s="18">
        <f>G435*H435</f>
        <v/>
      </c>
      <c r="J435" s="13">
        <f>IFERROR(INDEX('06_BANG_GIA_VAT_TU_AP_DUNG'!$E$1:$E$5000, MATCH(E435, '06_BANG_GIA_VAT_TU_AP_DUNG'!$B$1:$B$5000, 0)), 0)</f>
        <v/>
      </c>
      <c r="K435" s="13">
        <f>I435*J435</f>
        <v/>
      </c>
      <c r="L435" t="inlineStr">
        <is>
          <t>1 đôi bạc đỡ 2 bên thân</t>
        </is>
      </c>
    </row>
    <row r="436">
      <c r="A436" t="inlineStr">
        <is>
          <t>SW-DAMPER-044-FUSE</t>
        </is>
      </c>
      <c r="B436" t="inlineStr">
        <is>
          <t>SW-DAMPER-044</t>
        </is>
      </c>
      <c r="C436" t="inlineStr">
        <is>
          <t>Cầu chì nhiệt nóng chảy 70°C/74°C (Elsie/USA)</t>
        </is>
      </c>
      <c r="D436" t="inlineStr">
        <is>
          <t>PHỤ_KIỆN_VAN</t>
        </is>
      </c>
      <c r="E436" t="inlineStr">
        <is>
          <t>MAT-DAMPER-CAU-CHI-USA-1-400X400</t>
        </is>
      </c>
      <c r="F436" t="inlineStr">
        <is>
          <t>Cái</t>
        </is>
      </c>
      <c r="G436" s="17" t="n">
        <v>1</v>
      </c>
      <c r="H436" s="13">
        <f>'00_TONG_HOP_BAO_GIA'!G45</f>
        <v/>
      </c>
      <c r="I436" s="18">
        <f>G436*H436</f>
        <v/>
      </c>
      <c r="J436" s="13">
        <f>IFERROR(INDEX('06_BANG_GIA_VAT_TU_AP_DUNG'!$E$1:$E$5000, MATCH(E436, '06_BANG_GIA_VAT_TU_AP_DUNG'!$B$1:$B$5000, 0)), 0)</f>
        <v/>
      </c>
      <c r="K436" s="13">
        <f>I436*J436</f>
        <v/>
      </c>
      <c r="L436" t="inlineStr">
        <is>
          <t>Cầu chì kiểm định PCCC (1 cái)</t>
        </is>
      </c>
    </row>
    <row r="437">
      <c r="A437" t="inlineStr">
        <is>
          <t>SW-DAMPER-044-FB10-BODY</t>
        </is>
      </c>
      <c r="B437" t="inlineStr">
        <is>
          <t>SW-DAMPER-044</t>
        </is>
      </c>
      <c r="C437" t="inlineStr">
        <is>
          <t>Tấm chống cháy dày 10mm bọc thân van FD/MFD (2 lớp)</t>
        </is>
      </c>
      <c r="D437" t="inlineStr">
        <is>
          <t>VẬT_LIỆU_CÁCH_NHIỆT</t>
        </is>
      </c>
      <c r="E437" t="inlineStr">
        <is>
          <t>MAT-FIREBOARD-10MM-BODY</t>
        </is>
      </c>
      <c r="F437" t="inlineStr">
        <is>
          <t>m2</t>
        </is>
      </c>
      <c r="G437" s="17" t="n">
        <v>0.47504821551273</v>
      </c>
      <c r="H437" s="13">
        <f>'00_TONG_HOP_BAO_GIA'!G45</f>
        <v/>
      </c>
      <c r="I437" s="18">
        <f>G437*H437</f>
        <v/>
      </c>
      <c r="J437" s="13">
        <f>IFERROR(INDEX('06_BANG_GIA_VAT_TU_AP_DUNG'!$E$1:$E$5000, MATCH(E437, '06_BANG_GIA_VAT_TU_AP_DUNG'!$B$1:$B$5000, 0)), 0)</f>
        <v/>
      </c>
      <c r="K437" s="13">
        <f>I437*J437</f>
        <v/>
      </c>
      <c r="L437" t="inlineStr">
        <is>
          <t>Bọc 2 lớp tấm 10mm quanh thân L=300mm</t>
        </is>
      </c>
    </row>
    <row r="438">
      <c r="A438" t="inlineStr">
        <is>
          <t>SW-DAMPER-044-FB20-BLADE</t>
        </is>
      </c>
      <c r="B438" t="inlineStr">
        <is>
          <t>SW-DAMPER-044</t>
        </is>
      </c>
      <c r="C438" t="inlineStr">
        <is>
          <t>Tấm chống cháy dày 20mm làm lõi cánh van FD/MFD</t>
        </is>
      </c>
      <c r="D438" t="inlineStr">
        <is>
          <t>VẬT_LIỆU_CÁCH_NHIỆT</t>
        </is>
      </c>
      <c r="E438" t="inlineStr">
        <is>
          <t>MAT-FIREBOARD-20MM-BLADE</t>
        </is>
      </c>
      <c r="F438" t="inlineStr">
        <is>
          <t>m2</t>
        </is>
      </c>
      <c r="G438" s="17" t="n">
        <v>0.03393201539376643</v>
      </c>
      <c r="H438" s="13">
        <f>'00_TONG_HOP_BAO_GIA'!G45</f>
        <v/>
      </c>
      <c r="I438" s="18">
        <f>G438*H438</f>
        <v/>
      </c>
      <c r="J438" s="13">
        <f>IFERROR(INDEX('06_BANG_GIA_VAT_TU_AP_DUNG'!$E$1:$E$5000, MATCH(E438, '06_BANG_GIA_VAT_TU_AP_DUNG'!$B$1:$B$5000, 0)), 0)</f>
        <v/>
      </c>
      <c r="K438" s="13">
        <f>I438*J438</f>
        <v/>
      </c>
      <c r="L438" t="inlineStr">
        <is>
          <t>Lõi cánh tấm 20mm (Cánh đơn 200x150mm)</t>
        </is>
      </c>
    </row>
    <row r="439">
      <c r="A439" t="inlineStr">
        <is>
          <t>SW-DAMPER-044-FB10-BLADE</t>
        </is>
      </c>
      <c r="B439" t="inlineStr">
        <is>
          <t>SW-DAMPER-044</t>
        </is>
      </c>
      <c r="C439" t="inlineStr">
        <is>
          <t>Tấm chống cháy dày 10mm ốp 2 mặt cánh van FD/MFD</t>
        </is>
      </c>
      <c r="D439" t="inlineStr">
        <is>
          <t>VẬT_LIỆU_CÁCH_NHIỆT</t>
        </is>
      </c>
      <c r="E439" t="inlineStr">
        <is>
          <t>MAT-FIREBOARD-10MM-BLADE</t>
        </is>
      </c>
      <c r="F439" t="inlineStr">
        <is>
          <t>m2</t>
        </is>
      </c>
      <c r="G439" s="17" t="n">
        <v>0.06786403078753285</v>
      </c>
      <c r="H439" s="13">
        <f>'00_TONG_HOP_BAO_GIA'!G45</f>
        <v/>
      </c>
      <c r="I439" s="18">
        <f>G439*H439</f>
        <v/>
      </c>
      <c r="J439" s="13">
        <f>IFERROR(INDEX('06_BANG_GIA_VAT_TU_AP_DUNG'!$E$1:$E$5000, MATCH(E439, '06_BANG_GIA_VAT_TU_AP_DUNG'!$B$1:$B$5000, 0)), 0)</f>
        <v/>
      </c>
      <c r="K439" s="13">
        <f>I439*J439</f>
        <v/>
      </c>
      <c r="L439" t="inlineStr">
        <is>
          <t>Ốp 2 mặt cánh tấm 10mm (Cánh đơn 200x150mm)</t>
        </is>
      </c>
    </row>
    <row r="440">
      <c r="A440" t="inlineStr">
        <is>
          <t>SW-DAMPER-044-SPRING-BOX</t>
        </is>
      </c>
      <c r="B440" t="inlineStr">
        <is>
          <t>SW-DAMPER-044</t>
        </is>
      </c>
      <c r="C440" t="inlineStr">
        <is>
          <t>Hộp lò xo van chặn lửa FD/MFD</t>
        </is>
      </c>
      <c r="D440" t="inlineStr">
        <is>
          <t>PHỤ_KIỆN_VAN</t>
        </is>
      </c>
      <c r="E440" t="inlineStr">
        <is>
          <t>MAT-DAMPER-HOP-LO-XO</t>
        </is>
      </c>
      <c r="F440" t="inlineStr">
        <is>
          <t>Bộ</t>
        </is>
      </c>
      <c r="G440" s="17" t="n">
        <v>1</v>
      </c>
      <c r="H440" s="13">
        <f>'00_TONG_HOP_BAO_GIA'!G45</f>
        <v/>
      </c>
      <c r="I440" s="18">
        <f>G440*H440</f>
        <v/>
      </c>
      <c r="J440" s="13">
        <f>IFERROR(INDEX('06_BANG_GIA_VAT_TU_AP_DUNG'!$E$1:$E$5000, MATCH(E440, '06_BANG_GIA_VAT_TU_AP_DUNG'!$B$1:$B$5000, 0)), 0)</f>
        <v/>
      </c>
      <c r="K440" s="13">
        <f>I440*J440</f>
        <v/>
      </c>
      <c r="L440" t="inlineStr">
        <is>
          <t>Hộp lò xo cơ cấu đóng sập (1 bộ)</t>
        </is>
      </c>
    </row>
    <row r="441">
      <c r="A441" t="inlineStr">
        <is>
          <t>SW-DAMPER-044-SILICON-BOLT</t>
        </is>
      </c>
      <c r="B441" t="inlineStr">
        <is>
          <t>SW-DAMPER-044</t>
        </is>
      </c>
      <c r="C441" t="inlineStr">
        <is>
          <t>Silicon chống cháy + bu lông, ốc vít van FD/MFD</t>
        </is>
      </c>
      <c r="D441" t="inlineStr">
        <is>
          <t>PHỤ_KIỆN_VAN</t>
        </is>
      </c>
      <c r="E441" t="inlineStr">
        <is>
          <t>MAT-DAMPER-SILICON-BULONG-VIT</t>
        </is>
      </c>
      <c r="F441" t="inlineStr">
        <is>
          <t>Bộ</t>
        </is>
      </c>
      <c r="G441" s="17" t="n">
        <v>1</v>
      </c>
      <c r="H441" s="13">
        <f>'00_TONG_HOP_BAO_GIA'!G45</f>
        <v/>
      </c>
      <c r="I441" s="18">
        <f>G441*H441</f>
        <v/>
      </c>
      <c r="J441" s="13">
        <f>IFERROR(INDEX('06_BANG_GIA_VAT_TU_AP_DUNG'!$E$1:$E$5000, MATCH(E441, '06_BANG_GIA_VAT_TU_AP_DUNG'!$B$1:$B$5000, 0)), 0)</f>
        <v/>
      </c>
      <c r="K441" s="13">
        <f>I441*J441</f>
        <v/>
      </c>
      <c r="L441" t="inlineStr">
        <is>
          <t>Keo silicon chống cháy &amp; phụ kiện lắp ghép (1 bộ)</t>
        </is>
      </c>
    </row>
    <row r="442">
      <c r="A442" t="inlineStr">
        <is>
          <t>SW-DAMPER-045-BODY</t>
        </is>
      </c>
      <c r="B442" t="inlineStr">
        <is>
          <t>SW-DAMPER-045</t>
        </is>
      </c>
      <c r="C442" t="inlineStr">
        <is>
          <t>Thân vỏ van MFD bích C30/TDF (1.15mm)</t>
        </is>
      </c>
      <c r="D442" t="inlineStr">
        <is>
          <t>TÔN_CUỘN_MẠ_KẼM</t>
        </is>
      </c>
      <c r="E442" t="inlineStr">
        <is>
          <t>MAT-STEEL-PN-1.15</t>
        </is>
      </c>
      <c r="F442" t="inlineStr">
        <is>
          <t>kg</t>
        </is>
      </c>
      <c r="G442" s="17" t="n">
        <v>7.679104353563735</v>
      </c>
      <c r="H442" s="13">
        <f>'00_TONG_HOP_BAO_GIA'!G46</f>
        <v/>
      </c>
      <c r="I442" s="18">
        <f>G442*H442</f>
        <v/>
      </c>
      <c r="J442" s="13">
        <f>IFERROR(INDEX('06_BANG_GIA_VAT_TU_AP_DUNG'!$E$1:$E$5000, MATCH(E442, '06_BANG_GIA_VAT_TU_AP_DUNG'!$B$1:$B$5000, 0)), 0)</f>
        <v/>
      </c>
      <c r="K442" s="13">
        <f>I442*J442</f>
        <v/>
      </c>
      <c r="L442" t="inlineStr">
        <is>
          <t>Kích thước vỏ 800x400x200mm</t>
        </is>
      </c>
    </row>
    <row r="443">
      <c r="A443" t="inlineStr">
        <is>
          <t>SW-DAMPER-045-BLADE</t>
        </is>
      </c>
      <c r="B443" t="inlineStr">
        <is>
          <t>SW-DAMPER-045</t>
        </is>
      </c>
      <c r="C443" t="inlineStr">
        <is>
          <t>Lá cánh / Tôn tấm bọc van (1 cánh)</t>
        </is>
      </c>
      <c r="D443" t="inlineStr">
        <is>
          <t>TÔN_CUỘN_MẠ_KẼM</t>
        </is>
      </c>
      <c r="E443" t="inlineStr">
        <is>
          <t>MAT-STEEL-PN-1.15</t>
        </is>
      </c>
      <c r="F443" t="inlineStr">
        <is>
          <t>kg</t>
        </is>
      </c>
      <c r="G443" s="17" t="n">
        <v>7.104731237575954</v>
      </c>
      <c r="H443" s="13">
        <f>'00_TONG_HOP_BAO_GIA'!G46</f>
        <v/>
      </c>
      <c r="I443" s="18">
        <f>G443*H443</f>
        <v/>
      </c>
      <c r="J443" s="13">
        <f>IFERROR(INDEX('06_BANG_GIA_VAT_TU_AP_DUNG'!$E$1:$E$5000, MATCH(E443, '06_BANG_GIA_VAT_TU_AP_DUNG'!$B$1:$B$5000, 0)), 0)</f>
        <v/>
      </c>
      <c r="K443" s="13">
        <f>I443*J443</f>
        <v/>
      </c>
      <c r="L443" t="inlineStr">
        <is>
          <t>Tôn bọc cánh &amp; thân (1 cánh/modul)</t>
        </is>
      </c>
    </row>
    <row r="444">
      <c r="A444" t="inlineStr">
        <is>
          <t>SW-DAMPER-045-AXLE</t>
        </is>
      </c>
      <c r="B444" t="inlineStr">
        <is>
          <t>SW-DAMPER-045</t>
        </is>
      </c>
      <c r="C444" t="inlineStr">
        <is>
          <t>Trục Sus 201 D10</t>
        </is>
      </c>
      <c r="D444" t="inlineStr">
        <is>
          <t>PHỤ_KIỆN_VAN</t>
        </is>
      </c>
      <c r="E444" t="inlineStr">
        <is>
          <t>MAT-DAMPER-TRUC-SUS-201-D10</t>
        </is>
      </c>
      <c r="F444" t="inlineStr">
        <is>
          <t>m</t>
        </is>
      </c>
      <c r="G444" s="17" t="n">
        <v>1.057544458653302</v>
      </c>
      <c r="H444" s="13">
        <f>'00_TONG_HOP_BAO_GIA'!G46</f>
        <v/>
      </c>
      <c r="I444" s="18">
        <f>G444*H444</f>
        <v/>
      </c>
      <c r="J444" s="13">
        <f>IFERROR(INDEX('06_BANG_GIA_VAT_TU_AP_DUNG'!$E$1:$E$5000, MATCH(E444, '06_BANG_GIA_VAT_TU_AP_DUNG'!$B$1:$B$5000, 0)), 0)</f>
        <v/>
      </c>
      <c r="K444" s="13">
        <f>I444*J444</f>
        <v/>
      </c>
      <c r="L444" t="inlineStr">
        <is>
          <t>1 trục dài 860mm</t>
        </is>
      </c>
    </row>
    <row r="445">
      <c r="A445" t="inlineStr">
        <is>
          <t>SW-DAMPER-045-BEARING</t>
        </is>
      </c>
      <c r="B445" t="inlineStr">
        <is>
          <t>SW-DAMPER-045</t>
        </is>
      </c>
      <c r="C445" t="inlineStr">
        <is>
          <t>Bạc đồng D10</t>
        </is>
      </c>
      <c r="D445" t="inlineStr">
        <is>
          <t>PHỤ_KIỆN_VAN</t>
        </is>
      </c>
      <c r="E445" t="inlineStr">
        <is>
          <t>MAT-DAMPER-BAC-DONG-D10</t>
        </is>
      </c>
      <c r="F445" t="inlineStr">
        <is>
          <t>Đôi</t>
        </is>
      </c>
      <c r="G445" s="17" t="n">
        <v>1</v>
      </c>
      <c r="H445" s="13">
        <f>'00_TONG_HOP_BAO_GIA'!G46</f>
        <v/>
      </c>
      <c r="I445" s="18">
        <f>G445*H445</f>
        <v/>
      </c>
      <c r="J445" s="13">
        <f>IFERROR(INDEX('06_BANG_GIA_VAT_TU_AP_DUNG'!$E$1:$E$5000, MATCH(E445, '06_BANG_GIA_VAT_TU_AP_DUNG'!$B$1:$B$5000, 0)), 0)</f>
        <v/>
      </c>
      <c r="K445" s="13">
        <f>I445*J445</f>
        <v/>
      </c>
      <c r="L445" t="inlineStr">
        <is>
          <t>1 đôi bạc đỡ 2 bên thân</t>
        </is>
      </c>
    </row>
    <row r="446">
      <c r="A446" t="inlineStr">
        <is>
          <t>SW-DAMPER-045-ACTUATOR</t>
        </is>
      </c>
      <c r="B446" t="inlineStr">
        <is>
          <t>SW-DAMPER-045</t>
        </is>
      </c>
      <c r="C446" t="inlineStr">
        <is>
          <t>Động cơ chặn lửa ON/OFF 3.5Nm, 230V/24V (BELIMO FSLF24 / FSLF230)</t>
        </is>
      </c>
      <c r="D446" t="inlineStr">
        <is>
          <t>ĐỘNG_CƠ_VÀ_CẢM_BIẾN</t>
        </is>
      </c>
      <c r="E446" t="inlineStr">
        <is>
          <t>MAT-ACTUATOR-BELIMO-FSLF24</t>
        </is>
      </c>
      <c r="F446" t="inlineStr">
        <is>
          <t>Cái</t>
        </is>
      </c>
      <c r="G446" s="17" t="n">
        <v>1</v>
      </c>
      <c r="H446" s="13">
        <f>'00_TONG_HOP_BAO_GIA'!G46</f>
        <v/>
      </c>
      <c r="I446" s="18">
        <f>G446*H446</f>
        <v/>
      </c>
      <c r="J446" s="13">
        <f>IFERROR(INDEX('06_BANG_GIA_VAT_TU_AP_DUNG'!$E$1:$E$5000, MATCH(E446, '06_BANG_GIA_VAT_TU_AP_DUNG'!$B$1:$B$5000, 0)), 0)</f>
        <v/>
      </c>
      <c r="K446" s="13">
        <f>I446*J446</f>
        <v/>
      </c>
      <c r="L446" t="inlineStr">
        <is>
          <t>Động cơ lò xo phản hồi MFD (1 bộ)</t>
        </is>
      </c>
    </row>
    <row r="447">
      <c r="A447" t="inlineStr">
        <is>
          <t>SW-DAMPER-045-FB10-BODY</t>
        </is>
      </c>
      <c r="B447" t="inlineStr">
        <is>
          <t>SW-DAMPER-045</t>
        </is>
      </c>
      <c r="C447" t="inlineStr">
        <is>
          <t>Tấm chống cháy dày 10mm bọc thân van FD/MFD (2 lớp)</t>
        </is>
      </c>
      <c r="D447" t="inlineStr">
        <is>
          <t>VẬT_LIỆU_CÁCH_NHIỆT</t>
        </is>
      </c>
      <c r="E447" t="inlineStr">
        <is>
          <t>MAT-FIREBOARD-10MM-BODY</t>
        </is>
      </c>
      <c r="F447" t="inlineStr">
        <is>
          <t>m2</t>
        </is>
      </c>
      <c r="G447" s="17" t="n">
        <v>1.770772116814832</v>
      </c>
      <c r="H447" s="13">
        <f>'00_TONG_HOP_BAO_GIA'!G46</f>
        <v/>
      </c>
      <c r="I447" s="18">
        <f>G447*H447</f>
        <v/>
      </c>
      <c r="J447" s="13">
        <f>IFERROR(INDEX('06_BANG_GIA_VAT_TU_AP_DUNG'!$E$1:$E$5000, MATCH(E447, '06_BANG_GIA_VAT_TU_AP_DUNG'!$B$1:$B$5000, 0)), 0)</f>
        <v/>
      </c>
      <c r="K447" s="13">
        <f>I447*J447</f>
        <v/>
      </c>
      <c r="L447" t="inlineStr">
        <is>
          <t>Bọc 2 lớp tấm 10mm quanh thân L=300mm</t>
        </is>
      </c>
    </row>
    <row r="448">
      <c r="A448" t="inlineStr">
        <is>
          <t>SW-DAMPER-045-FB20-BLADE</t>
        </is>
      </c>
      <c r="B448" t="inlineStr">
        <is>
          <t>SW-DAMPER-045</t>
        </is>
      </c>
      <c r="C448" t="inlineStr">
        <is>
          <t>Tấm chống cháy dày 20mm làm lõi cánh van FD/MFD</t>
        </is>
      </c>
      <c r="D448" t="inlineStr">
        <is>
          <t>VẬT_LIỆU_CÁCH_NHIỆT</t>
        </is>
      </c>
      <c r="E448" t="inlineStr">
        <is>
          <t>MAT-FIREBOARD-20MM-BLADE</t>
        </is>
      </c>
      <c r="F448" t="inlineStr">
        <is>
          <t>m2</t>
        </is>
      </c>
      <c r="G448" s="17" t="n">
        <v>0.3935049148477405</v>
      </c>
      <c r="H448" s="13">
        <f>'00_TONG_HOP_BAO_GIA'!G46</f>
        <v/>
      </c>
      <c r="I448" s="18">
        <f>G448*H448</f>
        <v/>
      </c>
      <c r="J448" s="13">
        <f>IFERROR(INDEX('06_BANG_GIA_VAT_TU_AP_DUNG'!$E$1:$E$5000, MATCH(E448, '06_BANG_GIA_VAT_TU_AP_DUNG'!$B$1:$B$5000, 0)), 0)</f>
        <v/>
      </c>
      <c r="K448" s="13">
        <f>I448*J448</f>
        <v/>
      </c>
      <c r="L448" t="inlineStr">
        <is>
          <t>Lõi cánh tấm 20mm (Cánh đơn 800x400mm)</t>
        </is>
      </c>
    </row>
    <row r="449">
      <c r="A449" t="inlineStr">
        <is>
          <t>SW-DAMPER-045-FB10-BLADE</t>
        </is>
      </c>
      <c r="B449" t="inlineStr">
        <is>
          <t>SW-DAMPER-045</t>
        </is>
      </c>
      <c r="C449" t="inlineStr">
        <is>
          <t>Tấm chống cháy dày 10mm ốp 2 mặt cánh van FD/MFD</t>
        </is>
      </c>
      <c r="D449" t="inlineStr">
        <is>
          <t>VẬT_LIỆU_CÁCH_NHIỆT</t>
        </is>
      </c>
      <c r="E449" t="inlineStr">
        <is>
          <t>MAT-FIREBOARD-10MM-BLADE</t>
        </is>
      </c>
      <c r="F449" t="inlineStr">
        <is>
          <t>m2</t>
        </is>
      </c>
      <c r="G449" s="17" t="n">
        <v>0.7870098296954811</v>
      </c>
      <c r="H449" s="13">
        <f>'00_TONG_HOP_BAO_GIA'!G46</f>
        <v/>
      </c>
      <c r="I449" s="18">
        <f>G449*H449</f>
        <v/>
      </c>
      <c r="J449" s="13">
        <f>IFERROR(INDEX('06_BANG_GIA_VAT_TU_AP_DUNG'!$E$1:$E$5000, MATCH(E449, '06_BANG_GIA_VAT_TU_AP_DUNG'!$B$1:$B$5000, 0)), 0)</f>
        <v/>
      </c>
      <c r="K449" s="13">
        <f>I449*J449</f>
        <v/>
      </c>
      <c r="L449" t="inlineStr">
        <is>
          <t>Ốp 2 mặt cánh tấm 10mm (Cánh đơn 800x400mm)</t>
        </is>
      </c>
    </row>
    <row r="450">
      <c r="A450" t="inlineStr">
        <is>
          <t>SW-DAMPER-045-SPRING-BOX</t>
        </is>
      </c>
      <c r="B450" t="inlineStr">
        <is>
          <t>SW-DAMPER-045</t>
        </is>
      </c>
      <c r="C450" t="inlineStr">
        <is>
          <t>Hộp lò xo van chặn lửa FD/MFD</t>
        </is>
      </c>
      <c r="D450" t="inlineStr">
        <is>
          <t>PHỤ_KIỆN_VAN</t>
        </is>
      </c>
      <c r="E450" t="inlineStr">
        <is>
          <t>MAT-DAMPER-HOP-LO-XO</t>
        </is>
      </c>
      <c r="F450" t="inlineStr">
        <is>
          <t>Bộ</t>
        </is>
      </c>
      <c r="G450" s="17" t="n">
        <v>1</v>
      </c>
      <c r="H450" s="13">
        <f>'00_TONG_HOP_BAO_GIA'!G46</f>
        <v/>
      </c>
      <c r="I450" s="18">
        <f>G450*H450</f>
        <v/>
      </c>
      <c r="J450" s="13">
        <f>IFERROR(INDEX('06_BANG_GIA_VAT_TU_AP_DUNG'!$E$1:$E$5000, MATCH(E450, '06_BANG_GIA_VAT_TU_AP_DUNG'!$B$1:$B$5000, 0)), 0)</f>
        <v/>
      </c>
      <c r="K450" s="13">
        <f>I450*J450</f>
        <v/>
      </c>
      <c r="L450" t="inlineStr">
        <is>
          <t>Hộp lò xo cơ cấu đóng sập (1 bộ)</t>
        </is>
      </c>
    </row>
    <row r="451">
      <c r="A451" t="inlineStr">
        <is>
          <t>SW-DAMPER-045-SILICON-BOLT</t>
        </is>
      </c>
      <c r="B451" t="inlineStr">
        <is>
          <t>SW-DAMPER-045</t>
        </is>
      </c>
      <c r="C451" t="inlineStr">
        <is>
          <t>Silicon chống cháy + bu lông, ốc vít van FD/MFD</t>
        </is>
      </c>
      <c r="D451" t="inlineStr">
        <is>
          <t>PHỤ_KIỆN_VAN</t>
        </is>
      </c>
      <c r="E451" t="inlineStr">
        <is>
          <t>MAT-DAMPER-SILICON-BULONG-VIT</t>
        </is>
      </c>
      <c r="F451" t="inlineStr">
        <is>
          <t>Bộ</t>
        </is>
      </c>
      <c r="G451" s="17" t="n">
        <v>1</v>
      </c>
      <c r="H451" s="13">
        <f>'00_TONG_HOP_BAO_GIA'!G46</f>
        <v/>
      </c>
      <c r="I451" s="18">
        <f>G451*H451</f>
        <v/>
      </c>
      <c r="J451" s="13">
        <f>IFERROR(INDEX('06_BANG_GIA_VAT_TU_AP_DUNG'!$E$1:$E$5000, MATCH(E451, '06_BANG_GIA_VAT_TU_AP_DUNG'!$B$1:$B$5000, 0)), 0)</f>
        <v/>
      </c>
      <c r="K451" s="13">
        <f>I451*J451</f>
        <v/>
      </c>
      <c r="L451" t="inlineStr">
        <is>
          <t>Keo silicon chống cháy &amp; phụ kiện lắp ghép (1 bộ)</t>
        </is>
      </c>
    </row>
    <row r="452">
      <c r="A452" t="inlineStr">
        <is>
          <t>SW-DAMPER-046-BODY</t>
        </is>
      </c>
      <c r="B452" t="inlineStr">
        <is>
          <t>SW-DAMPER-046</t>
        </is>
      </c>
      <c r="C452" t="inlineStr">
        <is>
          <t>Thân vỏ van MFD bích C30/TDF (1.15mm)</t>
        </is>
      </c>
      <c r="D452" t="inlineStr">
        <is>
          <t>TÔN_CUỘN_MẠ_KẼM</t>
        </is>
      </c>
      <c r="E452" t="inlineStr">
        <is>
          <t>MAT-STEEL-PN-1.15</t>
        </is>
      </c>
      <c r="F452" t="inlineStr">
        <is>
          <t>kg</t>
        </is>
      </c>
      <c r="G452" s="17" t="n">
        <v>5.314839441394262</v>
      </c>
      <c r="H452" s="13">
        <f>'00_TONG_HOP_BAO_GIA'!G47</f>
        <v/>
      </c>
      <c r="I452" s="18">
        <f>G452*H452</f>
        <v/>
      </c>
      <c r="J452" s="13">
        <f>IFERROR(INDEX('06_BANG_GIA_VAT_TU_AP_DUNG'!$E$1:$E$5000, MATCH(E452, '06_BANG_GIA_VAT_TU_AP_DUNG'!$B$1:$B$5000, 0)), 0)</f>
        <v/>
      </c>
      <c r="K452" s="13">
        <f>I452*J452</f>
        <v/>
      </c>
      <c r="L452" t="inlineStr">
        <is>
          <t>Kích thước vỏ 500x300x200mm</t>
        </is>
      </c>
    </row>
    <row r="453">
      <c r="A453" t="inlineStr">
        <is>
          <t>SW-DAMPER-046-BLADE</t>
        </is>
      </c>
      <c r="B453" t="inlineStr">
        <is>
          <t>SW-DAMPER-046</t>
        </is>
      </c>
      <c r="C453" t="inlineStr">
        <is>
          <t>Lá cánh / Tôn tấm bọc van (1 cánh)</t>
        </is>
      </c>
      <c r="D453" t="inlineStr">
        <is>
          <t>TÔN_CUỘN_MẠ_KẼM</t>
        </is>
      </c>
      <c r="E453" t="inlineStr">
        <is>
          <t>MAT-STEEL-PN-1.15</t>
        </is>
      </c>
      <c r="F453" t="inlineStr">
        <is>
          <t>kg</t>
        </is>
      </c>
      <c r="G453" s="17" t="n">
        <v>3.429371171373248</v>
      </c>
      <c r="H453" s="13">
        <f>'00_TONG_HOP_BAO_GIA'!G47</f>
        <v/>
      </c>
      <c r="I453" s="18">
        <f>G453*H453</f>
        <v/>
      </c>
      <c r="J453" s="13">
        <f>IFERROR(INDEX('06_BANG_GIA_VAT_TU_AP_DUNG'!$E$1:$E$5000, MATCH(E453, '06_BANG_GIA_VAT_TU_AP_DUNG'!$B$1:$B$5000, 0)), 0)</f>
        <v/>
      </c>
      <c r="K453" s="13">
        <f>I453*J453</f>
        <v/>
      </c>
      <c r="L453" t="inlineStr">
        <is>
          <t>Tôn bọc cánh &amp; thân (1 cánh/modul)</t>
        </is>
      </c>
    </row>
    <row r="454">
      <c r="A454" t="inlineStr">
        <is>
          <t>SW-DAMPER-046-AXLE</t>
        </is>
      </c>
      <c r="B454" t="inlineStr">
        <is>
          <t>SW-DAMPER-046</t>
        </is>
      </c>
      <c r="C454" t="inlineStr">
        <is>
          <t>Trục Sus 201 D10</t>
        </is>
      </c>
      <c r="D454" t="inlineStr">
        <is>
          <t>PHỤ_KIỆN_VAN</t>
        </is>
      </c>
      <c r="E454" t="inlineStr">
        <is>
          <t>MAT-DAMPER-TRUC-SUS-201-D10</t>
        </is>
      </c>
      <c r="F454" t="inlineStr">
        <is>
          <t>m</t>
        </is>
      </c>
      <c r="G454" s="17" t="n">
        <v>0.709110257904189</v>
      </c>
      <c r="H454" s="13">
        <f>'00_TONG_HOP_BAO_GIA'!G47</f>
        <v/>
      </c>
      <c r="I454" s="18">
        <f>G454*H454</f>
        <v/>
      </c>
      <c r="J454" s="13">
        <f>IFERROR(INDEX('06_BANG_GIA_VAT_TU_AP_DUNG'!$E$1:$E$5000, MATCH(E454, '06_BANG_GIA_VAT_TU_AP_DUNG'!$B$1:$B$5000, 0)), 0)</f>
        <v/>
      </c>
      <c r="K454" s="13">
        <f>I454*J454</f>
        <v/>
      </c>
      <c r="L454" t="inlineStr">
        <is>
          <t>1 trục dài 560mm</t>
        </is>
      </c>
    </row>
    <row r="455">
      <c r="A455" t="inlineStr">
        <is>
          <t>SW-DAMPER-046-BEARING</t>
        </is>
      </c>
      <c r="B455" t="inlineStr">
        <is>
          <t>SW-DAMPER-046</t>
        </is>
      </c>
      <c r="C455" t="inlineStr">
        <is>
          <t>Bạc đồng D10</t>
        </is>
      </c>
      <c r="D455" t="inlineStr">
        <is>
          <t>PHỤ_KIỆN_VAN</t>
        </is>
      </c>
      <c r="E455" t="inlineStr">
        <is>
          <t>MAT-DAMPER-BAC-DONG-D10</t>
        </is>
      </c>
      <c r="F455" t="inlineStr">
        <is>
          <t>Đôi</t>
        </is>
      </c>
      <c r="G455" s="17" t="n">
        <v>1</v>
      </c>
      <c r="H455" s="13">
        <f>'00_TONG_HOP_BAO_GIA'!G47</f>
        <v/>
      </c>
      <c r="I455" s="18">
        <f>G455*H455</f>
        <v/>
      </c>
      <c r="J455" s="13">
        <f>IFERROR(INDEX('06_BANG_GIA_VAT_TU_AP_DUNG'!$E$1:$E$5000, MATCH(E455, '06_BANG_GIA_VAT_TU_AP_DUNG'!$B$1:$B$5000, 0)), 0)</f>
        <v/>
      </c>
      <c r="K455" s="13">
        <f>I455*J455</f>
        <v/>
      </c>
      <c r="L455" t="inlineStr">
        <is>
          <t>1 đôi bạc đỡ 2 bên thân</t>
        </is>
      </c>
    </row>
    <row r="456">
      <c r="A456" t="inlineStr">
        <is>
          <t>SW-DAMPER-046-ACTUATOR</t>
        </is>
      </c>
      <c r="B456" t="inlineStr">
        <is>
          <t>SW-DAMPER-046</t>
        </is>
      </c>
      <c r="C456" t="inlineStr">
        <is>
          <t>Động cơ chặn lửa ON/OFF 3.5Nm, 230V/24V (BELIMO FSLF24 / FSLF230)</t>
        </is>
      </c>
      <c r="D456" t="inlineStr">
        <is>
          <t>ĐỘNG_CƠ_VÀ_CẢM_BIẾN</t>
        </is>
      </c>
      <c r="E456" t="inlineStr">
        <is>
          <t>MAT-ACTUATOR-BELIMO-FSLF24</t>
        </is>
      </c>
      <c r="F456" t="inlineStr">
        <is>
          <t>Cái</t>
        </is>
      </c>
      <c r="G456" s="17" t="n">
        <v>1</v>
      </c>
      <c r="H456" s="13">
        <f>'00_TONG_HOP_BAO_GIA'!G47</f>
        <v/>
      </c>
      <c r="I456" s="18">
        <f>G456*H456</f>
        <v/>
      </c>
      <c r="J456" s="13">
        <f>IFERROR(INDEX('06_BANG_GIA_VAT_TU_AP_DUNG'!$E$1:$E$5000, MATCH(E456, '06_BANG_GIA_VAT_TU_AP_DUNG'!$B$1:$B$5000, 0)), 0)</f>
        <v/>
      </c>
      <c r="K456" s="13">
        <f>I456*J456</f>
        <v/>
      </c>
      <c r="L456" t="inlineStr">
        <is>
          <t>Động cơ lò xo phản hồi MFD (1 bộ)</t>
        </is>
      </c>
    </row>
    <row r="457">
      <c r="A457" t="inlineStr">
        <is>
          <t>SW-DAMPER-046-FB10-BODY</t>
        </is>
      </c>
      <c r="B457" t="inlineStr">
        <is>
          <t>SW-DAMPER-046</t>
        </is>
      </c>
      <c r="C457" t="inlineStr">
        <is>
          <t>Tấm chống cháy dày 10mm bọc thân van FD/MFD (2 lớp)</t>
        </is>
      </c>
      <c r="D457" t="inlineStr">
        <is>
          <t>VẬT_LIỆU_CÁCH_NHIỆT</t>
        </is>
      </c>
      <c r="E457" t="inlineStr">
        <is>
          <t>MAT-FIREBOARD-10MM-BODY</t>
        </is>
      </c>
      <c r="F457" t="inlineStr">
        <is>
          <t>m2</t>
        </is>
      </c>
      <c r="G457" s="17" t="n">
        <v>1.21561758497861</v>
      </c>
      <c r="H457" s="13">
        <f>'00_TONG_HOP_BAO_GIA'!G47</f>
        <v/>
      </c>
      <c r="I457" s="18">
        <f>G457*H457</f>
        <v/>
      </c>
      <c r="J457" s="13">
        <f>IFERROR(INDEX('06_BANG_GIA_VAT_TU_AP_DUNG'!$E$1:$E$5000, MATCH(E457, '06_BANG_GIA_VAT_TU_AP_DUNG'!$B$1:$B$5000, 0)), 0)</f>
        <v/>
      </c>
      <c r="K457" s="13">
        <f>I457*J457</f>
        <v/>
      </c>
      <c r="L457" t="inlineStr">
        <is>
          <t>Bọc 2 lớp tấm 10mm quanh thân L=300mm</t>
        </is>
      </c>
    </row>
    <row r="458">
      <c r="A458" t="inlineStr">
        <is>
          <t>SW-DAMPER-046-FB20-BLADE</t>
        </is>
      </c>
      <c r="B458" t="inlineStr">
        <is>
          <t>SW-DAMPER-046</t>
        </is>
      </c>
      <c r="C458" t="inlineStr">
        <is>
          <t>Tấm chống cháy dày 20mm làm lõi cánh van FD/MFD</t>
        </is>
      </c>
      <c r="D458" t="inlineStr">
        <is>
          <t>VẬT_LIỆU_CÁCH_NHIỆT</t>
        </is>
      </c>
      <c r="E458" t="inlineStr">
        <is>
          <t>MAT-FIREBOARD-20MM-BLADE</t>
        </is>
      </c>
      <c r="F458" t="inlineStr">
        <is>
          <t>m2</t>
        </is>
      </c>
      <c r="G458" s="17" t="n">
        <v>0.1899402476529077</v>
      </c>
      <c r="H458" s="13">
        <f>'00_TONG_HOP_BAO_GIA'!G47</f>
        <v/>
      </c>
      <c r="I458" s="18">
        <f>G458*H458</f>
        <v/>
      </c>
      <c r="J458" s="13">
        <f>IFERROR(INDEX('06_BANG_GIA_VAT_TU_AP_DUNG'!$E$1:$E$5000, MATCH(E458, '06_BANG_GIA_VAT_TU_AP_DUNG'!$B$1:$B$5000, 0)), 0)</f>
        <v/>
      </c>
      <c r="K458" s="13">
        <f>I458*J458</f>
        <v/>
      </c>
      <c r="L458" t="inlineStr">
        <is>
          <t>Lõi cánh tấm 20mm (Cánh đơn 500x300mm)</t>
        </is>
      </c>
    </row>
    <row r="459">
      <c r="A459" t="inlineStr">
        <is>
          <t>SW-DAMPER-046-FB10-BLADE</t>
        </is>
      </c>
      <c r="B459" t="inlineStr">
        <is>
          <t>SW-DAMPER-046</t>
        </is>
      </c>
      <c r="C459" t="inlineStr">
        <is>
          <t>Tấm chống cháy dày 10mm ốp 2 mặt cánh van FD/MFD</t>
        </is>
      </c>
      <c r="D459" t="inlineStr">
        <is>
          <t>VẬT_LIỆU_CÁCH_NHIỆT</t>
        </is>
      </c>
      <c r="E459" t="inlineStr">
        <is>
          <t>MAT-FIREBOARD-10MM-BLADE</t>
        </is>
      </c>
      <c r="F459" t="inlineStr">
        <is>
          <t>m2</t>
        </is>
      </c>
      <c r="G459" s="17" t="n">
        <v>0.3798804953058155</v>
      </c>
      <c r="H459" s="13">
        <f>'00_TONG_HOP_BAO_GIA'!G47</f>
        <v/>
      </c>
      <c r="I459" s="18">
        <f>G459*H459</f>
        <v/>
      </c>
      <c r="J459" s="13">
        <f>IFERROR(INDEX('06_BANG_GIA_VAT_TU_AP_DUNG'!$E$1:$E$5000, MATCH(E459, '06_BANG_GIA_VAT_TU_AP_DUNG'!$B$1:$B$5000, 0)), 0)</f>
        <v/>
      </c>
      <c r="K459" s="13">
        <f>I459*J459</f>
        <v/>
      </c>
      <c r="L459" t="inlineStr">
        <is>
          <t>Ốp 2 mặt cánh tấm 10mm (Cánh đơn 500x300mm)</t>
        </is>
      </c>
    </row>
    <row r="460">
      <c r="A460" t="inlineStr">
        <is>
          <t>SW-DAMPER-046-SPRING-BOX</t>
        </is>
      </c>
      <c r="B460" t="inlineStr">
        <is>
          <t>SW-DAMPER-046</t>
        </is>
      </c>
      <c r="C460" t="inlineStr">
        <is>
          <t>Hộp lò xo van chặn lửa FD/MFD</t>
        </is>
      </c>
      <c r="D460" t="inlineStr">
        <is>
          <t>PHỤ_KIỆN_VAN</t>
        </is>
      </c>
      <c r="E460" t="inlineStr">
        <is>
          <t>MAT-DAMPER-HOP-LO-XO</t>
        </is>
      </c>
      <c r="F460" t="inlineStr">
        <is>
          <t>Bộ</t>
        </is>
      </c>
      <c r="G460" s="17" t="n">
        <v>1</v>
      </c>
      <c r="H460" s="13">
        <f>'00_TONG_HOP_BAO_GIA'!G47</f>
        <v/>
      </c>
      <c r="I460" s="18">
        <f>G460*H460</f>
        <v/>
      </c>
      <c r="J460" s="13">
        <f>IFERROR(INDEX('06_BANG_GIA_VAT_TU_AP_DUNG'!$E$1:$E$5000, MATCH(E460, '06_BANG_GIA_VAT_TU_AP_DUNG'!$B$1:$B$5000, 0)), 0)</f>
        <v/>
      </c>
      <c r="K460" s="13">
        <f>I460*J460</f>
        <v/>
      </c>
      <c r="L460" t="inlineStr">
        <is>
          <t>Hộp lò xo cơ cấu đóng sập (1 bộ)</t>
        </is>
      </c>
    </row>
    <row r="461">
      <c r="A461" t="inlineStr">
        <is>
          <t>SW-DAMPER-046-SILICON-BOLT</t>
        </is>
      </c>
      <c r="B461" t="inlineStr">
        <is>
          <t>SW-DAMPER-046</t>
        </is>
      </c>
      <c r="C461" t="inlineStr">
        <is>
          <t>Silicon chống cháy + bu lông, ốc vít van FD/MFD</t>
        </is>
      </c>
      <c r="D461" t="inlineStr">
        <is>
          <t>PHỤ_KIỆN_VAN</t>
        </is>
      </c>
      <c r="E461" t="inlineStr">
        <is>
          <t>MAT-DAMPER-SILICON-BULONG-VIT</t>
        </is>
      </c>
      <c r="F461" t="inlineStr">
        <is>
          <t>Bộ</t>
        </is>
      </c>
      <c r="G461" s="17" t="n">
        <v>1</v>
      </c>
      <c r="H461" s="13">
        <f>'00_TONG_HOP_BAO_GIA'!G47</f>
        <v/>
      </c>
      <c r="I461" s="18">
        <f>G461*H461</f>
        <v/>
      </c>
      <c r="J461" s="13">
        <f>IFERROR(INDEX('06_BANG_GIA_VAT_TU_AP_DUNG'!$E$1:$E$5000, MATCH(E461, '06_BANG_GIA_VAT_TU_AP_DUNG'!$B$1:$B$5000, 0)), 0)</f>
        <v/>
      </c>
      <c r="K461" s="13">
        <f>I461*J461</f>
        <v/>
      </c>
      <c r="L461" t="inlineStr">
        <is>
          <t>Keo silicon chống cháy &amp; phụ kiện lắp ghép (1 bộ)</t>
        </is>
      </c>
    </row>
    <row r="462">
      <c r="A462" t="inlineStr">
        <is>
          <t>SW-DAMPER-047-BODY</t>
        </is>
      </c>
      <c r="B462" t="inlineStr">
        <is>
          <t>SW-DAMPER-047</t>
        </is>
      </c>
      <c r="C462" t="inlineStr">
        <is>
          <t>Thân vỏ van MFD bích C30/TDF (1.15mm)</t>
        </is>
      </c>
      <c r="D462" t="inlineStr">
        <is>
          <t>TÔN_CUỘN_MẠ_KẼM</t>
        </is>
      </c>
      <c r="E462" t="inlineStr">
        <is>
          <t>MAT-STEEL-PN-1.15</t>
        </is>
      </c>
      <c r="F462" t="inlineStr">
        <is>
          <t>kg</t>
        </is>
      </c>
      <c r="G462" s="17" t="n">
        <v>8.900163102713924</v>
      </c>
      <c r="H462" s="13">
        <f>'00_TONG_HOP_BAO_GIA'!G48</f>
        <v/>
      </c>
      <c r="I462" s="18">
        <f>G462*H462</f>
        <v/>
      </c>
      <c r="J462" s="13">
        <f>IFERROR(INDEX('06_BANG_GIA_VAT_TU_AP_DUNG'!$E$1:$E$5000, MATCH(E462, '06_BANG_GIA_VAT_TU_AP_DUNG'!$B$1:$B$5000, 0)), 0)</f>
        <v/>
      </c>
      <c r="K462" s="13">
        <f>I462*J462</f>
        <v/>
      </c>
      <c r="L462" t="inlineStr">
        <is>
          <t>Kích thước vỏ 900x500x200mm</t>
        </is>
      </c>
    </row>
    <row r="463">
      <c r="A463" t="inlineStr">
        <is>
          <t>SW-DAMPER-047-BLADE</t>
        </is>
      </c>
      <c r="B463" t="inlineStr">
        <is>
          <t>SW-DAMPER-047</t>
        </is>
      </c>
      <c r="C463" t="inlineStr">
        <is>
          <t>Lá cánh / Tôn tấm bọc van (1 cánh)</t>
        </is>
      </c>
      <c r="D463" t="inlineStr">
        <is>
          <t>TÔN_CUỘN_MẠ_KẼM</t>
        </is>
      </c>
      <c r="E463" t="inlineStr">
        <is>
          <t>MAT-STEEL-PN-1.15</t>
        </is>
      </c>
      <c r="F463" t="inlineStr">
        <is>
          <t>kg</t>
        </is>
      </c>
      <c r="G463" s="17" t="n">
        <v>9.94876269026819</v>
      </c>
      <c r="H463" s="13">
        <f>'00_TONG_HOP_BAO_GIA'!G48</f>
        <v/>
      </c>
      <c r="I463" s="18">
        <f>G463*H463</f>
        <v/>
      </c>
      <c r="J463" s="13">
        <f>IFERROR(INDEX('06_BANG_GIA_VAT_TU_AP_DUNG'!$E$1:$E$5000, MATCH(E463, '06_BANG_GIA_VAT_TU_AP_DUNG'!$B$1:$B$5000, 0)), 0)</f>
        <v/>
      </c>
      <c r="K463" s="13">
        <f>I463*J463</f>
        <v/>
      </c>
      <c r="L463" t="inlineStr">
        <is>
          <t>Tôn bọc cánh &amp; thân (1 cánh/modul)</t>
        </is>
      </c>
    </row>
    <row r="464">
      <c r="A464" t="inlineStr">
        <is>
          <t>SW-DAMPER-047-AXLE</t>
        </is>
      </c>
      <c r="B464" t="inlineStr">
        <is>
          <t>SW-DAMPER-047</t>
        </is>
      </c>
      <c r="C464" t="inlineStr">
        <is>
          <t>Trục Sus 201 D10</t>
        </is>
      </c>
      <c r="D464" t="inlineStr">
        <is>
          <t>PHỤ_KIỆN_VAN</t>
        </is>
      </c>
      <c r="E464" t="inlineStr">
        <is>
          <t>MAT-DAMPER-TRUC-SUS-201-D10</t>
        </is>
      </c>
      <c r="F464" t="inlineStr">
        <is>
          <t>m</t>
        </is>
      </c>
      <c r="G464" s="17" t="n">
        <v>1.175520746196186</v>
      </c>
      <c r="H464" s="13">
        <f>'00_TONG_HOP_BAO_GIA'!G48</f>
        <v/>
      </c>
      <c r="I464" s="18">
        <f>G464*H464</f>
        <v/>
      </c>
      <c r="J464" s="13">
        <f>IFERROR(INDEX('06_BANG_GIA_VAT_TU_AP_DUNG'!$E$1:$E$5000, MATCH(E464, '06_BANG_GIA_VAT_TU_AP_DUNG'!$B$1:$B$5000, 0)), 0)</f>
        <v/>
      </c>
      <c r="K464" s="13">
        <f>I464*J464</f>
        <v/>
      </c>
      <c r="L464" t="inlineStr">
        <is>
          <t>1 trục dài 960mm</t>
        </is>
      </c>
    </row>
    <row r="465">
      <c r="A465" t="inlineStr">
        <is>
          <t>SW-DAMPER-047-BEARING</t>
        </is>
      </c>
      <c r="B465" t="inlineStr">
        <is>
          <t>SW-DAMPER-047</t>
        </is>
      </c>
      <c r="C465" t="inlineStr">
        <is>
          <t>Bạc đồng D10</t>
        </is>
      </c>
      <c r="D465" t="inlineStr">
        <is>
          <t>PHỤ_KIỆN_VAN</t>
        </is>
      </c>
      <c r="E465" t="inlineStr">
        <is>
          <t>MAT-DAMPER-BAC-DONG-D10</t>
        </is>
      </c>
      <c r="F465" t="inlineStr">
        <is>
          <t>Đôi</t>
        </is>
      </c>
      <c r="G465" s="17" t="n">
        <v>1</v>
      </c>
      <c r="H465" s="13">
        <f>'00_TONG_HOP_BAO_GIA'!G48</f>
        <v/>
      </c>
      <c r="I465" s="18">
        <f>G465*H465</f>
        <v/>
      </c>
      <c r="J465" s="13">
        <f>IFERROR(INDEX('06_BANG_GIA_VAT_TU_AP_DUNG'!$E$1:$E$5000, MATCH(E465, '06_BANG_GIA_VAT_TU_AP_DUNG'!$B$1:$B$5000, 0)), 0)</f>
        <v/>
      </c>
      <c r="K465" s="13">
        <f>I465*J465</f>
        <v/>
      </c>
      <c r="L465" t="inlineStr">
        <is>
          <t>1 đôi bạc đỡ 2 bên thân</t>
        </is>
      </c>
    </row>
    <row r="466">
      <c r="A466" t="inlineStr">
        <is>
          <t>SW-DAMPER-047-ACTUATOR</t>
        </is>
      </c>
      <c r="B466" t="inlineStr">
        <is>
          <t>SW-DAMPER-047</t>
        </is>
      </c>
      <c r="C466" t="inlineStr">
        <is>
          <t>Động cơ chặn lửa ON/OFF 3.5Nm, 230V/24V (BELIMO FSLF24 / FSLF230)</t>
        </is>
      </c>
      <c r="D466" t="inlineStr">
        <is>
          <t>ĐỘNG_CƠ_VÀ_CẢM_BIẾN</t>
        </is>
      </c>
      <c r="E466" t="inlineStr">
        <is>
          <t>MAT-ACTUATOR-BELIMO-FSLF24</t>
        </is>
      </c>
      <c r="F466" t="inlineStr">
        <is>
          <t>Cái</t>
        </is>
      </c>
      <c r="G466" s="17" t="n">
        <v>1</v>
      </c>
      <c r="H466" s="13">
        <f>'00_TONG_HOP_BAO_GIA'!G48</f>
        <v/>
      </c>
      <c r="I466" s="18">
        <f>G466*H466</f>
        <v/>
      </c>
      <c r="J466" s="13">
        <f>IFERROR(INDEX('06_BANG_GIA_VAT_TU_AP_DUNG'!$E$1:$E$5000, MATCH(E466, '06_BANG_GIA_VAT_TU_AP_DUNG'!$B$1:$B$5000, 0)), 0)</f>
        <v/>
      </c>
      <c r="K466" s="13">
        <f>I466*J466</f>
        <v/>
      </c>
      <c r="L466" t="inlineStr">
        <is>
          <t>Động cơ lò xo phản hồi MFD (1 bộ)</t>
        </is>
      </c>
    </row>
    <row r="467">
      <c r="A467" t="inlineStr">
        <is>
          <t>SW-DAMPER-047-FB10-BODY</t>
        </is>
      </c>
      <c r="B467" t="inlineStr">
        <is>
          <t>SW-DAMPER-047</t>
        </is>
      </c>
      <c r="C467" t="inlineStr">
        <is>
          <t>Tấm chống cháy dày 10mm bọc thân van FD/MFD (2 lớp)</t>
        </is>
      </c>
      <c r="D467" t="inlineStr">
        <is>
          <t>VẬT_LIỆU_CÁCH_NHIỆT</t>
        </is>
      </c>
      <c r="E467" t="inlineStr">
        <is>
          <t>MAT-FIREBOARD-10MM-BODY</t>
        </is>
      </c>
      <c r="F467" t="inlineStr">
        <is>
          <t>m2</t>
        </is>
      </c>
      <c r="G467" s="17" t="n">
        <v>2.057161305843326</v>
      </c>
      <c r="H467" s="13">
        <f>'00_TONG_HOP_BAO_GIA'!G48</f>
        <v/>
      </c>
      <c r="I467" s="18">
        <f>G467*H467</f>
        <v/>
      </c>
      <c r="J467" s="13">
        <f>IFERROR(INDEX('06_BANG_GIA_VAT_TU_AP_DUNG'!$E$1:$E$5000, MATCH(E467, '06_BANG_GIA_VAT_TU_AP_DUNG'!$B$1:$B$5000, 0)), 0)</f>
        <v/>
      </c>
      <c r="K467" s="13">
        <f>I467*J467</f>
        <v/>
      </c>
      <c r="L467" t="inlineStr">
        <is>
          <t>Bọc 2 lớp tấm 10mm quanh thân L=300mm</t>
        </is>
      </c>
    </row>
    <row r="468">
      <c r="A468" t="inlineStr">
        <is>
          <t>SW-DAMPER-047-FB20-BLADE</t>
        </is>
      </c>
      <c r="B468" t="inlineStr">
        <is>
          <t>SW-DAMPER-047</t>
        </is>
      </c>
      <c r="C468" t="inlineStr">
        <is>
          <t>Tấm chống cháy dày 20mm làm lõi cánh van FD/MFD</t>
        </is>
      </c>
      <c r="D468" t="inlineStr">
        <is>
          <t>VẬT_LIỆU_CÁCH_NHIỆT</t>
        </is>
      </c>
      <c r="E468" t="inlineStr">
        <is>
          <t>MAT-FIREBOARD-20MM-BLADE</t>
        </is>
      </c>
      <c r="F468" t="inlineStr">
        <is>
          <t>m2</t>
        </is>
      </c>
      <c r="G468" s="17" t="n">
        <v>0.5510253497794623</v>
      </c>
      <c r="H468" s="13">
        <f>'00_TONG_HOP_BAO_GIA'!G48</f>
        <v/>
      </c>
      <c r="I468" s="18">
        <f>G468*H468</f>
        <v/>
      </c>
      <c r="J468" s="13">
        <f>IFERROR(INDEX('06_BANG_GIA_VAT_TU_AP_DUNG'!$E$1:$E$5000, MATCH(E468, '06_BANG_GIA_VAT_TU_AP_DUNG'!$B$1:$B$5000, 0)), 0)</f>
        <v/>
      </c>
      <c r="K468" s="13">
        <f>I468*J468</f>
        <v/>
      </c>
      <c r="L468" t="inlineStr">
        <is>
          <t>Lõi cánh tấm 20mm (Cánh đơn 900x500mm)</t>
        </is>
      </c>
    </row>
    <row r="469">
      <c r="A469" t="inlineStr">
        <is>
          <t>SW-DAMPER-047-FB10-BLADE</t>
        </is>
      </c>
      <c r="B469" t="inlineStr">
        <is>
          <t>SW-DAMPER-047</t>
        </is>
      </c>
      <c r="C469" t="inlineStr">
        <is>
          <t>Tấm chống cháy dày 10mm ốp 2 mặt cánh van FD/MFD</t>
        </is>
      </c>
      <c r="D469" t="inlineStr">
        <is>
          <t>VẬT_LIỆU_CÁCH_NHIỆT</t>
        </is>
      </c>
      <c r="E469" t="inlineStr">
        <is>
          <t>MAT-FIREBOARD-10MM-BLADE</t>
        </is>
      </c>
      <c r="F469" t="inlineStr">
        <is>
          <t>m2</t>
        </is>
      </c>
      <c r="G469" s="17" t="n">
        <v>1.102050699558925</v>
      </c>
      <c r="H469" s="13">
        <f>'00_TONG_HOP_BAO_GIA'!G48</f>
        <v/>
      </c>
      <c r="I469" s="18">
        <f>G469*H469</f>
        <v/>
      </c>
      <c r="J469" s="13">
        <f>IFERROR(INDEX('06_BANG_GIA_VAT_TU_AP_DUNG'!$E$1:$E$5000, MATCH(E469, '06_BANG_GIA_VAT_TU_AP_DUNG'!$B$1:$B$5000, 0)), 0)</f>
        <v/>
      </c>
      <c r="K469" s="13">
        <f>I469*J469</f>
        <v/>
      </c>
      <c r="L469" t="inlineStr">
        <is>
          <t>Ốp 2 mặt cánh tấm 10mm (Cánh đơn 900x500mm)</t>
        </is>
      </c>
    </row>
    <row r="470">
      <c r="A470" t="inlineStr">
        <is>
          <t>SW-DAMPER-047-SPRING-BOX</t>
        </is>
      </c>
      <c r="B470" t="inlineStr">
        <is>
          <t>SW-DAMPER-047</t>
        </is>
      </c>
      <c r="C470" t="inlineStr">
        <is>
          <t>Hộp lò xo van chặn lửa FD/MFD</t>
        </is>
      </c>
      <c r="D470" t="inlineStr">
        <is>
          <t>PHỤ_KIỆN_VAN</t>
        </is>
      </c>
      <c r="E470" t="inlineStr">
        <is>
          <t>MAT-DAMPER-HOP-LO-XO</t>
        </is>
      </c>
      <c r="F470" t="inlineStr">
        <is>
          <t>Bộ</t>
        </is>
      </c>
      <c r="G470" s="17" t="n">
        <v>1</v>
      </c>
      <c r="H470" s="13">
        <f>'00_TONG_HOP_BAO_GIA'!G48</f>
        <v/>
      </c>
      <c r="I470" s="18">
        <f>G470*H470</f>
        <v/>
      </c>
      <c r="J470" s="13">
        <f>IFERROR(INDEX('06_BANG_GIA_VAT_TU_AP_DUNG'!$E$1:$E$5000, MATCH(E470, '06_BANG_GIA_VAT_TU_AP_DUNG'!$B$1:$B$5000, 0)), 0)</f>
        <v/>
      </c>
      <c r="K470" s="13">
        <f>I470*J470</f>
        <v/>
      </c>
      <c r="L470" t="inlineStr">
        <is>
          <t>Hộp lò xo cơ cấu đóng sập (1 bộ)</t>
        </is>
      </c>
    </row>
    <row r="471">
      <c r="A471" t="inlineStr">
        <is>
          <t>SW-DAMPER-047-SILICON-BOLT</t>
        </is>
      </c>
      <c r="B471" t="inlineStr">
        <is>
          <t>SW-DAMPER-047</t>
        </is>
      </c>
      <c r="C471" t="inlineStr">
        <is>
          <t>Silicon chống cháy + bu lông, ốc vít van FD/MFD</t>
        </is>
      </c>
      <c r="D471" t="inlineStr">
        <is>
          <t>PHỤ_KIỆN_VAN</t>
        </is>
      </c>
      <c r="E471" t="inlineStr">
        <is>
          <t>MAT-DAMPER-SILICON-BULONG-VIT</t>
        </is>
      </c>
      <c r="F471" t="inlineStr">
        <is>
          <t>Bộ</t>
        </is>
      </c>
      <c r="G471" s="17" t="n">
        <v>1</v>
      </c>
      <c r="H471" s="13">
        <f>'00_TONG_HOP_BAO_GIA'!G48</f>
        <v/>
      </c>
      <c r="I471" s="18">
        <f>G471*H471</f>
        <v/>
      </c>
      <c r="J471" s="13">
        <f>IFERROR(INDEX('06_BANG_GIA_VAT_TU_AP_DUNG'!$E$1:$E$5000, MATCH(E471, '06_BANG_GIA_VAT_TU_AP_DUNG'!$B$1:$B$5000, 0)), 0)</f>
        <v/>
      </c>
      <c r="K471" s="13">
        <f>I471*J471</f>
        <v/>
      </c>
      <c r="L471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2" t="inlineStr">
        <is>
          <t>STT</t>
        </is>
      </c>
      <c r="B1" s="12" t="inlineStr">
        <is>
          <t>MAT_ID</t>
        </is>
      </c>
      <c r="C1" s="12" t="inlineStr">
        <is>
          <t>PHÂN LOẠI</t>
        </is>
      </c>
      <c r="D1" s="12" t="inlineStr">
        <is>
          <t>TÊN VẬT TƯ</t>
        </is>
      </c>
      <c r="E1" s="12" t="inlineStr">
        <is>
          <t>ĐVT</t>
        </is>
      </c>
      <c r="F1" s="12" t="inlineStr">
        <is>
          <t>BAREM KỸ THUẬT</t>
        </is>
      </c>
      <c r="G1" s="12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2" t="inlineStr">
        <is>
          <t>STT</t>
        </is>
      </c>
      <c r="B1" s="12" t="inlineStr">
        <is>
          <t>MAT_ID</t>
        </is>
      </c>
      <c r="C1" s="12" t="inlineStr">
        <is>
          <t>TÊN VẬT TƯ</t>
        </is>
      </c>
      <c r="D1" s="12" t="inlineStr">
        <is>
          <t>PHÂN LOẠI</t>
        </is>
      </c>
      <c r="E1" s="12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3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3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3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3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3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3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3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3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3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3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3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3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3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3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3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3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3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3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3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3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3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3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3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3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3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3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3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3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3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3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3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3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3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3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3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3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3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3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3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3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3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3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3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3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3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3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3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3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3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3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3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3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3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3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3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3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3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3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3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3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3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3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3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3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3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3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3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3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3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3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3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3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3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3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3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3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3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3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3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3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3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3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3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3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3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3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3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3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3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3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3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3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3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3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3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3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3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3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3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3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3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3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3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3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3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3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3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3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3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3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3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3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3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3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3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3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3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3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3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3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3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3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3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3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3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3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3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3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3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3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3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3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3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3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3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3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3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3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3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3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3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3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3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3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3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3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3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3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3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3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3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3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3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3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3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3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3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3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3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3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3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3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3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3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3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3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3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3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3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3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3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3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3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3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3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3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3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3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3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3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3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3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3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3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3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13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3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3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3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3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3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3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3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3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3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3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3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3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3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3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3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3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3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3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3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2026-10-19T06:41:22Z</dcterms:created>
  <dcterms:modified xsi:type="dcterms:W3CDTF">2026-10-19T06:41:22Z</dcterms:modified>
</cp:coreProperties>
</file>
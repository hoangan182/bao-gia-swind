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inlineStr">
        <is>
          <t>IV</t>
        </is>
      </c>
      <c r="B14" s="7" t="inlineStr">
        <is>
          <t>HỆ THỐNG CẤP NGUỒN THÔNG GIÓ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/>
      <c r="B15" s="10" t="inlineStr">
        <is>
          <t>Tủ điện TĐ-M-QTG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inlineStr">
        <is>
          <t>Tủ</t>
        </is>
      </c>
      <c r="M15" s="11" t="n">
        <v>2</v>
      </c>
      <c r="N15" s="12" t="n"/>
      <c r="O15" s="12" t="n"/>
      <c r="P15" s="10" t="n"/>
    </row>
    <row r="16">
      <c r="A16" s="9" t="n"/>
      <c r="B16" s="10" t="inlineStr">
        <is>
          <t>Cáp điện CU/PVC/PVC 3x2,5 mm2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inlineStr">
        <is>
          <t>m</t>
        </is>
      </c>
      <c r="M16" s="11" t="n">
        <v>200</v>
      </c>
      <c r="N16" s="12" t="n"/>
      <c r="O16" s="12" t="n"/>
      <c r="P16" s="10" t="n"/>
    </row>
    <row r="17">
      <c r="A17" s="9" t="n"/>
      <c r="B17" s="10" t="inlineStr">
        <is>
          <t>Dây PVC 1x2.5 mm2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m</t>
        </is>
      </c>
      <c r="M17" s="11" t="n">
        <v>200</v>
      </c>
      <c r="N17" s="12" t="n"/>
      <c r="O17" s="12" t="n"/>
      <c r="P17" s="10" t="n"/>
    </row>
    <row r="18">
      <c r="A18" s="9" t="n"/>
      <c r="B18" s="10" t="inlineStr">
        <is>
          <t>Vật tư phụ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Lô</t>
        </is>
      </c>
      <c r="M18" s="11" t="n">
        <v>1</v>
      </c>
      <c r="N18" s="12" t="n"/>
      <c r="O18" s="12" t="n"/>
      <c r="P18" s="10" t="n"/>
    </row>
    <row r="19">
      <c r="A19" s="8" t="n"/>
      <c r="B19" s="7" t="inlineStr">
        <is>
          <t>PHẦN CHUNG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7" t="inlineStr">
        <is>
          <t>HỆ THỐNG HÚT MÙI WC, HÚT RÁC, TRỰC PCCC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6" t="n">
        <v>1</v>
      </c>
      <c r="B21" s="7" t="inlineStr">
        <is>
          <t>Thiết bị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9" t="n"/>
      <c r="B22" s="10" t="inlineStr">
        <is>
          <t>Quạt hút vệ sinh: - Quạt gắn trần
Lưu lượng: 150 m3/h - Cột áp: 50 Pa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Bộ</t>
        </is>
      </c>
      <c r="M22" s="11" t="n">
        <v>3</v>
      </c>
      <c r="N22" s="12" t="n"/>
      <c r="O22" s="12" t="n"/>
      <c r="P22" s="10" t="n"/>
    </row>
    <row r="23">
      <c r="A23" s="9" t="n"/>
      <c r="B23" s="10" t="inlineStr">
        <is>
          <t>Quạt hút vệ sinh: - Quạt gắn trần
Lưu lượng: 250 m3/h - Cột áp: 50 Pa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inlineStr">
        <is>
          <t>Bộ</t>
        </is>
      </c>
      <c r="M23" s="11" t="n">
        <v>2</v>
      </c>
      <c r="N23" s="12" t="n"/>
      <c r="O23" s="12" t="n"/>
      <c r="P23" s="10" t="n"/>
    </row>
    <row r="24">
      <c r="A24" s="9" t="n"/>
      <c r="B24" s="10" t="inlineStr">
        <is>
          <t>Quạt hút rác: - Quạt hướng trục -
Lưu lượng: 3100 m3/h - Cột áp: 200 Pa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Bộ</t>
        </is>
      </c>
      <c r="M24" s="11" t="n">
        <v>2</v>
      </c>
      <c r="N24" s="12" t="n"/>
      <c r="O24" s="12" t="n"/>
      <c r="P24" s="10" t="n"/>
    </row>
    <row r="25">
      <c r="A25" s="9" t="n">
        <v>2</v>
      </c>
      <c r="B25" s="10" t="inlineStr">
        <is>
          <t>Bạt mềm đầu quạt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Bộ</t>
        </is>
      </c>
      <c r="M25" s="11" t="n">
        <v>2</v>
      </c>
      <c r="N25" s="12" t="n"/>
      <c r="O25" s="12" t="n"/>
      <c r="P25" s="10" t="n"/>
    </row>
    <row r="26">
      <c r="A26" s="6" t="n">
        <v>3</v>
      </c>
      <c r="B26" s="7" t="inlineStr">
        <is>
          <t>Ống gió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9" t="n"/>
      <c r="B27" s="10" t="inlineStr">
        <is>
          <t>D100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m</t>
        </is>
      </c>
      <c r="M27" s="11" t="n">
        <v>15</v>
      </c>
      <c r="N27" s="12" t="n"/>
      <c r="O27" s="12" t="n"/>
      <c r="P27" s="10" t="n"/>
    </row>
    <row r="28">
      <c r="A28" s="9" t="n"/>
      <c r="B28" s="10" t="inlineStr">
        <is>
          <t>D150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inlineStr">
        <is>
          <t>m</t>
        </is>
      </c>
      <c r="M28" s="11" t="n">
        <v>7</v>
      </c>
      <c r="N28" s="12" t="n"/>
      <c r="O28" s="12" t="n"/>
      <c r="P28" s="10" t="n"/>
    </row>
    <row r="29">
      <c r="A29" s="9" t="n"/>
      <c r="B29" s="10" t="inlineStr">
        <is>
          <t>200x100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inlineStr">
        <is>
          <t>m</t>
        </is>
      </c>
      <c r="M29" s="11" t="n">
        <v>0</v>
      </c>
      <c r="N29" s="12" t="n"/>
      <c r="O29" s="12" t="n"/>
      <c r="P29" s="10" t="n"/>
    </row>
    <row r="30">
      <c r="A30" s="9" t="n"/>
      <c r="B30" s="10" t="inlineStr">
        <is>
          <t>300x300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m</t>
        </is>
      </c>
      <c r="M30" s="11" t="n">
        <v>29</v>
      </c>
      <c r="N30" s="12" t="n"/>
      <c r="O30" s="12" t="n"/>
      <c r="P30" s="10" t="n"/>
    </row>
    <row r="31">
      <c r="A31" s="9" t="n"/>
      <c r="B31" s="10" t="inlineStr">
        <is>
          <t>400x300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m</t>
        </is>
      </c>
      <c r="M31" s="11" t="n">
        <v>41</v>
      </c>
      <c r="N31" s="12" t="n"/>
      <c r="O31" s="12" t="n"/>
      <c r="P31" s="10" t="n"/>
    </row>
    <row r="32">
      <c r="A32" s="9" t="n">
        <v>4</v>
      </c>
      <c r="B32" s="10" t="inlineStr">
        <is>
          <t>Phụ kiện ống gió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Lô</t>
        </is>
      </c>
      <c r="M32" s="11" t="n">
        <v>1</v>
      </c>
      <c r="N32" s="12" t="n"/>
      <c r="O32" s="12" t="n"/>
      <c r="P32" s="10" t="n"/>
    </row>
    <row r="33">
      <c r="A33" s="6" t="n">
        <v>5</v>
      </c>
      <c r="B33" s="7" t="inlineStr">
        <is>
          <t>Cửa gió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9" t="n"/>
      <c r="B34" s="10" t="inlineStr">
        <is>
          <t>Cửa gió nan thẳng kèm van gió OBD &amp; hộp gió, 200x200</t>
        </is>
      </c>
      <c r="C34" s="9" t="inlineStr">
        <is>
          <t>SDG+O</t>
        </is>
      </c>
      <c r="D34" s="9" t="inlineStr">
        <is>
          <t>SWIND</t>
        </is>
      </c>
      <c r="E34" s="9" t="n">
        <v>200</v>
      </c>
      <c r="F34" s="9" t="n">
        <v>200</v>
      </c>
      <c r="G34" s="9" t="n">
        <v>150</v>
      </c>
      <c r="H34" s="9" t="n">
        <v>150</v>
      </c>
      <c r="I34" s="9" t="n"/>
      <c r="J34" s="9" t="n"/>
      <c r="K34" s="9" t="n"/>
      <c r="L34" s="9" t="inlineStr">
        <is>
          <t>Bộ</t>
        </is>
      </c>
      <c r="M34" s="11" t="n">
        <v>36</v>
      </c>
      <c r="N34" s="11">
        <f>ROUND('00_TONG_HOP_BAO_GIA'!Q2, 0)</f>
        <v/>
      </c>
      <c r="O34" s="11">
        <f>ROUNDUP(N34*M34, -2)</f>
        <v/>
      </c>
      <c r="P34" s="10" t="inlineStr">
        <is>
          <t>Cửa nan bầu dục 1 lớp kèm van OBD. Không tính box do nhà thầu tự thi công</t>
        </is>
      </c>
    </row>
    <row r="35">
      <c r="A35" s="9" t="n"/>
      <c r="B35" s="10" t="inlineStr">
        <is>
          <t>Cửa gió nan Z kèm lưới chắn côn trùng &amp; hộp gió, 500x200</t>
        </is>
      </c>
      <c r="C35" s="9" t="inlineStr">
        <is>
          <t>WL+N</t>
        </is>
      </c>
      <c r="D35" s="9" t="inlineStr">
        <is>
          <t>SWIND</t>
        </is>
      </c>
      <c r="E35" s="9" t="n">
        <v>500</v>
      </c>
      <c r="F35" s="9" t="n">
        <v>200</v>
      </c>
      <c r="G35" s="9" t="n">
        <v>450</v>
      </c>
      <c r="H35" s="9" t="n">
        <v>150</v>
      </c>
      <c r="I35" s="9" t="n"/>
      <c r="J35" s="9" t="n"/>
      <c r="K35" s="9" t="n"/>
      <c r="L35" s="9" t="inlineStr">
        <is>
          <t>Bộ</t>
        </is>
      </c>
      <c r="M35" s="11" t="n">
        <v>2</v>
      </c>
      <c r="N35" s="11">
        <f>ROUND('00_TONG_HOP_BAO_GIA'!Q3, 0)</f>
        <v/>
      </c>
      <c r="O35" s="11">
        <f>ROUNDUP(N35*M35, -2)</f>
        <v/>
      </c>
      <c r="P35" s="10" t="inlineStr">
        <is>
          <t>Louver nan Z ngoài trời kèm lưới chắn côn trùng Inox 304. Không tính box do nhà thầu tự thi công</t>
        </is>
      </c>
    </row>
    <row r="36">
      <c r="A36" s="6" t="n">
        <v>6</v>
      </c>
      <c r="B36" s="7" t="inlineStr">
        <is>
          <t>Van gió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9" t="n"/>
      <c r="B37" s="10" t="inlineStr">
        <is>
          <t>Van chặn lửa, FD 200x200</t>
        </is>
      </c>
      <c r="C37" s="9" t="inlineStr">
        <is>
          <t>SWIND-2.01- E-FD-EI120</t>
        </is>
      </c>
      <c r="D37" s="9" t="inlineStr">
        <is>
          <t>SWIND</t>
        </is>
      </c>
      <c r="E37" s="9" t="n">
        <v>200</v>
      </c>
      <c r="F37" s="9" t="n">
        <v>200</v>
      </c>
      <c r="G37" s="9" t="n"/>
      <c r="H37" s="9" t="n"/>
      <c r="I37" s="9" t="n"/>
      <c r="J37" s="9" t="n">
        <v>200</v>
      </c>
      <c r="K37" s="13" t="n">
        <v>1.15</v>
      </c>
      <c r="L37" s="9" t="inlineStr">
        <is>
          <t>Bộ</t>
        </is>
      </c>
      <c r="M37" s="11" t="n">
        <v>36</v>
      </c>
      <c r="N37" s="11">
        <f>ROUND('00_TONG_HOP_BAO_GIA'!Q4, 0)</f>
        <v/>
      </c>
      <c r="O37" s="11">
        <f>ROUNDUP(N37*M37, -2)</f>
        <v/>
      </c>
      <c r="P37" s="10" t="inlineStr">
        <is>
          <t>- Van chặn lửa cầu chì - Tiêu chuẩn EI 120
- 2 đầu bích TDC - gắn cầu chì 70-74 độ C
- Sản xuất theo BCTN số: 4761/VLXD-TBMT</t>
        </is>
      </c>
    </row>
    <row r="38">
      <c r="A38" s="6" t="n">
        <v>7</v>
      </c>
      <c r="B38" s="7" t="inlineStr">
        <is>
          <t>Ống gió mềm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9" t="n"/>
      <c r="B39" s="10" t="inlineStr">
        <is>
          <t>Ống gió mềm không bảo ôn D100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m</t>
        </is>
      </c>
      <c r="M39" s="11" t="n">
        <v>7</v>
      </c>
      <c r="N39" s="12" t="n"/>
      <c r="O39" s="12" t="n"/>
      <c r="P39" s="10" t="n"/>
    </row>
    <row r="40">
      <c r="A40" s="9" t="n"/>
      <c r="B40" s="10" t="inlineStr">
        <is>
          <t>Ống gió mềm không bảo ôn D150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inlineStr">
        <is>
          <t>m</t>
        </is>
      </c>
      <c r="M40" s="11" t="n">
        <v>2</v>
      </c>
      <c r="N40" s="12" t="n"/>
      <c r="O40" s="12" t="n"/>
      <c r="P40" s="10" t="n"/>
    </row>
    <row r="41">
      <c r="A41" s="9" t="n">
        <v>8</v>
      </c>
      <c r="B41" s="10" t="inlineStr">
        <is>
          <t>Bệ đỡ quạt trục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Bộ</t>
        </is>
      </c>
      <c r="M41" s="11" t="n">
        <v>2</v>
      </c>
      <c r="N41" s="12" t="n"/>
      <c r="O41" s="12" t="n"/>
      <c r="P41" s="10" t="n"/>
    </row>
    <row r="42">
      <c r="A42" s="9" t="n">
        <v>9</v>
      </c>
      <c r="B42" s="10" t="inlineStr">
        <is>
          <t>Giá đỡ ống gió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Lô</t>
        </is>
      </c>
      <c r="M42" s="11" t="n">
        <v>1</v>
      </c>
      <c r="N42" s="12" t="n"/>
      <c r="O42" s="12" t="n"/>
      <c r="P42" s="10" t="n"/>
    </row>
    <row r="43">
      <c r="A43" s="9" t="n">
        <v>10</v>
      </c>
      <c r="B43" s="10" t="inlineStr">
        <is>
          <t>Vật tư phụ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Lô</t>
        </is>
      </c>
      <c r="M43" s="11" t="n">
        <v>1</v>
      </c>
      <c r="N43" s="12" t="n"/>
      <c r="O43" s="12" t="n"/>
      <c r="P43" s="10" t="n"/>
    </row>
    <row r="44">
      <c r="A44" s="8" t="n"/>
      <c r="B44" s="7" t="inlineStr">
        <is>
          <t>HỆ THỐNG HÚT PHÒNG KỸ THUẬT ĐIỆN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6" t="n">
        <v>1</v>
      </c>
      <c r="B45" s="7" t="inlineStr">
        <is>
          <t>Thiết bị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9" t="n"/>
      <c r="B46" s="10" t="inlineStr">
        <is>
          <t>Quạt hút : - Quạt hướng trục -
Lưu lượng: 1500 m3/h - Cột áp: 200 Pa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Bộ</t>
        </is>
      </c>
      <c r="M46" s="11" t="n">
        <v>2</v>
      </c>
      <c r="N46" s="12" t="n"/>
      <c r="O46" s="12" t="n"/>
      <c r="P46" s="10" t="n"/>
    </row>
    <row r="47">
      <c r="A47" s="9" t="n">
        <v>2</v>
      </c>
      <c r="B47" s="10" t="inlineStr">
        <is>
          <t>Bạt mềm đầu quạt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Bộ</t>
        </is>
      </c>
      <c r="M47" s="11" t="n">
        <v>2</v>
      </c>
      <c r="N47" s="12" t="n"/>
      <c r="O47" s="12" t="n"/>
      <c r="P47" s="10" t="n"/>
    </row>
    <row r="48">
      <c r="A48" s="6" t="n">
        <v>3</v>
      </c>
      <c r="B48" s="7" t="inlineStr">
        <is>
          <t>Ống gió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9" t="n"/>
      <c r="B49" s="10" t="inlineStr">
        <is>
          <t>150X150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m</t>
        </is>
      </c>
      <c r="M49" s="11" t="n">
        <v>62</v>
      </c>
      <c r="N49" s="12" t="n"/>
      <c r="O49" s="12" t="n"/>
      <c r="P49" s="10" t="n"/>
    </row>
    <row r="50">
      <c r="A50" s="9" t="n"/>
      <c r="B50" s="10" t="inlineStr">
        <is>
          <t>250X200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m</t>
        </is>
      </c>
      <c r="M50" s="11" t="n">
        <v>29</v>
      </c>
      <c r="N50" s="12" t="n"/>
      <c r="O50" s="12" t="n"/>
      <c r="P50" s="10" t="n"/>
    </row>
    <row r="51">
      <c r="A51" s="9" t="n"/>
      <c r="B51" s="10" t="inlineStr">
        <is>
          <t>350X200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inlineStr">
        <is>
          <t>m</t>
        </is>
      </c>
      <c r="M51" s="11" t="n">
        <v>41</v>
      </c>
      <c r="N51" s="12" t="n"/>
      <c r="O51" s="12" t="n"/>
      <c r="P51" s="10" t="n"/>
    </row>
    <row r="52">
      <c r="A52" s="9" t="n">
        <v>4</v>
      </c>
      <c r="B52" s="10" t="inlineStr">
        <is>
          <t>Phụ kiện ống gió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Lô</t>
        </is>
      </c>
      <c r="M52" s="11" t="n">
        <v>1</v>
      </c>
      <c r="N52" s="12" t="n"/>
      <c r="O52" s="12" t="n"/>
      <c r="P52" s="10" t="n"/>
    </row>
    <row r="53">
      <c r="A53" s="6" t="n">
        <v>5</v>
      </c>
      <c r="B53" s="7" t="inlineStr">
        <is>
          <t>Cửa gió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9" t="n"/>
      <c r="B54" s="10" t="inlineStr">
        <is>
          <t>Cửa gió nan thẳng kèm van gió OBD &amp; hộp gió, 200x200</t>
        </is>
      </c>
      <c r="C54" s="9" t="inlineStr">
        <is>
          <t>SDG+O</t>
        </is>
      </c>
      <c r="D54" s="9" t="inlineStr">
        <is>
          <t>SWIND</t>
        </is>
      </c>
      <c r="E54" s="9" t="n">
        <v>200</v>
      </c>
      <c r="F54" s="9" t="n">
        <v>200</v>
      </c>
      <c r="G54" s="9" t="n">
        <v>150</v>
      </c>
      <c r="H54" s="9" t="n">
        <v>150</v>
      </c>
      <c r="I54" s="9" t="n"/>
      <c r="J54" s="9" t="n"/>
      <c r="K54" s="9" t="n"/>
      <c r="L54" s="9" t="inlineStr">
        <is>
          <t>Bộ</t>
        </is>
      </c>
      <c r="M54" s="11" t="n">
        <v>18</v>
      </c>
      <c r="N54" s="11">
        <f>ROUND('00_TONG_HOP_BAO_GIA'!Q5, 0)</f>
        <v/>
      </c>
      <c r="O54" s="11">
        <f>ROUNDUP(N54*M54, -2)</f>
        <v/>
      </c>
      <c r="P54" s="10" t="inlineStr">
        <is>
          <t>Cửa nan bầu dục 1 lớp kèm van OBD. Không tính box do nhà thầu tự thi công</t>
        </is>
      </c>
    </row>
    <row r="55">
      <c r="A55" s="6" t="n">
        <v>6</v>
      </c>
      <c r="B55" s="7" t="inlineStr">
        <is>
          <t>Van gió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9" t="n"/>
      <c r="B56" s="10" t="inlineStr">
        <is>
          <t>Van chặn lửa, FD 150x150</t>
        </is>
      </c>
      <c r="C56" s="9" t="inlineStr">
        <is>
          <t>SWIND-2.01- E-FD-EI120</t>
        </is>
      </c>
      <c r="D56" s="9" t="inlineStr">
        <is>
          <t>SWIND</t>
        </is>
      </c>
      <c r="E56" s="9" t="n">
        <v>150</v>
      </c>
      <c r="F56" s="9" t="n">
        <v>150</v>
      </c>
      <c r="G56" s="9" t="n"/>
      <c r="H56" s="9" t="n"/>
      <c r="I56" s="9" t="n"/>
      <c r="J56" s="9" t="n">
        <v>200</v>
      </c>
      <c r="K56" s="13" t="n">
        <v>1.15</v>
      </c>
      <c r="L56" s="9" t="inlineStr">
        <is>
          <t>Bộ</t>
        </is>
      </c>
      <c r="M56" s="11" t="n">
        <v>18</v>
      </c>
      <c r="N56" s="11">
        <f>ROUND('00_TONG_HOP_BAO_GIA'!Q6, 0)</f>
        <v/>
      </c>
      <c r="O56" s="11">
        <f>ROUNDUP(N56*M56, -2)</f>
        <v/>
      </c>
      <c r="P56" s="10" t="inlineStr">
        <is>
          <t>- Van chặn lửa cầu chì - Tiêu chuẩn EI 120
- 2 đầu bích TDC - gắn cầu chì 70-74 độ C
- Sản xuất theo BCTN số: 4761/VLXD-TBMT</t>
        </is>
      </c>
    </row>
    <row r="57">
      <c r="A57" s="9" t="n"/>
      <c r="B57" s="10" t="inlineStr">
        <is>
          <t>Van chặn lửa, MFD 150x150</t>
        </is>
      </c>
      <c r="C57" s="9" t="inlineStr">
        <is>
          <t>SWIND-1.02-MFD-EI90</t>
        </is>
      </c>
      <c r="D57" s="9" t="inlineStr">
        <is>
          <t>SWIND</t>
        </is>
      </c>
      <c r="E57" s="9" t="n">
        <v>150</v>
      </c>
      <c r="F57" s="9" t="n">
        <v>150</v>
      </c>
      <c r="G57" s="9" t="n"/>
      <c r="H57" s="9" t="n"/>
      <c r="I57" s="9" t="n"/>
      <c r="J57" s="9" t="n">
        <v>200</v>
      </c>
      <c r="K57" s="13" t="n">
        <v>1.15</v>
      </c>
      <c r="L57" s="9" t="inlineStr">
        <is>
          <t>Bộ</t>
        </is>
      </c>
      <c r="M57" s="11" t="n">
        <v>18</v>
      </c>
      <c r="N57" s="11">
        <f>ROUND('00_TONG_HOP_BAO_GIA'!Q7, 0)</f>
        <v/>
      </c>
      <c r="O57" s="11">
        <f>ROUNDUP(N57*M57, -2)</f>
        <v/>
      </c>
      <c r="P57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8">
      <c r="A58" s="9" t="n">
        <v>7</v>
      </c>
      <c r="B58" s="10" t="inlineStr">
        <is>
          <t>Bệ đỡ quạt trục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Bộ</t>
        </is>
      </c>
      <c r="M58" s="11" t="n">
        <v>2</v>
      </c>
      <c r="N58" s="12" t="n"/>
      <c r="O58" s="12" t="n"/>
      <c r="P58" s="10" t="n"/>
    </row>
    <row r="59">
      <c r="A59" s="9" t="n">
        <v>8</v>
      </c>
      <c r="B59" s="10" t="inlineStr">
        <is>
          <t>Giá đỡ ống gió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Lô</t>
        </is>
      </c>
      <c r="M59" s="11" t="n">
        <v>1</v>
      </c>
      <c r="N59" s="12" t="n"/>
      <c r="O59" s="12" t="n"/>
      <c r="P59" s="10" t="n"/>
    </row>
    <row r="60">
      <c r="A60" s="9" t="n">
        <v>9</v>
      </c>
      <c r="B60" s="10" t="inlineStr">
        <is>
          <t>Vật tư phụ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Lô</t>
        </is>
      </c>
      <c r="M60" s="11" t="n">
        <v>1</v>
      </c>
      <c r="N60" s="12" t="n"/>
      <c r="O60" s="12" t="n"/>
      <c r="P60" s="10" t="n"/>
    </row>
    <row r="61">
      <c r="A61" s="9" t="n"/>
      <c r="B61" s="10" t="inlineStr">
        <is>
          <t>CHI PHÍ CHẠY KIỂM TRA VÀ CHẠY THỬ HỆ THỐNG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inlineStr">
        <is>
          <t>LÔ</t>
        </is>
      </c>
      <c r="M61" s="11" t="n">
        <v>1</v>
      </c>
      <c r="N61" s="12" t="n"/>
      <c r="O61" s="12" t="n"/>
      <c r="P61" s="10" t="n"/>
    </row>
    <row r="63">
      <c r="B63" s="14" t="inlineStr">
        <is>
          <t>TỔNG CỘNG (CHƯA BAO GỒM VAT):</t>
        </is>
      </c>
      <c r="O63" s="15">
        <f>SUBTOTAL(9,O14:O61)</f>
        <v/>
      </c>
    </row>
    <row r="64">
      <c r="B64" s="14" t="inlineStr">
        <is>
          <t>THUẾ GTGT (VAT 8%):</t>
        </is>
      </c>
      <c r="O64" s="15">
        <f>ROUND(O63*0.08, 0)</f>
        <v/>
      </c>
    </row>
    <row r="65">
      <c r="B65" s="14" t="inlineStr">
        <is>
          <t>TỔNG CỘNG THANH TOÁN (ĐÃ GỒM VAT 8%):</t>
        </is>
      </c>
      <c r="O65" s="15">
        <f>O63+O64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6" t="inlineStr">
        <is>
          <t>STT</t>
        </is>
      </c>
      <c r="B1" s="16" t="inlineStr">
        <is>
          <t>ITEM_ID</t>
        </is>
      </c>
      <c r="C1" s="16" t="inlineStr">
        <is>
          <t>PHÂN NHÓM</t>
        </is>
      </c>
      <c r="D1" s="16" t="inlineStr">
        <is>
          <t>TÊN SẢN PHẨM</t>
        </is>
      </c>
      <c r="E1" s="16" t="inlineStr">
        <is>
          <t>QUY CÁCH (WxH)</t>
        </is>
      </c>
      <c r="F1" s="16" t="inlineStr">
        <is>
          <t>ĐVT</t>
        </is>
      </c>
      <c r="G1" s="16" t="inlineStr">
        <is>
          <t>SỐ LƯỢNG</t>
        </is>
      </c>
      <c r="H1" s="16" t="inlineStr">
        <is>
          <t>CP VẬT TƯ ỐNG</t>
        </is>
      </c>
      <c r="I1" s="16" t="inlineStr">
        <is>
          <t>CP VẬT TƯ CỬA</t>
        </is>
      </c>
      <c r="J1" s="16" t="inlineStr">
        <is>
          <t>CP VẬT TƯ VAN</t>
        </is>
      </c>
      <c r="K1" s="16" t="inlineStr">
        <is>
          <t>TỔNG CP VẬT TƯ</t>
        </is>
      </c>
      <c r="L1" s="16" t="inlineStr">
        <is>
          <t>NHÂN CÔNG (25%)</t>
        </is>
      </c>
      <c r="M1" s="16" t="inlineStr">
        <is>
          <t>CP XƯỞNG (10%)</t>
        </is>
      </c>
      <c r="N1" s="16" t="inlineStr">
        <is>
          <t>TỔNG GIÁ VỐN</t>
        </is>
      </c>
      <c r="O1" s="16" t="inlineStr">
        <is>
          <t>GIÁ VỐN / ĐVT</t>
        </is>
      </c>
      <c r="P1" s="16" t="inlineStr">
        <is>
          <t>MARGIN (%)</t>
        </is>
      </c>
      <c r="Q1" s="16" t="inlineStr">
        <is>
          <t>ĐƠN GIÁ BÁN</t>
        </is>
      </c>
      <c r="R1" s="16" t="inlineStr">
        <is>
          <t>THÀNH TIỀN (VNĐ)</t>
        </is>
      </c>
      <c r="S1" s="16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Cửa gió nan thẳng kèm van gió OBD &amp; hộp gió, 200x200</t>
        </is>
      </c>
      <c r="E2" t="inlineStr">
        <is>
          <t>200x200</t>
        </is>
      </c>
      <c r="F2" t="inlineStr">
        <is>
          <t>Bộ</t>
        </is>
      </c>
      <c r="G2" s="17" t="n">
        <v>36</v>
      </c>
      <c r="H2" s="17">
        <f>SUMIF('01_BOC_TACH_ONG'!$B$2:$B$5000, B2, '01_BOC_TACH_ONG'!$K$2:$K$5000)</f>
        <v/>
      </c>
      <c r="I2" s="17">
        <f>SUMIF('02_BOC_TACH_CUA'!$B$2:$B$5000, B2, '02_BOC_TACH_CUA'!$K$2:$K$5000)</f>
        <v/>
      </c>
      <c r="J2" s="17">
        <f>SUMIF('03_BOC_TACH_VAN'!$B$2:$B$5000, B2, '03_BOC_TACH_VAN'!$K$2:$K$5000)</f>
        <v/>
      </c>
      <c r="K2" s="17">
        <f>SUM(H2:J2)</f>
        <v/>
      </c>
      <c r="L2" s="17">
        <f>(K2-SUMIFS('03_BOC_TACH_VAN'!$K$2:$K$5000, '03_BOC_TACH_VAN'!$B$2:$B$5000, B2, '03_BOC_TACH_VAN'!$D$2:$D$5000, "ĐỘNG_CƠ_VÀ_CẢM_BIẾN"))*0.25</f>
        <v/>
      </c>
      <c r="M2" s="17">
        <f>(K2-SUMIFS('03_BOC_TACH_VAN'!$K$2:$K$5000, '03_BOC_TACH_VAN'!$B$2:$B$5000, B2, '03_BOC_TACH_VAN'!$D$2:$D$5000, "ĐỘNG_CƠ_VÀ_CẢM_BIẾN"))*0.10</f>
        <v/>
      </c>
      <c r="N2" s="17">
        <f>K2+L2+M2</f>
        <v/>
      </c>
      <c r="O2" s="17">
        <f>IF(G2&gt;0, N2/G2, 0)</f>
        <v/>
      </c>
      <c r="P2" s="18" t="n">
        <v>0.18</v>
      </c>
      <c r="Q2" s="17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7">
        <f>G2*Q2</f>
        <v/>
      </c>
      <c r="S2" t="inlineStr">
        <is>
          <t>Cửa nan bầu dục 1 lớp kèm van OBD. Không tính box do nhà thầu tự thi công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Cửa gió nan Z kèm lưới chắn côn trùng &amp; hộp gió, 500x200</t>
        </is>
      </c>
      <c r="E3" t="inlineStr">
        <is>
          <t>500x200</t>
        </is>
      </c>
      <c r="F3" t="inlineStr">
        <is>
          <t>Bộ</t>
        </is>
      </c>
      <c r="G3" s="17" t="n">
        <v>2</v>
      </c>
      <c r="H3" s="17">
        <f>SUMIF('01_BOC_TACH_ONG'!$B$2:$B$5000, B3, '01_BOC_TACH_ONG'!$K$2:$K$5000)</f>
        <v/>
      </c>
      <c r="I3" s="17">
        <f>SUMIF('02_BOC_TACH_CUA'!$B$2:$B$5000, B3, '02_BOC_TACH_CUA'!$K$2:$K$5000)</f>
        <v/>
      </c>
      <c r="J3" s="17">
        <f>SUMIF('03_BOC_TACH_VAN'!$B$2:$B$5000, B3, '03_BOC_TACH_VAN'!$K$2:$K$5000)</f>
        <v/>
      </c>
      <c r="K3" s="17">
        <f>SUM(H3:J3)</f>
        <v/>
      </c>
      <c r="L3" s="17">
        <f>(K3-SUMIFS('03_BOC_TACH_VAN'!$K$2:$K$5000, '03_BOC_TACH_VAN'!$B$2:$B$5000, B3, '03_BOC_TACH_VAN'!$D$2:$D$5000, "ĐỘNG_CƠ_VÀ_CẢM_BIẾN"))*0.25</f>
        <v/>
      </c>
      <c r="M3" s="17">
        <f>(K3-SUMIFS('03_BOC_TACH_VAN'!$K$2:$K$5000, '03_BOC_TACH_VAN'!$B$2:$B$5000, B3, '03_BOC_TACH_VAN'!$D$2:$D$5000, "ĐỘNG_CƠ_VÀ_CẢM_BIẾN"))*0.10</f>
        <v/>
      </c>
      <c r="N3" s="17">
        <f>K3+L3+M3</f>
        <v/>
      </c>
      <c r="O3" s="17">
        <f>IF(G3&gt;0, N3/G3, 0)</f>
        <v/>
      </c>
      <c r="P3" s="18" t="n">
        <v>0.18</v>
      </c>
      <c r="Q3" s="17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7">
        <f>G3*Q3</f>
        <v/>
      </c>
      <c r="S3" t="inlineStr">
        <is>
          <t>Louver nan Z ngoài trời kèm lưới chắn côn trùng Inox 304. Không tính box do nhà thầu tự thi công</t>
        </is>
      </c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Van gió Van chặn lửa, FD 200x200</t>
        </is>
      </c>
      <c r="E4" t="inlineStr">
        <is>
          <t>200x200</t>
        </is>
      </c>
      <c r="F4" t="inlineStr">
        <is>
          <t>Bộ</t>
        </is>
      </c>
      <c r="G4" s="17" t="n">
        <v>36</v>
      </c>
      <c r="H4" s="17">
        <f>SUMIF('01_BOC_TACH_ONG'!$B$2:$B$5000, B4, '01_BOC_TACH_ONG'!$K$2:$K$5000)</f>
        <v/>
      </c>
      <c r="I4" s="17">
        <f>SUMIF('02_BOC_TACH_CUA'!$B$2:$B$5000, B4, '02_BOC_TACH_CUA'!$K$2:$K$5000)</f>
        <v/>
      </c>
      <c r="J4" s="17">
        <f>SUMIF('03_BOC_TACH_VAN'!$B$2:$B$5000, B4, '03_BOC_TACH_VAN'!$K$2:$K$5000)</f>
        <v/>
      </c>
      <c r="K4" s="17">
        <f>SUM(H4:J4)</f>
        <v/>
      </c>
      <c r="L4" s="17">
        <f>(K4-SUMIFS('03_BOC_TACH_VAN'!$K$2:$K$5000, '03_BOC_TACH_VAN'!$B$2:$B$5000, B4, '03_BOC_TACH_VAN'!$D$2:$D$5000, "ĐỘNG_CƠ_VÀ_CẢM_BIẾN"))*0.25</f>
        <v/>
      </c>
      <c r="M4" s="17">
        <f>(K4-SUMIFS('03_BOC_TACH_VAN'!$K$2:$K$5000, '03_BOC_TACH_VAN'!$B$2:$B$5000, B4, '03_BOC_TACH_VAN'!$D$2:$D$5000, "ĐỘNG_CƠ_VÀ_CẢM_BIẾN"))*0.10</f>
        <v/>
      </c>
      <c r="N4" s="17">
        <f>K4+L4+M4</f>
        <v/>
      </c>
      <c r="O4" s="17">
        <f>IF(G4&gt;0, N4/G4, 0)</f>
        <v/>
      </c>
      <c r="P4" s="18" t="n">
        <v>0.18</v>
      </c>
      <c r="Q4" s="17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7">
        <f>G4*Q4</f>
        <v/>
      </c>
      <c r="S4" t="inlineStr">
        <is>
          <t>- Van chặn lửa cầu chì - Tiêu chuẩn EI 120
- 2 đầu bích TDC - gắn cầu chì 70-74 độ C
- Sản xuất theo BCTN số: 4761/VLXD-TBMT</t>
        </is>
      </c>
    </row>
    <row r="5">
      <c r="A5" t="n">
        <v>4</v>
      </c>
      <c r="B5" t="inlineStr">
        <is>
          <t>SW-DIFF-004</t>
        </is>
      </c>
      <c r="C5" t="inlineStr">
        <is>
          <t>CỬA GIÓ</t>
        </is>
      </c>
      <c r="D5" t="inlineStr">
        <is>
          <t>Cửa gió nan thẳng kèm van gió OBD &amp; hộp gió, 200x200</t>
        </is>
      </c>
      <c r="E5" t="inlineStr">
        <is>
          <t>200x200</t>
        </is>
      </c>
      <c r="F5" t="inlineStr">
        <is>
          <t>Bộ</t>
        </is>
      </c>
      <c r="G5" s="17" t="n">
        <v>18</v>
      </c>
      <c r="H5" s="17">
        <f>SUMIF('01_BOC_TACH_ONG'!$B$2:$B$5000, B5, '01_BOC_TACH_ONG'!$K$2:$K$5000)</f>
        <v/>
      </c>
      <c r="I5" s="17">
        <f>SUMIF('02_BOC_TACH_CUA'!$B$2:$B$5000, B5, '02_BOC_TACH_CUA'!$K$2:$K$5000)</f>
        <v/>
      </c>
      <c r="J5" s="17">
        <f>SUMIF('03_BOC_TACH_VAN'!$B$2:$B$5000, B5, '03_BOC_TACH_VAN'!$K$2:$K$5000)</f>
        <v/>
      </c>
      <c r="K5" s="17">
        <f>SUM(H5:J5)</f>
        <v/>
      </c>
      <c r="L5" s="17">
        <f>(K5-SUMIFS('03_BOC_TACH_VAN'!$K$2:$K$5000, '03_BOC_TACH_VAN'!$B$2:$B$5000, B5, '03_BOC_TACH_VAN'!$D$2:$D$5000, "ĐỘNG_CƠ_VÀ_CẢM_BIẾN"))*0.25</f>
        <v/>
      </c>
      <c r="M5" s="17">
        <f>(K5-SUMIFS('03_BOC_TACH_VAN'!$K$2:$K$5000, '03_BOC_TACH_VAN'!$B$2:$B$5000, B5, '03_BOC_TACH_VAN'!$D$2:$D$5000, "ĐỘNG_CƠ_VÀ_CẢM_BIẾN"))*0.10</f>
        <v/>
      </c>
      <c r="N5" s="17">
        <f>K5+L5+M5</f>
        <v/>
      </c>
      <c r="O5" s="17">
        <f>IF(G5&gt;0, N5/G5, 0)</f>
        <v/>
      </c>
      <c r="P5" s="18" t="n">
        <v>0.18</v>
      </c>
      <c r="Q5" s="17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7">
        <f>G5*Q5</f>
        <v/>
      </c>
      <c r="S5" t="inlineStr">
        <is>
          <t>Cửa nan bầu dục 1 lớp kèm van OBD. Không tính box do nhà thầu tự thi công</t>
        </is>
      </c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Van gió Van chặn lửa, FD 150x150</t>
        </is>
      </c>
      <c r="E6" t="inlineStr">
        <is>
          <t>150x150</t>
        </is>
      </c>
      <c r="F6" t="inlineStr">
        <is>
          <t>Bộ</t>
        </is>
      </c>
      <c r="G6" s="17" t="n">
        <v>18</v>
      </c>
      <c r="H6" s="17">
        <f>SUMIF('01_BOC_TACH_ONG'!$B$2:$B$5000, B6, '01_BOC_TACH_ONG'!$K$2:$K$5000)</f>
        <v/>
      </c>
      <c r="I6" s="17">
        <f>SUMIF('02_BOC_TACH_CUA'!$B$2:$B$5000, B6, '02_BOC_TACH_CUA'!$K$2:$K$5000)</f>
        <v/>
      </c>
      <c r="J6" s="17">
        <f>SUMIF('03_BOC_TACH_VAN'!$B$2:$B$5000, B6, '03_BOC_TACH_VAN'!$K$2:$K$5000)</f>
        <v/>
      </c>
      <c r="K6" s="17">
        <f>SUM(H6:J6)</f>
        <v/>
      </c>
      <c r="L6" s="17">
        <f>(K6-SUMIFS('03_BOC_TACH_VAN'!$K$2:$K$5000, '03_BOC_TACH_VAN'!$B$2:$B$5000, B6, '03_BOC_TACH_VAN'!$D$2:$D$5000, "ĐỘNG_CƠ_VÀ_CẢM_BIẾN"))*0.25</f>
        <v/>
      </c>
      <c r="M6" s="17">
        <f>(K6-SUMIFS('03_BOC_TACH_VAN'!$K$2:$K$5000, '03_BOC_TACH_VAN'!$B$2:$B$5000, B6, '03_BOC_TACH_VAN'!$D$2:$D$5000, "ĐỘNG_CƠ_VÀ_CẢM_BIẾN"))*0.10</f>
        <v/>
      </c>
      <c r="N6" s="17">
        <f>K6+L6+M6</f>
        <v/>
      </c>
      <c r="O6" s="17">
        <f>IF(G6&gt;0, N6/G6, 0)</f>
        <v/>
      </c>
      <c r="P6" s="18" t="n">
        <v>0.18</v>
      </c>
      <c r="Q6" s="17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7">
        <f>G6*Q6</f>
        <v/>
      </c>
      <c r="S6" t="inlineStr">
        <is>
          <t>- Van chặn lửa cầu chì - Tiêu chuẩn EI 120
- 2 đầu bích TDC - gắn cầu chì 70-74 độ C
- Sản xuất theo BCTN số: 4761/VLXD-TBMT</t>
        </is>
      </c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Van gió Van chặn lửa, MFD 150x150</t>
        </is>
      </c>
      <c r="E7" t="inlineStr">
        <is>
          <t>150x150</t>
        </is>
      </c>
      <c r="F7" t="inlineStr">
        <is>
          <t>Bộ</t>
        </is>
      </c>
      <c r="G7" s="17" t="n">
        <v>18</v>
      </c>
      <c r="H7" s="17">
        <f>SUMIF('01_BOC_TACH_ONG'!$B$2:$B$5000, B7, '01_BOC_TACH_ONG'!$K$2:$K$5000)</f>
        <v/>
      </c>
      <c r="I7" s="17">
        <f>SUMIF('02_BOC_TACH_CUA'!$B$2:$B$5000, B7, '02_BOC_TACH_CUA'!$K$2:$K$5000)</f>
        <v/>
      </c>
      <c r="J7" s="17">
        <f>SUMIF('03_BOC_TACH_VAN'!$B$2:$B$5000, B7, '03_BOC_TACH_VAN'!$K$2:$K$5000)</f>
        <v/>
      </c>
      <c r="K7" s="17">
        <f>SUM(H7:J7)</f>
        <v/>
      </c>
      <c r="L7" s="17">
        <f>(K7-SUMIFS('03_BOC_TACH_VAN'!$K$2:$K$5000, '03_BOC_TACH_VAN'!$B$2:$B$5000, B7, '03_BOC_TACH_VAN'!$D$2:$D$5000, "ĐỘNG_CƠ_VÀ_CẢM_BIẾN"))*0.25</f>
        <v/>
      </c>
      <c r="M7" s="17">
        <f>(K7-SUMIFS('03_BOC_TACH_VAN'!$K$2:$K$5000, '03_BOC_TACH_VAN'!$B$2:$B$5000, B7, '03_BOC_TACH_VAN'!$D$2:$D$5000, "ĐỘNG_CƠ_VÀ_CẢM_BIẾN"))*0.10</f>
        <v/>
      </c>
      <c r="N7" s="17">
        <f>K7+L7+M7</f>
        <v/>
      </c>
      <c r="O7" s="17">
        <f>IF(G7&gt;0, N7/G7, 0)</f>
        <v/>
      </c>
      <c r="P7" s="18" t="n">
        <v>0.18</v>
      </c>
      <c r="Q7" s="17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7">
        <f>G7*Q7</f>
        <v/>
      </c>
      <c r="S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8">
      <c r="A8" s="19" t="inlineStr">
        <is>
          <t>TỔNG CỘNG</t>
        </is>
      </c>
      <c r="H8" s="20">
        <f>SUM(H2:H7)</f>
        <v/>
      </c>
      <c r="I8" s="20">
        <f>SUM(I2:I7)</f>
        <v/>
      </c>
      <c r="J8" s="20">
        <f>SUM(J2:J7)</f>
        <v/>
      </c>
      <c r="K8" s="20">
        <f>SUM(K2:K7)</f>
        <v/>
      </c>
      <c r="L8" s="20">
        <f>SUM(L2:L7)</f>
        <v/>
      </c>
      <c r="M8" s="20">
        <f>SUM(M2:M7)</f>
        <v/>
      </c>
      <c r="N8" s="20">
        <f>SUM(N2:N7)</f>
        <v/>
      </c>
      <c r="R8" s="20">
        <f>SUM(R2:R7)</f>
        <v/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1" t="n">
        <v>0.1668338952879128</v>
      </c>
      <c r="H2" s="17">
        <f>'00_TONG_HOP_BAO_GIA'!G2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Khung bao 200x200mm (cổ 150x150mm)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(7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1" t="n">
        <v>0.0628724271227345</v>
      </c>
      <c r="H3" s="17">
        <f>'00_TONG_HOP_BAO_GIA'!G2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1" t="n">
        <v>0.0312719700213392</v>
      </c>
      <c r="H4" s="17">
        <f>'00_TONG_HOP_BAO_GIA'!G2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1" t="n">
        <v>0.04307648173023464</v>
      </c>
      <c r="H5" s="17">
        <f>'00_TONG_HOP_BAO_GIA'!G2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1" t="n">
        <v>0.08230553030583942</v>
      </c>
      <c r="H6" s="17">
        <f>'00_TONG_HOP_BAO_GIA'!G2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Khung OBD 150x150mm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1" t="n">
        <v>0.04883635105172434</v>
      </c>
      <c r="H7" s="17">
        <f>'00_TONG_HOP_BAO_GIA'!G2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1" t="n">
        <v>0.5111990265182811</v>
      </c>
      <c r="H8" s="17">
        <f>'00_TONG_HOP_BAO_GIA'!G2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Cơ cấu bánh răng đóng mở OBD</t>
        </is>
      </c>
    </row>
    <row r="9">
      <c r="A9" t="inlineStr">
        <is>
          <t>SW-DIFF-002-FRAME</t>
        </is>
      </c>
      <c r="B9" t="inlineStr">
        <is>
          <t>SW-DIFF-002</t>
        </is>
      </c>
      <c r="C9" t="inlineStr">
        <is>
          <t>Khung nhôm định hình Louver (SWL)</t>
        </is>
      </c>
      <c r="D9" t="inlineStr">
        <is>
          <t>NHÔM_ĐỊNH_HÌNH</t>
        </is>
      </c>
      <c r="E9" t="inlineStr">
        <is>
          <t>MAT-ALU-KHUNG-Z-2-LOP</t>
        </is>
      </c>
      <c r="F9" t="inlineStr">
        <is>
          <t>kg</t>
        </is>
      </c>
      <c r="G9" s="21" t="n">
        <v>0.3273817820696147</v>
      </c>
      <c r="H9" s="17">
        <f>'00_TONG_HOP_BAO_GIA'!G3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Khung Louver phủ bì 500x200mm</t>
        </is>
      </c>
    </row>
    <row r="10">
      <c r="A10" t="inlineStr">
        <is>
          <t>SW-DIFF-002-BLADE</t>
        </is>
      </c>
      <c r="B10" t="inlineStr">
        <is>
          <t>SW-DIFF-002</t>
        </is>
      </c>
      <c r="C10" t="inlineStr">
        <is>
          <t>Nan Z Louver &amp; thanh tăng cứng (3 nan)</t>
        </is>
      </c>
      <c r="D10" t="inlineStr">
        <is>
          <t>NHÔM_ĐỊNH_HÌNH</t>
        </is>
      </c>
      <c r="E10" t="inlineStr">
        <is>
          <t>MAT-ALU-NAN-Z-DAY</t>
        </is>
      </c>
      <c r="F10" t="inlineStr">
        <is>
          <t>kg</t>
        </is>
      </c>
      <c r="G10" s="21" t="n">
        <v>0.3313375594237599</v>
      </c>
      <c r="H10" s="17">
        <f>'00_TONG_HOP_BAO_GIA'!G3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3 nan Z dày @ 0.217kg/m + thanh giằng</t>
        </is>
      </c>
    </row>
    <row r="11">
      <c r="A11" t="inlineStr">
        <is>
          <t>SW-DIFF-002-ACCESSORY</t>
        </is>
      </c>
      <c r="B11" t="inlineStr">
        <is>
          <t>SW-DIFF-002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1" t="n">
        <v>0.02674644915586761</v>
      </c>
      <c r="H11" s="17">
        <f>'00_TONG_HOP_BAO_GIA'!G3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 góc và vít ghép khung Louver</t>
        </is>
      </c>
    </row>
    <row r="12">
      <c r="A12" t="inlineStr">
        <is>
          <t>SW-DIFF-002-PAINT</t>
        </is>
      </c>
      <c r="B12" t="inlineStr">
        <is>
          <t>SW-DIFF-002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1" t="n">
        <v>0.1267550936309133</v>
      </c>
      <c r="H12" s="17">
        <f>'00_TONG_HOP_BAO_GIA'!G3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Sơn tĩnh điện khung và nan Louver</t>
        </is>
      </c>
    </row>
    <row r="13">
      <c r="A13" t="inlineStr">
        <is>
          <t>SW-DIFF-002-MESH</t>
        </is>
      </c>
      <c r="B13" t="inlineStr">
        <is>
          <t>SW-DIFF-002</t>
        </is>
      </c>
      <c r="C13" t="inlineStr">
        <is>
          <t>Lưới chắn côn trùng Inox 304 (LCCT)</t>
        </is>
      </c>
      <c r="D13" t="inlineStr">
        <is>
          <t>PHỤ_KIỆN_CỬA</t>
        </is>
      </c>
      <c r="E13" t="inlineStr">
        <is>
          <t>MAT-MESH-INOX-304</t>
        </is>
      </c>
      <c r="F13" t="inlineStr">
        <is>
          <t>m2</t>
        </is>
      </c>
      <c r="G13" s="21" t="n">
        <v>0.04184975936388366</v>
      </c>
      <c r="H13" s="17">
        <f>'00_TONG_HOP_BAO_GIA'!G3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Lưới chắn côn trùng cổ 450x150mm</t>
        </is>
      </c>
    </row>
    <row r="14">
      <c r="A14" t="inlineStr">
        <is>
          <t>SW-DIFF-004-FRAME</t>
        </is>
      </c>
      <c r="B14" t="inlineStr">
        <is>
          <t>SW-DIFF-004</t>
        </is>
      </c>
      <c r="C14" t="inlineStr">
        <is>
          <t>Khung nhôm định hình (1 lớp BD)</t>
        </is>
      </c>
      <c r="D14" t="inlineStr">
        <is>
          <t>NHÔM_ĐỊNH_HÌNH</t>
        </is>
      </c>
      <c r="E14" t="inlineStr">
        <is>
          <t>MAT-ALU-KHUNG-BD</t>
        </is>
      </c>
      <c r="F14" t="inlineStr">
        <is>
          <t>kg</t>
        </is>
      </c>
      <c r="G14" s="21" t="n">
        <v>0.1668338952879128</v>
      </c>
      <c r="H14" s="17">
        <f>'00_TONG_HOP_BAO_GIA'!G5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Khung bao 200x200mm (cổ 150x150mm)</t>
        </is>
      </c>
    </row>
    <row r="15">
      <c r="A15" t="inlineStr">
        <is>
          <t>SW-DIFF-004-BLADE</t>
        </is>
      </c>
      <c r="B15" t="inlineStr">
        <is>
          <t>SW-DIFF-004</t>
        </is>
      </c>
      <c r="C15" t="inlineStr">
        <is>
          <t>Nan nhôm bầu dục (7 nan)</t>
        </is>
      </c>
      <c r="D15" t="inlineStr">
        <is>
          <t>NHÔM_ĐỊNH_HÌNH</t>
        </is>
      </c>
      <c r="E15" t="inlineStr">
        <is>
          <t>MAT-ALU-NAN-BD</t>
        </is>
      </c>
      <c r="F15" t="inlineStr">
        <is>
          <t>kg</t>
        </is>
      </c>
      <c r="G15" s="21" t="n">
        <v>0.0628724271227345</v>
      </c>
      <c r="H15" s="17">
        <f>'00_TONG_HOP_BAO_GIA'!G5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Nan bầu dục @ 0.058kg/m</t>
        </is>
      </c>
    </row>
    <row r="16">
      <c r="A16" t="inlineStr">
        <is>
          <t>SW-DIFF-004-ACCESSORY</t>
        </is>
      </c>
      <c r="B16" t="inlineStr">
        <is>
          <t>SW-DIFF-004</t>
        </is>
      </c>
      <c r="C16" t="inlineStr">
        <is>
          <t>Phụ kiện lắp ghép / Ke góc cửa gió</t>
        </is>
      </c>
      <c r="D16" t="inlineStr">
        <is>
          <t>PHỤ_KIỆN_CỬA</t>
        </is>
      </c>
      <c r="E16" t="inlineStr">
        <is>
          <t>MAT-DOOR-ACCESSORY</t>
        </is>
      </c>
      <c r="F16" t="inlineStr">
        <is>
          <t>Bộ</t>
        </is>
      </c>
      <c r="G16" s="21" t="n">
        <v>0.0312719700213392</v>
      </c>
      <c r="H16" s="17">
        <f>'00_TONG_HOP_BAO_GIA'!G5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4 ke góc chìm và vít ghép khung</t>
        </is>
      </c>
    </row>
    <row r="17">
      <c r="A17" t="inlineStr">
        <is>
          <t>SW-DIFF-004-PAINT</t>
        </is>
      </c>
      <c r="B17" t="inlineStr">
        <is>
          <t>SW-DIFF-004</t>
        </is>
      </c>
      <c r="C17" t="inlineStr">
        <is>
          <t>Sơn tĩnh điện tiêu chuẩn Polyester</t>
        </is>
      </c>
      <c r="D17" t="inlineStr">
        <is>
          <t>SƠN_TĨNH_ĐIỆN</t>
        </is>
      </c>
      <c r="E17" t="inlineStr">
        <is>
          <t>MAT-PAINT-POWDER</t>
        </is>
      </c>
      <c r="F17" t="inlineStr">
        <is>
          <t>m2</t>
        </is>
      </c>
      <c r="G17" s="21" t="n">
        <v>0.04307648173023464</v>
      </c>
      <c r="H17" s="17">
        <f>'00_TONG_HOP_BAO_GIA'!G5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Sơn tĩnh điện hoàn thiện</t>
        </is>
      </c>
    </row>
    <row r="18">
      <c r="A18" t="inlineStr">
        <is>
          <t>SW-DIFF-004-OBD-FRAME</t>
        </is>
      </c>
      <c r="B18" t="inlineStr">
        <is>
          <t>SW-DIFF-004</t>
        </is>
      </c>
      <c r="C18" t="inlineStr">
        <is>
          <t>Khung nhôm van OBD gắn cửa (SOBD)</t>
        </is>
      </c>
      <c r="D18" t="inlineStr">
        <is>
          <t>NHÔM_ĐỊNH_HÌNH</t>
        </is>
      </c>
      <c r="E18" t="inlineStr">
        <is>
          <t>MAT-ALU-KHUNG-OBD</t>
        </is>
      </c>
      <c r="F18" t="inlineStr">
        <is>
          <t>kg</t>
        </is>
      </c>
      <c r="G18" s="21" t="n">
        <v>0.08230553030583942</v>
      </c>
      <c r="H18" s="17">
        <f>'00_TONG_HOP_BAO_GIA'!G5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Khung OBD 150x150mm</t>
        </is>
      </c>
    </row>
    <row r="19">
      <c r="A19" t="inlineStr">
        <is>
          <t>SW-DIFF-004-OBD-BLADE</t>
        </is>
      </c>
      <c r="B19" t="inlineStr">
        <is>
          <t>SW-DIFF-004</t>
        </is>
      </c>
      <c r="C19" t="inlineStr">
        <is>
          <t>Nan nhôm &amp; thanh truyền van OBD (SOBD)</t>
        </is>
      </c>
      <c r="D19" t="inlineStr">
        <is>
          <t>NHÔM_ĐỊNH_HÌNH</t>
        </is>
      </c>
      <c r="E19" t="inlineStr">
        <is>
          <t>MAT-ALU-NAN-OBD</t>
        </is>
      </c>
      <c r="F19" t="inlineStr">
        <is>
          <t>kg</t>
        </is>
      </c>
      <c r="G19" s="21" t="n">
        <v>0.04883635105172434</v>
      </c>
      <c r="H19" s="17">
        <f>'00_TONG_HOP_BAO_GIA'!G5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Nan OBD đối xứng &amp; thanh liên kết</t>
        </is>
      </c>
    </row>
    <row r="20">
      <c r="A20" t="inlineStr">
        <is>
          <t>SW-DIFF-004-OBD-ACC</t>
        </is>
      </c>
      <c r="B20" t="inlineStr">
        <is>
          <t>SW-DIFF-004</t>
        </is>
      </c>
      <c r="C20" t="inlineStr">
        <is>
          <t>Bánh răng nhựa &amp; phụ kiện van OBD</t>
        </is>
      </c>
      <c r="D20" t="inlineStr">
        <is>
          <t>PHỤ_KIỆN_CỬA</t>
        </is>
      </c>
      <c r="E20" t="inlineStr">
        <is>
          <t>MAT-DOOR-ACCESSORY</t>
        </is>
      </c>
      <c r="F20" t="inlineStr">
        <is>
          <t>Bộ</t>
        </is>
      </c>
      <c r="G20" s="21" t="n">
        <v>0.5111990265182811</v>
      </c>
      <c r="H20" s="17">
        <f>'00_TONG_HOP_BAO_GIA'!G5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Cơ cấu bánh răng đóng mở OBD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SW-DAMPER-003-BODY</t>
        </is>
      </c>
      <c r="B2" t="inlineStr">
        <is>
          <t>SW-DAMPER-003</t>
        </is>
      </c>
      <c r="C2" t="inlineStr">
        <is>
          <t>Thân vỏ van 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1" t="n">
        <v>2.445300386115649</v>
      </c>
      <c r="H2" s="17">
        <f>'00_TONG_HOP_BAO_GIA'!G4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Kích thước vỏ 200x200x200mm</t>
        </is>
      </c>
    </row>
    <row r="3">
      <c r="A3" t="inlineStr">
        <is>
          <t>SW-DAMPER-003-BLADE</t>
        </is>
      </c>
      <c r="B3" t="inlineStr">
        <is>
          <t>SW-DAMPER-003</t>
        </is>
      </c>
      <c r="C3" t="inlineStr">
        <is>
          <t>Lá cánh / Tôn tấm bọc van (1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1" t="n">
        <v>0.8214664940339795</v>
      </c>
      <c r="H3" s="17">
        <f>'00_TONG_HOP_BAO_GIA'!G4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Tôn bọc cánh &amp; thân (1 cánh/modul)</t>
        </is>
      </c>
    </row>
    <row r="4">
      <c r="A4" t="inlineStr">
        <is>
          <t>SW-DAMPER-003-AXLE</t>
        </is>
      </c>
      <c r="B4" t="inlineStr">
        <is>
          <t>SW-DAMPER-003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1" t="n">
        <v>0.2957370374533851</v>
      </c>
      <c r="H4" s="17">
        <f>'00_TONG_HOP_BAO_GIA'!G4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1 trục dài 260mm</t>
        </is>
      </c>
    </row>
    <row r="5">
      <c r="A5" t="inlineStr">
        <is>
          <t>SW-DAMPER-003-BEARING</t>
        </is>
      </c>
      <c r="B5" t="inlineStr">
        <is>
          <t>SW-DAMPER-003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1" t="n">
        <v>1</v>
      </c>
      <c r="H5" s="17">
        <f>'00_TONG_HOP_BAO_GIA'!G4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1 đôi bạc đỡ 2 bên thân</t>
        </is>
      </c>
    </row>
    <row r="6">
      <c r="A6" t="inlineStr">
        <is>
          <t>SW-DAMPER-003-FUSE</t>
        </is>
      </c>
      <c r="B6" t="inlineStr">
        <is>
          <t>SW-DAMPER-003</t>
        </is>
      </c>
      <c r="C6" t="inlineStr">
        <is>
          <t>Cầu chì nhiệt nóng chảy 70°C/74°C (Elsie/USA)</t>
        </is>
      </c>
      <c r="D6" t="inlineStr">
        <is>
          <t>PHỤ_KIỆN_VAN</t>
        </is>
      </c>
      <c r="E6" t="inlineStr">
        <is>
          <t>MAT-DAMPER-CAU-CHI-USA-1-400X400</t>
        </is>
      </c>
      <c r="F6" t="inlineStr">
        <is>
          <t>Cái</t>
        </is>
      </c>
      <c r="G6" s="21" t="n">
        <v>1</v>
      </c>
      <c r="H6" s="17">
        <f>'00_TONG_HOP_BAO_GIA'!G4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Cầu chì kiểm định PCCC (1 cái)</t>
        </is>
      </c>
    </row>
    <row r="7">
      <c r="A7" t="inlineStr">
        <is>
          <t>SW-DAMPER-003-FB10-BODY</t>
        </is>
      </c>
      <c r="B7" t="inlineStr">
        <is>
          <t>SW-DAMPER-003</t>
        </is>
      </c>
      <c r="C7" t="inlineStr">
        <is>
          <t>Tấm chống cháy dày 10mm bọc thân van FD/MFD (2 lớp)</t>
        </is>
      </c>
      <c r="D7" t="inlineStr">
        <is>
          <t>VẬT_LIỆU_CÁCH_NHIỆT</t>
        </is>
      </c>
      <c r="E7" t="inlineStr">
        <is>
          <t>MAT-FIREBOARD-10MM-BODY</t>
        </is>
      </c>
      <c r="F7" t="inlineStr">
        <is>
          <t>m2</t>
        </is>
      </c>
      <c r="G7" s="21" t="n">
        <v>0.5459760691447109</v>
      </c>
      <c r="H7" s="17">
        <f>'00_TONG_HOP_BAO_GIA'!G4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Bọc 2 lớp tấm 10mm quanh thân L=300mm</t>
        </is>
      </c>
    </row>
    <row r="8">
      <c r="A8" t="inlineStr">
        <is>
          <t>SW-DAMPER-003-FB20-BLADE</t>
        </is>
      </c>
      <c r="B8" t="inlineStr">
        <is>
          <t>SW-DAMPER-003</t>
        </is>
      </c>
      <c r="C8" t="inlineStr">
        <is>
          <t>Tấm chống cháy dày 20mm làm lõi cánh van FD/MFD</t>
        </is>
      </c>
      <c r="D8" t="inlineStr">
        <is>
          <t>VẬT_LIỆU_CÁCH_NHIỆT</t>
        </is>
      </c>
      <c r="E8" t="inlineStr">
        <is>
          <t>MAT-FIREBOARD-20MM-BLADE</t>
        </is>
      </c>
      <c r="F8" t="inlineStr">
        <is>
          <t>m2</t>
        </is>
      </c>
      <c r="G8" s="21" t="n">
        <v>0.04549800576205925</v>
      </c>
      <c r="H8" s="17">
        <f>'00_TONG_HOP_BAO_GIA'!G4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Lõi cánh tấm 20mm (Cánh đơn 200x200mm)</t>
        </is>
      </c>
    </row>
    <row r="9">
      <c r="A9" t="inlineStr">
        <is>
          <t>SW-DAMPER-003-FB10-BLADE</t>
        </is>
      </c>
      <c r="B9" t="inlineStr">
        <is>
          <t>SW-DAMPER-003</t>
        </is>
      </c>
      <c r="C9" t="inlineStr">
        <is>
          <t>Tấm chống cháy dày 10mm ốp 2 mặt cánh van FD/MFD</t>
        </is>
      </c>
      <c r="D9" t="inlineStr">
        <is>
          <t>VẬT_LIỆU_CÁCH_NHIỆT</t>
        </is>
      </c>
      <c r="E9" t="inlineStr">
        <is>
          <t>MAT-FIREBOARD-10MM-BLADE</t>
        </is>
      </c>
      <c r="F9" t="inlineStr">
        <is>
          <t>m2</t>
        </is>
      </c>
      <c r="G9" s="21" t="n">
        <v>0.0909960115241185</v>
      </c>
      <c r="H9" s="17">
        <f>'00_TONG_HOP_BAO_GIA'!G4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Ốp 2 mặt cánh tấm 10mm (Cánh đơn 200x200mm)</t>
        </is>
      </c>
    </row>
    <row r="10">
      <c r="A10" t="inlineStr">
        <is>
          <t>SW-DAMPER-003-SPRING-BOX</t>
        </is>
      </c>
      <c r="B10" t="inlineStr">
        <is>
          <t>SW-DAMPER-003</t>
        </is>
      </c>
      <c r="C10" t="inlineStr">
        <is>
          <t>Hộp lò xo van chặn lửa FD/MFD</t>
        </is>
      </c>
      <c r="D10" t="inlineStr">
        <is>
          <t>PHỤ_KIỆN_VAN</t>
        </is>
      </c>
      <c r="E10" t="inlineStr">
        <is>
          <t>MAT-DAMPER-HOP-LO-XO</t>
        </is>
      </c>
      <c r="F10" t="inlineStr">
        <is>
          <t>Bộ</t>
        </is>
      </c>
      <c r="G10" s="21" t="n">
        <v>1</v>
      </c>
      <c r="H10" s="17">
        <f>'00_TONG_HOP_BAO_GIA'!G4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Hộp lò xo cơ cấu đóng sập (1 bộ)</t>
        </is>
      </c>
    </row>
    <row r="11">
      <c r="A11" t="inlineStr">
        <is>
          <t>SW-DAMPER-003-SILICON-BOLT</t>
        </is>
      </c>
      <c r="B11" t="inlineStr">
        <is>
          <t>SW-DAMPER-003</t>
        </is>
      </c>
      <c r="C11" t="inlineStr">
        <is>
          <t>Silicon chống cháy + bu lông, ốc vít van FD/MFD</t>
        </is>
      </c>
      <c r="D11" t="inlineStr">
        <is>
          <t>PHỤ_KIỆN_VAN</t>
        </is>
      </c>
      <c r="E11" t="inlineStr">
        <is>
          <t>MAT-DAMPER-SILICON-BULONG-VIT</t>
        </is>
      </c>
      <c r="F11" t="inlineStr">
        <is>
          <t>Bộ</t>
        </is>
      </c>
      <c r="G11" s="21" t="n">
        <v>1</v>
      </c>
      <c r="H11" s="17">
        <f>'00_TONG_HOP_BAO_GIA'!G4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Keo silicon chống cháy &amp; phụ kiện lắp ghép (1 bộ)</t>
        </is>
      </c>
    </row>
    <row r="12">
      <c r="A12" t="inlineStr">
        <is>
          <t>SW-DAMPER-005-BODY</t>
        </is>
      </c>
      <c r="B12" t="inlineStr">
        <is>
          <t>SW-DAMPER-005</t>
        </is>
      </c>
      <c r="C12" t="inlineStr">
        <is>
          <t>Thân vỏ van FD bích C30/TDF (1.15mm)</t>
        </is>
      </c>
      <c r="D12" t="inlineStr">
        <is>
          <t>TÔN_CUỘN_MẠ_KẼM</t>
        </is>
      </c>
      <c r="E12" t="inlineStr">
        <is>
          <t>MAT-STEEL-PN-1.15</t>
        </is>
      </c>
      <c r="F12" t="inlineStr">
        <is>
          <t>kg</t>
        </is>
      </c>
      <c r="G12" s="21" t="n">
        <v>1.854293367090143</v>
      </c>
      <c r="H12" s="17">
        <f>'00_TONG_HOP_BAO_GIA'!G6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Kích thước vỏ 150x150x200mm</t>
        </is>
      </c>
    </row>
    <row r="13">
      <c r="A13" t="inlineStr">
        <is>
          <t>SW-DAMPER-005-BLADE</t>
        </is>
      </c>
      <c r="B13" t="inlineStr">
        <is>
          <t>SW-DAMPER-005</t>
        </is>
      </c>
      <c r="C13" t="inlineStr">
        <is>
          <t>Lá cánh / Tôn tấm bọc van (1 cánh)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1" t="n">
        <v>0.4598941882664044</v>
      </c>
      <c r="H13" s="17">
        <f>'00_TONG_HOP_BAO_GIA'!G6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Tôn bọc cánh &amp; thân (1 cánh/modul)</t>
        </is>
      </c>
    </row>
    <row r="14">
      <c r="A14" t="inlineStr">
        <is>
          <t>SW-DAMPER-005-AXLE</t>
        </is>
      </c>
      <c r="B14" t="inlineStr">
        <is>
          <t>SW-DAMPER-005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21" t="n">
        <v>0.2377372338495214</v>
      </c>
      <c r="H14" s="17">
        <f>'00_TONG_HOP_BAO_GIA'!G6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1 trục dài 210mm</t>
        </is>
      </c>
    </row>
    <row r="15">
      <c r="A15" t="inlineStr">
        <is>
          <t>SW-DAMPER-005-BEARING</t>
        </is>
      </c>
      <c r="B15" t="inlineStr">
        <is>
          <t>SW-DAMPER-005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21" t="n">
        <v>1</v>
      </c>
      <c r="H15" s="17">
        <f>'00_TONG_HOP_BAO_GIA'!G6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1 đôi bạc đỡ 2 bên thân</t>
        </is>
      </c>
    </row>
    <row r="16">
      <c r="A16" t="inlineStr">
        <is>
          <t>SW-DAMPER-005-FUSE</t>
        </is>
      </c>
      <c r="B16" t="inlineStr">
        <is>
          <t>SW-DAMPER-005</t>
        </is>
      </c>
      <c r="C16" t="inlineStr">
        <is>
          <t>Cầu chì nhiệt nóng chảy 70°C/74°C (Elsie/USA)</t>
        </is>
      </c>
      <c r="D16" t="inlineStr">
        <is>
          <t>PHỤ_KIỆN_VAN</t>
        </is>
      </c>
      <c r="E16" t="inlineStr">
        <is>
          <t>MAT-DAMPER-CAU-CHI-USA-1-400X400</t>
        </is>
      </c>
      <c r="F16" t="inlineStr">
        <is>
          <t>Cái</t>
        </is>
      </c>
      <c r="G16" s="21" t="n">
        <v>1</v>
      </c>
      <c r="H16" s="17">
        <f>'00_TONG_HOP_BAO_GIA'!G6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Cầu chì kiểm định PCCC (1 cái)</t>
        </is>
      </c>
    </row>
    <row r="17">
      <c r="A17" t="inlineStr">
        <is>
          <t>SW-DAMPER-005-FB10-BODY</t>
        </is>
      </c>
      <c r="B17" t="inlineStr">
        <is>
          <t>SW-DAMPER-005</t>
        </is>
      </c>
      <c r="C17" t="inlineStr">
        <is>
          <t>Tấm chống cháy dày 10mm bọc thân van FD/MFD (2 lớp)</t>
        </is>
      </c>
      <c r="D17" t="inlineStr">
        <is>
          <t>VẬT_LIỆU_CÁCH_NHIỆT</t>
        </is>
      </c>
      <c r="E17" t="inlineStr">
        <is>
          <t>MAT-FIREBOARD-10MM-BODY</t>
        </is>
      </c>
      <c r="F17" t="inlineStr">
        <is>
          <t>m2</t>
        </is>
      </c>
      <c r="G17" s="21" t="n">
        <v>0.4075495437420367</v>
      </c>
      <c r="H17" s="17">
        <f>'00_TONG_HOP_BAO_GIA'!G6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Bọc 2 lớp tấm 10mm quanh thân L=300mm</t>
        </is>
      </c>
    </row>
    <row r="18">
      <c r="A18" t="inlineStr">
        <is>
          <t>SW-DAMPER-005-FB20-BLADE</t>
        </is>
      </c>
      <c r="B18" t="inlineStr">
        <is>
          <t>SW-DAMPER-005</t>
        </is>
      </c>
      <c r="C18" t="inlineStr">
        <is>
          <t>Tấm chống cháy dày 20mm làm lõi cánh van FD/MFD</t>
        </is>
      </c>
      <c r="D18" t="inlineStr">
        <is>
          <t>VẬT_LIỆU_CÁCH_NHIỆT</t>
        </is>
      </c>
      <c r="E18" t="inlineStr">
        <is>
          <t>MAT-FIREBOARD-20MM-BLADE</t>
        </is>
      </c>
      <c r="F18" t="inlineStr">
        <is>
          <t>m2</t>
        </is>
      </c>
      <c r="G18" s="21" t="n">
        <v>0.02547184648387729</v>
      </c>
      <c r="H18" s="17">
        <f>'00_TONG_HOP_BAO_GIA'!G6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Lõi cánh tấm 20mm (Cánh đơn 150x150mm)</t>
        </is>
      </c>
    </row>
    <row r="19">
      <c r="A19" t="inlineStr">
        <is>
          <t>SW-DAMPER-005-FB10-BLADE</t>
        </is>
      </c>
      <c r="B19" t="inlineStr">
        <is>
          <t>SW-DAMPER-005</t>
        </is>
      </c>
      <c r="C19" t="inlineStr">
        <is>
          <t>Tấm chống cháy dày 10mm ốp 2 mặt cánh van FD/MFD</t>
        </is>
      </c>
      <c r="D19" t="inlineStr">
        <is>
          <t>VẬT_LIỆU_CÁCH_NHIỆT</t>
        </is>
      </c>
      <c r="E19" t="inlineStr">
        <is>
          <t>MAT-FIREBOARD-10MM-BLADE</t>
        </is>
      </c>
      <c r="F19" t="inlineStr">
        <is>
          <t>m2</t>
        </is>
      </c>
      <c r="G19" s="21" t="n">
        <v>0.05094369296775458</v>
      </c>
      <c r="H19" s="17">
        <f>'00_TONG_HOP_BAO_GIA'!G6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Ốp 2 mặt cánh tấm 10mm (Cánh đơn 150x150mm)</t>
        </is>
      </c>
    </row>
    <row r="20">
      <c r="A20" t="inlineStr">
        <is>
          <t>SW-DAMPER-005-SPRING-BOX</t>
        </is>
      </c>
      <c r="B20" t="inlineStr">
        <is>
          <t>SW-DAMPER-005</t>
        </is>
      </c>
      <c r="C20" t="inlineStr">
        <is>
          <t>Hộp lò xo van chặn lửa FD/MFD</t>
        </is>
      </c>
      <c r="D20" t="inlineStr">
        <is>
          <t>PHỤ_KIỆN_VAN</t>
        </is>
      </c>
      <c r="E20" t="inlineStr">
        <is>
          <t>MAT-DAMPER-HOP-LO-XO</t>
        </is>
      </c>
      <c r="F20" t="inlineStr">
        <is>
          <t>Bộ</t>
        </is>
      </c>
      <c r="G20" s="21" t="n">
        <v>1</v>
      </c>
      <c r="H20" s="17">
        <f>'00_TONG_HOP_BAO_GIA'!G6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Hộp lò xo cơ cấu đóng sập (1 bộ)</t>
        </is>
      </c>
    </row>
    <row r="21">
      <c r="A21" t="inlineStr">
        <is>
          <t>SW-DAMPER-005-SILICON-BOLT</t>
        </is>
      </c>
      <c r="B21" t="inlineStr">
        <is>
          <t>SW-DAMPER-005</t>
        </is>
      </c>
      <c r="C21" t="inlineStr">
        <is>
          <t>Silicon chống cháy + bu lông, ốc vít van FD/MFD</t>
        </is>
      </c>
      <c r="D21" t="inlineStr">
        <is>
          <t>PHỤ_KIỆN_VAN</t>
        </is>
      </c>
      <c r="E21" t="inlineStr">
        <is>
          <t>MAT-DAMPER-SILICON-BULONG-VIT</t>
        </is>
      </c>
      <c r="F21" t="inlineStr">
        <is>
          <t>Bộ</t>
        </is>
      </c>
      <c r="G21" s="21" t="n">
        <v>1</v>
      </c>
      <c r="H21" s="17">
        <f>'00_TONG_HOP_BAO_GIA'!G6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Keo silicon chống cháy &amp; phụ kiện lắp ghép (1 bộ)</t>
        </is>
      </c>
    </row>
    <row r="22">
      <c r="A22" t="inlineStr">
        <is>
          <t>SW-DAMPER-006-BODY</t>
        </is>
      </c>
      <c r="B22" t="inlineStr">
        <is>
          <t>SW-DAMPER-006</t>
        </is>
      </c>
      <c r="C22" t="inlineStr">
        <is>
          <t>Thân vỏ van MFD bích C30/TDF (1.15mm)</t>
        </is>
      </c>
      <c r="D22" t="inlineStr">
        <is>
          <t>TÔN_CUỘN_MẠ_KẼM</t>
        </is>
      </c>
      <c r="E22" t="inlineStr">
        <is>
          <t>MAT-STEEL-PN-1.15</t>
        </is>
      </c>
      <c r="F22" t="inlineStr">
        <is>
          <t>kg</t>
        </is>
      </c>
      <c r="G22" s="21" t="n">
        <v>2.477633169389007</v>
      </c>
      <c r="H22" s="17">
        <f>'00_TONG_HOP_BAO_GIA'!G7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Kích thước vỏ 150x150x200mm</t>
        </is>
      </c>
    </row>
    <row r="23">
      <c r="A23" t="inlineStr">
        <is>
          <t>SW-DAMPER-006-BLADE</t>
        </is>
      </c>
      <c r="B23" t="inlineStr">
        <is>
          <t>SW-DAMPER-006</t>
        </is>
      </c>
      <c r="C23" t="inlineStr">
        <is>
          <t>Lá cánh / Tôn tấm bọc van (1 cánh)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21" t="n">
        <v>0.6144923535190989</v>
      </c>
      <c r="H23" s="17">
        <f>'00_TONG_HOP_BAO_GIA'!G7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Tôn bọc cánh &amp; thân (1 cánh/modul)</t>
        </is>
      </c>
    </row>
    <row r="24">
      <c r="A24" t="inlineStr">
        <is>
          <t>SW-DAMPER-006-AXLE</t>
        </is>
      </c>
      <c r="B24" t="inlineStr">
        <is>
          <t>SW-DAMPER-006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21" t="n">
        <v>0.3176550521283998</v>
      </c>
      <c r="H24" s="17">
        <f>'00_TONG_HOP_BAO_GIA'!G7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1 trục dài 210mm</t>
        </is>
      </c>
    </row>
    <row r="25">
      <c r="A25" t="inlineStr">
        <is>
          <t>SW-DAMPER-006-BEARING</t>
        </is>
      </c>
      <c r="B25" t="inlineStr">
        <is>
          <t>SW-DAMPER-006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21" t="n">
        <v>1</v>
      </c>
      <c r="H25" s="17">
        <f>'00_TONG_HOP_BAO_GIA'!G7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1 đôi bạc đỡ 2 bên thân</t>
        </is>
      </c>
    </row>
    <row r="26">
      <c r="A26" t="inlineStr">
        <is>
          <t>SW-DAMPER-006-ACTUATOR</t>
        </is>
      </c>
      <c r="B26" t="inlineStr">
        <is>
          <t>SW-DAMPER-006</t>
        </is>
      </c>
      <c r="C26" t="inlineStr">
        <is>
          <t>Động cơ chặn lửa ON/OFF 3.5Nm, 230V/24V (BELIMO FSLF24 / FSLF230)</t>
        </is>
      </c>
      <c r="D26" t="inlineStr">
        <is>
          <t>ĐỘNG_CƠ_VÀ_CẢM_BIẾN</t>
        </is>
      </c>
      <c r="E26" t="inlineStr">
        <is>
          <t>MAT-ACTUATOR-BELIMO-FSLF24</t>
        </is>
      </c>
      <c r="F26" t="inlineStr">
        <is>
          <t>Cái</t>
        </is>
      </c>
      <c r="G26" s="21" t="n">
        <v>1</v>
      </c>
      <c r="H26" s="17">
        <f>'00_TONG_HOP_BAO_GIA'!G7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Động cơ lò xo phản hồi MFD (1 bộ)</t>
        </is>
      </c>
    </row>
    <row r="27">
      <c r="A27" t="inlineStr">
        <is>
          <t>SW-DAMPER-006-FB10-BODY</t>
        </is>
      </c>
      <c r="B27" t="inlineStr">
        <is>
          <t>SW-DAMPER-006</t>
        </is>
      </c>
      <c r="C27" t="inlineStr">
        <is>
          <t>Tấm chống cháy dày 10mm bọc thân van FD/MFD (2 lớp)</t>
        </is>
      </c>
      <c r="D27" t="inlineStr">
        <is>
          <t>VẬT_LIỆU_CÁCH_NHIỆT</t>
        </is>
      </c>
      <c r="E27" t="inlineStr">
        <is>
          <t>MAT-FIREBOARD-10MM-BODY</t>
        </is>
      </c>
      <c r="F27" t="inlineStr">
        <is>
          <t>m2</t>
        </is>
      </c>
      <c r="G27" s="21" t="n">
        <v>0.5445515179343996</v>
      </c>
      <c r="H27" s="17">
        <f>'00_TONG_HOP_BAO_GIA'!G7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Bọc 2 lớp tấm 10mm quanh thân L=300mm</t>
        </is>
      </c>
    </row>
    <row r="28">
      <c r="A28" t="inlineStr">
        <is>
          <t>SW-DAMPER-006-FB20-BLADE</t>
        </is>
      </c>
      <c r="B28" t="inlineStr">
        <is>
          <t>SW-DAMPER-006</t>
        </is>
      </c>
      <c r="C28" t="inlineStr">
        <is>
          <t>Tấm chống cháy dày 20mm làm lõi cánh van FD/MFD</t>
        </is>
      </c>
      <c r="D28" t="inlineStr">
        <is>
          <t>VẬT_LIỆU_CÁCH_NHIỆT</t>
        </is>
      </c>
      <c r="E28" t="inlineStr">
        <is>
          <t>MAT-FIREBOARD-20MM-BLADE</t>
        </is>
      </c>
      <c r="F28" t="inlineStr">
        <is>
          <t>m2</t>
        </is>
      </c>
      <c r="G28" s="21" t="n">
        <v>0.03403446987089997</v>
      </c>
      <c r="H28" s="17">
        <f>'00_TONG_HOP_BAO_GIA'!G7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Lõi cánh tấm 20mm (Cánh đơn 150x150mm)</t>
        </is>
      </c>
    </row>
    <row r="29">
      <c r="A29" t="inlineStr">
        <is>
          <t>SW-DAMPER-006-FB10-BLADE</t>
        </is>
      </c>
      <c r="B29" t="inlineStr">
        <is>
          <t>SW-DAMPER-006</t>
        </is>
      </c>
      <c r="C29" t="inlineStr">
        <is>
          <t>Tấm chống cháy dày 10mm ốp 2 mặt cánh van FD/MFD</t>
        </is>
      </c>
      <c r="D29" t="inlineStr">
        <is>
          <t>VẬT_LIỆU_CÁCH_NHIỆT</t>
        </is>
      </c>
      <c r="E29" t="inlineStr">
        <is>
          <t>MAT-FIREBOARD-10MM-BLADE</t>
        </is>
      </c>
      <c r="F29" t="inlineStr">
        <is>
          <t>m2</t>
        </is>
      </c>
      <c r="G29" s="21" t="n">
        <v>0.06806893974179995</v>
      </c>
      <c r="H29" s="17">
        <f>'00_TONG_HOP_BAO_GIA'!G7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Ốp 2 mặt cánh tấm 10mm (Cánh đơn 150x150mm)</t>
        </is>
      </c>
    </row>
    <row r="30">
      <c r="A30" t="inlineStr">
        <is>
          <t>SW-DAMPER-006-SPRING-BOX</t>
        </is>
      </c>
      <c r="B30" t="inlineStr">
        <is>
          <t>SW-DAMPER-006</t>
        </is>
      </c>
      <c r="C30" t="inlineStr">
        <is>
          <t>Hộp lò xo van chặn lửa FD/MFD</t>
        </is>
      </c>
      <c r="D30" t="inlineStr">
        <is>
          <t>PHỤ_KIỆN_VAN</t>
        </is>
      </c>
      <c r="E30" t="inlineStr">
        <is>
          <t>MAT-DAMPER-HOP-LO-XO</t>
        </is>
      </c>
      <c r="F30" t="inlineStr">
        <is>
          <t>Bộ</t>
        </is>
      </c>
      <c r="G30" s="21" t="n">
        <v>1</v>
      </c>
      <c r="H30" s="17">
        <f>'00_TONG_HOP_BAO_GIA'!G7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Hộp lò xo cơ cấu đóng sập (1 bộ)</t>
        </is>
      </c>
    </row>
    <row r="31">
      <c r="A31" t="inlineStr">
        <is>
          <t>SW-DAMPER-006-SILICON-BOLT</t>
        </is>
      </c>
      <c r="B31" t="inlineStr">
        <is>
          <t>SW-DAMPER-006</t>
        </is>
      </c>
      <c r="C31" t="inlineStr">
        <is>
          <t>Silicon chống cháy + bu lông, ốc vít van FD/MFD</t>
        </is>
      </c>
      <c r="D31" t="inlineStr">
        <is>
          <t>PHỤ_KIỆN_VAN</t>
        </is>
      </c>
      <c r="E31" t="inlineStr">
        <is>
          <t>MAT-DAMPER-SILICON-BULONG-VIT</t>
        </is>
      </c>
      <c r="F31" t="inlineStr">
        <is>
          <t>Bộ</t>
        </is>
      </c>
      <c r="G31" s="21" t="n">
        <v>1</v>
      </c>
      <c r="H31" s="17">
        <f>'00_TONG_HOP_BAO_GIA'!G7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Keo silicon chống cháy &amp; phụ kiện lắp ghép (1 bộ)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PHÂN LOẠI</t>
        </is>
      </c>
      <c r="D1" s="16" t="inlineStr">
        <is>
          <t>TÊN VẬT TƯ</t>
        </is>
      </c>
      <c r="E1" s="16" t="inlineStr">
        <is>
          <t>ĐVT</t>
        </is>
      </c>
      <c r="F1" s="16" t="inlineStr">
        <is>
          <t>BAREM KỸ THUẬT</t>
        </is>
      </c>
      <c r="G1" s="16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9Nm, 230V, đóng mở nhanh 15s (HoneyWell MS4609F1010/B)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TÊN VẬT TƯ</t>
        </is>
      </c>
      <c r="D1" s="16" t="inlineStr">
        <is>
          <t>PHÂN LOẠI</t>
        </is>
      </c>
      <c r="E1" s="16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7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7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7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7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7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7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7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7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7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7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7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7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7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7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7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7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7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7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7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7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7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7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7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7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7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7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7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7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7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7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7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7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7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7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7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7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7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7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7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7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7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7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7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7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7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7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7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7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7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7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7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7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7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7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7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7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7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7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7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7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7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7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7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7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7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7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7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7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7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7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7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7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7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7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7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7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7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7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7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7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7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7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7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7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7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7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7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7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7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7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7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7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7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7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7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7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7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7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7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7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7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7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7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7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7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7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7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7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7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7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7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7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7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7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7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7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7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7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7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7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7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7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7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7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7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7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7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7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7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7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7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7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7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7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7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7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7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7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7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7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7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7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7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7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7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7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7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7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7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7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7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7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7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7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7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7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7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7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7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7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7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7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7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7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7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7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7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7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7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7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7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7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7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7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7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7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7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7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7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7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7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7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7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7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7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9Nm, 230V, đóng mở nhanh 15s (HoneyWell MS4609F1010/B)</t>
        </is>
      </c>
      <c r="D187" t="inlineStr">
        <is>
          <t>ĐỘNG_CƠ_VÀ_CẢM_BIẾN</t>
        </is>
      </c>
      <c r="E187" s="17" t="n">
        <v>3400000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7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7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7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7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7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7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7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7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7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7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7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7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7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7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7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7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7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7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7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2026-10-19T09:48:39Z</dcterms:created>
  <dcterms:modified xsi:type="dcterms:W3CDTF">2026-10-19T09:48:39Z</dcterms:modified>
</cp:coreProperties>
</file>
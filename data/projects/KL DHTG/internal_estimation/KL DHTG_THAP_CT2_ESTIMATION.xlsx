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ẢNG BÁO GIÁ TIÊU CHUẨN" sheetId="1" state="visible" r:id="rId1"/>
    <sheet name="00_TONG_HOP_BAO_GIA" sheetId="2" state="visible" r:id="rId2"/>
    <sheet name="01_BOC_TACH_ONG" sheetId="3" state="visible" r:id="rId3"/>
    <sheet name="02_BOC_TACH_CUA" sheetId="4" state="visible" r:id="rId4"/>
    <sheet name="03_BOC_TACH_VAN" sheetId="5" state="visible" r:id="rId5"/>
    <sheet name="05_DANH_MUC_KY_THUAT_GOC" sheetId="6" state="visible" r:id="rId6"/>
    <sheet name="06_BANG_GIA_VAT_TU_AP_DU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b val="1"/>
    </font>
    <font>
      <name val="Times New Roman"/>
      <b val="1"/>
      <color rgb="00002060"/>
      <sz val="11"/>
    </font>
    <font>
      <name val="Times New Roman"/>
      <sz val="10"/>
    </font>
    <font>
      <name val="Times New Roman"/>
      <b val="1"/>
      <sz val="10"/>
    </font>
    <font>
      <name val="Times New Roman"/>
      <b val="1"/>
      <color rgb="00002060"/>
      <sz val="16"/>
    </font>
    <font>
      <name val="Times New Roman"/>
      <b val="1"/>
      <color rgb="00FFFFFF"/>
      <sz val="10"/>
    </font>
    <font>
      <name val="Times New Roman"/>
      <b val="1"/>
      <color rgb="00002060"/>
      <sz val="10"/>
    </font>
    <font>
      <name val="Times New Roman"/>
      <b val="1"/>
      <color rgb="00FF0000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3" fontId="9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2" fillId="0" borderId="0" applyAlignment="1" pivotButton="0" quotePrefix="0" xfId="0">
      <alignment horizontal="center"/>
    </xf>
    <xf numFmtId="3" fontId="2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72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0" customWidth="1" min="3" max="3"/>
    <col width="14" customWidth="1" min="4" max="4"/>
    <col width="9" customWidth="1" min="5" max="5"/>
    <col width="9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9" customWidth="1" min="12" max="12"/>
    <col width="11" customWidth="1" min="13" max="13"/>
    <col width="16" customWidth="1" min="14" max="14"/>
    <col width="18" customWidth="1" min="15" max="15"/>
    <col width="44" customWidth="1" min="16" max="16"/>
  </cols>
  <sheetData>
    <row r="2">
      <c r="C2" s="1" t="inlineStr">
        <is>
          <t>CÔNG TY CỔ PHẦN TẬP ĐOÀN QUỐC TẾ SLAND</t>
        </is>
      </c>
    </row>
    <row r="3">
      <c r="C3" s="2" t="inlineStr">
        <is>
          <t>VPGD: SỐ 49, Ngõ 1295 Giải Phóng, Phường Hoàng Mai, TP Hà Nội</t>
        </is>
      </c>
    </row>
    <row r="4">
      <c r="C4" s="2" t="inlineStr">
        <is>
          <t>Nhà máy: Thôn Nhân Hiền - xã Thường Tín - TP Hà Nội</t>
        </is>
      </c>
    </row>
    <row r="5">
      <c r="C5" s="3" t="inlineStr">
        <is>
          <t>Hotline: 082 5577 999</t>
        </is>
      </c>
    </row>
    <row r="6" ht="28" customHeight="1">
      <c r="A6" s="4" t="inlineStr">
        <is>
          <t>BẢNG BÁO GIÁ (BẢNG BÁO GIÁ THIẾT BỊ VÀ VẬT TƯ HVAC (TIÊU CHUẨN BOQ))</t>
        </is>
      </c>
    </row>
    <row r="7">
      <c r="A7" s="3" t="inlineStr">
        <is>
          <t xml:space="preserve">Khách hàng : </t>
        </is>
      </c>
      <c r="M7" s="3" t="inlineStr">
        <is>
          <t>Số hiệu</t>
        </is>
      </c>
    </row>
    <row r="8">
      <c r="A8" s="3" t="inlineStr">
        <is>
          <t>Địa chỉ :</t>
        </is>
      </c>
      <c r="M8" s="3" t="inlineStr">
        <is>
          <t>PT Kinh doanh</t>
        </is>
      </c>
    </row>
    <row r="9">
      <c r="A9" s="3" t="inlineStr">
        <is>
          <t xml:space="preserve">Người nhận : </t>
        </is>
      </c>
      <c r="M9" s="3" t="inlineStr">
        <is>
          <t>Điện thoại</t>
        </is>
      </c>
    </row>
    <row r="10">
      <c r="A10" s="3" t="inlineStr">
        <is>
          <t xml:space="preserve">Email: </t>
        </is>
      </c>
      <c r="C10" s="3" t="inlineStr">
        <is>
          <t>Số điện thoại :</t>
        </is>
      </c>
      <c r="M10" s="3" t="inlineStr">
        <is>
          <t>Dự án</t>
        </is>
      </c>
    </row>
    <row r="11" ht="20" customHeight="1">
      <c r="A11" s="5" t="inlineStr">
        <is>
          <t>STT</t>
        </is>
      </c>
      <c r="B11" s="5" t="inlineStr">
        <is>
          <t>Danh mục sản phẩm</t>
        </is>
      </c>
      <c r="C11" s="5" t="inlineStr">
        <is>
          <t>Model</t>
        </is>
      </c>
      <c r="D11" s="5" t="inlineStr">
        <is>
          <t>Thương hiệu</t>
        </is>
      </c>
      <c r="E11" s="5" t="inlineStr">
        <is>
          <t>Kích thước (mm)</t>
        </is>
      </c>
      <c r="F11" s="5" t="n"/>
      <c r="G11" s="5" t="n"/>
      <c r="H11" s="5" t="n"/>
      <c r="I11" s="5" t="inlineStr">
        <is>
          <t>Modul</t>
        </is>
      </c>
      <c r="J11" s="5" t="inlineStr">
        <is>
          <t>L</t>
        </is>
      </c>
      <c r="K11" s="5" t="inlineStr">
        <is>
          <t>Độ dày
(mm)</t>
        </is>
      </c>
      <c r="L11" s="5" t="inlineStr">
        <is>
          <t>Unit
Đơn vị</t>
        </is>
      </c>
      <c r="M11" s="5" t="inlineStr">
        <is>
          <t>Q'ty
Số lượng</t>
        </is>
      </c>
      <c r="N11" s="5" t="inlineStr">
        <is>
          <t>Đơn Giá
(VNĐ)</t>
        </is>
      </c>
      <c r="O11" s="5" t="inlineStr">
        <is>
          <t>Total price
Thành tiền</t>
        </is>
      </c>
      <c r="P11" s="5" t="inlineStr">
        <is>
          <t>Remarks
Ghi chú</t>
        </is>
      </c>
    </row>
    <row r="12" ht="20" customHeight="1">
      <c r="A12" s="5" t="n"/>
      <c r="B12" s="5" t="n"/>
      <c r="C12" s="5" t="n"/>
      <c r="D12" s="5" t="n"/>
      <c r="E12" s="5" t="inlineStr">
        <is>
          <t>A1</t>
        </is>
      </c>
      <c r="F12" s="5" t="inlineStr">
        <is>
          <t>A2</t>
        </is>
      </c>
      <c r="G12" s="5" t="inlineStr">
        <is>
          <t>B1</t>
        </is>
      </c>
      <c r="H12" s="5" t="inlineStr">
        <is>
          <t>B2</t>
        </is>
      </c>
      <c r="I12" s="5" t="n"/>
      <c r="J12" s="5" t="n"/>
      <c r="K12" s="5" t="n"/>
      <c r="L12" s="5" t="n"/>
      <c r="M12" s="5" t="n"/>
      <c r="N12" s="5" t="n"/>
      <c r="O12" s="5" t="n"/>
      <c r="P12" s="5" t="n"/>
    </row>
    <row r="13" ht="20" customHeight="1">
      <c r="A13" s="5" t="n"/>
      <c r="B13" s="5" t="n"/>
      <c r="C13" s="5" t="n"/>
      <c r="D13" s="5" t="n"/>
      <c r="E13" s="5" t="inlineStr">
        <is>
          <t>Face size</t>
        </is>
      </c>
      <c r="F13" s="5" t="n"/>
      <c r="G13" s="5" t="inlineStr">
        <is>
          <t>Neck size</t>
        </is>
      </c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</row>
    <row r="14">
      <c r="A14" s="6" t="inlineStr">
        <is>
          <t>IV</t>
        </is>
      </c>
      <c r="B14" s="7" t="inlineStr">
        <is>
          <t>HỆ THỐNG CẤP NGUỒN THÔNG GIÓ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</row>
    <row r="15">
      <c r="A15" s="9" t="n"/>
      <c r="B15" s="10" t="inlineStr">
        <is>
          <t>Tủ điện TĐ-M-QTG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inlineStr">
        <is>
          <t>Tủ</t>
        </is>
      </c>
      <c r="M15" s="11" t="n">
        <v>2</v>
      </c>
      <c r="N15" s="12" t="n"/>
      <c r="O15" s="12" t="n"/>
      <c r="P15" s="10" t="n"/>
    </row>
    <row r="16">
      <c r="A16" s="9" t="n"/>
      <c r="B16" s="10" t="inlineStr">
        <is>
          <t>Cáp điện CU/PVC/PVC 3x2,5 mm2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inlineStr">
        <is>
          <t>m</t>
        </is>
      </c>
      <c r="M16" s="11" t="n">
        <v>200</v>
      </c>
      <c r="N16" s="12" t="n"/>
      <c r="O16" s="12" t="n"/>
      <c r="P16" s="10" t="n"/>
    </row>
    <row r="17">
      <c r="A17" s="9" t="n"/>
      <c r="B17" s="10" t="inlineStr">
        <is>
          <t>Dây PVC 1x2.5 mm2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inlineStr">
        <is>
          <t>m</t>
        </is>
      </c>
      <c r="M17" s="11" t="n">
        <v>200</v>
      </c>
      <c r="N17" s="12" t="n"/>
      <c r="O17" s="12" t="n"/>
      <c r="P17" s="10" t="n"/>
    </row>
    <row r="18">
      <c r="A18" s="9" t="n"/>
      <c r="B18" s="10" t="inlineStr">
        <is>
          <t>Vật tư phụ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inlineStr">
        <is>
          <t>Lô</t>
        </is>
      </c>
      <c r="M18" s="11" t="n">
        <v>1</v>
      </c>
      <c r="N18" s="12" t="n"/>
      <c r="O18" s="12" t="n"/>
      <c r="P18" s="10" t="n"/>
    </row>
    <row r="19">
      <c r="A19" s="8" t="n"/>
      <c r="B19" s="7" t="inlineStr">
        <is>
          <t>PHẦN CHUNG</t>
        </is>
      </c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8" t="n"/>
      <c r="B20" s="7" t="inlineStr">
        <is>
          <t>HỆ THỐNG ĐIỀU HOÀ PHÒNG AN NINH, PHÒNG TRỰC PCCC VÀ VP BAN QUẢN LÝ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</row>
    <row r="21">
      <c r="A21" s="9" t="n"/>
      <c r="B21" s="10" t="inlineStr">
        <is>
          <t>Điều hoà cục bộ, 1 chiều lạnh, công suất 2.5 Kw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inlineStr">
        <is>
          <t>Bộ</t>
        </is>
      </c>
      <c r="M21" s="11" t="n">
        <v>2</v>
      </c>
      <c r="N21" s="12" t="n"/>
      <c r="O21" s="12" t="n"/>
      <c r="P21" s="10" t="n"/>
    </row>
    <row r="22">
      <c r="A22" s="9" t="n"/>
      <c r="B22" s="10" t="inlineStr">
        <is>
          <t>Ống đồng D6.4, dày 0.8mm kèm bảo ôn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inlineStr">
        <is>
          <t>m</t>
        </is>
      </c>
      <c r="M22" s="11" t="n">
        <v>11</v>
      </c>
      <c r="N22" s="12" t="n"/>
      <c r="O22" s="12" t="n"/>
      <c r="P22" s="10" t="n"/>
    </row>
    <row r="23">
      <c r="A23" s="9" t="n"/>
      <c r="B23" s="10" t="inlineStr">
        <is>
          <t>Ống đồng D9.5, dày 0.8mm kèm bảo ôn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inlineStr">
        <is>
          <t>m</t>
        </is>
      </c>
      <c r="M23" s="11" t="n">
        <v>11</v>
      </c>
      <c r="N23" s="12" t="n"/>
      <c r="O23" s="12" t="n"/>
      <c r="P23" s="10" t="n"/>
    </row>
    <row r="24">
      <c r="A24" s="9" t="n"/>
      <c r="B24" s="10" t="inlineStr">
        <is>
          <t>Ống nước ngưng uPVC D21 kèm bảo ôn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inlineStr">
        <is>
          <t>m</t>
        </is>
      </c>
      <c r="M24" s="11" t="n">
        <v>20</v>
      </c>
      <c r="N24" s="12" t="n"/>
      <c r="O24" s="12" t="n"/>
      <c r="P24" s="10" t="n"/>
    </row>
    <row r="25">
      <c r="A25" s="9" t="n"/>
      <c r="B25" s="10" t="inlineStr">
        <is>
          <t>Dây link dàn nóng và dàn lạnh 4xCu/Pvc/Pvc 1x2.5mm2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inlineStr">
        <is>
          <t>m</t>
        </is>
      </c>
      <c r="M25" s="11" t="n">
        <v>12</v>
      </c>
      <c r="N25" s="12" t="n"/>
      <c r="O25" s="12" t="n"/>
      <c r="P25" s="10" t="n"/>
    </row>
    <row r="26">
      <c r="A26" s="9" t="n"/>
      <c r="B26" s="10" t="inlineStr">
        <is>
          <t>Giá treo cục nóng điều hoà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inlineStr">
        <is>
          <t>Bộ</t>
        </is>
      </c>
      <c r="M26" s="11" t="n">
        <v>2</v>
      </c>
      <c r="N26" s="12" t="n"/>
      <c r="O26" s="12" t="n"/>
      <c r="P26" s="10" t="n"/>
    </row>
    <row r="27">
      <c r="A27" s="9" t="n"/>
      <c r="B27" s="10" t="inlineStr">
        <is>
          <t>Vật tư phụ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inlineStr">
        <is>
          <t>Lô</t>
        </is>
      </c>
      <c r="M27" s="11" t="n">
        <v>1</v>
      </c>
      <c r="N27" s="12" t="n"/>
      <c r="O27" s="12" t="n"/>
      <c r="P27" s="10" t="n"/>
    </row>
    <row r="28">
      <c r="A28" s="8" t="n"/>
      <c r="B28" s="7" t="inlineStr">
        <is>
          <t>HỆ THỐNG HÚT MÙI WC, HÚT RÁC, TRỰC PCCC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</row>
    <row r="29">
      <c r="A29" s="6" t="n">
        <v>1</v>
      </c>
      <c r="B29" s="7" t="inlineStr">
        <is>
          <t>Thiết bị</t>
        </is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</row>
    <row r="30">
      <c r="A30" s="9" t="n"/>
      <c r="B30" s="10" t="inlineStr">
        <is>
          <t>Quạt hút vệ sinh: - Quạt gắn trần
Lưu lượng: 150 m3/h - Cột áp: 50 Pa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inlineStr">
        <is>
          <t>Bộ</t>
        </is>
      </c>
      <c r="M30" s="11" t="n">
        <v>4</v>
      </c>
      <c r="N30" s="12" t="n"/>
      <c r="O30" s="12" t="n"/>
      <c r="P30" s="10" t="n"/>
    </row>
    <row r="31">
      <c r="A31" s="9" t="n"/>
      <c r="B31" s="10" t="inlineStr">
        <is>
          <t>Quạt hút vệ sinh: - Quạt gắn trần
Lưu lượng: 250 m3/h - Cột áp: 50 Pa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inlineStr">
        <is>
          <t>Bộ</t>
        </is>
      </c>
      <c r="M31" s="11" t="n">
        <v>1</v>
      </c>
      <c r="N31" s="12" t="n"/>
      <c r="O31" s="12" t="n"/>
      <c r="P31" s="10" t="n"/>
    </row>
    <row r="32">
      <c r="A32" s="9" t="n"/>
      <c r="B32" s="10" t="inlineStr">
        <is>
          <t>Quạt hút rác: - Quạt hướng trục -
Lưu lượng: 3100 m3/h - Cột áp: 200 Pa</t>
        </is>
      </c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inlineStr">
        <is>
          <t>Bộ</t>
        </is>
      </c>
      <c r="M32" s="11" t="n">
        <v>2</v>
      </c>
      <c r="N32" s="12" t="n"/>
      <c r="O32" s="12" t="n"/>
      <c r="P32" s="10" t="n"/>
    </row>
    <row r="33">
      <c r="A33" s="9" t="n">
        <v>2</v>
      </c>
      <c r="B33" s="10" t="inlineStr">
        <is>
          <t>Bạt mềm đầu quạt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inlineStr">
        <is>
          <t>Bộ</t>
        </is>
      </c>
      <c r="M33" s="11" t="n">
        <v>2</v>
      </c>
      <c r="N33" s="12" t="n"/>
      <c r="O33" s="12" t="n"/>
      <c r="P33" s="10" t="n"/>
    </row>
    <row r="34">
      <c r="A34" s="6" t="n">
        <v>3</v>
      </c>
      <c r="B34" s="7" t="inlineStr">
        <is>
          <t>Ống gió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</row>
    <row r="35">
      <c r="A35" s="9" t="n"/>
      <c r="B35" s="10" t="inlineStr">
        <is>
          <t>D100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inlineStr">
        <is>
          <t>m</t>
        </is>
      </c>
      <c r="M35" s="11" t="n">
        <v>14</v>
      </c>
      <c r="N35" s="12" t="n"/>
      <c r="O35" s="12" t="n"/>
      <c r="P35" s="10" t="n"/>
    </row>
    <row r="36">
      <c r="A36" s="9" t="n"/>
      <c r="B36" s="10" t="inlineStr">
        <is>
          <t>D150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inlineStr">
        <is>
          <t>m</t>
        </is>
      </c>
      <c r="M36" s="11" t="n">
        <v>3</v>
      </c>
      <c r="N36" s="12" t="n"/>
      <c r="O36" s="12" t="n"/>
      <c r="P36" s="10" t="n"/>
    </row>
    <row r="37">
      <c r="A37" s="9" t="n"/>
      <c r="B37" s="10" t="inlineStr">
        <is>
          <t>300x300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inlineStr">
        <is>
          <t>m</t>
        </is>
      </c>
      <c r="M37" s="11" t="n">
        <v>29</v>
      </c>
      <c r="N37" s="12" t="n"/>
      <c r="O37" s="12" t="n"/>
      <c r="P37" s="10" t="n"/>
    </row>
    <row r="38">
      <c r="A38" s="9" t="n"/>
      <c r="B38" s="10" t="inlineStr">
        <is>
          <t>400x300</t>
        </is>
      </c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inlineStr">
        <is>
          <t>m</t>
        </is>
      </c>
      <c r="M38" s="11" t="n">
        <v>41</v>
      </c>
      <c r="N38" s="12" t="n"/>
      <c r="O38" s="12" t="n"/>
      <c r="P38" s="10" t="n"/>
    </row>
    <row r="39">
      <c r="A39" s="9" t="n">
        <v>4</v>
      </c>
      <c r="B39" s="10" t="inlineStr">
        <is>
          <t>Phụ kiện ống gió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inlineStr">
        <is>
          <t>Lô</t>
        </is>
      </c>
      <c r="M39" s="11" t="n">
        <v>1</v>
      </c>
      <c r="N39" s="12" t="n"/>
      <c r="O39" s="12" t="n"/>
      <c r="P39" s="10" t="n"/>
    </row>
    <row r="40">
      <c r="A40" s="6" t="n">
        <v>5</v>
      </c>
      <c r="B40" s="7" t="inlineStr">
        <is>
          <t>Cửa gió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</row>
    <row r="41">
      <c r="A41" s="9" t="n"/>
      <c r="B41" s="10" t="inlineStr">
        <is>
          <t>Cửa gió nan thẳng kèm van gió OBD &amp; hộp gió, 200x200</t>
        </is>
      </c>
      <c r="C41" s="9" t="inlineStr">
        <is>
          <t>SDG+O</t>
        </is>
      </c>
      <c r="D41" s="9" t="inlineStr">
        <is>
          <t>SWIND</t>
        </is>
      </c>
      <c r="E41" s="9" t="n">
        <v>200</v>
      </c>
      <c r="F41" s="9" t="n">
        <v>200</v>
      </c>
      <c r="G41" s="9" t="n">
        <v>150</v>
      </c>
      <c r="H41" s="9" t="n">
        <v>150</v>
      </c>
      <c r="I41" s="9" t="n"/>
      <c r="J41" s="9" t="n"/>
      <c r="K41" s="9" t="n"/>
      <c r="L41" s="9" t="inlineStr">
        <is>
          <t>Bộ</t>
        </is>
      </c>
      <c r="M41" s="11" t="n">
        <v>36</v>
      </c>
      <c r="N41" s="11">
        <f>ROUND('00_TONG_HOP_BAO_GIA'!Q2, 0)</f>
        <v/>
      </c>
      <c r="O41" s="11">
        <f>ROUNDUP(N41*M41, -2)</f>
        <v/>
      </c>
      <c r="P41" s="10" t="inlineStr">
        <is>
          <t>Cửa nan bầu dục 1 lớp kèm van OBD. Không tính box do nhà thầu tự thi công</t>
        </is>
      </c>
    </row>
    <row r="42">
      <c r="A42" s="9" t="n"/>
      <c r="B42" s="10" t="inlineStr">
        <is>
          <t>Cửa gió nan Z kèm lưới chắn côn trùng &amp; hộp gió, 500x200</t>
        </is>
      </c>
      <c r="C42" s="9" t="inlineStr">
        <is>
          <t>WL+N</t>
        </is>
      </c>
      <c r="D42" s="9" t="inlineStr">
        <is>
          <t>SWIND</t>
        </is>
      </c>
      <c r="E42" s="9" t="n">
        <v>500</v>
      </c>
      <c r="F42" s="9" t="n">
        <v>200</v>
      </c>
      <c r="G42" s="9" t="n">
        <v>450</v>
      </c>
      <c r="H42" s="9" t="n">
        <v>150</v>
      </c>
      <c r="I42" s="9" t="n"/>
      <c r="J42" s="9" t="n"/>
      <c r="K42" s="9" t="n"/>
      <c r="L42" s="9" t="inlineStr">
        <is>
          <t>Bộ</t>
        </is>
      </c>
      <c r="M42" s="11" t="n">
        <v>2</v>
      </c>
      <c r="N42" s="11">
        <f>ROUND('00_TONG_HOP_BAO_GIA'!Q3, 0)</f>
        <v/>
      </c>
      <c r="O42" s="11">
        <f>ROUNDUP(N42*M42, -2)</f>
        <v/>
      </c>
      <c r="P42" s="10" t="inlineStr">
        <is>
          <t>Louver nan Z ngoài trời kèm lưới chắn côn trùng Inox 304. Không tính box do nhà thầu tự thi công</t>
        </is>
      </c>
    </row>
    <row r="43">
      <c r="A43" s="6" t="n">
        <v>6</v>
      </c>
      <c r="B43" s="7" t="inlineStr">
        <is>
          <t>Van gió</t>
        </is>
      </c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</row>
    <row r="44">
      <c r="A44" s="9" t="n"/>
      <c r="B44" s="10" t="inlineStr">
        <is>
          <t>Van chặn lửa, FD 200x200</t>
        </is>
      </c>
      <c r="C44" s="9" t="inlineStr">
        <is>
          <t>SWIND-2.01- E-FD-EI120</t>
        </is>
      </c>
      <c r="D44" s="9" t="inlineStr">
        <is>
          <t>SWIND</t>
        </is>
      </c>
      <c r="E44" s="9" t="n">
        <v>200</v>
      </c>
      <c r="F44" s="9" t="n">
        <v>200</v>
      </c>
      <c r="G44" s="9" t="n"/>
      <c r="H44" s="9" t="n"/>
      <c r="I44" s="9" t="n"/>
      <c r="J44" s="9" t="n">
        <v>200</v>
      </c>
      <c r="K44" s="13" t="n">
        <v>1.15</v>
      </c>
      <c r="L44" s="9" t="inlineStr">
        <is>
          <t>Bộ</t>
        </is>
      </c>
      <c r="M44" s="11" t="n">
        <v>36</v>
      </c>
      <c r="N44" s="11">
        <f>ROUND('00_TONG_HOP_BAO_GIA'!Q4, 0)</f>
        <v/>
      </c>
      <c r="O44" s="11">
        <f>ROUNDUP(N44*M44, -2)</f>
        <v/>
      </c>
      <c r="P44" s="10" t="inlineStr">
        <is>
          <t>- Van chặn lửa cầu chì - Tiêu chuẩn EI 120
- 2 đầu bích TDC - gắn cầu chì 70-74 độ C
- Sản xuất theo BCTN số: 4761/VLXD-TBMT</t>
        </is>
      </c>
    </row>
    <row r="45">
      <c r="A45" s="6" t="n">
        <v>7</v>
      </c>
      <c r="B45" s="7" t="inlineStr">
        <is>
          <t>Ống gió mềm</t>
        </is>
      </c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</row>
    <row r="46">
      <c r="A46" s="9" t="n"/>
      <c r="B46" s="10" t="inlineStr">
        <is>
          <t>Ống gió mềm không bảo ôn D100</t>
        </is>
      </c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inlineStr">
        <is>
          <t>m</t>
        </is>
      </c>
      <c r="M46" s="11" t="n">
        <v>7</v>
      </c>
      <c r="N46" s="12" t="n"/>
      <c r="O46" s="12" t="n"/>
      <c r="P46" s="10" t="n"/>
    </row>
    <row r="47">
      <c r="A47" s="9" t="n"/>
      <c r="B47" s="10" t="inlineStr">
        <is>
          <t>Ống gió mềm không bảo ôn D150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inlineStr">
        <is>
          <t>m</t>
        </is>
      </c>
      <c r="M47" s="11" t="n">
        <v>2</v>
      </c>
      <c r="N47" s="12" t="n"/>
      <c r="O47" s="12" t="n"/>
      <c r="P47" s="10" t="n"/>
    </row>
    <row r="48">
      <c r="A48" s="9" t="n">
        <v>8</v>
      </c>
      <c r="B48" s="10" t="inlineStr">
        <is>
          <t>Bệ đỡ quạt trục</t>
        </is>
      </c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inlineStr">
        <is>
          <t>Bộ</t>
        </is>
      </c>
      <c r="M48" s="11" t="n">
        <v>2</v>
      </c>
      <c r="N48" s="12" t="n"/>
      <c r="O48" s="12" t="n"/>
      <c r="P48" s="10" t="n"/>
    </row>
    <row r="49">
      <c r="A49" s="9" t="n">
        <v>9</v>
      </c>
      <c r="B49" s="10" t="inlineStr">
        <is>
          <t>Giá đỡ ống gió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inlineStr">
        <is>
          <t>Lô</t>
        </is>
      </c>
      <c r="M49" s="11" t="n">
        <v>1</v>
      </c>
      <c r="N49" s="12" t="n"/>
      <c r="O49" s="12" t="n"/>
      <c r="P49" s="10" t="n"/>
    </row>
    <row r="50">
      <c r="A50" s="9" t="n">
        <v>10</v>
      </c>
      <c r="B50" s="10" t="inlineStr">
        <is>
          <t>Vật tư phụ</t>
        </is>
      </c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inlineStr">
        <is>
          <t>Lô</t>
        </is>
      </c>
      <c r="M50" s="11" t="n">
        <v>1</v>
      </c>
      <c r="N50" s="12" t="n"/>
      <c r="O50" s="12" t="n"/>
      <c r="P50" s="10" t="n"/>
    </row>
    <row r="51">
      <c r="A51" s="8" t="n"/>
      <c r="B51" s="7" t="inlineStr">
        <is>
          <t>HỆ THỐNG HÚT PHÒNG KỸ THUẬT ĐIỆN</t>
        </is>
      </c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</row>
    <row r="52">
      <c r="A52" s="6" t="n">
        <v>1</v>
      </c>
      <c r="B52" s="7" t="inlineStr">
        <is>
          <t>Thiết bị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</row>
    <row r="53">
      <c r="A53" s="9" t="n"/>
      <c r="B53" s="10" t="inlineStr">
        <is>
          <t>Quạt hút : - Quạt hướng trục -
Lưu lượng: 1500 m3/h - Cột áp: 200 Pa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inlineStr">
        <is>
          <t>Bộ</t>
        </is>
      </c>
      <c r="M53" s="11" t="n">
        <v>2</v>
      </c>
      <c r="N53" s="12" t="n"/>
      <c r="O53" s="12" t="n"/>
      <c r="P53" s="10" t="n"/>
    </row>
    <row r="54">
      <c r="A54" s="9" t="n">
        <v>2</v>
      </c>
      <c r="B54" s="10" t="inlineStr">
        <is>
          <t>Bạt mềm đầu quạt</t>
        </is>
      </c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inlineStr">
        <is>
          <t>Bộ</t>
        </is>
      </c>
      <c r="M54" s="11" t="n">
        <v>2</v>
      </c>
      <c r="N54" s="12" t="n"/>
      <c r="O54" s="12" t="n"/>
      <c r="P54" s="10" t="n"/>
    </row>
    <row r="55">
      <c r="A55" s="6" t="n">
        <v>3</v>
      </c>
      <c r="B55" s="7" t="inlineStr">
        <is>
          <t>Ống gió</t>
        </is>
      </c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</row>
    <row r="56">
      <c r="A56" s="9" t="n"/>
      <c r="B56" s="10" t="inlineStr">
        <is>
          <t>150X150</t>
        </is>
      </c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inlineStr">
        <is>
          <t>m</t>
        </is>
      </c>
      <c r="M56" s="11" t="n">
        <v>62</v>
      </c>
      <c r="N56" s="12" t="n"/>
      <c r="O56" s="12" t="n"/>
      <c r="P56" s="10" t="n"/>
    </row>
    <row r="57">
      <c r="A57" s="9" t="n"/>
      <c r="B57" s="10" t="inlineStr">
        <is>
          <t>250X200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inlineStr">
        <is>
          <t>m</t>
        </is>
      </c>
      <c r="M57" s="11" t="n">
        <v>29</v>
      </c>
      <c r="N57" s="12" t="n"/>
      <c r="O57" s="12" t="n"/>
      <c r="P57" s="10" t="n"/>
    </row>
    <row r="58">
      <c r="A58" s="9" t="n"/>
      <c r="B58" s="10" t="inlineStr">
        <is>
          <t>350X200</t>
        </is>
      </c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inlineStr">
        <is>
          <t>m</t>
        </is>
      </c>
      <c r="M58" s="11" t="n">
        <v>41</v>
      </c>
      <c r="N58" s="12" t="n"/>
      <c r="O58" s="12" t="n"/>
      <c r="P58" s="10" t="n"/>
    </row>
    <row r="59">
      <c r="A59" s="9" t="n">
        <v>4</v>
      </c>
      <c r="B59" s="10" t="inlineStr">
        <is>
          <t>Phụ kiện ống gió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inlineStr">
        <is>
          <t>Lô</t>
        </is>
      </c>
      <c r="M59" s="11" t="n">
        <v>1</v>
      </c>
      <c r="N59" s="12" t="n"/>
      <c r="O59" s="12" t="n"/>
      <c r="P59" s="10" t="n"/>
    </row>
    <row r="60">
      <c r="A60" s="6" t="n">
        <v>5</v>
      </c>
      <c r="B60" s="7" t="inlineStr">
        <is>
          <t>Cửa gió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</row>
    <row r="61">
      <c r="A61" s="9" t="n"/>
      <c r="B61" s="10" t="inlineStr">
        <is>
          <t>Cửa gió nan thẳng kèm van gió OBD &amp; hộp gió, 200x200</t>
        </is>
      </c>
      <c r="C61" s="9" t="inlineStr">
        <is>
          <t>SDG+O</t>
        </is>
      </c>
      <c r="D61" s="9" t="inlineStr">
        <is>
          <t>SWIND</t>
        </is>
      </c>
      <c r="E61" s="9" t="n">
        <v>200</v>
      </c>
      <c r="F61" s="9" t="n">
        <v>200</v>
      </c>
      <c r="G61" s="9" t="n">
        <v>150</v>
      </c>
      <c r="H61" s="9" t="n">
        <v>150</v>
      </c>
      <c r="I61" s="9" t="n"/>
      <c r="J61" s="9" t="n"/>
      <c r="K61" s="9" t="n"/>
      <c r="L61" s="9" t="inlineStr">
        <is>
          <t>Bộ</t>
        </is>
      </c>
      <c r="M61" s="11" t="n">
        <v>18</v>
      </c>
      <c r="N61" s="11">
        <f>ROUND('00_TONG_HOP_BAO_GIA'!Q5, 0)</f>
        <v/>
      </c>
      <c r="O61" s="11">
        <f>ROUNDUP(N61*M61, -2)</f>
        <v/>
      </c>
      <c r="P61" s="10" t="inlineStr">
        <is>
          <t>Cửa nan bầu dục 1 lớp kèm van OBD. Không tính box do nhà thầu tự thi công</t>
        </is>
      </c>
    </row>
    <row r="62">
      <c r="A62" s="6" t="n">
        <v>6</v>
      </c>
      <c r="B62" s="7" t="inlineStr">
        <is>
          <t>Van gió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</row>
    <row r="63">
      <c r="A63" s="9" t="n"/>
      <c r="B63" s="10" t="inlineStr">
        <is>
          <t>Van chặn lửa, FD 150x150</t>
        </is>
      </c>
      <c r="C63" s="9" t="inlineStr">
        <is>
          <t>SWIND-2.01- E-FD-EI120</t>
        </is>
      </c>
      <c r="D63" s="9" t="inlineStr">
        <is>
          <t>SWIND</t>
        </is>
      </c>
      <c r="E63" s="9" t="n">
        <v>150</v>
      </c>
      <c r="F63" s="9" t="n">
        <v>150</v>
      </c>
      <c r="G63" s="9" t="n"/>
      <c r="H63" s="9" t="n"/>
      <c r="I63" s="9" t="n"/>
      <c r="J63" s="9" t="n">
        <v>200</v>
      </c>
      <c r="K63" s="13" t="n">
        <v>1.15</v>
      </c>
      <c r="L63" s="9" t="inlineStr">
        <is>
          <t>Bộ</t>
        </is>
      </c>
      <c r="M63" s="11" t="n">
        <v>18</v>
      </c>
      <c r="N63" s="11">
        <f>ROUND('00_TONG_HOP_BAO_GIA'!Q6, 0)</f>
        <v/>
      </c>
      <c r="O63" s="11">
        <f>ROUNDUP(N63*M63, -2)</f>
        <v/>
      </c>
      <c r="P63" s="10" t="inlineStr">
        <is>
          <t>- Van chặn lửa cầu chì - Tiêu chuẩn EI 120
- 2 đầu bích TDC - gắn cầu chì 70-74 độ C
- Sản xuất theo BCTN số: 4761/VLXD-TBMT</t>
        </is>
      </c>
    </row>
    <row r="64">
      <c r="A64" s="9" t="n"/>
      <c r="B64" s="10" t="inlineStr">
        <is>
          <t>Van chặn lửa, MFD 150x150</t>
        </is>
      </c>
      <c r="C64" s="9" t="inlineStr">
        <is>
          <t>SWIND-1.02-MFD-EI90</t>
        </is>
      </c>
      <c r="D64" s="9" t="inlineStr">
        <is>
          <t>SWIND</t>
        </is>
      </c>
      <c r="E64" s="9" t="n">
        <v>150</v>
      </c>
      <c r="F64" s="9" t="n">
        <v>150</v>
      </c>
      <c r="G64" s="9" t="n"/>
      <c r="H64" s="9" t="n"/>
      <c r="I64" s="9" t="n"/>
      <c r="J64" s="9" t="n">
        <v>200</v>
      </c>
      <c r="K64" s="13" t="n">
        <v>1.15</v>
      </c>
      <c r="L64" s="9" t="inlineStr">
        <is>
          <t>Bộ</t>
        </is>
      </c>
      <c r="M64" s="11" t="n">
        <v>18</v>
      </c>
      <c r="N64" s="11">
        <f>ROUND('00_TONG_HOP_BAO_GIA'!Q7, 0)</f>
        <v/>
      </c>
      <c r="O64" s="11">
        <f>ROUNDUP(N64*M64, -2)</f>
        <v/>
      </c>
      <c r="P64" s="10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</row>
    <row r="65">
      <c r="A65" s="9" t="n">
        <v>7</v>
      </c>
      <c r="B65" s="10" t="inlineStr">
        <is>
          <t>Bệ đỡ quạt trục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inlineStr">
        <is>
          <t>Bộ</t>
        </is>
      </c>
      <c r="M65" s="11" t="n">
        <v>2</v>
      </c>
      <c r="N65" s="12" t="n"/>
      <c r="O65" s="12" t="n"/>
      <c r="P65" s="10" t="n"/>
    </row>
    <row r="66">
      <c r="A66" s="9" t="n">
        <v>8</v>
      </c>
      <c r="B66" s="10" t="inlineStr">
        <is>
          <t>Giá đỡ ống gió</t>
        </is>
      </c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inlineStr">
        <is>
          <t>Lô</t>
        </is>
      </c>
      <c r="M66" s="11" t="n">
        <v>1</v>
      </c>
      <c r="N66" s="12" t="n"/>
      <c r="O66" s="12" t="n"/>
      <c r="P66" s="10" t="n"/>
    </row>
    <row r="67">
      <c r="A67" s="9" t="n">
        <v>9</v>
      </c>
      <c r="B67" s="10" t="inlineStr">
        <is>
          <t>Vật tư phụ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inlineStr">
        <is>
          <t>Lô</t>
        </is>
      </c>
      <c r="M67" s="11" t="n">
        <v>1</v>
      </c>
      <c r="N67" s="12" t="n"/>
      <c r="O67" s="12" t="n"/>
      <c r="P67" s="10" t="n"/>
    </row>
    <row r="68">
      <c r="A68" s="9" t="n"/>
      <c r="B68" s="10" t="inlineStr">
        <is>
          <t>CHI PHÍ CHẠY KIỂM TRA VÀ CHẠY THỬ HỆ THỐNG</t>
        </is>
      </c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inlineStr">
        <is>
          <t>LÔ</t>
        </is>
      </c>
      <c r="M68" s="11" t="n">
        <v>1</v>
      </c>
      <c r="N68" s="12" t="n"/>
      <c r="O68" s="12" t="n"/>
      <c r="P68" s="10" t="n"/>
    </row>
    <row r="70">
      <c r="B70" s="14" t="inlineStr">
        <is>
          <t>TỔNG CỘNG (CHƯA BAO GỒM VAT):</t>
        </is>
      </c>
      <c r="O70" s="15">
        <f>SUBTOTAL(9,O14:O68)</f>
        <v/>
      </c>
    </row>
    <row r="71">
      <c r="B71" s="14" t="inlineStr">
        <is>
          <t>THUẾ GTGT (VAT 8%):</t>
        </is>
      </c>
      <c r="O71" s="15">
        <f>ROUND(O70*0.08, 0)</f>
        <v/>
      </c>
    </row>
    <row r="72">
      <c r="B72" s="14" t="inlineStr">
        <is>
          <t>TỔNG CỘNG THANH TOÁN (ĐÃ GỒM VAT 8%):</t>
        </is>
      </c>
      <c r="O72" s="15">
        <f>O70+O71</f>
        <v/>
      </c>
    </row>
  </sheetData>
  <mergeCells count="25">
    <mergeCell ref="C3:P3"/>
    <mergeCell ref="A7:L7"/>
    <mergeCell ref="C11:C13"/>
    <mergeCell ref="O11:O13"/>
    <mergeCell ref="C5:P5"/>
    <mergeCell ref="C4:P4"/>
    <mergeCell ref="L11:L13"/>
    <mergeCell ref="A8:L8"/>
    <mergeCell ref="N11:N13"/>
    <mergeCell ref="E13:F13"/>
    <mergeCell ref="G13:H13"/>
    <mergeCell ref="I11:I13"/>
    <mergeCell ref="K11:K13"/>
    <mergeCell ref="C2:P2"/>
    <mergeCell ref="A6:P6"/>
    <mergeCell ref="A11:A13"/>
    <mergeCell ref="B11:B13"/>
    <mergeCell ref="M11:M13"/>
    <mergeCell ref="A9:L9"/>
    <mergeCell ref="C10:L10"/>
    <mergeCell ref="A10:B10"/>
    <mergeCell ref="D11:D13"/>
    <mergeCell ref="J11:J13"/>
    <mergeCell ref="P11:P13"/>
    <mergeCell ref="E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tabSelected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35" customWidth="1" min="4" max="4"/>
    <col width="1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 ht="28" customHeight="1">
      <c r="A1" s="16" t="inlineStr">
        <is>
          <t>STT</t>
        </is>
      </c>
      <c r="B1" s="16" t="inlineStr">
        <is>
          <t>ITEM_ID</t>
        </is>
      </c>
      <c r="C1" s="16" t="inlineStr">
        <is>
          <t>PHÂN NHÓM</t>
        </is>
      </c>
      <c r="D1" s="16" t="inlineStr">
        <is>
          <t>TÊN SẢN PHẨM</t>
        </is>
      </c>
      <c r="E1" s="16" t="inlineStr">
        <is>
          <t>QUY CÁCH (WxH)</t>
        </is>
      </c>
      <c r="F1" s="16" t="inlineStr">
        <is>
          <t>ĐVT</t>
        </is>
      </c>
      <c r="G1" s="16" t="inlineStr">
        <is>
          <t>SỐ LƯỢNG</t>
        </is>
      </c>
      <c r="H1" s="16" t="inlineStr">
        <is>
          <t>CP VẬT TƯ ỐNG</t>
        </is>
      </c>
      <c r="I1" s="16" t="inlineStr">
        <is>
          <t>CP VẬT TƯ CỬA</t>
        </is>
      </c>
      <c r="J1" s="16" t="inlineStr">
        <is>
          <t>CP VẬT TƯ VAN</t>
        </is>
      </c>
      <c r="K1" s="16" t="inlineStr">
        <is>
          <t>TỔNG CP VẬT TƯ</t>
        </is>
      </c>
      <c r="L1" s="16" t="inlineStr">
        <is>
          <t>NHÂN CÔNG (25%)</t>
        </is>
      </c>
      <c r="M1" s="16" t="inlineStr">
        <is>
          <t>CP XƯỞNG (10%)</t>
        </is>
      </c>
      <c r="N1" s="16" t="inlineStr">
        <is>
          <t>TỔNG GIÁ VỐN</t>
        </is>
      </c>
      <c r="O1" s="16" t="inlineStr">
        <is>
          <t>GIÁ VỐN / ĐVT</t>
        </is>
      </c>
      <c r="P1" s="16" t="inlineStr">
        <is>
          <t>MARGIN (%)</t>
        </is>
      </c>
      <c r="Q1" s="16" t="inlineStr">
        <is>
          <t>ĐƠN GIÁ BÁN</t>
        </is>
      </c>
      <c r="R1" s="16" t="inlineStr">
        <is>
          <t>THÀNH TIỀN (VNĐ)</t>
        </is>
      </c>
      <c r="S1" s="16" t="inlineStr">
        <is>
          <t>GHI CHÚ</t>
        </is>
      </c>
    </row>
    <row r="2">
      <c r="A2" t="n">
        <v>1</v>
      </c>
      <c r="B2" t="inlineStr">
        <is>
          <t>SW-DIFF-001</t>
        </is>
      </c>
      <c r="C2" t="inlineStr">
        <is>
          <t>CỬA GIÓ</t>
        </is>
      </c>
      <c r="D2" t="inlineStr">
        <is>
          <t>Cửa gió nan thẳng kèm van gió OBD &amp; hộp gió, 200x200</t>
        </is>
      </c>
      <c r="E2" t="inlineStr">
        <is>
          <t>200x200</t>
        </is>
      </c>
      <c r="F2" t="inlineStr">
        <is>
          <t>Bộ</t>
        </is>
      </c>
      <c r="G2" s="17" t="n">
        <v>36</v>
      </c>
      <c r="H2" s="17">
        <f>SUMIF('01_BOC_TACH_ONG'!$B$2:$B$5000, B2, '01_BOC_TACH_ONG'!$K$2:$K$5000)</f>
        <v/>
      </c>
      <c r="I2" s="17">
        <f>SUMIF('02_BOC_TACH_CUA'!$B$2:$B$5000, B2, '02_BOC_TACH_CUA'!$K$2:$K$5000)</f>
        <v/>
      </c>
      <c r="J2" s="17">
        <f>SUMIF('03_BOC_TACH_VAN'!$B$2:$B$5000, B2, '03_BOC_TACH_VAN'!$K$2:$K$5000)</f>
        <v/>
      </c>
      <c r="K2" s="17">
        <f>SUM(H2:J2)</f>
        <v/>
      </c>
      <c r="L2" s="17">
        <f>(K2-SUMIFS('03_BOC_TACH_VAN'!$K$2:$K$5000, '03_BOC_TACH_VAN'!$B$2:$B$5000, B2, '03_BOC_TACH_VAN'!$D$2:$D$5000, "ĐỘNG_CƠ_VÀ_CẢM_BIẾN"))*0.25</f>
        <v/>
      </c>
      <c r="M2" s="17">
        <f>(K2-SUMIFS('03_BOC_TACH_VAN'!$K$2:$K$5000, '03_BOC_TACH_VAN'!$B$2:$B$5000, B2, '03_BOC_TACH_VAN'!$D$2:$D$5000, "ĐỘNG_CƠ_VÀ_CẢM_BIẾN"))*0.10</f>
        <v/>
      </c>
      <c r="N2" s="17">
        <f>K2+L2+M2</f>
        <v/>
      </c>
      <c r="O2" s="17">
        <f>IF(G2&gt;0, N2/G2, 0)</f>
        <v/>
      </c>
      <c r="P2" s="18" t="n">
        <v>0.18</v>
      </c>
      <c r="Q2" s="17">
        <f>IF(G2&gt;0, ((N2-SUMIFS('03_BOC_TACH_VAN'!$K$2:$K$5000, '03_BOC_TACH_VAN'!$B$2:$B$5000, B2, '03_BOC_TACH_VAN'!$D$2:$D$5000, "ĐỘNG_CƠ_VÀ_CẢM_BIẾN"))*(1+P2)+SUMIFS('03_BOC_TACH_VAN'!$K$2:$K$5000, '03_BOC_TACH_VAN'!$B$2:$B$5000, B2, '03_BOC_TACH_VAN'!$D$2:$D$5000, "ĐỘNG_CƠ_VÀ_CẢM_BIẾN"))/G2, 0)</f>
        <v/>
      </c>
      <c r="R2" s="17">
        <f>G2*Q2</f>
        <v/>
      </c>
      <c r="S2" t="inlineStr">
        <is>
          <t>Cửa nan bầu dục 1 lớp kèm van OBD. Không tính box do nhà thầu tự thi công</t>
        </is>
      </c>
    </row>
    <row r="3">
      <c r="A3" t="n">
        <v>2</v>
      </c>
      <c r="B3" t="inlineStr">
        <is>
          <t>SW-DIFF-002</t>
        </is>
      </c>
      <c r="C3" t="inlineStr">
        <is>
          <t>CỬA GIÓ</t>
        </is>
      </c>
      <c r="D3" t="inlineStr">
        <is>
          <t>Cửa gió nan Z kèm lưới chắn côn trùng &amp; hộp gió, 500x200</t>
        </is>
      </c>
      <c r="E3" t="inlineStr">
        <is>
          <t>500x200</t>
        </is>
      </c>
      <c r="F3" t="inlineStr">
        <is>
          <t>Bộ</t>
        </is>
      </c>
      <c r="G3" s="17" t="n">
        <v>2</v>
      </c>
      <c r="H3" s="17">
        <f>SUMIF('01_BOC_TACH_ONG'!$B$2:$B$5000, B3, '01_BOC_TACH_ONG'!$K$2:$K$5000)</f>
        <v/>
      </c>
      <c r="I3" s="17">
        <f>SUMIF('02_BOC_TACH_CUA'!$B$2:$B$5000, B3, '02_BOC_TACH_CUA'!$K$2:$K$5000)</f>
        <v/>
      </c>
      <c r="J3" s="17">
        <f>SUMIF('03_BOC_TACH_VAN'!$B$2:$B$5000, B3, '03_BOC_TACH_VAN'!$K$2:$K$5000)</f>
        <v/>
      </c>
      <c r="K3" s="17">
        <f>SUM(H3:J3)</f>
        <v/>
      </c>
      <c r="L3" s="17">
        <f>(K3-SUMIFS('03_BOC_TACH_VAN'!$K$2:$K$5000, '03_BOC_TACH_VAN'!$B$2:$B$5000, B3, '03_BOC_TACH_VAN'!$D$2:$D$5000, "ĐỘNG_CƠ_VÀ_CẢM_BIẾN"))*0.25</f>
        <v/>
      </c>
      <c r="M3" s="17">
        <f>(K3-SUMIFS('03_BOC_TACH_VAN'!$K$2:$K$5000, '03_BOC_TACH_VAN'!$B$2:$B$5000, B3, '03_BOC_TACH_VAN'!$D$2:$D$5000, "ĐỘNG_CƠ_VÀ_CẢM_BIẾN"))*0.10</f>
        <v/>
      </c>
      <c r="N3" s="17">
        <f>K3+L3+M3</f>
        <v/>
      </c>
      <c r="O3" s="17">
        <f>IF(G3&gt;0, N3/G3, 0)</f>
        <v/>
      </c>
      <c r="P3" s="18" t="n">
        <v>0.18</v>
      </c>
      <c r="Q3" s="17">
        <f>IF(G3&gt;0, ((N3-SUMIFS('03_BOC_TACH_VAN'!$K$2:$K$5000, '03_BOC_TACH_VAN'!$B$2:$B$5000, B3, '03_BOC_TACH_VAN'!$D$2:$D$5000, "ĐỘNG_CƠ_VÀ_CẢM_BIẾN"))*(1+P3)+SUMIFS('03_BOC_TACH_VAN'!$K$2:$K$5000, '03_BOC_TACH_VAN'!$B$2:$B$5000, B3, '03_BOC_TACH_VAN'!$D$2:$D$5000, "ĐỘNG_CƠ_VÀ_CẢM_BIẾN"))/G3, 0)</f>
        <v/>
      </c>
      <c r="R3" s="17">
        <f>G3*Q3</f>
        <v/>
      </c>
      <c r="S3" t="inlineStr">
        <is>
          <t>Louver nan Z ngoài trời kèm lưới chắn côn trùng Inox 304. Không tính box do nhà thầu tự thi công</t>
        </is>
      </c>
    </row>
    <row r="4">
      <c r="A4" t="n">
        <v>3</v>
      </c>
      <c r="B4" t="inlineStr">
        <is>
          <t>SW-DAMPER-003</t>
        </is>
      </c>
      <c r="C4" t="inlineStr">
        <is>
          <t>VAN GIÓ</t>
        </is>
      </c>
      <c r="D4" t="inlineStr">
        <is>
          <t>Van gió Van chặn lửa, FD 200x200</t>
        </is>
      </c>
      <c r="E4" t="inlineStr">
        <is>
          <t>200x200</t>
        </is>
      </c>
      <c r="F4" t="inlineStr">
        <is>
          <t>Bộ</t>
        </is>
      </c>
      <c r="G4" s="17" t="n">
        <v>36</v>
      </c>
      <c r="H4" s="17">
        <f>SUMIF('01_BOC_TACH_ONG'!$B$2:$B$5000, B4, '01_BOC_TACH_ONG'!$K$2:$K$5000)</f>
        <v/>
      </c>
      <c r="I4" s="17">
        <f>SUMIF('02_BOC_TACH_CUA'!$B$2:$B$5000, B4, '02_BOC_TACH_CUA'!$K$2:$K$5000)</f>
        <v/>
      </c>
      <c r="J4" s="17">
        <f>SUMIF('03_BOC_TACH_VAN'!$B$2:$B$5000, B4, '03_BOC_TACH_VAN'!$K$2:$K$5000)</f>
        <v/>
      </c>
      <c r="K4" s="17">
        <f>SUM(H4:J4)</f>
        <v/>
      </c>
      <c r="L4" s="17">
        <f>(K4-SUMIFS('03_BOC_TACH_VAN'!$K$2:$K$5000, '03_BOC_TACH_VAN'!$B$2:$B$5000, B4, '03_BOC_TACH_VAN'!$D$2:$D$5000, "ĐỘNG_CƠ_VÀ_CẢM_BIẾN"))*0.25</f>
        <v/>
      </c>
      <c r="M4" s="17">
        <f>(K4-SUMIFS('03_BOC_TACH_VAN'!$K$2:$K$5000, '03_BOC_TACH_VAN'!$B$2:$B$5000, B4, '03_BOC_TACH_VAN'!$D$2:$D$5000, "ĐỘNG_CƠ_VÀ_CẢM_BIẾN"))*0.10</f>
        <v/>
      </c>
      <c r="N4" s="17">
        <f>K4+L4+M4</f>
        <v/>
      </c>
      <c r="O4" s="17">
        <f>IF(G4&gt;0, N4/G4, 0)</f>
        <v/>
      </c>
      <c r="P4" s="18" t="n">
        <v>0.18</v>
      </c>
      <c r="Q4" s="17">
        <f>IF(G4&gt;0, ((N4-SUMIFS('03_BOC_TACH_VAN'!$K$2:$K$5000, '03_BOC_TACH_VAN'!$B$2:$B$5000, B4, '03_BOC_TACH_VAN'!$D$2:$D$5000, "ĐỘNG_CƠ_VÀ_CẢM_BIẾN"))*(1+P4)+SUMIFS('03_BOC_TACH_VAN'!$K$2:$K$5000, '03_BOC_TACH_VAN'!$B$2:$B$5000, B4, '03_BOC_TACH_VAN'!$D$2:$D$5000, "ĐỘNG_CƠ_VÀ_CẢM_BIẾN"))/G4, 0)</f>
        <v/>
      </c>
      <c r="R4" s="17">
        <f>G4*Q4</f>
        <v/>
      </c>
      <c r="S4" t="inlineStr">
        <is>
          <t>- Van chặn lửa cầu chì - Tiêu chuẩn EI 120
- 2 đầu bích TDC - gắn cầu chì 70-74 độ C
- Sản xuất theo BCTN số: 4761/VLXD-TBMT</t>
        </is>
      </c>
    </row>
    <row r="5">
      <c r="A5" t="n">
        <v>4</v>
      </c>
      <c r="B5" t="inlineStr">
        <is>
          <t>SW-DIFF-004</t>
        </is>
      </c>
      <c r="C5" t="inlineStr">
        <is>
          <t>CỬA GIÓ</t>
        </is>
      </c>
      <c r="D5" t="inlineStr">
        <is>
          <t>Cửa gió nan thẳng kèm van gió OBD &amp; hộp gió, 200x200</t>
        </is>
      </c>
      <c r="E5" t="inlineStr">
        <is>
          <t>200x200</t>
        </is>
      </c>
      <c r="F5" t="inlineStr">
        <is>
          <t>Bộ</t>
        </is>
      </c>
      <c r="G5" s="17" t="n">
        <v>18</v>
      </c>
      <c r="H5" s="17">
        <f>SUMIF('01_BOC_TACH_ONG'!$B$2:$B$5000, B5, '01_BOC_TACH_ONG'!$K$2:$K$5000)</f>
        <v/>
      </c>
      <c r="I5" s="17">
        <f>SUMIF('02_BOC_TACH_CUA'!$B$2:$B$5000, B5, '02_BOC_TACH_CUA'!$K$2:$K$5000)</f>
        <v/>
      </c>
      <c r="J5" s="17">
        <f>SUMIF('03_BOC_TACH_VAN'!$B$2:$B$5000, B5, '03_BOC_TACH_VAN'!$K$2:$K$5000)</f>
        <v/>
      </c>
      <c r="K5" s="17">
        <f>SUM(H5:J5)</f>
        <v/>
      </c>
      <c r="L5" s="17">
        <f>(K5-SUMIFS('03_BOC_TACH_VAN'!$K$2:$K$5000, '03_BOC_TACH_VAN'!$B$2:$B$5000, B5, '03_BOC_TACH_VAN'!$D$2:$D$5000, "ĐỘNG_CƠ_VÀ_CẢM_BIẾN"))*0.25</f>
        <v/>
      </c>
      <c r="M5" s="17">
        <f>(K5-SUMIFS('03_BOC_TACH_VAN'!$K$2:$K$5000, '03_BOC_TACH_VAN'!$B$2:$B$5000, B5, '03_BOC_TACH_VAN'!$D$2:$D$5000, "ĐỘNG_CƠ_VÀ_CẢM_BIẾN"))*0.10</f>
        <v/>
      </c>
      <c r="N5" s="17">
        <f>K5+L5+M5</f>
        <v/>
      </c>
      <c r="O5" s="17">
        <f>IF(G5&gt;0, N5/G5, 0)</f>
        <v/>
      </c>
      <c r="P5" s="18" t="n">
        <v>0.18</v>
      </c>
      <c r="Q5" s="17">
        <f>IF(G5&gt;0, ((N5-SUMIFS('03_BOC_TACH_VAN'!$K$2:$K$5000, '03_BOC_TACH_VAN'!$B$2:$B$5000, B5, '03_BOC_TACH_VAN'!$D$2:$D$5000, "ĐỘNG_CƠ_VÀ_CẢM_BIẾN"))*(1+P5)+SUMIFS('03_BOC_TACH_VAN'!$K$2:$K$5000, '03_BOC_TACH_VAN'!$B$2:$B$5000, B5, '03_BOC_TACH_VAN'!$D$2:$D$5000, "ĐỘNG_CƠ_VÀ_CẢM_BIẾN"))/G5, 0)</f>
        <v/>
      </c>
      <c r="R5" s="17">
        <f>G5*Q5</f>
        <v/>
      </c>
      <c r="S5" t="inlineStr">
        <is>
          <t>Cửa nan bầu dục 1 lớp kèm van OBD. Không tính box do nhà thầu tự thi công</t>
        </is>
      </c>
    </row>
    <row r="6">
      <c r="A6" t="n">
        <v>5</v>
      </c>
      <c r="B6" t="inlineStr">
        <is>
          <t>SW-DAMPER-005</t>
        </is>
      </c>
      <c r="C6" t="inlineStr">
        <is>
          <t>VAN GIÓ</t>
        </is>
      </c>
      <c r="D6" t="inlineStr">
        <is>
          <t>Van gió Van chặn lửa, FD 150x150</t>
        </is>
      </c>
      <c r="E6" t="inlineStr">
        <is>
          <t>150x150</t>
        </is>
      </c>
      <c r="F6" t="inlineStr">
        <is>
          <t>Bộ</t>
        </is>
      </c>
      <c r="G6" s="17" t="n">
        <v>18</v>
      </c>
      <c r="H6" s="17">
        <f>SUMIF('01_BOC_TACH_ONG'!$B$2:$B$5000, B6, '01_BOC_TACH_ONG'!$K$2:$K$5000)</f>
        <v/>
      </c>
      <c r="I6" s="17">
        <f>SUMIF('02_BOC_TACH_CUA'!$B$2:$B$5000, B6, '02_BOC_TACH_CUA'!$K$2:$K$5000)</f>
        <v/>
      </c>
      <c r="J6" s="17">
        <f>SUMIF('03_BOC_TACH_VAN'!$B$2:$B$5000, B6, '03_BOC_TACH_VAN'!$K$2:$K$5000)</f>
        <v/>
      </c>
      <c r="K6" s="17">
        <f>SUM(H6:J6)</f>
        <v/>
      </c>
      <c r="L6" s="17">
        <f>(K6-SUMIFS('03_BOC_TACH_VAN'!$K$2:$K$5000, '03_BOC_TACH_VAN'!$B$2:$B$5000, B6, '03_BOC_TACH_VAN'!$D$2:$D$5000, "ĐỘNG_CƠ_VÀ_CẢM_BIẾN"))*0.25</f>
        <v/>
      </c>
      <c r="M6" s="17">
        <f>(K6-SUMIFS('03_BOC_TACH_VAN'!$K$2:$K$5000, '03_BOC_TACH_VAN'!$B$2:$B$5000, B6, '03_BOC_TACH_VAN'!$D$2:$D$5000, "ĐỘNG_CƠ_VÀ_CẢM_BIẾN"))*0.10</f>
        <v/>
      </c>
      <c r="N6" s="17">
        <f>K6+L6+M6</f>
        <v/>
      </c>
      <c r="O6" s="17">
        <f>IF(G6&gt;0, N6/G6, 0)</f>
        <v/>
      </c>
      <c r="P6" s="18" t="n">
        <v>0.18</v>
      </c>
      <c r="Q6" s="17">
        <f>IF(G6&gt;0, ((N6-SUMIFS('03_BOC_TACH_VAN'!$K$2:$K$5000, '03_BOC_TACH_VAN'!$B$2:$B$5000, B6, '03_BOC_TACH_VAN'!$D$2:$D$5000, "ĐỘNG_CƠ_VÀ_CẢM_BIẾN"))*(1+P6)+SUMIFS('03_BOC_TACH_VAN'!$K$2:$K$5000, '03_BOC_TACH_VAN'!$B$2:$B$5000, B6, '03_BOC_TACH_VAN'!$D$2:$D$5000, "ĐỘNG_CƠ_VÀ_CẢM_BIẾN"))/G6, 0)</f>
        <v/>
      </c>
      <c r="R6" s="17">
        <f>G6*Q6</f>
        <v/>
      </c>
      <c r="S6" t="inlineStr">
        <is>
          <t>- Van chặn lửa cầu chì - Tiêu chuẩn EI 120
- 2 đầu bích TDC - gắn cầu chì 70-74 độ C
- Sản xuất theo BCTN số: 4761/VLXD-TBMT</t>
        </is>
      </c>
    </row>
    <row r="7">
      <c r="A7" t="n">
        <v>6</v>
      </c>
      <c r="B7" t="inlineStr">
        <is>
          <t>SW-DAMPER-006</t>
        </is>
      </c>
      <c r="C7" t="inlineStr">
        <is>
          <t>VAN GIÓ</t>
        </is>
      </c>
      <c r="D7" t="inlineStr">
        <is>
          <t>Van gió Van chặn lửa, MFD 150x150</t>
        </is>
      </c>
      <c r="E7" t="inlineStr">
        <is>
          <t>150x150</t>
        </is>
      </c>
      <c r="F7" t="inlineStr">
        <is>
          <t>Bộ</t>
        </is>
      </c>
      <c r="G7" s="17" t="n">
        <v>18</v>
      </c>
      <c r="H7" s="17">
        <f>SUMIF('01_BOC_TACH_ONG'!$B$2:$B$5000, B7, '01_BOC_TACH_ONG'!$K$2:$K$5000)</f>
        <v/>
      </c>
      <c r="I7" s="17">
        <f>SUMIF('02_BOC_TACH_CUA'!$B$2:$B$5000, B7, '02_BOC_TACH_CUA'!$K$2:$K$5000)</f>
        <v/>
      </c>
      <c r="J7" s="17">
        <f>SUMIF('03_BOC_TACH_VAN'!$B$2:$B$5000, B7, '03_BOC_TACH_VAN'!$K$2:$K$5000)</f>
        <v/>
      </c>
      <c r="K7" s="17">
        <f>SUM(H7:J7)</f>
        <v/>
      </c>
      <c r="L7" s="17">
        <f>(K7-SUMIFS('03_BOC_TACH_VAN'!$K$2:$K$5000, '03_BOC_TACH_VAN'!$B$2:$B$5000, B7, '03_BOC_TACH_VAN'!$D$2:$D$5000, "ĐỘNG_CƠ_VÀ_CẢM_BIẾN"))*0.25</f>
        <v/>
      </c>
      <c r="M7" s="17">
        <f>(K7-SUMIFS('03_BOC_TACH_VAN'!$K$2:$K$5000, '03_BOC_TACH_VAN'!$B$2:$B$5000, B7, '03_BOC_TACH_VAN'!$D$2:$D$5000, "ĐỘNG_CƠ_VÀ_CẢM_BIẾN"))*0.10</f>
        <v/>
      </c>
      <c r="N7" s="17">
        <f>K7+L7+M7</f>
        <v/>
      </c>
      <c r="O7" s="17">
        <f>IF(G7&gt;0, N7/G7, 0)</f>
        <v/>
      </c>
      <c r="P7" s="18" t="n">
        <v>0.18</v>
      </c>
      <c r="Q7" s="17">
        <f>IF(G7&gt;0, ((N7-SUMIFS('03_BOC_TACH_VAN'!$K$2:$K$5000, '03_BOC_TACH_VAN'!$B$2:$B$5000, B7, '03_BOC_TACH_VAN'!$D$2:$D$5000, "ĐỘNG_CƠ_VÀ_CẢM_BIẾN"))*(1+P7)+SUMIFS('03_BOC_TACH_VAN'!$K$2:$K$5000, '03_BOC_TACH_VAN'!$B$2:$B$5000, B7, '03_BOC_TACH_VAN'!$D$2:$D$5000, "ĐỘNG_CƠ_VÀ_CẢM_BIẾN"))/G7, 0)</f>
        <v/>
      </c>
      <c r="R7" s="17">
        <f>G7*Q7</f>
        <v/>
      </c>
      <c r="S7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</row>
    <row r="8">
      <c r="A8" s="19" t="inlineStr">
        <is>
          <t>TỔNG CỘNG</t>
        </is>
      </c>
      <c r="H8" s="20">
        <f>SUM(H2:H7)</f>
        <v/>
      </c>
      <c r="I8" s="20">
        <f>SUM(I2:I7)</f>
        <v/>
      </c>
      <c r="J8" s="20">
        <f>SUM(J2:J7)</f>
        <v/>
      </c>
      <c r="K8" s="20">
        <f>SUM(K2:K7)</f>
        <v/>
      </c>
      <c r="L8" s="20">
        <f>SUM(L2:L7)</f>
        <v/>
      </c>
      <c r="M8" s="20">
        <f>SUM(M2:M7)</f>
        <v/>
      </c>
      <c r="N8" s="20">
        <f>SUM(N2:N7)</f>
        <v/>
      </c>
      <c r="R8" s="20">
        <f>SUM(R2:R7)</f>
        <v/>
      </c>
    </row>
  </sheetData>
  <mergeCells count="1">
    <mergeCell ref="A8:F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tabSelected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5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16" t="inlineStr">
        <is>
          <t>SUB_KEY</t>
        </is>
      </c>
      <c r="B1" s="16" t="inlineStr">
        <is>
          <t>PARENT_ITEM_ID</t>
        </is>
      </c>
      <c r="C1" s="16" t="inlineStr">
        <is>
          <t>TÊN CẤU KIỆN</t>
        </is>
      </c>
      <c r="D1" s="16" t="inlineStr">
        <is>
          <t>PHÂN LOẠI</t>
        </is>
      </c>
      <c r="E1" s="16" t="inlineStr">
        <is>
          <t>MÃ VẬT TƯ (MAT_ID)</t>
        </is>
      </c>
      <c r="F1" s="16" t="inlineStr">
        <is>
          <t>ĐVT</t>
        </is>
      </c>
      <c r="G1" s="16" t="inlineStr">
        <is>
          <t>ĐỊNH MỨC / 1 SP</t>
        </is>
      </c>
      <c r="H1" s="16" t="inlineStr">
        <is>
          <t>SL DỰ ÁN</t>
        </is>
      </c>
      <c r="I1" s="16" t="inlineStr">
        <is>
          <t>TỔNG NHU CẦU</t>
        </is>
      </c>
      <c r="J1" s="16" t="inlineStr">
        <is>
          <t>ĐƠN GIÁ GỐC</t>
        </is>
      </c>
      <c r="K1" s="16" t="inlineStr">
        <is>
          <t>THÀNH TIỀN (VNĐ)</t>
        </is>
      </c>
      <c r="L1" s="16" t="inlineStr">
        <is>
          <t>GHI CHÚ KỸ THUẬT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"/>
  <sheetViews>
    <sheetView tabSelected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5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16" t="inlineStr">
        <is>
          <t>SUB_KEY</t>
        </is>
      </c>
      <c r="B1" s="16" t="inlineStr">
        <is>
          <t>PARENT_ITEM_ID</t>
        </is>
      </c>
      <c r="C1" s="16" t="inlineStr">
        <is>
          <t>TÊN CẤU KIỆN</t>
        </is>
      </c>
      <c r="D1" s="16" t="inlineStr">
        <is>
          <t>PHÂN LOẠI</t>
        </is>
      </c>
      <c r="E1" s="16" t="inlineStr">
        <is>
          <t>MÃ VẬT TƯ (MAT_ID)</t>
        </is>
      </c>
      <c r="F1" s="16" t="inlineStr">
        <is>
          <t>ĐVT</t>
        </is>
      </c>
      <c r="G1" s="16" t="inlineStr">
        <is>
          <t>ĐỊNH MỨC / 1 SP</t>
        </is>
      </c>
      <c r="H1" s="16" t="inlineStr">
        <is>
          <t>SL DỰ ÁN</t>
        </is>
      </c>
      <c r="I1" s="16" t="inlineStr">
        <is>
          <t>TỔNG NHU CẦU</t>
        </is>
      </c>
      <c r="J1" s="16" t="inlineStr">
        <is>
          <t>ĐƠN GIÁ GỐC</t>
        </is>
      </c>
      <c r="K1" s="16" t="inlineStr">
        <is>
          <t>THÀNH TIỀN (VNĐ)</t>
        </is>
      </c>
      <c r="L1" s="16" t="inlineStr">
        <is>
          <t>GHI CHÚ KỸ THUẬT</t>
        </is>
      </c>
    </row>
    <row r="2">
      <c r="A2" t="inlineStr">
        <is>
          <t>SW-DIFF-001-FRAME</t>
        </is>
      </c>
      <c r="B2" t="inlineStr">
        <is>
          <t>SW-DIFF-001</t>
        </is>
      </c>
      <c r="C2" t="inlineStr">
        <is>
          <t>Khung nhôm định hình (1 lớp BD)</t>
        </is>
      </c>
      <c r="D2" t="inlineStr">
        <is>
          <t>NHÔM_ĐỊNH_HÌNH</t>
        </is>
      </c>
      <c r="E2" t="inlineStr">
        <is>
          <t>MAT-ALU-KHUNG-BD</t>
        </is>
      </c>
      <c r="F2" t="inlineStr">
        <is>
          <t>kg</t>
        </is>
      </c>
      <c r="G2" s="21" t="n">
        <v>0.1668338952879128</v>
      </c>
      <c r="H2" s="17">
        <f>'00_TONG_HOP_BAO_GIA'!G2</f>
        <v/>
      </c>
      <c r="I2" s="22">
        <f>G2*H2</f>
        <v/>
      </c>
      <c r="J2" s="17">
        <f>IFERROR(INDEX('06_BANG_GIA_VAT_TU_AP_DUNG'!$E$1:$E$5000, MATCH(E2, '06_BANG_GIA_VAT_TU_AP_DUNG'!$B$1:$B$5000, 0)), 0)</f>
        <v/>
      </c>
      <c r="K2" s="17">
        <f>I2*J2</f>
        <v/>
      </c>
      <c r="L2" t="inlineStr">
        <is>
          <t>Khung bao 200x200mm (cổ 150x150mm)</t>
        </is>
      </c>
    </row>
    <row r="3">
      <c r="A3" t="inlineStr">
        <is>
          <t>SW-DIFF-001-BLADE</t>
        </is>
      </c>
      <c r="B3" t="inlineStr">
        <is>
          <t>SW-DIFF-001</t>
        </is>
      </c>
      <c r="C3" t="inlineStr">
        <is>
          <t>Nan nhôm bầu dục (7 nan)</t>
        </is>
      </c>
      <c r="D3" t="inlineStr">
        <is>
          <t>NHÔM_ĐỊNH_HÌNH</t>
        </is>
      </c>
      <c r="E3" t="inlineStr">
        <is>
          <t>MAT-ALU-NAN-BD</t>
        </is>
      </c>
      <c r="F3" t="inlineStr">
        <is>
          <t>kg</t>
        </is>
      </c>
      <c r="G3" s="21" t="n">
        <v>0.0628724271227345</v>
      </c>
      <c r="H3" s="17">
        <f>'00_TONG_HOP_BAO_GIA'!G2</f>
        <v/>
      </c>
      <c r="I3" s="22">
        <f>G3*H3</f>
        <v/>
      </c>
      <c r="J3" s="17">
        <f>IFERROR(INDEX('06_BANG_GIA_VAT_TU_AP_DUNG'!$E$1:$E$5000, MATCH(E3, '06_BANG_GIA_VAT_TU_AP_DUNG'!$B$1:$B$5000, 0)), 0)</f>
        <v/>
      </c>
      <c r="K3" s="17">
        <f>I3*J3</f>
        <v/>
      </c>
      <c r="L3" t="inlineStr">
        <is>
          <t>Nan bầu dục @ 0.058kg/m</t>
        </is>
      </c>
    </row>
    <row r="4">
      <c r="A4" t="inlineStr">
        <is>
          <t>SW-DIFF-001-ACCESSORY</t>
        </is>
      </c>
      <c r="B4" t="inlineStr">
        <is>
          <t>SW-DIFF-001</t>
        </is>
      </c>
      <c r="C4" t="inlineStr">
        <is>
          <t>Phụ kiện lắp ghép / Ke góc cửa gió</t>
        </is>
      </c>
      <c r="D4" t="inlineStr">
        <is>
          <t>PHỤ_KIỆN_CỬA</t>
        </is>
      </c>
      <c r="E4" t="inlineStr">
        <is>
          <t>MAT-DOOR-ACCESSORY</t>
        </is>
      </c>
      <c r="F4" t="inlineStr">
        <is>
          <t>Bộ</t>
        </is>
      </c>
      <c r="G4" s="21" t="n">
        <v>0.0312719700213392</v>
      </c>
      <c r="H4" s="17">
        <f>'00_TONG_HOP_BAO_GIA'!G2</f>
        <v/>
      </c>
      <c r="I4" s="22">
        <f>G4*H4</f>
        <v/>
      </c>
      <c r="J4" s="17">
        <f>IFERROR(INDEX('06_BANG_GIA_VAT_TU_AP_DUNG'!$E$1:$E$5000, MATCH(E4, '06_BANG_GIA_VAT_TU_AP_DUNG'!$B$1:$B$5000, 0)), 0)</f>
        <v/>
      </c>
      <c r="K4" s="17">
        <f>I4*J4</f>
        <v/>
      </c>
      <c r="L4" t="inlineStr">
        <is>
          <t>4 ke góc chìm và vít ghép khung</t>
        </is>
      </c>
    </row>
    <row r="5">
      <c r="A5" t="inlineStr">
        <is>
          <t>SW-DIFF-001-PAINT</t>
        </is>
      </c>
      <c r="B5" t="inlineStr">
        <is>
          <t>SW-DIFF-001</t>
        </is>
      </c>
      <c r="C5" t="inlineStr">
        <is>
          <t>Sơn tĩnh điện tiêu chuẩn Polyester</t>
        </is>
      </c>
      <c r="D5" t="inlineStr">
        <is>
          <t>SƠN_TĨNH_ĐIỆN</t>
        </is>
      </c>
      <c r="E5" t="inlineStr">
        <is>
          <t>MAT-PAINT-POWDER</t>
        </is>
      </c>
      <c r="F5" t="inlineStr">
        <is>
          <t>m2</t>
        </is>
      </c>
      <c r="G5" s="21" t="n">
        <v>0.04307648173023464</v>
      </c>
      <c r="H5" s="17">
        <f>'00_TONG_HOP_BAO_GIA'!G2</f>
        <v/>
      </c>
      <c r="I5" s="22">
        <f>G5*H5</f>
        <v/>
      </c>
      <c r="J5" s="17">
        <f>IFERROR(INDEX('06_BANG_GIA_VAT_TU_AP_DUNG'!$E$1:$E$5000, MATCH(E5, '06_BANG_GIA_VAT_TU_AP_DUNG'!$B$1:$B$5000, 0)), 0)</f>
        <v/>
      </c>
      <c r="K5" s="17">
        <f>I5*J5</f>
        <v/>
      </c>
      <c r="L5" t="inlineStr">
        <is>
          <t>Sơn tĩnh điện hoàn thiện</t>
        </is>
      </c>
    </row>
    <row r="6">
      <c r="A6" t="inlineStr">
        <is>
          <t>SW-DIFF-001-OBD-FRAME</t>
        </is>
      </c>
      <c r="B6" t="inlineStr">
        <is>
          <t>SW-DIFF-001</t>
        </is>
      </c>
      <c r="C6" t="inlineStr">
        <is>
          <t>Khung nhôm van OBD gắn cửa (SOBD)</t>
        </is>
      </c>
      <c r="D6" t="inlineStr">
        <is>
          <t>NHÔM_ĐỊNH_HÌNH</t>
        </is>
      </c>
      <c r="E6" t="inlineStr">
        <is>
          <t>MAT-ALU-KHUNG-OBD</t>
        </is>
      </c>
      <c r="F6" t="inlineStr">
        <is>
          <t>kg</t>
        </is>
      </c>
      <c r="G6" s="21" t="n">
        <v>0.08230553030583942</v>
      </c>
      <c r="H6" s="17">
        <f>'00_TONG_HOP_BAO_GIA'!G2</f>
        <v/>
      </c>
      <c r="I6" s="22">
        <f>G6*H6</f>
        <v/>
      </c>
      <c r="J6" s="17">
        <f>IFERROR(INDEX('06_BANG_GIA_VAT_TU_AP_DUNG'!$E$1:$E$5000, MATCH(E6, '06_BANG_GIA_VAT_TU_AP_DUNG'!$B$1:$B$5000, 0)), 0)</f>
        <v/>
      </c>
      <c r="K6" s="17">
        <f>I6*J6</f>
        <v/>
      </c>
      <c r="L6" t="inlineStr">
        <is>
          <t>Khung OBD 150x150mm</t>
        </is>
      </c>
    </row>
    <row r="7">
      <c r="A7" t="inlineStr">
        <is>
          <t>SW-DIFF-001-OBD-BLADE</t>
        </is>
      </c>
      <c r="B7" t="inlineStr">
        <is>
          <t>SW-DIFF-001</t>
        </is>
      </c>
      <c r="C7" t="inlineStr">
        <is>
          <t>Nan nhôm &amp; thanh truyền van OBD (SOBD)</t>
        </is>
      </c>
      <c r="D7" t="inlineStr">
        <is>
          <t>NHÔM_ĐỊNH_HÌNH</t>
        </is>
      </c>
      <c r="E7" t="inlineStr">
        <is>
          <t>MAT-ALU-NAN-OBD</t>
        </is>
      </c>
      <c r="F7" t="inlineStr">
        <is>
          <t>kg</t>
        </is>
      </c>
      <c r="G7" s="21" t="n">
        <v>0.04883635105172434</v>
      </c>
      <c r="H7" s="17">
        <f>'00_TONG_HOP_BAO_GIA'!G2</f>
        <v/>
      </c>
      <c r="I7" s="22">
        <f>G7*H7</f>
        <v/>
      </c>
      <c r="J7" s="17">
        <f>IFERROR(INDEX('06_BANG_GIA_VAT_TU_AP_DUNG'!$E$1:$E$5000, MATCH(E7, '06_BANG_GIA_VAT_TU_AP_DUNG'!$B$1:$B$5000, 0)), 0)</f>
        <v/>
      </c>
      <c r="K7" s="17">
        <f>I7*J7</f>
        <v/>
      </c>
      <c r="L7" t="inlineStr">
        <is>
          <t>Nan OBD đối xứng &amp; thanh liên kết</t>
        </is>
      </c>
    </row>
    <row r="8">
      <c r="A8" t="inlineStr">
        <is>
          <t>SW-DIFF-001-OBD-ACC</t>
        </is>
      </c>
      <c r="B8" t="inlineStr">
        <is>
          <t>SW-DIFF-001</t>
        </is>
      </c>
      <c r="C8" t="inlineStr">
        <is>
          <t>Bánh răng nhựa &amp; phụ kiện van OBD</t>
        </is>
      </c>
      <c r="D8" t="inlineStr">
        <is>
          <t>PHỤ_KIỆN_CỬA</t>
        </is>
      </c>
      <c r="E8" t="inlineStr">
        <is>
          <t>MAT-DOOR-ACCESSORY</t>
        </is>
      </c>
      <c r="F8" t="inlineStr">
        <is>
          <t>Bộ</t>
        </is>
      </c>
      <c r="G8" s="21" t="n">
        <v>0.5111990265182811</v>
      </c>
      <c r="H8" s="17">
        <f>'00_TONG_HOP_BAO_GIA'!G2</f>
        <v/>
      </c>
      <c r="I8" s="22">
        <f>G8*H8</f>
        <v/>
      </c>
      <c r="J8" s="17">
        <f>IFERROR(INDEX('06_BANG_GIA_VAT_TU_AP_DUNG'!$E$1:$E$5000, MATCH(E8, '06_BANG_GIA_VAT_TU_AP_DUNG'!$B$1:$B$5000, 0)), 0)</f>
        <v/>
      </c>
      <c r="K8" s="17">
        <f>I8*J8</f>
        <v/>
      </c>
      <c r="L8" t="inlineStr">
        <is>
          <t>Cơ cấu bánh răng đóng mở OBD</t>
        </is>
      </c>
    </row>
    <row r="9">
      <c r="A9" t="inlineStr">
        <is>
          <t>SW-DIFF-002-FRAME</t>
        </is>
      </c>
      <c r="B9" t="inlineStr">
        <is>
          <t>SW-DIFF-002</t>
        </is>
      </c>
      <c r="C9" t="inlineStr">
        <is>
          <t>Khung nhôm định hình Louver (SWL)</t>
        </is>
      </c>
      <c r="D9" t="inlineStr">
        <is>
          <t>NHÔM_ĐỊNH_HÌNH</t>
        </is>
      </c>
      <c r="E9" t="inlineStr">
        <is>
          <t>MAT-ALU-KHUNG-Z-2-LOP</t>
        </is>
      </c>
      <c r="F9" t="inlineStr">
        <is>
          <t>kg</t>
        </is>
      </c>
      <c r="G9" s="21" t="n">
        <v>0.3273817820696147</v>
      </c>
      <c r="H9" s="17">
        <f>'00_TONG_HOP_BAO_GIA'!G3</f>
        <v/>
      </c>
      <c r="I9" s="22">
        <f>G9*H9</f>
        <v/>
      </c>
      <c r="J9" s="17">
        <f>IFERROR(INDEX('06_BANG_GIA_VAT_TU_AP_DUNG'!$E$1:$E$5000, MATCH(E9, '06_BANG_GIA_VAT_TU_AP_DUNG'!$B$1:$B$5000, 0)), 0)</f>
        <v/>
      </c>
      <c r="K9" s="17">
        <f>I9*J9</f>
        <v/>
      </c>
      <c r="L9" t="inlineStr">
        <is>
          <t>Khung Louver phủ bì 500x200mm</t>
        </is>
      </c>
    </row>
    <row r="10">
      <c r="A10" t="inlineStr">
        <is>
          <t>SW-DIFF-002-BLADE</t>
        </is>
      </c>
      <c r="B10" t="inlineStr">
        <is>
          <t>SW-DIFF-002</t>
        </is>
      </c>
      <c r="C10" t="inlineStr">
        <is>
          <t>Nan Z Louver &amp; thanh tăng cứng (3 nan)</t>
        </is>
      </c>
      <c r="D10" t="inlineStr">
        <is>
          <t>NHÔM_ĐỊNH_HÌNH</t>
        </is>
      </c>
      <c r="E10" t="inlineStr">
        <is>
          <t>MAT-ALU-NAN-Z-DAY</t>
        </is>
      </c>
      <c r="F10" t="inlineStr">
        <is>
          <t>kg</t>
        </is>
      </c>
      <c r="G10" s="21" t="n">
        <v>0.3313375594237599</v>
      </c>
      <c r="H10" s="17">
        <f>'00_TONG_HOP_BAO_GIA'!G3</f>
        <v/>
      </c>
      <c r="I10" s="22">
        <f>G10*H10</f>
        <v/>
      </c>
      <c r="J10" s="17">
        <f>IFERROR(INDEX('06_BANG_GIA_VAT_TU_AP_DUNG'!$E$1:$E$5000, MATCH(E10, '06_BANG_GIA_VAT_TU_AP_DUNG'!$B$1:$B$5000, 0)), 0)</f>
        <v/>
      </c>
      <c r="K10" s="17">
        <f>I10*J10</f>
        <v/>
      </c>
      <c r="L10" t="inlineStr">
        <is>
          <t>3 nan Z dày @ 0.217kg/m + thanh giằng</t>
        </is>
      </c>
    </row>
    <row r="11">
      <c r="A11" t="inlineStr">
        <is>
          <t>SW-DIFF-002-ACCESSORY</t>
        </is>
      </c>
      <c r="B11" t="inlineStr">
        <is>
          <t>SW-DIFF-002</t>
        </is>
      </c>
      <c r="C11" t="inlineStr">
        <is>
          <t>Phụ kiện lắp ghép / Ke góc cửa gió</t>
        </is>
      </c>
      <c r="D11" t="inlineStr">
        <is>
          <t>PHỤ_KIỆN_CỬA</t>
        </is>
      </c>
      <c r="E11" t="inlineStr">
        <is>
          <t>MAT-DOOR-ACCESSORY</t>
        </is>
      </c>
      <c r="F11" t="inlineStr">
        <is>
          <t>Bộ</t>
        </is>
      </c>
      <c r="G11" s="21" t="n">
        <v>0.02674644915586761</v>
      </c>
      <c r="H11" s="17">
        <f>'00_TONG_HOP_BAO_GIA'!G3</f>
        <v/>
      </c>
      <c r="I11" s="22">
        <f>G11*H11</f>
        <v/>
      </c>
      <c r="J11" s="17">
        <f>IFERROR(INDEX('06_BANG_GIA_VAT_TU_AP_DUNG'!$E$1:$E$5000, MATCH(E11, '06_BANG_GIA_VAT_TU_AP_DUNG'!$B$1:$B$5000, 0)), 0)</f>
        <v/>
      </c>
      <c r="K11" s="17">
        <f>I11*J11</f>
        <v/>
      </c>
      <c r="L11" t="inlineStr">
        <is>
          <t>Ke góc và vít ghép khung Louver</t>
        </is>
      </c>
    </row>
    <row r="12">
      <c r="A12" t="inlineStr">
        <is>
          <t>SW-DIFF-002-PAINT</t>
        </is>
      </c>
      <c r="B12" t="inlineStr">
        <is>
          <t>SW-DIFF-002</t>
        </is>
      </c>
      <c r="C12" t="inlineStr">
        <is>
          <t>Sơn tĩnh điện tiêu chuẩn Polyester</t>
        </is>
      </c>
      <c r="D12" t="inlineStr">
        <is>
          <t>SƠN_TĨNH_ĐIỆN</t>
        </is>
      </c>
      <c r="E12" t="inlineStr">
        <is>
          <t>MAT-PAINT-POWDER</t>
        </is>
      </c>
      <c r="F12" t="inlineStr">
        <is>
          <t>m2</t>
        </is>
      </c>
      <c r="G12" s="21" t="n">
        <v>0.1267550936309133</v>
      </c>
      <c r="H12" s="17">
        <f>'00_TONG_HOP_BAO_GIA'!G3</f>
        <v/>
      </c>
      <c r="I12" s="22">
        <f>G12*H12</f>
        <v/>
      </c>
      <c r="J12" s="17">
        <f>IFERROR(INDEX('06_BANG_GIA_VAT_TU_AP_DUNG'!$E$1:$E$5000, MATCH(E12, '06_BANG_GIA_VAT_TU_AP_DUNG'!$B$1:$B$5000, 0)), 0)</f>
        <v/>
      </c>
      <c r="K12" s="17">
        <f>I12*J12</f>
        <v/>
      </c>
      <c r="L12" t="inlineStr">
        <is>
          <t>Sơn tĩnh điện khung và nan Louver</t>
        </is>
      </c>
    </row>
    <row r="13">
      <c r="A13" t="inlineStr">
        <is>
          <t>SW-DIFF-002-MESH</t>
        </is>
      </c>
      <c r="B13" t="inlineStr">
        <is>
          <t>SW-DIFF-002</t>
        </is>
      </c>
      <c r="C13" t="inlineStr">
        <is>
          <t>Lưới chắn côn trùng Inox 304 (LCCT)</t>
        </is>
      </c>
      <c r="D13" t="inlineStr">
        <is>
          <t>PHỤ_KIỆN_CỬA</t>
        </is>
      </c>
      <c r="E13" t="inlineStr">
        <is>
          <t>MAT-MESH-INOX-304</t>
        </is>
      </c>
      <c r="F13" t="inlineStr">
        <is>
          <t>m2</t>
        </is>
      </c>
      <c r="G13" s="21" t="n">
        <v>0.04184975936388366</v>
      </c>
      <c r="H13" s="17">
        <f>'00_TONG_HOP_BAO_GIA'!G3</f>
        <v/>
      </c>
      <c r="I13" s="22">
        <f>G13*H13</f>
        <v/>
      </c>
      <c r="J13" s="17">
        <f>IFERROR(INDEX('06_BANG_GIA_VAT_TU_AP_DUNG'!$E$1:$E$5000, MATCH(E13, '06_BANG_GIA_VAT_TU_AP_DUNG'!$B$1:$B$5000, 0)), 0)</f>
        <v/>
      </c>
      <c r="K13" s="17">
        <f>I13*J13</f>
        <v/>
      </c>
      <c r="L13" t="inlineStr">
        <is>
          <t>Lưới chắn côn trùng cổ 450x150mm</t>
        </is>
      </c>
    </row>
    <row r="14">
      <c r="A14" t="inlineStr">
        <is>
          <t>SW-DIFF-004-FRAME</t>
        </is>
      </c>
      <c r="B14" t="inlineStr">
        <is>
          <t>SW-DIFF-004</t>
        </is>
      </c>
      <c r="C14" t="inlineStr">
        <is>
          <t>Khung nhôm định hình (1 lớp BD)</t>
        </is>
      </c>
      <c r="D14" t="inlineStr">
        <is>
          <t>NHÔM_ĐỊNH_HÌNH</t>
        </is>
      </c>
      <c r="E14" t="inlineStr">
        <is>
          <t>MAT-ALU-KHUNG-BD</t>
        </is>
      </c>
      <c r="F14" t="inlineStr">
        <is>
          <t>kg</t>
        </is>
      </c>
      <c r="G14" s="21" t="n">
        <v>0.1668338952879128</v>
      </c>
      <c r="H14" s="17">
        <f>'00_TONG_HOP_BAO_GIA'!G5</f>
        <v/>
      </c>
      <c r="I14" s="22">
        <f>G14*H14</f>
        <v/>
      </c>
      <c r="J14" s="17">
        <f>IFERROR(INDEX('06_BANG_GIA_VAT_TU_AP_DUNG'!$E$1:$E$5000, MATCH(E14, '06_BANG_GIA_VAT_TU_AP_DUNG'!$B$1:$B$5000, 0)), 0)</f>
        <v/>
      </c>
      <c r="K14" s="17">
        <f>I14*J14</f>
        <v/>
      </c>
      <c r="L14" t="inlineStr">
        <is>
          <t>Khung bao 200x200mm (cổ 150x150mm)</t>
        </is>
      </c>
    </row>
    <row r="15">
      <c r="A15" t="inlineStr">
        <is>
          <t>SW-DIFF-004-BLADE</t>
        </is>
      </c>
      <c r="B15" t="inlineStr">
        <is>
          <t>SW-DIFF-004</t>
        </is>
      </c>
      <c r="C15" t="inlineStr">
        <is>
          <t>Nan nhôm bầu dục (7 nan)</t>
        </is>
      </c>
      <c r="D15" t="inlineStr">
        <is>
          <t>NHÔM_ĐỊNH_HÌNH</t>
        </is>
      </c>
      <c r="E15" t="inlineStr">
        <is>
          <t>MAT-ALU-NAN-BD</t>
        </is>
      </c>
      <c r="F15" t="inlineStr">
        <is>
          <t>kg</t>
        </is>
      </c>
      <c r="G15" s="21" t="n">
        <v>0.0628724271227345</v>
      </c>
      <c r="H15" s="17">
        <f>'00_TONG_HOP_BAO_GIA'!G5</f>
        <v/>
      </c>
      <c r="I15" s="22">
        <f>G15*H15</f>
        <v/>
      </c>
      <c r="J15" s="17">
        <f>IFERROR(INDEX('06_BANG_GIA_VAT_TU_AP_DUNG'!$E$1:$E$5000, MATCH(E15, '06_BANG_GIA_VAT_TU_AP_DUNG'!$B$1:$B$5000, 0)), 0)</f>
        <v/>
      </c>
      <c r="K15" s="17">
        <f>I15*J15</f>
        <v/>
      </c>
      <c r="L15" t="inlineStr">
        <is>
          <t>Nan bầu dục @ 0.058kg/m</t>
        </is>
      </c>
    </row>
    <row r="16">
      <c r="A16" t="inlineStr">
        <is>
          <t>SW-DIFF-004-ACCESSORY</t>
        </is>
      </c>
      <c r="B16" t="inlineStr">
        <is>
          <t>SW-DIFF-004</t>
        </is>
      </c>
      <c r="C16" t="inlineStr">
        <is>
          <t>Phụ kiện lắp ghép / Ke góc cửa gió</t>
        </is>
      </c>
      <c r="D16" t="inlineStr">
        <is>
          <t>PHỤ_KIỆN_CỬA</t>
        </is>
      </c>
      <c r="E16" t="inlineStr">
        <is>
          <t>MAT-DOOR-ACCESSORY</t>
        </is>
      </c>
      <c r="F16" t="inlineStr">
        <is>
          <t>Bộ</t>
        </is>
      </c>
      <c r="G16" s="21" t="n">
        <v>0.0312719700213392</v>
      </c>
      <c r="H16" s="17">
        <f>'00_TONG_HOP_BAO_GIA'!G5</f>
        <v/>
      </c>
      <c r="I16" s="22">
        <f>G16*H16</f>
        <v/>
      </c>
      <c r="J16" s="17">
        <f>IFERROR(INDEX('06_BANG_GIA_VAT_TU_AP_DUNG'!$E$1:$E$5000, MATCH(E16, '06_BANG_GIA_VAT_TU_AP_DUNG'!$B$1:$B$5000, 0)), 0)</f>
        <v/>
      </c>
      <c r="K16" s="17">
        <f>I16*J16</f>
        <v/>
      </c>
      <c r="L16" t="inlineStr">
        <is>
          <t>4 ke góc chìm và vít ghép khung</t>
        </is>
      </c>
    </row>
    <row r="17">
      <c r="A17" t="inlineStr">
        <is>
          <t>SW-DIFF-004-PAINT</t>
        </is>
      </c>
      <c r="B17" t="inlineStr">
        <is>
          <t>SW-DIFF-004</t>
        </is>
      </c>
      <c r="C17" t="inlineStr">
        <is>
          <t>Sơn tĩnh điện tiêu chuẩn Polyester</t>
        </is>
      </c>
      <c r="D17" t="inlineStr">
        <is>
          <t>SƠN_TĨNH_ĐIỆN</t>
        </is>
      </c>
      <c r="E17" t="inlineStr">
        <is>
          <t>MAT-PAINT-POWDER</t>
        </is>
      </c>
      <c r="F17" t="inlineStr">
        <is>
          <t>m2</t>
        </is>
      </c>
      <c r="G17" s="21" t="n">
        <v>0.04307648173023464</v>
      </c>
      <c r="H17" s="17">
        <f>'00_TONG_HOP_BAO_GIA'!G5</f>
        <v/>
      </c>
      <c r="I17" s="22">
        <f>G17*H17</f>
        <v/>
      </c>
      <c r="J17" s="17">
        <f>IFERROR(INDEX('06_BANG_GIA_VAT_TU_AP_DUNG'!$E$1:$E$5000, MATCH(E17, '06_BANG_GIA_VAT_TU_AP_DUNG'!$B$1:$B$5000, 0)), 0)</f>
        <v/>
      </c>
      <c r="K17" s="17">
        <f>I17*J17</f>
        <v/>
      </c>
      <c r="L17" t="inlineStr">
        <is>
          <t>Sơn tĩnh điện hoàn thiện</t>
        </is>
      </c>
    </row>
    <row r="18">
      <c r="A18" t="inlineStr">
        <is>
          <t>SW-DIFF-004-OBD-FRAME</t>
        </is>
      </c>
      <c r="B18" t="inlineStr">
        <is>
          <t>SW-DIFF-004</t>
        </is>
      </c>
      <c r="C18" t="inlineStr">
        <is>
          <t>Khung nhôm van OBD gắn cửa (SOBD)</t>
        </is>
      </c>
      <c r="D18" t="inlineStr">
        <is>
          <t>NHÔM_ĐỊNH_HÌNH</t>
        </is>
      </c>
      <c r="E18" t="inlineStr">
        <is>
          <t>MAT-ALU-KHUNG-OBD</t>
        </is>
      </c>
      <c r="F18" t="inlineStr">
        <is>
          <t>kg</t>
        </is>
      </c>
      <c r="G18" s="21" t="n">
        <v>0.08230553030583942</v>
      </c>
      <c r="H18" s="17">
        <f>'00_TONG_HOP_BAO_GIA'!G5</f>
        <v/>
      </c>
      <c r="I18" s="22">
        <f>G18*H18</f>
        <v/>
      </c>
      <c r="J18" s="17">
        <f>IFERROR(INDEX('06_BANG_GIA_VAT_TU_AP_DUNG'!$E$1:$E$5000, MATCH(E18, '06_BANG_GIA_VAT_TU_AP_DUNG'!$B$1:$B$5000, 0)), 0)</f>
        <v/>
      </c>
      <c r="K18" s="17">
        <f>I18*J18</f>
        <v/>
      </c>
      <c r="L18" t="inlineStr">
        <is>
          <t>Khung OBD 150x150mm</t>
        </is>
      </c>
    </row>
    <row r="19">
      <c r="A19" t="inlineStr">
        <is>
          <t>SW-DIFF-004-OBD-BLADE</t>
        </is>
      </c>
      <c r="B19" t="inlineStr">
        <is>
          <t>SW-DIFF-004</t>
        </is>
      </c>
      <c r="C19" t="inlineStr">
        <is>
          <t>Nan nhôm &amp; thanh truyền van OBD (SOBD)</t>
        </is>
      </c>
      <c r="D19" t="inlineStr">
        <is>
          <t>NHÔM_ĐỊNH_HÌNH</t>
        </is>
      </c>
      <c r="E19" t="inlineStr">
        <is>
          <t>MAT-ALU-NAN-OBD</t>
        </is>
      </c>
      <c r="F19" t="inlineStr">
        <is>
          <t>kg</t>
        </is>
      </c>
      <c r="G19" s="21" t="n">
        <v>0.04883635105172434</v>
      </c>
      <c r="H19" s="17">
        <f>'00_TONG_HOP_BAO_GIA'!G5</f>
        <v/>
      </c>
      <c r="I19" s="22">
        <f>G19*H19</f>
        <v/>
      </c>
      <c r="J19" s="17">
        <f>IFERROR(INDEX('06_BANG_GIA_VAT_TU_AP_DUNG'!$E$1:$E$5000, MATCH(E19, '06_BANG_GIA_VAT_TU_AP_DUNG'!$B$1:$B$5000, 0)), 0)</f>
        <v/>
      </c>
      <c r="K19" s="17">
        <f>I19*J19</f>
        <v/>
      </c>
      <c r="L19" t="inlineStr">
        <is>
          <t>Nan OBD đối xứng &amp; thanh liên kết</t>
        </is>
      </c>
    </row>
    <row r="20">
      <c r="A20" t="inlineStr">
        <is>
          <t>SW-DIFF-004-OBD-ACC</t>
        </is>
      </c>
      <c r="B20" t="inlineStr">
        <is>
          <t>SW-DIFF-004</t>
        </is>
      </c>
      <c r="C20" t="inlineStr">
        <is>
          <t>Bánh răng nhựa &amp; phụ kiện van OBD</t>
        </is>
      </c>
      <c r="D20" t="inlineStr">
        <is>
          <t>PHỤ_KIỆN_CỬA</t>
        </is>
      </c>
      <c r="E20" t="inlineStr">
        <is>
          <t>MAT-DOOR-ACCESSORY</t>
        </is>
      </c>
      <c r="F20" t="inlineStr">
        <is>
          <t>Bộ</t>
        </is>
      </c>
      <c r="G20" s="21" t="n">
        <v>0.5111990265182811</v>
      </c>
      <c r="H20" s="17">
        <f>'00_TONG_HOP_BAO_GIA'!G5</f>
        <v/>
      </c>
      <c r="I20" s="22">
        <f>G20*H20</f>
        <v/>
      </c>
      <c r="J20" s="17">
        <f>IFERROR(INDEX('06_BANG_GIA_VAT_TU_AP_DUNG'!$E$1:$E$5000, MATCH(E20, '06_BANG_GIA_VAT_TU_AP_DUNG'!$B$1:$B$5000, 0)), 0)</f>
        <v/>
      </c>
      <c r="K20" s="17">
        <f>I20*J20</f>
        <v/>
      </c>
      <c r="L20" t="inlineStr">
        <is>
          <t>Cơ cấu bánh răng đóng mở OBD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tabSelected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5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16" t="inlineStr">
        <is>
          <t>SUB_KEY</t>
        </is>
      </c>
      <c r="B1" s="16" t="inlineStr">
        <is>
          <t>PARENT_ITEM_ID</t>
        </is>
      </c>
      <c r="C1" s="16" t="inlineStr">
        <is>
          <t>TÊN CẤU KIỆN</t>
        </is>
      </c>
      <c r="D1" s="16" t="inlineStr">
        <is>
          <t>PHÂN LOẠI</t>
        </is>
      </c>
      <c r="E1" s="16" t="inlineStr">
        <is>
          <t>MÃ VẬT TƯ (MAT_ID)</t>
        </is>
      </c>
      <c r="F1" s="16" t="inlineStr">
        <is>
          <t>ĐVT</t>
        </is>
      </c>
      <c r="G1" s="16" t="inlineStr">
        <is>
          <t>ĐỊNH MỨC / 1 SP</t>
        </is>
      </c>
      <c r="H1" s="16" t="inlineStr">
        <is>
          <t>SL DỰ ÁN</t>
        </is>
      </c>
      <c r="I1" s="16" t="inlineStr">
        <is>
          <t>TỔNG NHU CẦU</t>
        </is>
      </c>
      <c r="J1" s="16" t="inlineStr">
        <is>
          <t>ĐƠN GIÁ GỐC</t>
        </is>
      </c>
      <c r="K1" s="16" t="inlineStr">
        <is>
          <t>THÀNH TIỀN (VNĐ)</t>
        </is>
      </c>
      <c r="L1" s="16" t="inlineStr">
        <is>
          <t>GHI CHÚ KỸ THUẬT</t>
        </is>
      </c>
    </row>
    <row r="2">
      <c r="A2" t="inlineStr">
        <is>
          <t>SW-DAMPER-003-BODY</t>
        </is>
      </c>
      <c r="B2" t="inlineStr">
        <is>
          <t>SW-DAMPER-003</t>
        </is>
      </c>
      <c r="C2" t="inlineStr">
        <is>
          <t>Thân vỏ van FD bích C30/TDF (1.15mm)</t>
        </is>
      </c>
      <c r="D2" t="inlineStr">
        <is>
          <t>TÔN_CUỘN_MẠ_KẼM</t>
        </is>
      </c>
      <c r="E2" t="inlineStr">
        <is>
          <t>MAT-STEEL-PN-1.15</t>
        </is>
      </c>
      <c r="F2" t="inlineStr">
        <is>
          <t>kg</t>
        </is>
      </c>
      <c r="G2" s="21" t="n">
        <v>2.445300386115649</v>
      </c>
      <c r="H2" s="17">
        <f>'00_TONG_HOP_BAO_GIA'!G4</f>
        <v/>
      </c>
      <c r="I2" s="22">
        <f>G2*H2</f>
        <v/>
      </c>
      <c r="J2" s="17">
        <f>IFERROR(INDEX('06_BANG_GIA_VAT_TU_AP_DUNG'!$E$1:$E$5000, MATCH(E2, '06_BANG_GIA_VAT_TU_AP_DUNG'!$B$1:$B$5000, 0)), 0)</f>
        <v/>
      </c>
      <c r="K2" s="17">
        <f>I2*J2</f>
        <v/>
      </c>
      <c r="L2" t="inlineStr">
        <is>
          <t>Kích thước vỏ 200x200x200mm</t>
        </is>
      </c>
    </row>
    <row r="3">
      <c r="A3" t="inlineStr">
        <is>
          <t>SW-DAMPER-003-BLADE</t>
        </is>
      </c>
      <c r="B3" t="inlineStr">
        <is>
          <t>SW-DAMPER-003</t>
        </is>
      </c>
      <c r="C3" t="inlineStr">
        <is>
          <t>Lá cánh / Tôn tấm bọc van (1 cánh)</t>
        </is>
      </c>
      <c r="D3" t="inlineStr">
        <is>
          <t>TÔN_CUỘN_MẠ_KẼM</t>
        </is>
      </c>
      <c r="E3" t="inlineStr">
        <is>
          <t>MAT-STEEL-PN-1.15</t>
        </is>
      </c>
      <c r="F3" t="inlineStr">
        <is>
          <t>kg</t>
        </is>
      </c>
      <c r="G3" s="21" t="n">
        <v>0.8214664940339795</v>
      </c>
      <c r="H3" s="17">
        <f>'00_TONG_HOP_BAO_GIA'!G4</f>
        <v/>
      </c>
      <c r="I3" s="22">
        <f>G3*H3</f>
        <v/>
      </c>
      <c r="J3" s="17">
        <f>IFERROR(INDEX('06_BANG_GIA_VAT_TU_AP_DUNG'!$E$1:$E$5000, MATCH(E3, '06_BANG_GIA_VAT_TU_AP_DUNG'!$B$1:$B$5000, 0)), 0)</f>
        <v/>
      </c>
      <c r="K3" s="17">
        <f>I3*J3</f>
        <v/>
      </c>
      <c r="L3" t="inlineStr">
        <is>
          <t>Tôn bọc cánh &amp; thân (1 cánh/modul)</t>
        </is>
      </c>
    </row>
    <row r="4">
      <c r="A4" t="inlineStr">
        <is>
          <t>SW-DAMPER-003-AXLE</t>
        </is>
      </c>
      <c r="B4" t="inlineStr">
        <is>
          <t>SW-DAMPER-003</t>
        </is>
      </c>
      <c r="C4" t="inlineStr">
        <is>
          <t>Trục Sus 201 D10</t>
        </is>
      </c>
      <c r="D4" t="inlineStr">
        <is>
          <t>PHỤ_KIỆN_VAN</t>
        </is>
      </c>
      <c r="E4" t="inlineStr">
        <is>
          <t>MAT-DAMPER-TRUC-SUS-201-D10</t>
        </is>
      </c>
      <c r="F4" t="inlineStr">
        <is>
          <t>m</t>
        </is>
      </c>
      <c r="G4" s="21" t="n">
        <v>0.2957370374533851</v>
      </c>
      <c r="H4" s="17">
        <f>'00_TONG_HOP_BAO_GIA'!G4</f>
        <v/>
      </c>
      <c r="I4" s="22">
        <f>G4*H4</f>
        <v/>
      </c>
      <c r="J4" s="17">
        <f>IFERROR(INDEX('06_BANG_GIA_VAT_TU_AP_DUNG'!$E$1:$E$5000, MATCH(E4, '06_BANG_GIA_VAT_TU_AP_DUNG'!$B$1:$B$5000, 0)), 0)</f>
        <v/>
      </c>
      <c r="K4" s="17">
        <f>I4*J4</f>
        <v/>
      </c>
      <c r="L4" t="inlineStr">
        <is>
          <t>1 trục dài 260mm</t>
        </is>
      </c>
    </row>
    <row r="5">
      <c r="A5" t="inlineStr">
        <is>
          <t>SW-DAMPER-003-BEARING</t>
        </is>
      </c>
      <c r="B5" t="inlineStr">
        <is>
          <t>SW-DAMPER-003</t>
        </is>
      </c>
      <c r="C5" t="inlineStr">
        <is>
          <t>Bạc đồng D10</t>
        </is>
      </c>
      <c r="D5" t="inlineStr">
        <is>
          <t>PHỤ_KIỆN_VAN</t>
        </is>
      </c>
      <c r="E5" t="inlineStr">
        <is>
          <t>MAT-DAMPER-BAC-DONG-D10</t>
        </is>
      </c>
      <c r="F5" t="inlineStr">
        <is>
          <t>Đôi</t>
        </is>
      </c>
      <c r="G5" s="21" t="n">
        <v>1</v>
      </c>
      <c r="H5" s="17">
        <f>'00_TONG_HOP_BAO_GIA'!G4</f>
        <v/>
      </c>
      <c r="I5" s="22">
        <f>G5*H5</f>
        <v/>
      </c>
      <c r="J5" s="17">
        <f>IFERROR(INDEX('06_BANG_GIA_VAT_TU_AP_DUNG'!$E$1:$E$5000, MATCH(E5, '06_BANG_GIA_VAT_TU_AP_DUNG'!$B$1:$B$5000, 0)), 0)</f>
        <v/>
      </c>
      <c r="K5" s="17">
        <f>I5*J5</f>
        <v/>
      </c>
      <c r="L5" t="inlineStr">
        <is>
          <t>1 đôi bạc đỡ 2 bên thân</t>
        </is>
      </c>
    </row>
    <row r="6">
      <c r="A6" t="inlineStr">
        <is>
          <t>SW-DAMPER-003-FUSE</t>
        </is>
      </c>
      <c r="B6" t="inlineStr">
        <is>
          <t>SW-DAMPER-003</t>
        </is>
      </c>
      <c r="C6" t="inlineStr">
        <is>
          <t>Cầu chì nhiệt nóng chảy 70°C/74°C (Elsie/USA)</t>
        </is>
      </c>
      <c r="D6" t="inlineStr">
        <is>
          <t>PHỤ_KIỆN_VAN</t>
        </is>
      </c>
      <c r="E6" t="inlineStr">
        <is>
          <t>MAT-DAMPER-CAU-CHI-USA-1-400X400</t>
        </is>
      </c>
      <c r="F6" t="inlineStr">
        <is>
          <t>Cái</t>
        </is>
      </c>
      <c r="G6" s="21" t="n">
        <v>1</v>
      </c>
      <c r="H6" s="17">
        <f>'00_TONG_HOP_BAO_GIA'!G4</f>
        <v/>
      </c>
      <c r="I6" s="22">
        <f>G6*H6</f>
        <v/>
      </c>
      <c r="J6" s="17">
        <f>IFERROR(INDEX('06_BANG_GIA_VAT_TU_AP_DUNG'!$E$1:$E$5000, MATCH(E6, '06_BANG_GIA_VAT_TU_AP_DUNG'!$B$1:$B$5000, 0)), 0)</f>
        <v/>
      </c>
      <c r="K6" s="17">
        <f>I6*J6</f>
        <v/>
      </c>
      <c r="L6" t="inlineStr">
        <is>
          <t>Cầu chì kiểm định PCCC (1 cái)</t>
        </is>
      </c>
    </row>
    <row r="7">
      <c r="A7" t="inlineStr">
        <is>
          <t>SW-DAMPER-003-FB10-BODY</t>
        </is>
      </c>
      <c r="B7" t="inlineStr">
        <is>
          <t>SW-DAMPER-003</t>
        </is>
      </c>
      <c r="C7" t="inlineStr">
        <is>
          <t>Tấm chống cháy dày 10mm bọc thân van FD/MFD (2 lớp)</t>
        </is>
      </c>
      <c r="D7" t="inlineStr">
        <is>
          <t>VẬT_LIỆU_CÁCH_NHIỆT</t>
        </is>
      </c>
      <c r="E7" t="inlineStr">
        <is>
          <t>MAT-FIREBOARD-10MM-BODY</t>
        </is>
      </c>
      <c r="F7" t="inlineStr">
        <is>
          <t>m2</t>
        </is>
      </c>
      <c r="G7" s="21" t="n">
        <v>0.5459760691447109</v>
      </c>
      <c r="H7" s="17">
        <f>'00_TONG_HOP_BAO_GIA'!G4</f>
        <v/>
      </c>
      <c r="I7" s="22">
        <f>G7*H7</f>
        <v/>
      </c>
      <c r="J7" s="17">
        <f>IFERROR(INDEX('06_BANG_GIA_VAT_TU_AP_DUNG'!$E$1:$E$5000, MATCH(E7, '06_BANG_GIA_VAT_TU_AP_DUNG'!$B$1:$B$5000, 0)), 0)</f>
        <v/>
      </c>
      <c r="K7" s="17">
        <f>I7*J7</f>
        <v/>
      </c>
      <c r="L7" t="inlineStr">
        <is>
          <t>Bọc 2 lớp tấm 10mm quanh thân L=300mm</t>
        </is>
      </c>
    </row>
    <row r="8">
      <c r="A8" t="inlineStr">
        <is>
          <t>SW-DAMPER-003-FB20-BLADE</t>
        </is>
      </c>
      <c r="B8" t="inlineStr">
        <is>
          <t>SW-DAMPER-003</t>
        </is>
      </c>
      <c r="C8" t="inlineStr">
        <is>
          <t>Tấm chống cháy dày 20mm làm lõi cánh van FD/MFD</t>
        </is>
      </c>
      <c r="D8" t="inlineStr">
        <is>
          <t>VẬT_LIỆU_CÁCH_NHIỆT</t>
        </is>
      </c>
      <c r="E8" t="inlineStr">
        <is>
          <t>MAT-FIREBOARD-20MM-BLADE</t>
        </is>
      </c>
      <c r="F8" t="inlineStr">
        <is>
          <t>m2</t>
        </is>
      </c>
      <c r="G8" s="21" t="n">
        <v>0.04549800576205925</v>
      </c>
      <c r="H8" s="17">
        <f>'00_TONG_HOP_BAO_GIA'!G4</f>
        <v/>
      </c>
      <c r="I8" s="22">
        <f>G8*H8</f>
        <v/>
      </c>
      <c r="J8" s="17">
        <f>IFERROR(INDEX('06_BANG_GIA_VAT_TU_AP_DUNG'!$E$1:$E$5000, MATCH(E8, '06_BANG_GIA_VAT_TU_AP_DUNG'!$B$1:$B$5000, 0)), 0)</f>
        <v/>
      </c>
      <c r="K8" s="17">
        <f>I8*J8</f>
        <v/>
      </c>
      <c r="L8" t="inlineStr">
        <is>
          <t>Lõi cánh tấm 20mm (Cánh đơn 200x200mm)</t>
        </is>
      </c>
    </row>
    <row r="9">
      <c r="A9" t="inlineStr">
        <is>
          <t>SW-DAMPER-003-FB10-BLADE</t>
        </is>
      </c>
      <c r="B9" t="inlineStr">
        <is>
          <t>SW-DAMPER-003</t>
        </is>
      </c>
      <c r="C9" t="inlineStr">
        <is>
          <t>Tấm chống cháy dày 10mm ốp 2 mặt cánh van FD/MFD</t>
        </is>
      </c>
      <c r="D9" t="inlineStr">
        <is>
          <t>VẬT_LIỆU_CÁCH_NHIỆT</t>
        </is>
      </c>
      <c r="E9" t="inlineStr">
        <is>
          <t>MAT-FIREBOARD-10MM-BLADE</t>
        </is>
      </c>
      <c r="F9" t="inlineStr">
        <is>
          <t>m2</t>
        </is>
      </c>
      <c r="G9" s="21" t="n">
        <v>0.0909960115241185</v>
      </c>
      <c r="H9" s="17">
        <f>'00_TONG_HOP_BAO_GIA'!G4</f>
        <v/>
      </c>
      <c r="I9" s="22">
        <f>G9*H9</f>
        <v/>
      </c>
      <c r="J9" s="17">
        <f>IFERROR(INDEX('06_BANG_GIA_VAT_TU_AP_DUNG'!$E$1:$E$5000, MATCH(E9, '06_BANG_GIA_VAT_TU_AP_DUNG'!$B$1:$B$5000, 0)), 0)</f>
        <v/>
      </c>
      <c r="K9" s="17">
        <f>I9*J9</f>
        <v/>
      </c>
      <c r="L9" t="inlineStr">
        <is>
          <t>Ốp 2 mặt cánh tấm 10mm (Cánh đơn 200x200mm)</t>
        </is>
      </c>
    </row>
    <row r="10">
      <c r="A10" t="inlineStr">
        <is>
          <t>SW-DAMPER-003-SPRING-BOX</t>
        </is>
      </c>
      <c r="B10" t="inlineStr">
        <is>
          <t>SW-DAMPER-003</t>
        </is>
      </c>
      <c r="C10" t="inlineStr">
        <is>
          <t>Hộp lò xo van chặn lửa FD/MFD</t>
        </is>
      </c>
      <c r="D10" t="inlineStr">
        <is>
          <t>PHỤ_KIỆN_VAN</t>
        </is>
      </c>
      <c r="E10" t="inlineStr">
        <is>
          <t>MAT-DAMPER-HOP-LO-XO</t>
        </is>
      </c>
      <c r="F10" t="inlineStr">
        <is>
          <t>Bộ</t>
        </is>
      </c>
      <c r="G10" s="21" t="n">
        <v>1</v>
      </c>
      <c r="H10" s="17">
        <f>'00_TONG_HOP_BAO_GIA'!G4</f>
        <v/>
      </c>
      <c r="I10" s="22">
        <f>G10*H10</f>
        <v/>
      </c>
      <c r="J10" s="17">
        <f>IFERROR(INDEX('06_BANG_GIA_VAT_TU_AP_DUNG'!$E$1:$E$5000, MATCH(E10, '06_BANG_GIA_VAT_TU_AP_DUNG'!$B$1:$B$5000, 0)), 0)</f>
        <v/>
      </c>
      <c r="K10" s="17">
        <f>I10*J10</f>
        <v/>
      </c>
      <c r="L10" t="inlineStr">
        <is>
          <t>Hộp lò xo cơ cấu đóng sập (1 bộ)</t>
        </is>
      </c>
    </row>
    <row r="11">
      <c r="A11" t="inlineStr">
        <is>
          <t>SW-DAMPER-003-SILICON-BOLT</t>
        </is>
      </c>
      <c r="B11" t="inlineStr">
        <is>
          <t>SW-DAMPER-003</t>
        </is>
      </c>
      <c r="C11" t="inlineStr">
        <is>
          <t>Silicon chống cháy + bu lông, ốc vít van FD/MFD</t>
        </is>
      </c>
      <c r="D11" t="inlineStr">
        <is>
          <t>PHỤ_KIỆN_VAN</t>
        </is>
      </c>
      <c r="E11" t="inlineStr">
        <is>
          <t>MAT-DAMPER-SILICON-BULONG-VIT</t>
        </is>
      </c>
      <c r="F11" t="inlineStr">
        <is>
          <t>Bộ</t>
        </is>
      </c>
      <c r="G11" s="21" t="n">
        <v>1</v>
      </c>
      <c r="H11" s="17">
        <f>'00_TONG_HOP_BAO_GIA'!G4</f>
        <v/>
      </c>
      <c r="I11" s="22">
        <f>G11*H11</f>
        <v/>
      </c>
      <c r="J11" s="17">
        <f>IFERROR(INDEX('06_BANG_GIA_VAT_TU_AP_DUNG'!$E$1:$E$5000, MATCH(E11, '06_BANG_GIA_VAT_TU_AP_DUNG'!$B$1:$B$5000, 0)), 0)</f>
        <v/>
      </c>
      <c r="K11" s="17">
        <f>I11*J11</f>
        <v/>
      </c>
      <c r="L11" t="inlineStr">
        <is>
          <t>Keo silicon chống cháy &amp; phụ kiện lắp ghép (1 bộ)</t>
        </is>
      </c>
    </row>
    <row r="12">
      <c r="A12" t="inlineStr">
        <is>
          <t>SW-DAMPER-005-BODY</t>
        </is>
      </c>
      <c r="B12" t="inlineStr">
        <is>
          <t>SW-DAMPER-005</t>
        </is>
      </c>
      <c r="C12" t="inlineStr">
        <is>
          <t>Thân vỏ van FD bích C30/TDF (1.15mm)</t>
        </is>
      </c>
      <c r="D12" t="inlineStr">
        <is>
          <t>TÔN_CUỘN_MẠ_KẼM</t>
        </is>
      </c>
      <c r="E12" t="inlineStr">
        <is>
          <t>MAT-STEEL-PN-1.15</t>
        </is>
      </c>
      <c r="F12" t="inlineStr">
        <is>
          <t>kg</t>
        </is>
      </c>
      <c r="G12" s="21" t="n">
        <v>1.854293367090143</v>
      </c>
      <c r="H12" s="17">
        <f>'00_TONG_HOP_BAO_GIA'!G6</f>
        <v/>
      </c>
      <c r="I12" s="22">
        <f>G12*H12</f>
        <v/>
      </c>
      <c r="J12" s="17">
        <f>IFERROR(INDEX('06_BANG_GIA_VAT_TU_AP_DUNG'!$E$1:$E$5000, MATCH(E12, '06_BANG_GIA_VAT_TU_AP_DUNG'!$B$1:$B$5000, 0)), 0)</f>
        <v/>
      </c>
      <c r="K12" s="17">
        <f>I12*J12</f>
        <v/>
      </c>
      <c r="L12" t="inlineStr">
        <is>
          <t>Kích thước vỏ 150x150x200mm</t>
        </is>
      </c>
    </row>
    <row r="13">
      <c r="A13" t="inlineStr">
        <is>
          <t>SW-DAMPER-005-BLADE</t>
        </is>
      </c>
      <c r="B13" t="inlineStr">
        <is>
          <t>SW-DAMPER-005</t>
        </is>
      </c>
      <c r="C13" t="inlineStr">
        <is>
          <t>Lá cánh / Tôn tấm bọc van (1 cánh)</t>
        </is>
      </c>
      <c r="D13" t="inlineStr">
        <is>
          <t>TÔN_CUỘN_MẠ_KẼM</t>
        </is>
      </c>
      <c r="E13" t="inlineStr">
        <is>
          <t>MAT-STEEL-PN-1.15</t>
        </is>
      </c>
      <c r="F13" t="inlineStr">
        <is>
          <t>kg</t>
        </is>
      </c>
      <c r="G13" s="21" t="n">
        <v>0.4598941882664044</v>
      </c>
      <c r="H13" s="17">
        <f>'00_TONG_HOP_BAO_GIA'!G6</f>
        <v/>
      </c>
      <c r="I13" s="22">
        <f>G13*H13</f>
        <v/>
      </c>
      <c r="J13" s="17">
        <f>IFERROR(INDEX('06_BANG_GIA_VAT_TU_AP_DUNG'!$E$1:$E$5000, MATCH(E13, '06_BANG_GIA_VAT_TU_AP_DUNG'!$B$1:$B$5000, 0)), 0)</f>
        <v/>
      </c>
      <c r="K13" s="17">
        <f>I13*J13</f>
        <v/>
      </c>
      <c r="L13" t="inlineStr">
        <is>
          <t>Tôn bọc cánh &amp; thân (1 cánh/modul)</t>
        </is>
      </c>
    </row>
    <row r="14">
      <c r="A14" t="inlineStr">
        <is>
          <t>SW-DAMPER-005-AXLE</t>
        </is>
      </c>
      <c r="B14" t="inlineStr">
        <is>
          <t>SW-DAMPER-005</t>
        </is>
      </c>
      <c r="C14" t="inlineStr">
        <is>
          <t>Trục Sus 201 D10</t>
        </is>
      </c>
      <c r="D14" t="inlineStr">
        <is>
          <t>PHỤ_KIỆN_VAN</t>
        </is>
      </c>
      <c r="E14" t="inlineStr">
        <is>
          <t>MAT-DAMPER-TRUC-SUS-201-D10</t>
        </is>
      </c>
      <c r="F14" t="inlineStr">
        <is>
          <t>m</t>
        </is>
      </c>
      <c r="G14" s="21" t="n">
        <v>0.2377372338495214</v>
      </c>
      <c r="H14" s="17">
        <f>'00_TONG_HOP_BAO_GIA'!G6</f>
        <v/>
      </c>
      <c r="I14" s="22">
        <f>G14*H14</f>
        <v/>
      </c>
      <c r="J14" s="17">
        <f>IFERROR(INDEX('06_BANG_GIA_VAT_TU_AP_DUNG'!$E$1:$E$5000, MATCH(E14, '06_BANG_GIA_VAT_TU_AP_DUNG'!$B$1:$B$5000, 0)), 0)</f>
        <v/>
      </c>
      <c r="K14" s="17">
        <f>I14*J14</f>
        <v/>
      </c>
      <c r="L14" t="inlineStr">
        <is>
          <t>1 trục dài 210mm</t>
        </is>
      </c>
    </row>
    <row r="15">
      <c r="A15" t="inlineStr">
        <is>
          <t>SW-DAMPER-005-BEARING</t>
        </is>
      </c>
      <c r="B15" t="inlineStr">
        <is>
          <t>SW-DAMPER-005</t>
        </is>
      </c>
      <c r="C15" t="inlineStr">
        <is>
          <t>Bạc đồng D10</t>
        </is>
      </c>
      <c r="D15" t="inlineStr">
        <is>
          <t>PHỤ_KIỆN_VAN</t>
        </is>
      </c>
      <c r="E15" t="inlineStr">
        <is>
          <t>MAT-DAMPER-BAC-DONG-D10</t>
        </is>
      </c>
      <c r="F15" t="inlineStr">
        <is>
          <t>Đôi</t>
        </is>
      </c>
      <c r="G15" s="21" t="n">
        <v>1</v>
      </c>
      <c r="H15" s="17">
        <f>'00_TONG_HOP_BAO_GIA'!G6</f>
        <v/>
      </c>
      <c r="I15" s="22">
        <f>G15*H15</f>
        <v/>
      </c>
      <c r="J15" s="17">
        <f>IFERROR(INDEX('06_BANG_GIA_VAT_TU_AP_DUNG'!$E$1:$E$5000, MATCH(E15, '06_BANG_GIA_VAT_TU_AP_DUNG'!$B$1:$B$5000, 0)), 0)</f>
        <v/>
      </c>
      <c r="K15" s="17">
        <f>I15*J15</f>
        <v/>
      </c>
      <c r="L15" t="inlineStr">
        <is>
          <t>1 đôi bạc đỡ 2 bên thân</t>
        </is>
      </c>
    </row>
    <row r="16">
      <c r="A16" t="inlineStr">
        <is>
          <t>SW-DAMPER-005-FUSE</t>
        </is>
      </c>
      <c r="B16" t="inlineStr">
        <is>
          <t>SW-DAMPER-005</t>
        </is>
      </c>
      <c r="C16" t="inlineStr">
        <is>
          <t>Cầu chì nhiệt nóng chảy 70°C/74°C (Elsie/USA)</t>
        </is>
      </c>
      <c r="D16" t="inlineStr">
        <is>
          <t>PHỤ_KIỆN_VAN</t>
        </is>
      </c>
      <c r="E16" t="inlineStr">
        <is>
          <t>MAT-DAMPER-CAU-CHI-USA-1-400X400</t>
        </is>
      </c>
      <c r="F16" t="inlineStr">
        <is>
          <t>Cái</t>
        </is>
      </c>
      <c r="G16" s="21" t="n">
        <v>1</v>
      </c>
      <c r="H16" s="17">
        <f>'00_TONG_HOP_BAO_GIA'!G6</f>
        <v/>
      </c>
      <c r="I16" s="22">
        <f>G16*H16</f>
        <v/>
      </c>
      <c r="J16" s="17">
        <f>IFERROR(INDEX('06_BANG_GIA_VAT_TU_AP_DUNG'!$E$1:$E$5000, MATCH(E16, '06_BANG_GIA_VAT_TU_AP_DUNG'!$B$1:$B$5000, 0)), 0)</f>
        <v/>
      </c>
      <c r="K16" s="17">
        <f>I16*J16</f>
        <v/>
      </c>
      <c r="L16" t="inlineStr">
        <is>
          <t>Cầu chì kiểm định PCCC (1 cái)</t>
        </is>
      </c>
    </row>
    <row r="17">
      <c r="A17" t="inlineStr">
        <is>
          <t>SW-DAMPER-005-FB10-BODY</t>
        </is>
      </c>
      <c r="B17" t="inlineStr">
        <is>
          <t>SW-DAMPER-005</t>
        </is>
      </c>
      <c r="C17" t="inlineStr">
        <is>
          <t>Tấm chống cháy dày 10mm bọc thân van FD/MFD (2 lớp)</t>
        </is>
      </c>
      <c r="D17" t="inlineStr">
        <is>
          <t>VẬT_LIỆU_CÁCH_NHIỆT</t>
        </is>
      </c>
      <c r="E17" t="inlineStr">
        <is>
          <t>MAT-FIREBOARD-10MM-BODY</t>
        </is>
      </c>
      <c r="F17" t="inlineStr">
        <is>
          <t>m2</t>
        </is>
      </c>
      <c r="G17" s="21" t="n">
        <v>0.4075495437420367</v>
      </c>
      <c r="H17" s="17">
        <f>'00_TONG_HOP_BAO_GIA'!G6</f>
        <v/>
      </c>
      <c r="I17" s="22">
        <f>G17*H17</f>
        <v/>
      </c>
      <c r="J17" s="17">
        <f>IFERROR(INDEX('06_BANG_GIA_VAT_TU_AP_DUNG'!$E$1:$E$5000, MATCH(E17, '06_BANG_GIA_VAT_TU_AP_DUNG'!$B$1:$B$5000, 0)), 0)</f>
        <v/>
      </c>
      <c r="K17" s="17">
        <f>I17*J17</f>
        <v/>
      </c>
      <c r="L17" t="inlineStr">
        <is>
          <t>Bọc 2 lớp tấm 10mm quanh thân L=300mm</t>
        </is>
      </c>
    </row>
    <row r="18">
      <c r="A18" t="inlineStr">
        <is>
          <t>SW-DAMPER-005-FB20-BLADE</t>
        </is>
      </c>
      <c r="B18" t="inlineStr">
        <is>
          <t>SW-DAMPER-005</t>
        </is>
      </c>
      <c r="C18" t="inlineStr">
        <is>
          <t>Tấm chống cháy dày 20mm làm lõi cánh van FD/MFD</t>
        </is>
      </c>
      <c r="D18" t="inlineStr">
        <is>
          <t>VẬT_LIỆU_CÁCH_NHIỆT</t>
        </is>
      </c>
      <c r="E18" t="inlineStr">
        <is>
          <t>MAT-FIREBOARD-20MM-BLADE</t>
        </is>
      </c>
      <c r="F18" t="inlineStr">
        <is>
          <t>m2</t>
        </is>
      </c>
      <c r="G18" s="21" t="n">
        <v>0.02547184648387729</v>
      </c>
      <c r="H18" s="17">
        <f>'00_TONG_HOP_BAO_GIA'!G6</f>
        <v/>
      </c>
      <c r="I18" s="22">
        <f>G18*H18</f>
        <v/>
      </c>
      <c r="J18" s="17">
        <f>IFERROR(INDEX('06_BANG_GIA_VAT_TU_AP_DUNG'!$E$1:$E$5000, MATCH(E18, '06_BANG_GIA_VAT_TU_AP_DUNG'!$B$1:$B$5000, 0)), 0)</f>
        <v/>
      </c>
      <c r="K18" s="17">
        <f>I18*J18</f>
        <v/>
      </c>
      <c r="L18" t="inlineStr">
        <is>
          <t>Lõi cánh tấm 20mm (Cánh đơn 150x150mm)</t>
        </is>
      </c>
    </row>
    <row r="19">
      <c r="A19" t="inlineStr">
        <is>
          <t>SW-DAMPER-005-FB10-BLADE</t>
        </is>
      </c>
      <c r="B19" t="inlineStr">
        <is>
          <t>SW-DAMPER-005</t>
        </is>
      </c>
      <c r="C19" t="inlineStr">
        <is>
          <t>Tấm chống cháy dày 10mm ốp 2 mặt cánh van FD/MFD</t>
        </is>
      </c>
      <c r="D19" t="inlineStr">
        <is>
          <t>VẬT_LIỆU_CÁCH_NHIỆT</t>
        </is>
      </c>
      <c r="E19" t="inlineStr">
        <is>
          <t>MAT-FIREBOARD-10MM-BLADE</t>
        </is>
      </c>
      <c r="F19" t="inlineStr">
        <is>
          <t>m2</t>
        </is>
      </c>
      <c r="G19" s="21" t="n">
        <v>0.05094369296775458</v>
      </c>
      <c r="H19" s="17">
        <f>'00_TONG_HOP_BAO_GIA'!G6</f>
        <v/>
      </c>
      <c r="I19" s="22">
        <f>G19*H19</f>
        <v/>
      </c>
      <c r="J19" s="17">
        <f>IFERROR(INDEX('06_BANG_GIA_VAT_TU_AP_DUNG'!$E$1:$E$5000, MATCH(E19, '06_BANG_GIA_VAT_TU_AP_DUNG'!$B$1:$B$5000, 0)), 0)</f>
        <v/>
      </c>
      <c r="K19" s="17">
        <f>I19*J19</f>
        <v/>
      </c>
      <c r="L19" t="inlineStr">
        <is>
          <t>Ốp 2 mặt cánh tấm 10mm (Cánh đơn 150x150mm)</t>
        </is>
      </c>
    </row>
    <row r="20">
      <c r="A20" t="inlineStr">
        <is>
          <t>SW-DAMPER-005-SPRING-BOX</t>
        </is>
      </c>
      <c r="B20" t="inlineStr">
        <is>
          <t>SW-DAMPER-005</t>
        </is>
      </c>
      <c r="C20" t="inlineStr">
        <is>
          <t>Hộp lò xo van chặn lửa FD/MFD</t>
        </is>
      </c>
      <c r="D20" t="inlineStr">
        <is>
          <t>PHỤ_KIỆN_VAN</t>
        </is>
      </c>
      <c r="E20" t="inlineStr">
        <is>
          <t>MAT-DAMPER-HOP-LO-XO</t>
        </is>
      </c>
      <c r="F20" t="inlineStr">
        <is>
          <t>Bộ</t>
        </is>
      </c>
      <c r="G20" s="21" t="n">
        <v>1</v>
      </c>
      <c r="H20" s="17">
        <f>'00_TONG_HOP_BAO_GIA'!G6</f>
        <v/>
      </c>
      <c r="I20" s="22">
        <f>G20*H20</f>
        <v/>
      </c>
      <c r="J20" s="17">
        <f>IFERROR(INDEX('06_BANG_GIA_VAT_TU_AP_DUNG'!$E$1:$E$5000, MATCH(E20, '06_BANG_GIA_VAT_TU_AP_DUNG'!$B$1:$B$5000, 0)), 0)</f>
        <v/>
      </c>
      <c r="K20" s="17">
        <f>I20*J20</f>
        <v/>
      </c>
      <c r="L20" t="inlineStr">
        <is>
          <t>Hộp lò xo cơ cấu đóng sập (1 bộ)</t>
        </is>
      </c>
    </row>
    <row r="21">
      <c r="A21" t="inlineStr">
        <is>
          <t>SW-DAMPER-005-SILICON-BOLT</t>
        </is>
      </c>
      <c r="B21" t="inlineStr">
        <is>
          <t>SW-DAMPER-005</t>
        </is>
      </c>
      <c r="C21" t="inlineStr">
        <is>
          <t>Silicon chống cháy + bu lông, ốc vít van FD/MFD</t>
        </is>
      </c>
      <c r="D21" t="inlineStr">
        <is>
          <t>PHỤ_KIỆN_VAN</t>
        </is>
      </c>
      <c r="E21" t="inlineStr">
        <is>
          <t>MAT-DAMPER-SILICON-BULONG-VIT</t>
        </is>
      </c>
      <c r="F21" t="inlineStr">
        <is>
          <t>Bộ</t>
        </is>
      </c>
      <c r="G21" s="21" t="n">
        <v>1</v>
      </c>
      <c r="H21" s="17">
        <f>'00_TONG_HOP_BAO_GIA'!G6</f>
        <v/>
      </c>
      <c r="I21" s="22">
        <f>G21*H21</f>
        <v/>
      </c>
      <c r="J21" s="17">
        <f>IFERROR(INDEX('06_BANG_GIA_VAT_TU_AP_DUNG'!$E$1:$E$5000, MATCH(E21, '06_BANG_GIA_VAT_TU_AP_DUNG'!$B$1:$B$5000, 0)), 0)</f>
        <v/>
      </c>
      <c r="K21" s="17">
        <f>I21*J21</f>
        <v/>
      </c>
      <c r="L21" t="inlineStr">
        <is>
          <t>Keo silicon chống cháy &amp; phụ kiện lắp ghép (1 bộ)</t>
        </is>
      </c>
    </row>
    <row r="22">
      <c r="A22" t="inlineStr">
        <is>
          <t>SW-DAMPER-006-BODY</t>
        </is>
      </c>
      <c r="B22" t="inlineStr">
        <is>
          <t>SW-DAMPER-006</t>
        </is>
      </c>
      <c r="C22" t="inlineStr">
        <is>
          <t>Thân vỏ van MFD bích C30/TDF (1.15mm)</t>
        </is>
      </c>
      <c r="D22" t="inlineStr">
        <is>
          <t>TÔN_CUỘN_MẠ_KẼM</t>
        </is>
      </c>
      <c r="E22" t="inlineStr">
        <is>
          <t>MAT-STEEL-PN-1.15</t>
        </is>
      </c>
      <c r="F22" t="inlineStr">
        <is>
          <t>kg</t>
        </is>
      </c>
      <c r="G22" s="21" t="n">
        <v>2.477633169389007</v>
      </c>
      <c r="H22" s="17">
        <f>'00_TONG_HOP_BAO_GIA'!G7</f>
        <v/>
      </c>
      <c r="I22" s="22">
        <f>G22*H22</f>
        <v/>
      </c>
      <c r="J22" s="17">
        <f>IFERROR(INDEX('06_BANG_GIA_VAT_TU_AP_DUNG'!$E$1:$E$5000, MATCH(E22, '06_BANG_GIA_VAT_TU_AP_DUNG'!$B$1:$B$5000, 0)), 0)</f>
        <v/>
      </c>
      <c r="K22" s="17">
        <f>I22*J22</f>
        <v/>
      </c>
      <c r="L22" t="inlineStr">
        <is>
          <t>Kích thước vỏ 150x150x200mm</t>
        </is>
      </c>
    </row>
    <row r="23">
      <c r="A23" t="inlineStr">
        <is>
          <t>SW-DAMPER-006-BLADE</t>
        </is>
      </c>
      <c r="B23" t="inlineStr">
        <is>
          <t>SW-DAMPER-006</t>
        </is>
      </c>
      <c r="C23" t="inlineStr">
        <is>
          <t>Lá cánh / Tôn tấm bọc van (1 cánh)</t>
        </is>
      </c>
      <c r="D23" t="inlineStr">
        <is>
          <t>TÔN_CUỘN_MẠ_KẼM</t>
        </is>
      </c>
      <c r="E23" t="inlineStr">
        <is>
          <t>MAT-STEEL-PN-1.15</t>
        </is>
      </c>
      <c r="F23" t="inlineStr">
        <is>
          <t>kg</t>
        </is>
      </c>
      <c r="G23" s="21" t="n">
        <v>0.6144923535190989</v>
      </c>
      <c r="H23" s="17">
        <f>'00_TONG_HOP_BAO_GIA'!G7</f>
        <v/>
      </c>
      <c r="I23" s="22">
        <f>G23*H23</f>
        <v/>
      </c>
      <c r="J23" s="17">
        <f>IFERROR(INDEX('06_BANG_GIA_VAT_TU_AP_DUNG'!$E$1:$E$5000, MATCH(E23, '06_BANG_GIA_VAT_TU_AP_DUNG'!$B$1:$B$5000, 0)), 0)</f>
        <v/>
      </c>
      <c r="K23" s="17">
        <f>I23*J23</f>
        <v/>
      </c>
      <c r="L23" t="inlineStr">
        <is>
          <t>Tôn bọc cánh &amp; thân (1 cánh/modul)</t>
        </is>
      </c>
    </row>
    <row r="24">
      <c r="A24" t="inlineStr">
        <is>
          <t>SW-DAMPER-006-AXLE</t>
        </is>
      </c>
      <c r="B24" t="inlineStr">
        <is>
          <t>SW-DAMPER-006</t>
        </is>
      </c>
      <c r="C24" t="inlineStr">
        <is>
          <t>Trục Sus 201 D10</t>
        </is>
      </c>
      <c r="D24" t="inlineStr">
        <is>
          <t>PHỤ_KIỆN_VAN</t>
        </is>
      </c>
      <c r="E24" t="inlineStr">
        <is>
          <t>MAT-DAMPER-TRUC-SUS-201-D10</t>
        </is>
      </c>
      <c r="F24" t="inlineStr">
        <is>
          <t>m</t>
        </is>
      </c>
      <c r="G24" s="21" t="n">
        <v>0.3176550521283998</v>
      </c>
      <c r="H24" s="17">
        <f>'00_TONG_HOP_BAO_GIA'!G7</f>
        <v/>
      </c>
      <c r="I24" s="22">
        <f>G24*H24</f>
        <v/>
      </c>
      <c r="J24" s="17">
        <f>IFERROR(INDEX('06_BANG_GIA_VAT_TU_AP_DUNG'!$E$1:$E$5000, MATCH(E24, '06_BANG_GIA_VAT_TU_AP_DUNG'!$B$1:$B$5000, 0)), 0)</f>
        <v/>
      </c>
      <c r="K24" s="17">
        <f>I24*J24</f>
        <v/>
      </c>
      <c r="L24" t="inlineStr">
        <is>
          <t>1 trục dài 210mm</t>
        </is>
      </c>
    </row>
    <row r="25">
      <c r="A25" t="inlineStr">
        <is>
          <t>SW-DAMPER-006-BEARING</t>
        </is>
      </c>
      <c r="B25" t="inlineStr">
        <is>
          <t>SW-DAMPER-006</t>
        </is>
      </c>
      <c r="C25" t="inlineStr">
        <is>
          <t>Bạc đồng D10</t>
        </is>
      </c>
      <c r="D25" t="inlineStr">
        <is>
          <t>PHỤ_KIỆN_VAN</t>
        </is>
      </c>
      <c r="E25" t="inlineStr">
        <is>
          <t>MAT-DAMPER-BAC-DONG-D10</t>
        </is>
      </c>
      <c r="F25" t="inlineStr">
        <is>
          <t>Đôi</t>
        </is>
      </c>
      <c r="G25" s="21" t="n">
        <v>1</v>
      </c>
      <c r="H25" s="17">
        <f>'00_TONG_HOP_BAO_GIA'!G7</f>
        <v/>
      </c>
      <c r="I25" s="22">
        <f>G25*H25</f>
        <v/>
      </c>
      <c r="J25" s="17">
        <f>IFERROR(INDEX('06_BANG_GIA_VAT_TU_AP_DUNG'!$E$1:$E$5000, MATCH(E25, '06_BANG_GIA_VAT_TU_AP_DUNG'!$B$1:$B$5000, 0)), 0)</f>
        <v/>
      </c>
      <c r="K25" s="17">
        <f>I25*J25</f>
        <v/>
      </c>
      <c r="L25" t="inlineStr">
        <is>
          <t>1 đôi bạc đỡ 2 bên thân</t>
        </is>
      </c>
    </row>
    <row r="26">
      <c r="A26" t="inlineStr">
        <is>
          <t>SW-DAMPER-006-ACTUATOR</t>
        </is>
      </c>
      <c r="B26" t="inlineStr">
        <is>
          <t>SW-DAMPER-006</t>
        </is>
      </c>
      <c r="C26" t="inlineStr">
        <is>
          <t>Động cơ chặn lửa ON/OFF 3.5Nm, 230V/24V (BELIMO FSLF24 / FSLF230)</t>
        </is>
      </c>
      <c r="D26" t="inlineStr">
        <is>
          <t>ĐỘNG_CƠ_VÀ_CẢM_BIẾN</t>
        </is>
      </c>
      <c r="E26" t="inlineStr">
        <is>
          <t>MAT-ACTUATOR-BELIMO-FSLF24</t>
        </is>
      </c>
      <c r="F26" t="inlineStr">
        <is>
          <t>Cái</t>
        </is>
      </c>
      <c r="G26" s="21" t="n">
        <v>1</v>
      </c>
      <c r="H26" s="17">
        <f>'00_TONG_HOP_BAO_GIA'!G7</f>
        <v/>
      </c>
      <c r="I26" s="22">
        <f>G26*H26</f>
        <v/>
      </c>
      <c r="J26" s="17">
        <f>IFERROR(INDEX('06_BANG_GIA_VAT_TU_AP_DUNG'!$E$1:$E$5000, MATCH(E26, '06_BANG_GIA_VAT_TU_AP_DUNG'!$B$1:$B$5000, 0)), 0)</f>
        <v/>
      </c>
      <c r="K26" s="17">
        <f>I26*J26</f>
        <v/>
      </c>
      <c r="L26" t="inlineStr">
        <is>
          <t>Động cơ lò xo phản hồi MFD (1 bộ)</t>
        </is>
      </c>
    </row>
    <row r="27">
      <c r="A27" t="inlineStr">
        <is>
          <t>SW-DAMPER-006-FB10-BODY</t>
        </is>
      </c>
      <c r="B27" t="inlineStr">
        <is>
          <t>SW-DAMPER-006</t>
        </is>
      </c>
      <c r="C27" t="inlineStr">
        <is>
          <t>Tấm chống cháy dày 10mm bọc thân van FD/MFD (2 lớp)</t>
        </is>
      </c>
      <c r="D27" t="inlineStr">
        <is>
          <t>VẬT_LIỆU_CÁCH_NHIỆT</t>
        </is>
      </c>
      <c r="E27" t="inlineStr">
        <is>
          <t>MAT-FIREBOARD-10MM-BODY</t>
        </is>
      </c>
      <c r="F27" t="inlineStr">
        <is>
          <t>m2</t>
        </is>
      </c>
      <c r="G27" s="21" t="n">
        <v>0.5445515179343996</v>
      </c>
      <c r="H27" s="17">
        <f>'00_TONG_HOP_BAO_GIA'!G7</f>
        <v/>
      </c>
      <c r="I27" s="22">
        <f>G27*H27</f>
        <v/>
      </c>
      <c r="J27" s="17">
        <f>IFERROR(INDEX('06_BANG_GIA_VAT_TU_AP_DUNG'!$E$1:$E$5000, MATCH(E27, '06_BANG_GIA_VAT_TU_AP_DUNG'!$B$1:$B$5000, 0)), 0)</f>
        <v/>
      </c>
      <c r="K27" s="17">
        <f>I27*J27</f>
        <v/>
      </c>
      <c r="L27" t="inlineStr">
        <is>
          <t>Bọc 2 lớp tấm 10mm quanh thân L=300mm</t>
        </is>
      </c>
    </row>
    <row r="28">
      <c r="A28" t="inlineStr">
        <is>
          <t>SW-DAMPER-006-FB20-BLADE</t>
        </is>
      </c>
      <c r="B28" t="inlineStr">
        <is>
          <t>SW-DAMPER-006</t>
        </is>
      </c>
      <c r="C28" t="inlineStr">
        <is>
          <t>Tấm chống cháy dày 20mm làm lõi cánh van FD/MFD</t>
        </is>
      </c>
      <c r="D28" t="inlineStr">
        <is>
          <t>VẬT_LIỆU_CÁCH_NHIỆT</t>
        </is>
      </c>
      <c r="E28" t="inlineStr">
        <is>
          <t>MAT-FIREBOARD-20MM-BLADE</t>
        </is>
      </c>
      <c r="F28" t="inlineStr">
        <is>
          <t>m2</t>
        </is>
      </c>
      <c r="G28" s="21" t="n">
        <v>0.03403446987089997</v>
      </c>
      <c r="H28" s="17">
        <f>'00_TONG_HOP_BAO_GIA'!G7</f>
        <v/>
      </c>
      <c r="I28" s="22">
        <f>G28*H28</f>
        <v/>
      </c>
      <c r="J28" s="17">
        <f>IFERROR(INDEX('06_BANG_GIA_VAT_TU_AP_DUNG'!$E$1:$E$5000, MATCH(E28, '06_BANG_GIA_VAT_TU_AP_DUNG'!$B$1:$B$5000, 0)), 0)</f>
        <v/>
      </c>
      <c r="K28" s="17">
        <f>I28*J28</f>
        <v/>
      </c>
      <c r="L28" t="inlineStr">
        <is>
          <t>Lõi cánh tấm 20mm (Cánh đơn 150x150mm)</t>
        </is>
      </c>
    </row>
    <row r="29">
      <c r="A29" t="inlineStr">
        <is>
          <t>SW-DAMPER-006-FB10-BLADE</t>
        </is>
      </c>
      <c r="B29" t="inlineStr">
        <is>
          <t>SW-DAMPER-006</t>
        </is>
      </c>
      <c r="C29" t="inlineStr">
        <is>
          <t>Tấm chống cháy dày 10mm ốp 2 mặt cánh van FD/MFD</t>
        </is>
      </c>
      <c r="D29" t="inlineStr">
        <is>
          <t>VẬT_LIỆU_CÁCH_NHIỆT</t>
        </is>
      </c>
      <c r="E29" t="inlineStr">
        <is>
          <t>MAT-FIREBOARD-10MM-BLADE</t>
        </is>
      </c>
      <c r="F29" t="inlineStr">
        <is>
          <t>m2</t>
        </is>
      </c>
      <c r="G29" s="21" t="n">
        <v>0.06806893974179995</v>
      </c>
      <c r="H29" s="17">
        <f>'00_TONG_HOP_BAO_GIA'!G7</f>
        <v/>
      </c>
      <c r="I29" s="22">
        <f>G29*H29</f>
        <v/>
      </c>
      <c r="J29" s="17">
        <f>IFERROR(INDEX('06_BANG_GIA_VAT_TU_AP_DUNG'!$E$1:$E$5000, MATCH(E29, '06_BANG_GIA_VAT_TU_AP_DUNG'!$B$1:$B$5000, 0)), 0)</f>
        <v/>
      </c>
      <c r="K29" s="17">
        <f>I29*J29</f>
        <v/>
      </c>
      <c r="L29" t="inlineStr">
        <is>
          <t>Ốp 2 mặt cánh tấm 10mm (Cánh đơn 150x150mm)</t>
        </is>
      </c>
    </row>
    <row r="30">
      <c r="A30" t="inlineStr">
        <is>
          <t>SW-DAMPER-006-SPRING-BOX</t>
        </is>
      </c>
      <c r="B30" t="inlineStr">
        <is>
          <t>SW-DAMPER-006</t>
        </is>
      </c>
      <c r="C30" t="inlineStr">
        <is>
          <t>Hộp lò xo van chặn lửa FD/MFD</t>
        </is>
      </c>
      <c r="D30" t="inlineStr">
        <is>
          <t>PHỤ_KIỆN_VAN</t>
        </is>
      </c>
      <c r="E30" t="inlineStr">
        <is>
          <t>MAT-DAMPER-HOP-LO-XO</t>
        </is>
      </c>
      <c r="F30" t="inlineStr">
        <is>
          <t>Bộ</t>
        </is>
      </c>
      <c r="G30" s="21" t="n">
        <v>1</v>
      </c>
      <c r="H30" s="17">
        <f>'00_TONG_HOP_BAO_GIA'!G7</f>
        <v/>
      </c>
      <c r="I30" s="22">
        <f>G30*H30</f>
        <v/>
      </c>
      <c r="J30" s="17">
        <f>IFERROR(INDEX('06_BANG_GIA_VAT_TU_AP_DUNG'!$E$1:$E$5000, MATCH(E30, '06_BANG_GIA_VAT_TU_AP_DUNG'!$B$1:$B$5000, 0)), 0)</f>
        <v/>
      </c>
      <c r="K30" s="17">
        <f>I30*J30</f>
        <v/>
      </c>
      <c r="L30" t="inlineStr">
        <is>
          <t>Hộp lò xo cơ cấu đóng sập (1 bộ)</t>
        </is>
      </c>
    </row>
    <row r="31">
      <c r="A31" t="inlineStr">
        <is>
          <t>SW-DAMPER-006-SILICON-BOLT</t>
        </is>
      </c>
      <c r="B31" t="inlineStr">
        <is>
          <t>SW-DAMPER-006</t>
        </is>
      </c>
      <c r="C31" t="inlineStr">
        <is>
          <t>Silicon chống cháy + bu lông, ốc vít van FD/MFD</t>
        </is>
      </c>
      <c r="D31" t="inlineStr">
        <is>
          <t>PHỤ_KIỆN_VAN</t>
        </is>
      </c>
      <c r="E31" t="inlineStr">
        <is>
          <t>MAT-DAMPER-SILICON-BULONG-VIT</t>
        </is>
      </c>
      <c r="F31" t="inlineStr">
        <is>
          <t>Bộ</t>
        </is>
      </c>
      <c r="G31" s="21" t="n">
        <v>1</v>
      </c>
      <c r="H31" s="17">
        <f>'00_TONG_HOP_BAO_GIA'!G7</f>
        <v/>
      </c>
      <c r="I31" s="22">
        <f>G31*H31</f>
        <v/>
      </c>
      <c r="J31" s="17">
        <f>IFERROR(INDEX('06_BANG_GIA_VAT_TU_AP_DUNG'!$E$1:$E$5000, MATCH(E31, '06_BANG_GIA_VAT_TU_AP_DUNG'!$B$1:$B$5000, 0)), 0)</f>
        <v/>
      </c>
      <c r="K31" s="17">
        <f>I31*J31</f>
        <v/>
      </c>
      <c r="L31" t="inlineStr">
        <is>
          <t>Keo silicon chống cháy &amp; phụ kiện lắp ghép (1 bộ)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6"/>
  <sheetViews>
    <sheetView tabSelected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40" customWidth="1" min="4" max="4"/>
    <col width="16" customWidth="1" min="5" max="5"/>
    <col width="16" customWidth="1" min="6" max="6"/>
    <col width="16" customWidth="1" min="7" max="7"/>
  </cols>
  <sheetData>
    <row r="1" ht="28" customHeight="1">
      <c r="A1" s="16" t="inlineStr">
        <is>
          <t>STT</t>
        </is>
      </c>
      <c r="B1" s="16" t="inlineStr">
        <is>
          <t>MAT_ID</t>
        </is>
      </c>
      <c r="C1" s="16" t="inlineStr">
        <is>
          <t>PHÂN LOẠI</t>
        </is>
      </c>
      <c r="D1" s="16" t="inlineStr">
        <is>
          <t>TÊN VẬT TƯ</t>
        </is>
      </c>
      <c r="E1" s="16" t="inlineStr">
        <is>
          <t>ĐVT</t>
        </is>
      </c>
      <c r="F1" s="16" t="inlineStr">
        <is>
          <t>BAREM KỸ THUẬT</t>
        </is>
      </c>
      <c r="G1" s="16" t="inlineStr">
        <is>
          <t>NGUỒN ĐỐI SOÁT</t>
        </is>
      </c>
    </row>
    <row r="2">
      <c r="A2" t="n">
        <v>1</v>
      </c>
      <c r="B2" t="inlineStr">
        <is>
          <t>MAT-STEEL-DONGBU-0.50</t>
        </is>
      </c>
      <c r="C2" t="inlineStr">
        <is>
          <t>TÔN_CUỘN_MẠ_KẼM</t>
        </is>
      </c>
      <c r="D2" t="inlineStr">
        <is>
          <t>TÔN DONGBU 0.50mm</t>
        </is>
      </c>
      <c r="E2" t="inlineStr">
        <is>
          <t>kg</t>
        </is>
      </c>
      <c r="F2" t="inlineStr">
        <is>
          <t>3.925 kg/m2</t>
        </is>
      </c>
      <c r="G2" t="inlineStr">
        <is>
          <t>Vat tu tôn!R5C2</t>
        </is>
      </c>
    </row>
    <row r="3">
      <c r="A3" t="n">
        <v>2</v>
      </c>
      <c r="B3" t="inlineStr">
        <is>
          <t>MAT-STEEL-DONGBU-0.60</t>
        </is>
      </c>
      <c r="C3" t="inlineStr">
        <is>
          <t>TÔN_CUỘN_MẠ_KẼM</t>
        </is>
      </c>
      <c r="D3" t="inlineStr">
        <is>
          <t>TÔN DONGBU 0.60mm</t>
        </is>
      </c>
      <c r="E3" t="inlineStr">
        <is>
          <t>kg</t>
        </is>
      </c>
      <c r="F3" t="inlineStr">
        <is>
          <t>4.71 kg/m2</t>
        </is>
      </c>
      <c r="G3" t="inlineStr">
        <is>
          <t>Vat tu tôn!R6C2</t>
        </is>
      </c>
    </row>
    <row r="4">
      <c r="A4" t="n">
        <v>3</v>
      </c>
      <c r="B4" t="inlineStr">
        <is>
          <t>MAT-STEEL-DONGBU-0.80</t>
        </is>
      </c>
      <c r="C4" t="inlineStr">
        <is>
          <t>TÔN_CUỘN_MẠ_KẼM</t>
        </is>
      </c>
      <c r="D4" t="inlineStr">
        <is>
          <t>TÔN DONGBU 0.80mm</t>
        </is>
      </c>
      <c r="E4" t="inlineStr">
        <is>
          <t>kg</t>
        </is>
      </c>
      <c r="F4" t="inlineStr">
        <is>
          <t>6.28 kg/m2</t>
        </is>
      </c>
      <c r="G4" t="inlineStr">
        <is>
          <t>Vat tu tôn!R7C2</t>
        </is>
      </c>
    </row>
    <row r="5">
      <c r="A5" t="n">
        <v>4</v>
      </c>
      <c r="B5" t="inlineStr">
        <is>
          <t>MAT-STEEL-DONGBU-1.00</t>
        </is>
      </c>
      <c r="C5" t="inlineStr">
        <is>
          <t>TÔN_CUỘN_MẠ_KẼM</t>
        </is>
      </c>
      <c r="D5" t="inlineStr">
        <is>
          <t>TÔN DONGBU 1.00mm</t>
        </is>
      </c>
      <c r="E5" t="inlineStr">
        <is>
          <t>kg</t>
        </is>
      </c>
      <c r="F5" t="inlineStr">
        <is>
          <t>7.85 kg/m2</t>
        </is>
      </c>
      <c r="G5" t="inlineStr">
        <is>
          <t>Vat tu tôn!R8C2</t>
        </is>
      </c>
    </row>
    <row r="6">
      <c r="A6" t="n">
        <v>5</v>
      </c>
      <c r="B6" t="inlineStr">
        <is>
          <t>MAT-STEEL-DONGBU-1.20</t>
        </is>
      </c>
      <c r="C6" t="inlineStr">
        <is>
          <t>TÔN_CUỘN_MẠ_KẼM</t>
        </is>
      </c>
      <c r="D6" t="inlineStr">
        <is>
          <t>TÔN DONGBU 1.20mm</t>
        </is>
      </c>
      <c r="E6" t="inlineStr">
        <is>
          <t>kg</t>
        </is>
      </c>
      <c r="F6" t="inlineStr">
        <is>
          <t>9.42 kg/m2</t>
        </is>
      </c>
      <c r="G6" t="inlineStr">
        <is>
          <t>Vat tu tôn!R9C2</t>
        </is>
      </c>
    </row>
    <row r="7">
      <c r="A7" t="n">
        <v>6</v>
      </c>
      <c r="B7" t="inlineStr">
        <is>
          <t>MAT-STEEL-DONGBU-1.50</t>
        </is>
      </c>
      <c r="C7" t="inlineStr">
        <is>
          <t>TÔN_CUỘN_MẠ_KẼM</t>
        </is>
      </c>
      <c r="D7" t="inlineStr">
        <is>
          <t>TÔN DONGBU 1.50mm</t>
        </is>
      </c>
      <c r="E7" t="inlineStr">
        <is>
          <t>kg</t>
        </is>
      </c>
      <c r="F7" t="inlineStr">
        <is>
          <t>11.775 kg/m2</t>
        </is>
      </c>
      <c r="G7" t="inlineStr">
        <is>
          <t>Vat tu tôn!R10C2</t>
        </is>
      </c>
    </row>
    <row r="8">
      <c r="A8" t="n">
        <v>7</v>
      </c>
      <c r="B8" t="inlineStr">
        <is>
          <t>MAT-STEEL-DONGBU-2.00</t>
        </is>
      </c>
      <c r="C8" t="inlineStr">
        <is>
          <t>TÔN_CUỘN_MẠ_KẼM</t>
        </is>
      </c>
      <c r="D8" t="inlineStr">
        <is>
          <t>TÔN DONGBU 2.00mm</t>
        </is>
      </c>
      <c r="E8" t="inlineStr">
        <is>
          <t>kg</t>
        </is>
      </c>
      <c r="F8" t="inlineStr">
        <is>
          <t>15.7 kg/m2</t>
        </is>
      </c>
      <c r="G8" t="inlineStr">
        <is>
          <t>Vat tu tôn!R11C2</t>
        </is>
      </c>
    </row>
    <row r="9">
      <c r="A9" t="n">
        <v>8</v>
      </c>
      <c r="B9" t="inlineStr">
        <is>
          <t>MAT-STEEL-VNSTEEL-0.35</t>
        </is>
      </c>
      <c r="C9" t="inlineStr">
        <is>
          <t>TÔN_CUỘN_MẠ_KẼM</t>
        </is>
      </c>
      <c r="D9" t="inlineStr">
        <is>
          <t>TÔN THĂNG LONG VNSTEEL 0.35mm</t>
        </is>
      </c>
      <c r="E9" t="inlineStr">
        <is>
          <t>kg</t>
        </is>
      </c>
      <c r="F9" t="inlineStr">
        <is>
          <t>3.15 kg/m2</t>
        </is>
      </c>
      <c r="G9" t="inlineStr">
        <is>
          <t>Vat tu tôn!R5C7</t>
        </is>
      </c>
    </row>
    <row r="10">
      <c r="A10" t="n">
        <v>9</v>
      </c>
      <c r="B10" t="inlineStr">
        <is>
          <t>MAT-STEEL-VNSTEEL-0.40</t>
        </is>
      </c>
      <c r="C10" t="inlineStr">
        <is>
          <t>TÔN_CUỘN_MẠ_KẼM</t>
        </is>
      </c>
      <c r="D10" t="inlineStr">
        <is>
          <t>TÔN THĂNG LONG VNSTEEL 0.40mm</t>
        </is>
      </c>
      <c r="E10" t="inlineStr">
        <is>
          <t>kg</t>
        </is>
      </c>
      <c r="F10" t="inlineStr">
        <is>
          <t>3.72 kg/m2</t>
        </is>
      </c>
      <c r="G10" t="inlineStr">
        <is>
          <t>Vat tu tôn!R6C7</t>
        </is>
      </c>
    </row>
    <row r="11">
      <c r="A11" t="n">
        <v>10</v>
      </c>
      <c r="B11" t="inlineStr">
        <is>
          <t>MAT-STEEL-VNSTEEL-0.42</t>
        </is>
      </c>
      <c r="C11" t="inlineStr">
        <is>
          <t>TÔN_CUỘN_MẠ_KẼM</t>
        </is>
      </c>
      <c r="D11" t="inlineStr">
        <is>
          <t>TÔN THĂNG LONG VNSTEEL 0.42mm</t>
        </is>
      </c>
      <c r="E11" t="inlineStr">
        <is>
          <t>kg</t>
        </is>
      </c>
      <c r="F11" t="inlineStr">
        <is>
          <t>3.91 kg/m2</t>
        </is>
      </c>
      <c r="G11" t="inlineStr">
        <is>
          <t>Vat tu tôn!R7C7</t>
        </is>
      </c>
    </row>
    <row r="12">
      <c r="A12" t="n">
        <v>11</v>
      </c>
      <c r="B12" t="inlineStr">
        <is>
          <t>MAT-STEEL-VNSTEEL-0.47</t>
        </is>
      </c>
      <c r="C12" t="inlineStr">
        <is>
          <t>TÔN_CUỘN_MẠ_KẼM</t>
        </is>
      </c>
      <c r="D12" t="inlineStr">
        <is>
          <t>TÔN THĂNG LONG VNSTEEL 0.47mm</t>
        </is>
      </c>
      <c r="E12" t="inlineStr">
        <is>
          <t>kg</t>
        </is>
      </c>
      <c r="F12" t="inlineStr">
        <is>
          <t>4.38 kg/m2</t>
        </is>
      </c>
      <c r="G12" t="inlineStr">
        <is>
          <t>Vat tu tôn!R8C7</t>
        </is>
      </c>
    </row>
    <row r="13">
      <c r="A13" t="n">
        <v>12</v>
      </c>
      <c r="B13" t="inlineStr">
        <is>
          <t>MAT-STEEL-VNSTEEL-0.50</t>
        </is>
      </c>
      <c r="C13" t="inlineStr">
        <is>
          <t>TÔN_CUỘN_MẠ_KẼM</t>
        </is>
      </c>
      <c r="D13" t="inlineStr">
        <is>
          <t>TÔN THĂNG LONG VNSTEEL 0.50mm</t>
        </is>
      </c>
      <c r="E13" t="inlineStr">
        <is>
          <t>kg</t>
        </is>
      </c>
      <c r="F13" t="inlineStr">
        <is>
          <t>4.66 kg/m2</t>
        </is>
      </c>
      <c r="G13" t="inlineStr">
        <is>
          <t>Vat tu tôn!R9C7</t>
        </is>
      </c>
    </row>
    <row r="14">
      <c r="A14" t="n">
        <v>13</v>
      </c>
      <c r="B14" t="inlineStr">
        <is>
          <t>MAT-STEEL-VNSTEEL-0.55</t>
        </is>
      </c>
      <c r="C14" t="inlineStr">
        <is>
          <t>TÔN_CUỘN_MẠ_KẼM</t>
        </is>
      </c>
      <c r="D14" t="inlineStr">
        <is>
          <t>TÔN THĂNG LONG VNSTEEL 0.55mm</t>
        </is>
      </c>
      <c r="E14" t="inlineStr">
        <is>
          <t>kg</t>
        </is>
      </c>
      <c r="F14" t="inlineStr">
        <is>
          <t>5.13 kg/m2</t>
        </is>
      </c>
      <c r="G14" t="inlineStr">
        <is>
          <t>Vat tu tôn!R10C7</t>
        </is>
      </c>
    </row>
    <row r="15">
      <c r="A15" t="n">
        <v>14</v>
      </c>
      <c r="B15" t="inlineStr">
        <is>
          <t>MAT-STEEL-VNSTEEL-0.58</t>
        </is>
      </c>
      <c r="C15" t="inlineStr">
        <is>
          <t>TÔN_CUỘN_MẠ_KẼM</t>
        </is>
      </c>
      <c r="D15" t="inlineStr">
        <is>
          <t>TÔN THĂNG LONG VNSTEEL 0.58mm</t>
        </is>
      </c>
      <c r="E15" t="inlineStr">
        <is>
          <t>kg</t>
        </is>
      </c>
      <c r="F15" t="inlineStr">
        <is>
          <t>5.41 kg/m2</t>
        </is>
      </c>
      <c r="G15" t="inlineStr">
        <is>
          <t>Vat tu tôn!R11C7</t>
        </is>
      </c>
    </row>
    <row r="16">
      <c r="A16" t="n">
        <v>15</v>
      </c>
      <c r="B16" t="inlineStr">
        <is>
          <t>MAT-STEEL-VNSTEEL-0.60</t>
        </is>
      </c>
      <c r="C16" t="inlineStr">
        <is>
          <t>TÔN_CUỘN_MẠ_KẼM</t>
        </is>
      </c>
      <c r="D16" t="inlineStr">
        <is>
          <t>TÔN THĂNG LONG VNSTEEL 0.60mm</t>
        </is>
      </c>
      <c r="E16" t="inlineStr">
        <is>
          <t>kg</t>
        </is>
      </c>
      <c r="F16" t="inlineStr">
        <is>
          <t>5.6 kg/m2</t>
        </is>
      </c>
      <c r="G16" t="inlineStr">
        <is>
          <t>Vat tu tôn!R12C7</t>
        </is>
      </c>
    </row>
    <row r="17">
      <c r="A17" t="n">
        <v>16</v>
      </c>
      <c r="B17" t="inlineStr">
        <is>
          <t>MAT-STEEL-VNSTEEL-0.64</t>
        </is>
      </c>
      <c r="C17" t="inlineStr">
        <is>
          <t>TÔN_CUỘN_MẠ_KẼM</t>
        </is>
      </c>
      <c r="D17" t="inlineStr">
        <is>
          <t>TÔN THĂNG LONG VNSTEEL 0.64mm</t>
        </is>
      </c>
      <c r="E17" t="inlineStr">
        <is>
          <t>kg</t>
        </is>
      </c>
      <c r="F17" t="inlineStr">
        <is>
          <t>5.98 kg/m2</t>
        </is>
      </c>
      <c r="G17" t="inlineStr">
        <is>
          <t>Vat tu tôn!R13C7</t>
        </is>
      </c>
    </row>
    <row r="18">
      <c r="A18" t="n">
        <v>17</v>
      </c>
      <c r="B18" t="inlineStr">
        <is>
          <t>MAT-STEEL-VNSTEEL-0.70</t>
        </is>
      </c>
      <c r="C18" t="inlineStr">
        <is>
          <t>TÔN_CUỘN_MẠ_KẼM</t>
        </is>
      </c>
      <c r="D18" t="inlineStr">
        <is>
          <t>TÔN THĂNG LONG VNSTEEL 0.70mm</t>
        </is>
      </c>
      <c r="E18" t="inlineStr">
        <is>
          <t>kg</t>
        </is>
      </c>
      <c r="F18" t="inlineStr">
        <is>
          <t>6.54 kg/m2</t>
        </is>
      </c>
      <c r="G18" t="inlineStr">
        <is>
          <t>Vat tu tôn!R14C7</t>
        </is>
      </c>
    </row>
    <row r="19">
      <c r="A19" t="n">
        <v>18</v>
      </c>
      <c r="B19" t="inlineStr">
        <is>
          <t>MAT-STEEL-VNSTEEL-0.75</t>
        </is>
      </c>
      <c r="C19" t="inlineStr">
        <is>
          <t>TÔN_CUỘN_MẠ_KẼM</t>
        </is>
      </c>
      <c r="D19" t="inlineStr">
        <is>
          <t>TÔN THĂNG LONG VNSTEEL 0.75mm</t>
        </is>
      </c>
      <c r="E19" t="inlineStr">
        <is>
          <t>kg</t>
        </is>
      </c>
      <c r="F19" t="inlineStr">
        <is>
          <t>7.02 kg/m2</t>
        </is>
      </c>
      <c r="G19" t="inlineStr">
        <is>
          <t>Vat tu tôn!R15C7</t>
        </is>
      </c>
    </row>
    <row r="20">
      <c r="A20" t="n">
        <v>19</v>
      </c>
      <c r="B20" t="inlineStr">
        <is>
          <t>MAT-STEEL-VNSTEEL-0.95</t>
        </is>
      </c>
      <c r="C20" t="inlineStr">
        <is>
          <t>TÔN_CUỘN_MẠ_KẼM</t>
        </is>
      </c>
      <c r="D20" t="inlineStr">
        <is>
          <t>TÔN THĂNG LONG VNSTEEL 0.95mm</t>
        </is>
      </c>
      <c r="E20" t="inlineStr">
        <is>
          <t>kg</t>
        </is>
      </c>
      <c r="F20" t="inlineStr">
        <is>
          <t>8.9 kg/m2</t>
        </is>
      </c>
      <c r="G20" t="inlineStr">
        <is>
          <t>Vat tu tôn!R16C7</t>
        </is>
      </c>
    </row>
    <row r="21">
      <c r="A21" t="n">
        <v>20</v>
      </c>
      <c r="B21" t="inlineStr">
        <is>
          <t>MAT-STEEL-VNSTEEL-1.15</t>
        </is>
      </c>
      <c r="C21" t="inlineStr">
        <is>
          <t>TÔN_CUỘN_MẠ_KẼM</t>
        </is>
      </c>
      <c r="D21" t="inlineStr">
        <is>
          <t>TÔN THĂNG LONG VNSTEEL 1.15mm</t>
        </is>
      </c>
      <c r="E21" t="inlineStr">
        <is>
          <t>kg</t>
        </is>
      </c>
      <c r="F21" t="inlineStr">
        <is>
          <t>10.78 kg/m2</t>
        </is>
      </c>
      <c r="G21" t="inlineStr">
        <is>
          <t>Vat tu tôn!R17C7</t>
        </is>
      </c>
    </row>
    <row r="22">
      <c r="A22" t="n">
        <v>21</v>
      </c>
      <c r="B22" t="inlineStr">
        <is>
          <t>MAT-STEEL-VNSTEEL-1.20</t>
        </is>
      </c>
      <c r="C22" t="inlineStr">
        <is>
          <t>TÔN_CUỘN_MẠ_KẼM</t>
        </is>
      </c>
      <c r="D22" t="inlineStr">
        <is>
          <t>TÔN THĂNG LONG VNSTEEL 1.20mm</t>
        </is>
      </c>
      <c r="E22" t="inlineStr">
        <is>
          <t>kg</t>
        </is>
      </c>
      <c r="F22" t="inlineStr">
        <is>
          <t>11.25 kg/m2</t>
        </is>
      </c>
      <c r="G22" t="inlineStr">
        <is>
          <t>Vat tu tôn!R18C7</t>
        </is>
      </c>
    </row>
    <row r="23">
      <c r="A23" t="n">
        <v>22</v>
      </c>
      <c r="B23" t="inlineStr">
        <is>
          <t>MAT-STEEL-PN-0.48</t>
        </is>
      </c>
      <c r="C23" t="inlineStr">
        <is>
          <t>TÔN_CUỘN_MẠ_KẼM</t>
        </is>
      </c>
      <c r="D23" t="inlineStr">
        <is>
          <t>TÔN PHƯƠNG NAM 0.48mm</t>
        </is>
      </c>
      <c r="E23" t="inlineStr">
        <is>
          <t>kg</t>
        </is>
      </c>
      <c r="F23" t="inlineStr">
        <is>
          <t>3.768 kg/m2</t>
        </is>
      </c>
      <c r="G23" t="inlineStr">
        <is>
          <t>Vat tu tôn!R5C14</t>
        </is>
      </c>
    </row>
    <row r="24">
      <c r="A24" t="n">
        <v>23</v>
      </c>
      <c r="B24" t="inlineStr">
        <is>
          <t>MAT-STEEL-PN-0.58</t>
        </is>
      </c>
      <c r="C24" t="inlineStr">
        <is>
          <t>TÔN_CUỘN_MẠ_KẼM</t>
        </is>
      </c>
      <c r="D24" t="inlineStr">
        <is>
          <t>TÔN PHƯƠNG NAM 0.58mm</t>
        </is>
      </c>
      <c r="E24" t="inlineStr">
        <is>
          <t>kg</t>
        </is>
      </c>
      <c r="F24" t="inlineStr">
        <is>
          <t>4.553 kg/m2</t>
        </is>
      </c>
      <c r="G24" t="inlineStr">
        <is>
          <t>Vat tu tôn!R6C14</t>
        </is>
      </c>
    </row>
    <row r="25">
      <c r="A25" t="n">
        <v>24</v>
      </c>
      <c r="B25" t="inlineStr">
        <is>
          <t>MAT-STEEL-PN-0.75</t>
        </is>
      </c>
      <c r="C25" t="inlineStr">
        <is>
          <t>TÔN_CUỘN_MẠ_KẼM</t>
        </is>
      </c>
      <c r="D25" t="inlineStr">
        <is>
          <t>TÔN PHƯƠNG NAM 0.75mm</t>
        </is>
      </c>
      <c r="E25" t="inlineStr">
        <is>
          <t>kg</t>
        </is>
      </c>
      <c r="F25" t="inlineStr">
        <is>
          <t>5.887 kg/m2</t>
        </is>
      </c>
      <c r="G25" t="inlineStr">
        <is>
          <t>Vat tu tôn!R7C14</t>
        </is>
      </c>
    </row>
    <row r="26">
      <c r="A26" t="n">
        <v>25</v>
      </c>
      <c r="B26" t="inlineStr">
        <is>
          <t>MAT-STEEL-PN-0.95</t>
        </is>
      </c>
      <c r="C26" t="inlineStr">
        <is>
          <t>TÔN_CUỘN_MẠ_KẼM</t>
        </is>
      </c>
      <c r="D26" t="inlineStr">
        <is>
          <t>TÔN PHƯƠNG NAM 0.95mm</t>
        </is>
      </c>
      <c r="E26" t="inlineStr">
        <is>
          <t>kg</t>
        </is>
      </c>
      <c r="F26" t="inlineStr">
        <is>
          <t>7.457 kg/m2</t>
        </is>
      </c>
      <c r="G26" t="inlineStr">
        <is>
          <t>Vat tu tôn!R8C14</t>
        </is>
      </c>
    </row>
    <row r="27">
      <c r="A27" t="n">
        <v>26</v>
      </c>
      <c r="B27" t="inlineStr">
        <is>
          <t>MAT-STEEL-PN-1.15</t>
        </is>
      </c>
      <c r="C27" t="inlineStr">
        <is>
          <t>TÔN_CUỘN_MẠ_KẼM</t>
        </is>
      </c>
      <c r="D27" t="inlineStr">
        <is>
          <t>TÔN PHƯƠNG NAM 1.15mm</t>
        </is>
      </c>
      <c r="E27" t="inlineStr">
        <is>
          <t>kg</t>
        </is>
      </c>
      <c r="F27" t="inlineStr">
        <is>
          <t>9.027 kg/m2</t>
        </is>
      </c>
      <c r="G27" t="inlineStr">
        <is>
          <t>Vat tu tôn!R9C14</t>
        </is>
      </c>
    </row>
    <row r="28">
      <c r="A28" t="n">
        <v>27</v>
      </c>
      <c r="B28" t="inlineStr">
        <is>
          <t>MAT-STEEL-PN-1.20</t>
        </is>
      </c>
      <c r="C28" t="inlineStr">
        <is>
          <t>TÔN_CUỘN_MẠ_KẼM</t>
        </is>
      </c>
      <c r="D28" t="inlineStr">
        <is>
          <t>TÔN PHƯƠNG NAM 1.20mm</t>
        </is>
      </c>
      <c r="E28" t="inlineStr">
        <is>
          <t>kg</t>
        </is>
      </c>
      <c r="F28" t="inlineStr">
        <is>
          <t>9.027 kg/m2</t>
        </is>
      </c>
      <c r="G28" t="inlineStr">
        <is>
          <t>Vat tu tôn!R9C14</t>
        </is>
      </c>
    </row>
    <row r="29">
      <c r="A29" t="n">
        <v>28</v>
      </c>
      <c r="B29" t="inlineStr">
        <is>
          <t>MAT-STEEL-PN-1.38</t>
        </is>
      </c>
      <c r="C29" t="inlineStr">
        <is>
          <t>TÔN_CUỘN_MẠ_KẼM</t>
        </is>
      </c>
      <c r="D29" t="inlineStr">
        <is>
          <t>TÔN PHƯƠNG NAM 1.38mm</t>
        </is>
      </c>
      <c r="E29" t="inlineStr">
        <is>
          <t>kg</t>
        </is>
      </c>
      <c r="F29" t="inlineStr">
        <is>
          <t>10.833 kg/m2</t>
        </is>
      </c>
      <c r="G29" t="inlineStr">
        <is>
          <t>Vat tu tôn!R10C14</t>
        </is>
      </c>
    </row>
    <row r="30">
      <c r="A30" t="n">
        <v>29</v>
      </c>
      <c r="B30" t="inlineStr">
        <is>
          <t>MAT-STEEL-PN-1.48</t>
        </is>
      </c>
      <c r="C30" t="inlineStr">
        <is>
          <t>TÔN_CUỘN_MẠ_KẼM</t>
        </is>
      </c>
      <c r="D30" t="inlineStr">
        <is>
          <t>TÔN PHƯƠNG NAM 1.48mm</t>
        </is>
      </c>
      <c r="E30" t="inlineStr">
        <is>
          <t>kg</t>
        </is>
      </c>
      <c r="F30" t="inlineStr">
        <is>
          <t>11.618 kg/m2</t>
        </is>
      </c>
      <c r="G30" t="inlineStr">
        <is>
          <t>Vat tu tôn!R11C14</t>
        </is>
      </c>
    </row>
    <row r="31">
      <c r="A31" t="n">
        <v>30</v>
      </c>
      <c r="B31" t="inlineStr">
        <is>
          <t>MAT-STEEL-PN-1.50</t>
        </is>
      </c>
      <c r="C31" t="inlineStr">
        <is>
          <t>TÔN_CUỘN_MẠ_KẼM</t>
        </is>
      </c>
      <c r="D31" t="inlineStr">
        <is>
          <t>TÔN PHƯƠNG NAM 1.50mm</t>
        </is>
      </c>
      <c r="E31" t="inlineStr">
        <is>
          <t>kg</t>
        </is>
      </c>
      <c r="F31" t="inlineStr">
        <is>
          <t>11.618 kg/m2</t>
        </is>
      </c>
      <c r="G31" t="inlineStr">
        <is>
          <t>Vat tu tôn!R11C14</t>
        </is>
      </c>
    </row>
    <row r="32">
      <c r="A32" t="n">
        <v>31</v>
      </c>
      <c r="B32" t="inlineStr">
        <is>
          <t>MAT-STEEL-HOASEN-0.48</t>
        </is>
      </c>
      <c r="C32" t="inlineStr">
        <is>
          <t>TÔN_CUỘN_MẠ_KẼM</t>
        </is>
      </c>
      <c r="D32" t="inlineStr">
        <is>
          <t>TÔN HOA SEN 0.48mm</t>
        </is>
      </c>
      <c r="E32" t="inlineStr">
        <is>
          <t>kg</t>
        </is>
      </c>
      <c r="F32" t="inlineStr">
        <is>
          <t>3.768 kg/m2</t>
        </is>
      </c>
      <c r="G32" t="inlineStr">
        <is>
          <t>Vat tu tôn!R5C19</t>
        </is>
      </c>
    </row>
    <row r="33">
      <c r="A33" t="n">
        <v>32</v>
      </c>
      <c r="B33" t="inlineStr">
        <is>
          <t>MAT-STEEL-HOASEN-0.58</t>
        </is>
      </c>
      <c r="C33" t="inlineStr">
        <is>
          <t>TÔN_CUỘN_MẠ_KẼM</t>
        </is>
      </c>
      <c r="D33" t="inlineStr">
        <is>
          <t>TÔN HOA SEN 0.58mm</t>
        </is>
      </c>
      <c r="E33" t="inlineStr">
        <is>
          <t>kg</t>
        </is>
      </c>
      <c r="F33" t="inlineStr">
        <is>
          <t>4.553 kg/m2</t>
        </is>
      </c>
      <c r="G33" t="inlineStr">
        <is>
          <t>Vat tu tôn!R6C19</t>
        </is>
      </c>
    </row>
    <row r="34">
      <c r="A34" t="n">
        <v>33</v>
      </c>
      <c r="B34" t="inlineStr">
        <is>
          <t>MAT-STEEL-HOASEN-0.75</t>
        </is>
      </c>
      <c r="C34" t="inlineStr">
        <is>
          <t>TÔN_CUỘN_MẠ_KẼM</t>
        </is>
      </c>
      <c r="D34" t="inlineStr">
        <is>
          <t>TÔN HOA SEN 0.75mm</t>
        </is>
      </c>
      <c r="E34" t="inlineStr">
        <is>
          <t>kg</t>
        </is>
      </c>
      <c r="F34" t="inlineStr">
        <is>
          <t>5.887 kg/m2</t>
        </is>
      </c>
      <c r="G34" t="inlineStr">
        <is>
          <t>Vat tu tôn!R7C19</t>
        </is>
      </c>
    </row>
    <row r="35">
      <c r="A35" t="n">
        <v>34</v>
      </c>
      <c r="B35" t="inlineStr">
        <is>
          <t>MAT-STEEL-HOASEN-0.95</t>
        </is>
      </c>
      <c r="C35" t="inlineStr">
        <is>
          <t>TÔN_CUỘN_MẠ_KẼM</t>
        </is>
      </c>
      <c r="D35" t="inlineStr">
        <is>
          <t>TÔN HOA SEN 0.95mm</t>
        </is>
      </c>
      <c r="E35" t="inlineStr">
        <is>
          <t>kg</t>
        </is>
      </c>
      <c r="F35" t="inlineStr">
        <is>
          <t>7.457 kg/m2</t>
        </is>
      </c>
      <c r="G35" t="inlineStr">
        <is>
          <t>Vat tu tôn!R8C19</t>
        </is>
      </c>
    </row>
    <row r="36">
      <c r="A36" t="n">
        <v>35</v>
      </c>
      <c r="B36" t="inlineStr">
        <is>
          <t>MAT-STEEL-HOASEN-1.15</t>
        </is>
      </c>
      <c r="C36" t="inlineStr">
        <is>
          <t>TÔN_CUỘN_MẠ_KẼM</t>
        </is>
      </c>
      <c r="D36" t="inlineStr">
        <is>
          <t>TÔN HOA SEN 1.15mm</t>
        </is>
      </c>
      <c r="E36" t="inlineStr">
        <is>
          <t>kg</t>
        </is>
      </c>
      <c r="F36" t="inlineStr">
        <is>
          <t>9.027 kg/m2</t>
        </is>
      </c>
      <c r="G36" t="inlineStr">
        <is>
          <t>Vat tu tôn!R9C19</t>
        </is>
      </c>
    </row>
    <row r="37">
      <c r="A37" t="n">
        <v>36</v>
      </c>
      <c r="B37" t="inlineStr">
        <is>
          <t>MAT-STEEL-HOA_SEN-1.15</t>
        </is>
      </c>
      <c r="C37" t="inlineStr">
        <is>
          <t>TÔN_CUỘN_MẠ_KẼM</t>
        </is>
      </c>
      <c r="D37" t="inlineStr">
        <is>
          <t>TÔN HOA SEN 1.15mm</t>
        </is>
      </c>
      <c r="E37" t="inlineStr">
        <is>
          <t>kg</t>
        </is>
      </c>
      <c r="F37" t="inlineStr">
        <is>
          <t>9.027 kg/m2</t>
        </is>
      </c>
      <c r="G37" t="inlineStr">
        <is>
          <t>Vat tu tôn!R9C19</t>
        </is>
      </c>
    </row>
    <row r="38">
      <c r="A38" t="n">
        <v>37</v>
      </c>
      <c r="B38" t="inlineStr">
        <is>
          <t>MAT-STEEL-HOASEN-1.50</t>
        </is>
      </c>
      <c r="C38" t="inlineStr">
        <is>
          <t>TÔN_CUỘN_MẠ_KẼM</t>
        </is>
      </c>
      <c r="D38" t="inlineStr">
        <is>
          <t>TÔN HOA SEN 1.50mm</t>
        </is>
      </c>
      <c r="E38" t="inlineStr">
        <is>
          <t>kg</t>
        </is>
      </c>
      <c r="F38" t="inlineStr">
        <is>
          <t>11.775 kg/m2</t>
        </is>
      </c>
      <c r="G38" t="inlineStr">
        <is>
          <t>Vat tu tôn!R10C19</t>
        </is>
      </c>
    </row>
    <row r="39">
      <c r="A39" t="n">
        <v>38</v>
      </c>
      <c r="B39" t="inlineStr">
        <is>
          <t>MAT-STEEL-BLUESCOPE-0.47</t>
        </is>
      </c>
      <c r="C39" t="inlineStr">
        <is>
          <t>TÔN_CUỘN_MẠ_KẼM</t>
        </is>
      </c>
      <c r="D39" t="inlineStr">
        <is>
          <t>TÔN BLUESCOPE 0.47mm</t>
        </is>
      </c>
      <c r="E39" t="inlineStr">
        <is>
          <t>kg</t>
        </is>
      </c>
      <c r="F39" t="inlineStr">
        <is>
          <t>3.689 kg/m2</t>
        </is>
      </c>
      <c r="G39" t="inlineStr">
        <is>
          <t>Vat tu tôn!R5C24</t>
        </is>
      </c>
    </row>
    <row r="40">
      <c r="A40" t="n">
        <v>39</v>
      </c>
      <c r="B40" t="inlineStr">
        <is>
          <t>MAT-STEEL-BLUESCOPE-0.57</t>
        </is>
      </c>
      <c r="C40" t="inlineStr">
        <is>
          <t>TÔN_CUỘN_MẠ_KẼM</t>
        </is>
      </c>
      <c r="D40" t="inlineStr">
        <is>
          <t>TÔN BLUESCOPE 0.57mm</t>
        </is>
      </c>
      <c r="E40" t="inlineStr">
        <is>
          <t>kg</t>
        </is>
      </c>
      <c r="F40" t="inlineStr">
        <is>
          <t>4.474 kg/m2</t>
        </is>
      </c>
      <c r="G40" t="inlineStr">
        <is>
          <t>Vat tu tôn!R6C24</t>
        </is>
      </c>
    </row>
    <row r="41">
      <c r="A41" t="n">
        <v>40</v>
      </c>
      <c r="B41" t="inlineStr">
        <is>
          <t>MAT-STEEL-BLUESCOPE-0.77</t>
        </is>
      </c>
      <c r="C41" t="inlineStr">
        <is>
          <t>TÔN_CUỘN_MẠ_KẼM</t>
        </is>
      </c>
      <c r="D41" t="inlineStr">
        <is>
          <t>TÔN BLUESCOPE 0.77mm</t>
        </is>
      </c>
      <c r="E41" t="inlineStr">
        <is>
          <t>kg</t>
        </is>
      </c>
      <c r="F41" t="inlineStr">
        <is>
          <t>6.045 kg/m2</t>
        </is>
      </c>
      <c r="G41" t="inlineStr">
        <is>
          <t>Vat tu tôn!R7C24</t>
        </is>
      </c>
    </row>
    <row r="42">
      <c r="A42" t="n">
        <v>41</v>
      </c>
      <c r="B42" t="inlineStr">
        <is>
          <t>MAT-STEEL-BLUESCOPE-0.95</t>
        </is>
      </c>
      <c r="C42" t="inlineStr">
        <is>
          <t>TÔN_CUỘN_MẠ_KẼM</t>
        </is>
      </c>
      <c r="D42" t="inlineStr">
        <is>
          <t>TÔN BLUESCOPE 0.95mm</t>
        </is>
      </c>
      <c r="E42" t="inlineStr">
        <is>
          <t>kg</t>
        </is>
      </c>
      <c r="F42" t="inlineStr">
        <is>
          <t>7.457 kg/m2</t>
        </is>
      </c>
      <c r="G42" t="inlineStr">
        <is>
          <t>Vat tu tôn!R8C24</t>
        </is>
      </c>
    </row>
    <row r="43">
      <c r="A43" t="n">
        <v>42</v>
      </c>
      <c r="B43" t="inlineStr">
        <is>
          <t>MAT-STEEL-BLUESCOPE-1.15</t>
        </is>
      </c>
      <c r="C43" t="inlineStr">
        <is>
          <t>TÔN_CUỘN_MẠ_KẼM</t>
        </is>
      </c>
      <c r="D43" t="inlineStr">
        <is>
          <t>TÔN BLUESCOPE 1.15mm</t>
        </is>
      </c>
      <c r="E43" t="inlineStr">
        <is>
          <t>kg</t>
        </is>
      </c>
      <c r="F43" t="inlineStr">
        <is>
          <t>9.027 kg/m2</t>
        </is>
      </c>
      <c r="G43" t="inlineStr">
        <is>
          <t>Vat tu tôn!R9C24</t>
        </is>
      </c>
    </row>
    <row r="44">
      <c r="A44" t="n">
        <v>43</v>
      </c>
      <c r="B44" t="inlineStr">
        <is>
          <t>MAT-INOX-SUS304-0-5</t>
        </is>
      </c>
      <c r="C44" t="inlineStr">
        <is>
          <t>INOX</t>
        </is>
      </c>
      <c r="D44" t="inlineStr">
        <is>
          <t>Inox Sus304-0.5</t>
        </is>
      </c>
      <c r="E44" t="inlineStr">
        <is>
          <t>kg</t>
        </is>
      </c>
      <c r="F44" t="inlineStr"/>
      <c r="G44" t="inlineStr">
        <is>
          <t>Vat tu tôn!R5C29</t>
        </is>
      </c>
    </row>
    <row r="45">
      <c r="A45" t="n">
        <v>44</v>
      </c>
      <c r="B45" t="inlineStr">
        <is>
          <t>MAT-INOX-SUS304-0-6</t>
        </is>
      </c>
      <c r="C45" t="inlineStr">
        <is>
          <t>INOX</t>
        </is>
      </c>
      <c r="D45" t="inlineStr">
        <is>
          <t>Inox Sus304-0.6</t>
        </is>
      </c>
      <c r="E45" t="inlineStr">
        <is>
          <t>kg</t>
        </is>
      </c>
      <c r="F45" t="inlineStr"/>
      <c r="G45" t="inlineStr">
        <is>
          <t>Vat tu tôn!R6C29</t>
        </is>
      </c>
    </row>
    <row r="46">
      <c r="A46" t="n">
        <v>45</v>
      </c>
      <c r="B46" t="inlineStr">
        <is>
          <t>MAT-INOX-SUS304-0-7</t>
        </is>
      </c>
      <c r="C46" t="inlineStr">
        <is>
          <t>INOX</t>
        </is>
      </c>
      <c r="D46" t="inlineStr">
        <is>
          <t>Inox Sus304-0.7</t>
        </is>
      </c>
      <c r="E46" t="inlineStr">
        <is>
          <t>kg</t>
        </is>
      </c>
      <c r="F46" t="inlineStr"/>
      <c r="G46" t="inlineStr">
        <is>
          <t>Vat tu tôn!R7C29</t>
        </is>
      </c>
    </row>
    <row r="47">
      <c r="A47" t="n">
        <v>46</v>
      </c>
      <c r="B47" t="inlineStr">
        <is>
          <t>MAT-INOX-SUS304-0-8</t>
        </is>
      </c>
      <c r="C47" t="inlineStr">
        <is>
          <t>INOX</t>
        </is>
      </c>
      <c r="D47" t="inlineStr">
        <is>
          <t>Inox Sus304-0.8</t>
        </is>
      </c>
      <c r="E47" t="inlineStr">
        <is>
          <t>kg</t>
        </is>
      </c>
      <c r="F47" t="inlineStr"/>
      <c r="G47" t="inlineStr">
        <is>
          <t>Vat tu tôn!R8C29</t>
        </is>
      </c>
    </row>
    <row r="48">
      <c r="A48" t="n">
        <v>47</v>
      </c>
      <c r="B48" t="inlineStr">
        <is>
          <t>MAT-INOX-SUS304-0-9</t>
        </is>
      </c>
      <c r="C48" t="inlineStr">
        <is>
          <t>INOX</t>
        </is>
      </c>
      <c r="D48" t="inlineStr">
        <is>
          <t>Inox Sus304-0.9</t>
        </is>
      </c>
      <c r="E48" t="inlineStr">
        <is>
          <t>kg</t>
        </is>
      </c>
      <c r="F48" t="inlineStr"/>
      <c r="G48" t="inlineStr">
        <is>
          <t>Vat tu tôn!R9C29</t>
        </is>
      </c>
    </row>
    <row r="49">
      <c r="A49" t="n">
        <v>48</v>
      </c>
      <c r="B49" t="inlineStr">
        <is>
          <t>MAT-INOX-SUS304-1-0</t>
        </is>
      </c>
      <c r="C49" t="inlineStr">
        <is>
          <t>INOX</t>
        </is>
      </c>
      <c r="D49" t="inlineStr">
        <is>
          <t>Inox Sus304-1,0</t>
        </is>
      </c>
      <c r="E49" t="inlineStr">
        <is>
          <t>kg</t>
        </is>
      </c>
      <c r="F49" t="inlineStr"/>
      <c r="G49" t="inlineStr">
        <is>
          <t>Vat tu tôn!R10C29</t>
        </is>
      </c>
    </row>
    <row r="50">
      <c r="A50" t="n">
        <v>49</v>
      </c>
      <c r="B50" t="inlineStr">
        <is>
          <t>MAT-INOX-SUS304-1-2</t>
        </is>
      </c>
      <c r="C50" t="inlineStr">
        <is>
          <t>INOX</t>
        </is>
      </c>
      <c r="D50" t="inlineStr">
        <is>
          <t>Inox Sus304-1,2</t>
        </is>
      </c>
      <c r="E50" t="inlineStr">
        <is>
          <t>kg</t>
        </is>
      </c>
      <c r="F50" t="inlineStr"/>
      <c r="G50" t="inlineStr">
        <is>
          <t>Vat tu tôn!R11C29</t>
        </is>
      </c>
    </row>
    <row r="51">
      <c r="A51" t="n">
        <v>50</v>
      </c>
      <c r="B51" t="inlineStr">
        <is>
          <t>MAT-INOX-SUS430-0-5</t>
        </is>
      </c>
      <c r="C51" t="inlineStr">
        <is>
          <t>INOX</t>
        </is>
      </c>
      <c r="D51" t="inlineStr">
        <is>
          <t>Inox Sus430-0.5</t>
        </is>
      </c>
      <c r="E51" t="inlineStr">
        <is>
          <t>kg</t>
        </is>
      </c>
      <c r="F51" t="inlineStr"/>
      <c r="G51" t="inlineStr">
        <is>
          <t>Vat tu tôn!R12C29</t>
        </is>
      </c>
    </row>
    <row r="52">
      <c r="A52" t="n">
        <v>51</v>
      </c>
      <c r="B52" t="inlineStr">
        <is>
          <t>MAT-INOX-SUS430-0-6</t>
        </is>
      </c>
      <c r="C52" t="inlineStr">
        <is>
          <t>INOX</t>
        </is>
      </c>
      <c r="D52" t="inlineStr">
        <is>
          <t>Inox Sus430-0.6</t>
        </is>
      </c>
      <c r="E52" t="inlineStr">
        <is>
          <t>kg</t>
        </is>
      </c>
      <c r="F52" t="inlineStr"/>
      <c r="G52" t="inlineStr">
        <is>
          <t>Vat tu tôn!R13C29</t>
        </is>
      </c>
    </row>
    <row r="53">
      <c r="A53" t="n">
        <v>52</v>
      </c>
      <c r="B53" t="inlineStr">
        <is>
          <t>MAT-INOX-SUS430-0-7</t>
        </is>
      </c>
      <c r="C53" t="inlineStr">
        <is>
          <t>INOX</t>
        </is>
      </c>
      <c r="D53" t="inlineStr">
        <is>
          <t>Inox Sus430-0.7</t>
        </is>
      </c>
      <c r="E53" t="inlineStr">
        <is>
          <t>kg</t>
        </is>
      </c>
      <c r="F53" t="inlineStr"/>
      <c r="G53" t="inlineStr">
        <is>
          <t>Vat tu tôn!R14C29</t>
        </is>
      </c>
    </row>
    <row r="54">
      <c r="A54" t="n">
        <v>53</v>
      </c>
      <c r="B54" t="inlineStr">
        <is>
          <t>MAT-INOX-SUS430-0-8</t>
        </is>
      </c>
      <c r="C54" t="inlineStr">
        <is>
          <t>INOX</t>
        </is>
      </c>
      <c r="D54" t="inlineStr">
        <is>
          <t>Inox Sus430-0.8</t>
        </is>
      </c>
      <c r="E54" t="inlineStr">
        <is>
          <t>kg</t>
        </is>
      </c>
      <c r="F54" t="inlineStr"/>
      <c r="G54" t="inlineStr">
        <is>
          <t>Vat tu tôn!R15C29</t>
        </is>
      </c>
    </row>
    <row r="55">
      <c r="A55" t="n">
        <v>54</v>
      </c>
      <c r="B55" t="inlineStr">
        <is>
          <t>MAT-INOX-SUS430-0-9</t>
        </is>
      </c>
      <c r="C55" t="inlineStr">
        <is>
          <t>INOX</t>
        </is>
      </c>
      <c r="D55" t="inlineStr">
        <is>
          <t>Inox Sus430-0.9</t>
        </is>
      </c>
      <c r="E55" t="inlineStr">
        <is>
          <t>kg</t>
        </is>
      </c>
      <c r="F55" t="inlineStr"/>
      <c r="G55" t="inlineStr">
        <is>
          <t>Vat tu tôn!R16C29</t>
        </is>
      </c>
    </row>
    <row r="56">
      <c r="A56" t="n">
        <v>55</v>
      </c>
      <c r="B56" t="inlineStr">
        <is>
          <t>MAT-INOX-SUS430-1-0</t>
        </is>
      </c>
      <c r="C56" t="inlineStr">
        <is>
          <t>INOX</t>
        </is>
      </c>
      <c r="D56" t="inlineStr">
        <is>
          <t>Inox Sus430-1,0</t>
        </is>
      </c>
      <c r="E56" t="inlineStr">
        <is>
          <t>kg</t>
        </is>
      </c>
      <c r="F56" t="inlineStr"/>
      <c r="G56" t="inlineStr">
        <is>
          <t>Vat tu tôn!R17C29</t>
        </is>
      </c>
    </row>
    <row r="57">
      <c r="A57" t="n">
        <v>56</v>
      </c>
      <c r="B57" t="inlineStr">
        <is>
          <t>MAT-INOX-SUS430-1-1</t>
        </is>
      </c>
      <c r="C57" t="inlineStr">
        <is>
          <t>INOX</t>
        </is>
      </c>
      <c r="D57" t="inlineStr">
        <is>
          <t>Inox Sus430-1,1</t>
        </is>
      </c>
      <c r="E57" t="inlineStr">
        <is>
          <t>kg</t>
        </is>
      </c>
      <c r="F57" t="inlineStr"/>
      <c r="G57" t="inlineStr">
        <is>
          <t>Vat tu tôn!R18C29</t>
        </is>
      </c>
    </row>
    <row r="58">
      <c r="A58" t="n">
        <v>57</v>
      </c>
      <c r="B58" t="inlineStr">
        <is>
          <t>MAT-INOX-SUS430-1-2</t>
        </is>
      </c>
      <c r="C58" t="inlineStr">
        <is>
          <t>INOX</t>
        </is>
      </c>
      <c r="D58" t="inlineStr">
        <is>
          <t>Inox Sus430-1,2</t>
        </is>
      </c>
      <c r="E58" t="inlineStr">
        <is>
          <t>kg</t>
        </is>
      </c>
      <c r="F58" t="inlineStr"/>
      <c r="G58" t="inlineStr">
        <is>
          <t>Vat tu tôn!R19C29</t>
        </is>
      </c>
    </row>
    <row r="59">
      <c r="A59" t="n">
        <v>58</v>
      </c>
      <c r="B59" t="inlineStr">
        <is>
          <t>MAT-INOX-SUS201-0-4</t>
        </is>
      </c>
      <c r="C59" t="inlineStr">
        <is>
          <t>INOX</t>
        </is>
      </c>
      <c r="D59" t="inlineStr">
        <is>
          <t>Inox Sus201-0.4</t>
        </is>
      </c>
      <c r="E59" t="inlineStr">
        <is>
          <t>kg</t>
        </is>
      </c>
      <c r="F59" t="inlineStr"/>
      <c r="G59" t="inlineStr">
        <is>
          <t>Vat tu tôn!R20C29</t>
        </is>
      </c>
    </row>
    <row r="60">
      <c r="A60" t="n">
        <v>59</v>
      </c>
      <c r="B60" t="inlineStr">
        <is>
          <t>MAT-INOX-SUS201-0-5</t>
        </is>
      </c>
      <c r="C60" t="inlineStr">
        <is>
          <t>INOX</t>
        </is>
      </c>
      <c r="D60" t="inlineStr">
        <is>
          <t>Inox Sus201-0.5</t>
        </is>
      </c>
      <c r="E60" t="inlineStr">
        <is>
          <t>kg</t>
        </is>
      </c>
      <c r="F60" t="inlineStr"/>
      <c r="G60" t="inlineStr">
        <is>
          <t>Vat tu tôn!R21C29</t>
        </is>
      </c>
    </row>
    <row r="61">
      <c r="A61" t="n">
        <v>60</v>
      </c>
      <c r="B61" t="inlineStr">
        <is>
          <t>MAT-INOX-SUS201-0-6</t>
        </is>
      </c>
      <c r="C61" t="inlineStr">
        <is>
          <t>INOX</t>
        </is>
      </c>
      <c r="D61" t="inlineStr">
        <is>
          <t>Inox Sus201-0.6</t>
        </is>
      </c>
      <c r="E61" t="inlineStr">
        <is>
          <t>kg</t>
        </is>
      </c>
      <c r="F61" t="inlineStr"/>
      <c r="G61" t="inlineStr">
        <is>
          <t>Vat tu tôn!R22C29</t>
        </is>
      </c>
    </row>
    <row r="62">
      <c r="A62" t="n">
        <v>61</v>
      </c>
      <c r="B62" t="inlineStr">
        <is>
          <t>MAT-INOX-SUS201-0-7</t>
        </is>
      </c>
      <c r="C62" t="inlineStr">
        <is>
          <t>INOX</t>
        </is>
      </c>
      <c r="D62" t="inlineStr">
        <is>
          <t>Inox Sus201-0.7</t>
        </is>
      </c>
      <c r="E62" t="inlineStr">
        <is>
          <t>kg</t>
        </is>
      </c>
      <c r="F62" t="inlineStr"/>
      <c r="G62" t="inlineStr">
        <is>
          <t>Vat tu tôn!R23C29</t>
        </is>
      </c>
    </row>
    <row r="63">
      <c r="A63" t="n">
        <v>62</v>
      </c>
      <c r="B63" t="inlineStr">
        <is>
          <t>MAT-INOX-SUS201-0-8</t>
        </is>
      </c>
      <c r="C63" t="inlineStr">
        <is>
          <t>INOX</t>
        </is>
      </c>
      <c r="D63" t="inlineStr">
        <is>
          <t>Inox Sus201-0.8</t>
        </is>
      </c>
      <c r="E63" t="inlineStr">
        <is>
          <t>kg</t>
        </is>
      </c>
      <c r="F63" t="inlineStr"/>
      <c r="G63" t="inlineStr">
        <is>
          <t>Vat tu tôn!R24C29</t>
        </is>
      </c>
    </row>
    <row r="64">
      <c r="A64" t="n">
        <v>63</v>
      </c>
      <c r="B64" t="inlineStr">
        <is>
          <t>MAT-DAMPER-TRUC-SUS-201-D10</t>
        </is>
      </c>
      <c r="C64" t="inlineStr">
        <is>
          <t>PHỤ_KIỆN_VAN</t>
        </is>
      </c>
      <c r="D64" t="inlineStr">
        <is>
          <t>Trục Sus 201 D10</t>
        </is>
      </c>
      <c r="E64" t="inlineStr">
        <is>
          <t>m</t>
        </is>
      </c>
      <c r="F64" t="inlineStr"/>
      <c r="G64" t="inlineStr">
        <is>
          <t>Vat tu tôn</t>
        </is>
      </c>
    </row>
    <row r="65">
      <c r="A65" t="n">
        <v>64</v>
      </c>
      <c r="B65" t="inlineStr">
        <is>
          <t>MAT-DAMPER-TRUC-SUS-201-D12</t>
        </is>
      </c>
      <c r="C65" t="inlineStr">
        <is>
          <t>PHỤ_KIỆN_VAN</t>
        </is>
      </c>
      <c r="D65" t="inlineStr">
        <is>
          <t>Trục Sus 201 D12</t>
        </is>
      </c>
      <c r="E65" t="inlineStr">
        <is>
          <t>m</t>
        </is>
      </c>
      <c r="F65" t="inlineStr"/>
      <c r="G65" t="inlineStr">
        <is>
          <t>Vat tu tôn</t>
        </is>
      </c>
    </row>
    <row r="66">
      <c r="A66" t="n">
        <v>65</v>
      </c>
      <c r="B66" t="inlineStr">
        <is>
          <t>MAT-DAMPER-TRUC-SUS-201-D14</t>
        </is>
      </c>
      <c r="C66" t="inlineStr">
        <is>
          <t>PHỤ_KIỆN_VAN</t>
        </is>
      </c>
      <c r="D66" t="inlineStr">
        <is>
          <t>Trục Sus 201 D14</t>
        </is>
      </c>
      <c r="E66" t="inlineStr">
        <is>
          <t>m</t>
        </is>
      </c>
      <c r="F66" t="inlineStr"/>
      <c r="G66" t="inlineStr">
        <is>
          <t>Vat tu tôn</t>
        </is>
      </c>
    </row>
    <row r="67">
      <c r="A67" t="n">
        <v>66</v>
      </c>
      <c r="B67" t="inlineStr">
        <is>
          <t>MAT-DAMPER-BAC-DONG-D10</t>
        </is>
      </c>
      <c r="C67" t="inlineStr">
        <is>
          <t>PHỤ_KIỆN_VAN</t>
        </is>
      </c>
      <c r="D67" t="inlineStr">
        <is>
          <t>Bạc đồng D10</t>
        </is>
      </c>
      <c r="E67" t="inlineStr">
        <is>
          <t>Đôi</t>
        </is>
      </c>
      <c r="F67" t="inlineStr"/>
      <c r="G67" t="inlineStr">
        <is>
          <t>Vat tu tôn</t>
        </is>
      </c>
    </row>
    <row r="68">
      <c r="A68" t="n">
        <v>67</v>
      </c>
      <c r="B68" t="inlineStr">
        <is>
          <t>MAT-DAMPER-BAC-DONG-D12</t>
        </is>
      </c>
      <c r="C68" t="inlineStr">
        <is>
          <t>PHỤ_KIỆN_VAN</t>
        </is>
      </c>
      <c r="D68" t="inlineStr">
        <is>
          <t>Bạc đồng D12</t>
        </is>
      </c>
      <c r="E68" t="inlineStr">
        <is>
          <t>Đôi</t>
        </is>
      </c>
      <c r="F68" t="inlineStr"/>
      <c r="G68" t="inlineStr">
        <is>
          <t>Vat tu tôn</t>
        </is>
      </c>
    </row>
    <row r="69">
      <c r="A69" t="n">
        <v>68</v>
      </c>
      <c r="B69" t="inlineStr">
        <is>
          <t>MAT-DAMPER-BAC-DONG-D14</t>
        </is>
      </c>
      <c r="C69" t="inlineStr">
        <is>
          <t>PHỤ_KIỆN_VAN</t>
        </is>
      </c>
      <c r="D69" t="inlineStr">
        <is>
          <t>Bạc đồng D14</t>
        </is>
      </c>
      <c r="E69" t="inlineStr">
        <is>
          <t>Đôi</t>
        </is>
      </c>
      <c r="F69" t="inlineStr"/>
      <c r="G69" t="inlineStr">
        <is>
          <t>Vat tu tôn</t>
        </is>
      </c>
    </row>
    <row r="70">
      <c r="A70" t="n">
        <v>69</v>
      </c>
      <c r="B70" t="inlineStr">
        <is>
          <t>MAT-DAMPER-TAY-GAT-1-1M2</t>
        </is>
      </c>
      <c r="C70" t="inlineStr">
        <is>
          <t>PHỤ_KIỆN_VAN</t>
        </is>
      </c>
      <c r="D70" t="inlineStr">
        <is>
          <t>Tay gạt 1 &gt;1m2</t>
        </is>
      </c>
      <c r="E70" t="inlineStr">
        <is>
          <t>Cái</t>
        </is>
      </c>
      <c r="F70" t="inlineStr"/>
      <c r="G70" t="inlineStr">
        <is>
          <t>Vat tu tôn</t>
        </is>
      </c>
    </row>
    <row r="71">
      <c r="A71" t="n">
        <v>70</v>
      </c>
      <c r="B71" t="inlineStr">
        <is>
          <t>MAT-DAMPER-GIANG-TAY-GAT-1</t>
        </is>
      </c>
      <c r="C71" t="inlineStr">
        <is>
          <t>PHỤ_KIỆN_VAN</t>
        </is>
      </c>
      <c r="D71" t="inlineStr">
        <is>
          <t>Giằng tay gạt 1</t>
        </is>
      </c>
      <c r="E71" t="inlineStr">
        <is>
          <t>Cái</t>
        </is>
      </c>
      <c r="F71" t="inlineStr"/>
      <c r="G71" t="inlineStr">
        <is>
          <t>Vat tu tôn</t>
        </is>
      </c>
    </row>
    <row r="72">
      <c r="A72" t="n">
        <v>71</v>
      </c>
      <c r="B72" t="inlineStr">
        <is>
          <t>MAT-DAMPER-GIANG-TAY-GAT-2</t>
        </is>
      </c>
      <c r="C72" t="inlineStr">
        <is>
          <t>PHỤ_KIỆN_VAN</t>
        </is>
      </c>
      <c r="D72" t="inlineStr">
        <is>
          <t>Giằng tay gạt 2</t>
        </is>
      </c>
      <c r="E72" t="inlineStr">
        <is>
          <t>Cái</t>
        </is>
      </c>
      <c r="F72" t="inlineStr"/>
      <c r="G72" t="inlineStr">
        <is>
          <t>Vat tu tôn!R13C33</t>
        </is>
      </c>
    </row>
    <row r="73">
      <c r="A73" t="n">
        <v>72</v>
      </c>
      <c r="B73" t="inlineStr">
        <is>
          <t>MAT-DAMPER-CAU-CHI-1-400X400</t>
        </is>
      </c>
      <c r="C73" t="inlineStr">
        <is>
          <t>PHỤ_KIỆN_VAN</t>
        </is>
      </c>
      <c r="D73" t="inlineStr">
        <is>
          <t>Cầu chì 1 &lt;400x400</t>
        </is>
      </c>
      <c r="E73" t="inlineStr">
        <is>
          <t>Cái</t>
        </is>
      </c>
      <c r="F73" t="inlineStr"/>
      <c r="G73" t="inlineStr">
        <is>
          <t>Vat tu tôn!R14C33</t>
        </is>
      </c>
    </row>
    <row r="74">
      <c r="A74" t="n">
        <v>73</v>
      </c>
      <c r="B74" t="inlineStr">
        <is>
          <t>MAT-DAMPER-CAU-CHI-2-400X400</t>
        </is>
      </c>
      <c r="C74" t="inlineStr">
        <is>
          <t>PHỤ_KIỆN_VAN</t>
        </is>
      </c>
      <c r="D74" t="inlineStr">
        <is>
          <t>Cầu chì 2&gt;400x400</t>
        </is>
      </c>
      <c r="E74" t="inlineStr">
        <is>
          <t>Cái</t>
        </is>
      </c>
      <c r="F74" t="inlineStr"/>
      <c r="G74" t="inlineStr">
        <is>
          <t>Vat tu tôn!R15C33</t>
        </is>
      </c>
    </row>
    <row r="75">
      <c r="A75" t="n">
        <v>74</v>
      </c>
      <c r="B75" t="inlineStr">
        <is>
          <t>MAT-DAMPER-TRUC-VIT-1</t>
        </is>
      </c>
      <c r="C75" t="inlineStr">
        <is>
          <t>PHỤ_KIỆN_VAN</t>
        </is>
      </c>
      <c r="D75" t="inlineStr">
        <is>
          <t>Trục vít 1</t>
        </is>
      </c>
      <c r="E75" t="inlineStr">
        <is>
          <t>Cái</t>
        </is>
      </c>
      <c r="F75" t="inlineStr"/>
      <c r="G75" t="inlineStr">
        <is>
          <t>Vat tu tôn!R16C33</t>
        </is>
      </c>
    </row>
    <row r="76">
      <c r="A76" t="n">
        <v>75</v>
      </c>
      <c r="B76" t="inlineStr">
        <is>
          <t>MAT-DAMPER-BAC-DONG-8</t>
        </is>
      </c>
      <c r="C76" t="inlineStr">
        <is>
          <t>PHỤ_KIỆN_VAN</t>
        </is>
      </c>
      <c r="D76" t="inlineStr">
        <is>
          <t>Bạc đồng 8</t>
        </is>
      </c>
      <c r="E76" t="inlineStr">
        <is>
          <t>cặp</t>
        </is>
      </c>
      <c r="F76" t="inlineStr"/>
      <c r="G76" t="inlineStr">
        <is>
          <t>Vat tu tôn!R18C33</t>
        </is>
      </c>
    </row>
    <row r="77">
      <c r="A77" t="n">
        <v>76</v>
      </c>
      <c r="B77" t="inlineStr">
        <is>
          <t>MAT-DAMPER-BANH-RANG-VAN-NHOM</t>
        </is>
      </c>
      <c r="C77" t="inlineStr">
        <is>
          <t>PHỤ_KIỆN_VAN</t>
        </is>
      </c>
      <c r="D77" t="inlineStr">
        <is>
          <t>Bánh răng van nhôm</t>
        </is>
      </c>
      <c r="E77" t="inlineStr">
        <is>
          <t>Bộ</t>
        </is>
      </c>
      <c r="F77" t="inlineStr"/>
      <c r="G77" t="inlineStr">
        <is>
          <t>Vat tu tôn!R19C33</t>
        </is>
      </c>
    </row>
    <row r="78">
      <c r="A78" t="n">
        <v>77</v>
      </c>
      <c r="B78" t="inlineStr">
        <is>
          <t>MAT-DAMPER-TAY-VAN-NHUA-1M2</t>
        </is>
      </c>
      <c r="C78" t="inlineStr">
        <is>
          <t>PHỤ_KIỆN_VAN</t>
        </is>
      </c>
      <c r="D78" t="inlineStr">
        <is>
          <t>Tay van nhựa &gt;1m2</t>
        </is>
      </c>
      <c r="E78" t="inlineStr">
        <is>
          <t>Bộ</t>
        </is>
      </c>
      <c r="F78" t="inlineStr"/>
      <c r="G78" t="inlineStr">
        <is>
          <t>Vat tu tôn!R20C33</t>
        </is>
      </c>
    </row>
    <row r="79">
      <c r="A79" t="n">
        <v>78</v>
      </c>
      <c r="B79" t="inlineStr">
        <is>
          <t>MAT-DAMPER-TAY-VAN-INOX-1M2</t>
        </is>
      </c>
      <c r="C79" t="inlineStr">
        <is>
          <t>PHỤ_KIỆN_VAN</t>
        </is>
      </c>
      <c r="D79" t="inlineStr">
        <is>
          <t>Tay van Inox &gt;1m2</t>
        </is>
      </c>
      <c r="E79" t="inlineStr">
        <is>
          <t>Bộ</t>
        </is>
      </c>
      <c r="F79" t="inlineStr"/>
      <c r="G79" t="inlineStr">
        <is>
          <t>Vat tu tôn!R21C33</t>
        </is>
      </c>
    </row>
    <row r="80">
      <c r="A80" t="n">
        <v>79</v>
      </c>
      <c r="B80" t="inlineStr">
        <is>
          <t>MAT-DAMPER-TAY-VAN-NHOM</t>
        </is>
      </c>
      <c r="C80" t="inlineStr">
        <is>
          <t>PHỤ_KIỆN_VAN</t>
        </is>
      </c>
      <c r="D80" t="inlineStr">
        <is>
          <t>Tay van nhôm</t>
        </is>
      </c>
      <c r="E80" t="inlineStr">
        <is>
          <t>Bộ</t>
        </is>
      </c>
      <c r="F80" t="inlineStr"/>
      <c r="G80" t="inlineStr">
        <is>
          <t>Vat tu tôn!R22C33</t>
        </is>
      </c>
    </row>
    <row r="81">
      <c r="A81" t="n">
        <v>80</v>
      </c>
      <c r="B81" t="inlineStr">
        <is>
          <t>MAT-DAMPER-GIOANG-CAO-SU-VAN-NHOM</t>
        </is>
      </c>
      <c r="C81" t="inlineStr">
        <is>
          <t>PHỤ_KIỆN_VAN</t>
        </is>
      </c>
      <c r="D81" t="inlineStr">
        <is>
          <t>Gioăng cao su van nhôm</t>
        </is>
      </c>
      <c r="E81" t="inlineStr">
        <is>
          <t>M</t>
        </is>
      </c>
      <c r="F81" t="inlineStr"/>
      <c r="G81" t="inlineStr">
        <is>
          <t>Vat tu tôn!R23C33</t>
        </is>
      </c>
    </row>
    <row r="82">
      <c r="A82" t="n">
        <v>81</v>
      </c>
      <c r="B82" t="inlineStr">
        <is>
          <t>MAT-DAMPER-TAY-GAT-NHO</t>
        </is>
      </c>
      <c r="C82" t="inlineStr">
        <is>
          <t>PHỤ_KIỆN_VAN</t>
        </is>
      </c>
      <c r="D82" t="inlineStr">
        <is>
          <t>Tay gạt nhỏ</t>
        </is>
      </c>
      <c r="E82" t="inlineStr">
        <is>
          <t>Bộ</t>
        </is>
      </c>
      <c r="F82" t="inlineStr"/>
      <c r="G82" t="inlineStr">
        <is>
          <t>Vat tu tôn!R24C33</t>
        </is>
      </c>
    </row>
    <row r="83">
      <c r="A83" t="n">
        <v>82</v>
      </c>
      <c r="B83" t="inlineStr">
        <is>
          <t>MAT-DAMPER-TAY-GAT-TRUNG-BINH</t>
        </is>
      </c>
      <c r="C83" t="inlineStr">
        <is>
          <t>PHỤ_KIỆN_VAN</t>
        </is>
      </c>
      <c r="D83" t="inlineStr">
        <is>
          <t>Tay gạt trung bình</t>
        </is>
      </c>
      <c r="E83" t="inlineStr">
        <is>
          <t>Bộ</t>
        </is>
      </c>
      <c r="F83" t="inlineStr"/>
      <c r="G83" t="inlineStr">
        <is>
          <t>Vat tu tôn!R25C33</t>
        </is>
      </c>
    </row>
    <row r="84">
      <c r="A84" t="n">
        <v>83</v>
      </c>
      <c r="B84" t="inlineStr">
        <is>
          <t>MAT-DAMPER-MOTOR-NENUTEC-THUY-SY-LT-300X300</t>
        </is>
      </c>
      <c r="C84" t="inlineStr">
        <is>
          <t>PHỤ_KIỆN_VAN</t>
        </is>
      </c>
      <c r="D84" t="inlineStr">
        <is>
          <t>Motor NENUTEC - THỤY SỸ &lt;300x300</t>
        </is>
      </c>
      <c r="E84" t="inlineStr">
        <is>
          <t>cái</t>
        </is>
      </c>
      <c r="F84" t="inlineStr"/>
      <c r="G84" t="inlineStr">
        <is>
          <t>Vat tu tôn!R26C33</t>
        </is>
      </c>
    </row>
    <row r="85">
      <c r="A85" t="n">
        <v>84</v>
      </c>
      <c r="B85" t="inlineStr">
        <is>
          <t>MAT-DAMPER-MOTOR-NENUTEC-THUY-SY-GT-300X300</t>
        </is>
      </c>
      <c r="C85" t="inlineStr">
        <is>
          <t>PHỤ_KIỆN_VAN</t>
        </is>
      </c>
      <c r="D85" t="inlineStr">
        <is>
          <t>Motor NENUTEC - THỤY SỸ &gt;300x300</t>
        </is>
      </c>
      <c r="E85" t="inlineStr">
        <is>
          <t>cái</t>
        </is>
      </c>
      <c r="F85" t="inlineStr"/>
      <c r="G85" t="inlineStr">
        <is>
          <t>Vat tu tôn!R27C33</t>
        </is>
      </c>
    </row>
    <row r="86">
      <c r="A86" t="n">
        <v>85</v>
      </c>
      <c r="B86" t="inlineStr">
        <is>
          <t>MAT-DAMPER-MOTOR-NENUTEC-THUY-SY-1M2</t>
        </is>
      </c>
      <c r="C86" t="inlineStr">
        <is>
          <t>PHỤ_KIỆN_VAN</t>
        </is>
      </c>
      <c r="D86" t="inlineStr">
        <is>
          <t>Motor NENUTEC - THỤY SỸ &gt;1m2</t>
        </is>
      </c>
      <c r="E86" t="inlineStr">
        <is>
          <t>cái</t>
        </is>
      </c>
      <c r="F86" t="inlineStr"/>
      <c r="G86" t="inlineStr">
        <is>
          <t>Vat tu tôn!R28C33</t>
        </is>
      </c>
    </row>
    <row r="87">
      <c r="A87" t="n">
        <v>86</v>
      </c>
      <c r="B87" t="inlineStr">
        <is>
          <t>MAT-DAMPER-MOTOR-VAN-DAP-LUA-CAM-BIEN</t>
        </is>
      </c>
      <c r="C87" t="inlineStr">
        <is>
          <t>PHỤ_KIỆN_VAN</t>
        </is>
      </c>
      <c r="D87" t="inlineStr">
        <is>
          <t>Motor van dập lửa + cảm biến</t>
        </is>
      </c>
      <c r="E87" t="inlineStr">
        <is>
          <t>Cái</t>
        </is>
      </c>
      <c r="F87" t="inlineStr"/>
      <c r="G87" t="inlineStr">
        <is>
          <t>Vat tu tôn!R29C33</t>
        </is>
      </c>
    </row>
    <row r="88">
      <c r="A88" t="n">
        <v>87</v>
      </c>
      <c r="B88" t="inlineStr">
        <is>
          <t>MAT-DAMPER-MOTOR-VAN-AP-SUAT</t>
        </is>
      </c>
      <c r="C88" t="inlineStr">
        <is>
          <t>PHỤ_KIỆN_VAN</t>
        </is>
      </c>
      <c r="D88" t="inlineStr">
        <is>
          <t>Motor van áp suất</t>
        </is>
      </c>
      <c r="E88" t="inlineStr">
        <is>
          <t>Cái</t>
        </is>
      </c>
      <c r="F88" t="inlineStr"/>
      <c r="G88" t="inlineStr">
        <is>
          <t>Vat tu tôn!R30C33</t>
        </is>
      </c>
    </row>
    <row r="89">
      <c r="A89" t="n">
        <v>88</v>
      </c>
      <c r="B89" t="inlineStr">
        <is>
          <t>MAT-DAMPER-CAU-CHI-TRUNG-QUOC</t>
        </is>
      </c>
      <c r="C89" t="inlineStr">
        <is>
          <t>PHỤ_KIỆN_VAN</t>
        </is>
      </c>
      <c r="D89" t="inlineStr">
        <is>
          <t>Cầu chì Trung Quốc</t>
        </is>
      </c>
      <c r="E89" t="inlineStr">
        <is>
          <t>Cái</t>
        </is>
      </c>
      <c r="F89" t="inlineStr"/>
      <c r="G89" t="inlineStr">
        <is>
          <t>Vat tu tôn!R31C33</t>
        </is>
      </c>
    </row>
    <row r="90">
      <c r="A90" t="n">
        <v>89</v>
      </c>
      <c r="B90" t="inlineStr">
        <is>
          <t>MAT-DAMPER-CAU-CHI-USA-1-400X400</t>
        </is>
      </c>
      <c r="C90" t="inlineStr">
        <is>
          <t>PHỤ_KIỆN_VAN</t>
        </is>
      </c>
      <c r="D90" t="inlineStr">
        <is>
          <t>Cầu chì USA -1 (&lt;400x400)</t>
        </is>
      </c>
      <c r="E90" t="inlineStr">
        <is>
          <t>Cái</t>
        </is>
      </c>
      <c r="F90" t="inlineStr"/>
      <c r="G90" t="inlineStr">
        <is>
          <t>Vat tu tôn!R32C33</t>
        </is>
      </c>
    </row>
    <row r="91">
      <c r="A91" t="n">
        <v>90</v>
      </c>
      <c r="B91" t="inlineStr">
        <is>
          <t>MAT-DAMPER-CAU-CHI-USA-2-400X400</t>
        </is>
      </c>
      <c r="C91" t="inlineStr">
        <is>
          <t>PHỤ_KIỆN_VAN</t>
        </is>
      </c>
      <c r="D91" t="inlineStr">
        <is>
          <t>Cầu chì USA-2 (&gt;400x400)</t>
        </is>
      </c>
      <c r="E91" t="inlineStr">
        <is>
          <t>Cái</t>
        </is>
      </c>
      <c r="F91" t="inlineStr"/>
      <c r="G91" t="inlineStr">
        <is>
          <t>Vat tu tôn!R33C33</t>
        </is>
      </c>
    </row>
    <row r="92">
      <c r="A92" t="n">
        <v>91</v>
      </c>
      <c r="B92" t="inlineStr">
        <is>
          <t>MAT-FLANGE-L-30X30X2-CT38-L-6-M</t>
        </is>
      </c>
      <c r="C92" t="inlineStr">
        <is>
          <t>THÉP_BÍCH_GÓC</t>
        </is>
      </c>
      <c r="D92" t="inlineStr">
        <is>
          <t>L 30x30x2 CT38 L = 6 m</t>
        </is>
      </c>
      <c r="E92" t="inlineStr">
        <is>
          <t>m</t>
        </is>
      </c>
      <c r="F92" t="inlineStr"/>
      <c r="G92" t="inlineStr">
        <is>
          <t>Vat tu tôn!R13C37</t>
        </is>
      </c>
    </row>
    <row r="93">
      <c r="A93" t="n">
        <v>92</v>
      </c>
      <c r="B93" t="inlineStr">
        <is>
          <t>MAT-FLANGE-L-30X30X3-CT38-L-6-M</t>
        </is>
      </c>
      <c r="C93" t="inlineStr">
        <is>
          <t>THÉP_BÍCH_GÓC</t>
        </is>
      </c>
      <c r="D93" t="inlineStr">
        <is>
          <t>L 30x30x3 CT38 L = 6 m</t>
        </is>
      </c>
      <c r="E93" t="inlineStr">
        <is>
          <t>m</t>
        </is>
      </c>
      <c r="F93" t="inlineStr"/>
      <c r="G93" t="inlineStr">
        <is>
          <t>Vat tu tôn!R14C37</t>
        </is>
      </c>
    </row>
    <row r="94">
      <c r="A94" t="n">
        <v>93</v>
      </c>
      <c r="B94" t="inlineStr">
        <is>
          <t>MAT-FLANGE-L-40X40X4-CT39-L-6-M</t>
        </is>
      </c>
      <c r="C94" t="inlineStr">
        <is>
          <t>THÉP_BÍCH_GÓC</t>
        </is>
      </c>
      <c r="D94" t="inlineStr">
        <is>
          <t>L 40x40x4 CT39 L = 6 m</t>
        </is>
      </c>
      <c r="E94" t="inlineStr">
        <is>
          <t>m</t>
        </is>
      </c>
      <c r="F94" t="inlineStr"/>
      <c r="G94" t="inlineStr">
        <is>
          <t>Vat tu tôn!R15C37</t>
        </is>
      </c>
    </row>
    <row r="95">
      <c r="A95" t="n">
        <v>94</v>
      </c>
      <c r="B95" t="inlineStr">
        <is>
          <t>MAT-FLANGE-L-50X50X4-CT40-L-6-M</t>
        </is>
      </c>
      <c r="C95" t="inlineStr">
        <is>
          <t>THÉP_BÍCH_GÓC</t>
        </is>
      </c>
      <c r="D95" t="inlineStr">
        <is>
          <t>L 50x50x4 CT40 L = 6 m</t>
        </is>
      </c>
      <c r="E95" t="inlineStr">
        <is>
          <t>m</t>
        </is>
      </c>
      <c r="F95" t="inlineStr"/>
      <c r="G95" t="inlineStr">
        <is>
          <t>Vat tu tôn!R16C37</t>
        </is>
      </c>
    </row>
    <row r="96">
      <c r="A96" t="n">
        <v>95</v>
      </c>
      <c r="B96" t="inlineStr">
        <is>
          <t>MAT-INSUL-LUOI-NHUA</t>
        </is>
      </c>
      <c r="C96" t="inlineStr">
        <is>
          <t>VẬT_LIỆU_TIÊU_ÂM</t>
        </is>
      </c>
      <c r="D96" t="inlineStr">
        <is>
          <t>Lưới nhựa</t>
        </is>
      </c>
      <c r="E96" t="inlineStr">
        <is>
          <t>m2</t>
        </is>
      </c>
      <c r="F96" t="inlineStr"/>
      <c r="G96" t="inlineStr">
        <is>
          <t>Vat tu tôn!R5C41</t>
        </is>
      </c>
    </row>
    <row r="97">
      <c r="A97" t="n">
        <v>96</v>
      </c>
      <c r="B97" t="inlineStr">
        <is>
          <t>MAT-INSUL-MOTOR-NENUTEC-THUY-SY-LT-300X300</t>
        </is>
      </c>
      <c r="C97" t="inlineStr">
        <is>
          <t>VẬT_LIỆU_TIÊU_ÂM</t>
        </is>
      </c>
      <c r="D97" t="inlineStr">
        <is>
          <t>Motor NENUTEC - THỤY SỸ &lt;300x300</t>
        </is>
      </c>
      <c r="E97" t="inlineStr">
        <is>
          <t>cái</t>
        </is>
      </c>
      <c r="F97" t="inlineStr"/>
      <c r="G97" t="inlineStr">
        <is>
          <t>Vat tu tôn!R6C41</t>
        </is>
      </c>
    </row>
    <row r="98">
      <c r="A98" t="n">
        <v>97</v>
      </c>
      <c r="B98" t="inlineStr">
        <is>
          <t>MAT-INSUL-MOTOR-NENUTEC-THUY-SY-GT-300X300</t>
        </is>
      </c>
      <c r="C98" t="inlineStr">
        <is>
          <t>VẬT_LIỆU_TIÊU_ÂM</t>
        </is>
      </c>
      <c r="D98" t="inlineStr">
        <is>
          <t>Motor NENUTEC - THỤY SỸ &gt;300x300</t>
        </is>
      </c>
      <c r="E98" t="inlineStr">
        <is>
          <t>cái</t>
        </is>
      </c>
      <c r="F98" t="inlineStr"/>
      <c r="G98" t="inlineStr">
        <is>
          <t>Vat tu tôn!R7C41</t>
        </is>
      </c>
    </row>
    <row r="99">
      <c r="A99" t="n">
        <v>98</v>
      </c>
      <c r="B99" t="inlineStr">
        <is>
          <t>MAT-INSUL-MOTOR-NENUTEC-THUY-SY-1M2</t>
        </is>
      </c>
      <c r="C99" t="inlineStr">
        <is>
          <t>VẬT_LIỆU_TIÊU_ÂM</t>
        </is>
      </c>
      <c r="D99" t="inlineStr">
        <is>
          <t>Motor NENUTEC - THỤY SỸ &gt;1m2</t>
        </is>
      </c>
      <c r="E99" t="inlineStr">
        <is>
          <t>cái</t>
        </is>
      </c>
      <c r="F99" t="inlineStr"/>
      <c r="G99" t="inlineStr">
        <is>
          <t>Vat tu tôn!R8C41</t>
        </is>
      </c>
    </row>
    <row r="100">
      <c r="A100" t="n">
        <v>99</v>
      </c>
      <c r="B100" t="inlineStr">
        <is>
          <t>MAT-INSUL-MOTOR-VAN-DAP-LUA-CAM-BIEN</t>
        </is>
      </c>
      <c r="C100" t="inlineStr">
        <is>
          <t>VẬT_LIỆU_TIÊU_ÂM</t>
        </is>
      </c>
      <c r="D100" t="inlineStr">
        <is>
          <t>Motor van dập lửa + cảm biến</t>
        </is>
      </c>
      <c r="E100" t="inlineStr">
        <is>
          <t>m2</t>
        </is>
      </c>
      <c r="F100" t="inlineStr"/>
      <c r="G100" t="inlineStr">
        <is>
          <t>Vat tu tôn!R9C41</t>
        </is>
      </c>
    </row>
    <row r="101">
      <c r="A101" t="n">
        <v>100</v>
      </c>
      <c r="B101" t="inlineStr">
        <is>
          <t>MAT-INSUL-MOTOR-VAN-AP-SUAT</t>
        </is>
      </c>
      <c r="C101" t="inlineStr">
        <is>
          <t>VẬT_LIỆU_TIÊU_ÂM</t>
        </is>
      </c>
      <c r="D101" t="inlineStr">
        <is>
          <t>Motor van áp suất</t>
        </is>
      </c>
      <c r="E101" t="inlineStr">
        <is>
          <t>m2</t>
        </is>
      </c>
      <c r="F101" t="inlineStr"/>
      <c r="G101" t="inlineStr">
        <is>
          <t>Vat tu tôn!R10C41</t>
        </is>
      </c>
    </row>
    <row r="102">
      <c r="A102" t="n">
        <v>101</v>
      </c>
      <c r="B102" t="inlineStr">
        <is>
          <t>MAT-ALU-NAN-BD</t>
        </is>
      </c>
      <c r="C102" t="inlineStr">
        <is>
          <t>NHÔM_ĐỊNH_HÌNH</t>
        </is>
      </c>
      <c r="D102" t="inlineStr">
        <is>
          <t>Nhôm định hình NAN BD</t>
        </is>
      </c>
      <c r="E102" t="inlineStr">
        <is>
          <t>kg</t>
        </is>
      </c>
      <c r="F102" t="inlineStr">
        <is>
          <t>0.058 kg/m</t>
        </is>
      </c>
      <c r="G102" t="inlineStr">
        <is>
          <t>BG Cửa  (rút gọn)!R3C2</t>
        </is>
      </c>
    </row>
    <row r="103">
      <c r="A103" t="n">
        <v>102</v>
      </c>
      <c r="B103" t="inlineStr">
        <is>
          <t>MAT-ALU-NAN-T</t>
        </is>
      </c>
      <c r="C103" t="inlineStr">
        <is>
          <t>NHÔM_ĐỊNH_HÌNH</t>
        </is>
      </c>
      <c r="D103" t="inlineStr">
        <is>
          <t>Nhôm định hình NAN T</t>
        </is>
      </c>
      <c r="E103" t="inlineStr">
        <is>
          <t>kg</t>
        </is>
      </c>
      <c r="F103" t="inlineStr">
        <is>
          <t>0.078 kg/m</t>
        </is>
      </c>
      <c r="G103" t="inlineStr">
        <is>
          <t>BG Cửa  (rút gọn)!R4C2</t>
        </is>
      </c>
    </row>
    <row r="104">
      <c r="A104" t="n">
        <v>103</v>
      </c>
      <c r="B104" t="inlineStr">
        <is>
          <t>MAT-ALU-KHUNG-BD</t>
        </is>
      </c>
      <c r="C104" t="inlineStr">
        <is>
          <t>NHÔM_ĐỊNH_HÌNH</t>
        </is>
      </c>
      <c r="D104" t="inlineStr">
        <is>
          <t>Nhôm định hình KHUNG BD</t>
        </is>
      </c>
      <c r="E104" t="inlineStr">
        <is>
          <t>kg</t>
        </is>
      </c>
      <c r="F104" t="inlineStr">
        <is>
          <t>0.2 kg/m</t>
        </is>
      </c>
      <c r="G104" t="inlineStr">
        <is>
          <t>BG Cửa  (rút gọn)!R5C2</t>
        </is>
      </c>
    </row>
    <row r="105">
      <c r="A105" t="n">
        <v>104</v>
      </c>
      <c r="B105" t="inlineStr">
        <is>
          <t>MAT-ALU-KHUNG-BD-Z-MONG</t>
        </is>
      </c>
      <c r="C105" t="inlineStr">
        <is>
          <t>NHÔM_ĐỊNH_HÌNH</t>
        </is>
      </c>
      <c r="D105" t="inlineStr">
        <is>
          <t>Nhôm định hình KHUNG BD+ Z MỎNG</t>
        </is>
      </c>
      <c r="E105" t="inlineStr">
        <is>
          <t>kg</t>
        </is>
      </c>
      <c r="F105" t="inlineStr">
        <is>
          <t>0.173 kg/m</t>
        </is>
      </c>
      <c r="G105" t="inlineStr">
        <is>
          <t>BG Cửa  (rút gọn)!R6C2</t>
        </is>
      </c>
    </row>
    <row r="106">
      <c r="A106" t="n">
        <v>105</v>
      </c>
      <c r="B106" t="inlineStr">
        <is>
          <t>MAT-ALU-NAN-Z-DAY</t>
        </is>
      </c>
      <c r="C106" t="inlineStr">
        <is>
          <t>NHÔM_ĐỊNH_HÌNH</t>
        </is>
      </c>
      <c r="D106" t="inlineStr">
        <is>
          <t>Nhôm định hình NAN Z DÀY</t>
        </is>
      </c>
      <c r="E106" t="inlineStr">
        <is>
          <t>kg</t>
        </is>
      </c>
      <c r="F106" t="inlineStr">
        <is>
          <t>0.217 kg/m</t>
        </is>
      </c>
      <c r="G106" t="inlineStr">
        <is>
          <t>BG Cửa  (rút gọn)!R7C2</t>
        </is>
      </c>
    </row>
    <row r="107">
      <c r="A107" t="n">
        <v>106</v>
      </c>
      <c r="B107" t="inlineStr">
        <is>
          <t>MAT-ALU-NAN-Z-MONG</t>
        </is>
      </c>
      <c r="C107" t="inlineStr">
        <is>
          <t>NHÔM_ĐỊNH_HÌNH</t>
        </is>
      </c>
      <c r="D107" t="inlineStr">
        <is>
          <t>Nhôm định hình NAN Z MỎNG</t>
        </is>
      </c>
      <c r="E107" t="inlineStr">
        <is>
          <t>kg</t>
        </is>
      </c>
      <c r="F107" t="inlineStr">
        <is>
          <t>0.16 kg/m</t>
        </is>
      </c>
      <c r="G107" t="inlineStr">
        <is>
          <t>BG Cửa  (rút gọn)!R8C2</t>
        </is>
      </c>
    </row>
    <row r="108">
      <c r="A108" t="n">
        <v>107</v>
      </c>
      <c r="B108" t="inlineStr">
        <is>
          <t>MAT-ALU-KHUNG-Z-2-LOP</t>
        </is>
      </c>
      <c r="C108" t="inlineStr">
        <is>
          <t>NHÔM_ĐỊNH_HÌNH</t>
        </is>
      </c>
      <c r="D108" t="inlineStr">
        <is>
          <t>Nhôm định hình KHUNG Z+2 LỚP</t>
        </is>
      </c>
      <c r="E108" t="inlineStr">
        <is>
          <t>kg</t>
        </is>
      </c>
      <c r="F108" t="inlineStr">
        <is>
          <t>0.227 kg/m</t>
        </is>
      </c>
      <c r="G108" t="inlineStr">
        <is>
          <t>BG Cửa  (rút gọn)!R9C2</t>
        </is>
      </c>
    </row>
    <row r="109">
      <c r="A109" t="n">
        <v>108</v>
      </c>
      <c r="B109" t="inlineStr">
        <is>
          <t>MAT-ALU-NAN-OBD</t>
        </is>
      </c>
      <c r="C109" t="inlineStr">
        <is>
          <t>NHÔM_ĐỊNH_HÌNH</t>
        </is>
      </c>
      <c r="D109" t="inlineStr">
        <is>
          <t>Nhôm định hình NAN OBD</t>
        </is>
      </c>
      <c r="E109" t="inlineStr">
        <is>
          <t>kg</t>
        </is>
      </c>
      <c r="F109" t="inlineStr">
        <is>
          <t>0.11 kg/m</t>
        </is>
      </c>
      <c r="G109" t="inlineStr">
        <is>
          <t>BG Cửa  (rút gọn)!R10C2</t>
        </is>
      </c>
    </row>
    <row r="110">
      <c r="A110" t="n">
        <v>109</v>
      </c>
      <c r="B110" t="inlineStr">
        <is>
          <t>MAT-ALU-KHUNG-OBD</t>
        </is>
      </c>
      <c r="C110" t="inlineStr">
        <is>
          <t>NHÔM_ĐỊNH_HÌNH</t>
        </is>
      </c>
      <c r="D110" t="inlineStr">
        <is>
          <t>Nhôm định hình KHUNG OBD</t>
        </is>
      </c>
      <c r="E110" t="inlineStr">
        <is>
          <t>kg</t>
        </is>
      </c>
      <c r="F110" t="inlineStr">
        <is>
          <t>0.158 kg/m</t>
        </is>
      </c>
      <c r="G110" t="inlineStr">
        <is>
          <t>BG Cửa  (rút gọn)!R11C2</t>
        </is>
      </c>
    </row>
    <row r="111">
      <c r="A111" t="n">
        <v>110</v>
      </c>
      <c r="B111" t="inlineStr">
        <is>
          <t>MAT-ALU-NAN-BD-EUS02</t>
        </is>
      </c>
      <c r="C111" t="inlineStr">
        <is>
          <t>NHÔM_ĐỊNH_HÌNH</t>
        </is>
      </c>
      <c r="D111" t="inlineStr">
        <is>
          <t>Nhôm định hình NAN BD EUS 02</t>
        </is>
      </c>
      <c r="E111" t="inlineStr">
        <is>
          <t>kg</t>
        </is>
      </c>
      <c r="F111" t="inlineStr">
        <is>
          <t>0.071 kg/m</t>
        </is>
      </c>
      <c r="G111" t="inlineStr">
        <is>
          <t>BG Cửa  (rút gọn)!R14C2</t>
        </is>
      </c>
    </row>
    <row r="112">
      <c r="A112" t="n">
        <v>111</v>
      </c>
      <c r="B112" t="inlineStr">
        <is>
          <t>MAT-ALU-KHUNG-BD-EUS01</t>
        </is>
      </c>
      <c r="C112" t="inlineStr">
        <is>
          <t>NHÔM_ĐỊNH_HÌNH</t>
        </is>
      </c>
      <c r="D112" t="inlineStr">
        <is>
          <t>Nhôm định hình KHUNG BD EUS 01</t>
        </is>
      </c>
      <c r="E112" t="inlineStr">
        <is>
          <t>kg</t>
        </is>
      </c>
      <c r="F112" t="inlineStr">
        <is>
          <t>0.206 kg/m</t>
        </is>
      </c>
      <c r="G112" t="inlineStr">
        <is>
          <t>BG Cửa  (rút gọn)!R15C2</t>
        </is>
      </c>
    </row>
    <row r="113">
      <c r="A113" t="n">
        <v>112</v>
      </c>
      <c r="B113" t="inlineStr">
        <is>
          <t>MAT-ALU-NAN-Z-EUS05</t>
        </is>
      </c>
      <c r="C113" t="inlineStr">
        <is>
          <t>NHÔM_ĐỊNH_HÌNH</t>
        </is>
      </c>
      <c r="D113" t="inlineStr">
        <is>
          <t>Nhôm định hình NAN Z EUS 05</t>
        </is>
      </c>
      <c r="E113" t="inlineStr">
        <is>
          <t>kg</t>
        </is>
      </c>
      <c r="F113" t="inlineStr">
        <is>
          <t>0.162 kg/m</t>
        </is>
      </c>
      <c r="G113" t="inlineStr">
        <is>
          <t>BG Cửa  (rút gọn)!R16C2</t>
        </is>
      </c>
    </row>
    <row r="114">
      <c r="A114" t="n">
        <v>113</v>
      </c>
      <c r="B114" t="inlineStr">
        <is>
          <t>MAT-ALU-KHUNG-Z-EUS03</t>
        </is>
      </c>
      <c r="C114" t="inlineStr">
        <is>
          <t>NHÔM_ĐỊNH_HÌNH</t>
        </is>
      </c>
      <c r="D114" t="inlineStr">
        <is>
          <t>Nhôm định hình KHUNG Z EUS 03</t>
        </is>
      </c>
      <c r="E114" t="inlineStr">
        <is>
          <t>kg</t>
        </is>
      </c>
      <c r="F114" t="inlineStr">
        <is>
          <t>0.247 kg/m</t>
        </is>
      </c>
      <c r="G114" t="inlineStr">
        <is>
          <t>BG Cửa  (rút gọn)!R17C2</t>
        </is>
      </c>
    </row>
    <row r="115">
      <c r="A115" t="n">
        <v>114</v>
      </c>
      <c r="B115" t="inlineStr">
        <is>
          <t>MAT-ALU-NAN-OBD-EUS20</t>
        </is>
      </c>
      <c r="C115" t="inlineStr">
        <is>
          <t>NHÔM_ĐỊNH_HÌNH</t>
        </is>
      </c>
      <c r="D115" t="inlineStr">
        <is>
          <t>Nhôm định hình NAN OBD EUS 20</t>
        </is>
      </c>
      <c r="E115" t="inlineStr">
        <is>
          <t>kg</t>
        </is>
      </c>
      <c r="F115" t="inlineStr">
        <is>
          <t>0.094 kg/m</t>
        </is>
      </c>
      <c r="G115" t="inlineStr">
        <is>
          <t>BG Cửa  (rút gọn)!R18C2</t>
        </is>
      </c>
    </row>
    <row r="116">
      <c r="A116" t="n">
        <v>115</v>
      </c>
      <c r="B116" t="inlineStr">
        <is>
          <t>MAT-ALU-KHUNG-OBD-EUS10</t>
        </is>
      </c>
      <c r="C116" t="inlineStr">
        <is>
          <t>NHÔM_ĐỊNH_HÌNH</t>
        </is>
      </c>
      <c r="D116" t="inlineStr">
        <is>
          <t>Nhôm định hình KHUNG OBD EUS 10</t>
        </is>
      </c>
      <c r="E116" t="inlineStr">
        <is>
          <t>kg</t>
        </is>
      </c>
      <c r="F116" t="inlineStr">
        <is>
          <t>0.141 kg/m</t>
        </is>
      </c>
      <c r="G116" t="inlineStr">
        <is>
          <t>BG Cửa  (rút gọn)!R19C2</t>
        </is>
      </c>
    </row>
    <row r="117">
      <c r="A117" t="n">
        <v>116</v>
      </c>
      <c r="B117" t="inlineStr">
        <is>
          <t>MAT-PAINT-POWDER</t>
        </is>
      </c>
      <c r="C117" t="inlineStr">
        <is>
          <t>SƠN_TĨNH_ĐIỆN</t>
        </is>
      </c>
      <c r="D117" t="inlineStr">
        <is>
          <t>Sơn tĩnh điện tiêu chuẩn Polyester</t>
        </is>
      </c>
      <c r="E117" t="inlineStr">
        <is>
          <t>m2</t>
        </is>
      </c>
      <c r="F117" t="inlineStr"/>
      <c r="G117" t="inlineStr">
        <is>
          <t>BG Cửa  (rút gọn)!R32C21</t>
        </is>
      </c>
    </row>
    <row r="118">
      <c r="A118" t="n">
        <v>117</v>
      </c>
      <c r="B118" t="inlineStr">
        <is>
          <t>MAT-DOOR-ACCESSORY</t>
        </is>
      </c>
      <c r="C118" t="inlineStr">
        <is>
          <t>PHỤ_KIỆN_CỬA</t>
        </is>
      </c>
      <c r="D118" t="inlineStr">
        <is>
          <t>Phụ kiện lắp ghép / Ke góc cửa gió</t>
        </is>
      </c>
      <c r="E118" t="inlineStr">
        <is>
          <t>Bộ</t>
        </is>
      </c>
      <c r="F118" t="inlineStr"/>
      <c r="G118" t="inlineStr">
        <is>
          <t>BG Cửa  (rút gọn)!R34C20</t>
        </is>
      </c>
    </row>
    <row r="119">
      <c r="A119" t="n">
        <v>118</v>
      </c>
      <c r="B119" t="inlineStr">
        <is>
          <t>MAT-ACTUATOR-NACA-2-05</t>
        </is>
      </c>
      <c r="C119" t="inlineStr">
        <is>
          <t>ĐỘNG_CƠ_VÀ_CẢM_BIẾN</t>
        </is>
      </c>
      <c r="D119" t="inlineStr">
        <is>
          <t>Model: NACA 2-05  ( 220VAC, On/Off )</t>
        </is>
      </c>
      <c r="E119" t="inlineStr">
        <is>
          <t>Cái</t>
        </is>
      </c>
      <c r="F119" t="inlineStr"/>
      <c r="G119" t="inlineStr">
        <is>
          <t>VT van</t>
        </is>
      </c>
    </row>
    <row r="120">
      <c r="A120" t="n">
        <v>119</v>
      </c>
      <c r="B120" t="inlineStr">
        <is>
          <t>MAT-ACTUATOR-NACA-2-10</t>
        </is>
      </c>
      <c r="C120" t="inlineStr">
        <is>
          <t>ĐỘNG_CƠ_VÀ_CẢM_BIẾN</t>
        </is>
      </c>
      <c r="D120" t="inlineStr">
        <is>
          <t>Model: NACA 2-10   ( 220VAC, On/Off )</t>
        </is>
      </c>
      <c r="E120" t="inlineStr">
        <is>
          <t>Cái</t>
        </is>
      </c>
      <c r="F120" t="inlineStr"/>
      <c r="G120" t="inlineStr">
        <is>
          <t>VT van</t>
        </is>
      </c>
    </row>
    <row r="121">
      <c r="A121" t="n">
        <v>120</v>
      </c>
      <c r="B121" t="inlineStr">
        <is>
          <t>MAT-ACTUATOR-NACA-2-20</t>
        </is>
      </c>
      <c r="C121" t="inlineStr">
        <is>
          <t>ĐỘNG_CƠ_VÀ_CẢM_BIẾN</t>
        </is>
      </c>
      <c r="D121" t="inlineStr">
        <is>
          <t>Model: NACA 2-20   ( 220VAC, On/Off )</t>
        </is>
      </c>
      <c r="E121" t="inlineStr">
        <is>
          <t>Cái</t>
        </is>
      </c>
      <c r="F121" t="inlineStr"/>
      <c r="G121" t="inlineStr">
        <is>
          <t>VT van</t>
        </is>
      </c>
    </row>
    <row r="122">
      <c r="A122" t="n">
        <v>121</v>
      </c>
      <c r="B122" t="inlineStr">
        <is>
          <t>MAT-ACTUATOR-NACA-2-40</t>
        </is>
      </c>
      <c r="C122" t="inlineStr">
        <is>
          <t>ĐỘNG_CƠ_VÀ_CẢM_BIẾN</t>
        </is>
      </c>
      <c r="D122" t="inlineStr">
        <is>
          <t>Model: NACA 2-40   ( 220VAC, On/Off )</t>
        </is>
      </c>
      <c r="E122" t="inlineStr">
        <is>
          <t>Cái</t>
        </is>
      </c>
      <c r="F122" t="inlineStr"/>
      <c r="G122" t="inlineStr">
        <is>
          <t>VT van</t>
        </is>
      </c>
    </row>
    <row r="123">
      <c r="A123" t="n">
        <v>122</v>
      </c>
      <c r="B123" t="inlineStr">
        <is>
          <t>MAT-ACTUATOR-NTC-831</t>
        </is>
      </c>
      <c r="C123" t="inlineStr">
        <is>
          <t>ĐỘNG_CƠ_VÀ_CẢM_BIẾN</t>
        </is>
      </c>
      <c r="D123" t="inlineStr">
        <is>
          <t>Model: NTC 831</t>
        </is>
      </c>
      <c r="E123" t="inlineStr">
        <is>
          <t>Cái</t>
        </is>
      </c>
      <c r="F123" t="inlineStr"/>
      <c r="G123" t="inlineStr">
        <is>
          <t>VT van</t>
        </is>
      </c>
    </row>
    <row r="124">
      <c r="A124" t="n">
        <v>123</v>
      </c>
      <c r="B124" t="inlineStr">
        <is>
          <t>MAT-ACTUATOR-NACM-1-2-05</t>
        </is>
      </c>
      <c r="C124" t="inlineStr">
        <is>
          <t>ĐỘNG_CƠ_VÀ_CẢM_BIẾN</t>
        </is>
      </c>
      <c r="D124" t="inlineStr">
        <is>
          <t>Model: NACM 1.2-05  ( Modulating )</t>
        </is>
      </c>
      <c r="E124" t="inlineStr">
        <is>
          <t>Cái</t>
        </is>
      </c>
      <c r="F124" t="inlineStr"/>
      <c r="G124" t="inlineStr">
        <is>
          <t>VT van</t>
        </is>
      </c>
    </row>
    <row r="125">
      <c r="A125" t="n">
        <v>124</v>
      </c>
      <c r="B125" t="inlineStr">
        <is>
          <t>MAT-ACTUATOR-NACM-1-1-10</t>
        </is>
      </c>
      <c r="C125" t="inlineStr">
        <is>
          <t>ĐỘNG_CƠ_VÀ_CẢM_BIẾN</t>
        </is>
      </c>
      <c r="D125" t="inlineStr">
        <is>
          <t>Model: NACM 1.1-10  ( Modulating )</t>
        </is>
      </c>
      <c r="E125" t="inlineStr">
        <is>
          <t>Cái</t>
        </is>
      </c>
      <c r="F125" t="inlineStr"/>
      <c r="G125" t="inlineStr">
        <is>
          <t>VT van</t>
        </is>
      </c>
    </row>
    <row r="126">
      <c r="A126" t="n">
        <v>125</v>
      </c>
      <c r="B126" t="inlineStr">
        <is>
          <t>MAT-ACTUATOR-NACM-1-1-20</t>
        </is>
      </c>
      <c r="C126" t="inlineStr">
        <is>
          <t>ĐỘNG_CƠ_VÀ_CẢM_BIẾN</t>
        </is>
      </c>
      <c r="D126" t="inlineStr">
        <is>
          <t>Model: NACM 1.1-20  ( Modulating )</t>
        </is>
      </c>
      <c r="E126" t="inlineStr">
        <is>
          <t>Cái</t>
        </is>
      </c>
      <c r="F126" t="inlineStr"/>
      <c r="G126" t="inlineStr">
        <is>
          <t>VT van</t>
        </is>
      </c>
    </row>
    <row r="127">
      <c r="A127" t="n">
        <v>126</v>
      </c>
      <c r="B127" t="inlineStr">
        <is>
          <t>MAT-ACTUATOR-NACM-1-1-40</t>
        </is>
      </c>
      <c r="C127" t="inlineStr">
        <is>
          <t>ĐỘNG_CƠ_VÀ_CẢM_BIẾN</t>
        </is>
      </c>
      <c r="D127" t="inlineStr">
        <is>
          <t>Model: NACM 1.1-40  ( Modulating )</t>
        </is>
      </c>
      <c r="E127" t="inlineStr">
        <is>
          <t>Cái</t>
        </is>
      </c>
      <c r="F127" t="inlineStr"/>
      <c r="G127" t="inlineStr">
        <is>
          <t>VT van!R26C3</t>
        </is>
      </c>
    </row>
    <row r="128">
      <c r="A128" t="n">
        <v>127</v>
      </c>
      <c r="B128" t="inlineStr">
        <is>
          <t>MAT-ACTUATOR-MODEL-NPG-1-DIEU-KHI</t>
        </is>
      </c>
      <c r="C128" t="inlineStr">
        <is>
          <t>ĐỘNG_CƠ_VÀ_CẢM_BIẾN</t>
        </is>
      </c>
      <c r="D128" t="inlineStr">
        <is>
          <t>Model: NPG-1 ( Điều khiển cửa gió theo % đóng mở )</t>
        </is>
      </c>
      <c r="E128" t="inlineStr">
        <is>
          <t>Cái</t>
        </is>
      </c>
      <c r="F128" t="inlineStr"/>
      <c r="G128" t="inlineStr">
        <is>
          <t>VT van!R28C3</t>
        </is>
      </c>
    </row>
    <row r="129">
      <c r="A129" t="n">
        <v>128</v>
      </c>
      <c r="B129" t="inlineStr">
        <is>
          <t>MAT-ACTUATOR-MODEL-NTC-843-DIEU-K</t>
        </is>
      </c>
      <c r="C129" t="inlineStr">
        <is>
          <t>ĐỘNG_CƠ_VÀ_CẢM_BIẾN</t>
        </is>
      </c>
      <c r="D129" t="inlineStr">
        <is>
          <t>Model: NTC-843 ( Điều khiển cửa gió theo nhiệt độ phòng )</t>
        </is>
      </c>
      <c r="E129" t="inlineStr">
        <is>
          <t>Cái</t>
        </is>
      </c>
      <c r="F129" t="inlineStr"/>
      <c r="G129" t="inlineStr">
        <is>
          <t>VT van!R29C3</t>
        </is>
      </c>
    </row>
    <row r="130">
      <c r="A130" t="n">
        <v>129</v>
      </c>
      <c r="B130" t="inlineStr">
        <is>
          <t>MAT-ACTUATOR-SAFA-1-05S</t>
        </is>
      </c>
      <c r="C130" t="inlineStr">
        <is>
          <t>ĐỘNG_CƠ_VÀ_CẢM_BIẾN</t>
        </is>
      </c>
      <c r="D130" t="inlineStr">
        <is>
          <t>SAFA - 1 - 05S ( 24VAC/DC ) - Không có cảm biến</t>
        </is>
      </c>
      <c r="E130" t="inlineStr">
        <is>
          <t>Cái</t>
        </is>
      </c>
      <c r="F130" t="inlineStr"/>
      <c r="G130" t="inlineStr">
        <is>
          <t>VT van!R31C3</t>
        </is>
      </c>
    </row>
    <row r="131">
      <c r="A131" t="n">
        <v>130</v>
      </c>
      <c r="B131" t="inlineStr">
        <is>
          <t>MAT-ACTUATOR-SAFA-1-08S</t>
        </is>
      </c>
      <c r="C131" t="inlineStr">
        <is>
          <t>ĐỘNG_CƠ_VÀ_CẢM_BIẾN</t>
        </is>
      </c>
      <c r="D131" t="inlineStr">
        <is>
          <t>SAFA - 1 - 08S ( 24VAC/DC )  - Không có cảm biến</t>
        </is>
      </c>
      <c r="E131" t="inlineStr">
        <is>
          <t>Cái</t>
        </is>
      </c>
      <c r="F131" t="inlineStr"/>
      <c r="G131" t="inlineStr">
        <is>
          <t>VT van!R32C3</t>
        </is>
      </c>
    </row>
    <row r="132">
      <c r="A132" t="n">
        <v>131</v>
      </c>
      <c r="B132" t="inlineStr">
        <is>
          <t>MAT-ACTUATOR-SAFA-2-05S</t>
        </is>
      </c>
      <c r="C132" t="inlineStr">
        <is>
          <t>ĐỘNG_CƠ_VÀ_CẢM_BIẾN</t>
        </is>
      </c>
      <c r="D132" t="inlineStr">
        <is>
          <t>SAFA - 2 - 05S ( 220VAC  )  - Không có cảm biến</t>
        </is>
      </c>
      <c r="E132" t="inlineStr">
        <is>
          <t>Cái</t>
        </is>
      </c>
      <c r="F132" t="inlineStr"/>
      <c r="G132" t="inlineStr">
        <is>
          <t>VT van!R33C3</t>
        </is>
      </c>
    </row>
    <row r="133">
      <c r="A133" t="n">
        <v>132</v>
      </c>
      <c r="B133" t="inlineStr">
        <is>
          <t>MAT-ACTUATOR-SAFA-2-08S</t>
        </is>
      </c>
      <c r="C133" t="inlineStr">
        <is>
          <t>ĐỘNG_CƠ_VÀ_CẢM_BIẾN</t>
        </is>
      </c>
      <c r="D133" t="inlineStr">
        <is>
          <t>SAFA - 2 - 08S ( 220VAC  )  - Không có cảm biến</t>
        </is>
      </c>
      <c r="E133" t="inlineStr">
        <is>
          <t>Cái</t>
        </is>
      </c>
      <c r="F133" t="inlineStr"/>
      <c r="G133" t="inlineStr">
        <is>
          <t>VT van!R34C3</t>
        </is>
      </c>
    </row>
    <row r="134">
      <c r="A134" t="n">
        <v>133</v>
      </c>
      <c r="B134" t="inlineStr">
        <is>
          <t>MAT-ACTUATOR-CAM-BIEN-NHIET-BANG-</t>
        </is>
      </c>
      <c r="C134" t="inlineStr">
        <is>
          <t>ĐỘNG_CƠ_VÀ_CẢM_BIẾN</t>
        </is>
      </c>
      <c r="D134" t="inlineStr">
        <is>
          <t>Cảm biến nhiệt bằng điện gắn với Motor dùng cho fire damper</t>
        </is>
      </c>
      <c r="E134" t="inlineStr">
        <is>
          <t>Cái</t>
        </is>
      </c>
      <c r="F134" t="inlineStr"/>
      <c r="G134" t="inlineStr">
        <is>
          <t>VT van!R35C3</t>
        </is>
      </c>
    </row>
    <row r="135">
      <c r="A135" t="n">
        <v>134</v>
      </c>
      <c r="B135" t="inlineStr">
        <is>
          <t>MAT-ACTUATOR-MODEL-B</t>
        </is>
      </c>
      <c r="C135" t="inlineStr">
        <is>
          <t>ĐỘNG_CƠ_VÀ_CẢM_BIẾN</t>
        </is>
      </c>
      <c r="D135" t="inlineStr">
        <is>
          <t>Model: B (165ºF) ( Loại nhỏ )</t>
        </is>
      </c>
      <c r="E135" t="inlineStr">
        <is>
          <t>Cái</t>
        </is>
      </c>
      <c r="F135" t="inlineStr"/>
      <c r="G135" t="inlineStr">
        <is>
          <t>VT van!R37C3</t>
        </is>
      </c>
    </row>
    <row r="136">
      <c r="A136" t="n">
        <v>135</v>
      </c>
      <c r="B136" t="inlineStr">
        <is>
          <t>MAT-ACTUATOR-MODEL-A</t>
        </is>
      </c>
      <c r="C136" t="inlineStr">
        <is>
          <t>ĐỘNG_CƠ_VÀ_CẢM_BIẾN</t>
        </is>
      </c>
      <c r="D136" t="inlineStr">
        <is>
          <t>Model: A (165ºF) ( Loại lớn )</t>
        </is>
      </c>
      <c r="E136" t="inlineStr">
        <is>
          <t>Cái</t>
        </is>
      </c>
      <c r="F136" t="inlineStr"/>
      <c r="G136" t="inlineStr">
        <is>
          <t>VT van!R38C3</t>
        </is>
      </c>
    </row>
    <row r="137">
      <c r="A137" t="n">
        <v>136</v>
      </c>
      <c r="B137" t="inlineStr">
        <is>
          <t>MAT-INSUL-BONG-THUY-TINH-KHONG-MAT-12</t>
        </is>
      </c>
      <c r="C137" t="inlineStr">
        <is>
          <t>VẬT_LIỆU_TIÊU_ÂM</t>
        </is>
      </c>
      <c r="D137" t="inlineStr">
        <is>
          <t>Bông thuỷ tinh không mặt bạc T12 D50 - Chiều dày 50mm, khổ rộng 1,2m dài 30m. Tổng 36m2/cuộn. Tỷ trọng 12kg/m3</t>
        </is>
      </c>
      <c r="E137" t="inlineStr">
        <is>
          <t>m2</t>
        </is>
      </c>
      <c r="F137" t="inlineStr"/>
      <c r="G137" t="inlineStr">
        <is>
          <t>VT tiêu âm!R12C2</t>
        </is>
      </c>
    </row>
    <row r="138">
      <c r="A138" t="n">
        <v>137</v>
      </c>
      <c r="B138" t="inlineStr">
        <is>
          <t>MAT-INSUL-BONG-THUY-TINH-CO-BAC-T12-13</t>
        </is>
      </c>
      <c r="C138" t="inlineStr">
        <is>
          <t>VẬT_LIỆU_TIÊU_ÂM</t>
        </is>
      </c>
      <c r="D138" t="inlineStr">
        <is>
          <t>Bông thuỷ tinh có bạc T12 D50 - Chiều dày 50mm, khổ rộng 1,2m dài 30m. Tổng 36m2/cuộn. Tỷ trọng 12kg/m3</t>
        </is>
      </c>
      <c r="E138" t="inlineStr">
        <is>
          <t>m2</t>
        </is>
      </c>
      <c r="F138" t="inlineStr"/>
      <c r="G138" t="inlineStr">
        <is>
          <t>VT tiêu âm!R13C2</t>
        </is>
      </c>
    </row>
    <row r="139">
      <c r="A139" t="n">
        <v>138</v>
      </c>
      <c r="B139" t="inlineStr">
        <is>
          <t>MAT-INSUL-BONG-THUY-TINH-KHONG-MAT-14</t>
        </is>
      </c>
      <c r="C139" t="inlineStr">
        <is>
          <t>VẬT_LIỆU_TIÊU_ÂM</t>
        </is>
      </c>
      <c r="D139" t="inlineStr">
        <is>
          <t>Bông thuỷ tinh không mặt bạc T24 D50 - Chiều dày 50mm, khổ rộng 1,2m dài 20m. Tổng 24m2/cuộn. Tỷ trọng 24kg/m3</t>
        </is>
      </c>
      <c r="E139" t="inlineStr">
        <is>
          <t>m2</t>
        </is>
      </c>
      <c r="F139" t="inlineStr"/>
      <c r="G139" t="inlineStr">
        <is>
          <t>VT tiêu âm!R14C2</t>
        </is>
      </c>
    </row>
    <row r="140">
      <c r="A140" t="n">
        <v>139</v>
      </c>
      <c r="B140" t="inlineStr">
        <is>
          <t>MAT-INSUL-BONG-THUY-TINH-CO-BAC-T24-15</t>
        </is>
      </c>
      <c r="C140" t="inlineStr">
        <is>
          <t>VẬT_LIỆU_TIÊU_ÂM</t>
        </is>
      </c>
      <c r="D140" t="inlineStr">
        <is>
          <t>Bông thuỷ tinh có bạc T24 D50 - Chiều dày 50mm, khổ rộng 1,2m dài 20m. Tổng 24m2/cuộn. Tỷ trọng 24kg/m3</t>
        </is>
      </c>
      <c r="E140" t="inlineStr">
        <is>
          <t>m2</t>
        </is>
      </c>
      <c r="F140" t="inlineStr"/>
      <c r="G140" t="inlineStr">
        <is>
          <t>VT tiêu âm!R15C2</t>
        </is>
      </c>
    </row>
    <row r="141">
      <c r="A141" t="n">
        <v>140</v>
      </c>
      <c r="B141" t="inlineStr">
        <is>
          <t>MAT-INSUL-BONG-THUY-TINH-KHONG-MAT-16</t>
        </is>
      </c>
      <c r="C141" t="inlineStr">
        <is>
          <t>VẬT_LIỆU_TIÊU_ÂM</t>
        </is>
      </c>
      <c r="D141" t="inlineStr">
        <is>
          <t>Bông thuỷ tinh không mặt bạc T32 D50 - Chiều dày 50mm, khổ rộng 1,2m dài 15m. Tổng 18m2/cuộn. Tỷ trọng 32kg/m3</t>
        </is>
      </c>
      <c r="E141" t="inlineStr">
        <is>
          <t>m2</t>
        </is>
      </c>
      <c r="F141" t="inlineStr"/>
      <c r="G141" t="inlineStr">
        <is>
          <t>VT tiêu âm!R16C2</t>
        </is>
      </c>
    </row>
    <row r="142">
      <c r="A142" t="n">
        <v>141</v>
      </c>
      <c r="B142" t="inlineStr">
        <is>
          <t>MAT-INSUL-BONG-THUY-TINH-CO-MAT-BAC-17</t>
        </is>
      </c>
      <c r="C142" t="inlineStr">
        <is>
          <t>VẬT_LIỆU_TIÊU_ÂM</t>
        </is>
      </c>
      <c r="D142" t="inlineStr">
        <is>
          <t>Bông thuỷ tinh có mặt bạc T32 D50 - Chiều dày 50mm, khổ rộng 1,2m dài 15m. Tổng 18m2/cuộn. Tỷ trọng 32kg/m3</t>
        </is>
      </c>
      <c r="E142" t="inlineStr">
        <is>
          <t>m2</t>
        </is>
      </c>
      <c r="F142" t="inlineStr"/>
      <c r="G142" t="inlineStr">
        <is>
          <t>VT tiêu âm!R17C2</t>
        </is>
      </c>
    </row>
    <row r="143">
      <c r="A143" t="n">
        <v>142</v>
      </c>
      <c r="B143" t="inlineStr">
        <is>
          <t>MAT-INSUL-BONG-KHOANG-TAM-T40-19</t>
        </is>
      </c>
      <c r="C143" t="inlineStr">
        <is>
          <t>VẬT_LIỆU_TIÊU_ÂM</t>
        </is>
      </c>
      <c r="D143" t="inlineStr">
        <is>
          <t>Bông khoáng tấm T40 - Kích thước tấm: 50 x 600 x 1200mm - 1 Kiện gồm 06 tấm, tỷ trọng 40kg/m3</t>
        </is>
      </c>
      <c r="E143" t="inlineStr">
        <is>
          <t>kiện</t>
        </is>
      </c>
      <c r="F143" t="inlineStr"/>
      <c r="G143" t="inlineStr">
        <is>
          <t>VT tiêu âm!R19C2</t>
        </is>
      </c>
    </row>
    <row r="144">
      <c r="A144" t="n">
        <v>143</v>
      </c>
      <c r="B144" t="inlineStr">
        <is>
          <t>MAT-INSUL-BONG-KHOANG-TAM-T50-20</t>
        </is>
      </c>
      <c r="C144" t="inlineStr">
        <is>
          <t>VẬT_LIỆU_TIÊU_ÂM</t>
        </is>
      </c>
      <c r="D144" t="inlineStr">
        <is>
          <t>Bông khoáng tấm T50 - Kích thước tấm: 50 x 600 x 1200mm - 1 Kiện gồm 06 tấm, tỷ trọng 50kg/m3</t>
        </is>
      </c>
      <c r="E144" t="inlineStr">
        <is>
          <t>kiện</t>
        </is>
      </c>
      <c r="F144" t="inlineStr"/>
      <c r="G144" t="inlineStr">
        <is>
          <t>VT tiêu âm!R20C2</t>
        </is>
      </c>
    </row>
    <row r="145">
      <c r="A145" t="n">
        <v>144</v>
      </c>
      <c r="B145" t="inlineStr">
        <is>
          <t>MAT-INSUL-BONG-KHOANG-T60-D50-21</t>
        </is>
      </c>
      <c r="C145" t="inlineStr">
        <is>
          <t>VẬT_LIỆU_TIÊU_ÂM</t>
        </is>
      </c>
      <c r="D145" t="inlineStr">
        <is>
          <t>Bông khoáng T60 D50 - Kích thước tấm: 50 x 600 x 1200mm - 1 Kiện gồm 06 tấm, tỷ trọng 60kg/m3</t>
        </is>
      </c>
      <c r="E145" t="inlineStr">
        <is>
          <t>kiện</t>
        </is>
      </c>
      <c r="F145" t="inlineStr"/>
      <c r="G145" t="inlineStr">
        <is>
          <t>VT tiêu âm!R21C2</t>
        </is>
      </c>
    </row>
    <row r="146">
      <c r="A146" t="n">
        <v>145</v>
      </c>
      <c r="B146" t="inlineStr">
        <is>
          <t>MAT-INSUL-BONG-KHOANG-T80-D50-22</t>
        </is>
      </c>
      <c r="C146" t="inlineStr">
        <is>
          <t>VẬT_LIỆU_TIÊU_ÂM</t>
        </is>
      </c>
      <c r="D146" t="inlineStr">
        <is>
          <t>Bông khoáng T80 D50 - Kích thước tấm: 50 x 600 x 1200mm - 1 Kiện gồm 06 tấm, tỷ trọng 80kg/m3</t>
        </is>
      </c>
      <c r="E146" t="inlineStr">
        <is>
          <t>kiện</t>
        </is>
      </c>
      <c r="F146" t="inlineStr"/>
      <c r="G146" t="inlineStr">
        <is>
          <t>VT tiêu âm!R22C2</t>
        </is>
      </c>
    </row>
    <row r="147">
      <c r="A147" t="n">
        <v>146</v>
      </c>
      <c r="B147" t="inlineStr">
        <is>
          <t>MAT-INSUL-BONG-KHOANG-T100-D50-23</t>
        </is>
      </c>
      <c r="C147" t="inlineStr">
        <is>
          <t>VẬT_LIỆU_TIÊU_ÂM</t>
        </is>
      </c>
      <c r="D147" t="inlineStr">
        <is>
          <t>Bông khoáng T100 D50 - Kích thước tấm: 100 x 600 x 1200mm - 1 Kiện gồm 03 tấm, tỷ trọng 100kg/m3</t>
        </is>
      </c>
      <c r="E147" t="inlineStr">
        <is>
          <t>kiện</t>
        </is>
      </c>
      <c r="F147" t="inlineStr"/>
      <c r="G147" t="inlineStr">
        <is>
          <t>VT tiêu âm!R23C2</t>
        </is>
      </c>
    </row>
    <row r="148">
      <c r="A148" t="n">
        <v>147</v>
      </c>
      <c r="B148" t="inlineStr">
        <is>
          <t>MAT-INSUL-BONG-GOM-BAO-610-X7200-X-25</t>
        </is>
      </c>
      <c r="C148" t="inlineStr">
        <is>
          <t>VẬT_LIỆU_TIÊU_ÂM</t>
        </is>
      </c>
      <c r="D148" t="inlineStr">
        <is>
          <t>Bông gốm bao 610 x7200 x 25mm - Bông gốm dạng bao dài 7,2m, rộng 0,61 dày 25mm , chịu nhiệt 1000 độ</t>
        </is>
      </c>
      <c r="E148" t="inlineStr">
        <is>
          <t>bao</t>
        </is>
      </c>
      <c r="F148" t="inlineStr"/>
      <c r="G148" t="inlineStr">
        <is>
          <t>VT tiêu âm!R25C2</t>
        </is>
      </c>
    </row>
    <row r="149">
      <c r="A149" t="n">
        <v>148</v>
      </c>
      <c r="B149" t="inlineStr">
        <is>
          <t>MAT-INSUL-BONG-GOM-HOP-610-X7200-X-26</t>
        </is>
      </c>
      <c r="C149" t="inlineStr">
        <is>
          <t>VẬT_LIỆU_TIÊU_ÂM</t>
        </is>
      </c>
      <c r="D149" t="inlineStr">
        <is>
          <t>Bông gốm hộp  610 x7200 x 25mm T96 - Bông gốm dạng bao dài 7,2m, rộng 0,61 dày 25mm , chịu nhiệt 1260 độ . 6P</t>
        </is>
      </c>
      <c r="E149" t="inlineStr">
        <is>
          <t>hộp</t>
        </is>
      </c>
      <c r="F149" t="inlineStr"/>
      <c r="G149" t="inlineStr">
        <is>
          <t>VT tiêu âm!R26C2</t>
        </is>
      </c>
    </row>
    <row r="150">
      <c r="A150" t="n">
        <v>149</v>
      </c>
      <c r="B150" t="inlineStr">
        <is>
          <t>MAT-INSUL-BONG-GOM-HOP-610-X7200-X-27</t>
        </is>
      </c>
      <c r="C150" t="inlineStr">
        <is>
          <t>VẬT_LIỆU_TIÊU_ÂM</t>
        </is>
      </c>
      <c r="D150" t="inlineStr">
        <is>
          <t>Bông gốm hộp  610 x7200 x 25mm T128 - Bông gốm dạng bao dài 7,2m, rộng 0,61 dày 25mm , chịu nhiệt 1260 độ . 8P</t>
        </is>
      </c>
      <c r="E150" t="inlineStr">
        <is>
          <t>hộp</t>
        </is>
      </c>
      <c r="F150" t="inlineStr"/>
      <c r="G150" t="inlineStr">
        <is>
          <t>VT tiêu âm!R27C2</t>
        </is>
      </c>
    </row>
    <row r="151">
      <c r="A151" t="n">
        <v>150</v>
      </c>
      <c r="B151" t="inlineStr">
        <is>
          <t>MAT-INSUL-BONG-GOM-HOP-610-X7200-X-28</t>
        </is>
      </c>
      <c r="C151" t="inlineStr">
        <is>
          <t>VẬT_LIỆU_TIÊU_ÂM</t>
        </is>
      </c>
      <c r="D151" t="inlineStr">
        <is>
          <t>Bông gốm hộp  610 x7200 x 25mm T128 - Bông gốm dạng bao dài 7,2m, rộng 0,61 dày 25mm , chịu nhiệt 1430 độ</t>
        </is>
      </c>
      <c r="E151" t="inlineStr">
        <is>
          <t>hộp</t>
        </is>
      </c>
      <c r="F151" t="inlineStr"/>
      <c r="G151" t="inlineStr">
        <is>
          <t>VT tiêu âm!R28C2</t>
        </is>
      </c>
    </row>
    <row r="152">
      <c r="A152" t="n">
        <v>151</v>
      </c>
      <c r="B152" t="inlineStr">
        <is>
          <t>MAT-INSUL-BONG-GOM-DANG-TAM-600-X-9-29</t>
        </is>
      </c>
      <c r="C152" t="inlineStr">
        <is>
          <t>VẬT_LIỆU_TIÊU_ÂM</t>
        </is>
      </c>
      <c r="D152" t="inlineStr">
        <is>
          <t>Bông gốm dạng tấm 600 x 900 T340 - Hộp D25 = 4 tấm  - Hộp D50 = 2 tấm</t>
        </is>
      </c>
      <c r="E152" t="inlineStr">
        <is>
          <t>hộp</t>
        </is>
      </c>
      <c r="F152" t="inlineStr"/>
      <c r="G152" t="inlineStr">
        <is>
          <t>VT tiêu âm!R29C2</t>
        </is>
      </c>
    </row>
    <row r="153">
      <c r="A153" t="n">
        <v>152</v>
      </c>
      <c r="B153" t="inlineStr">
        <is>
          <t>MAT-INSUL-BONG-GOM-DANG-ROI-30</t>
        </is>
      </c>
      <c r="C153" t="inlineStr">
        <is>
          <t>VẬT_LIỆU_TIÊU_ÂM</t>
        </is>
      </c>
      <c r="D153" t="inlineStr">
        <is>
          <t>Bông gốm dạng rời</t>
        </is>
      </c>
      <c r="E153" t="inlineStr">
        <is>
          <t>hộp</t>
        </is>
      </c>
      <c r="F153" t="inlineStr"/>
      <c r="G153" t="inlineStr">
        <is>
          <t>VT tiêu âm!R30C2</t>
        </is>
      </c>
    </row>
    <row r="154">
      <c r="A154" t="n">
        <v>153</v>
      </c>
      <c r="B154" t="inlineStr">
        <is>
          <t>MAT-INSUL-MUT-TRUNG-3CM-KICH-THUOC-32</t>
        </is>
      </c>
      <c r="C154" t="inlineStr">
        <is>
          <t>VẬT_LIỆU_TIÊU_ÂM</t>
        </is>
      </c>
      <c r="D154" t="inlineStr">
        <is>
          <t>Mút trứng 3cm , kích thước tấm 1,6 x 2m</t>
        </is>
      </c>
      <c r="E154" t="inlineStr">
        <is>
          <t>tấm</t>
        </is>
      </c>
      <c r="F154" t="inlineStr"/>
      <c r="G154" t="inlineStr">
        <is>
          <t>VT tiêu âm!R32C2</t>
        </is>
      </c>
    </row>
    <row r="155">
      <c r="A155" t="n">
        <v>154</v>
      </c>
      <c r="B155" t="inlineStr">
        <is>
          <t>MAT-INSUL-MUT-TRUNG-5CM-KICH-THUOC-33</t>
        </is>
      </c>
      <c r="C155" t="inlineStr">
        <is>
          <t>VẬT_LIỆU_TIÊU_ÂM</t>
        </is>
      </c>
      <c r="D155" t="inlineStr">
        <is>
          <t>Mút trứng 5cm , kích thước tấm 1,6 x 2m</t>
        </is>
      </c>
      <c r="E155" t="inlineStr">
        <is>
          <t>tấm</t>
        </is>
      </c>
      <c r="F155" t="inlineStr"/>
      <c r="G155" t="inlineStr">
        <is>
          <t>VT tiêu âm!R33C2</t>
        </is>
      </c>
    </row>
    <row r="156">
      <c r="A156" t="n">
        <v>155</v>
      </c>
      <c r="B156" t="inlineStr">
        <is>
          <t>MAT-INSUL-MUT-GAI-5CM-KICH-THUOC-TA-34</t>
        </is>
      </c>
      <c r="C156" t="inlineStr">
        <is>
          <t>VẬT_LIỆU_TIÊU_ÂM</t>
        </is>
      </c>
      <c r="D156" t="inlineStr">
        <is>
          <t>Mút gai 5cm , kích thước tấm 1 x 1m</t>
        </is>
      </c>
      <c r="E156" t="inlineStr">
        <is>
          <t>tấm</t>
        </is>
      </c>
      <c r="F156" t="inlineStr"/>
      <c r="G156" t="inlineStr">
        <is>
          <t>VT tiêu âm!R34C2</t>
        </is>
      </c>
    </row>
    <row r="157">
      <c r="A157" t="n">
        <v>156</v>
      </c>
      <c r="B157" t="inlineStr">
        <is>
          <t>MAT-INSUL-XOP-XPS-DAY-25MM-KICH-THU-35</t>
        </is>
      </c>
      <c r="C157" t="inlineStr">
        <is>
          <t>VẬT_LIỆU_TIÊU_ÂM</t>
        </is>
      </c>
      <c r="D157" t="inlineStr">
        <is>
          <t>Xốp XPS . Dày 25mm kích thước tấm 600 x 1800</t>
        </is>
      </c>
      <c r="E157" t="inlineStr">
        <is>
          <t>m2</t>
        </is>
      </c>
      <c r="F157" t="inlineStr"/>
      <c r="G157" t="inlineStr">
        <is>
          <t>VT tiêu âm!R35C2</t>
        </is>
      </c>
    </row>
    <row r="158">
      <c r="A158" t="n">
        <v>157</v>
      </c>
      <c r="B158" t="inlineStr">
        <is>
          <t>MAT-INSUL-VAI-THUY-TINH-36</t>
        </is>
      </c>
      <c r="C158" t="inlineStr">
        <is>
          <t>VẬT_LIỆU_TIÊU_ÂM</t>
        </is>
      </c>
      <c r="D158" t="inlineStr">
        <is>
          <t>Vải thủy tinh</t>
        </is>
      </c>
      <c r="E158" t="inlineStr">
        <is>
          <t>kg</t>
        </is>
      </c>
      <c r="F158" t="inlineStr"/>
      <c r="G158" t="inlineStr">
        <is>
          <t>VT tiêu âm!R36C2</t>
        </is>
      </c>
    </row>
    <row r="159">
      <c r="A159" t="n">
        <v>158</v>
      </c>
      <c r="B159" t="inlineStr">
        <is>
          <t>MAT-INSUL-TON-LO-D6-38</t>
        </is>
      </c>
      <c r="C159" t="inlineStr">
        <is>
          <t>VẬT_LIỆU_TIÊU_ÂM</t>
        </is>
      </c>
      <c r="D159" t="inlineStr">
        <is>
          <t>Tôn lỗ D6</t>
        </is>
      </c>
      <c r="E159" t="inlineStr">
        <is>
          <t>tấm</t>
        </is>
      </c>
      <c r="F159" t="inlineStr"/>
      <c r="G159" t="inlineStr">
        <is>
          <t>VT tiêu âm!R38C2</t>
        </is>
      </c>
    </row>
    <row r="160">
      <c r="A160" t="n">
        <v>159</v>
      </c>
      <c r="B160" t="inlineStr">
        <is>
          <t>MAT-INSUL-TON-LO-D10-40</t>
        </is>
      </c>
      <c r="C160" t="inlineStr">
        <is>
          <t>VẬT_LIỆU_TIÊU_ÂM</t>
        </is>
      </c>
      <c r="D160" t="inlineStr">
        <is>
          <t>Tôn lỗ D10</t>
        </is>
      </c>
      <c r="E160" t="inlineStr">
        <is>
          <t>tấm</t>
        </is>
      </c>
      <c r="F160" t="inlineStr"/>
      <c r="G160" t="inlineStr">
        <is>
          <t>VT tiêu âm!R40C2</t>
        </is>
      </c>
    </row>
    <row r="161">
      <c r="A161" t="n">
        <v>160</v>
      </c>
      <c r="B161" t="inlineStr">
        <is>
          <t>CANVAS_FIRE_RESISTANT</t>
        </is>
      </c>
      <c r="C161" t="inlineStr">
        <is>
          <t>VẬT_TƯ_BẠT</t>
        </is>
      </c>
      <c r="D161" t="inlineStr">
        <is>
          <t>Cuộn vải bạt bọc cách nhiệt/chống cháy</t>
        </is>
      </c>
      <c r="E161" t="inlineStr">
        <is>
          <t>m2</t>
        </is>
      </c>
      <c r="F161" t="inlineStr"/>
      <c r="G161" t="inlineStr">
        <is>
          <t>BG canvas, ventcap</t>
        </is>
      </c>
    </row>
    <row r="162">
      <c r="A162" t="n">
        <v>161</v>
      </c>
      <c r="B162" t="inlineStr">
        <is>
          <t>ROCKWOOL_50MM_50KG</t>
        </is>
      </c>
      <c r="C162" t="inlineStr">
        <is>
          <t>VẬT_LIỆU_TIÊU_ÂM</t>
        </is>
      </c>
      <c r="D162" t="inlineStr">
        <is>
          <t>Bông Rockwool tỷ trọng 50kg/m3 dày 50mm</t>
        </is>
      </c>
      <c r="E162" t="inlineStr">
        <is>
          <t>m2</t>
        </is>
      </c>
      <c r="F162" t="inlineStr"/>
      <c r="G162" t="inlineStr">
        <is>
          <t>BG TIEU AM</t>
        </is>
      </c>
    </row>
    <row r="163">
      <c r="A163" t="n">
        <v>162</v>
      </c>
      <c r="B163" t="inlineStr">
        <is>
          <t>GLASS_CLOTH</t>
        </is>
      </c>
      <c r="C163" t="inlineStr">
        <is>
          <t>VẬT_LIỆU_TIÊU_ÂM</t>
        </is>
      </c>
      <c r="D163" t="inlineStr">
        <is>
          <t>Vải thủy tinh bọc tiêu âm</t>
        </is>
      </c>
      <c r="E163" t="inlineStr">
        <is>
          <t>m2</t>
        </is>
      </c>
      <c r="F163" t="inlineStr"/>
      <c r="G163" t="inlineStr">
        <is>
          <t>BG TIEU AM</t>
        </is>
      </c>
    </row>
    <row r="164">
      <c r="A164" t="n">
        <v>163</v>
      </c>
      <c r="B164" t="inlineStr">
        <is>
          <t>PERFORATED_SHEET</t>
        </is>
      </c>
      <c r="C164" t="inlineStr">
        <is>
          <t>VẬT_LIỆU_TIÊU_ÂM</t>
        </is>
      </c>
      <c r="D164" t="inlineStr">
        <is>
          <t>Tôn đục lỗ tiêu âm</t>
        </is>
      </c>
      <c r="E164" t="inlineStr">
        <is>
          <t>m2</t>
        </is>
      </c>
      <c r="F164" t="inlineStr"/>
      <c r="G164" t="inlineStr">
        <is>
          <t>BG TIEU AM</t>
        </is>
      </c>
    </row>
    <row r="165">
      <c r="A165" t="n">
        <v>164</v>
      </c>
      <c r="B165" t="inlineStr">
        <is>
          <t>SUPERLON_19MM</t>
        </is>
      </c>
      <c r="C165" t="inlineStr">
        <is>
          <t>VẬT_LIỆU_BẢO_ÔN</t>
        </is>
      </c>
      <c r="D165" t="inlineStr">
        <is>
          <t>Bảo ôn Superlon dạng tấm dày 19mm</t>
        </is>
      </c>
      <c r="E165" t="inlineStr">
        <is>
          <t>m2</t>
        </is>
      </c>
      <c r="F165" t="inlineStr"/>
      <c r="G165" t="inlineStr">
        <is>
          <t>bảo ôn</t>
        </is>
      </c>
    </row>
    <row r="166">
      <c r="A166" t="n">
        <v>165</v>
      </c>
      <c r="B166" t="inlineStr">
        <is>
          <t>FLEX_DUCT_D100_NON_INSUL</t>
        </is>
      </c>
      <c r="C166" t="inlineStr">
        <is>
          <t>ỐNG_GIÓ_MỀM</t>
        </is>
      </c>
      <c r="D166" t="inlineStr">
        <is>
          <t>ống mềm D100 không bảo ôn</t>
        </is>
      </c>
      <c r="E166" t="inlineStr">
        <is>
          <t>ống</t>
        </is>
      </c>
      <c r="F166" t="inlineStr"/>
      <c r="G166" t="inlineStr">
        <is>
          <t>bảo ôn</t>
        </is>
      </c>
    </row>
    <row r="167">
      <c r="A167" t="n">
        <v>166</v>
      </c>
      <c r="B167" t="inlineStr">
        <is>
          <t>FLEX_DUCT_D150_NON_INSUL</t>
        </is>
      </c>
      <c r="C167" t="inlineStr">
        <is>
          <t>ỐNG_GIÓ_MỀM</t>
        </is>
      </c>
      <c r="D167" t="inlineStr">
        <is>
          <t>ống mềm D150 không bảo ôn</t>
        </is>
      </c>
      <c r="E167" t="inlineStr">
        <is>
          <t>ống</t>
        </is>
      </c>
      <c r="F167" t="inlineStr"/>
      <c r="G167" t="inlineStr">
        <is>
          <t>bảo ôn</t>
        </is>
      </c>
    </row>
    <row r="168">
      <c r="A168" t="n">
        <v>167</v>
      </c>
      <c r="B168" t="inlineStr">
        <is>
          <t>FLEX_DUCT_D200_NON_INSUL</t>
        </is>
      </c>
      <c r="C168" t="inlineStr">
        <is>
          <t>ỐNG_GIÓ_MỀM</t>
        </is>
      </c>
      <c r="D168" t="inlineStr">
        <is>
          <t>ống mềm D200 không bảo ôn</t>
        </is>
      </c>
      <c r="E168" t="inlineStr">
        <is>
          <t>ống</t>
        </is>
      </c>
      <c r="F168" t="inlineStr"/>
      <c r="G168" t="inlineStr">
        <is>
          <t>bảo ôn</t>
        </is>
      </c>
    </row>
    <row r="169">
      <c r="A169" t="n">
        <v>168</v>
      </c>
      <c r="B169" t="inlineStr">
        <is>
          <t>FLEX_DUCT_D250_NON_INSUL</t>
        </is>
      </c>
      <c r="C169" t="inlineStr">
        <is>
          <t>ỐNG_GIÓ_MỀM</t>
        </is>
      </c>
      <c r="D169" t="inlineStr">
        <is>
          <t>ống mềm D250 không bảo ôn</t>
        </is>
      </c>
      <c r="E169" t="inlineStr">
        <is>
          <t>ống</t>
        </is>
      </c>
      <c r="F169" t="inlineStr"/>
      <c r="G169" t="inlineStr">
        <is>
          <t>bảo ôn</t>
        </is>
      </c>
    </row>
    <row r="170">
      <c r="A170" t="n">
        <v>169</v>
      </c>
      <c r="B170" t="inlineStr">
        <is>
          <t>FLEX_DUCT_D300_NON_INSUL</t>
        </is>
      </c>
      <c r="C170" t="inlineStr">
        <is>
          <t>ỐNG_GIÓ_MỀM</t>
        </is>
      </c>
      <c r="D170" t="inlineStr">
        <is>
          <t>ống mềm D300 không bảo ôn</t>
        </is>
      </c>
      <c r="E170" t="inlineStr">
        <is>
          <t>ống</t>
        </is>
      </c>
      <c r="F170" t="inlineStr"/>
      <c r="G170" t="inlineStr">
        <is>
          <t>bảo ôn</t>
        </is>
      </c>
    </row>
    <row r="171">
      <c r="A171" t="n">
        <v>170</v>
      </c>
      <c r="B171" t="inlineStr">
        <is>
          <t>FLEX_DUCT_D350_NON_INSUL</t>
        </is>
      </c>
      <c r="C171" t="inlineStr">
        <is>
          <t>ỐNG_GIÓ_MỀM</t>
        </is>
      </c>
      <c r="D171" t="inlineStr">
        <is>
          <t>ống mềm D350 không bảo ôn</t>
        </is>
      </c>
      <c r="E171" t="inlineStr">
        <is>
          <t>ống</t>
        </is>
      </c>
      <c r="F171" t="inlineStr"/>
      <c r="G171" t="inlineStr">
        <is>
          <t>bảo ôn</t>
        </is>
      </c>
    </row>
    <row r="172">
      <c r="A172" t="n">
        <v>171</v>
      </c>
      <c r="B172" t="inlineStr">
        <is>
          <t>FLEX_DUCT_D100_INSUL</t>
        </is>
      </c>
      <c r="C172" t="inlineStr">
        <is>
          <t>ỐNG_GIÓ_MỀM</t>
        </is>
      </c>
      <c r="D172" t="inlineStr">
        <is>
          <t>ống mềm D100 có bảo ôn</t>
        </is>
      </c>
      <c r="E172" t="inlineStr">
        <is>
          <t>ống</t>
        </is>
      </c>
      <c r="F172" t="inlineStr"/>
      <c r="G172" t="inlineStr">
        <is>
          <t>bảo ôn</t>
        </is>
      </c>
    </row>
    <row r="173">
      <c r="A173" t="n">
        <v>172</v>
      </c>
      <c r="B173" t="inlineStr">
        <is>
          <t>FLEX_DUCT_D150_INSUL</t>
        </is>
      </c>
      <c r="C173" t="inlineStr">
        <is>
          <t>ỐNG_GIÓ_MỀM</t>
        </is>
      </c>
      <c r="D173" t="inlineStr">
        <is>
          <t>ống mềm D150 có bảo ôn</t>
        </is>
      </c>
      <c r="E173" t="inlineStr">
        <is>
          <t>ống</t>
        </is>
      </c>
      <c r="F173" t="inlineStr"/>
      <c r="G173" t="inlineStr">
        <is>
          <t>bảo ôn</t>
        </is>
      </c>
    </row>
    <row r="174">
      <c r="A174" t="n">
        <v>173</v>
      </c>
      <c r="B174" t="inlineStr">
        <is>
          <t>FLEX_DUCT_D200_INSUL</t>
        </is>
      </c>
      <c r="C174" t="inlineStr">
        <is>
          <t>ỐNG_GIÓ_MỀM</t>
        </is>
      </c>
      <c r="D174" t="inlineStr">
        <is>
          <t>ống mềm D200 có bảo ôn</t>
        </is>
      </c>
      <c r="E174" t="inlineStr">
        <is>
          <t>ống</t>
        </is>
      </c>
      <c r="F174" t="inlineStr"/>
      <c r="G174" t="inlineStr">
        <is>
          <t>bảo ôn</t>
        </is>
      </c>
    </row>
    <row r="175">
      <c r="A175" t="n">
        <v>174</v>
      </c>
      <c r="B175" t="inlineStr">
        <is>
          <t>FLEX_DUCT_D250_INSUL</t>
        </is>
      </c>
      <c r="C175" t="inlineStr">
        <is>
          <t>ỐNG_GIÓ_MỀM</t>
        </is>
      </c>
      <c r="D175" t="inlineStr">
        <is>
          <t>ống mềm D250 có bảo ôn</t>
        </is>
      </c>
      <c r="E175" t="inlineStr">
        <is>
          <t>ống</t>
        </is>
      </c>
      <c r="F175" t="inlineStr"/>
      <c r="G175" t="inlineStr">
        <is>
          <t>bảo ôn</t>
        </is>
      </c>
    </row>
    <row r="176">
      <c r="A176" t="n">
        <v>175</v>
      </c>
      <c r="B176" t="inlineStr">
        <is>
          <t>FLEX_DUCT_D300_INSUL</t>
        </is>
      </c>
      <c r="C176" t="inlineStr">
        <is>
          <t>ỐNG_GIÓ_MỀM</t>
        </is>
      </c>
      <c r="D176" t="inlineStr">
        <is>
          <t>ống mềm D300 có bảo ôn</t>
        </is>
      </c>
      <c r="E176" t="inlineStr">
        <is>
          <t>ống</t>
        </is>
      </c>
      <c r="F176" t="inlineStr"/>
      <c r="G176" t="inlineStr">
        <is>
          <t>bảo ôn</t>
        </is>
      </c>
    </row>
    <row r="177">
      <c r="A177" t="n">
        <v>176</v>
      </c>
      <c r="B177" t="inlineStr">
        <is>
          <t>FLEX_DUCT_D350_INSUL</t>
        </is>
      </c>
      <c r="C177" t="inlineStr">
        <is>
          <t>ỐNG_GIÓ_MỀM</t>
        </is>
      </c>
      <c r="D177" t="inlineStr">
        <is>
          <t>ống mềm D350 có bảo ôn</t>
        </is>
      </c>
      <c r="E177" t="inlineStr">
        <is>
          <t>ống</t>
        </is>
      </c>
      <c r="F177" t="inlineStr"/>
      <c r="G177" t="inlineStr">
        <is>
          <t>bảo ôn</t>
        </is>
      </c>
    </row>
    <row r="178">
      <c r="A178" t="n">
        <v>177</v>
      </c>
      <c r="B178" t="inlineStr">
        <is>
          <t>FLEX_DUCT_D400_NON_INSUL</t>
        </is>
      </c>
      <c r="C178" t="inlineStr">
        <is>
          <t>ỐNG_GIÓ_MỀM</t>
        </is>
      </c>
      <c r="D178" t="inlineStr">
        <is>
          <t>ống mềm D400 không bảo ôn</t>
        </is>
      </c>
      <c r="E178" t="inlineStr">
        <is>
          <t>ống</t>
        </is>
      </c>
      <c r="F178" t="inlineStr"/>
      <c r="G178" t="inlineStr">
        <is>
          <t>bảo ôn</t>
        </is>
      </c>
    </row>
    <row r="179">
      <c r="A179" t="n">
        <v>178</v>
      </c>
      <c r="B179" t="inlineStr">
        <is>
          <t>FLEX_DUCT_D400_INSUL</t>
        </is>
      </c>
      <c r="C179" t="inlineStr">
        <is>
          <t>ỐNG_GIÓ_MỀM</t>
        </is>
      </c>
      <c r="D179" t="inlineStr">
        <is>
          <t>ống mềm D400 có bảo ôn</t>
        </is>
      </c>
      <c r="E179" t="inlineStr">
        <is>
          <t>ống</t>
        </is>
      </c>
      <c r="F179" t="inlineStr"/>
      <c r="G179" t="inlineStr">
        <is>
          <t>bảo ôn</t>
        </is>
      </c>
    </row>
    <row r="180">
      <c r="A180" t="n">
        <v>179</v>
      </c>
      <c r="B180" t="inlineStr">
        <is>
          <t>MAT-FIREBOARD-10MM-BODY</t>
        </is>
      </c>
      <c r="C180" t="inlineStr">
        <is>
          <t>VẬT_LIỆU_CÁCH_NHIỆT</t>
        </is>
      </c>
      <c r="D180" t="inlineStr">
        <is>
          <t>Tấm chống cháy dày 10mm bọc thân van FD/MFD</t>
        </is>
      </c>
      <c r="E180" t="inlineStr">
        <is>
          <t>m2</t>
        </is>
      </c>
      <c r="F180" t="inlineStr"/>
      <c r="G180" t="inlineStr">
        <is>
          <t>BG VAN !R16C43</t>
        </is>
      </c>
    </row>
    <row r="181">
      <c r="A181" t="n">
        <v>180</v>
      </c>
      <c r="B181" t="inlineStr">
        <is>
          <t>MAT-FIREBOARD-20MM-BLADE</t>
        </is>
      </c>
      <c r="C181" t="inlineStr">
        <is>
          <t>VẬT_LIỆU_CÁCH_NHIỆT</t>
        </is>
      </c>
      <c r="D181" t="inlineStr">
        <is>
          <t>Tấm chống cháy dày 20mm làm lõi cánh van FD/MFD</t>
        </is>
      </c>
      <c r="E181" t="inlineStr">
        <is>
          <t>m2</t>
        </is>
      </c>
      <c r="F181" t="inlineStr"/>
      <c r="G181" t="inlineStr">
        <is>
          <t>BG VAN !R16C44</t>
        </is>
      </c>
    </row>
    <row r="182">
      <c r="A182" t="n">
        <v>181</v>
      </c>
      <c r="B182" t="inlineStr">
        <is>
          <t>MAT-FIREBOARD-10MM-BLADE</t>
        </is>
      </c>
      <c r="C182" t="inlineStr">
        <is>
          <t>VẬT_LIỆU_CÁCH_NHIỆT</t>
        </is>
      </c>
      <c r="D182" t="inlineStr">
        <is>
          <t>Tấm chống cháy dày 10mm ốp 2 mặt cánh van FD/MFD</t>
        </is>
      </c>
      <c r="E182" t="inlineStr">
        <is>
          <t>m2</t>
        </is>
      </c>
      <c r="F182" t="inlineStr"/>
      <c r="G182" t="inlineStr">
        <is>
          <t>BG VAN !R16C45</t>
        </is>
      </c>
    </row>
    <row r="183">
      <c r="A183" t="n">
        <v>182</v>
      </c>
      <c r="B183" t="inlineStr">
        <is>
          <t>MAT-INSULATION-EI-DAMPER</t>
        </is>
      </c>
      <c r="C183" t="inlineStr">
        <is>
          <t>VẬT_LIỆU_CÁCH_NHIỆT</t>
        </is>
      </c>
      <c r="D183" t="inlineStr">
        <is>
          <t>Bọc cách nhiệt chống cháy tấm MGO/Thạch cao 10mm (Tiêu chuẩn EI)</t>
        </is>
      </c>
      <c r="E183" t="inlineStr">
        <is>
          <t>m2</t>
        </is>
      </c>
      <c r="F183" t="inlineStr"/>
      <c r="G183" t="inlineStr">
        <is>
          <t>BG VAN !R16C43</t>
        </is>
      </c>
    </row>
    <row r="184">
      <c r="A184" t="n">
        <v>183</v>
      </c>
      <c r="B184" t="inlineStr">
        <is>
          <t>MAT-ACTUATOR-BELIMO-FSLF24</t>
        </is>
      </c>
      <c r="C184" t="inlineStr">
        <is>
          <t>ĐỘNG_CƠ_VÀ_CẢM_BIẾN</t>
        </is>
      </c>
      <c r="D184" t="inlineStr">
        <is>
          <t>Động cơ chặn lửa ON/OFF 3.5Nm, 230V/24V (BELIMO FSLF24 / FSLF230)</t>
        </is>
      </c>
      <c r="E184" t="inlineStr">
        <is>
          <t>Cái</t>
        </is>
      </c>
      <c r="F184" t="inlineStr"/>
      <c r="G184" t="inlineStr">
        <is>
          <t>BG VAN !R16C41</t>
        </is>
      </c>
    </row>
    <row r="185">
      <c r="A185" t="n">
        <v>184</v>
      </c>
      <c r="B185" t="inlineStr">
        <is>
          <t>MAT-ACTUATOR-BELIMO-BFN24</t>
        </is>
      </c>
      <c r="C185" t="inlineStr">
        <is>
          <t>ĐỘNG_CƠ_VÀ_CẢM_BIẾN</t>
        </is>
      </c>
      <c r="D185" t="inlineStr">
        <is>
          <t>Động cơ chặn lửa ON/OFF 9Nm, 230V/24V (BELIMO BFN24 / BFN230)</t>
        </is>
      </c>
      <c r="E185" t="inlineStr">
        <is>
          <t>Cái</t>
        </is>
      </c>
      <c r="F185" t="inlineStr"/>
      <c r="G185" t="inlineStr">
        <is>
          <t>BG VAN !R16C42</t>
        </is>
      </c>
    </row>
    <row r="186">
      <c r="A186" t="n">
        <v>185</v>
      </c>
      <c r="B186" t="inlineStr">
        <is>
          <t>MAT-ACTUATOR-BELIMO-BF24</t>
        </is>
      </c>
      <c r="C186" t="inlineStr">
        <is>
          <t>ĐỘNG_CƠ_VÀ_CẢM_BIẾN</t>
        </is>
      </c>
      <c r="D186" t="inlineStr">
        <is>
          <t>Động cơ chặn lửa ON/OFF 18Nm, 24V (BELIMO BF 24 hoặc tương đương)</t>
        </is>
      </c>
      <c r="E186" t="inlineStr">
        <is>
          <t>Cái</t>
        </is>
      </c>
      <c r="F186" t="inlineStr"/>
      <c r="G186" t="inlineStr">
        <is>
          <t>Bang_Tinh_Gia_Swind_Chuan_2026_Estimated</t>
        </is>
      </c>
    </row>
    <row r="187">
      <c r="A187" t="n">
        <v>186</v>
      </c>
      <c r="B187" t="inlineStr">
        <is>
          <t>MAT-ACTUATOR-HONEYWELL</t>
        </is>
      </c>
      <c r="C187" t="inlineStr">
        <is>
          <t>ĐỘNG_CƠ_VÀ_CẢM_BIẾN</t>
        </is>
      </c>
      <c r="D187" t="inlineStr">
        <is>
          <t>Động cơ chặn lửa ON/OFF 9Nm, 230V, đóng mở nhanh 15s (HoneyWell MS4609F1010/B)</t>
        </is>
      </c>
      <c r="E187" t="inlineStr">
        <is>
          <t>Cái</t>
        </is>
      </c>
      <c r="F187" t="inlineStr"/>
      <c r="G187" t="inlineStr">
        <is>
          <t>BG VAN !R16C46</t>
        </is>
      </c>
    </row>
    <row r="188">
      <c r="A188" t="n">
        <v>187</v>
      </c>
      <c r="B188" t="inlineStr">
        <is>
          <t>MAT-ACTUATOR-SWIND-VIWECO</t>
        </is>
      </c>
      <c r="C188" t="inlineStr">
        <is>
          <t>ĐỘNG_CƠ_VÀ_CẢM_BIẾN</t>
        </is>
      </c>
      <c r="D188" t="inlineStr">
        <is>
          <t>Động cơ chặn lửa ON/OFF Swind (Viweco V6006FS500S)</t>
        </is>
      </c>
      <c r="E188" t="inlineStr">
        <is>
          <t>Cái</t>
        </is>
      </c>
      <c r="F188" t="inlineStr"/>
      <c r="G188" t="inlineStr">
        <is>
          <t>BG VAN !R16C47</t>
        </is>
      </c>
    </row>
    <row r="189">
      <c r="A189" t="n">
        <v>188</v>
      </c>
      <c r="B189" t="inlineStr">
        <is>
          <t>MAT-ACTUATOR-KLB-V6006FS500S</t>
        </is>
      </c>
      <c r="C189" t="inlineStr">
        <is>
          <t>ĐỘNG_CƠ_VÀ_CẢM_BIẾN</t>
        </is>
      </c>
      <c r="D189" t="inlineStr">
        <is>
          <t>Động cơ chặn lửa ON/OFF KLB (Swin V6006FS500S EI90)</t>
        </is>
      </c>
      <c r="E189" t="inlineStr">
        <is>
          <t>Cái</t>
        </is>
      </c>
      <c r="F189" t="inlineStr"/>
      <c r="G189" t="inlineStr">
        <is>
          <t>BG VAN !R16C47 (Col S R28)</t>
        </is>
      </c>
    </row>
    <row r="190">
      <c r="A190" t="n">
        <v>189</v>
      </c>
      <c r="B190" t="inlineStr">
        <is>
          <t>MAT-ACTUATOR-BELIMO-5NM</t>
        </is>
      </c>
      <c r="C190" t="inlineStr">
        <is>
          <t>ĐỘNG_CƠ_VÀ_CẢM_BIẾN</t>
        </is>
      </c>
      <c r="D190" t="inlineStr">
        <is>
          <t>Động cơ van gió Belimo ON/OFF 5Nm</t>
        </is>
      </c>
      <c r="E190" t="inlineStr">
        <is>
          <t>Cái</t>
        </is>
      </c>
      <c r="F190" t="inlineStr"/>
      <c r="G190" t="inlineStr">
        <is>
          <t>BG VAN !R16C48</t>
        </is>
      </c>
    </row>
    <row r="191">
      <c r="A191" t="n">
        <v>190</v>
      </c>
      <c r="B191" t="inlineStr">
        <is>
          <t>MAT-ACTUATOR-BELIMO-10NM</t>
        </is>
      </c>
      <c r="C191" t="inlineStr">
        <is>
          <t>ĐỘNG_CƠ_VÀ_CẢM_BIẾN</t>
        </is>
      </c>
      <c r="D191" t="inlineStr">
        <is>
          <t>Động cơ van gió Belimo ON/OFF 10Nm</t>
        </is>
      </c>
      <c r="E191" t="inlineStr">
        <is>
          <t>Cái</t>
        </is>
      </c>
      <c r="F191" t="inlineStr"/>
      <c r="G191" t="inlineStr">
        <is>
          <t>BG VAN !R16C49</t>
        </is>
      </c>
    </row>
    <row r="192">
      <c r="A192" t="n">
        <v>191</v>
      </c>
      <c r="B192" t="inlineStr">
        <is>
          <t>MAT-ACTUATOR-BELIMO-20NM</t>
        </is>
      </c>
      <c r="C192" t="inlineStr">
        <is>
          <t>ĐỘNG_CƠ_VÀ_CẢM_BIẾN</t>
        </is>
      </c>
      <c r="D192" t="inlineStr">
        <is>
          <t>Động cơ van gió Belimo ON/OFF 20Nm</t>
        </is>
      </c>
      <c r="E192" t="inlineStr">
        <is>
          <t>Cái</t>
        </is>
      </c>
      <c r="F192" t="inlineStr"/>
      <c r="G192" t="inlineStr">
        <is>
          <t>BG VAN !R16C50</t>
        </is>
      </c>
    </row>
    <row r="193">
      <c r="A193" t="n">
        <v>192</v>
      </c>
      <c r="B193" t="inlineStr">
        <is>
          <t>MAT-DAMPER-HOP-LO-XO</t>
        </is>
      </c>
      <c r="C193" t="inlineStr">
        <is>
          <t>PHỤ_KIỆN_VAN</t>
        </is>
      </c>
      <c r="D193" t="inlineStr">
        <is>
          <t>Hộp lò xo van chặn lửa FD/MFD</t>
        </is>
      </c>
      <c r="E193" t="inlineStr">
        <is>
          <t>Bộ</t>
        </is>
      </c>
      <c r="F193" t="inlineStr"/>
      <c r="G193" t="inlineStr">
        <is>
          <t>BG VAN !R31C52</t>
        </is>
      </c>
    </row>
    <row r="194">
      <c r="A194" t="n">
        <v>193</v>
      </c>
      <c r="B194" t="inlineStr">
        <is>
          <t>MAT-DAMPER-SILICON-BULONG-VIT</t>
        </is>
      </c>
      <c r="C194" t="inlineStr">
        <is>
          <t>PHỤ_KIỆN_VAN</t>
        </is>
      </c>
      <c r="D194" t="inlineStr">
        <is>
          <t>Silicon chống cháy + bu lông, ốc vít van FD/MFD</t>
        </is>
      </c>
      <c r="E194" t="inlineStr">
        <is>
          <t>Bộ</t>
        </is>
      </c>
      <c r="F194" t="inlineStr"/>
      <c r="G194" t="inlineStr">
        <is>
          <t>BG VAN !R31C53</t>
        </is>
      </c>
    </row>
    <row r="195">
      <c r="A195" t="n">
        <v>194</v>
      </c>
      <c r="B195" t="inlineStr">
        <is>
          <t>MAT-DAMPER-TAY-GAT-CAU-CHI-1</t>
        </is>
      </c>
      <c r="C195" t="inlineStr">
        <is>
          <t>PHỤ_KIỆN_VAN</t>
        </is>
      </c>
      <c r="D195" t="inlineStr">
        <is>
          <t>Tay gạt cầu chì van FD (Loại 1-2 cánh)</t>
        </is>
      </c>
      <c r="E195" t="inlineStr">
        <is>
          <t>Bộ</t>
        </is>
      </c>
      <c r="F195" t="inlineStr"/>
      <c r="G195" t="inlineStr">
        <is>
          <t>BG VAN !R31C39</t>
        </is>
      </c>
    </row>
    <row r="196">
      <c r="A196" t="n">
        <v>195</v>
      </c>
      <c r="B196" t="inlineStr">
        <is>
          <t>MAT-DAMPER-TAY-GAT-CAU-CHI-2</t>
        </is>
      </c>
      <c r="C196" t="inlineStr">
        <is>
          <t>PHỤ_KIỆN_VAN</t>
        </is>
      </c>
      <c r="D196" t="inlineStr">
        <is>
          <t>Tay gạt cầu chì van FD (Loại 3-5 cánh)</t>
        </is>
      </c>
      <c r="E196" t="inlineStr">
        <is>
          <t>Bộ</t>
        </is>
      </c>
      <c r="F196" t="inlineStr"/>
      <c r="G196" t="inlineStr">
        <is>
          <t>BG VAN !R43C39</t>
        </is>
      </c>
    </row>
    <row r="197">
      <c r="A197" t="n">
        <v>196</v>
      </c>
      <c r="B197" t="inlineStr">
        <is>
          <t>MAT-DAMPER-LO-XO-DOI</t>
        </is>
      </c>
      <c r="C197" t="inlineStr">
        <is>
          <t>PHỤ_KIỆN_VAN</t>
        </is>
      </c>
      <c r="D197" t="inlineStr">
        <is>
          <t>Lò xo van chặn lửa / đôi</t>
        </is>
      </c>
      <c r="E197" t="inlineStr">
        <is>
          <t>Đôi</t>
        </is>
      </c>
      <c r="F197" t="inlineStr"/>
      <c r="G197" t="inlineStr">
        <is>
          <t>BG VAN !R16C40</t>
        </is>
      </c>
    </row>
    <row r="198">
      <c r="A198" t="n">
        <v>197</v>
      </c>
      <c r="B198" t="inlineStr">
        <is>
          <t>ECCENTRIC_SHAFT</t>
        </is>
      </c>
      <c r="C198" t="inlineStr">
        <is>
          <t>PHỤ_KIỆN_VAN</t>
        </is>
      </c>
      <c r="D198" t="inlineStr">
        <is>
          <t>Cơ cấu lệch tâm / Lò xo đóng mở (NRD)</t>
        </is>
      </c>
      <c r="E198" t="inlineStr">
        <is>
          <t>Bộ</t>
        </is>
      </c>
      <c r="F198" t="inlineStr"/>
      <c r="G198" t="inlineStr">
        <is>
          <t>BG VAN CU</t>
        </is>
      </c>
    </row>
    <row r="199">
      <c r="A199" t="n">
        <v>198</v>
      </c>
      <c r="B199" t="inlineStr">
        <is>
          <t>MAT-MESH-INOX-304</t>
        </is>
      </c>
      <c r="C199" t="inlineStr">
        <is>
          <t>PHỤ_KIỆN_CỬA</t>
        </is>
      </c>
      <c r="D199" t="inlineStr">
        <is>
          <t>Lưới chắn côn trùng Inox 304 (LCCT)</t>
        </is>
      </c>
      <c r="E199" t="inlineStr">
        <is>
          <t>m2</t>
        </is>
      </c>
      <c r="F199" t="inlineStr"/>
      <c r="G199" t="inlineStr">
        <is>
          <t>BG Cửa !R211C18</t>
        </is>
      </c>
    </row>
    <row r="200">
      <c r="A200" t="n">
        <v>199</v>
      </c>
      <c r="B200" t="inlineStr">
        <is>
          <t>MAT-ALU-EGGCRATE-CORE</t>
        </is>
      </c>
      <c r="C200" t="inlineStr">
        <is>
          <t>NHÔM_ĐỊNH_HÌNH</t>
        </is>
      </c>
      <c r="D200" t="inlineStr">
        <is>
          <t>Lõi nhôm sọt trứng (Eggcrate Core 12.7x12.7x12.7mm)</t>
        </is>
      </c>
      <c r="E200" t="inlineStr">
        <is>
          <t>m2</t>
        </is>
      </c>
      <c r="F200" t="inlineStr"/>
      <c r="G200" t="inlineStr">
        <is>
          <t>BG Cửa !R157C16</t>
        </is>
      </c>
    </row>
    <row r="201">
      <c r="A201" t="n">
        <v>200</v>
      </c>
      <c r="B201" t="inlineStr">
        <is>
          <t>MAT-FILTER-G4</t>
        </is>
      </c>
      <c r="C201" t="inlineStr">
        <is>
          <t>PHỤ_KIỆN_CỬA</t>
        </is>
      </c>
      <c r="D201" t="inlineStr">
        <is>
          <t>Lưới lọc bụi sơ cấp G4 kèm khung nhôm</t>
        </is>
      </c>
      <c r="E201" t="inlineStr">
        <is>
          <t>m2</t>
        </is>
      </c>
      <c r="F201" t="inlineStr"/>
      <c r="G201" t="inlineStr">
        <is>
          <t>BG Cửa !Filter</t>
        </is>
      </c>
    </row>
    <row r="202">
      <c r="A202" t="n">
        <v>201</v>
      </c>
      <c r="B202" t="inlineStr">
        <is>
          <t>MAT-THUONG_MAI-LOP_CHONG_CHAY_EI30</t>
        </is>
      </c>
      <c r="C202" t="inlineStr">
        <is>
          <t>VẬT_LIỆU_CÁCH_NHIỆT</t>
        </is>
      </c>
      <c r="D202" t="inlineStr">
        <is>
          <t>Bọc chống cháy ống gió chuẩn EI30</t>
        </is>
      </c>
      <c r="E202" t="inlineStr">
        <is>
          <t>m2</t>
        </is>
      </c>
      <c r="F202" t="inlineStr"/>
      <c r="G202" t="inlineStr">
        <is>
          <t>BG VAN !EI30</t>
        </is>
      </c>
    </row>
    <row r="203">
      <c r="A203" t="n">
        <v>202</v>
      </c>
      <c r="B203" t="inlineStr">
        <is>
          <t>MAT-THUONG_MAI-LOP_CHONG_CHAY_EI60</t>
        </is>
      </c>
      <c r="C203" t="inlineStr">
        <is>
          <t>VẬT_LIỆU_CÁCH_NHIỆT</t>
        </is>
      </c>
      <c r="D203" t="inlineStr">
        <is>
          <t>Bọc chống cháy ống gió chuẩn EI60</t>
        </is>
      </c>
      <c r="E203" t="inlineStr">
        <is>
          <t>m2</t>
        </is>
      </c>
      <c r="F203" t="inlineStr"/>
      <c r="G203" t="inlineStr">
        <is>
          <t>BG VAN !EI60</t>
        </is>
      </c>
    </row>
    <row r="204">
      <c r="A204" t="n">
        <v>203</v>
      </c>
      <c r="B204" t="inlineStr">
        <is>
          <t>MAT-THUONG_MAI-LOP_CHONG_CHAY_EI120</t>
        </is>
      </c>
      <c r="C204" t="inlineStr">
        <is>
          <t>VẬT_LIỆU_CÁCH_NHIỆT</t>
        </is>
      </c>
      <c r="D204" t="inlineStr">
        <is>
          <t>Bọc chống cháy ống gió chuẩn EI120</t>
        </is>
      </c>
      <c r="E204" t="inlineStr">
        <is>
          <t>m2</t>
        </is>
      </c>
      <c r="F204" t="inlineStr"/>
      <c r="G204" t="inlineStr">
        <is>
          <t>BG VAN !EI120</t>
        </is>
      </c>
    </row>
    <row r="205">
      <c r="A205" t="n">
        <v>204</v>
      </c>
      <c r="B205" t="inlineStr">
        <is>
          <t>MAT-THUONG_MAI-LUOI_BAO_VE</t>
        </is>
      </c>
      <c r="C205" t="inlineStr">
        <is>
          <t>PHỤ_KIỆN_CỬA</t>
        </is>
      </c>
      <c r="D205" t="inlineStr">
        <is>
          <t>Lưới bảo vệ đầu ống Inox 304</t>
        </is>
      </c>
      <c r="E205" t="inlineStr">
        <is>
          <t>cái</t>
        </is>
      </c>
      <c r="F205" t="inlineStr"/>
      <c r="G205" t="inlineStr">
        <is>
          <t>BG Cửa !Mesh</t>
        </is>
      </c>
    </row>
    <row r="206">
      <c r="A206" t="n">
        <v>205</v>
      </c>
      <c r="B206" t="inlineStr">
        <is>
          <t>MAT-KHAC-LUOI_BAO_VE</t>
        </is>
      </c>
      <c r="C206" t="inlineStr">
        <is>
          <t>THƯƠNG_MẠI_TỰ_ĐỘNG</t>
        </is>
      </c>
      <c r="D206" t="inlineStr">
        <is>
          <t>Lưới bảo vệ</t>
        </is>
      </c>
      <c r="E206" t="inlineStr">
        <is>
          <t>Cái/Bộ</t>
        </is>
      </c>
      <c r="F206" t="inlineStr"/>
      <c r="G206" t="inlineStr">
        <is>
          <t>Auto-learned from Excel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6"/>
  <sheetViews>
    <sheetView tabSelected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20" customWidth="1" min="4" max="4"/>
    <col width="25" customWidth="1" min="5" max="5"/>
  </cols>
  <sheetData>
    <row r="1" ht="28" customHeight="1">
      <c r="A1" s="16" t="inlineStr">
        <is>
          <t>STT</t>
        </is>
      </c>
      <c r="B1" s="16" t="inlineStr">
        <is>
          <t>MAT_ID</t>
        </is>
      </c>
      <c r="C1" s="16" t="inlineStr">
        <is>
          <t>TÊN VẬT TƯ</t>
        </is>
      </c>
      <c r="D1" s="16" t="inlineStr">
        <is>
          <t>PHÂN LOẠI</t>
        </is>
      </c>
      <c r="E1" s="16" t="inlineStr">
        <is>
          <t>ĐƠN GIÁ GỐC (VNĐ)</t>
        </is>
      </c>
    </row>
    <row r="2">
      <c r="A2" t="n">
        <v>1</v>
      </c>
      <c r="B2" t="inlineStr">
        <is>
          <t>MAT-STEEL-DONGBU-0.50</t>
        </is>
      </c>
      <c r="C2" t="inlineStr">
        <is>
          <t>TÔN DONGBU 0.50mm</t>
        </is>
      </c>
      <c r="D2" t="inlineStr">
        <is>
          <t>TÔN_CUỘN_MẠ_KẼM</t>
        </is>
      </c>
      <c r="E2" s="17" t="n">
        <v>26000</v>
      </c>
    </row>
    <row r="3">
      <c r="A3" t="n">
        <v>2</v>
      </c>
      <c r="B3" t="inlineStr">
        <is>
          <t>MAT-STEEL-DONGBU-0.60</t>
        </is>
      </c>
      <c r="C3" t="inlineStr">
        <is>
          <t>TÔN DONGBU 0.60mm</t>
        </is>
      </c>
      <c r="D3" t="inlineStr">
        <is>
          <t>TÔN_CUỘN_MẠ_KẼM</t>
        </is>
      </c>
      <c r="E3" s="17" t="n">
        <v>26000</v>
      </c>
    </row>
    <row r="4">
      <c r="A4" t="n">
        <v>3</v>
      </c>
      <c r="B4" t="inlineStr">
        <is>
          <t>MAT-STEEL-DONGBU-0.80</t>
        </is>
      </c>
      <c r="C4" t="inlineStr">
        <is>
          <t>TÔN DONGBU 0.80mm</t>
        </is>
      </c>
      <c r="D4" t="inlineStr">
        <is>
          <t>TÔN_CUỘN_MẠ_KẼM</t>
        </is>
      </c>
      <c r="E4" s="17" t="n">
        <v>26000</v>
      </c>
    </row>
    <row r="5">
      <c r="A5" t="n">
        <v>4</v>
      </c>
      <c r="B5" t="inlineStr">
        <is>
          <t>MAT-STEEL-DONGBU-1.00</t>
        </is>
      </c>
      <c r="C5" t="inlineStr">
        <is>
          <t>TÔN DONGBU 1.00mm</t>
        </is>
      </c>
      <c r="D5" t="inlineStr">
        <is>
          <t>TÔN_CUỘN_MẠ_KẼM</t>
        </is>
      </c>
      <c r="E5" s="17" t="n">
        <v>26000</v>
      </c>
    </row>
    <row r="6">
      <c r="A6" t="n">
        <v>5</v>
      </c>
      <c r="B6" t="inlineStr">
        <is>
          <t>MAT-STEEL-DONGBU-1.20</t>
        </is>
      </c>
      <c r="C6" t="inlineStr">
        <is>
          <t>TÔN DONGBU 1.20mm</t>
        </is>
      </c>
      <c r="D6" t="inlineStr">
        <is>
          <t>TÔN_CUỘN_MẠ_KẼM</t>
        </is>
      </c>
      <c r="E6" s="17" t="n">
        <v>26000</v>
      </c>
    </row>
    <row r="7">
      <c r="A7" t="n">
        <v>6</v>
      </c>
      <c r="B7" t="inlineStr">
        <is>
          <t>MAT-STEEL-DONGBU-1.50</t>
        </is>
      </c>
      <c r="C7" t="inlineStr">
        <is>
          <t>TÔN DONGBU 1.50mm</t>
        </is>
      </c>
      <c r="D7" t="inlineStr">
        <is>
          <t>TÔN_CUỘN_MẠ_KẼM</t>
        </is>
      </c>
      <c r="E7" s="17" t="n">
        <v>26000</v>
      </c>
    </row>
    <row r="8">
      <c r="A8" t="n">
        <v>7</v>
      </c>
      <c r="B8" t="inlineStr">
        <is>
          <t>MAT-STEEL-DONGBU-2.00</t>
        </is>
      </c>
      <c r="C8" t="inlineStr">
        <is>
          <t>TÔN DONGBU 2.00mm</t>
        </is>
      </c>
      <c r="D8" t="inlineStr">
        <is>
          <t>TÔN_CUỘN_MẠ_KẼM</t>
        </is>
      </c>
      <c r="E8" s="17" t="n">
        <v>26000</v>
      </c>
    </row>
    <row r="9">
      <c r="A9" t="n">
        <v>8</v>
      </c>
      <c r="B9" t="inlineStr">
        <is>
          <t>MAT-STEEL-VNSTEEL-0.35</t>
        </is>
      </c>
      <c r="C9" t="inlineStr">
        <is>
          <t>TÔN THĂNG LONG VNSTEEL 0.35mm</t>
        </is>
      </c>
      <c r="D9" t="inlineStr">
        <is>
          <t>TÔN_CUỘN_MẠ_KẼM</t>
        </is>
      </c>
      <c r="E9" s="17" t="n">
        <v>23800</v>
      </c>
    </row>
    <row r="10">
      <c r="A10" t="n">
        <v>9</v>
      </c>
      <c r="B10" t="inlineStr">
        <is>
          <t>MAT-STEEL-VNSTEEL-0.40</t>
        </is>
      </c>
      <c r="C10" t="inlineStr">
        <is>
          <t>TÔN THĂNG LONG VNSTEEL 0.40mm</t>
        </is>
      </c>
      <c r="D10" t="inlineStr">
        <is>
          <t>TÔN_CUỘN_MẠ_KẼM</t>
        </is>
      </c>
      <c r="E10" s="17" t="n">
        <v>23550</v>
      </c>
    </row>
    <row r="11">
      <c r="A11" t="n">
        <v>10</v>
      </c>
      <c r="B11" t="inlineStr">
        <is>
          <t>MAT-STEEL-VNSTEEL-0.42</t>
        </is>
      </c>
      <c r="C11" t="inlineStr">
        <is>
          <t>TÔN THĂNG LONG VNSTEEL 0.42mm</t>
        </is>
      </c>
      <c r="D11" t="inlineStr">
        <is>
          <t>TÔN_CUỘN_MẠ_KẼM</t>
        </is>
      </c>
      <c r="E11" s="17" t="n">
        <v>23400</v>
      </c>
    </row>
    <row r="12">
      <c r="A12" t="n">
        <v>11</v>
      </c>
      <c r="B12" t="inlineStr">
        <is>
          <t>MAT-STEEL-VNSTEEL-0.47</t>
        </is>
      </c>
      <c r="C12" t="inlineStr">
        <is>
          <t>TÔN THĂNG LONG VNSTEEL 0.47mm</t>
        </is>
      </c>
      <c r="D12" t="inlineStr">
        <is>
          <t>TÔN_CUỘN_MẠ_KẼM</t>
        </is>
      </c>
      <c r="E12" s="17" t="n">
        <v>23200</v>
      </c>
    </row>
    <row r="13">
      <c r="A13" t="n">
        <v>12</v>
      </c>
      <c r="B13" t="inlineStr">
        <is>
          <t>MAT-STEEL-VNSTEEL-0.50</t>
        </is>
      </c>
      <c r="C13" t="inlineStr">
        <is>
          <t>TÔN THĂNG LONG VNSTEEL 0.50mm</t>
        </is>
      </c>
      <c r="D13" t="inlineStr">
        <is>
          <t>TÔN_CUỘN_MẠ_KẼM</t>
        </is>
      </c>
      <c r="E13" s="17" t="n">
        <v>23200</v>
      </c>
    </row>
    <row r="14">
      <c r="A14" t="n">
        <v>13</v>
      </c>
      <c r="B14" t="inlineStr">
        <is>
          <t>MAT-STEEL-VNSTEEL-0.55</t>
        </is>
      </c>
      <c r="C14" t="inlineStr">
        <is>
          <t>TÔN THĂNG LONG VNSTEEL 0.55mm</t>
        </is>
      </c>
      <c r="D14" t="inlineStr">
        <is>
          <t>TÔN_CUỘN_MẠ_KẼM</t>
        </is>
      </c>
      <c r="E14" s="17" t="n">
        <v>23000</v>
      </c>
    </row>
    <row r="15">
      <c r="A15" t="n">
        <v>14</v>
      </c>
      <c r="B15" t="inlineStr">
        <is>
          <t>MAT-STEEL-VNSTEEL-0.58</t>
        </is>
      </c>
      <c r="C15" t="inlineStr">
        <is>
          <t>TÔN THĂNG LONG VNSTEEL 0.58mm</t>
        </is>
      </c>
      <c r="D15" t="inlineStr">
        <is>
          <t>TÔN_CUỘN_MẠ_KẼM</t>
        </is>
      </c>
      <c r="E15" s="17" t="n">
        <v>23000</v>
      </c>
    </row>
    <row r="16">
      <c r="A16" t="n">
        <v>15</v>
      </c>
      <c r="B16" t="inlineStr">
        <is>
          <t>MAT-STEEL-VNSTEEL-0.60</t>
        </is>
      </c>
      <c r="C16" t="inlineStr">
        <is>
          <t>TÔN THĂNG LONG VNSTEEL 0.60mm</t>
        </is>
      </c>
      <c r="D16" t="inlineStr">
        <is>
          <t>TÔN_CUỘN_MẠ_KẼM</t>
        </is>
      </c>
      <c r="E16" s="17" t="n">
        <v>22850</v>
      </c>
    </row>
    <row r="17">
      <c r="A17" t="n">
        <v>16</v>
      </c>
      <c r="B17" t="inlineStr">
        <is>
          <t>MAT-STEEL-VNSTEEL-0.64</t>
        </is>
      </c>
      <c r="C17" t="inlineStr">
        <is>
          <t>TÔN THĂNG LONG VNSTEEL 0.64mm</t>
        </is>
      </c>
      <c r="D17" t="inlineStr">
        <is>
          <t>TÔN_CUỘN_MẠ_KẼM</t>
        </is>
      </c>
      <c r="E17" s="17" t="n">
        <v>22800</v>
      </c>
    </row>
    <row r="18">
      <c r="A18" t="n">
        <v>17</v>
      </c>
      <c r="B18" t="inlineStr">
        <is>
          <t>MAT-STEEL-VNSTEEL-0.70</t>
        </is>
      </c>
      <c r="C18" t="inlineStr">
        <is>
          <t>TÔN THĂNG LONG VNSTEEL 0.70mm</t>
        </is>
      </c>
      <c r="D18" t="inlineStr">
        <is>
          <t>TÔN_CUỘN_MẠ_KẼM</t>
        </is>
      </c>
      <c r="E18" s="17" t="n">
        <v>22700</v>
      </c>
    </row>
    <row r="19">
      <c r="A19" t="n">
        <v>18</v>
      </c>
      <c r="B19" t="inlineStr">
        <is>
          <t>MAT-STEEL-VNSTEEL-0.75</t>
        </is>
      </c>
      <c r="C19" t="inlineStr">
        <is>
          <t>TÔN THĂNG LONG VNSTEEL 0.75mm</t>
        </is>
      </c>
      <c r="D19" t="inlineStr">
        <is>
          <t>TÔN_CUỘN_MẠ_KẼM</t>
        </is>
      </c>
      <c r="E19" s="17" t="n">
        <v>22600</v>
      </c>
    </row>
    <row r="20">
      <c r="A20" t="n">
        <v>19</v>
      </c>
      <c r="B20" t="inlineStr">
        <is>
          <t>MAT-STEEL-VNSTEEL-0.95</t>
        </is>
      </c>
      <c r="C20" t="inlineStr">
        <is>
          <t>TÔN THĂNG LONG VNSTEEL 0.95mm</t>
        </is>
      </c>
      <c r="D20" t="inlineStr">
        <is>
          <t>TÔN_CUỘN_MẠ_KẼM</t>
        </is>
      </c>
      <c r="E20" s="17" t="n">
        <v>22500</v>
      </c>
    </row>
    <row r="21">
      <c r="A21" t="n">
        <v>20</v>
      </c>
      <c r="B21" t="inlineStr">
        <is>
          <t>MAT-STEEL-VNSTEEL-1.15</t>
        </is>
      </c>
      <c r="C21" t="inlineStr">
        <is>
          <t>TÔN THĂNG LONG VNSTEEL 1.15mm</t>
        </is>
      </c>
      <c r="D21" t="inlineStr">
        <is>
          <t>TÔN_CUỘN_MẠ_KẼM</t>
        </is>
      </c>
      <c r="E21" s="17" t="n">
        <v>22400</v>
      </c>
    </row>
    <row r="22">
      <c r="A22" t="n">
        <v>21</v>
      </c>
      <c r="B22" t="inlineStr">
        <is>
          <t>MAT-STEEL-VNSTEEL-1.20</t>
        </is>
      </c>
      <c r="C22" t="inlineStr">
        <is>
          <t>TÔN THĂNG LONG VNSTEEL 1.20mm</t>
        </is>
      </c>
      <c r="D22" t="inlineStr">
        <is>
          <t>TÔN_CUỘN_MẠ_KẼM</t>
        </is>
      </c>
      <c r="E22" s="17" t="n">
        <v>22400</v>
      </c>
    </row>
    <row r="23">
      <c r="A23" t="n">
        <v>22</v>
      </c>
      <c r="B23" t="inlineStr">
        <is>
          <t>MAT-STEEL-PN-0.48</t>
        </is>
      </c>
      <c r="C23" t="inlineStr">
        <is>
          <t>TÔN PHƯƠNG NAM 0.48mm</t>
        </is>
      </c>
      <c r="D23" t="inlineStr">
        <is>
          <t>TÔN_CUỘN_MẠ_KẼM</t>
        </is>
      </c>
      <c r="E23" s="17" t="n">
        <v>23664.19</v>
      </c>
    </row>
    <row r="24">
      <c r="A24" t="n">
        <v>23</v>
      </c>
      <c r="B24" t="inlineStr">
        <is>
          <t>MAT-STEEL-PN-0.58</t>
        </is>
      </c>
      <c r="C24" t="inlineStr">
        <is>
          <t>TÔN PHƯƠNG NAM 0.58mm</t>
        </is>
      </c>
      <c r="D24" t="inlineStr">
        <is>
          <t>TÔN_CUỘN_MẠ_KẼM</t>
        </is>
      </c>
      <c r="E24" s="17" t="n">
        <v>21597.48</v>
      </c>
    </row>
    <row r="25">
      <c r="A25" t="n">
        <v>24</v>
      </c>
      <c r="B25" t="inlineStr">
        <is>
          <t>MAT-STEEL-PN-0.75</t>
        </is>
      </c>
      <c r="C25" t="inlineStr">
        <is>
          <t>TÔN PHƯƠNG NAM 0.75mm</t>
        </is>
      </c>
      <c r="D25" t="inlineStr">
        <is>
          <t>TÔN_CUỘN_MẠ_KẼM</t>
        </is>
      </c>
      <c r="E25" s="17" t="n">
        <v>21941</v>
      </c>
    </row>
    <row r="26">
      <c r="A26" t="n">
        <v>25</v>
      </c>
      <c r="B26" t="inlineStr">
        <is>
          <t>MAT-STEEL-PN-0.95</t>
        </is>
      </c>
      <c r="C26" t="inlineStr">
        <is>
          <t>TÔN PHƯƠNG NAM 0.95mm</t>
        </is>
      </c>
      <c r="D26" t="inlineStr">
        <is>
          <t>TÔN_CUỘN_MẠ_KẼM</t>
        </is>
      </c>
      <c r="E26" s="17" t="n">
        <v>20897.59</v>
      </c>
    </row>
    <row r="27">
      <c r="A27" t="n">
        <v>26</v>
      </c>
      <c r="B27" t="inlineStr">
        <is>
          <t>MAT-STEEL-PN-1.15</t>
        </is>
      </c>
      <c r="C27" t="inlineStr">
        <is>
          <t>TÔN PHƯƠNG NAM 1.15mm</t>
        </is>
      </c>
      <c r="D27" t="inlineStr">
        <is>
          <t>TÔN_CUỘN_MẠ_KẼM</t>
        </is>
      </c>
      <c r="E27" s="17" t="n">
        <v>20586.39</v>
      </c>
    </row>
    <row r="28">
      <c r="A28" t="n">
        <v>27</v>
      </c>
      <c r="B28" t="inlineStr">
        <is>
          <t>MAT-STEEL-PN-1.20</t>
        </is>
      </c>
      <c r="C28" t="inlineStr">
        <is>
          <t>TÔN PHƯƠNG NAM 1.20mm</t>
        </is>
      </c>
      <c r="D28" t="inlineStr">
        <is>
          <t>TÔN_CUỘN_MẠ_KẼM</t>
        </is>
      </c>
      <c r="E28" s="17" t="n">
        <v>20586.39</v>
      </c>
    </row>
    <row r="29">
      <c r="A29" t="n">
        <v>28</v>
      </c>
      <c r="B29" t="inlineStr">
        <is>
          <t>MAT-STEEL-PN-1.38</t>
        </is>
      </c>
      <c r="C29" t="inlineStr">
        <is>
          <t>TÔN PHƯƠNG NAM 1.38mm</t>
        </is>
      </c>
      <c r="D29" t="inlineStr">
        <is>
          <t>TÔN_CUỘN_MẠ_KẼM</t>
        </is>
      </c>
      <c r="E29" s="17" t="n">
        <v>21923.75</v>
      </c>
    </row>
    <row r="30">
      <c r="A30" t="n">
        <v>29</v>
      </c>
      <c r="B30" t="inlineStr">
        <is>
          <t>MAT-STEEL-PN-1.48</t>
        </is>
      </c>
      <c r="C30" t="inlineStr">
        <is>
          <t>TÔN PHƯƠNG NAM 1.48mm</t>
        </is>
      </c>
      <c r="D30" t="inlineStr">
        <is>
          <t>TÔN_CUỘN_MẠ_KẼM</t>
        </is>
      </c>
      <c r="E30" s="17" t="n">
        <v>20442.42</v>
      </c>
    </row>
    <row r="31">
      <c r="A31" t="n">
        <v>30</v>
      </c>
      <c r="B31" t="inlineStr">
        <is>
          <t>MAT-STEEL-PN-1.50</t>
        </is>
      </c>
      <c r="C31" t="inlineStr">
        <is>
          <t>TÔN PHƯƠNG NAM 1.50mm</t>
        </is>
      </c>
      <c r="D31" t="inlineStr">
        <is>
          <t>TÔN_CUỘN_MẠ_KẼM</t>
        </is>
      </c>
      <c r="E31" s="17" t="n">
        <v>20442.42</v>
      </c>
    </row>
    <row r="32">
      <c r="A32" t="n">
        <v>31</v>
      </c>
      <c r="B32" t="inlineStr">
        <is>
          <t>MAT-STEEL-HOASEN-0.48</t>
        </is>
      </c>
      <c r="C32" t="inlineStr">
        <is>
          <t>TÔN HOA SEN 0.48mm</t>
        </is>
      </c>
      <c r="D32" t="inlineStr">
        <is>
          <t>TÔN_CUỘN_MẠ_KẼM</t>
        </is>
      </c>
      <c r="E32" s="17" t="n">
        <v>22115.98</v>
      </c>
    </row>
    <row r="33">
      <c r="A33" t="n">
        <v>32</v>
      </c>
      <c r="B33" t="inlineStr">
        <is>
          <t>MAT-STEEL-HOASEN-0.58</t>
        </is>
      </c>
      <c r="C33" t="inlineStr">
        <is>
          <t>TÔN HOA SEN 0.58mm</t>
        </is>
      </c>
      <c r="D33" t="inlineStr">
        <is>
          <t>TÔN_CUỘN_MẠ_KẼM</t>
        </is>
      </c>
      <c r="E33" s="17" t="n">
        <v>20865.36</v>
      </c>
    </row>
    <row r="34">
      <c r="A34" t="n">
        <v>33</v>
      </c>
      <c r="B34" t="inlineStr">
        <is>
          <t>MAT-STEEL-HOASEN-0.75</t>
        </is>
      </c>
      <c r="C34" t="inlineStr">
        <is>
          <t>TÔN HOA SEN 0.75mm</t>
        </is>
      </c>
      <c r="D34" t="inlineStr">
        <is>
          <t>TÔN_CUỘN_MẠ_KẼM</t>
        </is>
      </c>
      <c r="E34" s="17" t="n">
        <v>20460.34</v>
      </c>
    </row>
    <row r="35">
      <c r="A35" t="n">
        <v>34</v>
      </c>
      <c r="B35" t="inlineStr">
        <is>
          <t>MAT-STEEL-HOASEN-0.95</t>
        </is>
      </c>
      <c r="C35" t="inlineStr">
        <is>
          <t>TÔN HOA SEN 0.95mm</t>
        </is>
      </c>
      <c r="D35" t="inlineStr">
        <is>
          <t>TÔN_CUỘN_MẠ_KẼM</t>
        </is>
      </c>
      <c r="E35" s="17" t="n">
        <v>20003.58</v>
      </c>
    </row>
    <row r="36">
      <c r="A36" t="n">
        <v>35</v>
      </c>
      <c r="B36" t="inlineStr">
        <is>
          <t>MAT-STEEL-HOASEN-1.15</t>
        </is>
      </c>
      <c r="C36" t="inlineStr">
        <is>
          <t>TÔN HOA SEN 1.15mm</t>
        </is>
      </c>
      <c r="D36" t="inlineStr">
        <is>
          <t>TÔN_CUỘN_MẠ_KẼM</t>
        </is>
      </c>
      <c r="E36" s="17" t="n">
        <v>19764.78</v>
      </c>
    </row>
    <row r="37">
      <c r="A37" t="n">
        <v>36</v>
      </c>
      <c r="B37" t="inlineStr">
        <is>
          <t>MAT-STEEL-HOA_SEN-1.15</t>
        </is>
      </c>
      <c r="C37" t="inlineStr">
        <is>
          <t>TÔN HOA SEN 1.15mm</t>
        </is>
      </c>
      <c r="D37" t="inlineStr">
        <is>
          <t>TÔN_CUỘN_MẠ_KẼM</t>
        </is>
      </c>
      <c r="E37" s="17" t="n">
        <v>19764.78</v>
      </c>
    </row>
    <row r="38">
      <c r="A38" t="n">
        <v>37</v>
      </c>
      <c r="B38" t="inlineStr">
        <is>
          <t>MAT-STEEL-HOASEN-1.50</t>
        </is>
      </c>
      <c r="C38" t="inlineStr">
        <is>
          <t>TÔN HOA SEN 1.50mm</t>
        </is>
      </c>
      <c r="D38" t="inlineStr">
        <is>
          <t>TÔN_CUỘN_MẠ_KẼM</t>
        </is>
      </c>
      <c r="E38" s="17" t="n">
        <v>18966.74</v>
      </c>
    </row>
    <row r="39">
      <c r="A39" t="n">
        <v>38</v>
      </c>
      <c r="B39" t="inlineStr">
        <is>
          <t>MAT-STEEL-BLUESCOPE-0.47</t>
        </is>
      </c>
      <c r="C39" t="inlineStr">
        <is>
          <t>TÔN BLUESCOPE 0.47mm</t>
        </is>
      </c>
      <c r="D39" t="inlineStr">
        <is>
          <t>TÔN_CUỘN_MẠ_KẼM</t>
        </is>
      </c>
      <c r="E39" s="17" t="n">
        <v>19714.63</v>
      </c>
    </row>
    <row r="40">
      <c r="A40" t="n">
        <v>39</v>
      </c>
      <c r="B40" t="inlineStr">
        <is>
          <t>MAT-STEEL-BLUESCOPE-0.57</t>
        </is>
      </c>
      <c r="C40" t="inlineStr">
        <is>
          <t>TÔN BLUESCOPE 0.57mm</t>
        </is>
      </c>
      <c r="D40" t="inlineStr">
        <is>
          <t>TÔN_CUỘN_MẠ_KẼM</t>
        </is>
      </c>
      <c r="E40" s="17" t="n">
        <v>20319.42</v>
      </c>
    </row>
    <row r="41">
      <c r="A41" t="n">
        <v>40</v>
      </c>
      <c r="B41" t="inlineStr">
        <is>
          <t>MAT-STEEL-BLUESCOPE-0.77</t>
        </is>
      </c>
      <c r="C41" t="inlineStr">
        <is>
          <t>TÔN BLUESCOPE 0.77mm</t>
        </is>
      </c>
      <c r="D41" t="inlineStr">
        <is>
          <t>TÔN_CUỘN_MẠ_KẼM</t>
        </is>
      </c>
      <c r="E41" s="17" t="n">
        <v>19926.31</v>
      </c>
    </row>
    <row r="42">
      <c r="A42" t="n">
        <v>41</v>
      </c>
      <c r="B42" t="inlineStr">
        <is>
          <t>MAT-STEEL-BLUESCOPE-0.95</t>
        </is>
      </c>
      <c r="C42" t="inlineStr">
        <is>
          <t>TÔN BLUESCOPE 0.95mm</t>
        </is>
      </c>
      <c r="D42" t="inlineStr">
        <is>
          <t>TÔN_CUỘN_MẠ_KẼM</t>
        </is>
      </c>
      <c r="E42" s="17" t="n">
        <v>20013.74</v>
      </c>
    </row>
    <row r="43">
      <c r="A43" t="n">
        <v>42</v>
      </c>
      <c r="B43" t="inlineStr">
        <is>
          <t>MAT-STEEL-BLUESCOPE-1.15</t>
        </is>
      </c>
      <c r="C43" t="inlineStr">
        <is>
          <t>TÔN BLUESCOPE 1.15mm</t>
        </is>
      </c>
      <c r="D43" t="inlineStr">
        <is>
          <t>TÔN_CUỘN_MẠ_KẼM</t>
        </is>
      </c>
      <c r="E43" s="17" t="n">
        <v>19973.75</v>
      </c>
    </row>
    <row r="44">
      <c r="A44" t="n">
        <v>43</v>
      </c>
      <c r="B44" t="inlineStr">
        <is>
          <t>MAT-INOX-SUS304-0-5</t>
        </is>
      </c>
      <c r="C44" t="inlineStr">
        <is>
          <t>Inox Sus304-0.5</t>
        </is>
      </c>
      <c r="D44" t="inlineStr">
        <is>
          <t>INOX</t>
        </is>
      </c>
      <c r="E44" s="17" t="n">
        <v>78000</v>
      </c>
    </row>
    <row r="45">
      <c r="A45" t="n">
        <v>44</v>
      </c>
      <c r="B45" t="inlineStr">
        <is>
          <t>MAT-INOX-SUS304-0-6</t>
        </is>
      </c>
      <c r="C45" t="inlineStr">
        <is>
          <t>Inox Sus304-0.6</t>
        </is>
      </c>
      <c r="D45" t="inlineStr">
        <is>
          <t>INOX</t>
        </is>
      </c>
      <c r="E45" s="17" t="n">
        <v>78000</v>
      </c>
    </row>
    <row r="46">
      <c r="A46" t="n">
        <v>45</v>
      </c>
      <c r="B46" t="inlineStr">
        <is>
          <t>MAT-INOX-SUS304-0-7</t>
        </is>
      </c>
      <c r="C46" t="inlineStr">
        <is>
          <t>Inox Sus304-0.7</t>
        </is>
      </c>
      <c r="D46" t="inlineStr">
        <is>
          <t>INOX</t>
        </is>
      </c>
      <c r="E46" s="17" t="n">
        <v>78000</v>
      </c>
    </row>
    <row r="47">
      <c r="A47" t="n">
        <v>46</v>
      </c>
      <c r="B47" t="inlineStr">
        <is>
          <t>MAT-INOX-SUS304-0-8</t>
        </is>
      </c>
      <c r="C47" t="inlineStr">
        <is>
          <t>Inox Sus304-0.8</t>
        </is>
      </c>
      <c r="D47" t="inlineStr">
        <is>
          <t>INOX</t>
        </is>
      </c>
      <c r="E47" s="17" t="n">
        <v>78000</v>
      </c>
    </row>
    <row r="48">
      <c r="A48" t="n">
        <v>47</v>
      </c>
      <c r="B48" t="inlineStr">
        <is>
          <t>MAT-INOX-SUS304-0-9</t>
        </is>
      </c>
      <c r="C48" t="inlineStr">
        <is>
          <t>Inox Sus304-0.9</t>
        </is>
      </c>
      <c r="D48" t="inlineStr">
        <is>
          <t>INOX</t>
        </is>
      </c>
      <c r="E48" s="17" t="n">
        <v>78000</v>
      </c>
    </row>
    <row r="49">
      <c r="A49" t="n">
        <v>48</v>
      </c>
      <c r="B49" t="inlineStr">
        <is>
          <t>MAT-INOX-SUS304-1-0</t>
        </is>
      </c>
      <c r="C49" t="inlineStr">
        <is>
          <t>Inox Sus304-1,0</t>
        </is>
      </c>
      <c r="D49" t="inlineStr">
        <is>
          <t>INOX</t>
        </is>
      </c>
      <c r="E49" s="17" t="n">
        <v>78000</v>
      </c>
    </row>
    <row r="50">
      <c r="A50" t="n">
        <v>49</v>
      </c>
      <c r="B50" t="inlineStr">
        <is>
          <t>MAT-INOX-SUS304-1-2</t>
        </is>
      </c>
      <c r="C50" t="inlineStr">
        <is>
          <t>Inox Sus304-1,2</t>
        </is>
      </c>
      <c r="D50" t="inlineStr">
        <is>
          <t>INOX</t>
        </is>
      </c>
      <c r="E50" s="17" t="n">
        <v>78000</v>
      </c>
    </row>
    <row r="51">
      <c r="A51" t="n">
        <v>50</v>
      </c>
      <c r="B51" t="inlineStr">
        <is>
          <t>MAT-INOX-SUS430-0-5</t>
        </is>
      </c>
      <c r="C51" t="inlineStr">
        <is>
          <t>Inox Sus430-0.5</t>
        </is>
      </c>
      <c r="D51" t="inlineStr">
        <is>
          <t>INOX</t>
        </is>
      </c>
      <c r="E51" s="17" t="n">
        <v>45000</v>
      </c>
    </row>
    <row r="52">
      <c r="A52" t="n">
        <v>51</v>
      </c>
      <c r="B52" t="inlineStr">
        <is>
          <t>MAT-INOX-SUS430-0-6</t>
        </is>
      </c>
      <c r="C52" t="inlineStr">
        <is>
          <t>Inox Sus430-0.6</t>
        </is>
      </c>
      <c r="D52" t="inlineStr">
        <is>
          <t>INOX</t>
        </is>
      </c>
      <c r="E52" s="17" t="n">
        <v>45000</v>
      </c>
    </row>
    <row r="53">
      <c r="A53" t="n">
        <v>52</v>
      </c>
      <c r="B53" t="inlineStr">
        <is>
          <t>MAT-INOX-SUS430-0-7</t>
        </is>
      </c>
      <c r="C53" t="inlineStr">
        <is>
          <t>Inox Sus430-0.7</t>
        </is>
      </c>
      <c r="D53" t="inlineStr">
        <is>
          <t>INOX</t>
        </is>
      </c>
      <c r="E53" s="17" t="n">
        <v>45000</v>
      </c>
    </row>
    <row r="54">
      <c r="A54" t="n">
        <v>53</v>
      </c>
      <c r="B54" t="inlineStr">
        <is>
          <t>MAT-INOX-SUS430-0-8</t>
        </is>
      </c>
      <c r="C54" t="inlineStr">
        <is>
          <t>Inox Sus430-0.8</t>
        </is>
      </c>
      <c r="D54" t="inlineStr">
        <is>
          <t>INOX</t>
        </is>
      </c>
      <c r="E54" s="17" t="n">
        <v>45000</v>
      </c>
    </row>
    <row r="55">
      <c r="A55" t="n">
        <v>54</v>
      </c>
      <c r="B55" t="inlineStr">
        <is>
          <t>MAT-INOX-SUS430-0-9</t>
        </is>
      </c>
      <c r="C55" t="inlineStr">
        <is>
          <t>Inox Sus430-0.9</t>
        </is>
      </c>
      <c r="D55" t="inlineStr">
        <is>
          <t>INOX</t>
        </is>
      </c>
      <c r="E55" s="17" t="n">
        <v>45000</v>
      </c>
    </row>
    <row r="56">
      <c r="A56" t="n">
        <v>55</v>
      </c>
      <c r="B56" t="inlineStr">
        <is>
          <t>MAT-INOX-SUS430-1-0</t>
        </is>
      </c>
      <c r="C56" t="inlineStr">
        <is>
          <t>Inox Sus430-1,0</t>
        </is>
      </c>
      <c r="D56" t="inlineStr">
        <is>
          <t>INOX</t>
        </is>
      </c>
      <c r="E56" s="17" t="n">
        <v>45000</v>
      </c>
    </row>
    <row r="57">
      <c r="A57" t="n">
        <v>56</v>
      </c>
      <c r="B57" t="inlineStr">
        <is>
          <t>MAT-INOX-SUS430-1-1</t>
        </is>
      </c>
      <c r="C57" t="inlineStr">
        <is>
          <t>Inox Sus430-1,1</t>
        </is>
      </c>
      <c r="D57" t="inlineStr">
        <is>
          <t>INOX</t>
        </is>
      </c>
      <c r="E57" s="17" t="n">
        <v>45000</v>
      </c>
    </row>
    <row r="58">
      <c r="A58" t="n">
        <v>57</v>
      </c>
      <c r="B58" t="inlineStr">
        <is>
          <t>MAT-INOX-SUS430-1-2</t>
        </is>
      </c>
      <c r="C58" t="inlineStr">
        <is>
          <t>Inox Sus430-1,2</t>
        </is>
      </c>
      <c r="D58" t="inlineStr">
        <is>
          <t>INOX</t>
        </is>
      </c>
      <c r="E58" s="17" t="n">
        <v>45000</v>
      </c>
    </row>
    <row r="59">
      <c r="A59" t="n">
        <v>58</v>
      </c>
      <c r="B59" t="inlineStr">
        <is>
          <t>MAT-INOX-SUS201-0-4</t>
        </is>
      </c>
      <c r="C59" t="inlineStr">
        <is>
          <t>Inox Sus201-0.4</t>
        </is>
      </c>
      <c r="D59" t="inlineStr">
        <is>
          <t>INOX</t>
        </is>
      </c>
      <c r="E59" s="17" t="n">
        <v>48000</v>
      </c>
    </row>
    <row r="60">
      <c r="A60" t="n">
        <v>59</v>
      </c>
      <c r="B60" t="inlineStr">
        <is>
          <t>MAT-INOX-SUS201-0-5</t>
        </is>
      </c>
      <c r="C60" t="inlineStr">
        <is>
          <t>Inox Sus201-0.5</t>
        </is>
      </c>
      <c r="D60" t="inlineStr">
        <is>
          <t>INOX</t>
        </is>
      </c>
      <c r="E60" s="17" t="n">
        <v>48000</v>
      </c>
    </row>
    <row r="61">
      <c r="A61" t="n">
        <v>60</v>
      </c>
      <c r="B61" t="inlineStr">
        <is>
          <t>MAT-INOX-SUS201-0-6</t>
        </is>
      </c>
      <c r="C61" t="inlineStr">
        <is>
          <t>Inox Sus201-0.6</t>
        </is>
      </c>
      <c r="D61" t="inlineStr">
        <is>
          <t>INOX</t>
        </is>
      </c>
      <c r="E61" s="17" t="n">
        <v>48000</v>
      </c>
    </row>
    <row r="62">
      <c r="A62" t="n">
        <v>61</v>
      </c>
      <c r="B62" t="inlineStr">
        <is>
          <t>MAT-INOX-SUS201-0-7</t>
        </is>
      </c>
      <c r="C62" t="inlineStr">
        <is>
          <t>Inox Sus201-0.7</t>
        </is>
      </c>
      <c r="D62" t="inlineStr">
        <is>
          <t>INOX</t>
        </is>
      </c>
      <c r="E62" s="17" t="n">
        <v>48000</v>
      </c>
    </row>
    <row r="63">
      <c r="A63" t="n">
        <v>62</v>
      </c>
      <c r="B63" t="inlineStr">
        <is>
          <t>MAT-INOX-SUS201-0-8</t>
        </is>
      </c>
      <c r="C63" t="inlineStr">
        <is>
          <t>Inox Sus201-0.8</t>
        </is>
      </c>
      <c r="D63" t="inlineStr">
        <is>
          <t>INOX</t>
        </is>
      </c>
      <c r="E63" s="17" t="n">
        <v>48000</v>
      </c>
    </row>
    <row r="64">
      <c r="A64" t="n">
        <v>63</v>
      </c>
      <c r="B64" t="inlineStr">
        <is>
          <t>MAT-DAMPER-TRUC-SUS-201-D10</t>
        </is>
      </c>
      <c r="C64" t="inlineStr">
        <is>
          <t>Trục Sus 201 D10</t>
        </is>
      </c>
      <c r="D64" t="inlineStr">
        <is>
          <t>PHỤ_KIỆN_VAN</t>
        </is>
      </c>
      <c r="E64" s="17" t="n">
        <v>50000</v>
      </c>
    </row>
    <row r="65">
      <c r="A65" t="n">
        <v>64</v>
      </c>
      <c r="B65" t="inlineStr">
        <is>
          <t>MAT-DAMPER-TRUC-SUS-201-D12</t>
        </is>
      </c>
      <c r="C65" t="inlineStr">
        <is>
          <t>Trục Sus 201 D12</t>
        </is>
      </c>
      <c r="D65" t="inlineStr">
        <is>
          <t>PHỤ_KIỆN_VAN</t>
        </is>
      </c>
      <c r="E65" s="17" t="n">
        <v>72000</v>
      </c>
    </row>
    <row r="66">
      <c r="A66" t="n">
        <v>65</v>
      </c>
      <c r="B66" t="inlineStr">
        <is>
          <t>MAT-DAMPER-TRUC-SUS-201-D14</t>
        </is>
      </c>
      <c r="C66" t="inlineStr">
        <is>
          <t>Trục Sus 201 D14</t>
        </is>
      </c>
      <c r="D66" t="inlineStr">
        <is>
          <t>PHỤ_KIỆN_VAN</t>
        </is>
      </c>
      <c r="E66" s="17" t="n">
        <v>98000</v>
      </c>
    </row>
    <row r="67">
      <c r="A67" t="n">
        <v>66</v>
      </c>
      <c r="B67" t="inlineStr">
        <is>
          <t>MAT-DAMPER-BAC-DONG-D10</t>
        </is>
      </c>
      <c r="C67" t="inlineStr">
        <is>
          <t>Bạc đồng D10</t>
        </is>
      </c>
      <c r="D67" t="inlineStr">
        <is>
          <t>PHỤ_KIỆN_VAN</t>
        </is>
      </c>
      <c r="E67" s="17" t="n">
        <v>6000</v>
      </c>
    </row>
    <row r="68">
      <c r="A68" t="n">
        <v>67</v>
      </c>
      <c r="B68" t="inlineStr">
        <is>
          <t>MAT-DAMPER-BAC-DONG-D12</t>
        </is>
      </c>
      <c r="C68" t="inlineStr">
        <is>
          <t>Bạc đồng D12</t>
        </is>
      </c>
      <c r="D68" t="inlineStr">
        <is>
          <t>PHỤ_KIỆN_VAN</t>
        </is>
      </c>
      <c r="E68" s="17" t="n">
        <v>8000</v>
      </c>
    </row>
    <row r="69">
      <c r="A69" t="n">
        <v>68</v>
      </c>
      <c r="B69" t="inlineStr">
        <is>
          <t>MAT-DAMPER-BAC-DONG-D14</t>
        </is>
      </c>
      <c r="C69" t="inlineStr">
        <is>
          <t>Bạc đồng D14</t>
        </is>
      </c>
      <c r="D69" t="inlineStr">
        <is>
          <t>PHỤ_KIỆN_VAN</t>
        </is>
      </c>
      <c r="E69" s="17" t="n">
        <v>10000</v>
      </c>
    </row>
    <row r="70">
      <c r="A70" t="n">
        <v>69</v>
      </c>
      <c r="B70" t="inlineStr">
        <is>
          <t>MAT-DAMPER-TAY-GAT-1-1M2</t>
        </is>
      </c>
      <c r="C70" t="inlineStr">
        <is>
          <t>Tay gạt 1 &gt;1m2</t>
        </is>
      </c>
      <c r="D70" t="inlineStr">
        <is>
          <t>PHỤ_KIỆN_VAN</t>
        </is>
      </c>
      <c r="E70" s="17" t="n">
        <v>100000</v>
      </c>
    </row>
    <row r="71">
      <c r="A71" t="n">
        <v>70</v>
      </c>
      <c r="B71" t="inlineStr">
        <is>
          <t>MAT-DAMPER-GIANG-TAY-GAT-1</t>
        </is>
      </c>
      <c r="C71" t="inlineStr">
        <is>
          <t>Giằng tay gạt 1</t>
        </is>
      </c>
      <c r="D71" t="inlineStr">
        <is>
          <t>PHỤ_KIỆN_VAN</t>
        </is>
      </c>
      <c r="E71" s="17" t="n">
        <v>20000</v>
      </c>
    </row>
    <row r="72">
      <c r="A72" t="n">
        <v>71</v>
      </c>
      <c r="B72" t="inlineStr">
        <is>
          <t>MAT-DAMPER-GIANG-TAY-GAT-2</t>
        </is>
      </c>
      <c r="C72" t="inlineStr">
        <is>
          <t>Giằng tay gạt 2</t>
        </is>
      </c>
      <c r="D72" t="inlineStr">
        <is>
          <t>PHỤ_KIỆN_VAN</t>
        </is>
      </c>
      <c r="E72" s="17" t="n">
        <v>25000</v>
      </c>
    </row>
    <row r="73">
      <c r="A73" t="n">
        <v>72</v>
      </c>
      <c r="B73" t="inlineStr">
        <is>
          <t>MAT-DAMPER-CAU-CHI-1-400X400</t>
        </is>
      </c>
      <c r="C73" t="inlineStr">
        <is>
          <t>Cầu chì 1 &lt;400x400</t>
        </is>
      </c>
      <c r="D73" t="inlineStr">
        <is>
          <t>PHỤ_KIỆN_VAN</t>
        </is>
      </c>
      <c r="E73" s="17" t="n">
        <v>220000</v>
      </c>
    </row>
    <row r="74">
      <c r="A74" t="n">
        <v>73</v>
      </c>
      <c r="B74" t="inlineStr">
        <is>
          <t>MAT-DAMPER-CAU-CHI-2-400X400</t>
        </is>
      </c>
      <c r="C74" t="inlineStr">
        <is>
          <t>Cầu chì 2&gt;400x400</t>
        </is>
      </c>
      <c r="D74" t="inlineStr">
        <is>
          <t>PHỤ_KIỆN_VAN</t>
        </is>
      </c>
      <c r="E74" s="17" t="n">
        <v>300000</v>
      </c>
    </row>
    <row r="75">
      <c r="A75" t="n">
        <v>74</v>
      </c>
      <c r="B75" t="inlineStr">
        <is>
          <t>MAT-DAMPER-TRUC-VIT-1</t>
        </is>
      </c>
      <c r="C75" t="inlineStr">
        <is>
          <t>Trục vít 1</t>
        </is>
      </c>
      <c r="D75" t="inlineStr">
        <is>
          <t>PHỤ_KIỆN_VAN</t>
        </is>
      </c>
      <c r="E75" s="17" t="n">
        <v>100000</v>
      </c>
    </row>
    <row r="76">
      <c r="A76" t="n">
        <v>75</v>
      </c>
      <c r="B76" t="inlineStr">
        <is>
          <t>MAT-DAMPER-BAC-DONG-8</t>
        </is>
      </c>
      <c r="C76" t="inlineStr">
        <is>
          <t>Bạc đồng 8</t>
        </is>
      </c>
      <c r="D76" t="inlineStr">
        <is>
          <t>PHỤ_KIỆN_VAN</t>
        </is>
      </c>
      <c r="E76" s="17" t="n">
        <v>4000</v>
      </c>
    </row>
    <row r="77">
      <c r="A77" t="n">
        <v>76</v>
      </c>
      <c r="B77" t="inlineStr">
        <is>
          <t>MAT-DAMPER-BANH-RANG-VAN-NHOM</t>
        </is>
      </c>
      <c r="C77" t="inlineStr">
        <is>
          <t>Bánh răng van nhôm</t>
        </is>
      </c>
      <c r="D77" t="inlineStr">
        <is>
          <t>PHỤ_KIỆN_VAN</t>
        </is>
      </c>
      <c r="E77" s="17" t="n">
        <v>35000</v>
      </c>
    </row>
    <row r="78">
      <c r="A78" t="n">
        <v>77</v>
      </c>
      <c r="B78" t="inlineStr">
        <is>
          <t>MAT-DAMPER-TAY-VAN-NHUA-1M2</t>
        </is>
      </c>
      <c r="C78" t="inlineStr">
        <is>
          <t>Tay van nhựa &gt;1m2</t>
        </is>
      </c>
      <c r="D78" t="inlineStr">
        <is>
          <t>PHỤ_KIỆN_VAN</t>
        </is>
      </c>
      <c r="E78" s="17" t="n">
        <v>165000</v>
      </c>
    </row>
    <row r="79">
      <c r="A79" t="n">
        <v>78</v>
      </c>
      <c r="B79" t="inlineStr">
        <is>
          <t>MAT-DAMPER-TAY-VAN-INOX-1M2</t>
        </is>
      </c>
      <c r="C79" t="inlineStr">
        <is>
          <t>Tay van Inox &gt;1m2</t>
        </is>
      </c>
      <c r="D79" t="inlineStr">
        <is>
          <t>PHỤ_KIỆN_VAN</t>
        </is>
      </c>
      <c r="E79" s="17" t="n">
        <v>195000</v>
      </c>
    </row>
    <row r="80">
      <c r="A80" t="n">
        <v>79</v>
      </c>
      <c r="B80" t="inlineStr">
        <is>
          <t>MAT-DAMPER-TAY-VAN-NHOM</t>
        </is>
      </c>
      <c r="C80" t="inlineStr">
        <is>
          <t>Tay van nhôm</t>
        </is>
      </c>
      <c r="D80" t="inlineStr">
        <is>
          <t>PHỤ_KIỆN_VAN</t>
        </is>
      </c>
      <c r="E80" s="17" t="n">
        <v>260000</v>
      </c>
    </row>
    <row r="81">
      <c r="A81" t="n">
        <v>80</v>
      </c>
      <c r="B81" t="inlineStr">
        <is>
          <t>MAT-DAMPER-GIOANG-CAO-SU-VAN-NHOM</t>
        </is>
      </c>
      <c r="C81" t="inlineStr">
        <is>
          <t>Gioăng cao su van nhôm</t>
        </is>
      </c>
      <c r="D81" t="inlineStr">
        <is>
          <t>PHỤ_KIỆN_VAN</t>
        </is>
      </c>
      <c r="E81" s="17" t="n">
        <v>6500</v>
      </c>
    </row>
    <row r="82">
      <c r="A82" t="n">
        <v>81</v>
      </c>
      <c r="B82" t="inlineStr">
        <is>
          <t>MAT-DAMPER-TAY-GAT-NHO</t>
        </is>
      </c>
      <c r="C82" t="inlineStr">
        <is>
          <t>Tay gạt nhỏ</t>
        </is>
      </c>
      <c r="D82" t="inlineStr">
        <is>
          <t>PHỤ_KIỆN_VAN</t>
        </is>
      </c>
      <c r="E82" s="17" t="n">
        <v>50000</v>
      </c>
    </row>
    <row r="83">
      <c r="A83" t="n">
        <v>82</v>
      </c>
      <c r="B83" t="inlineStr">
        <is>
          <t>MAT-DAMPER-TAY-GAT-TRUNG-BINH</t>
        </is>
      </c>
      <c r="C83" t="inlineStr">
        <is>
          <t>Tay gạt trung bình</t>
        </is>
      </c>
      <c r="D83" t="inlineStr">
        <is>
          <t>PHỤ_KIỆN_VAN</t>
        </is>
      </c>
      <c r="E83" s="17" t="n">
        <v>75000</v>
      </c>
    </row>
    <row r="84">
      <c r="A84" t="n">
        <v>83</v>
      </c>
      <c r="B84" t="inlineStr">
        <is>
          <t>MAT-DAMPER-MOTOR-NENUTEC-THUY-SY-LT-300X300</t>
        </is>
      </c>
      <c r="C84" t="inlineStr">
        <is>
          <t>Motor NENUTEC - THỤY SỸ &lt;300x300</t>
        </is>
      </c>
      <c r="D84" t="inlineStr">
        <is>
          <t>PHỤ_KIỆN_VAN</t>
        </is>
      </c>
      <c r="E84" s="17" t="n">
        <v>1750000</v>
      </c>
    </row>
    <row r="85">
      <c r="A85" t="n">
        <v>84</v>
      </c>
      <c r="B85" t="inlineStr">
        <is>
          <t>MAT-DAMPER-MOTOR-NENUTEC-THUY-SY-GT-300X300</t>
        </is>
      </c>
      <c r="C85" t="inlineStr">
        <is>
          <t>Motor NENUTEC - THỤY SỸ &gt;300x300</t>
        </is>
      </c>
      <c r="D85" t="inlineStr">
        <is>
          <t>PHỤ_KIỆN_VAN</t>
        </is>
      </c>
      <c r="E85" s="17" t="n">
        <v>1950000</v>
      </c>
    </row>
    <row r="86">
      <c r="A86" t="n">
        <v>85</v>
      </c>
      <c r="B86" t="inlineStr">
        <is>
          <t>MAT-DAMPER-MOTOR-NENUTEC-THUY-SY-1M2</t>
        </is>
      </c>
      <c r="C86" t="inlineStr">
        <is>
          <t>Motor NENUTEC - THỤY SỸ &gt;1m2</t>
        </is>
      </c>
      <c r="D86" t="inlineStr">
        <is>
          <t>PHỤ_KIỆN_VAN</t>
        </is>
      </c>
      <c r="E86" s="17" t="n">
        <v>2200000</v>
      </c>
    </row>
    <row r="87">
      <c r="A87" t="n">
        <v>86</v>
      </c>
      <c r="B87" t="inlineStr">
        <is>
          <t>MAT-DAMPER-MOTOR-VAN-DAP-LUA-CAM-BIEN</t>
        </is>
      </c>
      <c r="C87" t="inlineStr">
        <is>
          <t>Motor van dập lửa + cảm biến</t>
        </is>
      </c>
      <c r="D87" t="inlineStr">
        <is>
          <t>PHỤ_KIỆN_VAN</t>
        </is>
      </c>
      <c r="E87" s="17" t="n">
        <v>4200000</v>
      </c>
    </row>
    <row r="88">
      <c r="A88" t="n">
        <v>87</v>
      </c>
      <c r="B88" t="inlineStr">
        <is>
          <t>MAT-DAMPER-MOTOR-VAN-AP-SUAT</t>
        </is>
      </c>
      <c r="C88" t="inlineStr">
        <is>
          <t>Motor van áp suất</t>
        </is>
      </c>
      <c r="D88" t="inlineStr">
        <is>
          <t>PHỤ_KIỆN_VAN</t>
        </is>
      </c>
      <c r="E88" s="17" t="n">
        <v>4200000</v>
      </c>
    </row>
    <row r="89">
      <c r="A89" t="n">
        <v>88</v>
      </c>
      <c r="B89" t="inlineStr">
        <is>
          <t>MAT-DAMPER-CAU-CHI-TRUNG-QUOC</t>
        </is>
      </c>
      <c r="C89" t="inlineStr">
        <is>
          <t>Cầu chì Trung Quốc</t>
        </is>
      </c>
      <c r="D89" t="inlineStr">
        <is>
          <t>PHỤ_KIỆN_VAN</t>
        </is>
      </c>
      <c r="E89" s="17" t="n">
        <v>65000</v>
      </c>
    </row>
    <row r="90">
      <c r="A90" t="n">
        <v>89</v>
      </c>
      <c r="B90" t="inlineStr">
        <is>
          <t>MAT-DAMPER-CAU-CHI-USA-1-400X400</t>
        </is>
      </c>
      <c r="C90" t="inlineStr">
        <is>
          <t>Cầu chì USA -1 (&lt;400x400)</t>
        </is>
      </c>
      <c r="D90" t="inlineStr">
        <is>
          <t>PHỤ_KIỆN_VAN</t>
        </is>
      </c>
      <c r="E90" s="17" t="n">
        <v>105000</v>
      </c>
    </row>
    <row r="91">
      <c r="A91" t="n">
        <v>90</v>
      </c>
      <c r="B91" t="inlineStr">
        <is>
          <t>MAT-DAMPER-CAU-CHI-USA-2-400X400</t>
        </is>
      </c>
      <c r="C91" t="inlineStr">
        <is>
          <t>Cầu chì USA-2 (&gt;400x400)</t>
        </is>
      </c>
      <c r="D91" t="inlineStr">
        <is>
          <t>PHỤ_KIỆN_VAN</t>
        </is>
      </c>
      <c r="E91" s="17" t="n">
        <v>126000</v>
      </c>
    </row>
    <row r="92">
      <c r="A92" t="n">
        <v>91</v>
      </c>
      <c r="B92" t="inlineStr">
        <is>
          <t>MAT-FLANGE-L-30X30X2-CT38-L-6-M</t>
        </is>
      </c>
      <c r="C92" t="inlineStr">
        <is>
          <t>L 30x30x2 CT38 L = 6 m</t>
        </is>
      </c>
      <c r="D92" t="inlineStr">
        <is>
          <t>THÉP_BÍCH_GÓC</t>
        </is>
      </c>
      <c r="E92" s="17" t="n">
        <v>30000</v>
      </c>
    </row>
    <row r="93">
      <c r="A93" t="n">
        <v>92</v>
      </c>
      <c r="B93" t="inlineStr">
        <is>
          <t>MAT-FLANGE-L-30X30X3-CT38-L-6-M</t>
        </is>
      </c>
      <c r="C93" t="inlineStr">
        <is>
          <t>L 30x30x3 CT38 L = 6 m</t>
        </is>
      </c>
      <c r="D93" t="inlineStr">
        <is>
          <t>THÉP_BÍCH_GÓC</t>
        </is>
      </c>
      <c r="E93" s="17" t="n">
        <v>35000</v>
      </c>
    </row>
    <row r="94">
      <c r="A94" t="n">
        <v>93</v>
      </c>
      <c r="B94" t="inlineStr">
        <is>
          <t>MAT-FLANGE-L-40X40X4-CT39-L-6-M</t>
        </is>
      </c>
      <c r="C94" t="inlineStr">
        <is>
          <t>L 40x40x4 CT39 L = 6 m</t>
        </is>
      </c>
      <c r="D94" t="inlineStr">
        <is>
          <t>THÉP_BÍCH_GÓC</t>
        </is>
      </c>
      <c r="E94" s="17" t="n">
        <v>45000</v>
      </c>
    </row>
    <row r="95">
      <c r="A95" t="n">
        <v>94</v>
      </c>
      <c r="B95" t="inlineStr">
        <is>
          <t>MAT-FLANGE-L-50X50X4-CT40-L-6-M</t>
        </is>
      </c>
      <c r="C95" t="inlineStr">
        <is>
          <t>L 50x50x4 CT40 L = 6 m</t>
        </is>
      </c>
      <c r="D95" t="inlineStr">
        <is>
          <t>THÉP_BÍCH_GÓC</t>
        </is>
      </c>
      <c r="E95" s="17" t="n">
        <v>55000</v>
      </c>
    </row>
    <row r="96">
      <c r="A96" t="n">
        <v>95</v>
      </c>
      <c r="B96" t="inlineStr">
        <is>
          <t>MAT-INSUL-LUOI-NHUA</t>
        </is>
      </c>
      <c r="C96" t="inlineStr">
        <is>
          <t>Lưới nhựa</t>
        </is>
      </c>
      <c r="D96" t="inlineStr">
        <is>
          <t>VẬT_LIỆU_TIÊU_ÂM</t>
        </is>
      </c>
      <c r="E96" s="17" t="n">
        <v>25000</v>
      </c>
    </row>
    <row r="97">
      <c r="A97" t="n">
        <v>96</v>
      </c>
      <c r="B97" t="inlineStr">
        <is>
          <t>MAT-INSUL-MOTOR-NENUTEC-THUY-SY-LT-300X300</t>
        </is>
      </c>
      <c r="C97" t="inlineStr">
        <is>
          <t>Motor NENUTEC - THỤY SỸ &lt;300x300</t>
        </is>
      </c>
      <c r="D97" t="inlineStr">
        <is>
          <t>VẬT_LIỆU_TIÊU_ÂM</t>
        </is>
      </c>
      <c r="E97" s="17" t="n">
        <v>1750000</v>
      </c>
    </row>
    <row r="98">
      <c r="A98" t="n">
        <v>97</v>
      </c>
      <c r="B98" t="inlineStr">
        <is>
          <t>MAT-INSUL-MOTOR-NENUTEC-THUY-SY-GT-300X300</t>
        </is>
      </c>
      <c r="C98" t="inlineStr">
        <is>
          <t>Motor NENUTEC - THỤY SỸ &gt;300x300</t>
        </is>
      </c>
      <c r="D98" t="inlineStr">
        <is>
          <t>VẬT_LIỆU_TIÊU_ÂM</t>
        </is>
      </c>
      <c r="E98" s="17" t="n">
        <v>1950000</v>
      </c>
    </row>
    <row r="99">
      <c r="A99" t="n">
        <v>98</v>
      </c>
      <c r="B99" t="inlineStr">
        <is>
          <t>MAT-INSUL-MOTOR-NENUTEC-THUY-SY-1M2</t>
        </is>
      </c>
      <c r="C99" t="inlineStr">
        <is>
          <t>Motor NENUTEC - THỤY SỸ &gt;1m2</t>
        </is>
      </c>
      <c r="D99" t="inlineStr">
        <is>
          <t>VẬT_LIỆU_TIÊU_ÂM</t>
        </is>
      </c>
      <c r="E99" s="17" t="n">
        <v>2200000</v>
      </c>
    </row>
    <row r="100">
      <c r="A100" t="n">
        <v>99</v>
      </c>
      <c r="B100" t="inlineStr">
        <is>
          <t>MAT-INSUL-MOTOR-VAN-DAP-LUA-CAM-BIEN</t>
        </is>
      </c>
      <c r="C100" t="inlineStr">
        <is>
          <t>Motor van dập lửa + cảm biến</t>
        </is>
      </c>
      <c r="D100" t="inlineStr">
        <is>
          <t>VẬT_LIỆU_TIÊU_ÂM</t>
        </is>
      </c>
      <c r="E100" s="17" t="n">
        <v>4200000</v>
      </c>
    </row>
    <row r="101">
      <c r="A101" t="n">
        <v>100</v>
      </c>
      <c r="B101" t="inlineStr">
        <is>
          <t>MAT-INSUL-MOTOR-VAN-AP-SUAT</t>
        </is>
      </c>
      <c r="C101" t="inlineStr">
        <is>
          <t>Motor van áp suất</t>
        </is>
      </c>
      <c r="D101" t="inlineStr">
        <is>
          <t>VẬT_LIỆU_TIÊU_ÂM</t>
        </is>
      </c>
      <c r="E101" s="17" t="n">
        <v>4200000</v>
      </c>
    </row>
    <row r="102">
      <c r="A102" t="n">
        <v>101</v>
      </c>
      <c r="B102" t="inlineStr">
        <is>
          <t>MAT-ALU-NAN-BD</t>
        </is>
      </c>
      <c r="C102" t="inlineStr">
        <is>
          <t>Nhôm định hình NAN BD</t>
        </is>
      </c>
      <c r="D102" t="inlineStr">
        <is>
          <t>NHÔM_ĐỊNH_HÌNH</t>
        </is>
      </c>
      <c r="E102" s="17" t="n">
        <v>126000</v>
      </c>
    </row>
    <row r="103">
      <c r="A103" t="n">
        <v>102</v>
      </c>
      <c r="B103" t="inlineStr">
        <is>
          <t>MAT-ALU-NAN-T</t>
        </is>
      </c>
      <c r="C103" t="inlineStr">
        <is>
          <t>Nhôm định hình NAN T</t>
        </is>
      </c>
      <c r="D103" t="inlineStr">
        <is>
          <t>NHÔM_ĐỊNH_HÌNH</t>
        </is>
      </c>
      <c r="E103" s="17" t="n">
        <v>126000</v>
      </c>
    </row>
    <row r="104">
      <c r="A104" t="n">
        <v>103</v>
      </c>
      <c r="B104" t="inlineStr">
        <is>
          <t>MAT-ALU-KHUNG-BD</t>
        </is>
      </c>
      <c r="C104" t="inlineStr">
        <is>
          <t>Nhôm định hình KHUNG BD</t>
        </is>
      </c>
      <c r="D104" t="inlineStr">
        <is>
          <t>NHÔM_ĐỊNH_HÌNH</t>
        </is>
      </c>
      <c r="E104" s="17" t="n">
        <v>126000</v>
      </c>
    </row>
    <row r="105">
      <c r="A105" t="n">
        <v>104</v>
      </c>
      <c r="B105" t="inlineStr">
        <is>
          <t>MAT-ALU-KHUNG-BD-Z-MONG</t>
        </is>
      </c>
      <c r="C105" t="inlineStr">
        <is>
          <t>Nhôm định hình KHUNG BD+ Z MỎNG</t>
        </is>
      </c>
      <c r="D105" t="inlineStr">
        <is>
          <t>NHÔM_ĐỊNH_HÌNH</t>
        </is>
      </c>
      <c r="E105" s="17" t="n">
        <v>126000</v>
      </c>
    </row>
    <row r="106">
      <c r="A106" t="n">
        <v>105</v>
      </c>
      <c r="B106" t="inlineStr">
        <is>
          <t>MAT-ALU-NAN-Z-DAY</t>
        </is>
      </c>
      <c r="C106" t="inlineStr">
        <is>
          <t>Nhôm định hình NAN Z DÀY</t>
        </is>
      </c>
      <c r="D106" t="inlineStr">
        <is>
          <t>NHÔM_ĐỊNH_HÌNH</t>
        </is>
      </c>
      <c r="E106" s="17" t="n">
        <v>126000</v>
      </c>
    </row>
    <row r="107">
      <c r="A107" t="n">
        <v>106</v>
      </c>
      <c r="B107" t="inlineStr">
        <is>
          <t>MAT-ALU-NAN-Z-MONG</t>
        </is>
      </c>
      <c r="C107" t="inlineStr">
        <is>
          <t>Nhôm định hình NAN Z MỎNG</t>
        </is>
      </c>
      <c r="D107" t="inlineStr">
        <is>
          <t>NHÔM_ĐỊNH_HÌNH</t>
        </is>
      </c>
      <c r="E107" s="17" t="n">
        <v>126000</v>
      </c>
    </row>
    <row r="108">
      <c r="A108" t="n">
        <v>107</v>
      </c>
      <c r="B108" t="inlineStr">
        <is>
          <t>MAT-ALU-KHUNG-Z-2-LOP</t>
        </is>
      </c>
      <c r="C108" t="inlineStr">
        <is>
          <t>Nhôm định hình KHUNG Z+2 LỚP</t>
        </is>
      </c>
      <c r="D108" t="inlineStr">
        <is>
          <t>NHÔM_ĐỊNH_HÌNH</t>
        </is>
      </c>
      <c r="E108" s="17" t="n">
        <v>126000</v>
      </c>
    </row>
    <row r="109">
      <c r="A109" t="n">
        <v>108</v>
      </c>
      <c r="B109" t="inlineStr">
        <is>
          <t>MAT-ALU-NAN-OBD</t>
        </is>
      </c>
      <c r="C109" t="inlineStr">
        <is>
          <t>Nhôm định hình NAN OBD</t>
        </is>
      </c>
      <c r="D109" t="inlineStr">
        <is>
          <t>NHÔM_ĐỊNH_HÌNH</t>
        </is>
      </c>
      <c r="E109" s="17" t="n">
        <v>133000</v>
      </c>
    </row>
    <row r="110">
      <c r="A110" t="n">
        <v>109</v>
      </c>
      <c r="B110" t="inlineStr">
        <is>
          <t>MAT-ALU-KHUNG-OBD</t>
        </is>
      </c>
      <c r="C110" t="inlineStr">
        <is>
          <t>Nhôm định hình KHUNG OBD</t>
        </is>
      </c>
      <c r="D110" t="inlineStr">
        <is>
          <t>NHÔM_ĐỊNH_HÌNH</t>
        </is>
      </c>
      <c r="E110" s="17" t="n">
        <v>133000</v>
      </c>
    </row>
    <row r="111">
      <c r="A111" t="n">
        <v>110</v>
      </c>
      <c r="B111" t="inlineStr">
        <is>
          <t>MAT-ALU-NAN-BD-EUS02</t>
        </is>
      </c>
      <c r="C111" t="inlineStr">
        <is>
          <t>Nhôm định hình NAN BD EUS 02</t>
        </is>
      </c>
      <c r="D111" t="inlineStr">
        <is>
          <t>NHÔM_ĐỊNH_HÌNH</t>
        </is>
      </c>
      <c r="E111" s="17" t="n">
        <v>120000</v>
      </c>
    </row>
    <row r="112">
      <c r="A112" t="n">
        <v>111</v>
      </c>
      <c r="B112" t="inlineStr">
        <is>
          <t>MAT-ALU-KHUNG-BD-EUS01</t>
        </is>
      </c>
      <c r="C112" t="inlineStr">
        <is>
          <t>Nhôm định hình KHUNG BD EUS 01</t>
        </is>
      </c>
      <c r="D112" t="inlineStr">
        <is>
          <t>NHÔM_ĐỊNH_HÌNH</t>
        </is>
      </c>
      <c r="E112" s="17" t="n">
        <v>120000</v>
      </c>
    </row>
    <row r="113">
      <c r="A113" t="n">
        <v>112</v>
      </c>
      <c r="B113" t="inlineStr">
        <is>
          <t>MAT-ALU-NAN-Z-EUS05</t>
        </is>
      </c>
      <c r="C113" t="inlineStr">
        <is>
          <t>Nhôm định hình NAN Z EUS 05</t>
        </is>
      </c>
      <c r="D113" t="inlineStr">
        <is>
          <t>NHÔM_ĐỊNH_HÌNH</t>
        </is>
      </c>
      <c r="E113" s="17" t="n">
        <v>120000</v>
      </c>
    </row>
    <row r="114">
      <c r="A114" t="n">
        <v>113</v>
      </c>
      <c r="B114" t="inlineStr">
        <is>
          <t>MAT-ALU-KHUNG-Z-EUS03</t>
        </is>
      </c>
      <c r="C114" t="inlineStr">
        <is>
          <t>Nhôm định hình KHUNG Z EUS 03</t>
        </is>
      </c>
      <c r="D114" t="inlineStr">
        <is>
          <t>NHÔM_ĐỊNH_HÌNH</t>
        </is>
      </c>
      <c r="E114" s="17" t="n">
        <v>120000</v>
      </c>
    </row>
    <row r="115">
      <c r="A115" t="n">
        <v>114</v>
      </c>
      <c r="B115" t="inlineStr">
        <is>
          <t>MAT-ALU-NAN-OBD-EUS20</t>
        </is>
      </c>
      <c r="C115" t="inlineStr">
        <is>
          <t>Nhôm định hình NAN OBD EUS 20</t>
        </is>
      </c>
      <c r="D115" t="inlineStr">
        <is>
          <t>NHÔM_ĐỊNH_HÌNH</t>
        </is>
      </c>
      <c r="E115" s="17" t="n">
        <v>130000</v>
      </c>
    </row>
    <row r="116">
      <c r="A116" t="n">
        <v>115</v>
      </c>
      <c r="B116" t="inlineStr">
        <is>
          <t>MAT-ALU-KHUNG-OBD-EUS10</t>
        </is>
      </c>
      <c r="C116" t="inlineStr">
        <is>
          <t>Nhôm định hình KHUNG OBD EUS 10</t>
        </is>
      </c>
      <c r="D116" t="inlineStr">
        <is>
          <t>NHÔM_ĐỊNH_HÌNH</t>
        </is>
      </c>
      <c r="E116" s="17" t="n">
        <v>130000</v>
      </c>
    </row>
    <row r="117">
      <c r="A117" t="n">
        <v>116</v>
      </c>
      <c r="B117" t="inlineStr">
        <is>
          <t>MAT-PAINT-POWDER</t>
        </is>
      </c>
      <c r="C117" t="inlineStr">
        <is>
          <t>Sơn tĩnh điện tiêu chuẩn Polyester</t>
        </is>
      </c>
      <c r="D117" t="inlineStr">
        <is>
          <t>SƠN_TĨNH_ĐIỆN</t>
        </is>
      </c>
      <c r="E117" s="17" t="n">
        <v>75000</v>
      </c>
    </row>
    <row r="118">
      <c r="A118" t="n">
        <v>117</v>
      </c>
      <c r="B118" t="inlineStr">
        <is>
          <t>MAT-DOOR-ACCESSORY</t>
        </is>
      </c>
      <c r="C118" t="inlineStr">
        <is>
          <t>Phụ kiện lắp ghép / Ke góc cửa gió</t>
        </is>
      </c>
      <c r="D118" t="inlineStr">
        <is>
          <t>PHỤ_KIỆN_CỬA</t>
        </is>
      </c>
      <c r="E118" s="17" t="n">
        <v>15000</v>
      </c>
    </row>
    <row r="119">
      <c r="A119" t="n">
        <v>118</v>
      </c>
      <c r="B119" t="inlineStr">
        <is>
          <t>MAT-ACTUATOR-NACA-2-05</t>
        </is>
      </c>
      <c r="C119" t="inlineStr">
        <is>
          <t>Model: NACA 2-05  ( 220VAC, On/Off )</t>
        </is>
      </c>
      <c r="D119" t="inlineStr">
        <is>
          <t>ĐỘNG_CƠ_VÀ_CẢM_BIẾN</t>
        </is>
      </c>
      <c r="E119" s="17" t="n">
        <v>1250000</v>
      </c>
    </row>
    <row r="120">
      <c r="A120" t="n">
        <v>119</v>
      </c>
      <c r="B120" t="inlineStr">
        <is>
          <t>MAT-ACTUATOR-NACA-2-10</t>
        </is>
      </c>
      <c r="C120" t="inlineStr">
        <is>
          <t>Model: NACA 2-10   ( 220VAC, On/Off )</t>
        </is>
      </c>
      <c r="D120" t="inlineStr">
        <is>
          <t>ĐỘNG_CƠ_VÀ_CẢM_BIẾN</t>
        </is>
      </c>
      <c r="E120" s="17" t="n">
        <v>1732500</v>
      </c>
    </row>
    <row r="121">
      <c r="A121" t="n">
        <v>120</v>
      </c>
      <c r="B121" t="inlineStr">
        <is>
          <t>MAT-ACTUATOR-NACA-2-20</t>
        </is>
      </c>
      <c r="C121" t="inlineStr">
        <is>
          <t>Model: NACA 2-20   ( 220VAC, On/Off )</t>
        </is>
      </c>
      <c r="D121" t="inlineStr">
        <is>
          <t>ĐỘNG_CƠ_VÀ_CẢM_BIẾN</t>
        </is>
      </c>
      <c r="E121" s="17" t="n">
        <v>2016000</v>
      </c>
    </row>
    <row r="122">
      <c r="A122" t="n">
        <v>121</v>
      </c>
      <c r="B122" t="inlineStr">
        <is>
          <t>MAT-ACTUATOR-NACA-2-40</t>
        </is>
      </c>
      <c r="C122" t="inlineStr">
        <is>
          <t>Model: NACA 2-40   ( 220VAC, On/Off )</t>
        </is>
      </c>
      <c r="D122" t="inlineStr">
        <is>
          <t>ĐỘNG_CƠ_VÀ_CẢM_BIẾN</t>
        </is>
      </c>
      <c r="E122" s="17" t="n">
        <v>3549000</v>
      </c>
    </row>
    <row r="123">
      <c r="A123" t="n">
        <v>122</v>
      </c>
      <c r="B123" t="inlineStr">
        <is>
          <t>MAT-ACTUATOR-NTC-831</t>
        </is>
      </c>
      <c r="C123" t="inlineStr">
        <is>
          <t>Model: NTC 831</t>
        </is>
      </c>
      <c r="D123" t="inlineStr">
        <is>
          <t>ĐỘNG_CƠ_VÀ_CẢM_BIẾN</t>
        </is>
      </c>
      <c r="E123" s="17" t="n">
        <v>800000</v>
      </c>
    </row>
    <row r="124">
      <c r="A124" t="n">
        <v>123</v>
      </c>
      <c r="B124" t="inlineStr">
        <is>
          <t>MAT-ACTUATOR-NACM-1-2-05</t>
        </is>
      </c>
      <c r="C124" t="inlineStr">
        <is>
          <t>Model: NACM 1.2-05  ( Modulating )</t>
        </is>
      </c>
      <c r="D124" t="inlineStr">
        <is>
          <t>ĐỘNG_CƠ_VÀ_CẢM_BIẾN</t>
        </is>
      </c>
      <c r="E124" s="17" t="n">
        <v>1785000</v>
      </c>
    </row>
    <row r="125">
      <c r="A125" t="n">
        <v>124</v>
      </c>
      <c r="B125" t="inlineStr">
        <is>
          <t>MAT-ACTUATOR-NACM-1-1-10</t>
        </is>
      </c>
      <c r="C125" t="inlineStr">
        <is>
          <t>Model: NACM 1.1-10  ( Modulating )</t>
        </is>
      </c>
      <c r="D125" t="inlineStr">
        <is>
          <t>ĐỘNG_CƠ_VÀ_CẢM_BIẾN</t>
        </is>
      </c>
      <c r="E125" s="17" t="n">
        <v>2226000</v>
      </c>
    </row>
    <row r="126">
      <c r="A126" t="n">
        <v>125</v>
      </c>
      <c r="B126" t="inlineStr">
        <is>
          <t>MAT-ACTUATOR-NACM-1-1-20</t>
        </is>
      </c>
      <c r="C126" t="inlineStr">
        <is>
          <t>Model: NACM 1.1-20  ( Modulating )</t>
        </is>
      </c>
      <c r="D126" t="inlineStr">
        <is>
          <t>ĐỘNG_CƠ_VÀ_CẢM_BIẾN</t>
        </is>
      </c>
      <c r="E126" s="17" t="n">
        <v>3087000</v>
      </c>
    </row>
    <row r="127">
      <c r="A127" t="n">
        <v>126</v>
      </c>
      <c r="B127" t="inlineStr">
        <is>
          <t>MAT-ACTUATOR-NACM-1-1-40</t>
        </is>
      </c>
      <c r="C127" t="inlineStr">
        <is>
          <t>Model: NACM 1.1-40  ( Modulating )</t>
        </is>
      </c>
      <c r="D127" t="inlineStr">
        <is>
          <t>ĐỘNG_CƠ_VÀ_CẢM_BIẾN</t>
        </is>
      </c>
      <c r="E127" s="17" t="n">
        <v>4515000</v>
      </c>
    </row>
    <row r="128">
      <c r="A128" t="n">
        <v>127</v>
      </c>
      <c r="B128" t="inlineStr">
        <is>
          <t>MAT-ACTUATOR-MODEL-NPG-1-DIEU-KHI</t>
        </is>
      </c>
      <c r="C128" t="inlineStr">
        <is>
          <t>Model: NPG-1 ( Điều khiển cửa gió theo % đóng mở )</t>
        </is>
      </c>
      <c r="D128" t="inlineStr">
        <is>
          <t>ĐỘNG_CƠ_VÀ_CẢM_BIẾN</t>
        </is>
      </c>
      <c r="E128" s="17" t="n">
        <v>1260000</v>
      </c>
    </row>
    <row r="129">
      <c r="A129" t="n">
        <v>128</v>
      </c>
      <c r="B129" t="inlineStr">
        <is>
          <t>MAT-ACTUATOR-MODEL-NTC-843-DIEU-K</t>
        </is>
      </c>
      <c r="C129" t="inlineStr">
        <is>
          <t>Model: NTC-843 ( Điều khiển cửa gió theo nhiệt độ phòng )</t>
        </is>
      </c>
      <c r="D129" t="inlineStr">
        <is>
          <t>ĐỘNG_CƠ_VÀ_CẢM_BIẾN</t>
        </is>
      </c>
      <c r="E129" s="17" t="n">
        <v>1512000</v>
      </c>
    </row>
    <row r="130">
      <c r="A130" t="n">
        <v>129</v>
      </c>
      <c r="B130" t="inlineStr">
        <is>
          <t>MAT-ACTUATOR-SAFA-1-05S</t>
        </is>
      </c>
      <c r="C130" t="inlineStr">
        <is>
          <t>SAFA - 1 - 05S ( 24VAC/DC ) - Không có cảm biến</t>
        </is>
      </c>
      <c r="D130" t="inlineStr">
        <is>
          <t>ĐỘNG_CƠ_VÀ_CẢM_BIẾN</t>
        </is>
      </c>
      <c r="E130" s="17" t="n">
        <v>3108000</v>
      </c>
    </row>
    <row r="131">
      <c r="A131" t="n">
        <v>130</v>
      </c>
      <c r="B131" t="inlineStr">
        <is>
          <t>MAT-ACTUATOR-SAFA-1-08S</t>
        </is>
      </c>
      <c r="C131" t="inlineStr">
        <is>
          <t>SAFA - 1 - 08S ( 24VAC/DC )  - Không có cảm biến</t>
        </is>
      </c>
      <c r="D131" t="inlineStr">
        <is>
          <t>ĐỘNG_CƠ_VÀ_CẢM_BIẾN</t>
        </is>
      </c>
      <c r="E131" s="17" t="n">
        <v>3507000</v>
      </c>
    </row>
    <row r="132">
      <c r="A132" t="n">
        <v>131</v>
      </c>
      <c r="B132" t="inlineStr">
        <is>
          <t>MAT-ACTUATOR-SAFA-2-05S</t>
        </is>
      </c>
      <c r="C132" t="inlineStr">
        <is>
          <t>SAFA - 2 - 05S ( 220VAC  )  - Không có cảm biến</t>
        </is>
      </c>
      <c r="D132" t="inlineStr">
        <is>
          <t>ĐỘNG_CƠ_VÀ_CẢM_BIẾN</t>
        </is>
      </c>
      <c r="E132" s="17" t="n">
        <v>3255000</v>
      </c>
    </row>
    <row r="133">
      <c r="A133" t="n">
        <v>132</v>
      </c>
      <c r="B133" t="inlineStr">
        <is>
          <t>MAT-ACTUATOR-SAFA-2-08S</t>
        </is>
      </c>
      <c r="C133" t="inlineStr">
        <is>
          <t>SAFA - 2 - 08S ( 220VAC  )  - Không có cảm biến</t>
        </is>
      </c>
      <c r="D133" t="inlineStr">
        <is>
          <t>ĐỘNG_CƠ_VÀ_CẢM_BIẾN</t>
        </is>
      </c>
      <c r="E133" s="17" t="n">
        <v>3696000</v>
      </c>
    </row>
    <row r="134">
      <c r="A134" t="n">
        <v>133</v>
      </c>
      <c r="B134" t="inlineStr">
        <is>
          <t>MAT-ACTUATOR-CAM-BIEN-NHIET-BANG-</t>
        </is>
      </c>
      <c r="C134" t="inlineStr">
        <is>
          <t>Cảm biến nhiệt bằng điện gắn với Motor dùng cho fire damper</t>
        </is>
      </c>
      <c r="D134" t="inlineStr">
        <is>
          <t>ĐỘNG_CƠ_VÀ_CẢM_BIẾN</t>
        </is>
      </c>
      <c r="E134" s="17" t="n">
        <v>300000</v>
      </c>
    </row>
    <row r="135">
      <c r="A135" t="n">
        <v>134</v>
      </c>
      <c r="B135" t="inlineStr">
        <is>
          <t>MAT-ACTUATOR-MODEL-B</t>
        </is>
      </c>
      <c r="C135" t="inlineStr">
        <is>
          <t>Model: B (165ºF) ( Loại nhỏ )</t>
        </is>
      </c>
      <c r="D135" t="inlineStr">
        <is>
          <t>ĐỘNG_CƠ_VÀ_CẢM_BIẾN</t>
        </is>
      </c>
      <c r="E135" s="17" t="n">
        <v>70000</v>
      </c>
    </row>
    <row r="136">
      <c r="A136" t="n">
        <v>135</v>
      </c>
      <c r="B136" t="inlineStr">
        <is>
          <t>MAT-ACTUATOR-MODEL-A</t>
        </is>
      </c>
      <c r="C136" t="inlineStr">
        <is>
          <t>Model: A (165ºF) ( Loại lớn )</t>
        </is>
      </c>
      <c r="D136" t="inlineStr">
        <is>
          <t>ĐỘNG_CƠ_VÀ_CẢM_BIẾN</t>
        </is>
      </c>
      <c r="E136" s="17" t="n">
        <v>80000</v>
      </c>
    </row>
    <row r="137">
      <c r="A137" t="n">
        <v>136</v>
      </c>
      <c r="B137" t="inlineStr">
        <is>
          <t>MAT-INSUL-BONG-THUY-TINH-KHONG-MAT-12</t>
        </is>
      </c>
      <c r="C137" t="inlineStr">
        <is>
          <t>Bông thuỷ tinh không mặt bạc T12 D50 - Chiều dày 50mm, khổ rộng 1,2m dài 30m. Tổng 36m2/cuộn. Tỷ trọng 12kg/m3</t>
        </is>
      </c>
      <c r="D137" t="inlineStr">
        <is>
          <t>VẬT_LIỆU_TIÊU_ÂM</t>
        </is>
      </c>
      <c r="E137" s="17" t="n">
        <v>13000</v>
      </c>
    </row>
    <row r="138">
      <c r="A138" t="n">
        <v>137</v>
      </c>
      <c r="B138" t="inlineStr">
        <is>
          <t>MAT-INSUL-BONG-THUY-TINH-CO-BAC-T12-13</t>
        </is>
      </c>
      <c r="C138" t="inlineStr">
        <is>
          <t>Bông thuỷ tinh có bạc T12 D50 - Chiều dày 50mm, khổ rộng 1,2m dài 30m. Tổng 36m2/cuộn. Tỷ trọng 12kg/m3</t>
        </is>
      </c>
      <c r="D138" t="inlineStr">
        <is>
          <t>VẬT_LIỆU_TIÊU_ÂM</t>
        </is>
      </c>
      <c r="E138" s="17" t="n">
        <v>18500</v>
      </c>
    </row>
    <row r="139">
      <c r="A139" t="n">
        <v>138</v>
      </c>
      <c r="B139" t="inlineStr">
        <is>
          <t>MAT-INSUL-BONG-THUY-TINH-KHONG-MAT-14</t>
        </is>
      </c>
      <c r="C139" t="inlineStr">
        <is>
          <t>Bông thuỷ tinh không mặt bạc T24 D50 - Chiều dày 50mm, khổ rộng 1,2m dài 20m. Tổng 24m2/cuộn. Tỷ trọng 24kg/m3</t>
        </is>
      </c>
      <c r="D139" t="inlineStr">
        <is>
          <t>VẬT_LIỆU_TIÊU_ÂM</t>
        </is>
      </c>
      <c r="E139" s="17" t="n">
        <v>24000</v>
      </c>
    </row>
    <row r="140">
      <c r="A140" t="n">
        <v>139</v>
      </c>
      <c r="B140" t="inlineStr">
        <is>
          <t>MAT-INSUL-BONG-THUY-TINH-CO-BAC-T24-15</t>
        </is>
      </c>
      <c r="C140" t="inlineStr">
        <is>
          <t>Bông thuỷ tinh có bạc T24 D50 - Chiều dày 50mm, khổ rộng 1,2m dài 20m. Tổng 24m2/cuộn. Tỷ trọng 24kg/m3</t>
        </is>
      </c>
      <c r="D140" t="inlineStr">
        <is>
          <t>VẬT_LIỆU_TIÊU_ÂM</t>
        </is>
      </c>
      <c r="E140" s="17" t="n">
        <v>28000</v>
      </c>
    </row>
    <row r="141">
      <c r="A141" t="n">
        <v>140</v>
      </c>
      <c r="B141" t="inlineStr">
        <is>
          <t>MAT-INSUL-BONG-THUY-TINH-KHONG-MAT-16</t>
        </is>
      </c>
      <c r="C141" t="inlineStr">
        <is>
          <t>Bông thuỷ tinh không mặt bạc T32 D50 - Chiều dày 50mm, khổ rộng 1,2m dài 15m. Tổng 18m2/cuộn. Tỷ trọng 32kg/m3</t>
        </is>
      </c>
      <c r="D141" t="inlineStr">
        <is>
          <t>VẬT_LIỆU_TIÊU_ÂM</t>
        </is>
      </c>
      <c r="E141" s="17" t="n">
        <v>32000</v>
      </c>
    </row>
    <row r="142">
      <c r="A142" t="n">
        <v>141</v>
      </c>
      <c r="B142" t="inlineStr">
        <is>
          <t>MAT-INSUL-BONG-THUY-TINH-CO-MAT-BAC-17</t>
        </is>
      </c>
      <c r="C142" t="inlineStr">
        <is>
          <t>Bông thuỷ tinh có mặt bạc T32 D50 - Chiều dày 50mm, khổ rộng 1,2m dài 15m. Tổng 18m2/cuộn. Tỷ trọng 32kg/m3</t>
        </is>
      </c>
      <c r="D142" t="inlineStr">
        <is>
          <t>VẬT_LIỆU_TIÊU_ÂM</t>
        </is>
      </c>
      <c r="E142" s="17" t="n">
        <v>37000</v>
      </c>
    </row>
    <row r="143">
      <c r="A143" t="n">
        <v>142</v>
      </c>
      <c r="B143" t="inlineStr">
        <is>
          <t>MAT-INSUL-BONG-KHOANG-TAM-T40-19</t>
        </is>
      </c>
      <c r="C143" t="inlineStr">
        <is>
          <t>Bông khoáng tấm T40 - Kích thước tấm: 50 x 600 x 1200mm - 1 Kiện gồm 06 tấm, tỷ trọng 40kg/m3</t>
        </is>
      </c>
      <c r="D143" t="inlineStr">
        <is>
          <t>VẬT_LIỆU_TIÊU_ÂM</t>
        </is>
      </c>
      <c r="E143" s="17" t="n">
        <v>215000</v>
      </c>
    </row>
    <row r="144">
      <c r="A144" t="n">
        <v>143</v>
      </c>
      <c r="B144" t="inlineStr">
        <is>
          <t>MAT-INSUL-BONG-KHOANG-TAM-T50-20</t>
        </is>
      </c>
      <c r="C144" t="inlineStr">
        <is>
          <t>Bông khoáng tấm T50 - Kích thước tấm: 50 x 600 x 1200mm - 1 Kiện gồm 06 tấm, tỷ trọng 50kg/m3</t>
        </is>
      </c>
      <c r="D144" t="inlineStr">
        <is>
          <t>VẬT_LIỆU_TIÊU_ÂM</t>
        </is>
      </c>
      <c r="E144" s="17" t="n">
        <v>240000</v>
      </c>
    </row>
    <row r="145">
      <c r="A145" t="n">
        <v>144</v>
      </c>
      <c r="B145" t="inlineStr">
        <is>
          <t>MAT-INSUL-BONG-KHOANG-T60-D50-21</t>
        </is>
      </c>
      <c r="C145" t="inlineStr">
        <is>
          <t>Bông khoáng T60 D50 - Kích thước tấm: 50 x 600 x 1200mm - 1 Kiện gồm 06 tấm, tỷ trọng 60kg/m3</t>
        </is>
      </c>
      <c r="D145" t="inlineStr">
        <is>
          <t>VẬT_LIỆU_TIÊU_ÂM</t>
        </is>
      </c>
      <c r="E145" s="17" t="n">
        <v>260000</v>
      </c>
    </row>
    <row r="146">
      <c r="A146" t="n">
        <v>145</v>
      </c>
      <c r="B146" t="inlineStr">
        <is>
          <t>MAT-INSUL-BONG-KHOANG-T80-D50-22</t>
        </is>
      </c>
      <c r="C146" t="inlineStr">
        <is>
          <t>Bông khoáng T80 D50 - Kích thước tấm: 50 x 600 x 1200mm - 1 Kiện gồm 06 tấm, tỷ trọng 80kg/m3</t>
        </is>
      </c>
      <c r="D146" t="inlineStr">
        <is>
          <t>VẬT_LIỆU_TIÊU_ÂM</t>
        </is>
      </c>
      <c r="E146" s="17" t="n">
        <v>340000</v>
      </c>
    </row>
    <row r="147">
      <c r="A147" t="n">
        <v>146</v>
      </c>
      <c r="B147" t="inlineStr">
        <is>
          <t>MAT-INSUL-BONG-KHOANG-T100-D50-23</t>
        </is>
      </c>
      <c r="C147" t="inlineStr">
        <is>
          <t>Bông khoáng T100 D50 - Kích thước tấm: 100 x 600 x 1200mm - 1 Kiện gồm 03 tấm, tỷ trọng 100kg/m3</t>
        </is>
      </c>
      <c r="D147" t="inlineStr">
        <is>
          <t>VẬT_LIỆU_TIÊU_ÂM</t>
        </is>
      </c>
      <c r="E147" s="17" t="n">
        <v>378000</v>
      </c>
    </row>
    <row r="148">
      <c r="A148" t="n">
        <v>147</v>
      </c>
      <c r="B148" t="inlineStr">
        <is>
          <t>MAT-INSUL-BONG-GOM-BAO-610-X7200-X-25</t>
        </is>
      </c>
      <c r="C148" t="inlineStr">
        <is>
          <t>Bông gốm bao 610 x7200 x 25mm - Bông gốm dạng bao dài 7,2m, rộng 0,61 dày 25mm , chịu nhiệt 1000 độ</t>
        </is>
      </c>
      <c r="D148" t="inlineStr">
        <is>
          <t>VẬT_LIỆU_TIÊU_ÂM</t>
        </is>
      </c>
      <c r="E148" s="17" t="n">
        <v>280000</v>
      </c>
    </row>
    <row r="149">
      <c r="A149" t="n">
        <v>148</v>
      </c>
      <c r="B149" t="inlineStr">
        <is>
          <t>MAT-INSUL-BONG-GOM-HOP-610-X7200-X-26</t>
        </is>
      </c>
      <c r="C149" t="inlineStr">
        <is>
          <t>Bông gốm hộp  610 x7200 x 25mm T96 - Bông gốm dạng bao dài 7,2m, rộng 0,61 dày 25mm , chịu nhiệt 1260 độ . 6P</t>
        </is>
      </c>
      <c r="D149" t="inlineStr">
        <is>
          <t>VẬT_LIỆU_TIÊU_ÂM</t>
        </is>
      </c>
      <c r="E149" s="17" t="n">
        <v>360000</v>
      </c>
    </row>
    <row r="150">
      <c r="A150" t="n">
        <v>149</v>
      </c>
      <c r="B150" t="inlineStr">
        <is>
          <t>MAT-INSUL-BONG-GOM-HOP-610-X7200-X-27</t>
        </is>
      </c>
      <c r="C150" t="inlineStr">
        <is>
          <t>Bông gốm hộp  610 x7200 x 25mm T128 - Bông gốm dạng bao dài 7,2m, rộng 0,61 dày 25mm , chịu nhiệt 1260 độ . 8P</t>
        </is>
      </c>
      <c r="D150" t="inlineStr">
        <is>
          <t>VẬT_LIỆU_TIÊU_ÂM</t>
        </is>
      </c>
      <c r="E150" s="17" t="n">
        <v>465000</v>
      </c>
    </row>
    <row r="151">
      <c r="A151" t="n">
        <v>150</v>
      </c>
      <c r="B151" t="inlineStr">
        <is>
          <t>MAT-INSUL-BONG-GOM-HOP-610-X7200-X-28</t>
        </is>
      </c>
      <c r="C151" t="inlineStr">
        <is>
          <t>Bông gốm hộp  610 x7200 x 25mm T128 - Bông gốm dạng bao dài 7,2m, rộng 0,61 dày 25mm , chịu nhiệt 1430 độ</t>
        </is>
      </c>
      <c r="D151" t="inlineStr">
        <is>
          <t>VẬT_LIỆU_TIÊU_ÂM</t>
        </is>
      </c>
      <c r="E151" s="17" t="n">
        <v>970000</v>
      </c>
    </row>
    <row r="152">
      <c r="A152" t="n">
        <v>151</v>
      </c>
      <c r="B152" t="inlineStr">
        <is>
          <t>MAT-INSUL-BONG-GOM-DANG-TAM-600-X-9-29</t>
        </is>
      </c>
      <c r="C152" t="inlineStr">
        <is>
          <t>Bông gốm dạng tấm 600 x 900 T340 - Hộp D25 = 4 tấm  - Hộp D50 = 2 tấm</t>
        </is>
      </c>
      <c r="D152" t="inlineStr">
        <is>
          <t>VẬT_LIỆU_TIÊU_ÂM</t>
        </is>
      </c>
      <c r="E152" s="17" t="n">
        <v>720000</v>
      </c>
    </row>
    <row r="153">
      <c r="A153" t="n">
        <v>152</v>
      </c>
      <c r="B153" t="inlineStr">
        <is>
          <t>MAT-INSUL-BONG-GOM-DANG-ROI-30</t>
        </is>
      </c>
      <c r="C153" t="inlineStr">
        <is>
          <t>Bông gốm dạng rời</t>
        </is>
      </c>
      <c r="D153" t="inlineStr">
        <is>
          <t>VẬT_LIỆU_TIÊU_ÂM</t>
        </is>
      </c>
      <c r="E153" s="17" t="n">
        <v>370000</v>
      </c>
    </row>
    <row r="154">
      <c r="A154" t="n">
        <v>153</v>
      </c>
      <c r="B154" t="inlineStr">
        <is>
          <t>MAT-INSUL-MUT-TRUNG-3CM-KICH-THUOC-32</t>
        </is>
      </c>
      <c r="C154" t="inlineStr">
        <is>
          <t>Mút trứng 3cm , kích thước tấm 1,6 x 2m</t>
        </is>
      </c>
      <c r="D154" t="inlineStr">
        <is>
          <t>VẬT_LIỆU_TIÊU_ÂM</t>
        </is>
      </c>
      <c r="E154" s="17" t="n">
        <v>260000</v>
      </c>
    </row>
    <row r="155">
      <c r="A155" t="n">
        <v>154</v>
      </c>
      <c r="B155" t="inlineStr">
        <is>
          <t>MAT-INSUL-MUT-TRUNG-5CM-KICH-THUOC-33</t>
        </is>
      </c>
      <c r="C155" t="inlineStr">
        <is>
          <t>Mút trứng 5cm , kích thước tấm 1,6 x 2m</t>
        </is>
      </c>
      <c r="D155" t="inlineStr">
        <is>
          <t>VẬT_LIỆU_TIÊU_ÂM</t>
        </is>
      </c>
      <c r="E155" s="17" t="n">
        <v>360000</v>
      </c>
    </row>
    <row r="156">
      <c r="A156" t="n">
        <v>155</v>
      </c>
      <c r="B156" t="inlineStr">
        <is>
          <t>MAT-INSUL-MUT-GAI-5CM-KICH-THUOC-TA-34</t>
        </is>
      </c>
      <c r="C156" t="inlineStr">
        <is>
          <t>Mút gai 5cm , kích thước tấm 1 x 1m</t>
        </is>
      </c>
      <c r="D156" t="inlineStr">
        <is>
          <t>VẬT_LIỆU_TIÊU_ÂM</t>
        </is>
      </c>
      <c r="E156" s="17" t="n">
        <v>330000</v>
      </c>
    </row>
    <row r="157">
      <c r="A157" t="n">
        <v>156</v>
      </c>
      <c r="B157" t="inlineStr">
        <is>
          <t>MAT-INSUL-XOP-XPS-DAY-25MM-KICH-THU-35</t>
        </is>
      </c>
      <c r="C157" t="inlineStr">
        <is>
          <t>Xốp XPS . Dày 25mm kích thước tấm 600 x 1800</t>
        </is>
      </c>
      <c r="D157" t="inlineStr">
        <is>
          <t>VẬT_LIỆU_TIÊU_ÂM</t>
        </is>
      </c>
      <c r="E157" s="17" t="n">
        <v>72000</v>
      </c>
    </row>
    <row r="158">
      <c r="A158" t="n">
        <v>157</v>
      </c>
      <c r="B158" t="inlineStr">
        <is>
          <t>MAT-INSUL-VAI-THUY-TINH-36</t>
        </is>
      </c>
      <c r="C158" t="inlineStr">
        <is>
          <t>Vải thủy tinh</t>
        </is>
      </c>
      <c r="D158" t="inlineStr">
        <is>
          <t>VẬT_LIỆU_TIÊU_ÂM</t>
        </is>
      </c>
      <c r="E158" s="17" t="n">
        <v>85000</v>
      </c>
    </row>
    <row r="159">
      <c r="A159" t="n">
        <v>158</v>
      </c>
      <c r="B159" t="inlineStr">
        <is>
          <t>MAT-INSUL-TON-LO-D6-38</t>
        </is>
      </c>
      <c r="C159" t="inlineStr">
        <is>
          <t>Tôn lỗ D6</t>
        </is>
      </c>
      <c r="D159" t="inlineStr">
        <is>
          <t>VẬT_LIỆU_TIÊU_ÂM</t>
        </is>
      </c>
      <c r="E159" s="17" t="n">
        <v>130000</v>
      </c>
    </row>
    <row r="160">
      <c r="A160" t="n">
        <v>159</v>
      </c>
      <c r="B160" t="inlineStr">
        <is>
          <t>MAT-INSUL-TON-LO-D10-40</t>
        </is>
      </c>
      <c r="C160" t="inlineStr">
        <is>
          <t>Tôn lỗ D10</t>
        </is>
      </c>
      <c r="D160" t="inlineStr">
        <is>
          <t>VẬT_LIỆU_TIÊU_ÂM</t>
        </is>
      </c>
      <c r="E160" s="17" t="n">
        <v>130000</v>
      </c>
    </row>
    <row r="161">
      <c r="A161" t="n">
        <v>160</v>
      </c>
      <c r="B161" t="inlineStr">
        <is>
          <t>CANVAS_FIRE_RESISTANT</t>
        </is>
      </c>
      <c r="C161" t="inlineStr">
        <is>
          <t>Cuộn vải bạt bọc cách nhiệt/chống cháy</t>
        </is>
      </c>
      <c r="D161" t="inlineStr">
        <is>
          <t>VẬT_TƯ_BẠT</t>
        </is>
      </c>
      <c r="E161" s="17" t="n">
        <v>57600</v>
      </c>
    </row>
    <row r="162">
      <c r="A162" t="n">
        <v>161</v>
      </c>
      <c r="B162" t="inlineStr">
        <is>
          <t>ROCKWOOL_50MM_50KG</t>
        </is>
      </c>
      <c r="C162" t="inlineStr">
        <is>
          <t>Bông Rockwool tỷ trọng 50kg/m3 dày 50mm</t>
        </is>
      </c>
      <c r="D162" t="inlineStr">
        <is>
          <t>VẬT_LIỆU_TIÊU_ÂM</t>
        </is>
      </c>
      <c r="E162" s="17" t="n">
        <v>65000</v>
      </c>
    </row>
    <row r="163">
      <c r="A163" t="n">
        <v>162</v>
      </c>
      <c r="B163" t="inlineStr">
        <is>
          <t>GLASS_CLOTH</t>
        </is>
      </c>
      <c r="C163" t="inlineStr">
        <is>
          <t>Vải thủy tinh bọc tiêu âm</t>
        </is>
      </c>
      <c r="D163" t="inlineStr">
        <is>
          <t>VẬT_LIỆU_TIÊU_ÂM</t>
        </is>
      </c>
      <c r="E163" s="17" t="n">
        <v>15000</v>
      </c>
    </row>
    <row r="164">
      <c r="A164" t="n">
        <v>163</v>
      </c>
      <c r="B164" t="inlineStr">
        <is>
          <t>PERFORATED_SHEET</t>
        </is>
      </c>
      <c r="C164" t="inlineStr">
        <is>
          <t>Tôn đục lỗ tiêu âm</t>
        </is>
      </c>
      <c r="D164" t="inlineStr">
        <is>
          <t>VẬT_LIỆU_TIÊU_ÂM</t>
        </is>
      </c>
      <c r="E164" s="17" t="n">
        <v>55000</v>
      </c>
    </row>
    <row r="165">
      <c r="A165" t="n">
        <v>164</v>
      </c>
      <c r="B165" t="inlineStr">
        <is>
          <t>SUPERLON_19MM</t>
        </is>
      </c>
      <c r="C165" t="inlineStr">
        <is>
          <t>Bảo ôn Superlon dạng tấm dày 19mm</t>
        </is>
      </c>
      <c r="D165" t="inlineStr">
        <is>
          <t>VẬT_LIỆU_BẢO_ÔN</t>
        </is>
      </c>
      <c r="E165" s="17" t="n">
        <v>220000</v>
      </c>
    </row>
    <row r="166">
      <c r="A166" t="n">
        <v>165</v>
      </c>
      <c r="B166" t="inlineStr">
        <is>
          <t>FLEX_DUCT_D100_NON_INSUL</t>
        </is>
      </c>
      <c r="C166" t="inlineStr">
        <is>
          <t>ống mềm D100 không bảo ôn</t>
        </is>
      </c>
      <c r="D166" t="inlineStr">
        <is>
          <t>ỐNG_GIÓ_MỀM</t>
        </is>
      </c>
      <c r="E166" s="17" t="n">
        <v>55000</v>
      </c>
    </row>
    <row r="167">
      <c r="A167" t="n">
        <v>166</v>
      </c>
      <c r="B167" t="inlineStr">
        <is>
          <t>FLEX_DUCT_D150_NON_INSUL</t>
        </is>
      </c>
      <c r="C167" t="inlineStr">
        <is>
          <t>ống mềm D150 không bảo ôn</t>
        </is>
      </c>
      <c r="D167" t="inlineStr">
        <is>
          <t>ỐNG_GIÓ_MỀM</t>
        </is>
      </c>
      <c r="E167" s="17" t="n">
        <v>70000</v>
      </c>
    </row>
    <row r="168">
      <c r="A168" t="n">
        <v>167</v>
      </c>
      <c r="B168" t="inlineStr">
        <is>
          <t>FLEX_DUCT_D200_NON_INSUL</t>
        </is>
      </c>
      <c r="C168" t="inlineStr">
        <is>
          <t>ống mềm D200 không bảo ôn</t>
        </is>
      </c>
      <c r="D168" t="inlineStr">
        <is>
          <t>ỐNG_GIÓ_MỀM</t>
        </is>
      </c>
      <c r="E168" s="17" t="n">
        <v>99500</v>
      </c>
    </row>
    <row r="169">
      <c r="A169" t="n">
        <v>168</v>
      </c>
      <c r="B169" t="inlineStr">
        <is>
          <t>FLEX_DUCT_D250_NON_INSUL</t>
        </is>
      </c>
      <c r="C169" t="inlineStr">
        <is>
          <t>ống mềm D250 không bảo ôn</t>
        </is>
      </c>
      <c r="D169" t="inlineStr">
        <is>
          <t>ỐNG_GIÓ_MỀM</t>
        </is>
      </c>
      <c r="E169" s="17" t="n">
        <v>115000</v>
      </c>
    </row>
    <row r="170">
      <c r="A170" t="n">
        <v>169</v>
      </c>
      <c r="B170" t="inlineStr">
        <is>
          <t>FLEX_DUCT_D300_NON_INSUL</t>
        </is>
      </c>
      <c r="C170" t="inlineStr">
        <is>
          <t>ống mềm D300 không bảo ôn</t>
        </is>
      </c>
      <c r="D170" t="inlineStr">
        <is>
          <t>ỐNG_GIÓ_MỀM</t>
        </is>
      </c>
      <c r="E170" s="17" t="n">
        <v>135000</v>
      </c>
    </row>
    <row r="171">
      <c r="A171" t="n">
        <v>170</v>
      </c>
      <c r="B171" t="inlineStr">
        <is>
          <t>FLEX_DUCT_D350_NON_INSUL</t>
        </is>
      </c>
      <c r="C171" t="inlineStr">
        <is>
          <t>ống mềm D350 không bảo ôn</t>
        </is>
      </c>
      <c r="D171" t="inlineStr">
        <is>
          <t>ỐNG_GIÓ_MỀM</t>
        </is>
      </c>
      <c r="E171" s="17" t="n">
        <v>195000</v>
      </c>
    </row>
    <row r="172">
      <c r="A172" t="n">
        <v>171</v>
      </c>
      <c r="B172" t="inlineStr">
        <is>
          <t>FLEX_DUCT_D100_INSUL</t>
        </is>
      </c>
      <c r="C172" t="inlineStr">
        <is>
          <t>ống mềm D100 có bảo ôn</t>
        </is>
      </c>
      <c r="D172" t="inlineStr">
        <is>
          <t>ỐNG_GIÓ_MỀM</t>
        </is>
      </c>
      <c r="E172" s="17" t="n">
        <v>130000</v>
      </c>
    </row>
    <row r="173">
      <c r="A173" t="n">
        <v>172</v>
      </c>
      <c r="B173" t="inlineStr">
        <is>
          <t>FLEX_DUCT_D150_INSUL</t>
        </is>
      </c>
      <c r="C173" t="inlineStr">
        <is>
          <t>ống mềm D150 có bảo ôn</t>
        </is>
      </c>
      <c r="D173" t="inlineStr">
        <is>
          <t>ỐNG_GIÓ_MỀM</t>
        </is>
      </c>
      <c r="E173" s="17" t="n">
        <v>165000</v>
      </c>
    </row>
    <row r="174">
      <c r="A174" t="n">
        <v>173</v>
      </c>
      <c r="B174" t="inlineStr">
        <is>
          <t>FLEX_DUCT_D200_INSUL</t>
        </is>
      </c>
      <c r="C174" t="inlineStr">
        <is>
          <t>ống mềm D200 có bảo ôn</t>
        </is>
      </c>
      <c r="D174" t="inlineStr">
        <is>
          <t>ỐNG_GIÓ_MỀM</t>
        </is>
      </c>
      <c r="E174" s="17" t="n">
        <v>190000</v>
      </c>
    </row>
    <row r="175">
      <c r="A175" t="n">
        <v>174</v>
      </c>
      <c r="B175" t="inlineStr">
        <is>
          <t>FLEX_DUCT_D250_INSUL</t>
        </is>
      </c>
      <c r="C175" t="inlineStr">
        <is>
          <t>ống mềm D250 có bảo ôn</t>
        </is>
      </c>
      <c r="D175" t="inlineStr">
        <is>
          <t>ỐNG_GIÓ_MỀM</t>
        </is>
      </c>
      <c r="E175" s="17" t="n">
        <v>245000</v>
      </c>
    </row>
    <row r="176">
      <c r="A176" t="n">
        <v>175</v>
      </c>
      <c r="B176" t="inlineStr">
        <is>
          <t>FLEX_DUCT_D300_INSUL</t>
        </is>
      </c>
      <c r="C176" t="inlineStr">
        <is>
          <t>ống mềm D300 có bảo ôn</t>
        </is>
      </c>
      <c r="D176" t="inlineStr">
        <is>
          <t>ỐNG_GIÓ_MỀM</t>
        </is>
      </c>
      <c r="E176" s="17" t="n">
        <v>245000</v>
      </c>
    </row>
    <row r="177">
      <c r="A177" t="n">
        <v>176</v>
      </c>
      <c r="B177" t="inlineStr">
        <is>
          <t>FLEX_DUCT_D350_INSUL</t>
        </is>
      </c>
      <c r="C177" t="inlineStr">
        <is>
          <t>ống mềm D350 có bảo ôn</t>
        </is>
      </c>
      <c r="D177" t="inlineStr">
        <is>
          <t>ỐNG_GIÓ_MỀM</t>
        </is>
      </c>
      <c r="E177" s="17" t="n">
        <v>280000</v>
      </c>
    </row>
    <row r="178">
      <c r="A178" t="n">
        <v>177</v>
      </c>
      <c r="B178" t="inlineStr">
        <is>
          <t>FLEX_DUCT_D400_NON_INSUL</t>
        </is>
      </c>
      <c r="C178" t="inlineStr">
        <is>
          <t>ống mềm D400 không bảo ôn</t>
        </is>
      </c>
      <c r="D178" t="inlineStr">
        <is>
          <t>ỐNG_GIÓ_MỀM</t>
        </is>
      </c>
      <c r="E178" s="17" t="n">
        <v>225000</v>
      </c>
    </row>
    <row r="179">
      <c r="A179" t="n">
        <v>178</v>
      </c>
      <c r="B179" t="inlineStr">
        <is>
          <t>FLEX_DUCT_D400_INSUL</t>
        </is>
      </c>
      <c r="C179" t="inlineStr">
        <is>
          <t>ống mềm D400 có bảo ôn</t>
        </is>
      </c>
      <c r="D179" t="inlineStr">
        <is>
          <t>ỐNG_GIÓ_MỀM</t>
        </is>
      </c>
      <c r="E179" s="17" t="n">
        <v>320000</v>
      </c>
    </row>
    <row r="180">
      <c r="A180" t="n">
        <v>179</v>
      </c>
      <c r="B180" t="inlineStr">
        <is>
          <t>MAT-FIREBOARD-10MM-BODY</t>
        </is>
      </c>
      <c r="C180" t="inlineStr">
        <is>
          <t>Tấm chống cháy dày 10mm bọc thân van FD/MFD</t>
        </is>
      </c>
      <c r="D180" t="inlineStr">
        <is>
          <t>VẬT_LIỆU_CÁCH_NHIỆT</t>
        </is>
      </c>
      <c r="E180" s="17" t="n">
        <v>518500</v>
      </c>
    </row>
    <row r="181">
      <c r="A181" t="n">
        <v>180</v>
      </c>
      <c r="B181" t="inlineStr">
        <is>
          <t>MAT-FIREBOARD-20MM-BLADE</t>
        </is>
      </c>
      <c r="C181" t="inlineStr">
        <is>
          <t>Tấm chống cháy dày 20mm làm lõi cánh van FD/MFD</t>
        </is>
      </c>
      <c r="D181" t="inlineStr">
        <is>
          <t>VẬT_LIỆU_CÁCH_NHIỆT</t>
        </is>
      </c>
      <c r="E181" s="17" t="n">
        <v>592600</v>
      </c>
    </row>
    <row r="182">
      <c r="A182" t="n">
        <v>181</v>
      </c>
      <c r="B182" t="inlineStr">
        <is>
          <t>MAT-FIREBOARD-10MM-BLADE</t>
        </is>
      </c>
      <c r="C182" t="inlineStr">
        <is>
          <t>Tấm chống cháy dày 10mm ốp 2 mặt cánh van FD/MFD</t>
        </is>
      </c>
      <c r="D182" t="inlineStr">
        <is>
          <t>VẬT_LIỆU_CÁCH_NHIỆT</t>
        </is>
      </c>
      <c r="E182" s="17" t="n">
        <v>518500</v>
      </c>
    </row>
    <row r="183">
      <c r="A183" t="n">
        <v>182</v>
      </c>
      <c r="B183" t="inlineStr">
        <is>
          <t>MAT-INSULATION-EI-DAMPER</t>
        </is>
      </c>
      <c r="C183" t="inlineStr">
        <is>
          <t>Bọc cách nhiệt chống cháy tấm MGO/Thạch cao 10mm (Tiêu chuẩn EI)</t>
        </is>
      </c>
      <c r="D183" t="inlineStr">
        <is>
          <t>VẬT_LIỆU_CÁCH_NHIỆT</t>
        </is>
      </c>
      <c r="E183" s="17" t="n">
        <v>518500</v>
      </c>
    </row>
    <row r="184">
      <c r="A184" t="n">
        <v>183</v>
      </c>
      <c r="B184" t="inlineStr">
        <is>
          <t>MAT-ACTUATOR-BELIMO-FSLF24</t>
        </is>
      </c>
      <c r="C184" t="inlineStr">
        <is>
          <t>Động cơ chặn lửa ON/OFF 3.5Nm, 230V/24V (BELIMO FSLF24 / FSLF230)</t>
        </is>
      </c>
      <c r="D184" t="inlineStr">
        <is>
          <t>ĐỘNG_CƠ_VÀ_CẢM_BIẾN</t>
        </is>
      </c>
      <c r="E184" s="17" t="n">
        <v>3700000</v>
      </c>
    </row>
    <row r="185">
      <c r="A185" t="n">
        <v>184</v>
      </c>
      <c r="B185" t="inlineStr">
        <is>
          <t>MAT-ACTUATOR-BELIMO-BFN24</t>
        </is>
      </c>
      <c r="C185" t="inlineStr">
        <is>
          <t>Động cơ chặn lửa ON/OFF 9Nm, 230V/24V (BELIMO BFN24 / BFN230)</t>
        </is>
      </c>
      <c r="D185" t="inlineStr">
        <is>
          <t>ĐỘNG_CƠ_VÀ_CẢM_BIẾN</t>
        </is>
      </c>
      <c r="E185" s="17" t="n">
        <v>3700000</v>
      </c>
    </row>
    <row r="186">
      <c r="A186" t="n">
        <v>185</v>
      </c>
      <c r="B186" t="inlineStr">
        <is>
          <t>MAT-ACTUATOR-BELIMO-BF24</t>
        </is>
      </c>
      <c r="C186" t="inlineStr">
        <is>
          <t>Động cơ chặn lửa ON/OFF 18Nm, 24V (BELIMO BF 24 hoặc tương đương)</t>
        </is>
      </c>
      <c r="D186" t="inlineStr">
        <is>
          <t>ĐỘNG_CƠ_VÀ_CẢM_BIẾN</t>
        </is>
      </c>
      <c r="E186" s="17" t="n">
        <v>5500000</v>
      </c>
    </row>
    <row r="187">
      <c r="A187" t="n">
        <v>186</v>
      </c>
      <c r="B187" t="inlineStr">
        <is>
          <t>MAT-ACTUATOR-HONEYWELL</t>
        </is>
      </c>
      <c r="C187" t="inlineStr">
        <is>
          <t>Động cơ chặn lửa ON/OFF 9Nm, 230V, đóng mở nhanh 15s (HoneyWell MS4609F1010/B)</t>
        </is>
      </c>
      <c r="D187" t="inlineStr">
        <is>
          <t>ĐỘNG_CƠ_VÀ_CẢM_BIẾN</t>
        </is>
      </c>
      <c r="E187" s="17" t="n">
        <v>3400000</v>
      </c>
    </row>
    <row r="188">
      <c r="A188" t="n">
        <v>187</v>
      </c>
      <c r="B188" t="inlineStr">
        <is>
          <t>MAT-ACTUATOR-SWIND-VIWECO</t>
        </is>
      </c>
      <c r="C188" t="inlineStr">
        <is>
          <t>Động cơ chặn lửa ON/OFF Swind (Viweco V6006FS500S)</t>
        </is>
      </c>
      <c r="D188" t="inlineStr">
        <is>
          <t>ĐỘNG_CƠ_VÀ_CẢM_BIẾN</t>
        </is>
      </c>
      <c r="E188" s="17" t="n">
        <v>1600000</v>
      </c>
    </row>
    <row r="189">
      <c r="A189" t="n">
        <v>188</v>
      </c>
      <c r="B189" t="inlineStr">
        <is>
          <t>MAT-ACTUATOR-KLB-V6006FS500S</t>
        </is>
      </c>
      <c r="C189" t="inlineStr">
        <is>
          <t>Động cơ chặn lửa ON/OFF KLB (Swin V6006FS500S EI90)</t>
        </is>
      </c>
      <c r="D189" t="inlineStr">
        <is>
          <t>ĐỘNG_CƠ_VÀ_CẢM_BIẾN</t>
        </is>
      </c>
      <c r="E189" s="17" t="n">
        <v>1600000</v>
      </c>
    </row>
    <row r="190">
      <c r="A190" t="n">
        <v>189</v>
      </c>
      <c r="B190" t="inlineStr">
        <is>
          <t>MAT-ACTUATOR-BELIMO-5NM</t>
        </is>
      </c>
      <c r="C190" t="inlineStr">
        <is>
          <t>Động cơ van gió Belimo ON/OFF 5Nm</t>
        </is>
      </c>
      <c r="D190" t="inlineStr">
        <is>
          <t>ĐỘNG_CƠ_VÀ_CẢM_BIẾN</t>
        </is>
      </c>
      <c r="E190" s="17" t="n">
        <v>2200000</v>
      </c>
    </row>
    <row r="191">
      <c r="A191" t="n">
        <v>190</v>
      </c>
      <c r="B191" t="inlineStr">
        <is>
          <t>MAT-ACTUATOR-BELIMO-10NM</t>
        </is>
      </c>
      <c r="C191" t="inlineStr">
        <is>
          <t>Động cơ van gió Belimo ON/OFF 10Nm</t>
        </is>
      </c>
      <c r="D191" t="inlineStr">
        <is>
          <t>ĐỘNG_CƠ_VÀ_CẢM_BIẾN</t>
        </is>
      </c>
      <c r="E191" s="17" t="n">
        <v>2800000</v>
      </c>
    </row>
    <row r="192">
      <c r="A192" t="n">
        <v>191</v>
      </c>
      <c r="B192" t="inlineStr">
        <is>
          <t>MAT-ACTUATOR-BELIMO-20NM</t>
        </is>
      </c>
      <c r="C192" t="inlineStr">
        <is>
          <t>Động cơ van gió Belimo ON/OFF 20Nm</t>
        </is>
      </c>
      <c r="D192" t="inlineStr">
        <is>
          <t>ĐỘNG_CƠ_VÀ_CẢM_BIẾN</t>
        </is>
      </c>
      <c r="E192" s="17" t="n">
        <v>3150000</v>
      </c>
    </row>
    <row r="193">
      <c r="A193" t="n">
        <v>192</v>
      </c>
      <c r="B193" t="inlineStr">
        <is>
          <t>MAT-DAMPER-HOP-LO-XO</t>
        </is>
      </c>
      <c r="C193" t="inlineStr">
        <is>
          <t>Hộp lò xo van chặn lửa FD/MFD</t>
        </is>
      </c>
      <c r="D193" t="inlineStr">
        <is>
          <t>PHỤ_KIỆN_VAN</t>
        </is>
      </c>
      <c r="E193" s="17" t="n">
        <v>60000</v>
      </c>
    </row>
    <row r="194">
      <c r="A194" t="n">
        <v>193</v>
      </c>
      <c r="B194" t="inlineStr">
        <is>
          <t>MAT-DAMPER-SILICON-BULONG-VIT</t>
        </is>
      </c>
      <c r="C194" t="inlineStr">
        <is>
          <t>Silicon chống cháy + bu lông, ốc vít van FD/MFD</t>
        </is>
      </c>
      <c r="D194" t="inlineStr">
        <is>
          <t>PHỤ_KIỆN_VAN</t>
        </is>
      </c>
      <c r="E194" s="17" t="n">
        <v>40000</v>
      </c>
    </row>
    <row r="195">
      <c r="A195" t="n">
        <v>194</v>
      </c>
      <c r="B195" t="inlineStr">
        <is>
          <t>MAT-DAMPER-TAY-GAT-CAU-CHI-1</t>
        </is>
      </c>
      <c r="C195" t="inlineStr">
        <is>
          <t>Tay gạt cầu chì van FD (Loại 1-2 cánh)</t>
        </is>
      </c>
      <c r="D195" t="inlineStr">
        <is>
          <t>PHỤ_KIỆN_VAN</t>
        </is>
      </c>
      <c r="E195" s="17" t="n">
        <v>150000</v>
      </c>
    </row>
    <row r="196">
      <c r="A196" t="n">
        <v>195</v>
      </c>
      <c r="B196" t="inlineStr">
        <is>
          <t>MAT-DAMPER-TAY-GAT-CAU-CHI-2</t>
        </is>
      </c>
      <c r="C196" t="inlineStr">
        <is>
          <t>Tay gạt cầu chì van FD (Loại 3-5 cánh)</t>
        </is>
      </c>
      <c r="D196" t="inlineStr">
        <is>
          <t>PHỤ_KIỆN_VAN</t>
        </is>
      </c>
      <c r="E196" s="17" t="n">
        <v>225000</v>
      </c>
    </row>
    <row r="197">
      <c r="A197" t="n">
        <v>196</v>
      </c>
      <c r="B197" t="inlineStr">
        <is>
          <t>MAT-DAMPER-LO-XO-DOI</t>
        </is>
      </c>
      <c r="C197" t="inlineStr">
        <is>
          <t>Lò xo van chặn lửa / đôi</t>
        </is>
      </c>
      <c r="D197" t="inlineStr">
        <is>
          <t>PHỤ_KIỆN_VAN</t>
        </is>
      </c>
      <c r="E197" s="17" t="n">
        <v>4000</v>
      </c>
    </row>
    <row r="198">
      <c r="A198" t="n">
        <v>197</v>
      </c>
      <c r="B198" t="inlineStr">
        <is>
          <t>ECCENTRIC_SHAFT</t>
        </is>
      </c>
      <c r="C198" t="inlineStr">
        <is>
          <t>Cơ cấu lệch tâm / Lò xo đóng mở (NRD)</t>
        </is>
      </c>
      <c r="D198" t="inlineStr">
        <is>
          <t>PHỤ_KIỆN_VAN</t>
        </is>
      </c>
      <c r="E198" s="17" t="n">
        <v>45000</v>
      </c>
    </row>
    <row r="199">
      <c r="A199" t="n">
        <v>198</v>
      </c>
      <c r="B199" t="inlineStr">
        <is>
          <t>MAT-MESH-INOX-304</t>
        </is>
      </c>
      <c r="C199" t="inlineStr">
        <is>
          <t>Lưới chắn côn trùng Inox 304 (LCCT)</t>
        </is>
      </c>
      <c r="D199" t="inlineStr">
        <is>
          <t>PHỤ_KIỆN_CỬA</t>
        </is>
      </c>
      <c r="E199" s="17" t="n">
        <v>150000</v>
      </c>
    </row>
    <row r="200">
      <c r="A200" t="n">
        <v>199</v>
      </c>
      <c r="B200" t="inlineStr">
        <is>
          <t>MAT-ALU-EGGCRATE-CORE</t>
        </is>
      </c>
      <c r="C200" t="inlineStr">
        <is>
          <t>Lõi nhôm sọt trứng (Eggcrate Core 12.7x12.7x12.7mm)</t>
        </is>
      </c>
      <c r="D200" t="inlineStr">
        <is>
          <t>NHÔM_ĐỊNH_HÌNH</t>
        </is>
      </c>
      <c r="E200" s="17" t="n">
        <v>750000</v>
      </c>
    </row>
    <row r="201">
      <c r="A201" t="n">
        <v>200</v>
      </c>
      <c r="B201" t="inlineStr">
        <is>
          <t>MAT-FILTER-G4</t>
        </is>
      </c>
      <c r="C201" t="inlineStr">
        <is>
          <t>Lưới lọc bụi sơ cấp G4 kèm khung nhôm</t>
        </is>
      </c>
      <c r="D201" t="inlineStr">
        <is>
          <t>PHỤ_KIỆN_CỬA</t>
        </is>
      </c>
      <c r="E201" s="17" t="n">
        <v>220000</v>
      </c>
    </row>
    <row r="202">
      <c r="A202" t="n">
        <v>201</v>
      </c>
      <c r="B202" t="inlineStr">
        <is>
          <t>MAT-THUONG_MAI-LOP_CHONG_CHAY_EI30</t>
        </is>
      </c>
      <c r="C202" t="inlineStr">
        <is>
          <t>Bọc chống cháy ống gió chuẩn EI30</t>
        </is>
      </c>
      <c r="D202" t="inlineStr">
        <is>
          <t>VẬT_LIỆU_CÁCH_NHIỆT</t>
        </is>
      </c>
      <c r="E202" s="17" t="n">
        <v>450000</v>
      </c>
    </row>
    <row r="203">
      <c r="A203" t="n">
        <v>202</v>
      </c>
      <c r="B203" t="inlineStr">
        <is>
          <t>MAT-THUONG_MAI-LOP_CHONG_CHAY_EI60</t>
        </is>
      </c>
      <c r="C203" t="inlineStr">
        <is>
          <t>Bọc chống cháy ống gió chuẩn EI60</t>
        </is>
      </c>
      <c r="D203" t="inlineStr">
        <is>
          <t>VẬT_LIỆU_CÁCH_NHIỆT</t>
        </is>
      </c>
      <c r="E203" s="17" t="n">
        <v>550000</v>
      </c>
    </row>
    <row r="204">
      <c r="A204" t="n">
        <v>203</v>
      </c>
      <c r="B204" t="inlineStr">
        <is>
          <t>MAT-THUONG_MAI-LOP_CHONG_CHAY_EI120</t>
        </is>
      </c>
      <c r="C204" t="inlineStr">
        <is>
          <t>Bọc chống cháy ống gió chuẩn EI120</t>
        </is>
      </c>
      <c r="D204" t="inlineStr">
        <is>
          <t>VẬT_LIỆU_CÁCH_NHIỆT</t>
        </is>
      </c>
      <c r="E204" s="17" t="n">
        <v>700000</v>
      </c>
    </row>
    <row r="205">
      <c r="A205" t="n">
        <v>204</v>
      </c>
      <c r="B205" t="inlineStr">
        <is>
          <t>MAT-THUONG_MAI-LUOI_BAO_VE</t>
        </is>
      </c>
      <c r="C205" t="inlineStr">
        <is>
          <t>Lưới bảo vệ đầu ống Inox 304</t>
        </is>
      </c>
      <c r="D205" t="inlineStr">
        <is>
          <t>PHỤ_KIỆN_CỬA</t>
        </is>
      </c>
      <c r="E205" s="17" t="n">
        <v>150000</v>
      </c>
    </row>
    <row r="206">
      <c r="A206" t="n">
        <v>205</v>
      </c>
      <c r="B206" t="inlineStr">
        <is>
          <t>MAT-KHAC-LUOI_BAO_VE</t>
        </is>
      </c>
      <c r="C206" t="inlineStr">
        <is>
          <t>Lưới bảo vệ</t>
        </is>
      </c>
      <c r="D206" t="inlineStr">
        <is>
          <t>THƯƠNG_MẠI_TỰ_ĐỘNG</t>
        </is>
      </c>
      <c r="E206" s="17" t="n">
        <v>165000</v>
      </c>
    </row>
  </sheetData>
  <dataValidations count="1">
    <dataValidation sqref="D2:D5000" showDropDown="0" showInputMessage="0" showErrorMessage="0" allowBlank="1" type="list">
      <formula1>"ONG_GIO,CUA_GIO,VAN_GIO,THUONG_MAI,ONG_MEM,CANVAS,TIEU_AM,KHAC"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Swind Multi-Agent AI</dc:creator>
  <cp:lastModifiedBy>Swind Multi-Agent AI</cp:lastModifiedBy>
  <dcterms:created xsi:type="dcterms:W3CDTF">2026-10-19T09:48:39Z</dcterms:created>
  <dcterms:modified xsi:type="dcterms:W3CDTF">2026-10-19T09:48:39Z</dcterms:modified>
</cp:coreProperties>
</file>
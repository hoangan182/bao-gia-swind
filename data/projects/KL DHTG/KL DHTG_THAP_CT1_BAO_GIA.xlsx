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ẢNG BÁO GIÁ TIÊU CHUẨ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00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</font>
    <font>
      <name val="Times New Roman"/>
      <b val="1"/>
      <color rgb="00002060"/>
      <sz val="11"/>
    </font>
    <font>
      <name val="Times New Roman"/>
      <sz val="10"/>
    </font>
    <font>
      <name val="Times New Roman"/>
      <b val="1"/>
      <sz val="10"/>
    </font>
    <font>
      <name val="Times New Roman"/>
      <b val="1"/>
      <color rgb="00002060"/>
      <sz val="16"/>
    </font>
    <font>
      <name val="Times New Roman"/>
      <b val="1"/>
      <color rgb="00FFFFFF"/>
      <sz val="10"/>
    </font>
    <font>
      <name val="Times New Roman"/>
      <b val="1"/>
      <color rgb="00002060"/>
      <sz val="10"/>
    </font>
    <font>
      <name val="Times New Roman"/>
      <b val="1"/>
      <color rgb="00FF0000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D9E1F2"/>
      </patternFill>
    </fill>
  </fills>
  <borders count="10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/>
      <right/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0" fillId="3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3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2" fontId="4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3" fontId="9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2" fillId="0" borderId="0" applyAlignment="1" pivotButton="0" quotePrefix="0" xfId="0">
      <alignment horizontal="center"/>
    </xf>
    <xf numFmtId="3" fontId="2" fillId="0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0" fillId="0" borderId="9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P72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38" customWidth="1" min="2" max="2"/>
    <col width="20" customWidth="1" min="3" max="3"/>
    <col width="14" customWidth="1" min="4" max="4"/>
    <col width="9" customWidth="1" min="5" max="5"/>
    <col width="9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9" customWidth="1" min="12" max="12"/>
    <col width="11" customWidth="1" min="13" max="13"/>
    <col width="16" customWidth="1" min="14" max="14"/>
    <col width="18" customWidth="1" min="15" max="15"/>
    <col width="44" customWidth="1" min="16" max="16"/>
  </cols>
  <sheetData>
    <row r="2">
      <c r="C2" s="1" t="inlineStr">
        <is>
          <t>CÔNG TY CỔ PHẦN TẬP ĐOÀN QUỐC TẾ SLAND</t>
        </is>
      </c>
    </row>
    <row r="3">
      <c r="C3" s="2" t="inlineStr">
        <is>
          <t>VPGD: SỐ 49, Ngõ 1295 Giải Phóng, Phường Hoàng Mai, TP Hà Nội</t>
        </is>
      </c>
    </row>
    <row r="4">
      <c r="C4" s="2" t="inlineStr">
        <is>
          <t>Nhà máy: Thôn Nhân Hiền - xã Thường Tín - TP Hà Nội</t>
        </is>
      </c>
    </row>
    <row r="5">
      <c r="C5" s="3" t="inlineStr">
        <is>
          <t>Hotline: 082 5577 999</t>
        </is>
      </c>
    </row>
    <row r="6" ht="28" customHeight="1">
      <c r="A6" s="4" t="inlineStr">
        <is>
          <t>BẢNG BÁO GIÁ (BẢNG BÁO GIÁ THIẾT BỊ VÀ VẬT TƯ HVAC (TIÊU CHUẨN BOQ))</t>
        </is>
      </c>
    </row>
    <row r="7">
      <c r="A7" s="3" t="inlineStr">
        <is>
          <t xml:space="preserve">Khách hàng : </t>
        </is>
      </c>
      <c r="M7" s="3" t="inlineStr">
        <is>
          <t>Số hiệu</t>
        </is>
      </c>
    </row>
    <row r="8">
      <c r="A8" s="3" t="inlineStr">
        <is>
          <t>Địa chỉ :</t>
        </is>
      </c>
      <c r="M8" s="3" t="inlineStr">
        <is>
          <t>PT Kinh doanh</t>
        </is>
      </c>
    </row>
    <row r="9">
      <c r="A9" s="3" t="inlineStr">
        <is>
          <t xml:space="preserve">Người nhận : </t>
        </is>
      </c>
      <c r="M9" s="3" t="inlineStr">
        <is>
          <t>Điện thoại</t>
        </is>
      </c>
    </row>
    <row r="10">
      <c r="A10" s="3" t="inlineStr">
        <is>
          <t xml:space="preserve">Email: </t>
        </is>
      </c>
      <c r="C10" s="3" t="inlineStr">
        <is>
          <t>Số điện thoại :</t>
        </is>
      </c>
      <c r="M10" s="3" t="inlineStr">
        <is>
          <t>Dự án</t>
        </is>
      </c>
    </row>
    <row r="11" ht="20" customHeight="1">
      <c r="A11" s="5" t="inlineStr">
        <is>
          <t>STT</t>
        </is>
      </c>
      <c r="B11" s="5" t="inlineStr">
        <is>
          <t>Danh mục sản phẩm</t>
        </is>
      </c>
      <c r="C11" s="5" t="inlineStr">
        <is>
          <t>Model</t>
        </is>
      </c>
      <c r="D11" s="5" t="inlineStr">
        <is>
          <t>Thương hiệu</t>
        </is>
      </c>
      <c r="E11" s="5" t="inlineStr">
        <is>
          <t>Kích thước (mm)</t>
        </is>
      </c>
      <c r="F11" s="23" t="n"/>
      <c r="G11" s="23" t="n"/>
      <c r="H11" s="24" t="n"/>
      <c r="I11" s="5" t="inlineStr">
        <is>
          <t>Modul</t>
        </is>
      </c>
      <c r="J11" s="5" t="inlineStr">
        <is>
          <t>L</t>
        </is>
      </c>
      <c r="K11" s="5" t="inlineStr">
        <is>
          <t>Độ dày
(mm)</t>
        </is>
      </c>
      <c r="L11" s="5" t="inlineStr">
        <is>
          <t>Unit
Đơn vị</t>
        </is>
      </c>
      <c r="M11" s="5" t="inlineStr">
        <is>
          <t>Q'ty
Số lượng</t>
        </is>
      </c>
      <c r="N11" s="5" t="inlineStr">
        <is>
          <t>Đơn Giá
(VNĐ)</t>
        </is>
      </c>
      <c r="O11" s="5" t="inlineStr">
        <is>
          <t>Total price
Thành tiền</t>
        </is>
      </c>
      <c r="P11" s="5" t="inlineStr">
        <is>
          <t>Remarks
Ghi chú</t>
        </is>
      </c>
    </row>
    <row r="12" ht="20" customHeight="1">
      <c r="A12" s="25" t="n"/>
      <c r="B12" s="25" t="n"/>
      <c r="C12" s="25" t="n"/>
      <c r="D12" s="25" t="n"/>
      <c r="E12" s="5" t="inlineStr">
        <is>
          <t>A1</t>
        </is>
      </c>
      <c r="F12" s="5" t="inlineStr">
        <is>
          <t>A2</t>
        </is>
      </c>
      <c r="G12" s="5" t="inlineStr">
        <is>
          <t>B1</t>
        </is>
      </c>
      <c r="H12" s="5" t="inlineStr">
        <is>
          <t>B2</t>
        </is>
      </c>
      <c r="I12" s="25" t="n"/>
      <c r="J12" s="25" t="n"/>
      <c r="K12" s="25" t="n"/>
      <c r="L12" s="25" t="n"/>
      <c r="M12" s="25" t="n"/>
      <c r="N12" s="25" t="n"/>
      <c r="O12" s="25" t="n"/>
      <c r="P12" s="25" t="n"/>
    </row>
    <row r="13" ht="20" customHeight="1">
      <c r="A13" s="26" t="n"/>
      <c r="B13" s="26" t="n"/>
      <c r="C13" s="26" t="n"/>
      <c r="D13" s="26" t="n"/>
      <c r="E13" s="5" t="inlineStr">
        <is>
          <t>Face size</t>
        </is>
      </c>
      <c r="F13" s="24" t="n"/>
      <c r="G13" s="5" t="inlineStr">
        <is>
          <t>Neck size</t>
        </is>
      </c>
      <c r="H13" s="24" t="n"/>
      <c r="I13" s="26" t="n"/>
      <c r="J13" s="26" t="n"/>
      <c r="K13" s="26" t="n"/>
      <c r="L13" s="26" t="n"/>
      <c r="M13" s="26" t="n"/>
      <c r="N13" s="26" t="n"/>
      <c r="O13" s="26" t="n"/>
      <c r="P13" s="26" t="n"/>
    </row>
    <row r="14">
      <c r="A14" s="6" t="inlineStr">
        <is>
          <t>IV</t>
        </is>
      </c>
      <c r="B14" s="7" t="inlineStr">
        <is>
          <t>HỆ THỐNG CẤP NGUỒN THÔNG GIÓ</t>
        </is>
      </c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</row>
    <row r="15">
      <c r="A15" s="9" t="n"/>
      <c r="B15" s="10" t="inlineStr">
        <is>
          <t>Tủ điện TĐ-M-QTG</t>
        </is>
      </c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inlineStr">
        <is>
          <t>Tủ</t>
        </is>
      </c>
      <c r="M15" s="11" t="n">
        <v>2</v>
      </c>
      <c r="N15" s="12" t="n"/>
      <c r="O15" s="12" t="n"/>
      <c r="P15" s="10" t="n"/>
    </row>
    <row r="16">
      <c r="A16" s="9" t="n"/>
      <c r="B16" s="10" t="inlineStr">
        <is>
          <t>Cáp điện CU/PVC/PVC 3x2,5 mm2</t>
        </is>
      </c>
      <c r="C16" s="9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inlineStr">
        <is>
          <t>m</t>
        </is>
      </c>
      <c r="M16" s="11" t="n">
        <v>200</v>
      </c>
      <c r="N16" s="12" t="n"/>
      <c r="O16" s="12" t="n"/>
      <c r="P16" s="10" t="n"/>
    </row>
    <row r="17">
      <c r="A17" s="9" t="n"/>
      <c r="B17" s="10" t="inlineStr">
        <is>
          <t>Dây PVC 1x2.5 mm2</t>
        </is>
      </c>
      <c r="C17" s="9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inlineStr">
        <is>
          <t>m</t>
        </is>
      </c>
      <c r="M17" s="11" t="n">
        <v>200</v>
      </c>
      <c r="N17" s="12" t="n"/>
      <c r="O17" s="12" t="n"/>
      <c r="P17" s="10" t="n"/>
    </row>
    <row r="18">
      <c r="A18" s="9" t="n"/>
      <c r="B18" s="10" t="inlineStr">
        <is>
          <t>Vật tư phụ</t>
        </is>
      </c>
      <c r="C18" s="9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inlineStr">
        <is>
          <t>Lô</t>
        </is>
      </c>
      <c r="M18" s="11" t="n">
        <v>1</v>
      </c>
      <c r="N18" s="12" t="n"/>
      <c r="O18" s="12" t="n"/>
      <c r="P18" s="10" t="n"/>
    </row>
    <row r="19">
      <c r="A19" s="8" t="n"/>
      <c r="B19" s="7" t="inlineStr">
        <is>
          <t>PHẦN CHUNG</t>
        </is>
      </c>
      <c r="C19" s="8" t="n"/>
      <c r="D19" s="8" t="n"/>
      <c r="E19" s="8" t="n"/>
      <c r="F19" s="8" t="n"/>
      <c r="G19" s="8" t="n"/>
      <c r="H19" s="8" t="n"/>
      <c r="I19" s="8" t="n"/>
      <c r="J19" s="8" t="n"/>
      <c r="K19" s="8" t="n"/>
      <c r="L19" s="8" t="n"/>
      <c r="M19" s="8" t="n"/>
      <c r="N19" s="8" t="n"/>
      <c r="O19" s="8" t="n"/>
      <c r="P19" s="8" t="n"/>
    </row>
    <row r="20">
      <c r="A20" s="8" t="n"/>
      <c r="B20" s="7" t="inlineStr">
        <is>
          <t>HỆ THỐNG ĐIỀU HOÀ PHÒNG AN NINH, PHÒNG TRỰC PCCC VÀ VP BAN QUẢN LÝ</t>
        </is>
      </c>
      <c r="C20" s="8" t="n"/>
      <c r="D20" s="8" t="n"/>
      <c r="E20" s="8" t="n"/>
      <c r="F20" s="8" t="n"/>
      <c r="G20" s="8" t="n"/>
      <c r="H20" s="8" t="n"/>
      <c r="I20" s="8" t="n"/>
      <c r="J20" s="8" t="n"/>
      <c r="K20" s="8" t="n"/>
      <c r="L20" s="8" t="n"/>
      <c r="M20" s="8" t="n"/>
      <c r="N20" s="8" t="n"/>
      <c r="O20" s="8" t="n"/>
      <c r="P20" s="8" t="n"/>
    </row>
    <row r="21">
      <c r="A21" s="9" t="n"/>
      <c r="B21" s="10" t="inlineStr">
        <is>
          <t>Điều hoà cục bộ, 1 chiều lạnh, công suất 2.5 Kw</t>
        </is>
      </c>
      <c r="C21" s="9" t="n"/>
      <c r="D21" s="9" t="n"/>
      <c r="E21" s="9" t="n"/>
      <c r="F21" s="9" t="n"/>
      <c r="G21" s="9" t="n"/>
      <c r="H21" s="9" t="n"/>
      <c r="I21" s="9" t="n"/>
      <c r="J21" s="9" t="n"/>
      <c r="K21" s="9" t="n"/>
      <c r="L21" s="9" t="inlineStr">
        <is>
          <t>Bộ</t>
        </is>
      </c>
      <c r="M21" s="11" t="n">
        <v>2</v>
      </c>
      <c r="N21" s="12" t="n"/>
      <c r="O21" s="12" t="n"/>
      <c r="P21" s="10" t="n"/>
    </row>
    <row r="22">
      <c r="A22" s="9" t="n"/>
      <c r="B22" s="10" t="inlineStr">
        <is>
          <t>Ống đồng D6.4, dày 0.8mm kèm bảo ôn</t>
        </is>
      </c>
      <c r="C22" s="9" t="n"/>
      <c r="D22" s="9" t="n"/>
      <c r="E22" s="9" t="n"/>
      <c r="F22" s="9" t="n"/>
      <c r="G22" s="9" t="n"/>
      <c r="H22" s="9" t="n"/>
      <c r="I22" s="9" t="n"/>
      <c r="J22" s="9" t="n"/>
      <c r="K22" s="9" t="n"/>
      <c r="L22" s="9" t="inlineStr">
        <is>
          <t>m</t>
        </is>
      </c>
      <c r="M22" s="11" t="n">
        <v>11</v>
      </c>
      <c r="N22" s="12" t="n"/>
      <c r="O22" s="12" t="n"/>
      <c r="P22" s="10" t="n"/>
    </row>
    <row r="23">
      <c r="A23" s="9" t="n"/>
      <c r="B23" s="10" t="inlineStr">
        <is>
          <t>Ống đồng D9.5, dày 0.8mm kèm bảo ôn</t>
        </is>
      </c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inlineStr">
        <is>
          <t>m</t>
        </is>
      </c>
      <c r="M23" s="11" t="n">
        <v>11</v>
      </c>
      <c r="N23" s="12" t="n"/>
      <c r="O23" s="12" t="n"/>
      <c r="P23" s="10" t="n"/>
    </row>
    <row r="24">
      <c r="A24" s="9" t="n"/>
      <c r="B24" s="10" t="inlineStr">
        <is>
          <t>Ống nước ngưng uPVC D21 kèm bảo ôn</t>
        </is>
      </c>
      <c r="C24" s="9" t="n"/>
      <c r="D24" s="9" t="n"/>
      <c r="E24" s="9" t="n"/>
      <c r="F24" s="9" t="n"/>
      <c r="G24" s="9" t="n"/>
      <c r="H24" s="9" t="n"/>
      <c r="I24" s="9" t="n"/>
      <c r="J24" s="9" t="n"/>
      <c r="K24" s="9" t="n"/>
      <c r="L24" s="9" t="inlineStr">
        <is>
          <t>m</t>
        </is>
      </c>
      <c r="M24" s="11" t="n">
        <v>20</v>
      </c>
      <c r="N24" s="12" t="n"/>
      <c r="O24" s="12" t="n"/>
      <c r="P24" s="10" t="n"/>
    </row>
    <row r="25">
      <c r="A25" s="9" t="n"/>
      <c r="B25" s="10" t="inlineStr">
        <is>
          <t>Dây link dàn nóng và dàn lạnh 4xCu/Pvc/Pvc 1x2.5mm2</t>
        </is>
      </c>
      <c r="C25" s="9" t="n"/>
      <c r="D25" s="9" t="n"/>
      <c r="E25" s="9" t="n"/>
      <c r="F25" s="9" t="n"/>
      <c r="G25" s="9" t="n"/>
      <c r="H25" s="9" t="n"/>
      <c r="I25" s="9" t="n"/>
      <c r="J25" s="9" t="n"/>
      <c r="K25" s="9" t="n"/>
      <c r="L25" s="9" t="inlineStr">
        <is>
          <t>m</t>
        </is>
      </c>
      <c r="M25" s="11" t="n">
        <v>12</v>
      </c>
      <c r="N25" s="12" t="n"/>
      <c r="O25" s="12" t="n"/>
      <c r="P25" s="10" t="n"/>
    </row>
    <row r="26">
      <c r="A26" s="9" t="n"/>
      <c r="B26" s="10" t="inlineStr">
        <is>
          <t>Giá treo cục nóng điều hoà</t>
        </is>
      </c>
      <c r="C26" s="9" t="n"/>
      <c r="D26" s="9" t="n"/>
      <c r="E26" s="9" t="n"/>
      <c r="F26" s="9" t="n"/>
      <c r="G26" s="9" t="n"/>
      <c r="H26" s="9" t="n"/>
      <c r="I26" s="9" t="n"/>
      <c r="J26" s="9" t="n"/>
      <c r="K26" s="9" t="n"/>
      <c r="L26" s="9" t="inlineStr">
        <is>
          <t>Bộ</t>
        </is>
      </c>
      <c r="M26" s="11" t="n">
        <v>2</v>
      </c>
      <c r="N26" s="12" t="n"/>
      <c r="O26" s="12" t="n"/>
      <c r="P26" s="10" t="n"/>
    </row>
    <row r="27">
      <c r="A27" s="9" t="n"/>
      <c r="B27" s="10" t="inlineStr">
        <is>
          <t>Vật tư phụ</t>
        </is>
      </c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inlineStr">
        <is>
          <t>Lô</t>
        </is>
      </c>
      <c r="M27" s="11" t="n">
        <v>1</v>
      </c>
      <c r="N27" s="12" t="n"/>
      <c r="O27" s="12" t="n"/>
      <c r="P27" s="10" t="n"/>
    </row>
    <row r="28">
      <c r="A28" s="8" t="n"/>
      <c r="B28" s="7" t="inlineStr">
        <is>
          <t>HỆ THỐNG HÚT MÙI WC, HÚT RÁC, TRỰC PCCC</t>
        </is>
      </c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</row>
    <row r="29">
      <c r="A29" s="6" t="n">
        <v>1</v>
      </c>
      <c r="B29" s="7" t="inlineStr">
        <is>
          <t>Thiết bị</t>
        </is>
      </c>
      <c r="C29" s="8" t="n"/>
      <c r="D29" s="8" t="n"/>
      <c r="E29" s="8" t="n"/>
      <c r="F29" s="8" t="n"/>
      <c r="G29" s="8" t="n"/>
      <c r="H29" s="8" t="n"/>
      <c r="I29" s="8" t="n"/>
      <c r="J29" s="8" t="n"/>
      <c r="K29" s="8" t="n"/>
      <c r="L29" s="8" t="n"/>
      <c r="M29" s="8" t="n"/>
      <c r="N29" s="8" t="n"/>
      <c r="O29" s="8" t="n"/>
      <c r="P29" s="8" t="n"/>
    </row>
    <row r="30">
      <c r="A30" s="9" t="n"/>
      <c r="B30" s="10" t="inlineStr">
        <is>
          <t>Quạt hút vệ sinh: - Quạt gắn trần
Lưu lượng: 150 m3/h - Cột áp: 50 Pa</t>
        </is>
      </c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inlineStr">
        <is>
          <t>Bộ</t>
        </is>
      </c>
      <c r="M30" s="11" t="n">
        <v>4</v>
      </c>
      <c r="N30" s="12" t="n"/>
      <c r="O30" s="12" t="n"/>
      <c r="P30" s="10" t="n"/>
    </row>
    <row r="31">
      <c r="A31" s="9" t="n"/>
      <c r="B31" s="10" t="inlineStr">
        <is>
          <t>Quạt hút vệ sinh: - Quạt gắn trần
Lưu lượng: 250 m3/h - Cột áp: 50 Pa</t>
        </is>
      </c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inlineStr">
        <is>
          <t>Bộ</t>
        </is>
      </c>
      <c r="M31" s="11" t="n">
        <v>1</v>
      </c>
      <c r="N31" s="12" t="n"/>
      <c r="O31" s="12" t="n"/>
      <c r="P31" s="10" t="n"/>
    </row>
    <row r="32">
      <c r="A32" s="9" t="n"/>
      <c r="B32" s="10" t="inlineStr">
        <is>
          <t>Quạt hút rác: - Quạt hướng trục -
Lưu lượng: 3100 m3/h - Cột áp: 200 Pa</t>
        </is>
      </c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inlineStr">
        <is>
          <t>Bộ</t>
        </is>
      </c>
      <c r="M32" s="11" t="n">
        <v>2</v>
      </c>
      <c r="N32" s="12" t="n"/>
      <c r="O32" s="12" t="n"/>
      <c r="P32" s="10" t="n"/>
    </row>
    <row r="33">
      <c r="A33" s="9" t="n">
        <v>2</v>
      </c>
      <c r="B33" s="10" t="inlineStr">
        <is>
          <t>Bạt mềm đầu quạt</t>
        </is>
      </c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inlineStr">
        <is>
          <t>Bộ</t>
        </is>
      </c>
      <c r="M33" s="11" t="n">
        <v>2</v>
      </c>
      <c r="N33" s="12" t="n"/>
      <c r="O33" s="12" t="n"/>
      <c r="P33" s="10" t="n"/>
    </row>
    <row r="34">
      <c r="A34" s="6" t="n">
        <v>3</v>
      </c>
      <c r="B34" s="7" t="inlineStr">
        <is>
          <t>Ống gió</t>
        </is>
      </c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</row>
    <row r="35">
      <c r="A35" s="9" t="n"/>
      <c r="B35" s="10" t="inlineStr">
        <is>
          <t>D100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inlineStr">
        <is>
          <t>m</t>
        </is>
      </c>
      <c r="M35" s="11" t="n">
        <v>14</v>
      </c>
      <c r="N35" s="12" t="n"/>
      <c r="O35" s="12" t="n"/>
      <c r="P35" s="10" t="n"/>
    </row>
    <row r="36">
      <c r="A36" s="9" t="n"/>
      <c r="B36" s="10" t="inlineStr">
        <is>
          <t>D150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inlineStr">
        <is>
          <t>m</t>
        </is>
      </c>
      <c r="M36" s="11" t="n">
        <v>3</v>
      </c>
      <c r="N36" s="12" t="n"/>
      <c r="O36" s="12" t="n"/>
      <c r="P36" s="10" t="n"/>
    </row>
    <row r="37">
      <c r="A37" s="9" t="n"/>
      <c r="B37" s="10" t="inlineStr">
        <is>
          <t>300x300</t>
        </is>
      </c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inlineStr">
        <is>
          <t>m</t>
        </is>
      </c>
      <c r="M37" s="11" t="n">
        <v>29</v>
      </c>
      <c r="N37" s="12" t="n"/>
      <c r="O37" s="12" t="n"/>
      <c r="P37" s="10" t="n"/>
    </row>
    <row r="38">
      <c r="A38" s="9" t="n"/>
      <c r="B38" s="10" t="inlineStr">
        <is>
          <t>400x300</t>
        </is>
      </c>
      <c r="C38" s="9" t="n"/>
      <c r="D38" s="9" t="n"/>
      <c r="E38" s="9" t="n"/>
      <c r="F38" s="9" t="n"/>
      <c r="G38" s="9" t="n"/>
      <c r="H38" s="9" t="n"/>
      <c r="I38" s="9" t="n"/>
      <c r="J38" s="9" t="n"/>
      <c r="K38" s="9" t="n"/>
      <c r="L38" s="9" t="inlineStr">
        <is>
          <t>m</t>
        </is>
      </c>
      <c r="M38" s="11" t="n">
        <v>41</v>
      </c>
      <c r="N38" s="12" t="n"/>
      <c r="O38" s="12" t="n"/>
      <c r="P38" s="10" t="n"/>
    </row>
    <row r="39">
      <c r="A39" s="9" t="n">
        <v>4</v>
      </c>
      <c r="B39" s="10" t="inlineStr">
        <is>
          <t>Phụ kiện ống gió</t>
        </is>
      </c>
      <c r="C39" s="9" t="n"/>
      <c r="D39" s="9" t="n"/>
      <c r="E39" s="9" t="n"/>
      <c r="F39" s="9" t="n"/>
      <c r="G39" s="9" t="n"/>
      <c r="H39" s="9" t="n"/>
      <c r="I39" s="9" t="n"/>
      <c r="J39" s="9" t="n"/>
      <c r="K39" s="9" t="n"/>
      <c r="L39" s="9" t="inlineStr">
        <is>
          <t>Lô</t>
        </is>
      </c>
      <c r="M39" s="11" t="n">
        <v>1</v>
      </c>
      <c r="N39" s="12" t="n"/>
      <c r="O39" s="12" t="n"/>
      <c r="P39" s="10" t="n"/>
    </row>
    <row r="40">
      <c r="A40" s="6" t="n">
        <v>5</v>
      </c>
      <c r="B40" s="7" t="inlineStr">
        <is>
          <t>Cửa gió</t>
        </is>
      </c>
      <c r="C40" s="8" t="n"/>
      <c r="D40" s="8" t="n"/>
      <c r="E40" s="8" t="n"/>
      <c r="F40" s="8" t="n"/>
      <c r="G40" s="8" t="n"/>
      <c r="H40" s="8" t="n"/>
      <c r="I40" s="8" t="n"/>
      <c r="J40" s="8" t="n"/>
      <c r="K40" s="8" t="n"/>
      <c r="L40" s="8" t="n"/>
      <c r="M40" s="8" t="n"/>
      <c r="N40" s="8" t="n"/>
      <c r="O40" s="8" t="n"/>
      <c r="P40" s="8" t="n"/>
    </row>
    <row r="41">
      <c r="A41" s="9" t="n"/>
      <c r="B41" s="10" t="inlineStr">
        <is>
          <t>Cửa gió nan thẳng kèm van gió OBD &amp; hộp gió, 200x200</t>
        </is>
      </c>
      <c r="C41" s="9" t="inlineStr">
        <is>
          <t>SDG+O</t>
        </is>
      </c>
      <c r="D41" s="9" t="inlineStr">
        <is>
          <t>SWIND</t>
        </is>
      </c>
      <c r="E41" s="9" t="n">
        <v>200</v>
      </c>
      <c r="F41" s="9" t="n">
        <v>200</v>
      </c>
      <c r="G41" s="9" t="n">
        <v>150</v>
      </c>
      <c r="H41" s="9" t="n">
        <v>150</v>
      </c>
      <c r="I41" s="9" t="n"/>
      <c r="J41" s="9" t="n"/>
      <c r="K41" s="9" t="n"/>
      <c r="L41" s="9" t="inlineStr">
        <is>
          <t>Bộ</t>
        </is>
      </c>
      <c r="M41" s="11" t="n">
        <v>36</v>
      </c>
      <c r="N41" s="11" t="n">
        <v>92000</v>
      </c>
      <c r="O41" s="11">
        <f>ROUNDUP(N41*M41, -2)</f>
        <v/>
      </c>
      <c r="P41" s="10" t="inlineStr">
        <is>
          <t>Cửa nan bầu dục 1 lớp kèm van OBD. Không tính box do nhà thầu tự thi công</t>
        </is>
      </c>
    </row>
    <row r="42">
      <c r="A42" s="9" t="n"/>
      <c r="B42" s="10" t="inlineStr">
        <is>
          <t>Cửa gió nan Z kèm lưới chắn côn trùng &amp; hộp gió, 500x200</t>
        </is>
      </c>
      <c r="C42" s="9" t="inlineStr">
        <is>
          <t>WL+N</t>
        </is>
      </c>
      <c r="D42" s="9" t="inlineStr">
        <is>
          <t>SWIND</t>
        </is>
      </c>
      <c r="E42" s="9" t="n">
        <v>500</v>
      </c>
      <c r="F42" s="9" t="n">
        <v>200</v>
      </c>
      <c r="G42" s="9" t="n">
        <v>450</v>
      </c>
      <c r="H42" s="9" t="n">
        <v>150</v>
      </c>
      <c r="I42" s="9" t="n"/>
      <c r="J42" s="9" t="n"/>
      <c r="K42" s="9" t="n"/>
      <c r="L42" s="9" t="inlineStr">
        <is>
          <t>Bộ</t>
        </is>
      </c>
      <c r="M42" s="11" t="n">
        <v>2</v>
      </c>
      <c r="N42" s="11" t="n">
        <v>158000</v>
      </c>
      <c r="O42" s="11">
        <f>ROUNDUP(N42*M42, -2)</f>
        <v/>
      </c>
      <c r="P42" s="10" t="inlineStr">
        <is>
          <t>Louver nan Z ngoài trời kèm lưới chắn côn trùng Inox 304. Không tính box do nhà thầu tự thi công</t>
        </is>
      </c>
    </row>
    <row r="43">
      <c r="A43" s="6" t="n">
        <v>6</v>
      </c>
      <c r="B43" s="7" t="inlineStr">
        <is>
          <t>Van gió</t>
        </is>
      </c>
      <c r="C43" s="8" t="n"/>
      <c r="D43" s="8" t="n"/>
      <c r="E43" s="8" t="n"/>
      <c r="F43" s="8" t="n"/>
      <c r="G43" s="8" t="n"/>
      <c r="H43" s="8" t="n"/>
      <c r="I43" s="8" t="n"/>
      <c r="J43" s="8" t="n"/>
      <c r="K43" s="8" t="n"/>
      <c r="L43" s="8" t="n"/>
      <c r="M43" s="8" t="n"/>
      <c r="N43" s="8" t="n"/>
      <c r="O43" s="8" t="n"/>
      <c r="P43" s="8" t="n"/>
    </row>
    <row r="44">
      <c r="A44" s="9" t="n"/>
      <c r="B44" s="10" t="inlineStr">
        <is>
          <t>Van chặn lửa, FD 200x200</t>
        </is>
      </c>
      <c r="C44" s="9" t="inlineStr">
        <is>
          <t>SWIND-2.01- E-FD-EI120</t>
        </is>
      </c>
      <c r="D44" s="9" t="inlineStr">
        <is>
          <t>SWIND</t>
        </is>
      </c>
      <c r="E44" s="9" t="n">
        <v>200</v>
      </c>
      <c r="F44" s="9" t="n">
        <v>200</v>
      </c>
      <c r="G44" s="9" t="n"/>
      <c r="H44" s="9" t="n"/>
      <c r="I44" s="9" t="n"/>
      <c r="J44" s="9" t="n">
        <v>200</v>
      </c>
      <c r="K44" s="13" t="n">
        <v>1.15</v>
      </c>
      <c r="L44" s="9" t="inlineStr">
        <is>
          <t>Bộ</t>
        </is>
      </c>
      <c r="M44" s="11" t="n">
        <v>36</v>
      </c>
      <c r="N44" s="11" t="n">
        <v>1035880</v>
      </c>
      <c r="O44" s="11">
        <f>ROUNDUP(N44*M44, -2)</f>
        <v/>
      </c>
      <c r="P44" s="10" t="inlineStr">
        <is>
          <t>- Van chặn lửa cầu chì - Tiêu chuẩn EI 120
- 2 đầu bích TDC - gắn cầu chì 70-74 độ C
- Sản xuất theo BCTN số: 4761/VLXD-TBMT</t>
        </is>
      </c>
    </row>
    <row r="45">
      <c r="A45" s="6" t="n">
        <v>7</v>
      </c>
      <c r="B45" s="7" t="inlineStr">
        <is>
          <t>Ống gió mềm</t>
        </is>
      </c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n"/>
      <c r="B46" s="10" t="inlineStr">
        <is>
          <t>Ống gió mềm không bảo ôn D100</t>
        </is>
      </c>
      <c r="C46" s="9" t="n"/>
      <c r="D46" s="9" t="n"/>
      <c r="E46" s="9" t="n"/>
      <c r="F46" s="9" t="n"/>
      <c r="G46" s="9" t="n"/>
      <c r="H46" s="9" t="n"/>
      <c r="I46" s="9" t="n"/>
      <c r="J46" s="9" t="n"/>
      <c r="K46" s="9" t="n"/>
      <c r="L46" s="9" t="inlineStr">
        <is>
          <t>m</t>
        </is>
      </c>
      <c r="M46" s="11" t="n">
        <v>7</v>
      </c>
      <c r="N46" s="12" t="n"/>
      <c r="O46" s="12" t="n"/>
      <c r="P46" s="10" t="n"/>
    </row>
    <row r="47">
      <c r="A47" s="9" t="n"/>
      <c r="B47" s="10" t="inlineStr">
        <is>
          <t>Ống gió mềm không bảo ôn D150</t>
        </is>
      </c>
      <c r="C47" s="9" t="n"/>
      <c r="D47" s="9" t="n"/>
      <c r="E47" s="9" t="n"/>
      <c r="F47" s="9" t="n"/>
      <c r="G47" s="9" t="n"/>
      <c r="H47" s="9" t="n"/>
      <c r="I47" s="9" t="n"/>
      <c r="J47" s="9" t="n"/>
      <c r="K47" s="9" t="n"/>
      <c r="L47" s="9" t="inlineStr">
        <is>
          <t>m</t>
        </is>
      </c>
      <c r="M47" s="11" t="n">
        <v>2</v>
      </c>
      <c r="N47" s="12" t="n"/>
      <c r="O47" s="12" t="n"/>
      <c r="P47" s="10" t="n"/>
    </row>
    <row r="48">
      <c r="A48" s="9" t="n">
        <v>8</v>
      </c>
      <c r="B48" s="10" t="inlineStr">
        <is>
          <t>Bệ đỡ quạt trục</t>
        </is>
      </c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inlineStr">
        <is>
          <t>Bộ</t>
        </is>
      </c>
      <c r="M48" s="11" t="n">
        <v>2</v>
      </c>
      <c r="N48" s="12" t="n"/>
      <c r="O48" s="12" t="n"/>
      <c r="P48" s="10" t="n"/>
    </row>
    <row r="49">
      <c r="A49" s="9" t="n">
        <v>9</v>
      </c>
      <c r="B49" s="10" t="inlineStr">
        <is>
          <t>Giá đỡ ống gió</t>
        </is>
      </c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inlineStr">
        <is>
          <t>Lô</t>
        </is>
      </c>
      <c r="M49" s="11" t="n">
        <v>1</v>
      </c>
      <c r="N49" s="12" t="n"/>
      <c r="O49" s="12" t="n"/>
      <c r="P49" s="10" t="n"/>
    </row>
    <row r="50">
      <c r="A50" s="9" t="n">
        <v>10</v>
      </c>
      <c r="B50" s="10" t="inlineStr">
        <is>
          <t>Vật tư phụ</t>
        </is>
      </c>
      <c r="C50" s="9" t="n"/>
      <c r="D50" s="9" t="n"/>
      <c r="E50" s="9" t="n"/>
      <c r="F50" s="9" t="n"/>
      <c r="G50" s="9" t="n"/>
      <c r="H50" s="9" t="n"/>
      <c r="I50" s="9" t="n"/>
      <c r="J50" s="9" t="n"/>
      <c r="K50" s="9" t="n"/>
      <c r="L50" s="9" t="inlineStr">
        <is>
          <t>Lô</t>
        </is>
      </c>
      <c r="M50" s="11" t="n">
        <v>1</v>
      </c>
      <c r="N50" s="12" t="n"/>
      <c r="O50" s="12" t="n"/>
      <c r="P50" s="10" t="n"/>
    </row>
    <row r="51">
      <c r="A51" s="8" t="n"/>
      <c r="B51" s="7" t="inlineStr">
        <is>
          <t>HỆ THỐNG HÚT PHÒNG KỸ THUẬT ĐIỆN</t>
        </is>
      </c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</row>
    <row r="52">
      <c r="A52" s="6" t="n">
        <v>1</v>
      </c>
      <c r="B52" s="7" t="inlineStr">
        <is>
          <t>Thiết bị</t>
        </is>
      </c>
      <c r="C52" s="8" t="n"/>
      <c r="D52" s="8" t="n"/>
      <c r="E52" s="8" t="n"/>
      <c r="F52" s="8" t="n"/>
      <c r="G52" s="8" t="n"/>
      <c r="H52" s="8" t="n"/>
      <c r="I52" s="8" t="n"/>
      <c r="J52" s="8" t="n"/>
      <c r="K52" s="8" t="n"/>
      <c r="L52" s="8" t="n"/>
      <c r="M52" s="8" t="n"/>
      <c r="N52" s="8" t="n"/>
      <c r="O52" s="8" t="n"/>
      <c r="P52" s="8" t="n"/>
    </row>
    <row r="53">
      <c r="A53" s="9" t="n"/>
      <c r="B53" s="10" t="inlineStr">
        <is>
          <t>Quạt hút : - Quạt hướng trục -
Lưu lượng: 1500 m3/h - Cột áp: 200 Pa</t>
        </is>
      </c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inlineStr">
        <is>
          <t>Bộ</t>
        </is>
      </c>
      <c r="M53" s="11" t="n">
        <v>2</v>
      </c>
      <c r="N53" s="12" t="n"/>
      <c r="O53" s="12" t="n"/>
      <c r="P53" s="10" t="n"/>
    </row>
    <row r="54">
      <c r="A54" s="9" t="n">
        <v>2</v>
      </c>
      <c r="B54" s="10" t="inlineStr">
        <is>
          <t>Bạt mềm đầu quạt</t>
        </is>
      </c>
      <c r="C54" s="9" t="n"/>
      <c r="D54" s="9" t="n"/>
      <c r="E54" s="9" t="n"/>
      <c r="F54" s="9" t="n"/>
      <c r="G54" s="9" t="n"/>
      <c r="H54" s="9" t="n"/>
      <c r="I54" s="9" t="n"/>
      <c r="J54" s="9" t="n"/>
      <c r="K54" s="9" t="n"/>
      <c r="L54" s="9" t="inlineStr">
        <is>
          <t>Bộ</t>
        </is>
      </c>
      <c r="M54" s="11" t="n">
        <v>2</v>
      </c>
      <c r="N54" s="12" t="n"/>
      <c r="O54" s="12" t="n"/>
      <c r="P54" s="10" t="n"/>
    </row>
    <row r="55">
      <c r="A55" s="6" t="n">
        <v>3</v>
      </c>
      <c r="B55" s="7" t="inlineStr">
        <is>
          <t>Ống gió</t>
        </is>
      </c>
      <c r="C55" s="8" t="n"/>
      <c r="D55" s="8" t="n"/>
      <c r="E55" s="8" t="n"/>
      <c r="F55" s="8" t="n"/>
      <c r="G55" s="8" t="n"/>
      <c r="H55" s="8" t="n"/>
      <c r="I55" s="8" t="n"/>
      <c r="J55" s="8" t="n"/>
      <c r="K55" s="8" t="n"/>
      <c r="L55" s="8" t="n"/>
      <c r="M55" s="8" t="n"/>
      <c r="N55" s="8" t="n"/>
      <c r="O55" s="8" t="n"/>
      <c r="P55" s="8" t="n"/>
    </row>
    <row r="56">
      <c r="A56" s="9" t="n"/>
      <c r="B56" s="10" t="inlineStr">
        <is>
          <t>150X150</t>
        </is>
      </c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inlineStr">
        <is>
          <t>m</t>
        </is>
      </c>
      <c r="M56" s="11" t="n">
        <v>62</v>
      </c>
      <c r="N56" s="12" t="n"/>
      <c r="O56" s="12" t="n"/>
      <c r="P56" s="10" t="n"/>
    </row>
    <row r="57">
      <c r="A57" s="9" t="n"/>
      <c r="B57" s="10" t="inlineStr">
        <is>
          <t>250X200</t>
        </is>
      </c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inlineStr">
        <is>
          <t>m</t>
        </is>
      </c>
      <c r="M57" s="11" t="n">
        <v>29</v>
      </c>
      <c r="N57" s="12" t="n"/>
      <c r="O57" s="12" t="n"/>
      <c r="P57" s="10" t="n"/>
    </row>
    <row r="58">
      <c r="A58" s="9" t="n"/>
      <c r="B58" s="10" t="inlineStr">
        <is>
          <t>350X200</t>
        </is>
      </c>
      <c r="C58" s="9" t="n"/>
      <c r="D58" s="9" t="n"/>
      <c r="E58" s="9" t="n"/>
      <c r="F58" s="9" t="n"/>
      <c r="G58" s="9" t="n"/>
      <c r="H58" s="9" t="n"/>
      <c r="I58" s="9" t="n"/>
      <c r="J58" s="9" t="n"/>
      <c r="K58" s="9" t="n"/>
      <c r="L58" s="9" t="inlineStr">
        <is>
          <t>m</t>
        </is>
      </c>
      <c r="M58" s="11" t="n">
        <v>41</v>
      </c>
      <c r="N58" s="12" t="n"/>
      <c r="O58" s="12" t="n"/>
      <c r="P58" s="10" t="n"/>
    </row>
    <row r="59">
      <c r="A59" s="9" t="n">
        <v>4</v>
      </c>
      <c r="B59" s="10" t="inlineStr">
        <is>
          <t>Phụ kiện ống gió</t>
        </is>
      </c>
      <c r="C59" s="9" t="n"/>
      <c r="D59" s="9" t="n"/>
      <c r="E59" s="9" t="n"/>
      <c r="F59" s="9" t="n"/>
      <c r="G59" s="9" t="n"/>
      <c r="H59" s="9" t="n"/>
      <c r="I59" s="9" t="n"/>
      <c r="J59" s="9" t="n"/>
      <c r="K59" s="9" t="n"/>
      <c r="L59" s="9" t="inlineStr">
        <is>
          <t>Lô</t>
        </is>
      </c>
      <c r="M59" s="11" t="n">
        <v>1</v>
      </c>
      <c r="N59" s="12" t="n"/>
      <c r="O59" s="12" t="n"/>
      <c r="P59" s="10" t="n"/>
    </row>
    <row r="60">
      <c r="A60" s="6" t="n">
        <v>5</v>
      </c>
      <c r="B60" s="7" t="inlineStr">
        <is>
          <t>Cửa gió</t>
        </is>
      </c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</row>
    <row r="61">
      <c r="A61" s="9" t="n"/>
      <c r="B61" s="10" t="inlineStr">
        <is>
          <t>Cửa gió nan thẳng kèm van gió OBD &amp; hộp gió, 200x200</t>
        </is>
      </c>
      <c r="C61" s="9" t="inlineStr">
        <is>
          <t>SDG+O</t>
        </is>
      </c>
      <c r="D61" s="9" t="inlineStr">
        <is>
          <t>SWIND</t>
        </is>
      </c>
      <c r="E61" s="9" t="n">
        <v>200</v>
      </c>
      <c r="F61" s="9" t="n">
        <v>200</v>
      </c>
      <c r="G61" s="9" t="n">
        <v>150</v>
      </c>
      <c r="H61" s="9" t="n">
        <v>150</v>
      </c>
      <c r="I61" s="9" t="n"/>
      <c r="J61" s="9" t="n"/>
      <c r="K61" s="9" t="n"/>
      <c r="L61" s="9" t="inlineStr">
        <is>
          <t>Bộ</t>
        </is>
      </c>
      <c r="M61" s="11" t="n">
        <v>18</v>
      </c>
      <c r="N61" s="11" t="n">
        <v>92000</v>
      </c>
      <c r="O61" s="11">
        <f>ROUNDUP(N61*M61, -2)</f>
        <v/>
      </c>
      <c r="P61" s="10" t="inlineStr">
        <is>
          <t>Cửa nan bầu dục 1 lớp kèm van OBD. Không tính box do nhà thầu tự thi công</t>
        </is>
      </c>
    </row>
    <row r="62">
      <c r="A62" s="6" t="n">
        <v>6</v>
      </c>
      <c r="B62" s="7" t="inlineStr">
        <is>
          <t>Van gió</t>
        </is>
      </c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</row>
    <row r="63">
      <c r="A63" s="9" t="n"/>
      <c r="B63" s="10" t="inlineStr">
        <is>
          <t>Van chặn lửa, FD 150x150</t>
        </is>
      </c>
      <c r="C63" s="9" t="inlineStr">
        <is>
          <t>SWIND-2.01- E-FD-EI120</t>
        </is>
      </c>
      <c r="D63" s="9" t="inlineStr">
        <is>
          <t>SWIND</t>
        </is>
      </c>
      <c r="E63" s="9" t="n">
        <v>150</v>
      </c>
      <c r="F63" s="9" t="n">
        <v>150</v>
      </c>
      <c r="G63" s="9" t="n"/>
      <c r="H63" s="9" t="n"/>
      <c r="I63" s="9" t="n"/>
      <c r="J63" s="9" t="n">
        <v>200</v>
      </c>
      <c r="K63" s="13" t="n">
        <v>1.15</v>
      </c>
      <c r="L63" s="9" t="inlineStr">
        <is>
          <t>Bộ</t>
        </is>
      </c>
      <c r="M63" s="11" t="n">
        <v>18</v>
      </c>
      <c r="N63" s="11" t="n">
        <v>833698</v>
      </c>
      <c r="O63" s="11">
        <f>ROUNDUP(N63*M63, -2)</f>
        <v/>
      </c>
      <c r="P63" s="10" t="inlineStr">
        <is>
          <t>- Van chặn lửa cầu chì - Tiêu chuẩn EI 120
- 2 đầu bích TDC - gắn cầu chì 70-74 độ C
- Sản xuất theo BCTN số: 4761/VLXD-TBMT</t>
        </is>
      </c>
    </row>
    <row r="64">
      <c r="A64" s="9" t="n"/>
      <c r="B64" s="10" t="inlineStr">
        <is>
          <t>Van chặn lửa, MFD 150x150</t>
        </is>
      </c>
      <c r="C64" s="9" t="inlineStr">
        <is>
          <t>SWIND-1.02-MFD-EI90</t>
        </is>
      </c>
      <c r="D64" s="9" t="inlineStr">
        <is>
          <t>SWIND</t>
        </is>
      </c>
      <c r="E64" s="9" t="n">
        <v>150</v>
      </c>
      <c r="F64" s="9" t="n">
        <v>150</v>
      </c>
      <c r="G64" s="9" t="n"/>
      <c r="H64" s="9" t="n"/>
      <c r="I64" s="9" t="n"/>
      <c r="J64" s="9" t="n">
        <v>200</v>
      </c>
      <c r="K64" s="13" t="n">
        <v>1.15</v>
      </c>
      <c r="L64" s="9" t="inlineStr">
        <is>
          <t>Bộ</t>
        </is>
      </c>
      <c r="M64" s="11" t="n">
        <v>18</v>
      </c>
      <c r="N64" s="11" t="n">
        <v>4533698</v>
      </c>
      <c r="O64" s="11">
        <f>ROUNDUP(N64*M64, -2)</f>
        <v/>
      </c>
      <c r="P64" s="10" t="inlineStr">
        <is>
          <t>- Van chống cháy động cơ - Tiêu chuẩn EI 90
- 2 đầu bích TDC - Gắn kèm động cơ ON-OFF 3.5Nm, 24V (Type: đóng mở nhanh) BELIMO - Model: FSLF24V US
- Sản xuất theo BCTN số 4752/VLXD-TBMT</t>
        </is>
      </c>
    </row>
    <row r="65">
      <c r="A65" s="9" t="n">
        <v>7</v>
      </c>
      <c r="B65" s="10" t="inlineStr">
        <is>
          <t>Bệ đỡ quạt trục</t>
        </is>
      </c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inlineStr">
        <is>
          <t>Bộ</t>
        </is>
      </c>
      <c r="M65" s="11" t="n">
        <v>2</v>
      </c>
      <c r="N65" s="12" t="n"/>
      <c r="O65" s="12" t="n"/>
      <c r="P65" s="10" t="n"/>
    </row>
    <row r="66">
      <c r="A66" s="9" t="n">
        <v>8</v>
      </c>
      <c r="B66" s="10" t="inlineStr">
        <is>
          <t>Giá đỡ ống gió</t>
        </is>
      </c>
      <c r="C66" s="9" t="n"/>
      <c r="D66" s="9" t="n"/>
      <c r="E66" s="9" t="n"/>
      <c r="F66" s="9" t="n"/>
      <c r="G66" s="9" t="n"/>
      <c r="H66" s="9" t="n"/>
      <c r="I66" s="9" t="n"/>
      <c r="J66" s="9" t="n"/>
      <c r="K66" s="9" t="n"/>
      <c r="L66" s="9" t="inlineStr">
        <is>
          <t>Lô</t>
        </is>
      </c>
      <c r="M66" s="11" t="n">
        <v>1</v>
      </c>
      <c r="N66" s="12" t="n"/>
      <c r="O66" s="12" t="n"/>
      <c r="P66" s="10" t="n"/>
    </row>
    <row r="67">
      <c r="A67" s="9" t="n">
        <v>9</v>
      </c>
      <c r="B67" s="10" t="inlineStr">
        <is>
          <t>Vật tư phụ</t>
        </is>
      </c>
      <c r="C67" s="9" t="n"/>
      <c r="D67" s="9" t="n"/>
      <c r="E67" s="9" t="n"/>
      <c r="F67" s="9" t="n"/>
      <c r="G67" s="9" t="n"/>
      <c r="H67" s="9" t="n"/>
      <c r="I67" s="9" t="n"/>
      <c r="J67" s="9" t="n"/>
      <c r="K67" s="9" t="n"/>
      <c r="L67" s="9" t="inlineStr">
        <is>
          <t>Lô</t>
        </is>
      </c>
      <c r="M67" s="11" t="n">
        <v>1</v>
      </c>
      <c r="N67" s="12" t="n"/>
      <c r="O67" s="12" t="n"/>
      <c r="P67" s="10" t="n"/>
    </row>
    <row r="68">
      <c r="A68" s="9" t="n"/>
      <c r="B68" s="10" t="inlineStr">
        <is>
          <t>CHI PHÍ CHẠY KIỂM TRA VÀ CHẠY THỬ HỆ THỐNG</t>
        </is>
      </c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inlineStr">
        <is>
          <t>LÔ</t>
        </is>
      </c>
      <c r="M68" s="11" t="n">
        <v>1</v>
      </c>
      <c r="N68" s="12" t="n"/>
      <c r="O68" s="12" t="n"/>
      <c r="P68" s="10" t="n"/>
    </row>
    <row r="69"/>
    <row r="70">
      <c r="B70" s="14" t="inlineStr">
        <is>
          <t>TỔNG CỘNG (CHƯA BAO GỒM VAT):</t>
        </is>
      </c>
      <c r="O70" s="15">
        <f>SUBTOTAL(9,O14:O68)</f>
        <v/>
      </c>
    </row>
    <row r="71">
      <c r="B71" s="14" t="inlineStr">
        <is>
          <t>THUẾ GTGT (VAT 8%):</t>
        </is>
      </c>
      <c r="O71" s="15">
        <f>ROUND(O70*0.08, 0)</f>
        <v/>
      </c>
    </row>
    <row r="72">
      <c r="B72" s="14" t="inlineStr">
        <is>
          <t>TỔNG CỘNG THANH TOÁN (ĐÃ GỒM VAT 8%):</t>
        </is>
      </c>
      <c r="O72" s="15">
        <f>O70+O71</f>
        <v/>
      </c>
    </row>
  </sheetData>
  <mergeCells count="25">
    <mergeCell ref="C3:P3"/>
    <mergeCell ref="A7:L7"/>
    <mergeCell ref="C11:C13"/>
    <mergeCell ref="O11:O13"/>
    <mergeCell ref="C5:P5"/>
    <mergeCell ref="C4:P4"/>
    <mergeCell ref="L11:L13"/>
    <mergeCell ref="A8:L8"/>
    <mergeCell ref="N11:N13"/>
    <mergeCell ref="E13:F13"/>
    <mergeCell ref="G13:H13"/>
    <mergeCell ref="I11:I13"/>
    <mergeCell ref="K11:K13"/>
    <mergeCell ref="C2:P2"/>
    <mergeCell ref="A6:P6"/>
    <mergeCell ref="A11:A13"/>
    <mergeCell ref="B11:B13"/>
    <mergeCell ref="M11:M13"/>
    <mergeCell ref="A9:L9"/>
    <mergeCell ref="C10:L10"/>
    <mergeCell ref="A10:B10"/>
    <mergeCell ref="D11:D13"/>
    <mergeCell ref="J11:J13"/>
    <mergeCell ref="P11:P13"/>
    <mergeCell ref="E11:H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Swind Multi-Agent AI</dc:creator>
  <dcterms:created xsi:type="dcterms:W3CDTF">2026-10-19T09:48:38Z</dcterms:created>
  <dcterms:modified xsi:type="dcterms:W3CDTF">2026-10-19T09:48:40Z</dcterms:modified>
  <cp:lastModifiedBy>Swind Multi-Agent AI</cp:lastModifiedBy>
</cp:coreProperties>
</file>
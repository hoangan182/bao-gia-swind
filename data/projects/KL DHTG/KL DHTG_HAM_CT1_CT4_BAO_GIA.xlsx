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6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3" t="n"/>
      <c r="G11" s="23" t="n"/>
      <c r="H11" s="24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5" t="n"/>
      <c r="B12" s="25" t="n"/>
      <c r="C12" s="25" t="n"/>
      <c r="D12" s="2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5" t="n"/>
      <c r="J12" s="25" t="n"/>
      <c r="K12" s="25" t="n"/>
      <c r="L12" s="25" t="n"/>
      <c r="M12" s="25" t="n"/>
      <c r="N12" s="25" t="n"/>
      <c r="O12" s="25" t="n"/>
      <c r="P12" s="25" t="n"/>
    </row>
    <row r="13" ht="20" customHeight="1">
      <c r="A13" s="26" t="n"/>
      <c r="B13" s="26" t="n"/>
      <c r="C13" s="26" t="n"/>
      <c r="D13" s="26" t="n"/>
      <c r="E13" s="5" t="inlineStr">
        <is>
          <t>Face size</t>
        </is>
      </c>
      <c r="F13" s="24" t="n"/>
      <c r="G13" s="5" t="inlineStr">
        <is>
          <t>Neck size</t>
        </is>
      </c>
      <c r="H13" s="24" t="n"/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>
      <c r="A14" s="6" t="n"/>
      <c r="B14" s="7" t="inlineStr">
        <is>
          <t>THÔNG GIÓ SỰ CỐ (TĂNG ÁP, HÚT KHÓI …)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HỆ THỐNG TĂNG ÁP THANG BỘ TẦNG HẦM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8" t="n">
        <v>1</v>
      </c>
      <c r="B16" s="7" t="inlineStr">
        <is>
          <t>Thiết bị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9" t="n"/>
      <c r="B17" s="10" t="inlineStr">
        <is>
          <t>Quạt trục
Lưu lượng: 31000 m3/h
Cột áp: 600 Pa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inlineStr">
        <is>
          <t>Bộ</t>
        </is>
      </c>
      <c r="M17" s="11" t="n">
        <v>1</v>
      </c>
      <c r="N17" s="12" t="n"/>
      <c r="O17" s="12" t="n"/>
      <c r="P17" s="10" t="n"/>
    </row>
    <row r="18">
      <c r="A18" s="9" t="n"/>
      <c r="B18" s="10" t="inlineStr">
        <is>
          <t>Quạt trục
Lưu lượng: 30500 m3/h
Cột áp: 600 Pa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Bộ</t>
        </is>
      </c>
      <c r="M18" s="11" t="n">
        <v>1</v>
      </c>
      <c r="N18" s="12" t="n"/>
      <c r="O18" s="12" t="n"/>
      <c r="P18" s="10" t="n"/>
    </row>
    <row r="19">
      <c r="A19" s="9" t="n"/>
      <c r="B19" s="10" t="inlineStr">
        <is>
          <t>Quạt trục
Lưu lượng: 30000 m3/h
Cột áp: 600 Pa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inlineStr">
        <is>
          <t>Bộ</t>
        </is>
      </c>
      <c r="M19" s="11" t="n">
        <v>1</v>
      </c>
      <c r="N19" s="12" t="n"/>
      <c r="O19" s="12" t="n"/>
      <c r="P19" s="10" t="n"/>
    </row>
    <row r="20">
      <c r="A20" s="9" t="n"/>
      <c r="B20" s="10" t="inlineStr">
        <is>
          <t>Quạt trục
Lưu lượng: 29500 m3/h
Cột áp: 600 Pa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inlineStr">
        <is>
          <t>Bộ</t>
        </is>
      </c>
      <c r="M20" s="11" t="n">
        <v>1</v>
      </c>
      <c r="N20" s="12" t="n"/>
      <c r="O20" s="12" t="n"/>
      <c r="P20" s="10" t="n"/>
    </row>
    <row r="21">
      <c r="A21" s="8" t="n">
        <v>2</v>
      </c>
      <c r="B21" s="7" t="inlineStr">
        <is>
          <t>Bạt nối mềm đầu quạt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9" t="n"/>
      <c r="B22" s="10" t="inlineStr">
        <is>
          <t>Nối mềm đầu quạt, kích thước tạm tính D1000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Bộ</t>
        </is>
      </c>
      <c r="M22" s="11" t="n">
        <v>8</v>
      </c>
      <c r="N22" s="12" t="n"/>
      <c r="O22" s="12" t="n"/>
      <c r="P22" s="10" t="n"/>
    </row>
    <row r="23">
      <c r="A23" s="8" t="n">
        <v>3</v>
      </c>
      <c r="B23" s="7" t="inlineStr">
        <is>
          <t>Ống gió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9" t="n"/>
      <c r="B24" s="10" t="inlineStr">
        <is>
          <t>Ống gió kích thước 1600x450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inlineStr">
        <is>
          <t>m</t>
        </is>
      </c>
      <c r="M24" s="11" t="n">
        <v>25</v>
      </c>
      <c r="N24" s="12" t="n"/>
      <c r="O24" s="12" t="n"/>
      <c r="P24" s="10" t="n"/>
    </row>
    <row r="25">
      <c r="A25" s="9" t="n"/>
      <c r="B25" s="10" t="inlineStr">
        <is>
          <t>Ống gió kích thước 1600x450 EI60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m</t>
        </is>
      </c>
      <c r="M25" s="11" t="n">
        <v>49</v>
      </c>
      <c r="N25" s="12" t="n"/>
      <c r="O25" s="12" t="n"/>
      <c r="P25" s="10" t="n"/>
    </row>
    <row r="26">
      <c r="A26" s="9" t="n"/>
      <c r="B26" s="10" t="inlineStr">
        <is>
          <t>Ống gió kích thước 850x450 EI60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inlineStr">
        <is>
          <t>m</t>
        </is>
      </c>
      <c r="M26" s="11" t="n">
        <v>166</v>
      </c>
      <c r="N26" s="12" t="n"/>
      <c r="O26" s="12" t="n"/>
      <c r="P26" s="10" t="n"/>
    </row>
    <row r="27">
      <c r="A27" s="9" t="n">
        <v>4</v>
      </c>
      <c r="B27" s="10" t="inlineStr">
        <is>
          <t>Phụ kiện ống gió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Lô</t>
        </is>
      </c>
      <c r="M27" s="11" t="n">
        <v>1</v>
      </c>
      <c r="N27" s="12" t="n"/>
      <c r="O27" s="12" t="n"/>
      <c r="P27" s="10" t="n"/>
    </row>
    <row r="28">
      <c r="A28" s="8" t="n">
        <v>5</v>
      </c>
      <c r="B28" s="7" t="inlineStr">
        <is>
          <t>Cửa gió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9" t="n"/>
      <c r="B29" s="10" t="inlineStr">
        <is>
          <t>Cửa gió 1 lớp nan bầu dục, kích thước 1200x800 kèm van OBD</t>
        </is>
      </c>
      <c r="C29" s="9" t="inlineStr">
        <is>
          <t>SDG+O</t>
        </is>
      </c>
      <c r="D29" s="9" t="inlineStr">
        <is>
          <t>SWIND</t>
        </is>
      </c>
      <c r="E29" s="9" t="n">
        <v>1200</v>
      </c>
      <c r="F29" s="9" t="n">
        <v>800</v>
      </c>
      <c r="G29" s="9" t="n">
        <v>1150</v>
      </c>
      <c r="H29" s="9" t="n">
        <v>750</v>
      </c>
      <c r="I29" s="9" t="n"/>
      <c r="J29" s="9" t="n"/>
      <c r="K29" s="9" t="n"/>
      <c r="L29" s="9" t="inlineStr">
        <is>
          <t>Bộ</t>
        </is>
      </c>
      <c r="M29" s="11" t="n">
        <v>9</v>
      </c>
      <c r="N29" s="11" t="n">
        <v>1319000</v>
      </c>
      <c r="O29" s="11">
        <f>ROUNDUP(N29*M29, -2)</f>
        <v/>
      </c>
      <c r="P29" s="10" t="inlineStr">
        <is>
          <t>Cửa nan bầu dục 1 lớp kèm van OBD</t>
        </is>
      </c>
    </row>
    <row r="30">
      <c r="A30" s="8" t="n">
        <v>6</v>
      </c>
      <c r="B30" s="7" t="inlineStr">
        <is>
          <t>Van gió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9" t="n"/>
      <c r="B31" s="10" t="inlineStr">
        <is>
          <t>Van xả áp, kích thước 1000x350 mm</t>
        </is>
      </c>
      <c r="C31" s="9" t="inlineStr">
        <is>
          <t>PRD</t>
        </is>
      </c>
      <c r="D31" s="9" t="inlineStr">
        <is>
          <t>SWIND</t>
        </is>
      </c>
      <c r="E31" s="9" t="n">
        <v>1000</v>
      </c>
      <c r="F31" s="9" t="n">
        <v>350</v>
      </c>
      <c r="G31" s="9" t="n"/>
      <c r="H31" s="9" t="n"/>
      <c r="I31" s="9" t="n"/>
      <c r="J31" s="9" t="n">
        <v>200</v>
      </c>
      <c r="K31" s="13" t="n">
        <v>1.15</v>
      </c>
      <c r="L31" s="9" t="inlineStr">
        <is>
          <t>Bộ</t>
        </is>
      </c>
      <c r="M31" s="11" t="n">
        <v>9</v>
      </c>
      <c r="N31" s="11" t="n">
        <v>1051100</v>
      </c>
      <c r="O31" s="11">
        <f>ROUNDUP(N31*M31, -2)</f>
        <v/>
      </c>
      <c r="P31" s="10" t="inlineStr">
        <is>
          <t>Van xả áp đối trọng tôn mạ kẽm</t>
        </is>
      </c>
    </row>
    <row r="32">
      <c r="A32" s="9" t="n"/>
      <c r="B32" s="10" t="inlineStr">
        <is>
          <t>Van chặn lửa dùng động cơ MFD EI60, KT: 1600x450mm</t>
        </is>
      </c>
      <c r="C32" s="9" t="inlineStr">
        <is>
          <t>SWIND-1.02-MFD-EI90</t>
        </is>
      </c>
      <c r="D32" s="9" t="inlineStr">
        <is>
          <t>SWIND</t>
        </is>
      </c>
      <c r="E32" s="9" t="n">
        <v>1600</v>
      </c>
      <c r="F32" s="9" t="n">
        <v>450</v>
      </c>
      <c r="G32" s="9" t="n">
        <v>800</v>
      </c>
      <c r="H32" s="9" t="n">
        <v>450</v>
      </c>
      <c r="I32" s="9" t="n">
        <v>2</v>
      </c>
      <c r="J32" s="9" t="n">
        <v>200</v>
      </c>
      <c r="K32" s="13" t="n">
        <v>1.15</v>
      </c>
      <c r="L32" s="9" t="inlineStr">
        <is>
          <t>Bộ</t>
        </is>
      </c>
      <c r="M32" s="11" t="n">
        <v>4</v>
      </c>
      <c r="N32" s="11" t="n">
        <v>14298340</v>
      </c>
      <c r="O32" s="11">
        <f>ROUNDUP(N32*M32, -2)</f>
        <v/>
      </c>
      <c r="P32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33">
      <c r="A33" s="9" t="n"/>
      <c r="B33" s="10" t="inlineStr">
        <is>
          <t>Van chặn lửa dùng động cơ MFD EI60, KT: 850x450mm</t>
        </is>
      </c>
      <c r="C33" s="9" t="inlineStr">
        <is>
          <t>SWIND-1.02-MFD-EI90</t>
        </is>
      </c>
      <c r="D33" s="9" t="inlineStr">
        <is>
          <t>SWIND</t>
        </is>
      </c>
      <c r="E33" s="9" t="n">
        <v>850</v>
      </c>
      <c r="F33" s="9" t="n">
        <v>450</v>
      </c>
      <c r="G33" s="9" t="n"/>
      <c r="H33" s="9" t="n"/>
      <c r="I33" s="9" t="n"/>
      <c r="J33" s="9" t="n">
        <v>200</v>
      </c>
      <c r="K33" s="13" t="n">
        <v>1.15</v>
      </c>
      <c r="L33" s="9" t="inlineStr">
        <is>
          <t>Bộ</t>
        </is>
      </c>
      <c r="M33" s="11" t="n">
        <v>9</v>
      </c>
      <c r="N33" s="11" t="n">
        <v>7305368</v>
      </c>
      <c r="O33" s="11">
        <f>ROUNDUP(N33*M33, -2)</f>
        <v/>
      </c>
      <c r="P33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4">
      <c r="A34" s="9" t="n"/>
      <c r="B34" s="10" t="inlineStr">
        <is>
          <t>Van 1 chiều NRD, kích thước 1600x450 mm</t>
        </is>
      </c>
      <c r="C34" s="9" t="inlineStr">
        <is>
          <t>NRD</t>
        </is>
      </c>
      <c r="D34" s="9" t="inlineStr">
        <is>
          <t>SWIND</t>
        </is>
      </c>
      <c r="E34" s="9" t="n">
        <v>1600</v>
      </c>
      <c r="F34" s="9" t="n">
        <v>450</v>
      </c>
      <c r="G34" s="9" t="n"/>
      <c r="H34" s="9" t="n"/>
      <c r="I34" s="9" t="n"/>
      <c r="J34" s="9" t="n">
        <v>200</v>
      </c>
      <c r="K34" s="13" t="n">
        <v>1.15</v>
      </c>
      <c r="L34" s="9" t="inlineStr">
        <is>
          <t>Bộ</t>
        </is>
      </c>
      <c r="M34" s="11" t="n">
        <v>4</v>
      </c>
      <c r="N34" s="11" t="n">
        <v>1262500</v>
      </c>
      <c r="O34" s="11">
        <f>ROUNDUP(N34*M34, -2)</f>
        <v/>
      </c>
      <c r="P34" s="10" t="inlineStr">
        <is>
          <t>Van 1 chiều tôn mạ kẽm</t>
        </is>
      </c>
    </row>
    <row r="35">
      <c r="A35" s="8" t="n">
        <v>7</v>
      </c>
      <c r="B35" s="7" t="inlineStr">
        <is>
          <t>Giá treo, bệ đỡ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9" t="n"/>
      <c r="B36" s="10" t="inlineStr">
        <is>
          <t>Giá treo ống gió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inlineStr">
        <is>
          <t>Lô</t>
        </is>
      </c>
      <c r="M36" s="11" t="n">
        <v>1</v>
      </c>
      <c r="N36" s="12" t="n"/>
      <c r="O36" s="12" t="n"/>
      <c r="P36" s="10" t="n"/>
    </row>
    <row r="37">
      <c r="A37" s="9" t="n"/>
      <c r="B37" s="10" t="inlineStr">
        <is>
          <t>Giá treo quạt trục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inlineStr">
        <is>
          <t>Bộ</t>
        </is>
      </c>
      <c r="M37" s="11" t="n">
        <v>4</v>
      </c>
      <c r="N37" s="12" t="n"/>
      <c r="O37" s="12" t="n"/>
      <c r="P37" s="10" t="n"/>
    </row>
    <row r="38">
      <c r="A38" s="8" t="n">
        <v>8</v>
      </c>
      <c r="B38" s="7" t="inlineStr">
        <is>
          <t>Vật tư phụ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9" t="n"/>
      <c r="B39" s="10" t="inlineStr">
        <is>
          <t>Vật tư phụ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Lô</t>
        </is>
      </c>
      <c r="M39" s="11" t="n">
        <v>1</v>
      </c>
      <c r="N39" s="12" t="n"/>
      <c r="O39" s="12" t="n"/>
      <c r="P39" s="10" t="n"/>
    </row>
    <row r="40">
      <c r="A40" s="6" t="n"/>
      <c r="B40" s="7" t="inlineStr">
        <is>
          <t>HỆ THỐNG CẤP NGUỒN THÔNG GIÓ SỰ CỐ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9" t="n"/>
      <c r="B41" s="10" t="inlineStr">
        <is>
          <t>Tủ điện TĐ-H-QSC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inlineStr">
        <is>
          <t>Tủ</t>
        </is>
      </c>
      <c r="M41" s="11" t="n">
        <v>4</v>
      </c>
      <c r="N41" s="12" t="n"/>
      <c r="O41" s="12" t="n"/>
      <c r="P41" s="10" t="n"/>
    </row>
    <row r="42">
      <c r="A42" s="9" t="n"/>
      <c r="B42" s="10" t="inlineStr">
        <is>
          <t>Cáp điện 2x[CU/Mica/XLPE/FR-PVC(3x6)]+PVC(1x6)E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inlineStr">
        <is>
          <t>m</t>
        </is>
      </c>
      <c r="M42" s="11" t="n">
        <v>200</v>
      </c>
      <c r="N42" s="12" t="n"/>
      <c r="O42" s="12" t="n"/>
      <c r="P42" s="10" t="n"/>
    </row>
    <row r="43">
      <c r="A43" s="9" t="n"/>
      <c r="B43" s="10" t="inlineStr">
        <is>
          <t>Cáp điện [CU/Mica/XLPE/FR-PVC(3x16)]+PVC(1x16)E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inlineStr">
        <is>
          <t>m</t>
        </is>
      </c>
      <c r="M43" s="11" t="n">
        <v>80</v>
      </c>
      <c r="N43" s="12" t="n"/>
      <c r="O43" s="12" t="n"/>
      <c r="P43" s="10" t="n"/>
    </row>
    <row r="44">
      <c r="A44" s="9" t="n"/>
      <c r="B44" s="10" t="inlineStr">
        <is>
          <t>Cáp điện [CU/Mica/XLPE/FR-PVC(3x10)]+PVC(1x10)E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inlineStr">
        <is>
          <t>m</t>
        </is>
      </c>
      <c r="M44" s="11" t="n">
        <v>260</v>
      </c>
      <c r="N44" s="12" t="n"/>
      <c r="O44" s="12" t="n"/>
      <c r="P44" s="10" t="n"/>
    </row>
    <row r="45">
      <c r="A45" s="9" t="n"/>
      <c r="B45" s="10" t="inlineStr">
        <is>
          <t>Cáp điện CU/Mica/XLPE/FR-PVC(2x2.5)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inlineStr">
        <is>
          <t>m</t>
        </is>
      </c>
      <c r="M45" s="11" t="n">
        <v>500</v>
      </c>
      <c r="N45" s="12" t="n"/>
      <c r="O45" s="12" t="n"/>
      <c r="P45" s="10" t="n"/>
    </row>
    <row r="46">
      <c r="A46" s="9" t="n"/>
      <c r="B46" s="10" t="inlineStr">
        <is>
          <t>Cáp điện CU/Mica/XLPE/FR-PVC(2x1.5)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m</t>
        </is>
      </c>
      <c r="M46" s="11" t="n">
        <v>500</v>
      </c>
      <c r="N46" s="12" t="n"/>
      <c r="O46" s="12" t="n"/>
      <c r="P46" s="10" t="n"/>
    </row>
    <row r="47">
      <c r="A47" s="9" t="n"/>
      <c r="B47" s="10" t="inlineStr">
        <is>
          <t>Vật tư phụ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Lô</t>
        </is>
      </c>
      <c r="M47" s="11" t="n">
        <v>1</v>
      </c>
      <c r="N47" s="12" t="n"/>
      <c r="O47" s="12" t="n"/>
      <c r="P47" s="10" t="n"/>
    </row>
    <row r="48">
      <c r="A48" s="6" t="n"/>
      <c r="B48" s="7" t="inlineStr">
        <is>
          <t>PHẦN CHUNG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6" t="n"/>
      <c r="B49" s="7" t="inlineStr">
        <is>
          <t>PHẦN NGẦM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6" t="n"/>
      <c r="B50" s="7" t="inlineStr">
        <is>
          <t>HỆ THỐNG THÔNG GIÓ TẦNG HẦM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8" t="n">
        <v>1</v>
      </c>
      <c r="B51" s="7" t="inlineStr">
        <is>
          <t>Thiết bị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9" t="n"/>
      <c r="B52" s="10" t="inlineStr">
        <is>
          <t>Quạt hướng trục
Lưu lượng: 18000/27000 m3/h
Cột áp: 400/900 Pa
Chịu nhiệt độ 300oC trong 2h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inlineStr">
        <is>
          <t>Bộ</t>
        </is>
      </c>
      <c r="M52" s="11" t="n">
        <v>2</v>
      </c>
      <c r="N52" s="12" t="n"/>
      <c r="O52" s="12" t="n"/>
      <c r="P52" s="10" t="n"/>
    </row>
    <row r="53">
      <c r="A53" s="9" t="n"/>
      <c r="B53" s="10" t="inlineStr">
        <is>
          <t>Quạt hướng trục
Lưu lượng: 25000/38000 m3/h
Cột áp: 400/900 Pa
Chịu nhiệt độ 300oC trong 2h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inlineStr">
        <is>
          <t>Bộ</t>
        </is>
      </c>
      <c r="M53" s="11" t="n">
        <v>2</v>
      </c>
      <c r="N53" s="12" t="n"/>
      <c r="O53" s="12" t="n"/>
      <c r="P53" s="10" t="n"/>
    </row>
    <row r="54">
      <c r="A54" s="9" t="n"/>
      <c r="B54" s="10" t="inlineStr">
        <is>
          <t>Quạt hướng trục
Lưu lượng: 22000/33000 m3/h
Cột áp: 400/900 Pa
Chịu nhiệt độ 300oC trong 2h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inlineStr">
        <is>
          <t>Bộ</t>
        </is>
      </c>
      <c r="M54" s="11" t="n">
        <v>4</v>
      </c>
      <c r="N54" s="12" t="n"/>
      <c r="O54" s="12" t="n"/>
      <c r="P54" s="10" t="n"/>
    </row>
    <row r="55">
      <c r="A55" s="9" t="n"/>
      <c r="B55" s="10" t="inlineStr">
        <is>
          <t>Quạt hướng trục
Lưu lượng: 25000m3/h
Cột áp: 300 Pa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inlineStr">
        <is>
          <t>Bộ</t>
        </is>
      </c>
      <c r="M55" s="11" t="n">
        <v>2</v>
      </c>
      <c r="N55" s="12" t="n"/>
      <c r="O55" s="12" t="n"/>
      <c r="P55" s="10" t="n"/>
    </row>
    <row r="56">
      <c r="A56" s="9" t="n"/>
      <c r="B56" s="10" t="inlineStr">
        <is>
          <t>Quạt hướng trục
Lưu lượng: 35000m3/h
Cột áp: 300 Pa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inlineStr">
        <is>
          <t>Bộ</t>
        </is>
      </c>
      <c r="M56" s="11" t="n">
        <v>2</v>
      </c>
      <c r="N56" s="12" t="n"/>
      <c r="O56" s="12" t="n"/>
      <c r="P56" s="10" t="n"/>
    </row>
    <row r="57">
      <c r="A57" s="9" t="n"/>
      <c r="B57" s="10" t="inlineStr">
        <is>
          <t>Quạt hướng trục
Lưu lượng: 30000m3/h
Cột áp: 300 Pa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inlineStr">
        <is>
          <t>Bộ</t>
        </is>
      </c>
      <c r="M57" s="11" t="n">
        <v>4</v>
      </c>
      <c r="N57" s="12" t="n"/>
      <c r="O57" s="12" t="n"/>
      <c r="P57" s="10" t="n"/>
    </row>
    <row r="58">
      <c r="A58" s="8" t="n">
        <v>2</v>
      </c>
      <c r="B58" s="7" t="inlineStr">
        <is>
          <t>Bạt nối mềm đầu quạt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9" t="n"/>
      <c r="B59" s="10" t="inlineStr">
        <is>
          <t>Nối mềm chống cháy đầu quạt, kích thước tạm tính D1250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Bộ</t>
        </is>
      </c>
      <c r="M59" s="11" t="n">
        <v>16</v>
      </c>
      <c r="N59" s="12" t="n"/>
      <c r="O59" s="12" t="n"/>
      <c r="P59" s="10" t="n"/>
    </row>
    <row r="60">
      <c r="A60" s="9" t="n"/>
      <c r="B60" s="10" t="inlineStr">
        <is>
          <t>Nối mềm đầu quạt, kích thước tạm tính D1000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inlineStr">
        <is>
          <t>Bộ</t>
        </is>
      </c>
      <c r="M60" s="11" t="n">
        <v>16</v>
      </c>
      <c r="N60" s="12" t="n"/>
      <c r="O60" s="12" t="n"/>
      <c r="P60" s="10" t="n"/>
    </row>
    <row r="61">
      <c r="A61" s="8" t="n">
        <v>3</v>
      </c>
      <c r="B61" s="7" t="inlineStr">
        <is>
          <t>Ống gió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9" t="n"/>
      <c r="B62" s="10" t="inlineStr">
        <is>
          <t>Ống gió tiêu âm kích thước 2000x450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inlineStr">
        <is>
          <t>m</t>
        </is>
      </c>
      <c r="M62" s="11" t="n">
        <v>11</v>
      </c>
      <c r="N62" s="12" t="n"/>
      <c r="O62" s="12" t="n"/>
      <c r="P62" s="10" t="n"/>
    </row>
    <row r="63">
      <c r="A63" s="9" t="n"/>
      <c r="B63" s="10" t="inlineStr">
        <is>
          <t>Ống gió tiêu âm kích thước 1700x450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inlineStr">
        <is>
          <t>m</t>
        </is>
      </c>
      <c r="M63" s="11" t="n">
        <v>21</v>
      </c>
      <c r="N63" s="12" t="n"/>
      <c r="O63" s="12" t="n"/>
      <c r="P63" s="10" t="n"/>
    </row>
    <row r="64">
      <c r="A64" s="9" t="n"/>
      <c r="B64" s="10" t="inlineStr">
        <is>
          <t>Ống gió tiêu âm kích thước 1750x650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inlineStr">
        <is>
          <t>m</t>
        </is>
      </c>
      <c r="M64" s="11" t="n">
        <v>25</v>
      </c>
      <c r="N64" s="12" t="n"/>
      <c r="O64" s="12" t="n"/>
      <c r="P64" s="10" t="n"/>
    </row>
    <row r="65">
      <c r="A65" s="9" t="n"/>
      <c r="B65" s="10" t="inlineStr">
        <is>
          <t>Ống gió tiêu âm kích thước 1350x450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inlineStr">
        <is>
          <t>m</t>
        </is>
      </c>
      <c r="M65" s="11" t="n">
        <v>11</v>
      </c>
      <c r="N65" s="12" t="n"/>
      <c r="O65" s="12" t="n"/>
      <c r="P65" s="10" t="n"/>
    </row>
    <row r="66">
      <c r="A66" s="9" t="n"/>
      <c r="B66" s="10" t="inlineStr">
        <is>
          <t>Ống gió kích thước 2000x450 EI60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inlineStr">
        <is>
          <t>m</t>
        </is>
      </c>
      <c r="M66" s="11" t="n">
        <v>21</v>
      </c>
      <c r="N66" s="12" t="n"/>
      <c r="O66" s="12" t="n"/>
      <c r="P66" s="10" t="n"/>
    </row>
    <row r="67">
      <c r="A67" s="9" t="n"/>
      <c r="B67" s="10" t="inlineStr">
        <is>
          <t>Ống gió kích thước 1700x450 EI60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inlineStr">
        <is>
          <t>m</t>
        </is>
      </c>
      <c r="M67" s="11" t="n">
        <v>131</v>
      </c>
      <c r="N67" s="12" t="n"/>
      <c r="O67" s="12" t="n"/>
      <c r="P67" s="10" t="n"/>
    </row>
    <row r="68">
      <c r="A68" s="9" t="n"/>
      <c r="B68" s="10" t="inlineStr">
        <is>
          <t>Ống gió kích thước 1350x450 EI60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inlineStr">
        <is>
          <t>m</t>
        </is>
      </c>
      <c r="M68" s="11" t="n">
        <v>43</v>
      </c>
      <c r="N68" s="12" t="n"/>
      <c r="O68" s="12" t="n"/>
      <c r="P68" s="10" t="n"/>
    </row>
    <row r="69">
      <c r="A69" s="9" t="n"/>
      <c r="B69" s="10" t="inlineStr">
        <is>
          <t>Ống gió kích thước 1200x450 EI60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inlineStr">
        <is>
          <t>m</t>
        </is>
      </c>
      <c r="M69" s="11" t="n">
        <v>139</v>
      </c>
      <c r="N69" s="12" t="n"/>
      <c r="O69" s="12" t="n"/>
      <c r="P69" s="10" t="n"/>
    </row>
    <row r="70">
      <c r="A70" s="9" t="n"/>
      <c r="B70" s="10" t="inlineStr">
        <is>
          <t>Ống gió kích thước 700x450 EI60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inlineStr">
        <is>
          <t>m</t>
        </is>
      </c>
      <c r="M70" s="11" t="n">
        <v>357</v>
      </c>
      <c r="N70" s="12" t="n"/>
      <c r="O70" s="12" t="n"/>
      <c r="P70" s="10" t="n"/>
    </row>
    <row r="71">
      <c r="A71" s="9" t="n">
        <v>4</v>
      </c>
      <c r="B71" s="10" t="inlineStr">
        <is>
          <t>Phụ kiện ống gió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11" t="n">
        <v>1</v>
      </c>
      <c r="N71" s="12" t="n"/>
      <c r="O71" s="12" t="n"/>
      <c r="P71" s="10" t="n"/>
    </row>
    <row r="72">
      <c r="A72" s="8" t="n">
        <v>5</v>
      </c>
      <c r="B72" s="7" t="inlineStr">
        <is>
          <t>Cửa gió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9" t="n"/>
      <c r="B73" s="10" t="inlineStr">
        <is>
          <t>Cửa gió nan 1 lớp, kích thước 5000x700mm</t>
        </is>
      </c>
      <c r="C73" s="9" t="inlineStr">
        <is>
          <t>WL</t>
        </is>
      </c>
      <c r="D73" s="9" t="inlineStr">
        <is>
          <t>SWIND</t>
        </is>
      </c>
      <c r="E73" s="9" t="n">
        <v>5000</v>
      </c>
      <c r="F73" s="9" t="n">
        <v>700</v>
      </c>
      <c r="G73" s="9" t="n">
        <v>4950</v>
      </c>
      <c r="H73" s="9" t="n">
        <v>650</v>
      </c>
      <c r="I73" s="9" t="n"/>
      <c r="J73" s="9" t="n"/>
      <c r="K73" s="9" t="n"/>
      <c r="L73" s="9" t="inlineStr">
        <is>
          <t>Bộ</t>
        </is>
      </c>
      <c r="M73" s="11" t="n">
        <v>1</v>
      </c>
      <c r="N73" s="11" t="n">
        <v>4097000</v>
      </c>
      <c r="O73" s="11">
        <f>ROUNDUP(N73*M73, -2)</f>
        <v/>
      </c>
      <c r="P73" s="10" t="inlineStr">
        <is>
          <t>Louver nan Z ngoài trời</t>
        </is>
      </c>
    </row>
    <row r="74">
      <c r="A74" s="9" t="n"/>
      <c r="B74" s="10" t="inlineStr">
        <is>
          <t>Cửa gió nan 1 lớp, kích thước 6000x700mm</t>
        </is>
      </c>
      <c r="C74" s="9" t="inlineStr">
        <is>
          <t>WL</t>
        </is>
      </c>
      <c r="D74" s="9" t="inlineStr">
        <is>
          <t>SWIND</t>
        </is>
      </c>
      <c r="E74" s="9" t="n">
        <v>6000</v>
      </c>
      <c r="F74" s="9" t="n">
        <v>700</v>
      </c>
      <c r="G74" s="9" t="n">
        <v>5950</v>
      </c>
      <c r="H74" s="9" t="n">
        <v>650</v>
      </c>
      <c r="I74" s="9" t="n"/>
      <c r="J74" s="9" t="n"/>
      <c r="K74" s="9" t="n"/>
      <c r="L74" s="9" t="inlineStr">
        <is>
          <t>Bộ</t>
        </is>
      </c>
      <c r="M74" s="11" t="n">
        <v>2</v>
      </c>
      <c r="N74" s="11" t="n">
        <v>4905000</v>
      </c>
      <c r="O74" s="11">
        <f>ROUNDUP(N74*M74, -2)</f>
        <v/>
      </c>
      <c r="P74" s="10" t="inlineStr">
        <is>
          <t>Louver nan Z ngoài trời</t>
        </is>
      </c>
    </row>
    <row r="75">
      <c r="A75" s="9" t="n"/>
      <c r="B75" s="10" t="inlineStr">
        <is>
          <t>Cửa gió nan 1 lớp, kích thước 6500x700mm</t>
        </is>
      </c>
      <c r="C75" s="9" t="inlineStr">
        <is>
          <t>WL</t>
        </is>
      </c>
      <c r="D75" s="9" t="inlineStr">
        <is>
          <t>SWIND</t>
        </is>
      </c>
      <c r="E75" s="9" t="n">
        <v>6500</v>
      </c>
      <c r="F75" s="9" t="n">
        <v>700</v>
      </c>
      <c r="G75" s="9" t="n">
        <v>6450</v>
      </c>
      <c r="H75" s="9" t="n">
        <v>650</v>
      </c>
      <c r="I75" s="9" t="n"/>
      <c r="J75" s="9" t="n"/>
      <c r="K75" s="9" t="n"/>
      <c r="L75" s="9" t="inlineStr">
        <is>
          <t>Bộ</t>
        </is>
      </c>
      <c r="M75" s="11" t="n">
        <v>1</v>
      </c>
      <c r="N75" s="11" t="n">
        <v>5309000</v>
      </c>
      <c r="O75" s="11">
        <f>ROUNDUP(N75*M75, -2)</f>
        <v/>
      </c>
      <c r="P75" s="10" t="inlineStr">
        <is>
          <t>Louver nan Z ngoài trời</t>
        </is>
      </c>
    </row>
    <row r="76">
      <c r="A76" s="9" t="n"/>
      <c r="B76" s="10" t="inlineStr">
        <is>
          <t>Cửa gió nan 1 lớp kèm van OBD, kích thước 1000x500mm</t>
        </is>
      </c>
      <c r="C76" s="9" t="inlineStr">
        <is>
          <t>SDG+O</t>
        </is>
      </c>
      <c r="D76" s="9" t="inlineStr">
        <is>
          <t>SWIND</t>
        </is>
      </c>
      <c r="E76" s="9" t="n">
        <v>1000</v>
      </c>
      <c r="F76" s="9" t="n">
        <v>500</v>
      </c>
      <c r="G76" s="9" t="n">
        <v>950</v>
      </c>
      <c r="H76" s="9" t="n">
        <v>450</v>
      </c>
      <c r="I76" s="9" t="n"/>
      <c r="J76" s="9" t="n"/>
      <c r="K76" s="9" t="n"/>
      <c r="L76" s="9" t="inlineStr">
        <is>
          <t>Bộ</t>
        </is>
      </c>
      <c r="M76" s="11" t="n">
        <v>72</v>
      </c>
      <c r="N76" s="11" t="n">
        <v>742000</v>
      </c>
      <c r="O76" s="11">
        <f>ROUNDUP(N76*M76, -2)</f>
        <v/>
      </c>
      <c r="P76" s="10" t="inlineStr">
        <is>
          <t>Cửa nan bầu dục 1 lớp kèm van OBD</t>
        </is>
      </c>
    </row>
    <row r="77">
      <c r="A77" s="8" t="n">
        <v>6</v>
      </c>
      <c r="B77" s="7" t="inlineStr">
        <is>
          <t>Van gió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9" t="n"/>
      <c r="B78" s="10" t="inlineStr">
        <is>
          <t>Van chặn lửa dùng động cơ MFD kích thước 2000x450 EI60</t>
        </is>
      </c>
      <c r="C78" s="9" t="inlineStr">
        <is>
          <t>SWIND-1.02-MFD-EI90</t>
        </is>
      </c>
      <c r="D78" s="9" t="inlineStr">
        <is>
          <t>SWIND</t>
        </is>
      </c>
      <c r="E78" s="9" t="n">
        <v>2000</v>
      </c>
      <c r="F78" s="9" t="n">
        <v>450</v>
      </c>
      <c r="G78" s="9" t="n">
        <v>1000</v>
      </c>
      <c r="H78" s="9" t="n">
        <v>450</v>
      </c>
      <c r="I78" s="9" t="n">
        <v>2</v>
      </c>
      <c r="J78" s="9" t="n">
        <v>200</v>
      </c>
      <c r="K78" s="13" t="n">
        <v>1.15</v>
      </c>
      <c r="L78" s="9" t="inlineStr">
        <is>
          <t>Bộ</t>
        </is>
      </c>
      <c r="M78" s="11" t="n">
        <v>2</v>
      </c>
      <c r="N78" s="11" t="n">
        <v>15552925</v>
      </c>
      <c r="O78" s="11">
        <f>ROUNDUP(N78*M78, -2)</f>
        <v/>
      </c>
      <c r="P78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79">
      <c r="A79" s="9" t="n"/>
      <c r="B79" s="10" t="inlineStr">
        <is>
          <t>Van chặn lửa dùng động cơ MFD kích thước 1700x450 EI60</t>
        </is>
      </c>
      <c r="C79" s="9" t="inlineStr">
        <is>
          <t>SWIND-1.02-MFD-EI90</t>
        </is>
      </c>
      <c r="D79" s="9" t="inlineStr">
        <is>
          <t>SWIND</t>
        </is>
      </c>
      <c r="E79" s="9" t="n">
        <v>1700</v>
      </c>
      <c r="F79" s="9" t="n">
        <v>450</v>
      </c>
      <c r="G79" s="9" t="n">
        <v>850</v>
      </c>
      <c r="H79" s="9" t="n">
        <v>450</v>
      </c>
      <c r="I79" s="9" t="n">
        <v>2</v>
      </c>
      <c r="J79" s="9" t="n">
        <v>200</v>
      </c>
      <c r="K79" s="13" t="n">
        <v>1.15</v>
      </c>
      <c r="L79" s="9" t="inlineStr">
        <is>
          <t>Bộ</t>
        </is>
      </c>
      <c r="M79" s="11" t="n">
        <v>4</v>
      </c>
      <c r="N79" s="11" t="n">
        <v>14610736</v>
      </c>
      <c r="O79" s="11">
        <f>ROUNDUP(N79*M79, -2)</f>
        <v/>
      </c>
      <c r="P79" s="10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80">
      <c r="A80" s="9" t="n"/>
      <c r="B80" s="10" t="inlineStr">
        <is>
          <t>Van chặn lửa dùng động cơ MFD kích thước 1350x450 EI60</t>
        </is>
      </c>
      <c r="C80" s="9" t="inlineStr">
        <is>
          <t>SWIND-1.02-MFD-EI90</t>
        </is>
      </c>
      <c r="D80" s="9" t="inlineStr">
        <is>
          <t>SWIND</t>
        </is>
      </c>
      <c r="E80" s="9" t="n">
        <v>1350</v>
      </c>
      <c r="F80" s="9" t="n">
        <v>450</v>
      </c>
      <c r="G80" s="9" t="n"/>
      <c r="H80" s="9" t="n"/>
      <c r="I80" s="9" t="n"/>
      <c r="J80" s="9" t="n">
        <v>200</v>
      </c>
      <c r="K80" s="13" t="n">
        <v>1.15</v>
      </c>
      <c r="L80" s="9" t="inlineStr">
        <is>
          <t>Bộ</t>
        </is>
      </c>
      <c r="M80" s="11" t="n">
        <v>2</v>
      </c>
      <c r="N80" s="11" t="n">
        <v>8872349</v>
      </c>
      <c r="O80" s="11">
        <f>ROUNDUP(N80*M80, -2)</f>
        <v/>
      </c>
      <c r="P80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81">
      <c r="A81" s="9" t="n"/>
      <c r="B81" s="10" t="inlineStr">
        <is>
          <t>Van chặn lửa dùng động cơ MFD kích thước 5000x700 EI60</t>
        </is>
      </c>
      <c r="C81" s="9" t="inlineStr">
        <is>
          <t>SWIND-1.02-MFD-EI90</t>
        </is>
      </c>
      <c r="D81" s="9" t="inlineStr">
        <is>
          <t>SWIND</t>
        </is>
      </c>
      <c r="E81" s="9" t="n">
        <v>5000</v>
      </c>
      <c r="F81" s="9" t="n">
        <v>700</v>
      </c>
      <c r="G81" s="9" t="n">
        <v>1250</v>
      </c>
      <c r="H81" s="9" t="n">
        <v>700</v>
      </c>
      <c r="I81" s="9" t="n">
        <v>4</v>
      </c>
      <c r="J81" s="9" t="n">
        <v>200</v>
      </c>
      <c r="K81" s="13" t="n">
        <v>1.15</v>
      </c>
      <c r="L81" s="9" t="inlineStr">
        <is>
          <t>Bộ</t>
        </is>
      </c>
      <c r="M81" s="11" t="n">
        <v>1</v>
      </c>
      <c r="N81" s="11" t="n">
        <v>40586375</v>
      </c>
      <c r="O81" s="11">
        <f>ROUNDUP(N81*M81, -2)</f>
        <v/>
      </c>
      <c r="P81" s="10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82">
      <c r="A82" s="9" t="n"/>
      <c r="B82" s="10" t="inlineStr">
        <is>
          <t>Van chặn lửa dùng động cơ MFD kích thước 6000x700 EI60</t>
        </is>
      </c>
      <c r="C82" s="9" t="inlineStr">
        <is>
          <t>SWIND-1.02-MFD-EI90</t>
        </is>
      </c>
      <c r="D82" s="9" t="inlineStr">
        <is>
          <t>SWIND</t>
        </is>
      </c>
      <c r="E82" s="9" t="n">
        <v>6000</v>
      </c>
      <c r="F82" s="9" t="n">
        <v>700</v>
      </c>
      <c r="G82" s="9" t="n">
        <v>1500</v>
      </c>
      <c r="H82" s="9" t="n">
        <v>700</v>
      </c>
      <c r="I82" s="9" t="n">
        <v>4</v>
      </c>
      <c r="J82" s="9" t="n">
        <v>200</v>
      </c>
      <c r="K82" s="13" t="n">
        <v>1.15</v>
      </c>
      <c r="L82" s="9" t="inlineStr">
        <is>
          <t>Bộ</t>
        </is>
      </c>
      <c r="M82" s="11" t="n">
        <v>2</v>
      </c>
      <c r="N82" s="11" t="n">
        <v>44723650</v>
      </c>
      <c r="O82" s="11">
        <f>ROUNDUP(N82*M82, -2)</f>
        <v/>
      </c>
      <c r="P82" s="10" t="inlineStr">
        <is>
          <t>- Van chống cháy động cơ - Tiêu chuẩn EI 90
- 2 đầu bích TDC - Gắn kèm động cơ ON-OFF 3.5Nm, 24V (Type: đóng mở nhanh) BELIMO - Model: FSLF24V US
- Sản xuất theo BCTN số 4752/VLXD-TBMT
- Chia 4 modul khi sản xuất</t>
        </is>
      </c>
    </row>
    <row r="83">
      <c r="A83" s="9" t="n"/>
      <c r="B83" s="10" t="inlineStr">
        <is>
          <t>Van chặn lửa dùng động cơ MFD kích thước 6500x700 EI60</t>
        </is>
      </c>
      <c r="C83" s="9" t="inlineStr">
        <is>
          <t>SWIND-1.02-MFD-EI90</t>
        </is>
      </c>
      <c r="D83" s="9" t="inlineStr">
        <is>
          <t>SWIND</t>
        </is>
      </c>
      <c r="E83" s="9" t="n">
        <v>6500</v>
      </c>
      <c r="F83" s="9" t="n">
        <v>700</v>
      </c>
      <c r="G83" s="9" t="n">
        <v>1300</v>
      </c>
      <c r="H83" s="9" t="n">
        <v>700</v>
      </c>
      <c r="I83" s="9" t="n">
        <v>5</v>
      </c>
      <c r="J83" s="9" t="n">
        <v>200</v>
      </c>
      <c r="K83" s="13" t="n">
        <v>1.15</v>
      </c>
      <c r="L83" s="9" t="inlineStr">
        <is>
          <t>Bộ</t>
        </is>
      </c>
      <c r="M83" s="11" t="n">
        <v>1</v>
      </c>
      <c r="N83" s="11" t="n">
        <v>51767288</v>
      </c>
      <c r="O83" s="11">
        <f>ROUNDUP(N83*M83, -2)</f>
        <v/>
      </c>
      <c r="P83" s="10" t="inlineStr">
        <is>
          <t>- Van chống cháy động cơ - Tiêu chuẩn EI 90
- 2 đầu bích TDC - Gắn kèm động cơ ON-OFF 3.5Nm, 24V (Type: đóng mở nhanh) BELIMO - Model: FSLF24V US
- Sản xuất theo BCTN số 4752/VLXD-TBMT
- Chia 5 modul khi sản xuất</t>
        </is>
      </c>
    </row>
    <row r="84">
      <c r="A84" s="9" t="n"/>
      <c r="B84" s="10" t="inlineStr">
        <is>
          <t>Van NRD kích thước 2000x450</t>
        </is>
      </c>
      <c r="C84" s="9" t="inlineStr">
        <is>
          <t>NRD</t>
        </is>
      </c>
      <c r="D84" s="9" t="inlineStr">
        <is>
          <t>SWIND</t>
        </is>
      </c>
      <c r="E84" s="9" t="n">
        <v>2000</v>
      </c>
      <c r="F84" s="9" t="n">
        <v>450</v>
      </c>
      <c r="G84" s="9" t="n"/>
      <c r="H84" s="9" t="n"/>
      <c r="I84" s="9" t="n"/>
      <c r="J84" s="9" t="n">
        <v>200</v>
      </c>
      <c r="K84" s="13" t="n">
        <v>1.15</v>
      </c>
      <c r="L84" s="9" t="inlineStr">
        <is>
          <t>Bộ</t>
        </is>
      </c>
      <c r="M84" s="11" t="n">
        <v>2</v>
      </c>
      <c r="N84" s="11" t="n">
        <v>1457500</v>
      </c>
      <c r="O84" s="11">
        <f>ROUNDUP(N84*M84, -2)</f>
        <v/>
      </c>
      <c r="P84" s="10" t="inlineStr">
        <is>
          <t>Van 1 chiều tôn mạ kẽm</t>
        </is>
      </c>
    </row>
    <row r="85">
      <c r="A85" s="9" t="n"/>
      <c r="B85" s="10" t="inlineStr">
        <is>
          <t>Van NRD kích thước 1700x450</t>
        </is>
      </c>
      <c r="C85" s="9" t="inlineStr">
        <is>
          <t>NRD</t>
        </is>
      </c>
      <c r="D85" s="9" t="inlineStr">
        <is>
          <t>SWIND</t>
        </is>
      </c>
      <c r="E85" s="9" t="n">
        <v>1700</v>
      </c>
      <c r="F85" s="9" t="n">
        <v>450</v>
      </c>
      <c r="G85" s="9" t="n"/>
      <c r="H85" s="9" t="n"/>
      <c r="I85" s="9" t="n"/>
      <c r="J85" s="9" t="n">
        <v>200</v>
      </c>
      <c r="K85" s="13" t="n">
        <v>1.15</v>
      </c>
      <c r="L85" s="9" t="inlineStr">
        <is>
          <t>Bộ</t>
        </is>
      </c>
      <c r="M85" s="11" t="n">
        <v>4</v>
      </c>
      <c r="N85" s="11" t="n">
        <v>1311250</v>
      </c>
      <c r="O85" s="11">
        <f>ROUNDUP(N85*M85, -2)</f>
        <v/>
      </c>
      <c r="P85" s="10" t="inlineStr">
        <is>
          <t>Van 1 chiều tôn mạ kẽm</t>
        </is>
      </c>
    </row>
    <row r="86">
      <c r="A86" s="9" t="n"/>
      <c r="B86" s="10" t="inlineStr">
        <is>
          <t>Van NRD kích thước 1350x450</t>
        </is>
      </c>
      <c r="C86" s="9" t="inlineStr">
        <is>
          <t>NRD</t>
        </is>
      </c>
      <c r="D86" s="9" t="inlineStr">
        <is>
          <t>SWIND</t>
        </is>
      </c>
      <c r="E86" s="9" t="n">
        <v>1350</v>
      </c>
      <c r="F86" s="9" t="n">
        <v>450</v>
      </c>
      <c r="G86" s="9" t="n"/>
      <c r="H86" s="9" t="n"/>
      <c r="I86" s="9" t="n"/>
      <c r="J86" s="9" t="n">
        <v>200</v>
      </c>
      <c r="K86" s="13" t="n">
        <v>1.15</v>
      </c>
      <c r="L86" s="9" t="inlineStr">
        <is>
          <t>Bộ</t>
        </is>
      </c>
      <c r="M86" s="11" t="n">
        <v>2</v>
      </c>
      <c r="N86" s="11" t="n">
        <v>1141250</v>
      </c>
      <c r="O86" s="11">
        <f>ROUNDUP(N86*M86, -2)</f>
        <v/>
      </c>
      <c r="P86" s="10" t="inlineStr">
        <is>
          <t>Van 1 chiều tôn mạ kẽm</t>
        </is>
      </c>
    </row>
    <row r="87">
      <c r="A87" s="9" t="n"/>
      <c r="B87" s="10" t="inlineStr">
        <is>
          <t>Van NRD kích thước 1700x650</t>
        </is>
      </c>
      <c r="C87" s="9" t="inlineStr">
        <is>
          <t>NRD</t>
        </is>
      </c>
      <c r="D87" s="9" t="inlineStr">
        <is>
          <t>SWIND</t>
        </is>
      </c>
      <c r="E87" s="9" t="n">
        <v>1700</v>
      </c>
      <c r="F87" s="9" t="n">
        <v>650</v>
      </c>
      <c r="G87" s="9" t="n"/>
      <c r="H87" s="9" t="n"/>
      <c r="I87" s="9" t="n"/>
      <c r="J87" s="9" t="n">
        <v>200</v>
      </c>
      <c r="K87" s="13" t="n">
        <v>1.15</v>
      </c>
      <c r="L87" s="9" t="inlineStr">
        <is>
          <t>Bộ</t>
        </is>
      </c>
      <c r="M87" s="11" t="n">
        <v>8</v>
      </c>
      <c r="N87" s="11" t="n">
        <v>1523750</v>
      </c>
      <c r="O87" s="11">
        <f>ROUNDUP(N87*M87, -2)</f>
        <v/>
      </c>
      <c r="P87" s="10" t="inlineStr">
        <is>
          <t>Van 1 chiều tôn mạ kẽm</t>
        </is>
      </c>
    </row>
    <row r="88">
      <c r="A88" s="8" t="n">
        <v>9</v>
      </c>
      <c r="B88" s="7" t="inlineStr">
        <is>
          <t>Giá treo, bệ đỡ</t>
        </is>
      </c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9" t="n"/>
      <c r="B89" s="10" t="inlineStr">
        <is>
          <t>Giá treo ống gió</t>
        </is>
      </c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inlineStr">
        <is>
          <t>Lô</t>
        </is>
      </c>
      <c r="M89" s="11" t="n">
        <v>1</v>
      </c>
      <c r="N89" s="12" t="n"/>
      <c r="O89" s="12" t="n"/>
      <c r="P89" s="10" t="n"/>
    </row>
    <row r="90">
      <c r="A90" s="9" t="n"/>
      <c r="B90" s="10" t="inlineStr">
        <is>
          <t>Giá treo quạt trục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inlineStr">
        <is>
          <t>Bộ</t>
        </is>
      </c>
      <c r="M90" s="11" t="n">
        <v>16</v>
      </c>
      <c r="N90" s="12" t="n"/>
      <c r="O90" s="12" t="n"/>
      <c r="P90" s="10" t="n"/>
    </row>
    <row r="91">
      <c r="A91" s="9" t="n"/>
      <c r="B91" s="10" t="inlineStr">
        <is>
          <t>Bệ đỡ quạt ly trục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inlineStr">
        <is>
          <t>Bộ</t>
        </is>
      </c>
      <c r="M91" s="11" t="n">
        <v>0</v>
      </c>
      <c r="N91" s="12" t="n"/>
      <c r="O91" s="12" t="n"/>
      <c r="P91" s="10" t="n"/>
    </row>
    <row r="92">
      <c r="A92" s="8" t="n">
        <v>10</v>
      </c>
      <c r="B92" s="7" t="inlineStr">
        <is>
          <t>Vật tư phụ</t>
        </is>
      </c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3">
      <c r="A93" s="9" t="n"/>
      <c r="B93" s="10" t="inlineStr">
        <is>
          <t>Vật tư phụ</t>
        </is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inlineStr">
        <is>
          <t>Lô</t>
        </is>
      </c>
      <c r="M93" s="11" t="n">
        <v>1</v>
      </c>
      <c r="N93" s="12" t="n"/>
      <c r="O93" s="12" t="n"/>
      <c r="P93" s="10" t="n"/>
    </row>
    <row r="94">
      <c r="A94" s="6" t="n"/>
      <c r="B94" s="7" t="inlineStr">
        <is>
          <t>HỆ THỐNG ĐIỀU HOÀ CÁC PHÒNG KĨ THUẬT ĐIỆN</t>
        </is>
      </c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9" t="n"/>
      <c r="B95" s="10" t="inlineStr">
        <is>
          <t>Điều hoà cục bộ, 1 chiều lạnh, công suất 7.1 Kw</t>
        </is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inlineStr">
        <is>
          <t>Bộ</t>
        </is>
      </c>
      <c r="M95" s="11" t="n">
        <v>4</v>
      </c>
      <c r="N95" s="12" t="n"/>
      <c r="O95" s="12" t="n"/>
      <c r="P95" s="10" t="n"/>
    </row>
    <row r="96">
      <c r="A96" s="9" t="n"/>
      <c r="B96" s="10" t="inlineStr">
        <is>
          <t>Ống đồng D6.4, dày 0.8mm kèm bảo ôn</t>
        </is>
      </c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inlineStr">
        <is>
          <t>m</t>
        </is>
      </c>
      <c r="M96" s="11" t="n">
        <v>13</v>
      </c>
      <c r="N96" s="12" t="n"/>
      <c r="O96" s="12" t="n"/>
      <c r="P96" s="10" t="n"/>
    </row>
    <row r="97">
      <c r="A97" s="9" t="n"/>
      <c r="B97" s="10" t="inlineStr">
        <is>
          <t>Ống đồng 15.9, dày 1.0 mm kèm bảo ôn</t>
        </is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inlineStr">
        <is>
          <t>m</t>
        </is>
      </c>
      <c r="M97" s="11" t="n">
        <v>13</v>
      </c>
      <c r="N97" s="12" t="n"/>
      <c r="O97" s="12" t="n"/>
      <c r="P97" s="10" t="n"/>
    </row>
    <row r="98">
      <c r="A98" s="9" t="n"/>
      <c r="B98" s="10" t="inlineStr">
        <is>
          <t>Ống nước ngưng uPVC D21 kèm bảo ôn</t>
        </is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inlineStr">
        <is>
          <t>m</t>
        </is>
      </c>
      <c r="M98" s="11" t="n">
        <v>20</v>
      </c>
      <c r="N98" s="12" t="n"/>
      <c r="O98" s="12" t="n"/>
      <c r="P98" s="10" t="n"/>
    </row>
    <row r="99">
      <c r="A99" s="9" t="n"/>
      <c r="B99" s="10" t="inlineStr">
        <is>
          <t>Dây link dàn nóng và dàn lạnh 4xCu/Pvc/Pvc 1x1.5mm2</t>
        </is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inlineStr">
        <is>
          <t>m</t>
        </is>
      </c>
      <c r="M99" s="11" t="n">
        <v>16</v>
      </c>
      <c r="N99" s="12" t="n"/>
      <c r="O99" s="12" t="n"/>
      <c r="P99" s="10" t="n"/>
    </row>
    <row r="100">
      <c r="A100" s="9" t="n"/>
      <c r="B100" s="10" t="inlineStr">
        <is>
          <t>Giá treo cục nóng điều hoà</t>
        </is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inlineStr">
        <is>
          <t>Bộ</t>
        </is>
      </c>
      <c r="M100" s="11" t="n">
        <v>4</v>
      </c>
      <c r="N100" s="12" t="n"/>
      <c r="O100" s="12" t="n"/>
      <c r="P100" s="10" t="n"/>
    </row>
    <row r="101">
      <c r="A101" s="9" t="n"/>
      <c r="B101" s="10" t="inlineStr">
        <is>
          <t>Vật tư phụ</t>
        </is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inlineStr">
        <is>
          <t>Lô</t>
        </is>
      </c>
      <c r="M101" s="11" t="n">
        <v>1</v>
      </c>
      <c r="N101" s="12" t="n"/>
      <c r="O101" s="12" t="n"/>
      <c r="P101" s="10" t="n"/>
    </row>
    <row r="102">
      <c r="A102" s="6" t="n"/>
      <c r="B102" s="7" t="inlineStr">
        <is>
          <t>HỆ THỐNG ĐIỀU HOÀ IBS</t>
        </is>
      </c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</row>
    <row r="103">
      <c r="A103" s="9" t="n"/>
      <c r="B103" s="10" t="inlineStr">
        <is>
          <t>Điều hoà cục bộ, 1 chiều lạnh, công suất 5.0kW</t>
        </is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inlineStr">
        <is>
          <t>Bộ</t>
        </is>
      </c>
      <c r="M103" s="11" t="n">
        <v>2</v>
      </c>
      <c r="N103" s="12" t="n"/>
      <c r="O103" s="12" t="n"/>
      <c r="P103" s="10" t="n"/>
    </row>
    <row r="104">
      <c r="A104" s="9" t="n"/>
      <c r="B104" s="10" t="inlineStr">
        <is>
          <t>Ống đồng D6.4, dày 0.8mm kèm bảo ôn</t>
        </is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inlineStr">
        <is>
          <t>m</t>
        </is>
      </c>
      <c r="M104" s="11" t="n">
        <v>11</v>
      </c>
      <c r="N104" s="12" t="n"/>
      <c r="O104" s="12" t="n"/>
      <c r="P104" s="10" t="n"/>
    </row>
    <row r="105">
      <c r="A105" s="9" t="n"/>
      <c r="B105" s="10" t="inlineStr">
        <is>
          <t>Ống đồng D12.7, dày 0.8mm kèm bảo ôn</t>
        </is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inlineStr">
        <is>
          <t>m</t>
        </is>
      </c>
      <c r="M105" s="11" t="n">
        <v>11</v>
      </c>
      <c r="N105" s="12" t="n"/>
      <c r="O105" s="12" t="n"/>
      <c r="P105" s="10" t="n"/>
    </row>
    <row r="106">
      <c r="A106" s="9" t="n"/>
      <c r="B106" s="10" t="inlineStr">
        <is>
          <t>Ống nước ngưng uPVC D21 kèm bảo ôn</t>
        </is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inlineStr">
        <is>
          <t>m</t>
        </is>
      </c>
      <c r="M106" s="11" t="n">
        <v>20</v>
      </c>
      <c r="N106" s="12" t="n"/>
      <c r="O106" s="12" t="n"/>
      <c r="P106" s="10" t="n"/>
    </row>
    <row r="107">
      <c r="A107" s="9" t="n"/>
      <c r="B107" s="10" t="inlineStr">
        <is>
          <t>Dây link dàn nóng và dàn lạnh 4xCu/Pvc/Pvc 1x1.5mm2</t>
        </is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inlineStr">
        <is>
          <t>m</t>
        </is>
      </c>
      <c r="M107" s="11" t="n">
        <v>12</v>
      </c>
      <c r="N107" s="12" t="n"/>
      <c r="O107" s="12" t="n"/>
      <c r="P107" s="10" t="n"/>
    </row>
    <row r="108">
      <c r="A108" s="9" t="n"/>
      <c r="B108" s="10" t="inlineStr">
        <is>
          <t>Giá treo cục nóng điều hoà</t>
        </is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inlineStr">
        <is>
          <t>Bộ</t>
        </is>
      </c>
      <c r="M108" s="11" t="n">
        <v>2</v>
      </c>
      <c r="N108" s="12" t="n"/>
      <c r="O108" s="12" t="n"/>
      <c r="P108" s="10" t="n"/>
    </row>
    <row r="109">
      <c r="A109" s="9" t="n"/>
      <c r="B109" s="10" t="inlineStr">
        <is>
          <t>Vật tư phụ</t>
        </is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inlineStr">
        <is>
          <t>Lô</t>
        </is>
      </c>
      <c r="M109" s="11" t="n">
        <v>1</v>
      </c>
      <c r="N109" s="12" t="n"/>
      <c r="O109" s="12" t="n"/>
      <c r="P109" s="10" t="n"/>
    </row>
    <row r="110">
      <c r="A110" s="6" t="n"/>
      <c r="B110" s="7" t="inlineStr">
        <is>
          <t>THÔNG GIÓ PHÒNG CHỨC NĂNG</t>
        </is>
      </c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</row>
    <row r="111">
      <c r="A111" s="6" t="n"/>
      <c r="B111" s="7" t="inlineStr">
        <is>
          <t>HỆ THỐNG THÔNG GIÓ PHÒNG KỸ THUẬT</t>
        </is>
      </c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</row>
    <row r="112">
      <c r="A112" s="8" t="n">
        <v>1</v>
      </c>
      <c r="B112" s="7" t="inlineStr">
        <is>
          <t>Thiết bị</t>
        </is>
      </c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</row>
    <row r="113">
      <c r="A113" s="9" t="n"/>
      <c r="B113" s="10" t="inlineStr">
        <is>
          <t>Quạt hút gắn tường kèm van FD
Lưu lượng: 900 m3/h 50Pa</t>
        </is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inlineStr">
        <is>
          <t>Bộ</t>
        </is>
      </c>
      <c r="M113" s="11" t="n">
        <v>4</v>
      </c>
      <c r="N113" s="12" t="n"/>
      <c r="O113" s="12" t="n"/>
      <c r="P113" s="10" t="n"/>
    </row>
    <row r="114">
      <c r="A114" s="9" t="n"/>
      <c r="B114" s="10" t="inlineStr">
        <is>
          <t>Quạt hút gắn tường kèm van FD
Lưu lượng: 1200 m3/h  50Pa</t>
        </is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inlineStr">
        <is>
          <t>Bộ</t>
        </is>
      </c>
      <c r="M114" s="11" t="n">
        <v>5</v>
      </c>
      <c r="N114" s="12" t="n"/>
      <c r="O114" s="12" t="n"/>
      <c r="P114" s="10" t="n"/>
    </row>
    <row r="115">
      <c r="A115" s="8" t="n">
        <v>2</v>
      </c>
      <c r="B115" s="7" t="inlineStr">
        <is>
          <t>Cửa gió</t>
        </is>
      </c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</row>
    <row r="116">
      <c r="A116" s="9" t="n"/>
      <c r="B116" s="10" t="inlineStr">
        <is>
          <t>Cửa gió nan Z kèm lưới chắn côn trùng &amp; van FD, 700x500</t>
        </is>
      </c>
      <c r="C116" s="9" t="inlineStr">
        <is>
          <t>WL+N + FD</t>
        </is>
      </c>
      <c r="D116" s="9" t="inlineStr">
        <is>
          <t>SWIND</t>
        </is>
      </c>
      <c r="E116" s="9" t="n">
        <v>700</v>
      </c>
      <c r="F116" s="9" t="n">
        <v>500</v>
      </c>
      <c r="G116" s="9" t="n">
        <v>650</v>
      </c>
      <c r="H116" s="9" t="n">
        <v>450</v>
      </c>
      <c r="I116" s="9" t="n"/>
      <c r="J116" s="9" t="n">
        <v>200</v>
      </c>
      <c r="K116" s="13" t="n">
        <v>1.15</v>
      </c>
      <c r="L116" s="9" t="inlineStr">
        <is>
          <t>Bộ</t>
        </is>
      </c>
      <c r="M116" s="11" t="n">
        <v>9</v>
      </c>
      <c r="N116" s="11" t="n">
        <v>4352815</v>
      </c>
      <c r="O116" s="11">
        <f>ROUNDUP(N116*M116, -2)</f>
        <v/>
      </c>
      <c r="P116" s="10" t="inlineStr">
        <is>
          <t>Louver nan Z ngoài trời kèm lưới chắn côn trùng Inox 304 + Van chặn lửa cầu chì EI120 (BCTN 4761/VLXD-TBMT)</t>
        </is>
      </c>
    </row>
    <row r="117">
      <c r="A117" s="9" t="n">
        <v>3</v>
      </c>
      <c r="B117" s="10" t="inlineStr">
        <is>
          <t>Khung treo quạt gắn tường</t>
        </is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inlineStr">
        <is>
          <t>Bộ</t>
        </is>
      </c>
      <c r="M117" s="11" t="n">
        <v>9</v>
      </c>
      <c r="N117" s="12" t="n"/>
      <c r="O117" s="12" t="n"/>
      <c r="P117" s="10" t="n"/>
    </row>
    <row r="118">
      <c r="A118" s="9" t="n">
        <v>4</v>
      </c>
      <c r="B118" s="10" t="inlineStr">
        <is>
          <t>Vật tư phụ</t>
        </is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inlineStr">
        <is>
          <t>Lô</t>
        </is>
      </c>
      <c r="M118" s="11" t="n">
        <v>1</v>
      </c>
      <c r="N118" s="12" t="n"/>
      <c r="O118" s="12" t="n"/>
      <c r="P118" s="10" t="n"/>
    </row>
    <row r="119">
      <c r="A119" s="6" t="n"/>
      <c r="B119" s="7" t="inlineStr">
        <is>
          <t>HỆ THỐNG HÚT MÙI WC, HÚT RÁC, TRỰC PCCC</t>
        </is>
      </c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</row>
    <row r="120">
      <c r="A120" s="8" t="n">
        <v>1</v>
      </c>
      <c r="B120" s="7" t="inlineStr">
        <is>
          <t>Thiết bị</t>
        </is>
      </c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</row>
    <row r="121">
      <c r="A121" s="9" t="n"/>
      <c r="B121" s="10" t="inlineStr">
        <is>
          <t>Quạt hút vệ sinh: - Quạt gắn trần
Lưu lượng: 150 m3/h - Cột áp: 50 Pa</t>
        </is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inlineStr">
        <is>
          <t>Bộ</t>
        </is>
      </c>
      <c r="M121" s="11" t="n">
        <v>0</v>
      </c>
      <c r="N121" s="12" t="n"/>
      <c r="O121" s="12" t="n"/>
      <c r="P121" s="10" t="n"/>
    </row>
    <row r="122">
      <c r="A122" s="9" t="n"/>
      <c r="B122" s="10" t="inlineStr">
        <is>
          <t>Quạt hút vệ sinh: - Quạt gắn trần
Lưu lượng: 250 m3/h - Cột áp: 50 Pa</t>
        </is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inlineStr">
        <is>
          <t>Bộ</t>
        </is>
      </c>
      <c r="M122" s="11" t="n">
        <v>0</v>
      </c>
      <c r="N122" s="12" t="n"/>
      <c r="O122" s="12" t="n"/>
      <c r="P122" s="10" t="n"/>
    </row>
    <row r="123">
      <c r="A123" s="9" t="n"/>
      <c r="B123" s="10" t="inlineStr">
        <is>
          <t>Quạt hút rác: - Quạt hướng trục -
Lưu lượng: 3100 m3/h - Cột áp: 200 Pa</t>
        </is>
      </c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inlineStr">
        <is>
          <t>Bộ</t>
        </is>
      </c>
      <c r="M123" s="11" t="n">
        <v>0</v>
      </c>
      <c r="N123" s="12" t="n"/>
      <c r="O123" s="12" t="n"/>
      <c r="P123" s="10" t="n"/>
    </row>
    <row r="124">
      <c r="A124" s="9" t="n">
        <v>2</v>
      </c>
      <c r="B124" s="10" t="inlineStr">
        <is>
          <t>Bạt mềm đầu quạt</t>
        </is>
      </c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inlineStr">
        <is>
          <t>Bộ</t>
        </is>
      </c>
      <c r="M124" s="11" t="n">
        <v>0</v>
      </c>
      <c r="N124" s="12" t="n"/>
      <c r="O124" s="12" t="n"/>
      <c r="P124" s="10" t="n"/>
    </row>
    <row r="125">
      <c r="A125" s="8" t="n">
        <v>3</v>
      </c>
      <c r="B125" s="7" t="inlineStr">
        <is>
          <t>Ống gió</t>
        </is>
      </c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</row>
    <row r="126">
      <c r="A126" s="9" t="n"/>
      <c r="B126" s="10" t="inlineStr">
        <is>
          <t>D100</t>
        </is>
      </c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inlineStr">
        <is>
          <t>m</t>
        </is>
      </c>
      <c r="M126" s="11" t="n">
        <v>0</v>
      </c>
      <c r="N126" s="12" t="n"/>
      <c r="O126" s="12" t="n"/>
      <c r="P126" s="10" t="n"/>
    </row>
    <row r="127">
      <c r="A127" s="9" t="n"/>
      <c r="B127" s="10" t="inlineStr">
        <is>
          <t>D150</t>
        </is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inlineStr">
        <is>
          <t>m</t>
        </is>
      </c>
      <c r="M127" s="11" t="n">
        <v>0</v>
      </c>
      <c r="N127" s="12" t="n"/>
      <c r="O127" s="12" t="n"/>
      <c r="P127" s="10" t="n"/>
    </row>
    <row r="128">
      <c r="A128" s="9" t="n"/>
      <c r="B128" s="10" t="inlineStr">
        <is>
          <t>200x100</t>
        </is>
      </c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inlineStr">
        <is>
          <t>m</t>
        </is>
      </c>
      <c r="M128" s="11" t="n">
        <v>0</v>
      </c>
      <c r="N128" s="12" t="n"/>
      <c r="O128" s="12" t="n"/>
      <c r="P128" s="10" t="n"/>
    </row>
    <row r="129">
      <c r="A129" s="9" t="n"/>
      <c r="B129" s="10" t="inlineStr">
        <is>
          <t>300x300</t>
        </is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inlineStr">
        <is>
          <t>m</t>
        </is>
      </c>
      <c r="M129" s="11" t="n">
        <v>0</v>
      </c>
      <c r="N129" s="12" t="n"/>
      <c r="O129" s="12" t="n"/>
      <c r="P129" s="10" t="n"/>
    </row>
    <row r="130">
      <c r="A130" s="9" t="n"/>
      <c r="B130" s="10" t="inlineStr">
        <is>
          <t>400x300</t>
        </is>
      </c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inlineStr">
        <is>
          <t>m</t>
        </is>
      </c>
      <c r="M130" s="11" t="n">
        <v>0</v>
      </c>
      <c r="N130" s="12" t="n"/>
      <c r="O130" s="12" t="n"/>
      <c r="P130" s="10" t="n"/>
    </row>
    <row r="131">
      <c r="A131" s="9" t="n">
        <v>4</v>
      </c>
      <c r="B131" s="10" t="inlineStr">
        <is>
          <t>Phụ kiện ống gió</t>
        </is>
      </c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inlineStr">
        <is>
          <t>Lô</t>
        </is>
      </c>
      <c r="M131" s="11" t="n">
        <v>0</v>
      </c>
      <c r="N131" s="12" t="n"/>
      <c r="O131" s="12" t="n"/>
      <c r="P131" s="10" t="n"/>
    </row>
    <row r="132">
      <c r="A132" s="8" t="n">
        <v>5</v>
      </c>
      <c r="B132" s="7" t="inlineStr">
        <is>
          <t>Cửa gió</t>
        </is>
      </c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</row>
    <row r="133">
      <c r="A133" s="9" t="n"/>
      <c r="B133" s="10" t="inlineStr">
        <is>
          <t>Cửa gió nan thẳng kèm van gió OBD &amp; hộp gió, 200x200</t>
        </is>
      </c>
      <c r="C133" s="9" t="inlineStr">
        <is>
          <t>SDG+O</t>
        </is>
      </c>
      <c r="D133" s="9" t="inlineStr">
        <is>
          <t>SWIND</t>
        </is>
      </c>
      <c r="E133" s="9" t="n">
        <v>200</v>
      </c>
      <c r="F133" s="9" t="n">
        <v>200</v>
      </c>
      <c r="G133" s="9" t="n">
        <v>150</v>
      </c>
      <c r="H133" s="9" t="n">
        <v>150</v>
      </c>
      <c r="I133" s="9" t="n"/>
      <c r="J133" s="9" t="n"/>
      <c r="K133" s="9" t="n"/>
      <c r="L133" s="9" t="inlineStr">
        <is>
          <t>Bộ</t>
        </is>
      </c>
      <c r="M133" s="11" t="n">
        <v>8</v>
      </c>
      <c r="N133" s="11" t="n">
        <v>92000</v>
      </c>
      <c r="O133" s="11">
        <f>ROUNDUP(N133*M133, -2)</f>
        <v/>
      </c>
      <c r="P133" s="10" t="inlineStr">
        <is>
          <t>Cửa nan bầu dục 1 lớp kèm van OBD. Không tính box do nhà thầu tự thi công</t>
        </is>
      </c>
    </row>
    <row r="134">
      <c r="A134" s="9" t="n"/>
      <c r="B134" s="10" t="inlineStr">
        <is>
          <t>Cửa gió nan Z kèm lưới chắn côn trùng &amp; hộp gió, 500x200</t>
        </is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inlineStr">
        <is>
          <t>Bộ</t>
        </is>
      </c>
      <c r="M134" s="11" t="n">
        <v>0</v>
      </c>
      <c r="N134" s="12" t="n"/>
      <c r="O134" s="12" t="n"/>
      <c r="P134" s="10" t="n"/>
    </row>
    <row r="135">
      <c r="A135" s="8" t="n">
        <v>6</v>
      </c>
      <c r="B135" s="7" t="inlineStr">
        <is>
          <t>Van gió</t>
        </is>
      </c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</row>
    <row r="136">
      <c r="A136" s="9" t="n"/>
      <c r="B136" s="10" t="inlineStr">
        <is>
          <t>Van chặn lửa, FD 200x200</t>
        </is>
      </c>
      <c r="C136" s="9" t="inlineStr">
        <is>
          <t>SWIND-2.01- E-FD-EI120</t>
        </is>
      </c>
      <c r="D136" s="9" t="inlineStr">
        <is>
          <t>SWIND</t>
        </is>
      </c>
      <c r="E136" s="9" t="n">
        <v>200</v>
      </c>
      <c r="F136" s="9" t="n">
        <v>200</v>
      </c>
      <c r="G136" s="9" t="n"/>
      <c r="H136" s="9" t="n"/>
      <c r="I136" s="9" t="n"/>
      <c r="J136" s="9" t="n">
        <v>200</v>
      </c>
      <c r="K136" s="13" t="n">
        <v>1.15</v>
      </c>
      <c r="L136" s="9" t="inlineStr">
        <is>
          <t>Bộ</t>
        </is>
      </c>
      <c r="M136" s="11" t="n">
        <v>8</v>
      </c>
      <c r="N136" s="11" t="n">
        <v>1035880</v>
      </c>
      <c r="O136" s="11">
        <f>ROUNDUP(N136*M136, -2)</f>
        <v/>
      </c>
      <c r="P136" s="10" t="inlineStr">
        <is>
          <t>- Van chặn lửa cầu chì - Tiêu chuẩn EI 120
- 2 đầu bích TDC - gắn cầu chì 70-74 độ C
- Sản xuất theo BCTN số: 4761/VLXD-TBMT</t>
        </is>
      </c>
    </row>
    <row r="137">
      <c r="A137" s="8" t="n">
        <v>7</v>
      </c>
      <c r="B137" s="7" t="inlineStr">
        <is>
          <t>Ống gió mềm</t>
        </is>
      </c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</row>
    <row r="138">
      <c r="A138" s="9" t="n"/>
      <c r="B138" s="10" t="inlineStr">
        <is>
          <t>Ống gió mềm không bảo ôn D100</t>
        </is>
      </c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inlineStr">
        <is>
          <t>m</t>
        </is>
      </c>
      <c r="M138" s="11" t="n">
        <v>0</v>
      </c>
      <c r="N138" s="12" t="n"/>
      <c r="O138" s="12" t="n"/>
      <c r="P138" s="10" t="n"/>
    </row>
    <row r="139">
      <c r="A139" s="9" t="n"/>
      <c r="B139" s="10" t="inlineStr">
        <is>
          <t>Ống gió mềm không bảo ôn D150</t>
        </is>
      </c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inlineStr">
        <is>
          <t>m</t>
        </is>
      </c>
      <c r="M139" s="11" t="n">
        <v>0</v>
      </c>
      <c r="N139" s="12" t="n"/>
      <c r="O139" s="12" t="n"/>
      <c r="P139" s="10" t="n"/>
    </row>
    <row r="140">
      <c r="A140" s="9" t="n">
        <v>8</v>
      </c>
      <c r="B140" s="10" t="inlineStr">
        <is>
          <t>Bệ đỡ quạt trục</t>
        </is>
      </c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inlineStr">
        <is>
          <t>Bộ</t>
        </is>
      </c>
      <c r="M140" s="11" t="n">
        <v>0</v>
      </c>
      <c r="N140" s="12" t="n"/>
      <c r="O140" s="12" t="n"/>
      <c r="P140" s="10" t="n"/>
    </row>
    <row r="141">
      <c r="A141" s="9" t="n">
        <v>9</v>
      </c>
      <c r="B141" s="10" t="inlineStr">
        <is>
          <t>Giá đỡ ống gió</t>
        </is>
      </c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inlineStr">
        <is>
          <t>Lô</t>
        </is>
      </c>
      <c r="M141" s="11" t="n">
        <v>0</v>
      </c>
      <c r="N141" s="12" t="n"/>
      <c r="O141" s="12" t="n"/>
      <c r="P141" s="10" t="n"/>
    </row>
    <row r="142">
      <c r="A142" s="9" t="n">
        <v>10</v>
      </c>
      <c r="B142" s="10" t="inlineStr">
        <is>
          <t>Vật tư phụ</t>
        </is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inlineStr">
        <is>
          <t>Lô</t>
        </is>
      </c>
      <c r="M142" s="11" t="n">
        <v>0</v>
      </c>
      <c r="N142" s="12" t="n"/>
      <c r="O142" s="12" t="n"/>
      <c r="P142" s="10" t="n"/>
    </row>
    <row r="143">
      <c r="A143" s="6" t="n"/>
      <c r="B143" s="7" t="inlineStr">
        <is>
          <t>HỆ THỐNG HÚT PHÒNG KỸ THUẬT ĐIỆN</t>
        </is>
      </c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</row>
    <row r="144">
      <c r="A144" s="8" t="n">
        <v>1</v>
      </c>
      <c r="B144" s="7" t="inlineStr">
        <is>
          <t>Thiết bị</t>
        </is>
      </c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</row>
    <row r="145">
      <c r="A145" s="9" t="n"/>
      <c r="B145" s="10" t="inlineStr">
        <is>
          <t>Quạt hút : - Quạt hướng trục -
Lưu lượng: 1500 m3/h - Cột áp: 200 Pa</t>
        </is>
      </c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inlineStr">
        <is>
          <t>Bộ</t>
        </is>
      </c>
      <c r="M145" s="11" t="n">
        <v>0</v>
      </c>
      <c r="N145" s="12" t="n"/>
      <c r="O145" s="12" t="n"/>
      <c r="P145" s="10" t="n"/>
    </row>
    <row r="146">
      <c r="A146" s="9" t="n">
        <v>2</v>
      </c>
      <c r="B146" s="10" t="inlineStr">
        <is>
          <t>Bạt mềm đầu quạt</t>
        </is>
      </c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inlineStr">
        <is>
          <t>Bộ</t>
        </is>
      </c>
      <c r="M146" s="11" t="n">
        <v>0</v>
      </c>
      <c r="N146" s="12" t="n"/>
      <c r="O146" s="12" t="n"/>
      <c r="P146" s="10" t="n"/>
    </row>
    <row r="147">
      <c r="A147" s="8" t="n">
        <v>3</v>
      </c>
      <c r="B147" s="7" t="inlineStr">
        <is>
          <t>Ống gió</t>
        </is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9" t="n"/>
      <c r="B148" s="10" t="inlineStr">
        <is>
          <t>150X150</t>
        </is>
      </c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inlineStr">
        <is>
          <t>m</t>
        </is>
      </c>
      <c r="M148" s="11" t="n">
        <v>13</v>
      </c>
      <c r="N148" s="12" t="n"/>
      <c r="O148" s="12" t="n"/>
      <c r="P148" s="10" t="n"/>
    </row>
    <row r="149">
      <c r="A149" s="9" t="n"/>
      <c r="B149" s="10" t="inlineStr">
        <is>
          <t>250X200</t>
        </is>
      </c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inlineStr">
        <is>
          <t>m</t>
        </is>
      </c>
      <c r="M149" s="11" t="n">
        <v>0</v>
      </c>
      <c r="N149" s="12" t="n"/>
      <c r="O149" s="12" t="n"/>
      <c r="P149" s="10" t="n"/>
    </row>
    <row r="150">
      <c r="A150" s="9" t="n"/>
      <c r="B150" s="10" t="inlineStr">
        <is>
          <t>350X200</t>
        </is>
      </c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inlineStr">
        <is>
          <t>m</t>
        </is>
      </c>
      <c r="M150" s="11" t="n">
        <v>0</v>
      </c>
      <c r="N150" s="12" t="n"/>
      <c r="O150" s="12" t="n"/>
      <c r="P150" s="10" t="n"/>
    </row>
    <row r="151">
      <c r="A151" s="9" t="n">
        <v>4</v>
      </c>
      <c r="B151" s="10" t="inlineStr">
        <is>
          <t>Phụ kiện ống gió</t>
        </is>
      </c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inlineStr">
        <is>
          <t>Lô</t>
        </is>
      </c>
      <c r="M151" s="11" t="n">
        <v>0</v>
      </c>
      <c r="N151" s="12" t="n"/>
      <c r="O151" s="12" t="n"/>
      <c r="P151" s="10" t="n"/>
    </row>
    <row r="152">
      <c r="A152" s="8" t="n">
        <v>5</v>
      </c>
      <c r="B152" s="7" t="inlineStr">
        <is>
          <t>Cửa gió</t>
        </is>
      </c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</row>
    <row r="153">
      <c r="A153" s="9" t="n"/>
      <c r="B153" s="10" t="inlineStr">
        <is>
          <t>Cửa gió nan thẳng kèm van gió OBD &amp; hộp gió, 200x200</t>
        </is>
      </c>
      <c r="C153" s="9" t="inlineStr">
        <is>
          <t>SDG+O</t>
        </is>
      </c>
      <c r="D153" s="9" t="inlineStr">
        <is>
          <t>SWIND</t>
        </is>
      </c>
      <c r="E153" s="9" t="n">
        <v>200</v>
      </c>
      <c r="F153" s="9" t="n">
        <v>200</v>
      </c>
      <c r="G153" s="9" t="n">
        <v>150</v>
      </c>
      <c r="H153" s="9" t="n">
        <v>150</v>
      </c>
      <c r="I153" s="9" t="n"/>
      <c r="J153" s="9" t="n"/>
      <c r="K153" s="9" t="n"/>
      <c r="L153" s="9" t="inlineStr">
        <is>
          <t>Bộ</t>
        </is>
      </c>
      <c r="M153" s="11" t="n">
        <v>4</v>
      </c>
      <c r="N153" s="11" t="n">
        <v>92000</v>
      </c>
      <c r="O153" s="11">
        <f>ROUNDUP(N153*M153, -2)</f>
        <v/>
      </c>
      <c r="P153" s="10" t="inlineStr">
        <is>
          <t>Cửa nan bầu dục 1 lớp kèm van OBD. Không tính box do nhà thầu tự thi công</t>
        </is>
      </c>
    </row>
    <row r="154">
      <c r="A154" s="8" t="n">
        <v>6</v>
      </c>
      <c r="B154" s="7" t="inlineStr">
        <is>
          <t>Van gió</t>
        </is>
      </c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</row>
    <row r="155">
      <c r="A155" s="9" t="n"/>
      <c r="B155" s="10" t="inlineStr">
        <is>
          <t>Van chặn lửa, FD 150x150</t>
        </is>
      </c>
      <c r="C155" s="9" t="inlineStr">
        <is>
          <t>SWIND-2.01- E-FD-EI120</t>
        </is>
      </c>
      <c r="D155" s="9" t="inlineStr">
        <is>
          <t>SWIND</t>
        </is>
      </c>
      <c r="E155" s="9" t="n">
        <v>150</v>
      </c>
      <c r="F155" s="9" t="n">
        <v>150</v>
      </c>
      <c r="G155" s="9" t="n"/>
      <c r="H155" s="9" t="n"/>
      <c r="I155" s="9" t="n"/>
      <c r="J155" s="9" t="n">
        <v>200</v>
      </c>
      <c r="K155" s="13" t="n">
        <v>1.15</v>
      </c>
      <c r="L155" s="9" t="inlineStr">
        <is>
          <t>Bộ</t>
        </is>
      </c>
      <c r="M155" s="11" t="n">
        <v>4</v>
      </c>
      <c r="N155" s="11" t="n">
        <v>833698</v>
      </c>
      <c r="O155" s="11">
        <f>ROUNDUP(N155*M155, -2)</f>
        <v/>
      </c>
      <c r="P155" s="10" t="inlineStr">
        <is>
          <t>- Van chặn lửa cầu chì - Tiêu chuẩn EI 120
- 2 đầu bích TDC - gắn cầu chì 70-74 độ C
- Sản xuất theo BCTN số: 4761/VLXD-TBMT</t>
        </is>
      </c>
    </row>
    <row r="156">
      <c r="A156" s="9" t="n"/>
      <c r="B156" s="10" t="inlineStr">
        <is>
          <t>Van chặn lửa, MFD 150x150</t>
        </is>
      </c>
      <c r="C156" s="9" t="inlineStr">
        <is>
          <t>SWIND-1.02-MFD-EI90</t>
        </is>
      </c>
      <c r="D156" s="9" t="inlineStr">
        <is>
          <t>SWIND</t>
        </is>
      </c>
      <c r="E156" s="9" t="n">
        <v>150</v>
      </c>
      <c r="F156" s="9" t="n">
        <v>150</v>
      </c>
      <c r="G156" s="9" t="n"/>
      <c r="H156" s="9" t="n"/>
      <c r="I156" s="9" t="n"/>
      <c r="J156" s="9" t="n">
        <v>200</v>
      </c>
      <c r="K156" s="13" t="n">
        <v>1.15</v>
      </c>
      <c r="L156" s="9" t="inlineStr">
        <is>
          <t>Bộ</t>
        </is>
      </c>
      <c r="M156" s="11" t="n">
        <v>4</v>
      </c>
      <c r="N156" s="11" t="n">
        <v>4533698</v>
      </c>
      <c r="O156" s="11">
        <f>ROUNDUP(N156*M156, -2)</f>
        <v/>
      </c>
      <c r="P156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157">
      <c r="A157" s="9" t="n">
        <v>7</v>
      </c>
      <c r="B157" s="10" t="inlineStr">
        <is>
          <t>Bệ đỡ quạt trục</t>
        </is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inlineStr">
        <is>
          <t>Bộ</t>
        </is>
      </c>
      <c r="M157" s="11" t="n">
        <v>0</v>
      </c>
      <c r="N157" s="12" t="n"/>
      <c r="O157" s="12" t="n"/>
      <c r="P157" s="10" t="n"/>
    </row>
    <row r="158">
      <c r="A158" s="9" t="n">
        <v>8</v>
      </c>
      <c r="B158" s="10" t="inlineStr">
        <is>
          <t>Giá đỡ ống gió</t>
        </is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inlineStr">
        <is>
          <t>Lô</t>
        </is>
      </c>
      <c r="M158" s="11" t="n">
        <v>0</v>
      </c>
      <c r="N158" s="12" t="n"/>
      <c r="O158" s="12" t="n"/>
      <c r="P158" s="10" t="n"/>
    </row>
    <row r="159">
      <c r="A159" s="9" t="n">
        <v>9</v>
      </c>
      <c r="B159" s="10" t="inlineStr">
        <is>
          <t>Vật tư phụ</t>
        </is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inlineStr">
        <is>
          <t>Lô</t>
        </is>
      </c>
      <c r="M159" s="11" t="n">
        <v>0</v>
      </c>
      <c r="N159" s="12" t="n"/>
      <c r="O159" s="12" t="n"/>
      <c r="P159" s="10" t="n"/>
    </row>
    <row r="160">
      <c r="A160" s="9" t="n"/>
      <c r="B160" s="10" t="inlineStr">
        <is>
          <t>CHI PHÍ CHẠY KIỂM TRA VÀ CHẠY THỬ HỆ THỐNG</t>
        </is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inlineStr">
        <is>
          <t>LÔ</t>
        </is>
      </c>
      <c r="M160" s="11" t="n">
        <v>0</v>
      </c>
      <c r="N160" s="12" t="n"/>
      <c r="O160" s="12" t="n"/>
      <c r="P160" s="10" t="n"/>
    </row>
    <row r="161"/>
    <row r="162">
      <c r="B162" s="14" t="inlineStr">
        <is>
          <t>TỔNG CỘNG (CHƯA BAO GỒM VAT):</t>
        </is>
      </c>
      <c r="O162" s="15">
        <f>SUBTOTAL(9,O14:O160)</f>
        <v/>
      </c>
    </row>
    <row r="163">
      <c r="B163" s="14" t="inlineStr">
        <is>
          <t>THUẾ GTGT (VAT 8%):</t>
        </is>
      </c>
      <c r="O163" s="15">
        <f>ROUND(O162*0.08, 0)</f>
        <v/>
      </c>
    </row>
    <row r="164">
      <c r="B164" s="14" t="inlineStr">
        <is>
          <t>TỔNG CỘNG THANH TOÁN (ĐÃ GỒM VAT 8%):</t>
        </is>
      </c>
      <c r="O164" s="15">
        <f>O162+O163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2026-10-19T09:48:37Z</dcterms:created>
  <dcterms:modified xsi:type="dcterms:W3CDTF">2026-10-19T09:48:39Z</dcterms:modified>
  <cp:lastModifiedBy>Swind Multi-Agent AI</cp:lastModifiedBy>
</cp:coreProperties>
</file>
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HÚT MÙI WC, HÚT RÁC, TRỰC PCCC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6" t="n">
        <v>1</v>
      </c>
      <c r="B21" s="7" t="inlineStr">
        <is>
          <t>Thiết bị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/>
      <c r="B22" s="10" t="inlineStr">
        <is>
          <t>Quạt hút vệ sinh: - Quạt gắn trần
Lưu lượng: 150 m3/h - Cột áp: 50 Pa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3</v>
      </c>
      <c r="N22" s="12" t="n"/>
      <c r="O22" s="12" t="n"/>
      <c r="P22" s="10" t="n"/>
    </row>
    <row r="23">
      <c r="A23" s="9" t="n"/>
      <c r="B23" s="10" t="inlineStr">
        <is>
          <t>Quạt hút vệ sinh: - Quạt gắn trần
Lưu lượng: 250 m3/h - Cột áp: 50 Pa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Bộ</t>
        </is>
      </c>
      <c r="M23" s="11" t="n">
        <v>2</v>
      </c>
      <c r="N23" s="12" t="n"/>
      <c r="O23" s="12" t="n"/>
      <c r="P23" s="10" t="n"/>
    </row>
    <row r="24">
      <c r="A24" s="9" t="n"/>
      <c r="B24" s="10" t="inlineStr">
        <is>
          <t>Quạt hút rác: - Quạt hướng trục -
Lưu lượng: 3100 m3/h - Cột áp: 200 Pa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Bộ</t>
        </is>
      </c>
      <c r="M24" s="11" t="n">
        <v>2</v>
      </c>
      <c r="N24" s="12" t="n"/>
      <c r="O24" s="12" t="n"/>
      <c r="P24" s="10" t="n"/>
    </row>
    <row r="25">
      <c r="A25" s="9" t="n">
        <v>2</v>
      </c>
      <c r="B25" s="10" t="inlineStr">
        <is>
          <t>Bạt mềm đầu quạt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Bộ</t>
        </is>
      </c>
      <c r="M25" s="11" t="n">
        <v>2</v>
      </c>
      <c r="N25" s="12" t="n"/>
      <c r="O25" s="12" t="n"/>
      <c r="P25" s="10" t="n"/>
    </row>
    <row r="26">
      <c r="A26" s="6" t="n">
        <v>3</v>
      </c>
      <c r="B26" s="7" t="inlineStr">
        <is>
          <t>Ống gió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9" t="n"/>
      <c r="B27" s="10" t="inlineStr">
        <is>
          <t>D100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m</t>
        </is>
      </c>
      <c r="M27" s="11" t="n">
        <v>15</v>
      </c>
      <c r="N27" s="12" t="n"/>
      <c r="O27" s="12" t="n"/>
      <c r="P27" s="10" t="n"/>
    </row>
    <row r="28">
      <c r="A28" s="9" t="n"/>
      <c r="B28" s="10" t="inlineStr">
        <is>
          <t>D150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inlineStr">
        <is>
          <t>m</t>
        </is>
      </c>
      <c r="M28" s="11" t="n">
        <v>7</v>
      </c>
      <c r="N28" s="12" t="n"/>
      <c r="O28" s="12" t="n"/>
      <c r="P28" s="10" t="n"/>
    </row>
    <row r="29">
      <c r="A29" s="9" t="n"/>
      <c r="B29" s="10" t="inlineStr">
        <is>
          <t>200x100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inlineStr">
        <is>
          <t>m</t>
        </is>
      </c>
      <c r="M29" s="11" t="n">
        <v>0</v>
      </c>
      <c r="N29" s="12" t="n"/>
      <c r="O29" s="12" t="n"/>
      <c r="P29" s="10" t="n"/>
    </row>
    <row r="30">
      <c r="A30" s="9" t="n"/>
      <c r="B30" s="10" t="inlineStr">
        <is>
          <t>300x300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m</t>
        </is>
      </c>
      <c r="M30" s="11" t="n">
        <v>29</v>
      </c>
      <c r="N30" s="12" t="n"/>
      <c r="O30" s="12" t="n"/>
      <c r="P30" s="10" t="n"/>
    </row>
    <row r="31">
      <c r="A31" s="9" t="n"/>
      <c r="B31" s="10" t="inlineStr">
        <is>
          <t>400x300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m</t>
        </is>
      </c>
      <c r="M31" s="11" t="n">
        <v>41</v>
      </c>
      <c r="N31" s="12" t="n"/>
      <c r="O31" s="12" t="n"/>
      <c r="P31" s="10" t="n"/>
    </row>
    <row r="32">
      <c r="A32" s="9" t="n">
        <v>4</v>
      </c>
      <c r="B32" s="10" t="inlineStr">
        <is>
          <t>Phụ kiện ống gió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Lô</t>
        </is>
      </c>
      <c r="M32" s="11" t="n">
        <v>1</v>
      </c>
      <c r="N32" s="12" t="n"/>
      <c r="O32" s="12" t="n"/>
      <c r="P32" s="10" t="n"/>
    </row>
    <row r="33">
      <c r="A33" s="6" t="n">
        <v>5</v>
      </c>
      <c r="B33" s="7" t="inlineStr">
        <is>
          <t>Cửa gió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9" t="n"/>
      <c r="B34" s="10" t="inlineStr">
        <is>
          <t>Cửa gió nan thẳng kèm van gió OBD &amp; hộp gió, 200x200</t>
        </is>
      </c>
      <c r="C34" s="9" t="inlineStr">
        <is>
          <t>SDG+O</t>
        </is>
      </c>
      <c r="D34" s="9" t="inlineStr">
        <is>
          <t>SWIND</t>
        </is>
      </c>
      <c r="E34" s="9" t="n">
        <v>200</v>
      </c>
      <c r="F34" s="9" t="n">
        <v>200</v>
      </c>
      <c r="G34" s="9" t="n">
        <v>150</v>
      </c>
      <c r="H34" s="9" t="n">
        <v>150</v>
      </c>
      <c r="I34" s="9" t="n"/>
      <c r="J34" s="9" t="n"/>
      <c r="K34" s="9" t="n"/>
      <c r="L34" s="9" t="inlineStr">
        <is>
          <t>Bộ</t>
        </is>
      </c>
      <c r="M34" s="11" t="n">
        <v>36</v>
      </c>
      <c r="N34" s="11" t="n">
        <v>92000</v>
      </c>
      <c r="O34" s="11">
        <f>ROUNDUP(N34*M34, -2)</f>
        <v/>
      </c>
      <c r="P34" s="10" t="inlineStr">
        <is>
          <t>Cửa nan bầu dục 1 lớp kèm van OBD. Không tính box do nhà thầu tự thi công</t>
        </is>
      </c>
    </row>
    <row r="35">
      <c r="A35" s="9" t="n"/>
      <c r="B35" s="10" t="inlineStr">
        <is>
          <t>Cửa gió nan Z kèm lưới chắn côn trùng &amp; hộp gió, 500x200</t>
        </is>
      </c>
      <c r="C35" s="9" t="inlineStr">
        <is>
          <t>WL+N</t>
        </is>
      </c>
      <c r="D35" s="9" t="inlineStr">
        <is>
          <t>SWIND</t>
        </is>
      </c>
      <c r="E35" s="9" t="n">
        <v>500</v>
      </c>
      <c r="F35" s="9" t="n">
        <v>200</v>
      </c>
      <c r="G35" s="9" t="n">
        <v>450</v>
      </c>
      <c r="H35" s="9" t="n">
        <v>150</v>
      </c>
      <c r="I35" s="9" t="n"/>
      <c r="J35" s="9" t="n"/>
      <c r="K35" s="9" t="n"/>
      <c r="L35" s="9" t="inlineStr">
        <is>
          <t>Bộ</t>
        </is>
      </c>
      <c r="M35" s="11" t="n">
        <v>2</v>
      </c>
      <c r="N35" s="11" t="n">
        <v>158000</v>
      </c>
      <c r="O35" s="11">
        <f>ROUNDUP(N35*M35, -2)</f>
        <v/>
      </c>
      <c r="P35" s="10" t="inlineStr">
        <is>
          <t>Louver nan Z ngoài trời kèm lưới chắn côn trùng Inox 304. Không tính box do nhà thầu tự thi công</t>
        </is>
      </c>
    </row>
    <row r="36">
      <c r="A36" s="6" t="n">
        <v>6</v>
      </c>
      <c r="B36" s="7" t="inlineStr">
        <is>
          <t>Van gió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9" t="n"/>
      <c r="B37" s="10" t="inlineStr">
        <is>
          <t>Van chặn lửa, FD 200x200</t>
        </is>
      </c>
      <c r="C37" s="9" t="inlineStr">
        <is>
          <t>SWIND-2.01- E-FD-EI120</t>
        </is>
      </c>
      <c r="D37" s="9" t="inlineStr">
        <is>
          <t>SWIND</t>
        </is>
      </c>
      <c r="E37" s="9" t="n">
        <v>200</v>
      </c>
      <c r="F37" s="9" t="n">
        <v>200</v>
      </c>
      <c r="G37" s="9" t="n"/>
      <c r="H37" s="9" t="n"/>
      <c r="I37" s="9" t="n"/>
      <c r="J37" s="9" t="n">
        <v>200</v>
      </c>
      <c r="K37" s="13" t="n">
        <v>1.15</v>
      </c>
      <c r="L37" s="9" t="inlineStr">
        <is>
          <t>Bộ</t>
        </is>
      </c>
      <c r="M37" s="11" t="n">
        <v>36</v>
      </c>
      <c r="N37" s="11" t="n">
        <v>1035880</v>
      </c>
      <c r="O37" s="11">
        <f>ROUNDUP(N37*M37, -2)</f>
        <v/>
      </c>
      <c r="P37" s="10" t="inlineStr">
        <is>
          <t>- Van chặn lửa cầu chì - Tiêu chuẩn EI 120
- 2 đầu bích TDC - gắn cầu chì 70-74 độ C
- Sản xuất theo BCTN số: 4761/VLXD-TBMT</t>
        </is>
      </c>
    </row>
    <row r="38">
      <c r="A38" s="6" t="n">
        <v>7</v>
      </c>
      <c r="B38" s="7" t="inlineStr">
        <is>
          <t>Ống gió mềm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9" t="n"/>
      <c r="B39" s="10" t="inlineStr">
        <is>
          <t>Ống gió mềm không bảo ôn D100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m</t>
        </is>
      </c>
      <c r="M39" s="11" t="n">
        <v>7</v>
      </c>
      <c r="N39" s="12" t="n"/>
      <c r="O39" s="12" t="n"/>
      <c r="P39" s="10" t="n"/>
    </row>
    <row r="40">
      <c r="A40" s="9" t="n"/>
      <c r="B40" s="10" t="inlineStr">
        <is>
          <t>Ống gió mềm không bảo ôn D150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inlineStr">
        <is>
          <t>m</t>
        </is>
      </c>
      <c r="M40" s="11" t="n">
        <v>2</v>
      </c>
      <c r="N40" s="12" t="n"/>
      <c r="O40" s="12" t="n"/>
      <c r="P40" s="10" t="n"/>
    </row>
    <row r="41">
      <c r="A41" s="9" t="n">
        <v>8</v>
      </c>
      <c r="B41" s="10" t="inlineStr">
        <is>
          <t>Bệ đỡ quạt trục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Bộ</t>
        </is>
      </c>
      <c r="M41" s="11" t="n">
        <v>2</v>
      </c>
      <c r="N41" s="12" t="n"/>
      <c r="O41" s="12" t="n"/>
      <c r="P41" s="10" t="n"/>
    </row>
    <row r="42">
      <c r="A42" s="9" t="n">
        <v>9</v>
      </c>
      <c r="B42" s="10" t="inlineStr">
        <is>
          <t>Giá đỡ ống gió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Lô</t>
        </is>
      </c>
      <c r="M42" s="11" t="n">
        <v>1</v>
      </c>
      <c r="N42" s="12" t="n"/>
      <c r="O42" s="12" t="n"/>
      <c r="P42" s="10" t="n"/>
    </row>
    <row r="43">
      <c r="A43" s="9" t="n">
        <v>10</v>
      </c>
      <c r="B43" s="10" t="inlineStr">
        <is>
          <t>Vật tư phụ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Lô</t>
        </is>
      </c>
      <c r="M43" s="11" t="n">
        <v>1</v>
      </c>
      <c r="N43" s="12" t="n"/>
      <c r="O43" s="12" t="n"/>
      <c r="P43" s="10" t="n"/>
    </row>
    <row r="44">
      <c r="A44" s="8" t="n"/>
      <c r="B44" s="7" t="inlineStr">
        <is>
          <t>HỆ THỐNG HÚT PHÒNG KỸ THUẬT ĐIỆN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6" t="n">
        <v>1</v>
      </c>
      <c r="B45" s="7" t="inlineStr">
        <is>
          <t>Thiết bị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Quạt hút : - Quạt hướng trục -
Lưu lượng: 1500 m3/h - Cột áp: 200 Pa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Bộ</t>
        </is>
      </c>
      <c r="M46" s="11" t="n">
        <v>2</v>
      </c>
      <c r="N46" s="12" t="n"/>
      <c r="O46" s="12" t="n"/>
      <c r="P46" s="10" t="n"/>
    </row>
    <row r="47">
      <c r="A47" s="9" t="n">
        <v>2</v>
      </c>
      <c r="B47" s="10" t="inlineStr">
        <is>
          <t>Bạt mềm đầu quạt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Bộ</t>
        </is>
      </c>
      <c r="M47" s="11" t="n">
        <v>2</v>
      </c>
      <c r="N47" s="12" t="n"/>
      <c r="O47" s="12" t="n"/>
      <c r="P47" s="10" t="n"/>
    </row>
    <row r="48">
      <c r="A48" s="6" t="n">
        <v>3</v>
      </c>
      <c r="B48" s="7" t="inlineStr">
        <is>
          <t>Ống gió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9" t="n"/>
      <c r="B49" s="10" t="inlineStr">
        <is>
          <t>150X150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m</t>
        </is>
      </c>
      <c r="M49" s="11" t="n">
        <v>62</v>
      </c>
      <c r="N49" s="12" t="n"/>
      <c r="O49" s="12" t="n"/>
      <c r="P49" s="10" t="n"/>
    </row>
    <row r="50">
      <c r="A50" s="9" t="n"/>
      <c r="B50" s="10" t="inlineStr">
        <is>
          <t>250X200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m</t>
        </is>
      </c>
      <c r="M50" s="11" t="n">
        <v>29</v>
      </c>
      <c r="N50" s="12" t="n"/>
      <c r="O50" s="12" t="n"/>
      <c r="P50" s="10" t="n"/>
    </row>
    <row r="51">
      <c r="A51" s="9" t="n"/>
      <c r="B51" s="10" t="inlineStr">
        <is>
          <t>350X200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inlineStr">
        <is>
          <t>m</t>
        </is>
      </c>
      <c r="M51" s="11" t="n">
        <v>41</v>
      </c>
      <c r="N51" s="12" t="n"/>
      <c r="O51" s="12" t="n"/>
      <c r="P51" s="10" t="n"/>
    </row>
    <row r="52">
      <c r="A52" s="9" t="n">
        <v>4</v>
      </c>
      <c r="B52" s="10" t="inlineStr">
        <is>
          <t>Phụ kiện ống gió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Lô</t>
        </is>
      </c>
      <c r="M52" s="11" t="n">
        <v>1</v>
      </c>
      <c r="N52" s="12" t="n"/>
      <c r="O52" s="12" t="n"/>
      <c r="P52" s="10" t="n"/>
    </row>
    <row r="53">
      <c r="A53" s="6" t="n">
        <v>5</v>
      </c>
      <c r="B53" s="7" t="inlineStr">
        <is>
          <t>Cửa gió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9" t="n"/>
      <c r="B54" s="10" t="inlineStr">
        <is>
          <t>Cửa gió nan thẳng kèm van gió OBD &amp; hộp gió, 200x200</t>
        </is>
      </c>
      <c r="C54" s="9" t="inlineStr">
        <is>
          <t>SDG+O</t>
        </is>
      </c>
      <c r="D54" s="9" t="inlineStr">
        <is>
          <t>SWIND</t>
        </is>
      </c>
      <c r="E54" s="9" t="n">
        <v>200</v>
      </c>
      <c r="F54" s="9" t="n">
        <v>200</v>
      </c>
      <c r="G54" s="9" t="n">
        <v>150</v>
      </c>
      <c r="H54" s="9" t="n">
        <v>150</v>
      </c>
      <c r="I54" s="9" t="n"/>
      <c r="J54" s="9" t="n"/>
      <c r="K54" s="9" t="n"/>
      <c r="L54" s="9" t="inlineStr">
        <is>
          <t>Bộ</t>
        </is>
      </c>
      <c r="M54" s="11" t="n">
        <v>18</v>
      </c>
      <c r="N54" s="11" t="n">
        <v>92000</v>
      </c>
      <c r="O54" s="11">
        <f>ROUNDUP(N54*M54, -2)</f>
        <v/>
      </c>
      <c r="P54" s="10" t="inlineStr">
        <is>
          <t>Cửa nan bầu dục 1 lớp kèm van OBD. Không tính box do nhà thầu tự thi công</t>
        </is>
      </c>
    </row>
    <row r="55">
      <c r="A55" s="6" t="n">
        <v>6</v>
      </c>
      <c r="B55" s="7" t="inlineStr">
        <is>
          <t>Van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Van chặn lửa, FD 150x150</t>
        </is>
      </c>
      <c r="C56" s="9" t="inlineStr">
        <is>
          <t>SWIND-2.01- E-FD-EI120</t>
        </is>
      </c>
      <c r="D56" s="9" t="inlineStr">
        <is>
          <t>SWIND</t>
        </is>
      </c>
      <c r="E56" s="9" t="n">
        <v>150</v>
      </c>
      <c r="F56" s="9" t="n">
        <v>150</v>
      </c>
      <c r="G56" s="9" t="n"/>
      <c r="H56" s="9" t="n"/>
      <c r="I56" s="9" t="n"/>
      <c r="J56" s="9" t="n">
        <v>200</v>
      </c>
      <c r="K56" s="13" t="n">
        <v>1.15</v>
      </c>
      <c r="L56" s="9" t="inlineStr">
        <is>
          <t>Bộ</t>
        </is>
      </c>
      <c r="M56" s="11" t="n">
        <v>18</v>
      </c>
      <c r="N56" s="11" t="n">
        <v>833698</v>
      </c>
      <c r="O56" s="11">
        <f>ROUNDUP(N56*M56, -2)</f>
        <v/>
      </c>
      <c r="P56" s="10" t="inlineStr">
        <is>
          <t>- Van chặn lửa cầu chì - Tiêu chuẩn EI 120
- 2 đầu bích TDC - gắn cầu chì 70-74 độ C
- Sản xuất theo BCTN số: 4761/VLXD-TBMT</t>
        </is>
      </c>
    </row>
    <row r="57">
      <c r="A57" s="9" t="n"/>
      <c r="B57" s="10" t="inlineStr">
        <is>
          <t>Van chặn lửa, MFD 150x150</t>
        </is>
      </c>
      <c r="C57" s="9" t="inlineStr">
        <is>
          <t>SWIND-1.02-MFD-EI90</t>
        </is>
      </c>
      <c r="D57" s="9" t="inlineStr">
        <is>
          <t>SWIND</t>
        </is>
      </c>
      <c r="E57" s="9" t="n">
        <v>150</v>
      </c>
      <c r="F57" s="9" t="n">
        <v>150</v>
      </c>
      <c r="G57" s="9" t="n"/>
      <c r="H57" s="9" t="n"/>
      <c r="I57" s="9" t="n"/>
      <c r="J57" s="9" t="n">
        <v>200</v>
      </c>
      <c r="K57" s="13" t="n">
        <v>1.15</v>
      </c>
      <c r="L57" s="9" t="inlineStr">
        <is>
          <t>Bộ</t>
        </is>
      </c>
      <c r="M57" s="11" t="n">
        <v>18</v>
      </c>
      <c r="N57" s="11" t="n">
        <v>4533698</v>
      </c>
      <c r="O57" s="11">
        <f>ROUNDUP(N57*M57, -2)</f>
        <v/>
      </c>
      <c r="P57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8">
      <c r="A58" s="9" t="n">
        <v>7</v>
      </c>
      <c r="B58" s="10" t="inlineStr">
        <is>
          <t>Bệ đỡ quạt trục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Bộ</t>
        </is>
      </c>
      <c r="M58" s="11" t="n">
        <v>2</v>
      </c>
      <c r="N58" s="12" t="n"/>
      <c r="O58" s="12" t="n"/>
      <c r="P58" s="10" t="n"/>
    </row>
    <row r="59">
      <c r="A59" s="9" t="n">
        <v>8</v>
      </c>
      <c r="B59" s="10" t="inlineStr">
        <is>
          <t>Giá đỡ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9" t="n">
        <v>9</v>
      </c>
      <c r="B60" s="10" t="inlineStr">
        <is>
          <t>Vật tư phụ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Lô</t>
        </is>
      </c>
      <c r="M60" s="11" t="n">
        <v>1</v>
      </c>
      <c r="N60" s="12" t="n"/>
      <c r="O60" s="12" t="n"/>
      <c r="P60" s="10" t="n"/>
    </row>
    <row r="61">
      <c r="A61" s="9" t="n"/>
      <c r="B61" s="10" t="inlineStr">
        <is>
          <t>CHI PHÍ CHẠY KIỂM TRA VÀ CHẠY THỬ HỆ THỐNG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inlineStr">
        <is>
          <t>LÔ</t>
        </is>
      </c>
      <c r="M61" s="11" t="n">
        <v>1</v>
      </c>
      <c r="N61" s="12" t="n"/>
      <c r="O61" s="12" t="n"/>
      <c r="P61" s="10" t="n"/>
    </row>
    <row r="62"/>
    <row r="63">
      <c r="B63" s="14" t="inlineStr">
        <is>
          <t>TỔNG CỘNG (CHƯA BAO GỒM VAT):</t>
        </is>
      </c>
      <c r="O63" s="15">
        <f>SUBTOTAL(9,O14:O61)</f>
        <v/>
      </c>
    </row>
    <row r="64">
      <c r="B64" s="14" t="inlineStr">
        <is>
          <t>THUẾ GTGT (VAT 8%):</t>
        </is>
      </c>
      <c r="O64" s="15">
        <f>ROUND(O63*0.08, 0)</f>
        <v/>
      </c>
    </row>
    <row r="65">
      <c r="B65" s="14" t="inlineStr">
        <is>
          <t>TỔNG CỘNG THANH TOÁN (ĐÃ GỒM VAT 8%):</t>
        </is>
      </c>
      <c r="O65" s="15">
        <f>O63+O64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2026-10-19T09:48:39Z</dcterms:created>
  <dcterms:modified xsi:type="dcterms:W3CDTF">2026-10-19T09:48:40Z</dcterms:modified>
  <cp:lastModifiedBy>Swind Multi-Agent AI</cp:lastModifiedBy>
</cp:coreProperties>
</file>
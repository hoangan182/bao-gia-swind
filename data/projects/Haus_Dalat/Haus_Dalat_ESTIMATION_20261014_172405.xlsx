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ROUND(('00_TONG_HOP_BAO_GIA'!Q12-7400000)*0.450035+7400000,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ROUND(('00_TONG_HOP_BAO_GIA'!Q13-7400000)*0.564159+7400000,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ROUND(('00_TONG_HOP_BAO_GIA'!Q14-3700000)*0.721030+3700000,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ROUND(('00_TONG_HOP_BAO_GIA'!Q15-3700000)*0.718482+3700000,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ROUND(('00_TONG_HOP_BAO_GIA'!Q16-3700000)*0.571537+3700000,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ROUND(('00_TONG_HOP_BAO_GIA'!Q17-3700000)*1.000000+3700000,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ROUND(('00_TONG_HOP_BAO_GIA'!Q18-3700000)*0.734150+3700000,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ROUND(('00_TONG_HOP_BAO_GIA'!Q53-3700000)*0.772679+3700000,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ROUND(('00_TONG_HOP_BAO_GIA'!Q54-3700000)*0.586441+3700000,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ROUND(('00_TONG_HOP_BAO_GIA'!Q55-3700000)*0.556873+3700000,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ROUND(('00_TONG_HOP_BAO_GIA'!Q56-3700000)*0.549333+3700000,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ROUND(('00_TONG_HOP_BAO_GIA'!Q57-3700000)*0.778095+3700000,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ROUND(('00_TONG_HOP_BAO_GIA'!Q58-3700000)*0.719706+3700000,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ROUND(('00_TONG_HOP_BAO_GIA'!Q59-3700000)*0.719706+3700000,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ROUND(('00_TONG_HOP_BAO_GIA'!Q60-3700000)*0.760721+3700000,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ROUND(('00_TONG_HOP_BAO_GIA'!Q61-3700000)*0.778095+3700000,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ROUND(('00_TONG_HOP_BAO_GIA'!Q62-3700000)*0.772679+3700000,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ROUND(('00_TONG_HOP_BAO_GIA'!Q63-3700000)*0.783278+3700000,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ROUND(('00_TONG_HOP_BAO_GIA'!Q64-3700000)*0.733184+3700000,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ROUND(('00_TONG_HOP_BAO_GIA'!Q65-3700000)*0.736328+3700000,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ROUND(('00_TONG_HOP_BAO_GIA'!Q66-3700000)*0.729370+3700000,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ROUND(('00_TONG_HOP_BAO_GIA'!Q67-7400000)*0.551636+7400000,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ROUND(('00_TONG_HOP_BAO_GIA'!Q68-3700000)*0.724564+3700000,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ROUND(('00_TONG_HOP_BAO_GIA'!Q69-3700000)*0.721030+3700000,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ROUND(('00_TONG_HOP_BAO_GIA'!Q70-3700000)*0.722672+3700000,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ROUND(('00_TONG_HOP_BAO_GIA'!Q71-3700000)*0.729952+3700000,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ROUND(('00_TONG_HOP_BAO_GIA'!Q72-3700000)*0.729952+3700000,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ROUND(('00_TONG_HOP_BAO_GIA'!Q73-3700000)*0.726768+3700000,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ROUND(('00_TONG_HOP_BAO_GIA'!Q74-3700000)*0.721823+3700000,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ROUND(('00_TONG_HOP_BAO_GIA'!Q75-3700000)*0.707286+3700000,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ROUND(('00_TONG_HOP_BAO_GIA'!Q76-3700000)*0.618120+3700000,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ROUND(('00_TONG_HOP_BAO_GIA'!Q77-3700000)*0.722672+3700000,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ROUND(('00_TONG_HOP_BAO_GIA'!Q78-3700000)*0.724564+3700000,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ROUND(('00_TONG_HOP_BAO_GIA'!Q79-3700000)*0.737562+3700000,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ROUND(('00_TONG_HOP_BAO_GIA'!Q80-3700000)*0.727762+3700000,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ROUND(('00_TONG_HOP_BAO_GIA'!Q112-7400000)*0.542394+7400000,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ROUND(('00_TONG_HOP_BAO_GIA'!Q113-3700000)*0.547799+3700000,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ROUND(('00_TONG_HOP_BAO_GIA'!Q114-3700000)*0.723583+3700000,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ROUND(('00_TONG_HOP_BAO_GIA'!Q115-3700000)*0.729370+3700000,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ROUND(('00_TONG_HOP_BAO_GIA'!Q116-3700000)*0.726768+3700000,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ROUND(('00_TONG_HOP_BAO_GIA'!Q117-3700000)*0.726768+3700000,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ROUND(('00_TONG_HOP_BAO_GIA'!Q118-3700000)*0.773773+3700000,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ROUND(('00_TONG_HOP_BAO_GIA'!Q119-3700000)*0.722672+3700000,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ROUND(('00_TONG_HOP_BAO_GIA'!Q120-3700000)*0.737562+3700000,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ROUND(('00_TONG_HOP_BAO_GIA'!Q121-3700000)*0.726768+3700000,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ROUND(('00_TONG_HOP_BAO_GIA'!Q122-3700000)*0.718323+3700000,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ROUND(('00_TONG_HOP_BAO_GIA'!Q125-3700000)*0.750645+3700000,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SDG+O</t>
        </is>
      </c>
      <c r="D156" s="384" t="inlineStr">
        <is>
          <t>SWIND</t>
        </is>
      </c>
      <c r="E156" s="384" t="n">
        <v>600</v>
      </c>
      <c r="F156" s="384" t="n">
        <v>600</v>
      </c>
      <c r="G156" s="384" t="n">
        <v>550</v>
      </c>
      <c r="H156" s="384" t="n">
        <v>550</v>
      </c>
      <c r="I156" s="384" t="n"/>
      <c r="J156" s="384" t="n"/>
      <c r="K156" s="384" t="n"/>
      <c r="L156" s="384" t="inlineStr">
        <is>
          <t>Cái</t>
        </is>
      </c>
      <c r="M156" s="386" t="n">
        <v>48</v>
      </c>
      <c r="N156" s="386">
        <f>ROUND('00_TONG_HOP_BAO_GIA'!Q139, 0)</f>
        <v/>
      </c>
      <c r="O156" s="386">
        <f>N156*M156</f>
        <v/>
      </c>
      <c r="P156" s="385" t="inlineStr">
        <is>
          <t>Cửa nan bầu dục 1 lớp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SWIND-1.02-MFD-EI90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ROUND(('00_TONG_HOP_BAO_GIA'!Q146-7400000)*0.554065+7400000,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t>
        </is>
      </c>
    </row>
    <row r="164">
      <c r="A164" s="384" t="n">
        <v>146</v>
      </c>
      <c r="B164" s="385" t="inlineStr">
        <is>
          <t>Cửa sổ cấp bù gió khi có cháy 0.8m2</t>
        </is>
      </c>
      <c r="C164" s="384" t="inlineStr">
        <is>
          <t>SWIND-1.02-MFD-EI90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ROUND(('00_TONG_HOP_BAO_GIA'!Q147-3700000)*0.539508+3700000, 0)</f>
        <v/>
      </c>
      <c r="O164" s="386">
        <f>N164*M164</f>
        <v/>
      </c>
      <c r="P164" s="385" t="inlineStr">
        <is>
          <t>- Van chống cháy động cơ - Tiêu chuẩn EI 90
- 2 đầu bích TDC - Gắn kèm động cơ ON-OFF 3.5Nm, 24V (Type: đóng mở nhanh) BELIMO - Model: FSLF24V US
- Sản xuất theo BCTN số 4752/VLXD-TBMT</t>
        </is>
      </c>
    </row>
    <row r="165">
      <c r="A165" s="384" t="n">
        <v>147</v>
      </c>
      <c r="B165" s="385" t="inlineStr">
        <is>
          <t>Cửa sổ cấp bù gió khi có cháy 0.75m2</t>
        </is>
      </c>
      <c r="C165" s="384" t="inlineStr">
        <is>
          <t>SWIND-1.02-MFD-EI90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ROUND(('00_TONG_HOP_BAO_GIA'!Q148-3700000)*0.543106+3700000, 0)</f>
        <v/>
      </c>
      <c r="O165" s="386">
        <f>N165*M165</f>
        <v/>
      </c>
      <c r="P165" s="385" t="inlineStr">
        <is>
          <t>- Van chống cháy động cơ - Tiêu chuẩn EI 90
- 2 đầu bích TDC - Gắn kèm động cơ ON-OFF 3.5Nm, 24V (Type: đóng mở nhanh) BELIMO - Model: FSLF24V US
- Sản xuất theo BCTN số 4752/VLXD-TBMT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ROUND(('00_TONG_HOP_BAO_GIA'!Q182-3700000)*0.720288+3700000,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ROUND(('00_TONG_HOP_BAO_GIA'!Q183-3700000)*0.562576+3700000,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ROUND(('00_TONG_HOP_BAO_GIA'!Q184-3700000)*1.000000+3700000,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ROUND(('00_TONG_HOP_BAO_GIA'!Q185-3700000)*0.737562+3700000,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ROUND(('00_TONG_HOP_BAO_GIA'!Q186-3700000)*0.544223+3700000,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SDG+O</t>
        </is>
      </c>
      <c r="D254" s="384" t="inlineStr">
        <is>
          <t>SWIND</t>
        </is>
      </c>
      <c r="E254" s="384" t="n">
        <v>600</v>
      </c>
      <c r="F254" s="384" t="n">
        <v>600</v>
      </c>
      <c r="G254" s="384" t="n">
        <v>550</v>
      </c>
      <c r="H254" s="384" t="n">
        <v>550</v>
      </c>
      <c r="I254" s="384" t="n"/>
      <c r="J254" s="384" t="n"/>
      <c r="K254" s="384" t="n"/>
      <c r="L254" s="384" t="inlineStr">
        <is>
          <t>Cái</t>
        </is>
      </c>
      <c r="M254" s="386" t="n">
        <v>195</v>
      </c>
      <c r="N254" s="386">
        <f>ROUND('00_TONG_HOP_BAO_GIA'!Q232, 0)</f>
        <v/>
      </c>
      <c r="O254" s="386">
        <f>N254*M254</f>
        <v/>
      </c>
      <c r="P254" s="385" t="inlineStr">
        <is>
          <t>Cửa nan bầu dục 1 lớp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SWIND-1.05- MFD-EI120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động cơ SWIND-MFD - Tiêu chuẩn EI 120
- 2 đầu bích TDC - Gắn kèm động cơ ON-OFF 9Nm, 24V BELIMO - Model: BFN 24
- Sản xuất theo BCTN số 2390/VLXD-TBMT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SWIND-1.05- MFD-EI120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động cơ SWIND-MFD - Tiêu chuẩn EI 120
- 2 đầu bích TDC - Gắn kèm động cơ ON-OFF 9Nm, 24V BELIMO - Model: BFN 24
- Sản xuất theo BCTN số 2390/VLXD-TBMT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SWIND-1.05- MFD-EI120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động cơ SWIND-MFD - Tiêu chuẩn EI 120
- 2 đầu bích TDC - Gắn kèm động cơ ON-OFF 9Nm, 24V BELIMO - Model: BFN 24
- Sản xuất theo BCTN số 2390/VLXD-TBMT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SWIND-1.05- MFD-EI120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động cơ SWIND-MFD - Tiêu chuẩn EI 120
- 2 đầu bích TDC - Gắn kèm động cơ ON-OFF 9Nm, 24V BELIMO - Model: BFN 24
- Sản xuất theo BCTN số 2390/VLXD-TBMT
- Van 1 cánh</t>
        </is>
      </c>
    </row>
    <row r="77">
      <c r="A77" s="384" t="n">
        <v>61</v>
      </c>
      <c r="B77" s="385" t="inlineStr">
        <is>
          <t>Van ngăn cháy MFD 350x200 (EI60)</t>
        </is>
      </c>
      <c r="C77" s="384" t="inlineStr">
        <is>
          <t>SWIND-1.05- MFD-EI120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động cơ SWIND-MFD - Tiêu chuẩn EI 120
- 2 đầu bích TDC - Gắn kèm động cơ ON-OFF 9Nm, 24V BELIMO - Model: BFN 24
- Sản xuất theo BCTN số 2390/VLXD-TBMT
- Van 1 cánh</t>
        </is>
      </c>
    </row>
    <row r="78">
      <c r="A78" s="384" t="n">
        <v>62</v>
      </c>
      <c r="B78" s="385" t="inlineStr">
        <is>
          <t>Van ngăn cháy MFD 350x150 (EI60)</t>
        </is>
      </c>
      <c r="C78" s="384" t="inlineStr">
        <is>
          <t>SWIND-1.05- MFD-EI120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động cơ SWIND-MFD - Tiêu chuẩn EI 120
- 2 đầu bích TDC - Gắn kèm động cơ ON-OFF 9Nm, 24V BELIMO - Model: BFN 24
- Sản xuất theo BCTN số 2390/VLXD-TBMT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SWIND-1.05- MFD-EI120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động cơ SWIND-MFD - Tiêu chuẩn EI 120
- 2 đầu bích TDC - Gắn kèm động cơ ON-OFF 9Nm, 24V BELIMO - Model: BFN 24
- Sản xuất theo BCTN số 2390/VLXD-TBMT
- Van 1 cánh
- Van thu côn 2 đầu</t>
        </is>
      </c>
    </row>
    <row r="141">
      <c r="A141" s="384" t="n">
        <v>123</v>
      </c>
      <c r="B141" s="385" t="inlineStr">
        <is>
          <t>Van ngăn cháy MFD 150x150</t>
        </is>
      </c>
      <c r="C141" s="384" t="inlineStr">
        <is>
          <t>SWIND-1.05- MFD-EI120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động cơ SWIND-MFD - Tiêu chuẩn EI 120
- 2 đầu bích TDC - Gắn kèm động cơ ON-OFF 9Nm, 24V BELIMO - Model: BFN 24
- Sản xuất theo BCTN số 2390/VLXD-TBMT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SDG+O</t>
        </is>
      </c>
      <c r="D156" s="384" t="inlineStr">
        <is>
          <t>SWIND</t>
        </is>
      </c>
      <c r="E156" s="384" t="n">
        <v>600</v>
      </c>
      <c r="F156" s="384" t="n">
        <v>600</v>
      </c>
      <c r="G156" s="384" t="n">
        <v>550</v>
      </c>
      <c r="H156" s="384" t="n">
        <v>550</v>
      </c>
      <c r="I156" s="384" t="n"/>
      <c r="J156" s="384" t="n"/>
      <c r="K156" s="384" t="n"/>
      <c r="L156" s="384" t="inlineStr">
        <is>
          <t>Cái</t>
        </is>
      </c>
      <c r="M156" s="386" t="n">
        <v>48</v>
      </c>
      <c r="N156" s="386">
        <f>ROUND('00_TONG_HOP_BAO_GIA'!Q139, 0)</f>
        <v/>
      </c>
      <c r="O156" s="386">
        <f>N156*M156</f>
        <v/>
      </c>
      <c r="P156" s="385" t="inlineStr">
        <is>
          <t>Cửa nan bầu dục 1 lớp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SWIND-1.05- MFD-EI120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t>
        </is>
      </c>
    </row>
    <row r="164">
      <c r="A164" s="384" t="n">
        <v>146</v>
      </c>
      <c r="B164" s="385" t="inlineStr">
        <is>
          <t>Cửa sổ cấp bù gió khi có cháy 0.8m2</t>
        </is>
      </c>
      <c r="C164" s="384" t="inlineStr">
        <is>
          <t>SWIND-1.05- MFD-EI120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t>
        </is>
      </c>
    </row>
    <row r="165">
      <c r="A165" s="384" t="n">
        <v>147</v>
      </c>
      <c r="B165" s="385" t="inlineStr">
        <is>
          <t>Cửa sổ cấp bù gió khi có cháy 0.75m2</t>
        </is>
      </c>
      <c r="C165" s="384" t="inlineStr">
        <is>
          <t>SWIND-1.05- MFD-EI120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SWIND-1.05- MFD-EI120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động cơ SWIND-MFD - Tiêu chuẩn EI 120
- 2 đầu bích TDC - Gắn kèm động cơ ON-OFF 9Nm, 24V BELIMO - Model: BFN 24
- Sản xuất theo BCTN số 2390/VLXD-TBMT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SDG+O</t>
        </is>
      </c>
      <c r="D254" s="384" t="inlineStr">
        <is>
          <t>SWIND</t>
        </is>
      </c>
      <c r="E254" s="384" t="n">
        <v>600</v>
      </c>
      <c r="F254" s="384" t="n">
        <v>600</v>
      </c>
      <c r="G254" s="384" t="n">
        <v>550</v>
      </c>
      <c r="H254" s="384" t="n">
        <v>550</v>
      </c>
      <c r="I254" s="384" t="n"/>
      <c r="J254" s="384" t="n"/>
      <c r="K254" s="384" t="n"/>
      <c r="L254" s="384" t="inlineStr">
        <is>
          <t>Cái</t>
        </is>
      </c>
      <c r="M254" s="386" t="n">
        <v>195</v>
      </c>
      <c r="N254" s="386">
        <f>ROUND('00_TONG_HOP_BAO_GIA'!Q232, 0)</f>
        <v/>
      </c>
      <c r="O254" s="386">
        <f>N254*M254</f>
        <v/>
      </c>
      <c r="P254" s="385" t="inlineStr">
        <is>
          <t>Cửa nan bầu dục 1 lớp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30"/>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0.5854980619575724</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600x300mm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0.1078939108600126</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0.138m2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0.2615609960242729</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0.2485038711027412</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0.2332686707352184</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550x250mm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0.3283868805724292</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1.233260096254446</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SW-DIFF-025-FRAME</t>
        </is>
      </c>
      <c r="B9" t="inlineStr">
        <is>
          <t>SW-DIFF-025</t>
        </is>
      </c>
      <c r="C9" t="inlineStr">
        <is>
          <t>Khung nhôm định hình (1 lớp BD)</t>
        </is>
      </c>
      <c r="D9" t="inlineStr">
        <is>
          <t>NHÔM_ĐỊNH_HÌNH</t>
        </is>
      </c>
      <c r="E9" t="inlineStr">
        <is>
          <t>MAT-ALU-KHUNG-BD</t>
        </is>
      </c>
      <c r="F9" t="inlineStr">
        <is>
          <t>kg</t>
        </is>
      </c>
      <c r="G9" s="407" t="n">
        <v>0.8162695921641308</v>
      </c>
      <c r="H9" s="403">
        <f>IFERROR(INDEX('00_TONG_HOP_BAO_GIA'!$G$1:$G$5000, MATCH(B9, '00_TONG_HOP_BAO_GIA'!$B$1:$B$5000, 0)), 1)</f>
        <v/>
      </c>
      <c r="I9" s="408">
        <f>G9*H9</f>
        <v/>
      </c>
      <c r="J9" s="403">
        <f>IFERROR(INDEX('06_BANG_GIA_VAT_TU_AP_DUNG'!$E$1:$E$5000, MATCH(E9, '06_BANG_GIA_VAT_TU_AP_DUNG'!$B$1:$B$5000, 0)), 0)</f>
        <v/>
      </c>
      <c r="K9" s="403">
        <f>I9*J9</f>
        <v/>
      </c>
      <c r="L9" t="inlineStr">
        <is>
          <t>Khung bao 1200x600mm (cổ 1150x550mm)</t>
        </is>
      </c>
    </row>
    <row r="10">
      <c r="A10" t="inlineStr">
        <is>
          <t>SW-DIFF-025-BLADE</t>
        </is>
      </c>
      <c r="B10" t="inlineStr">
        <is>
          <t>SW-DIFF-025</t>
        </is>
      </c>
      <c r="C10" t="inlineStr">
        <is>
          <t>Nan nhôm bầu dục (27 nan)</t>
        </is>
      </c>
      <c r="D10" t="inlineStr">
        <is>
          <t>NHÔM_ĐỊNH_HÌNH</t>
        </is>
      </c>
      <c r="E10" t="inlineStr">
        <is>
          <t>MAT-ALU-NAN-BD</t>
        </is>
      </c>
      <c r="F10" t="inlineStr">
        <is>
          <t>kg</t>
        </is>
      </c>
      <c r="G10" s="407" t="n">
        <v>1.794457896152811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Nan bầu dục @ 0.058kg/m</t>
        </is>
      </c>
    </row>
    <row r="11">
      <c r="A11" t="inlineStr">
        <is>
          <t>SW-DIFF-025-ACCESSORY</t>
        </is>
      </c>
      <c r="B11" t="inlineStr">
        <is>
          <t>SW-DIFF-025</t>
        </is>
      </c>
      <c r="C11" t="inlineStr">
        <is>
          <t>Phụ kiện lắp ghép / Ke góc cửa gió</t>
        </is>
      </c>
      <c r="D11" t="inlineStr">
        <is>
          <t>PHỤ_KIỆN_CỬA</t>
        </is>
      </c>
      <c r="E11" t="inlineStr">
        <is>
          <t>MAT-DOOR-ACCESSORY</t>
        </is>
      </c>
      <c r="F11" t="inlineStr">
        <is>
          <t>Bộ</t>
        </is>
      </c>
      <c r="G11" s="407" t="n">
        <v>0.1200564971751412</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4 ke góc chìm và vít ghép khung</t>
        </is>
      </c>
    </row>
    <row r="12">
      <c r="A12" t="inlineStr">
        <is>
          <t>SW-DIFF-025-PAINT</t>
        </is>
      </c>
      <c r="B12" t="inlineStr">
        <is>
          <t>SW-DIFF-025</t>
        </is>
      </c>
      <c r="C12" t="inlineStr">
        <is>
          <t>Sơn tĩnh điện tiêu chuẩn Polyester</t>
        </is>
      </c>
      <c r="D12" t="inlineStr">
        <is>
          <t>SƠN_TĨNH_ĐIỆN</t>
        </is>
      </c>
      <c r="E12" t="inlineStr">
        <is>
          <t>MAT-PAINT-POWDER</t>
        </is>
      </c>
      <c r="F12" t="inlineStr">
        <is>
          <t>m2</t>
        </is>
      </c>
      <c r="G12" s="407" t="n">
        <v>0.5482527725465579</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Sơn tĩnh điện hoàn thiện</t>
        </is>
      </c>
    </row>
    <row r="13">
      <c r="A13" t="inlineStr">
        <is>
          <t>SW-DIFF-025-OBD-FRAME</t>
        </is>
      </c>
      <c r="B13" t="inlineStr">
        <is>
          <t>SW-DIFF-025</t>
        </is>
      </c>
      <c r="C13" t="inlineStr">
        <is>
          <t>Khung nhôm van OBD gắn cửa (SOBD)</t>
        </is>
      </c>
      <c r="D13" t="inlineStr">
        <is>
          <t>NHÔM_ĐỊNH_HÌNH</t>
        </is>
      </c>
      <c r="E13" t="inlineStr">
        <is>
          <t>MAT-ALU-KHUNG-OBD</t>
        </is>
      </c>
      <c r="F13" t="inlineStr">
        <is>
          <t>kg</t>
        </is>
      </c>
      <c r="G13" s="407" t="n">
        <v>0.4956959253123392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Khung OBD 1150x550mm</t>
        </is>
      </c>
    </row>
    <row r="14">
      <c r="A14" t="inlineStr">
        <is>
          <t>SW-DIFF-025-OBD-BLADE</t>
        </is>
      </c>
      <c r="B14" t="inlineStr">
        <is>
          <t>SW-DIFF-025</t>
        </is>
      </c>
      <c r="C14" t="inlineStr">
        <is>
          <t>Nan nhôm &amp; thanh truyền van OBD (SOBD)</t>
        </is>
      </c>
      <c r="D14" t="inlineStr">
        <is>
          <t>NHÔM_ĐỊNH_HÌNH</t>
        </is>
      </c>
      <c r="E14" t="inlineStr">
        <is>
          <t>MAT-ALU-NAN-OBD</t>
        </is>
      </c>
      <c r="F14" t="inlineStr">
        <is>
          <t>kg</t>
        </is>
      </c>
      <c r="G14" s="407" t="n">
        <v>1.510579650633174</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Nan OBD đối xứng &amp; thanh liên kết</t>
        </is>
      </c>
    </row>
    <row r="15">
      <c r="A15" t="inlineStr">
        <is>
          <t>SW-DIFF-025-OBD-ACC</t>
        </is>
      </c>
      <c r="B15" t="inlineStr">
        <is>
          <t>SW-DIFF-025</t>
        </is>
      </c>
      <c r="C15" t="inlineStr">
        <is>
          <t>Bánh răng nhựa &amp; phụ kiện van OBD</t>
        </is>
      </c>
      <c r="D15" t="inlineStr">
        <is>
          <t>PHỤ_KIỆN_CỬA</t>
        </is>
      </c>
      <c r="E15" t="inlineStr">
        <is>
          <t>MAT-DOOR-ACCESSORY</t>
        </is>
      </c>
      <c r="F15" t="inlineStr">
        <is>
          <t>Bộ</t>
        </is>
      </c>
      <c r="G15" s="407" t="n">
        <v>2.316122619794935</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Cơ cấu bánh răng đóng mở OBD</t>
        </is>
      </c>
    </row>
    <row r="16">
      <c r="A16" t="inlineStr">
        <is>
          <t>SW-DIFF-026-FRAME</t>
        </is>
      </c>
      <c r="B16" t="inlineStr">
        <is>
          <t>SW-DIFF-026</t>
        </is>
      </c>
      <c r="C16" t="inlineStr">
        <is>
          <t>Khung nhôm định hình (1 lớp BD)</t>
        </is>
      </c>
      <c r="D16" t="inlineStr">
        <is>
          <t>NHÔM_ĐỊNH_HÌNH</t>
        </is>
      </c>
      <c r="E16" t="inlineStr">
        <is>
          <t>MAT-ALU-KHUNG-BD</t>
        </is>
      </c>
      <c r="F16" t="inlineStr">
        <is>
          <t>kg</t>
        </is>
      </c>
      <c r="G16" s="407" t="n">
        <v>0.7365557648043525</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Khung bao 1000x600mm (cổ 950x550mm)</t>
        </is>
      </c>
    </row>
    <row r="17">
      <c r="A17" t="inlineStr">
        <is>
          <t>SW-DIFF-026-BLADE</t>
        </is>
      </c>
      <c r="B17" t="inlineStr">
        <is>
          <t>SW-DIFF-026</t>
        </is>
      </c>
      <c r="C17" t="inlineStr">
        <is>
          <t>Nan nhôm bầu dục (27 nan)</t>
        </is>
      </c>
      <c r="D17" t="inlineStr">
        <is>
          <t>NHÔM_ĐỊNH_HÌNH</t>
        </is>
      </c>
      <c r="E17" t="inlineStr">
        <is>
          <t>MAT-ALU-NAN-BD</t>
        </is>
      </c>
      <c r="F17" t="inlineStr">
        <is>
          <t>kg</t>
        </is>
      </c>
      <c r="G17" s="407" t="n">
        <v>1.482378262039279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Nan bầu dục @ 0.058kg/m</t>
        </is>
      </c>
    </row>
    <row r="18">
      <c r="A18" t="inlineStr">
        <is>
          <t>SW-DIFF-026-ACCESSORY</t>
        </is>
      </c>
      <c r="B18" t="inlineStr">
        <is>
          <t>SW-DIFF-026</t>
        </is>
      </c>
      <c r="C18" t="inlineStr">
        <is>
          <t>Phụ kiện lắp ghép / Ke góc cửa gió</t>
        </is>
      </c>
      <c r="D18" t="inlineStr">
        <is>
          <t>PHỤ_KIỆN_CỬA</t>
        </is>
      </c>
      <c r="E18" t="inlineStr">
        <is>
          <t>MAT-DOOR-ACCESSORY</t>
        </is>
      </c>
      <c r="F18" t="inlineStr">
        <is>
          <t>Bộ</t>
        </is>
      </c>
      <c r="G18" s="407" t="n">
        <v>0.1200564971751412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ke góc chìm và vít ghép khung</t>
        </is>
      </c>
    </row>
    <row r="19">
      <c r="A19" t="inlineStr">
        <is>
          <t>SW-DIFF-026-PAINT</t>
        </is>
      </c>
      <c r="B19" t="inlineStr">
        <is>
          <t>SW-DIFF-026</t>
        </is>
      </c>
      <c r="C19" t="inlineStr">
        <is>
          <t>Sơn tĩnh điện tiêu chuẩn Polyester</t>
        </is>
      </c>
      <c r="D19" t="inlineStr">
        <is>
          <t>SƠN_TĨNH_ĐIỆN</t>
        </is>
      </c>
      <c r="E19" t="inlineStr">
        <is>
          <t>MAT-PAINT-POWDER</t>
        </is>
      </c>
      <c r="F19" t="inlineStr">
        <is>
          <t>m2</t>
        </is>
      </c>
      <c r="G19" s="407" t="n">
        <v>0.4659761456371626</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Sơn tĩnh điện hoàn thiện</t>
        </is>
      </c>
    </row>
    <row r="20">
      <c r="A20" t="inlineStr">
        <is>
          <t>SW-DIFF-026-OBD-FRAME</t>
        </is>
      </c>
      <c r="B20" t="inlineStr">
        <is>
          <t>SW-DIFF-026</t>
        </is>
      </c>
      <c r="C20" t="inlineStr">
        <is>
          <t>Khung nhôm van OBD gắn cửa (SOBD)</t>
        </is>
      </c>
      <c r="D20" t="inlineStr">
        <is>
          <t>NHÔM_ĐỊNH_HÌNH</t>
        </is>
      </c>
      <c r="E20" t="inlineStr">
        <is>
          <t>MAT-ALU-KHUNG-OBD</t>
        </is>
      </c>
      <c r="F20" t="inlineStr">
        <is>
          <t>kg</t>
        </is>
      </c>
      <c r="G20" s="407" t="n">
        <v>0.4373787576285346</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Khung OBD 950x550mm</t>
        </is>
      </c>
    </row>
    <row r="21">
      <c r="A21" t="inlineStr">
        <is>
          <t>SW-DIFF-026-OBD-BLADE</t>
        </is>
      </c>
      <c r="B21" t="inlineStr">
        <is>
          <t>SW-DIFF-026</t>
        </is>
      </c>
      <c r="C21" t="inlineStr">
        <is>
          <t>Nan nhôm &amp; thanh truyền van OBD (SOBD)</t>
        </is>
      </c>
      <c r="D21" t="inlineStr">
        <is>
          <t>NHÔM_ĐỊNH_HÌNH</t>
        </is>
      </c>
      <c r="E21" t="inlineStr">
        <is>
          <t>MAT-ALU-NAN-OBD</t>
        </is>
      </c>
      <c r="F21" t="inlineStr">
        <is>
          <t>kg</t>
        </is>
      </c>
      <c r="G21" s="407" t="n">
        <v>1.247870146175231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Nan OBD đối xứng &amp; thanh liên kết</t>
        </is>
      </c>
    </row>
    <row r="22">
      <c r="A22" t="inlineStr">
        <is>
          <t>SW-DIFF-026-OBD-ACC</t>
        </is>
      </c>
      <c r="B22" t="inlineStr">
        <is>
          <t>SW-DIFF-026</t>
        </is>
      </c>
      <c r="C22" t="inlineStr">
        <is>
          <t>Bánh răng nhựa &amp; phụ kiện van OBD</t>
        </is>
      </c>
      <c r="D22" t="inlineStr">
        <is>
          <t>PHỤ_KIỆN_CỬA</t>
        </is>
      </c>
      <c r="E22" t="inlineStr">
        <is>
          <t>MAT-DOOR-ACCESSORY</t>
        </is>
      </c>
      <c r="F22" t="inlineStr">
        <is>
          <t>Bộ</t>
        </is>
      </c>
      <c r="G22" s="407" t="n">
        <v>1.95516844528144</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Cơ cấu bánh răng đóng mở OBD</t>
        </is>
      </c>
    </row>
    <row r="23">
      <c r="A23" t="inlineStr">
        <is>
          <t>SW-DIFF-027-FRAME</t>
        </is>
      </c>
      <c r="B23" t="inlineStr">
        <is>
          <t>SW-DIFF-027</t>
        </is>
      </c>
      <c r="C23" t="inlineStr">
        <is>
          <t>Khung nhôm định hình Louver (SWL)</t>
        </is>
      </c>
      <c r="D23" t="inlineStr">
        <is>
          <t>NHÔM_ĐỊNH_HÌNH</t>
        </is>
      </c>
      <c r="E23" t="inlineStr">
        <is>
          <t>MAT-ALU-KHUNG-Z-2-LOP</t>
        </is>
      </c>
      <c r="F23" t="inlineStr">
        <is>
          <t>kg</t>
        </is>
      </c>
      <c r="G23" s="407" t="n">
        <v>3.647959824231011</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Khung Louver phủ bì 7500x500mm</t>
        </is>
      </c>
    </row>
    <row r="24">
      <c r="A24" t="inlineStr">
        <is>
          <t>SW-DIFF-027-BLADE</t>
        </is>
      </c>
      <c r="B24" t="inlineStr">
        <is>
          <t>SW-DIFF-027</t>
        </is>
      </c>
      <c r="C24" t="inlineStr">
        <is>
          <t>Nan Z Louver &amp; thanh tăng cứng (10 nan)</t>
        </is>
      </c>
      <c r="D24" t="inlineStr">
        <is>
          <t>NHÔM_ĐỊNH_HÌNH</t>
        </is>
      </c>
      <c r="E24" t="inlineStr">
        <is>
          <t>MAT-ALU-NAN-Z-DAY</t>
        </is>
      </c>
      <c r="F24" t="inlineStr">
        <is>
          <t>kg</t>
        </is>
      </c>
      <c r="G24" s="407" t="n">
        <v>16.30413057124922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10 nan Z dày @ 0.217kg/m + thanh giằng</t>
        </is>
      </c>
    </row>
    <row r="25">
      <c r="A25" t="inlineStr">
        <is>
          <t>SW-DIFF-027-ACCESSORY</t>
        </is>
      </c>
      <c r="B25" t="inlineStr">
        <is>
          <t>SW-DIFF-027</t>
        </is>
      </c>
      <c r="C25" t="inlineStr">
        <is>
          <t>Phụ kiện lắp ghép / Ke góc cửa gió</t>
        </is>
      </c>
      <c r="D25" t="inlineStr">
        <is>
          <t>PHỤ_KIỆN_CỬA</t>
        </is>
      </c>
      <c r="E25" t="inlineStr">
        <is>
          <t>MAT-DOOR-ACCESSORY</t>
        </is>
      </c>
      <c r="F25" t="inlineStr">
        <is>
          <t>Bộ</t>
        </is>
      </c>
      <c r="G25" s="407" t="n">
        <v>1.473111529608705</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Ke góc và vít ghép khung Louver</t>
        </is>
      </c>
    </row>
    <row r="26">
      <c r="A26" t="inlineStr">
        <is>
          <t>SW-DIFF-027-PAINT</t>
        </is>
      </c>
      <c r="B26" t="inlineStr">
        <is>
          <t>SW-DIFF-027</t>
        </is>
      </c>
      <c r="C26" t="inlineStr">
        <is>
          <t>Sơn tĩnh điện tiêu chuẩn Polyester</t>
        </is>
      </c>
      <c r="D26" t="inlineStr">
        <is>
          <t>SƠN_TĨNH_ĐIỆN</t>
        </is>
      </c>
      <c r="E26" t="inlineStr">
        <is>
          <t>MAT-PAINT-POWDER</t>
        </is>
      </c>
      <c r="F26" t="inlineStr">
        <is>
          <t>m2</t>
        </is>
      </c>
      <c r="G26" s="407" t="n">
        <v>6.118020740740741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Sơn tĩnh điện khung và nan Louver</t>
        </is>
      </c>
    </row>
    <row r="27">
      <c r="A27" t="inlineStr">
        <is>
          <t>SW-DIFF-027-MESH</t>
        </is>
      </c>
      <c r="B27" t="inlineStr">
        <is>
          <t>SW-DIFF-027</t>
        </is>
      </c>
      <c r="C27" t="inlineStr">
        <is>
          <t>Lưới chắn côn trùng Inox 304 (LCCT)</t>
        </is>
      </c>
      <c r="D27" t="inlineStr">
        <is>
          <t>PHỤ_KIỆN_CỬA</t>
        </is>
      </c>
      <c r="E27" t="inlineStr">
        <is>
          <t>MAT-MESH-INOX-304</t>
        </is>
      </c>
      <c r="F27" t="inlineStr">
        <is>
          <t>m2</t>
        </is>
      </c>
      <c r="G27" s="407" t="n">
        <v>3.367231638418079</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Lưới chắn côn trùng cổ 7450x450mm</t>
        </is>
      </c>
    </row>
    <row r="28">
      <c r="A28" t="inlineStr">
        <is>
          <t>SW-DIFF-028-FRAME</t>
        </is>
      </c>
      <c r="B28" t="inlineStr">
        <is>
          <t>SW-DIFF-028</t>
        </is>
      </c>
      <c r="C28" t="inlineStr">
        <is>
          <t>Khung nhôm định hình Louver (SWL)</t>
        </is>
      </c>
      <c r="D28" t="inlineStr">
        <is>
          <t>NHÔM_ĐỊNH_HÌNH</t>
        </is>
      </c>
      <c r="E28" t="inlineStr">
        <is>
          <t>MAT-ALU-KHUNG-Z-2-LOP</t>
        </is>
      </c>
      <c r="F28" t="inlineStr">
        <is>
          <t>kg</t>
        </is>
      </c>
      <c r="G28" s="407" t="n">
        <v>2.279974890144382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Khung Louver phủ bì 4500x500mm</t>
        </is>
      </c>
    </row>
    <row r="29">
      <c r="A29" t="inlineStr">
        <is>
          <t>SW-DIFF-028-BLADE</t>
        </is>
      </c>
      <c r="B29" t="inlineStr">
        <is>
          <t>SW-DIFF-028</t>
        </is>
      </c>
      <c r="C29" t="inlineStr">
        <is>
          <t>Nan Z Louver &amp; thanh tăng cứng (10 nan)</t>
        </is>
      </c>
      <c r="D29" t="inlineStr">
        <is>
          <t>NHÔM_ĐỊNH_HÌNH</t>
        </is>
      </c>
      <c r="E29" t="inlineStr">
        <is>
          <t>MAT-ALU-NAN-Z-DAY</t>
        </is>
      </c>
      <c r="F29" t="inlineStr">
        <is>
          <t>kg</t>
        </is>
      </c>
      <c r="G29" s="407" t="n">
        <v>9.765524168236034</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10 nan Z dày @ 0.217kg/m + thanh giằng</t>
        </is>
      </c>
    </row>
    <row r="30">
      <c r="A30" t="inlineStr">
        <is>
          <t>SW-DIFF-028-ACCESSORY</t>
        </is>
      </c>
      <c r="B30" t="inlineStr">
        <is>
          <t>SW-DIFF-028</t>
        </is>
      </c>
      <c r="C30" t="inlineStr">
        <is>
          <t>Phụ kiện lắp ghép / Ke góc cửa gió</t>
        </is>
      </c>
      <c r="D30" t="inlineStr">
        <is>
          <t>PHỤ_KIỆN_CỬA</t>
        </is>
      </c>
      <c r="E30" t="inlineStr">
        <is>
          <t>MAT-DOOR-ACCESSORY</t>
        </is>
      </c>
      <c r="F30" t="inlineStr">
        <is>
          <t>Bộ</t>
        </is>
      </c>
      <c r="G30" s="407" t="n">
        <v>1.473111529608705</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Ke góc và vít ghép khung Louver</t>
        </is>
      </c>
    </row>
    <row r="31">
      <c r="A31" t="inlineStr">
        <is>
          <t>SW-DIFF-028-PAINT</t>
        </is>
      </c>
      <c r="B31" t="inlineStr">
        <is>
          <t>SW-DIFF-028</t>
        </is>
      </c>
      <c r="C31" t="inlineStr">
        <is>
          <t>Sơn tĩnh điện tiêu chuẩn Polyester</t>
        </is>
      </c>
      <c r="D31" t="inlineStr">
        <is>
          <t>SƠN_TĨNH_ĐIỆN</t>
        </is>
      </c>
      <c r="E31" t="inlineStr">
        <is>
          <t>MAT-PAINT-POWDER</t>
        </is>
      </c>
      <c r="F31" t="inlineStr">
        <is>
          <t>m2</t>
        </is>
      </c>
      <c r="G31" s="407" t="n">
        <v>3.682790608913999</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Sơn tĩnh điện khung và nan Louver</t>
        </is>
      </c>
    </row>
    <row r="32">
      <c r="A32" t="inlineStr">
        <is>
          <t>SW-DIFF-028-MESH</t>
        </is>
      </c>
      <c r="B32" t="inlineStr">
        <is>
          <t>SW-DIFF-028</t>
        </is>
      </c>
      <c r="C32" t="inlineStr">
        <is>
          <t>Lưới chắn côn trùng Inox 304 (LCCT)</t>
        </is>
      </c>
      <c r="D32" t="inlineStr">
        <is>
          <t>PHỤ_KIỆN_CỬA</t>
        </is>
      </c>
      <c r="E32" t="inlineStr">
        <is>
          <t>MAT-MESH-INOX-304</t>
        </is>
      </c>
      <c r="F32" t="inlineStr">
        <is>
          <t>m2</t>
        </is>
      </c>
      <c r="G32" s="407" t="n">
        <v>2.011299435028249</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Lưới chắn côn trùng cổ 4450x450mm</t>
        </is>
      </c>
    </row>
    <row r="33">
      <c r="A33" t="inlineStr">
        <is>
          <t>SW-DIFF-029-FRAME</t>
        </is>
      </c>
      <c r="B33" t="inlineStr">
        <is>
          <t>SW-DIFF-029</t>
        </is>
      </c>
      <c r="C33" t="inlineStr">
        <is>
          <t>Khung nhôm định hình Louver (SWL)</t>
        </is>
      </c>
      <c r="D33" t="inlineStr">
        <is>
          <t>NHÔM_ĐỊNH_HÌNH</t>
        </is>
      </c>
      <c r="E33" t="inlineStr">
        <is>
          <t>MAT-ALU-KHUNG-Z-2-LOP</t>
        </is>
      </c>
      <c r="F33" t="inlineStr">
        <is>
          <t>kg</t>
        </is>
      </c>
      <c r="G33" s="407" t="n">
        <v>2.051977401129944</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Khung Louver phủ bì 4000x500mm</t>
        </is>
      </c>
    </row>
    <row r="34">
      <c r="A34" t="inlineStr">
        <is>
          <t>SW-DIFF-029-BLADE</t>
        </is>
      </c>
      <c r="B34" t="inlineStr">
        <is>
          <t>SW-DIFF-029</t>
        </is>
      </c>
      <c r="C34" t="inlineStr">
        <is>
          <t>Nan Z Louver &amp; thanh tăng cứng (10 nan)</t>
        </is>
      </c>
      <c r="D34" t="inlineStr">
        <is>
          <t>NHÔM_ĐỊNH_HÌNH</t>
        </is>
      </c>
      <c r="E34" t="inlineStr">
        <is>
          <t>MAT-ALU-NAN-Z-DAY</t>
        </is>
      </c>
      <c r="F34" t="inlineStr">
        <is>
          <t>kg</t>
        </is>
      </c>
      <c r="G34" s="407" t="n">
        <v>8.675756434400501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10 nan Z dày @ 0.217kg/m + thanh giằng</t>
        </is>
      </c>
    </row>
    <row r="35">
      <c r="A35" t="inlineStr">
        <is>
          <t>SW-DIFF-029-ACCESSORY</t>
        </is>
      </c>
      <c r="B35" t="inlineStr">
        <is>
          <t>SW-DIFF-029</t>
        </is>
      </c>
      <c r="C35" t="inlineStr">
        <is>
          <t>Phụ kiện lắp ghép / Ke góc cửa gió</t>
        </is>
      </c>
      <c r="D35" t="inlineStr">
        <is>
          <t>PHỤ_KIỆN_CỬA</t>
        </is>
      </c>
      <c r="E35" t="inlineStr">
        <is>
          <t>MAT-DOOR-ACCESSORY</t>
        </is>
      </c>
      <c r="F35" t="inlineStr">
        <is>
          <t>Bộ</t>
        </is>
      </c>
      <c r="G35" s="407" t="n">
        <v>1.473111529608705</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Ke góc và vít ghép khung Louver</t>
        </is>
      </c>
    </row>
    <row r="36">
      <c r="A36" t="inlineStr">
        <is>
          <t>SW-DIFF-029-PAINT</t>
        </is>
      </c>
      <c r="B36" t="inlineStr">
        <is>
          <t>SW-DIFF-029</t>
        </is>
      </c>
      <c r="C36" t="inlineStr">
        <is>
          <t>Sơn tĩnh điện tiêu chuẩn Polyester</t>
        </is>
      </c>
      <c r="D36" t="inlineStr">
        <is>
          <t>SƠN_TĨNH_ĐIỆN</t>
        </is>
      </c>
      <c r="E36" t="inlineStr">
        <is>
          <t>MAT-PAINT-POWDER</t>
        </is>
      </c>
      <c r="F36" t="inlineStr">
        <is>
          <t>m2</t>
        </is>
      </c>
      <c r="G36" s="407" t="n">
        <v>3.276918920276208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Sơn tĩnh điện khung và nan Louver</t>
        </is>
      </c>
    </row>
    <row r="37">
      <c r="A37" t="inlineStr">
        <is>
          <t>SW-DIFF-029-MESH</t>
        </is>
      </c>
      <c r="B37" t="inlineStr">
        <is>
          <t>SW-DIFF-029</t>
        </is>
      </c>
      <c r="C37" t="inlineStr">
        <is>
          <t>Lưới chắn côn trùng Inox 304 (LCCT)</t>
        </is>
      </c>
      <c r="D37" t="inlineStr">
        <is>
          <t>PHỤ_KIỆN_CỬA</t>
        </is>
      </c>
      <c r="E37" t="inlineStr">
        <is>
          <t>MAT-MESH-INOX-304</t>
        </is>
      </c>
      <c r="F37" t="inlineStr">
        <is>
          <t>m2</t>
        </is>
      </c>
      <c r="G37" s="407" t="n">
        <v>1.785310734463277</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Lưới chắn côn trùng cổ 3950x450mm</t>
        </is>
      </c>
    </row>
    <row r="38">
      <c r="A38" t="inlineStr">
        <is>
          <t>SW-DIFF-030-FRAME</t>
        </is>
      </c>
      <c r="B38" t="inlineStr">
        <is>
          <t>SW-DIFF-030</t>
        </is>
      </c>
      <c r="C38" t="inlineStr">
        <is>
          <t>Khung nhôm định hình Louver (SWL)</t>
        </is>
      </c>
      <c r="D38" t="inlineStr">
        <is>
          <t>NHÔM_ĐỊNH_HÌNH</t>
        </is>
      </c>
      <c r="E38" t="inlineStr">
        <is>
          <t>MAT-ALU-KHUNG-Z-2-LOP</t>
        </is>
      </c>
      <c r="F38" t="inlineStr">
        <is>
          <t>kg</t>
        </is>
      </c>
      <c r="G38" s="407" t="n">
        <v>1.595982423101067</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Khung Louver phủ bì 3000x500mm</t>
        </is>
      </c>
    </row>
    <row r="39">
      <c r="A39" t="inlineStr">
        <is>
          <t>SW-DIFF-030-BLADE</t>
        </is>
      </c>
      <c r="B39" t="inlineStr">
        <is>
          <t>SW-DIFF-030</t>
        </is>
      </c>
      <c r="C39" t="inlineStr">
        <is>
          <t>Nan Z Louver &amp; thanh tăng cứng (10 nan)</t>
        </is>
      </c>
      <c r="D39" t="inlineStr">
        <is>
          <t>NHÔM_ĐỊNH_HÌNH</t>
        </is>
      </c>
      <c r="E39" t="inlineStr">
        <is>
          <t>MAT-ALU-NAN-Z-DAY</t>
        </is>
      </c>
      <c r="F39" t="inlineStr">
        <is>
          <t>kg</t>
        </is>
      </c>
      <c r="G39" s="407" t="n">
        <v>6.496220966729441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10 nan Z dày @ 0.217kg/m + thanh giằng</t>
        </is>
      </c>
    </row>
    <row r="40">
      <c r="A40" t="inlineStr">
        <is>
          <t>SW-DIFF-030-ACCESSORY</t>
        </is>
      </c>
      <c r="B40" t="inlineStr">
        <is>
          <t>SW-DIFF-030</t>
        </is>
      </c>
      <c r="C40" t="inlineStr">
        <is>
          <t>Phụ kiện lắp ghép / Ke góc cửa gió</t>
        </is>
      </c>
      <c r="D40" t="inlineStr">
        <is>
          <t>PHỤ_KIỆN_CỬA</t>
        </is>
      </c>
      <c r="E40" t="inlineStr">
        <is>
          <t>MAT-DOOR-ACCESSORY</t>
        </is>
      </c>
      <c r="F40" t="inlineStr">
        <is>
          <t>Bộ</t>
        </is>
      </c>
      <c r="G40" s="407" t="n">
        <v>1.473111529608705</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Ke góc và vít ghép khung Louver</t>
        </is>
      </c>
    </row>
    <row r="41">
      <c r="A41" t="inlineStr">
        <is>
          <t>SW-DIFF-030-PAINT</t>
        </is>
      </c>
      <c r="B41" t="inlineStr">
        <is>
          <t>SW-DIFF-030</t>
        </is>
      </c>
      <c r="C41" t="inlineStr">
        <is>
          <t>Sơn tĩnh điện tiêu chuẩn Polyester</t>
        </is>
      </c>
      <c r="D41" t="inlineStr">
        <is>
          <t>SƠN_TĨNH_ĐIỆN</t>
        </is>
      </c>
      <c r="E41" t="inlineStr">
        <is>
          <t>MAT-PAINT-POWDER</t>
        </is>
      </c>
      <c r="F41" t="inlineStr">
        <is>
          <t>m2</t>
        </is>
      </c>
      <c r="G41" s="407" t="n">
        <v>2.465175543000628</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Sơn tĩnh điện khung và nan Louver</t>
        </is>
      </c>
    </row>
    <row r="42">
      <c r="A42" t="inlineStr">
        <is>
          <t>SW-DIFF-030-MESH</t>
        </is>
      </c>
      <c r="B42" t="inlineStr">
        <is>
          <t>SW-DIFF-030</t>
        </is>
      </c>
      <c r="C42" t="inlineStr">
        <is>
          <t>Lưới chắn côn trùng Inox 304 (LCCT)</t>
        </is>
      </c>
      <c r="D42" t="inlineStr">
        <is>
          <t>PHỤ_KIỆN_CỬA</t>
        </is>
      </c>
      <c r="E42" t="inlineStr">
        <is>
          <t>MAT-MESH-INOX-304</t>
        </is>
      </c>
      <c r="F42" t="inlineStr">
        <is>
          <t>m2</t>
        </is>
      </c>
      <c r="G42" s="407" t="n">
        <v>1.333333333333333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Lưới chắn côn trùng cổ 2950x450mm</t>
        </is>
      </c>
    </row>
    <row r="43">
      <c r="A43" t="inlineStr">
        <is>
          <t>SW-DIFF-031-FRAME</t>
        </is>
      </c>
      <c r="B43" t="inlineStr">
        <is>
          <t>SW-DIFF-031</t>
        </is>
      </c>
      <c r="C43" t="inlineStr">
        <is>
          <t>Khung nhôm định hình Louver (SWL)</t>
        </is>
      </c>
      <c r="D43" t="inlineStr">
        <is>
          <t>NHÔM_ĐỊNH_HÌNH</t>
        </is>
      </c>
      <c r="E43" t="inlineStr">
        <is>
          <t>MAT-ALU-KHUNG-Z-2-LOP</t>
        </is>
      </c>
      <c r="F43" t="inlineStr">
        <is>
          <t>kg</t>
        </is>
      </c>
      <c r="G43" s="407" t="n">
        <v>1.595982423101067</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Khung Louver phủ bì 2750x750mm</t>
        </is>
      </c>
    </row>
    <row r="44">
      <c r="A44" t="inlineStr">
        <is>
          <t>SW-DIFF-031-BLADE</t>
        </is>
      </c>
      <c r="B44" t="inlineStr">
        <is>
          <t>SW-DIFF-031</t>
        </is>
      </c>
      <c r="C44" t="inlineStr">
        <is>
          <t>Nan Z Louver &amp; thanh tăng cứng (16 nan)</t>
        </is>
      </c>
      <c r="D44" t="inlineStr">
        <is>
          <t>NHÔM_ĐỊNH_HÌNH</t>
        </is>
      </c>
      <c r="E44" t="inlineStr">
        <is>
          <t>MAT-ALU-NAN-Z-DAY</t>
        </is>
      </c>
      <c r="F44" t="inlineStr">
        <is>
          <t>kg</t>
        </is>
      </c>
      <c r="G44" s="407" t="n">
        <v>9.51330069052103</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16 nan Z dày @ 0.217kg/m + thanh giằng</t>
        </is>
      </c>
    </row>
    <row r="45">
      <c r="A45" t="inlineStr">
        <is>
          <t>SW-DIFF-031-ACCESSORY</t>
        </is>
      </c>
      <c r="B45" t="inlineStr">
        <is>
          <t>SW-DIFF-031</t>
        </is>
      </c>
      <c r="C45" t="inlineStr">
        <is>
          <t>Phụ kiện lắp ghép / Ke góc cửa gió</t>
        </is>
      </c>
      <c r="D45" t="inlineStr">
        <is>
          <t>PHỤ_KIỆN_CỬA</t>
        </is>
      </c>
      <c r="E45" t="inlineStr">
        <is>
          <t>MAT-DOOR-ACCESSORY</t>
        </is>
      </c>
      <c r="F45" t="inlineStr">
        <is>
          <t>Bộ</t>
        </is>
      </c>
      <c r="G45" s="407" t="n">
        <v>1.473111529608705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Ke góc và vít ghép khung Louver</t>
        </is>
      </c>
    </row>
    <row r="46">
      <c r="A46" t="inlineStr">
        <is>
          <t>SW-DIFF-031-PAINT</t>
        </is>
      </c>
      <c r="B46" t="inlineStr">
        <is>
          <t>SW-DIFF-031</t>
        </is>
      </c>
      <c r="C46" t="inlineStr">
        <is>
          <t>Sơn tĩnh điện tiêu chuẩn Polyester</t>
        </is>
      </c>
      <c r="D46" t="inlineStr">
        <is>
          <t>SƠN_TĨNH_ĐIỆN</t>
        </is>
      </c>
      <c r="E46" t="inlineStr">
        <is>
          <t>MAT-PAINT-POWDER</t>
        </is>
      </c>
      <c r="F46" t="inlineStr">
        <is>
          <t>m2</t>
        </is>
      </c>
      <c r="G46" s="407" t="n">
        <v>3.380824547394853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Sơn tĩnh điện khung và nan Louver</t>
        </is>
      </c>
    </row>
    <row r="47">
      <c r="A47" t="inlineStr">
        <is>
          <t>SW-DIFF-031-MESH</t>
        </is>
      </c>
      <c r="B47" t="inlineStr">
        <is>
          <t>SW-DIFF-031</t>
        </is>
      </c>
      <c r="C47" t="inlineStr">
        <is>
          <t>Lưới chắn côn trùng Inox 304 (LCCT)</t>
        </is>
      </c>
      <c r="D47" t="inlineStr">
        <is>
          <t>PHỤ_KIỆN_CỬA</t>
        </is>
      </c>
      <c r="E47" t="inlineStr">
        <is>
          <t>MAT-MESH-INOX-304</t>
        </is>
      </c>
      <c r="F47" t="inlineStr">
        <is>
          <t>m2</t>
        </is>
      </c>
      <c r="G47" s="407" t="n">
        <v>1.898305084745763</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Lưới chắn côn trùng cổ 2700x700mm</t>
        </is>
      </c>
    </row>
    <row r="48">
      <c r="A48" t="inlineStr">
        <is>
          <t>SW-DIFF-082-FRAME</t>
        </is>
      </c>
      <c r="B48" t="inlineStr">
        <is>
          <t>SW-DIFF-082</t>
        </is>
      </c>
      <c r="C48" t="inlineStr">
        <is>
          <t>Khung nhôm định hình (1 lớp BD)</t>
        </is>
      </c>
      <c r="D48" t="inlineStr">
        <is>
          <t>NHÔM_ĐỊNH_HÌNH</t>
        </is>
      </c>
      <c r="E48" t="inlineStr">
        <is>
          <t>MAT-ALU-KHUNG-BD</t>
        </is>
      </c>
      <c r="F48" t="inlineStr">
        <is>
          <t>kg</t>
        </is>
      </c>
      <c r="G48" s="407" t="n">
        <v>0.5850994928207734</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Khung bao 900x400mm (cổ 850x350mm)</t>
        </is>
      </c>
    </row>
    <row r="49">
      <c r="A49" t="inlineStr">
        <is>
          <t>SW-DIFF-082-BLADE</t>
        </is>
      </c>
      <c r="B49" t="inlineStr">
        <is>
          <t>SW-DIFF-082</t>
        </is>
      </c>
      <c r="C49" t="inlineStr">
        <is>
          <t>Nan nhôm bầu dục (17 nan)</t>
        </is>
      </c>
      <c r="D49" t="inlineStr">
        <is>
          <t>NHÔM_ĐỊNH_HÌNH</t>
        </is>
      </c>
      <c r="E49" t="inlineStr">
        <is>
          <t>MAT-ALU-NAN-BD</t>
        </is>
      </c>
      <c r="F49" t="inlineStr">
        <is>
          <t>kg</t>
        </is>
      </c>
      <c r="G49" s="407" t="n">
        <v>0.8351019838778784</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Nan bầu dục @ 0.058kg/m</t>
        </is>
      </c>
    </row>
    <row r="50">
      <c r="A50" t="inlineStr">
        <is>
          <t>SW-DIFF-082-ACCESSORY</t>
        </is>
      </c>
      <c r="B50" t="inlineStr">
        <is>
          <t>SW-DIFF-082</t>
        </is>
      </c>
      <c r="C50" t="inlineStr">
        <is>
          <t>Phụ kiện lắp ghép / Ke góc cửa gió</t>
        </is>
      </c>
      <c r="D50" t="inlineStr">
        <is>
          <t>PHỤ_KIỆN_CỬA</t>
        </is>
      </c>
      <c r="E50" t="inlineStr">
        <is>
          <t>MAT-DOOR-ACCESSORY</t>
        </is>
      </c>
      <c r="F50" t="inlineStr">
        <is>
          <t>Bộ</t>
        </is>
      </c>
      <c r="G50" s="407" t="n">
        <v>0.07559112785101485</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4 ke góc chìm và vít ghép khung</t>
        </is>
      </c>
    </row>
    <row r="51">
      <c r="A51" t="inlineStr">
        <is>
          <t>SW-DIFF-082-PAINT</t>
        </is>
      </c>
      <c r="B51" t="inlineStr">
        <is>
          <t>SW-DIFF-082</t>
        </is>
      </c>
      <c r="C51" t="inlineStr">
        <is>
          <t>Sơn tĩnh điện tiêu chuẩn Polyester</t>
        </is>
      </c>
      <c r="D51" t="inlineStr">
        <is>
          <t>SƠN_TĨNH_ĐIỆN</t>
        </is>
      </c>
      <c r="E51" t="inlineStr">
        <is>
          <t>MAT-PAINT-POWDER</t>
        </is>
      </c>
      <c r="F51" t="inlineStr">
        <is>
          <t>m2</t>
        </is>
      </c>
      <c r="G51" s="407" t="n">
        <v>0.2982423101067169</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Sơn tĩnh điện hoàn thiện</t>
        </is>
      </c>
    </row>
    <row r="52">
      <c r="A52" t="inlineStr">
        <is>
          <t>SW-DIFF-082-OBD-FRAME</t>
        </is>
      </c>
      <c r="B52" t="inlineStr">
        <is>
          <t>SW-DIFF-082</t>
        </is>
      </c>
      <c r="C52" t="inlineStr">
        <is>
          <t>Khung nhôm van OBD gắn cửa (SOBD)</t>
        </is>
      </c>
      <c r="D52" t="inlineStr">
        <is>
          <t>NHÔM_ĐỊNH_HÌNH</t>
        </is>
      </c>
      <c r="E52" t="inlineStr">
        <is>
          <t>MAT-ALU-KHUNG-OBD</t>
        </is>
      </c>
      <c r="F52" t="inlineStr">
        <is>
          <t>kg</t>
        </is>
      </c>
      <c r="G52" s="407" t="n">
        <v>0.3499030061028277</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Khung OBD 850x350mm</t>
        </is>
      </c>
    </row>
    <row r="53">
      <c r="A53" t="inlineStr">
        <is>
          <t>SW-DIFF-082-OBD-BLADE</t>
        </is>
      </c>
      <c r="B53" t="inlineStr">
        <is>
          <t>SW-DIFF-082</t>
        </is>
      </c>
      <c r="C53" t="inlineStr">
        <is>
          <t>Nan nhôm &amp; thanh truyền van OBD (SOBD)</t>
        </is>
      </c>
      <c r="D53" t="inlineStr">
        <is>
          <t>NHÔM_ĐỊNH_HÌNH</t>
        </is>
      </c>
      <c r="E53" t="inlineStr">
        <is>
          <t>MAT-ALU-NAN-OBD</t>
        </is>
      </c>
      <c r="F53" t="inlineStr">
        <is>
          <t>kg</t>
        </is>
      </c>
      <c r="G53" s="407" t="n">
        <v>0.7105097961476193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Nan OBD đối xứng &amp; thanh liên kết</t>
        </is>
      </c>
    </row>
    <row r="54">
      <c r="A54" t="inlineStr">
        <is>
          <t>SW-DIFF-082-OBD-ACC</t>
        </is>
      </c>
      <c r="B54" t="inlineStr">
        <is>
          <t>SW-DIFF-082</t>
        </is>
      </c>
      <c r="C54" t="inlineStr">
        <is>
          <t>Bánh răng nhựa &amp; phụ kiện van OBD</t>
        </is>
      </c>
      <c r="D54" t="inlineStr">
        <is>
          <t>PHỤ_KIỆN_CỬA</t>
        </is>
      </c>
      <c r="E54" t="inlineStr">
        <is>
          <t>MAT-DOOR-ACCESSORY</t>
        </is>
      </c>
      <c r="F54" t="inlineStr">
        <is>
          <t>Bộ</t>
        </is>
      </c>
      <c r="G54" s="407" t="n">
        <v>1.774691358024691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Cơ cấu bánh răng đóng mở OBD</t>
        </is>
      </c>
    </row>
    <row r="55">
      <c r="A55" t="inlineStr">
        <is>
          <t>SW-DIFF-083-FRAME</t>
        </is>
      </c>
      <c r="B55" t="inlineStr">
        <is>
          <t>SW-DIFF-083</t>
        </is>
      </c>
      <c r="C55" t="inlineStr">
        <is>
          <t>Khung nhôm định hình (1 lớp BD)</t>
        </is>
      </c>
      <c r="D55" t="inlineStr">
        <is>
          <t>NHÔM_ĐỊNH_HÌNH</t>
        </is>
      </c>
      <c r="E55" t="inlineStr">
        <is>
          <t>MAT-ALU-KHUNG-BD</t>
        </is>
      </c>
      <c r="F55" t="inlineStr">
        <is>
          <t>kg</t>
        </is>
      </c>
      <c r="G55" s="407" t="n">
        <v>0.2646499068344643</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bao 300x300mm (cổ 250x250mm)</t>
        </is>
      </c>
    </row>
    <row r="56">
      <c r="A56" t="inlineStr">
        <is>
          <t>SW-DIFF-083-BLADE</t>
        </is>
      </c>
      <c r="B56" t="inlineStr">
        <is>
          <t>SW-DIFF-083</t>
        </is>
      </c>
      <c r="C56" t="inlineStr">
        <is>
          <t>Nan nhôm bầu dục (12 nan)</t>
        </is>
      </c>
      <c r="D56" t="inlineStr">
        <is>
          <t>NHÔM_ĐỊNH_HÌNH</t>
        </is>
      </c>
      <c r="E56" t="inlineStr">
        <is>
          <t>MAT-ALU-NAN-BD</t>
        </is>
      </c>
      <c r="F56" t="inlineStr">
        <is>
          <t>kg</t>
        </is>
      </c>
      <c r="G56" s="407" t="n">
        <v>0.173377574507518</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bầu dục @ 0.058kg/m</t>
        </is>
      </c>
    </row>
    <row r="57">
      <c r="A57" t="inlineStr">
        <is>
          <t>SW-DIFF-083-ACCESSORY</t>
        </is>
      </c>
      <c r="B57" t="inlineStr">
        <is>
          <t>SW-DIFF-083</t>
        </is>
      </c>
      <c r="C57" t="inlineStr">
        <is>
          <t>Phụ kiện lắp ghép / Ke góc cửa gió</t>
        </is>
      </c>
      <c r="D57" t="inlineStr">
        <is>
          <t>PHỤ_KIỆN_CỬA</t>
        </is>
      </c>
      <c r="E57" t="inlineStr">
        <is>
          <t>MAT-DOOR-ACCESSORY</t>
        </is>
      </c>
      <c r="F57" t="inlineStr">
        <is>
          <t>Bộ</t>
        </is>
      </c>
      <c r="G57" s="407" t="n">
        <v>0.05335844318895167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4 ke góc chìm và vít ghép khung</t>
        </is>
      </c>
    </row>
    <row r="58">
      <c r="A58" t="inlineStr">
        <is>
          <t>SW-DIFF-083-PAINT</t>
        </is>
      </c>
      <c r="B58" t="inlineStr">
        <is>
          <t>SW-DIFF-083</t>
        </is>
      </c>
      <c r="C58" t="inlineStr">
        <is>
          <t>Sơn tĩnh điện tiêu chuẩn Polyester</t>
        </is>
      </c>
      <c r="D58" t="inlineStr">
        <is>
          <t>SƠN_TĨNH_ĐIỆN</t>
        </is>
      </c>
      <c r="E58" t="inlineStr">
        <is>
          <t>MAT-PAINT-POWDER</t>
        </is>
      </c>
      <c r="F58" t="inlineStr">
        <is>
          <t>m2</t>
        </is>
      </c>
      <c r="G58" s="407" t="n">
        <v>0.09198577108181628</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hoàn thiện</t>
        </is>
      </c>
    </row>
    <row r="59">
      <c r="A59" t="inlineStr">
        <is>
          <t>SW-DIFF-083-OBD-FRAME</t>
        </is>
      </c>
      <c r="B59" t="inlineStr">
        <is>
          <t>SW-DIFF-083</t>
        </is>
      </c>
      <c r="C59" t="inlineStr">
        <is>
          <t>Khung nhôm van OBD gắn cửa (SOBD)</t>
        </is>
      </c>
      <c r="D59" t="inlineStr">
        <is>
          <t>NHÔM_ĐỊNH_HÌNH</t>
        </is>
      </c>
      <c r="E59" t="inlineStr">
        <is>
          <t>MAT-ALU-KHUNG-OBD</t>
        </is>
      </c>
      <c r="F59" t="inlineStr">
        <is>
          <t>kg</t>
        </is>
      </c>
      <c r="G59" s="407" t="n">
        <v>0.1457929192095115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OBD 250x250mm</t>
        </is>
      </c>
    </row>
    <row r="60">
      <c r="A60" t="inlineStr">
        <is>
          <t>SW-DIFF-083-OBD-BLADE</t>
        </is>
      </c>
      <c r="B60" t="inlineStr">
        <is>
          <t>SW-DIFF-083</t>
        </is>
      </c>
      <c r="C60" t="inlineStr">
        <is>
          <t>Nan nhôm &amp; thanh truyền van OBD (SOBD)</t>
        </is>
      </c>
      <c r="D60" t="inlineStr">
        <is>
          <t>NHÔM_ĐỊNH_HÌNH</t>
        </is>
      </c>
      <c r="E60" t="inlineStr">
        <is>
          <t>MAT-ALU-NAN-OBD</t>
        </is>
      </c>
      <c r="F60" t="inlineStr">
        <is>
          <t>kg</t>
        </is>
      </c>
      <c r="G60" s="407" t="n">
        <v>0.1492667638965587</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OBD đối xứng &amp; thanh liên kết</t>
        </is>
      </c>
    </row>
    <row r="61">
      <c r="A61" t="inlineStr">
        <is>
          <t>SW-DIFF-083-OBD-ACC</t>
        </is>
      </c>
      <c r="B61" t="inlineStr">
        <is>
          <t>SW-DIFF-083</t>
        </is>
      </c>
      <c r="C61" t="inlineStr">
        <is>
          <t>Bánh răng nhựa &amp; phụ kiện van OBD</t>
        </is>
      </c>
      <c r="D61" t="inlineStr">
        <is>
          <t>PHỤ_KIỆN_CỬA</t>
        </is>
      </c>
      <c r="E61" t="inlineStr">
        <is>
          <t>MAT-DOOR-ACCESSORY</t>
        </is>
      </c>
      <c r="F61" t="inlineStr">
        <is>
          <t>Bộ</t>
        </is>
      </c>
      <c r="G61" s="407" t="n">
        <v>0.6918288344842017</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Cơ cấu bánh răng đóng mở OBD</t>
        </is>
      </c>
    </row>
    <row r="62">
      <c r="A62" t="inlineStr">
        <is>
          <t>SW-DIFF-084-FRAME</t>
        </is>
      </c>
      <c r="B62" t="inlineStr">
        <is>
          <t>SW-DIFF-084</t>
        </is>
      </c>
      <c r="C62" t="inlineStr">
        <is>
          <t>Khung nhôm định hình (1 lớp BD)</t>
        </is>
      </c>
      <c r="D62" t="inlineStr">
        <is>
          <t>NHÔM_ĐỊNH_HÌNH</t>
        </is>
      </c>
      <c r="E62" t="inlineStr">
        <is>
          <t>MAT-ALU-KHUNG-BD</t>
        </is>
      </c>
      <c r="F62" t="inlineStr">
        <is>
          <t>kg</t>
        </is>
      </c>
      <c r="G62" s="407" t="n">
        <v>0.8162695921641308</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Khung bao 1200x600mm (cổ 1150x550mm)</t>
        </is>
      </c>
    </row>
    <row r="63">
      <c r="A63" t="inlineStr">
        <is>
          <t>SW-DIFF-084-BLADE</t>
        </is>
      </c>
      <c r="B63" t="inlineStr">
        <is>
          <t>SW-DIFF-084</t>
        </is>
      </c>
      <c r="C63" t="inlineStr">
        <is>
          <t>Nan nhôm bầu dục (27 nan)</t>
        </is>
      </c>
      <c r="D63" t="inlineStr">
        <is>
          <t>NHÔM_ĐỊNH_HÌNH</t>
        </is>
      </c>
      <c r="E63" t="inlineStr">
        <is>
          <t>MAT-ALU-NAN-BD</t>
        </is>
      </c>
      <c r="F63" t="inlineStr">
        <is>
          <t>kg</t>
        </is>
      </c>
      <c r="G63" s="407" t="n">
        <v>1.794457896152811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Nan bầu dục @ 0.058kg/m</t>
        </is>
      </c>
    </row>
    <row r="64">
      <c r="A64" t="inlineStr">
        <is>
          <t>SW-DIFF-084-ACCESSORY</t>
        </is>
      </c>
      <c r="B64" t="inlineStr">
        <is>
          <t>SW-DIFF-084</t>
        </is>
      </c>
      <c r="C64" t="inlineStr">
        <is>
          <t>Phụ kiện lắp ghép / Ke góc cửa gió</t>
        </is>
      </c>
      <c r="D64" t="inlineStr">
        <is>
          <t>PHỤ_KIỆN_CỬA</t>
        </is>
      </c>
      <c r="E64" t="inlineStr">
        <is>
          <t>MAT-DOOR-ACCESSORY</t>
        </is>
      </c>
      <c r="F64" t="inlineStr">
        <is>
          <t>Bộ</t>
        </is>
      </c>
      <c r="G64" s="407" t="n">
        <v>0.1200564971751412</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4 ke góc chìm và vít ghép khung</t>
        </is>
      </c>
    </row>
    <row r="65">
      <c r="A65" t="inlineStr">
        <is>
          <t>SW-DIFF-084-PAINT</t>
        </is>
      </c>
      <c r="B65" t="inlineStr">
        <is>
          <t>SW-DIFF-084</t>
        </is>
      </c>
      <c r="C65" t="inlineStr">
        <is>
          <t>Sơn tĩnh điện tiêu chuẩn Polyester</t>
        </is>
      </c>
      <c r="D65" t="inlineStr">
        <is>
          <t>SƠN_TĨNH_ĐIỆN</t>
        </is>
      </c>
      <c r="E65" t="inlineStr">
        <is>
          <t>MAT-PAINT-POWDER</t>
        </is>
      </c>
      <c r="F65" t="inlineStr">
        <is>
          <t>m2</t>
        </is>
      </c>
      <c r="G65" s="407" t="n">
        <v>0.5482527725465579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Sơn tĩnh điện hoàn thiện</t>
        </is>
      </c>
    </row>
    <row r="66">
      <c r="A66" t="inlineStr">
        <is>
          <t>SW-DIFF-084-OBD-FRAME</t>
        </is>
      </c>
      <c r="B66" t="inlineStr">
        <is>
          <t>SW-DIFF-084</t>
        </is>
      </c>
      <c r="C66" t="inlineStr">
        <is>
          <t>Khung nhôm van OBD gắn cửa (SOBD)</t>
        </is>
      </c>
      <c r="D66" t="inlineStr">
        <is>
          <t>NHÔM_ĐỊNH_HÌNH</t>
        </is>
      </c>
      <c r="E66" t="inlineStr">
        <is>
          <t>MAT-ALU-KHUNG-OBD</t>
        </is>
      </c>
      <c r="F66" t="inlineStr">
        <is>
          <t>kg</t>
        </is>
      </c>
      <c r="G66" s="407" t="n">
        <v>0.4956959253123392</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Khung OBD 1150x550mm</t>
        </is>
      </c>
    </row>
    <row r="67">
      <c r="A67" t="inlineStr">
        <is>
          <t>SW-DIFF-084-OBD-BLADE</t>
        </is>
      </c>
      <c r="B67" t="inlineStr">
        <is>
          <t>SW-DIFF-084</t>
        </is>
      </c>
      <c r="C67" t="inlineStr">
        <is>
          <t>Nan nhôm &amp; thanh truyền van OBD (SOBD)</t>
        </is>
      </c>
      <c r="D67" t="inlineStr">
        <is>
          <t>NHÔM_ĐỊNH_HÌNH</t>
        </is>
      </c>
      <c r="E67" t="inlineStr">
        <is>
          <t>MAT-ALU-NAN-OBD</t>
        </is>
      </c>
      <c r="F67" t="inlineStr">
        <is>
          <t>kg</t>
        </is>
      </c>
      <c r="G67" s="407" t="n">
        <v>1.510579650633174</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Nan OBD đối xứng &amp; thanh liên kết</t>
        </is>
      </c>
    </row>
    <row r="68">
      <c r="A68" t="inlineStr">
        <is>
          <t>SW-DIFF-084-OBD-ACC</t>
        </is>
      </c>
      <c r="B68" t="inlineStr">
        <is>
          <t>SW-DIFF-084</t>
        </is>
      </c>
      <c r="C68" t="inlineStr">
        <is>
          <t>Bánh răng nhựa &amp; phụ kiện van OBD</t>
        </is>
      </c>
      <c r="D68" t="inlineStr">
        <is>
          <t>PHỤ_KIỆN_CỬA</t>
        </is>
      </c>
      <c r="E68" t="inlineStr">
        <is>
          <t>MAT-DOOR-ACCESSORY</t>
        </is>
      </c>
      <c r="F68" t="inlineStr">
        <is>
          <t>Bộ</t>
        </is>
      </c>
      <c r="G68" s="407" t="n">
        <v>2.316122619794935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Cơ cấu bánh răng đóng mở OBD</t>
        </is>
      </c>
    </row>
    <row r="69">
      <c r="A69" t="inlineStr">
        <is>
          <t>SW-DIFF-085-FRAME</t>
        </is>
      </c>
      <c r="B69" t="inlineStr">
        <is>
          <t>SW-DIFF-085</t>
        </is>
      </c>
      <c r="C69" t="inlineStr">
        <is>
          <t>Khung nhôm định hình (1 lớp BD)</t>
        </is>
      </c>
      <c r="D69" t="inlineStr">
        <is>
          <t>NHÔM_ĐỊNH_HÌNH</t>
        </is>
      </c>
      <c r="E69" t="inlineStr">
        <is>
          <t>MAT-ALU-KHUNG-BD</t>
        </is>
      </c>
      <c r="F69" t="inlineStr">
        <is>
          <t>kg</t>
        </is>
      </c>
      <c r="G69" s="407" t="n">
        <v>1.072948116262617</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Khung bao 1400x800mm (cổ 1350x750mm)</t>
        </is>
      </c>
    </row>
    <row r="70">
      <c r="A70" t="inlineStr">
        <is>
          <t>SW-DIFF-085-BLADE</t>
        </is>
      </c>
      <c r="B70" t="inlineStr">
        <is>
          <t>SW-DIFF-085</t>
        </is>
      </c>
      <c r="C70" t="inlineStr">
        <is>
          <t>Nan nhôm bầu dục (37 nan)</t>
        </is>
      </c>
      <c r="D70" t="inlineStr">
        <is>
          <t>NHÔM_ĐỊNH_HÌNH</t>
        </is>
      </c>
      <c r="E70" t="inlineStr">
        <is>
          <t>MAT-ALU-NAN-BD</t>
        </is>
      </c>
      <c r="F70" t="inlineStr">
        <is>
          <t>kg</t>
        </is>
      </c>
      <c r="G70" s="407" t="n">
        <v>2.886736615550175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Nan bầu dục @ 0.058kg/m</t>
        </is>
      </c>
    </row>
    <row r="71">
      <c r="A71" t="inlineStr">
        <is>
          <t>SW-DIFF-085-ACCESSORY</t>
        </is>
      </c>
      <c r="B71" t="inlineStr">
        <is>
          <t>SW-DIFF-085</t>
        </is>
      </c>
      <c r="C71" t="inlineStr">
        <is>
          <t>Phụ kiện lắp ghép / Ke góc cửa gió</t>
        </is>
      </c>
      <c r="D71" t="inlineStr">
        <is>
          <t>PHỤ_KIỆN_CỬA</t>
        </is>
      </c>
      <c r="E71" t="inlineStr">
        <is>
          <t>MAT-DOOR-ACCESSORY</t>
        </is>
      </c>
      <c r="F71" t="inlineStr">
        <is>
          <t>Bộ</t>
        </is>
      </c>
      <c r="G71" s="407" t="n">
        <v>0.1645218664992676</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4 ke góc chìm và vít ghép khung</t>
        </is>
      </c>
    </row>
    <row r="72">
      <c r="A72" t="inlineStr">
        <is>
          <t>SW-DIFF-085-PAINT</t>
        </is>
      </c>
      <c r="B72" t="inlineStr">
        <is>
          <t>SW-DIFF-085</t>
        </is>
      </c>
      <c r="C72" t="inlineStr">
        <is>
          <t>Sơn tĩnh điện tiêu chuẩn Polyester</t>
        </is>
      </c>
      <c r="D72" t="inlineStr">
        <is>
          <t>SƠN_TĨNH_ĐIỆN</t>
        </is>
      </c>
      <c r="E72" t="inlineStr">
        <is>
          <t>MAT-PAINT-POWDER</t>
        </is>
      </c>
      <c r="F72" t="inlineStr">
        <is>
          <t>m2</t>
        </is>
      </c>
      <c r="G72" s="407" t="n">
        <v>0.8315337936806865</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Sơn tĩnh điện hoàn thiện</t>
        </is>
      </c>
    </row>
    <row r="73">
      <c r="A73" t="inlineStr">
        <is>
          <t>SW-DIFF-085-OBD-FRAME</t>
        </is>
      </c>
      <c r="B73" t="inlineStr">
        <is>
          <t>SW-DIFF-085</t>
        </is>
      </c>
      <c r="C73" t="inlineStr">
        <is>
          <t>Khung nhôm van OBD gắn cửa (SOBD)</t>
        </is>
      </c>
      <c r="D73" t="inlineStr">
        <is>
          <t>NHÔM_ĐỊNH_HÌNH</t>
        </is>
      </c>
      <c r="E73" t="inlineStr">
        <is>
          <t>MAT-ALU-KHUNG-OBD</t>
        </is>
      </c>
      <c r="F73" t="inlineStr">
        <is>
          <t>kg</t>
        </is>
      </c>
      <c r="G73" s="407" t="n">
        <v>0.6123302606799484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Khung OBD 1350x750mm</t>
        </is>
      </c>
    </row>
    <row r="74">
      <c r="A74" t="inlineStr">
        <is>
          <t>SW-DIFF-085-OBD-BLADE</t>
        </is>
      </c>
      <c r="B74" t="inlineStr">
        <is>
          <t>SW-DIFF-085</t>
        </is>
      </c>
      <c r="C74" t="inlineStr">
        <is>
          <t>Nan nhôm &amp; thanh truyền van OBD (SOBD)</t>
        </is>
      </c>
      <c r="D74" t="inlineStr">
        <is>
          <t>NHÔM_ĐỊNH_HÌNH</t>
        </is>
      </c>
      <c r="E74" t="inlineStr">
        <is>
          <t>MAT-ALU-NAN-OBD</t>
        </is>
      </c>
      <c r="F74" t="inlineStr">
        <is>
          <t>kg</t>
        </is>
      </c>
      <c r="G74" s="407" t="n">
        <v>2.418121575124251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Nan OBD đối xứng &amp; thanh liên kết</t>
        </is>
      </c>
    </row>
    <row r="75">
      <c r="A75" t="inlineStr">
        <is>
          <t>SW-DIFF-085-OBD-ACC</t>
        </is>
      </c>
      <c r="B75" t="inlineStr">
        <is>
          <t>SW-DIFF-085</t>
        </is>
      </c>
      <c r="C75" t="inlineStr">
        <is>
          <t>Bánh răng nhựa &amp; phụ kiện van OBD</t>
        </is>
      </c>
      <c r="D75" t="inlineStr">
        <is>
          <t>PHỤ_KIỆN_CỬA</t>
        </is>
      </c>
      <c r="E75" t="inlineStr">
        <is>
          <t>MAT-DOOR-ACCESSORY</t>
        </is>
      </c>
      <c r="F75" t="inlineStr">
        <is>
          <t>Bộ</t>
        </is>
      </c>
      <c r="G75" s="407" t="n">
        <v>2.677076794308432</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Cơ cấu bánh răng đóng mở OBD</t>
        </is>
      </c>
    </row>
    <row r="76">
      <c r="A76" t="inlineStr">
        <is>
          <t>SW-DIFF-086-FRAME</t>
        </is>
      </c>
      <c r="B76" t="inlineStr">
        <is>
          <t>SW-DIFF-086</t>
        </is>
      </c>
      <c r="C76" t="inlineStr">
        <is>
          <t>Khung nhôm định hình (1 lớp BD)</t>
        </is>
      </c>
      <c r="D76" t="inlineStr">
        <is>
          <t>NHÔM_ĐỊNH_HÌNH</t>
        </is>
      </c>
      <c r="E76" t="inlineStr">
        <is>
          <t>MAT-ALU-KHUNG-BD</t>
        </is>
      </c>
      <c r="F76" t="inlineStr">
        <is>
          <t>kg</t>
        </is>
      </c>
      <c r="G76" s="407" t="n">
        <v>0.8162695921641308</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Khung bao 1200x600mm (cổ 1150x550mm)</t>
        </is>
      </c>
    </row>
    <row r="77">
      <c r="A77" t="inlineStr">
        <is>
          <t>SW-DIFF-086-BLADE</t>
        </is>
      </c>
      <c r="B77" t="inlineStr">
        <is>
          <t>SW-DIFF-086</t>
        </is>
      </c>
      <c r="C77" t="inlineStr">
        <is>
          <t>Nan nhôm bầu dục (27 nan)</t>
        </is>
      </c>
      <c r="D77" t="inlineStr">
        <is>
          <t>NHÔM_ĐỊNH_HÌNH</t>
        </is>
      </c>
      <c r="E77" t="inlineStr">
        <is>
          <t>MAT-ALU-NAN-BD</t>
        </is>
      </c>
      <c r="F77" t="inlineStr">
        <is>
          <t>kg</t>
        </is>
      </c>
      <c r="G77" s="407" t="n">
        <v>1.794457896152811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Nan bầu dục @ 0.058kg/m</t>
        </is>
      </c>
    </row>
    <row r="78">
      <c r="A78" t="inlineStr">
        <is>
          <t>SW-DIFF-086-ACCESSORY</t>
        </is>
      </c>
      <c r="B78" t="inlineStr">
        <is>
          <t>SW-DIFF-086</t>
        </is>
      </c>
      <c r="C78" t="inlineStr">
        <is>
          <t>Phụ kiện lắp ghép / Ke góc cửa gió</t>
        </is>
      </c>
      <c r="D78" t="inlineStr">
        <is>
          <t>PHỤ_KIỆN_CỬA</t>
        </is>
      </c>
      <c r="E78" t="inlineStr">
        <is>
          <t>MAT-DOOR-ACCESSORY</t>
        </is>
      </c>
      <c r="F78" t="inlineStr">
        <is>
          <t>Bộ</t>
        </is>
      </c>
      <c r="G78" s="407" t="n">
        <v>0.1200564971751412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4 ke góc chìm và vít ghép khung</t>
        </is>
      </c>
    </row>
    <row r="79">
      <c r="A79" t="inlineStr">
        <is>
          <t>SW-DIFF-086-PAINT</t>
        </is>
      </c>
      <c r="B79" t="inlineStr">
        <is>
          <t>SW-DIFF-086</t>
        </is>
      </c>
      <c r="C79" t="inlineStr">
        <is>
          <t>Sơn tĩnh điện tiêu chuẩn Polyester</t>
        </is>
      </c>
      <c r="D79" t="inlineStr">
        <is>
          <t>SƠN_TĨNH_ĐIỆN</t>
        </is>
      </c>
      <c r="E79" t="inlineStr">
        <is>
          <t>MAT-PAINT-POWDER</t>
        </is>
      </c>
      <c r="F79" t="inlineStr">
        <is>
          <t>m2</t>
        </is>
      </c>
      <c r="G79" s="407" t="n">
        <v>0.5482527725465579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Sơn tĩnh điện hoàn thiện</t>
        </is>
      </c>
    </row>
    <row r="80">
      <c r="A80" t="inlineStr">
        <is>
          <t>SW-DIFF-086-OBD-FRAME</t>
        </is>
      </c>
      <c r="B80" t="inlineStr">
        <is>
          <t>SW-DIFF-086</t>
        </is>
      </c>
      <c r="C80" t="inlineStr">
        <is>
          <t>Khung nhôm van OBD gắn cửa (SOBD)</t>
        </is>
      </c>
      <c r="D80" t="inlineStr">
        <is>
          <t>NHÔM_ĐỊNH_HÌNH</t>
        </is>
      </c>
      <c r="E80" t="inlineStr">
        <is>
          <t>MAT-ALU-KHUNG-OBD</t>
        </is>
      </c>
      <c r="F80" t="inlineStr">
        <is>
          <t>kg</t>
        </is>
      </c>
      <c r="G80" s="407" t="n">
        <v>0.4956959253123392</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Khung OBD 1150x550mm</t>
        </is>
      </c>
    </row>
    <row r="81">
      <c r="A81" t="inlineStr">
        <is>
          <t>SW-DIFF-086-OBD-BLADE</t>
        </is>
      </c>
      <c r="B81" t="inlineStr">
        <is>
          <t>SW-DIFF-086</t>
        </is>
      </c>
      <c r="C81" t="inlineStr">
        <is>
          <t>Nan nhôm &amp; thanh truyền van OBD (SOBD)</t>
        </is>
      </c>
      <c r="D81" t="inlineStr">
        <is>
          <t>NHÔM_ĐỊNH_HÌNH</t>
        </is>
      </c>
      <c r="E81" t="inlineStr">
        <is>
          <t>MAT-ALU-NAN-OBD</t>
        </is>
      </c>
      <c r="F81" t="inlineStr">
        <is>
          <t>kg</t>
        </is>
      </c>
      <c r="G81" s="407" t="n">
        <v>1.510579650633174</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Nan OBD đối xứng &amp; thanh liên kết</t>
        </is>
      </c>
    </row>
    <row r="82">
      <c r="A82" t="inlineStr">
        <is>
          <t>SW-DIFF-086-OBD-ACC</t>
        </is>
      </c>
      <c r="B82" t="inlineStr">
        <is>
          <t>SW-DIFF-086</t>
        </is>
      </c>
      <c r="C82" t="inlineStr">
        <is>
          <t>Bánh răng nhựa &amp; phụ kiện van OBD</t>
        </is>
      </c>
      <c r="D82" t="inlineStr">
        <is>
          <t>PHỤ_KIỆN_CỬA</t>
        </is>
      </c>
      <c r="E82" t="inlineStr">
        <is>
          <t>MAT-DOOR-ACCESSORY</t>
        </is>
      </c>
      <c r="F82" t="inlineStr">
        <is>
          <t>Bộ</t>
        </is>
      </c>
      <c r="G82" s="407" t="n">
        <v>2.316122619794935</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Cơ cấu bánh răng đóng mở OBD</t>
        </is>
      </c>
    </row>
    <row r="83">
      <c r="A83" t="inlineStr">
        <is>
          <t>SW-DIFF-087-FRAME</t>
        </is>
      </c>
      <c r="B83" t="inlineStr">
        <is>
          <t>SW-DIFF-087</t>
        </is>
      </c>
      <c r="C83" t="inlineStr">
        <is>
          <t>Khung nhôm định hình (1 lớp BD)</t>
        </is>
      </c>
      <c r="D83" t="inlineStr">
        <is>
          <t>NHÔM_ĐỊNH_HÌNH</t>
        </is>
      </c>
      <c r="E83" t="inlineStr">
        <is>
          <t>MAT-ALU-KHUNG-BD</t>
        </is>
      </c>
      <c r="F83" t="inlineStr">
        <is>
          <t>kg</t>
        </is>
      </c>
      <c r="G83" s="407" t="n">
        <v>0.2646499068344643</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300x300mm (cổ 250x250mm)</t>
        </is>
      </c>
    </row>
    <row r="84">
      <c r="A84" t="inlineStr">
        <is>
          <t>SW-DIFF-087-BLADE</t>
        </is>
      </c>
      <c r="B84" t="inlineStr">
        <is>
          <t>SW-DIFF-087</t>
        </is>
      </c>
      <c r="C84" t="inlineStr">
        <is>
          <t>Nan nhôm bầu dục (12 nan)</t>
        </is>
      </c>
      <c r="D84" t="inlineStr">
        <is>
          <t>NHÔM_ĐỊNH_HÌNH</t>
        </is>
      </c>
      <c r="E84" t="inlineStr">
        <is>
          <t>MAT-ALU-NAN-BD</t>
        </is>
      </c>
      <c r="F84" t="inlineStr">
        <is>
          <t>kg</t>
        </is>
      </c>
      <c r="G84" s="407" t="n">
        <v>0.173377574507518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SW-DIFF-087-ACCESSORY</t>
        </is>
      </c>
      <c r="B85" t="inlineStr">
        <is>
          <t>SW-DIFF-087</t>
        </is>
      </c>
      <c r="C85" t="inlineStr">
        <is>
          <t>Phụ kiện lắp ghép / Ke góc cửa gió</t>
        </is>
      </c>
      <c r="D85" t="inlineStr">
        <is>
          <t>PHỤ_KIỆN_CỬA</t>
        </is>
      </c>
      <c r="E85" t="inlineStr">
        <is>
          <t>MAT-DOOR-ACCESSORY</t>
        </is>
      </c>
      <c r="F85" t="inlineStr">
        <is>
          <t>Bộ</t>
        </is>
      </c>
      <c r="G85" s="407" t="n">
        <v>0.05335844318895167</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SW-DIFF-087-PAINT</t>
        </is>
      </c>
      <c r="B86" t="inlineStr">
        <is>
          <t>SW-DIFF-087</t>
        </is>
      </c>
      <c r="C86" t="inlineStr">
        <is>
          <t>Sơn tĩnh điện tiêu chuẩn Polyester</t>
        </is>
      </c>
      <c r="D86" t="inlineStr">
        <is>
          <t>SƠN_TĨNH_ĐIỆN</t>
        </is>
      </c>
      <c r="E86" t="inlineStr">
        <is>
          <t>MAT-PAINT-POWDER</t>
        </is>
      </c>
      <c r="F86" t="inlineStr">
        <is>
          <t>m2</t>
        </is>
      </c>
      <c r="G86" s="407" t="n">
        <v>0.09198577108181628</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SW-DIFF-087-OBD-FRAME</t>
        </is>
      </c>
      <c r="B87" t="inlineStr">
        <is>
          <t>SW-DIFF-087</t>
        </is>
      </c>
      <c r="C87" t="inlineStr">
        <is>
          <t>Khung nhôm van OBD gắn cửa (SOBD)</t>
        </is>
      </c>
      <c r="D87" t="inlineStr">
        <is>
          <t>NHÔM_ĐỊNH_HÌNH</t>
        </is>
      </c>
      <c r="E87" t="inlineStr">
        <is>
          <t>MAT-ALU-KHUNG-OBD</t>
        </is>
      </c>
      <c r="F87" t="inlineStr">
        <is>
          <t>kg</t>
        </is>
      </c>
      <c r="G87" s="407" t="n">
        <v>0.1457929192095115</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250x250mm</t>
        </is>
      </c>
    </row>
    <row r="88">
      <c r="A88" t="inlineStr">
        <is>
          <t>SW-DIFF-087-OBD-BLADE</t>
        </is>
      </c>
      <c r="B88" t="inlineStr">
        <is>
          <t>SW-DIFF-087</t>
        </is>
      </c>
      <c r="C88" t="inlineStr">
        <is>
          <t>Nan nhôm &amp; thanh truyền van OBD (SOBD)</t>
        </is>
      </c>
      <c r="D88" t="inlineStr">
        <is>
          <t>NHÔM_ĐỊNH_HÌNH</t>
        </is>
      </c>
      <c r="E88" t="inlineStr">
        <is>
          <t>MAT-ALU-NAN-OBD</t>
        </is>
      </c>
      <c r="F88" t="inlineStr">
        <is>
          <t>kg</t>
        </is>
      </c>
      <c r="G88" s="407" t="n">
        <v>0.1492667638965587</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SW-DIFF-087-OBD-ACC</t>
        </is>
      </c>
      <c r="B89" t="inlineStr">
        <is>
          <t>SW-DIFF-087</t>
        </is>
      </c>
      <c r="C89" t="inlineStr">
        <is>
          <t>Bánh răng nhựa &amp; phụ kiện van OBD</t>
        </is>
      </c>
      <c r="D89" t="inlineStr">
        <is>
          <t>PHỤ_KIỆN_CỬA</t>
        </is>
      </c>
      <c r="E89" t="inlineStr">
        <is>
          <t>MAT-DOOR-ACCESSORY</t>
        </is>
      </c>
      <c r="F89" t="inlineStr">
        <is>
          <t>Bộ</t>
        </is>
      </c>
      <c r="G89" s="407" t="n">
        <v>0.6918288344842017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SW-DIFF-088-FRAME</t>
        </is>
      </c>
      <c r="B90" t="inlineStr">
        <is>
          <t>SW-DIFF-088</t>
        </is>
      </c>
      <c r="C90" t="inlineStr">
        <is>
          <t>Khung nhôm định hình (1 lớp BD)</t>
        </is>
      </c>
      <c r="D90" t="inlineStr">
        <is>
          <t>NHÔM_ĐỊNH_HÌNH</t>
        </is>
      </c>
      <c r="E90" t="inlineStr">
        <is>
          <t>MAT-ALU-KHUNG-BD</t>
        </is>
      </c>
      <c r="F90" t="inlineStr">
        <is>
          <t>kg</t>
        </is>
      </c>
      <c r="G90" s="407" t="n">
        <v>0.2965354377783756</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Khung bao 500x200mm (cổ 450x150mm)</t>
        </is>
      </c>
    </row>
    <row r="91">
      <c r="A91" t="inlineStr">
        <is>
          <t>SW-DIFF-088-BLADE</t>
        </is>
      </c>
      <c r="B91" t="inlineStr">
        <is>
          <t>SW-DIFF-088</t>
        </is>
      </c>
      <c r="C91" t="inlineStr">
        <is>
          <t>Nan nhôm bầu dục (7 nan)</t>
        </is>
      </c>
      <c r="D91" t="inlineStr">
        <is>
          <t>NHÔM_ĐỊNH_HÌNH</t>
        </is>
      </c>
      <c r="E91" t="inlineStr">
        <is>
          <t>MAT-ALU-NAN-BD</t>
        </is>
      </c>
      <c r="F91" t="inlineStr">
        <is>
          <t>kg</t>
        </is>
      </c>
      <c r="G91" s="407" t="n">
        <v>0.1820464532328939</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Nan bầu dục @ 0.058kg/m</t>
        </is>
      </c>
    </row>
    <row r="92">
      <c r="A92" t="inlineStr">
        <is>
          <t>SW-DIFF-088-ACCESSORY</t>
        </is>
      </c>
      <c r="B92" t="inlineStr">
        <is>
          <t>SW-DIFF-088</t>
        </is>
      </c>
      <c r="C92" t="inlineStr">
        <is>
          <t>Phụ kiện lắp ghép / Ke góc cửa gió</t>
        </is>
      </c>
      <c r="D92" t="inlineStr">
        <is>
          <t>PHỤ_KIỆN_CỬA</t>
        </is>
      </c>
      <c r="E92" t="inlineStr">
        <is>
          <t>MAT-DOOR-ACCESSORY</t>
        </is>
      </c>
      <c r="F92" t="inlineStr">
        <is>
          <t>Bộ</t>
        </is>
      </c>
      <c r="G92" s="407" t="n">
        <v>0.03112575852688847</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4 ke góc chìm và vít ghép khung</t>
        </is>
      </c>
    </row>
    <row r="93">
      <c r="A93" t="inlineStr">
        <is>
          <t>SW-DIFF-088-PAINT</t>
        </is>
      </c>
      <c r="B93" t="inlineStr">
        <is>
          <t>SW-DIFF-088</t>
        </is>
      </c>
      <c r="C93" t="inlineStr">
        <is>
          <t>Sơn tĩnh điện tiêu chuẩn Polyester</t>
        </is>
      </c>
      <c r="D93" t="inlineStr">
        <is>
          <t>SƠN_TĨNH_ĐIỆN</t>
        </is>
      </c>
      <c r="E93" t="inlineStr">
        <is>
          <t>MAT-PAINT-POWDER</t>
        </is>
      </c>
      <c r="F93" t="inlineStr">
        <is>
          <t>m2</t>
        </is>
      </c>
      <c r="G93" s="407" t="n">
        <v>0.1005021971123666</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Sơn tĩnh điện hoàn thiện</t>
        </is>
      </c>
    </row>
    <row r="94">
      <c r="A94" t="inlineStr">
        <is>
          <t>SW-DIFF-088-OBD-FRAME</t>
        </is>
      </c>
      <c r="B94" t="inlineStr">
        <is>
          <t>SW-DIFF-088</t>
        </is>
      </c>
      <c r="C94" t="inlineStr">
        <is>
          <t>Khung nhôm van OBD gắn cửa (SOBD)</t>
        </is>
      </c>
      <c r="D94" t="inlineStr">
        <is>
          <t>NHÔM_ĐỊNH_HÌNH</t>
        </is>
      </c>
      <c r="E94" t="inlineStr">
        <is>
          <t>MAT-ALU-KHUNG-OBD</t>
        </is>
      </c>
      <c r="F94" t="inlineStr">
        <is>
          <t>kg</t>
        </is>
      </c>
      <c r="G94" s="407" t="n">
        <v>0.1749515030514138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Khung OBD 450x150mm</t>
        </is>
      </c>
    </row>
    <row r="95">
      <c r="A95" t="inlineStr">
        <is>
          <t>SW-DIFF-088-OBD-BLADE</t>
        </is>
      </c>
      <c r="B95" t="inlineStr">
        <is>
          <t>SW-DIFF-088</t>
        </is>
      </c>
      <c r="C95" t="inlineStr">
        <is>
          <t>Nan nhôm &amp; thanh truyền van OBD (SOBD)</t>
        </is>
      </c>
      <c r="D95" t="inlineStr">
        <is>
          <t>NHÔM_ĐỊNH_HÌNH</t>
        </is>
      </c>
      <c r="E95" t="inlineStr">
        <is>
          <t>MAT-ALU-NAN-OBD</t>
        </is>
      </c>
      <c r="F95" t="inlineStr">
        <is>
          <t>kg</t>
        </is>
      </c>
      <c r="G95" s="407" t="n">
        <v>0.1612081050082834</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Nan OBD đối xứng &amp; thanh liên kết</t>
        </is>
      </c>
    </row>
    <row r="96">
      <c r="A96" t="inlineStr">
        <is>
          <t>SW-DIFF-088-OBD-ACC</t>
        </is>
      </c>
      <c r="B96" t="inlineStr">
        <is>
          <t>SW-DIFF-088</t>
        </is>
      </c>
      <c r="C96" t="inlineStr">
        <is>
          <t>Bánh răng nhựa &amp; phụ kiện van OBD</t>
        </is>
      </c>
      <c r="D96" t="inlineStr">
        <is>
          <t>PHỤ_KIỆN_CỬA</t>
        </is>
      </c>
      <c r="E96" t="inlineStr">
        <is>
          <t>MAT-DOOR-ACCESSORY</t>
        </is>
      </c>
      <c r="F96" t="inlineStr">
        <is>
          <t>Bộ</t>
        </is>
      </c>
      <c r="G96" s="407" t="n">
        <v>1.052783008997698</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Cơ cấu bánh răng đóng mở OBD</t>
        </is>
      </c>
    </row>
    <row r="97">
      <c r="A97" t="inlineStr">
        <is>
          <t>SW-DIFF-089-FRAME</t>
        </is>
      </c>
      <c r="B97" t="inlineStr">
        <is>
          <t>SW-DIFF-089</t>
        </is>
      </c>
      <c r="C97" t="inlineStr">
        <is>
          <t>Khung nhôm định hình (1 lớp BD)</t>
        </is>
      </c>
      <c r="D97" t="inlineStr">
        <is>
          <t>NHÔM_ĐỊNH_HÌNH</t>
        </is>
      </c>
      <c r="E97" t="inlineStr">
        <is>
          <t>MAT-ALU-KHUNG-BD</t>
        </is>
      </c>
      <c r="F97" t="inlineStr">
        <is>
          <t>kg</t>
        </is>
      </c>
      <c r="G97" s="407" t="n">
        <v>1.072948116262617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Khung bao 1400x800mm (cổ 1350x750mm)</t>
        </is>
      </c>
    </row>
    <row r="98">
      <c r="A98" t="inlineStr">
        <is>
          <t>SW-DIFF-089-BLADE</t>
        </is>
      </c>
      <c r="B98" t="inlineStr">
        <is>
          <t>SW-DIFF-089</t>
        </is>
      </c>
      <c r="C98" t="inlineStr">
        <is>
          <t>Nan nhôm bầu dục (37 nan)</t>
        </is>
      </c>
      <c r="D98" t="inlineStr">
        <is>
          <t>NHÔM_ĐỊNH_HÌNH</t>
        </is>
      </c>
      <c r="E98" t="inlineStr">
        <is>
          <t>MAT-ALU-NAN-BD</t>
        </is>
      </c>
      <c r="F98" t="inlineStr">
        <is>
          <t>kg</t>
        </is>
      </c>
      <c r="G98" s="407" t="n">
        <v>2.886736615550175</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Nan bầu dục @ 0.058kg/m</t>
        </is>
      </c>
    </row>
    <row r="99">
      <c r="A99" t="inlineStr">
        <is>
          <t>SW-DIFF-089-ACCESSORY</t>
        </is>
      </c>
      <c r="B99" t="inlineStr">
        <is>
          <t>SW-DIFF-089</t>
        </is>
      </c>
      <c r="C99" t="inlineStr">
        <is>
          <t>Phụ kiện lắp ghép / Ke góc cửa gió</t>
        </is>
      </c>
      <c r="D99" t="inlineStr">
        <is>
          <t>PHỤ_KIỆN_CỬA</t>
        </is>
      </c>
      <c r="E99" t="inlineStr">
        <is>
          <t>MAT-DOOR-ACCESSORY</t>
        </is>
      </c>
      <c r="F99" t="inlineStr">
        <is>
          <t>Bộ</t>
        </is>
      </c>
      <c r="G99" s="407" t="n">
        <v>0.1645218664992676</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4 ke góc chìm và vít ghép khung</t>
        </is>
      </c>
    </row>
    <row r="100">
      <c r="A100" t="inlineStr">
        <is>
          <t>SW-DIFF-089-PAINT</t>
        </is>
      </c>
      <c r="B100" t="inlineStr">
        <is>
          <t>SW-DIFF-089</t>
        </is>
      </c>
      <c r="C100" t="inlineStr">
        <is>
          <t>Sơn tĩnh điện tiêu chuẩn Polyester</t>
        </is>
      </c>
      <c r="D100" t="inlineStr">
        <is>
          <t>SƠN_TĨNH_ĐIỆN</t>
        </is>
      </c>
      <c r="E100" t="inlineStr">
        <is>
          <t>MAT-PAINT-POWDER</t>
        </is>
      </c>
      <c r="F100" t="inlineStr">
        <is>
          <t>m2</t>
        </is>
      </c>
      <c r="G100" s="407" t="n">
        <v>0.8315337936806865</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Sơn tĩnh điện hoàn thiện</t>
        </is>
      </c>
    </row>
    <row r="101">
      <c r="A101" t="inlineStr">
        <is>
          <t>SW-DIFF-089-OBD-FRAME</t>
        </is>
      </c>
      <c r="B101" t="inlineStr">
        <is>
          <t>SW-DIFF-089</t>
        </is>
      </c>
      <c r="C101" t="inlineStr">
        <is>
          <t>Khung nhôm van OBD gắn cửa (SOBD)</t>
        </is>
      </c>
      <c r="D101" t="inlineStr">
        <is>
          <t>NHÔM_ĐỊNH_HÌNH</t>
        </is>
      </c>
      <c r="E101" t="inlineStr">
        <is>
          <t>MAT-ALU-KHUNG-OBD</t>
        </is>
      </c>
      <c r="F101" t="inlineStr">
        <is>
          <t>kg</t>
        </is>
      </c>
      <c r="G101" s="407" t="n">
        <v>0.6123302606799484</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Khung OBD 1350x750mm</t>
        </is>
      </c>
    </row>
    <row r="102">
      <c r="A102" t="inlineStr">
        <is>
          <t>SW-DIFF-089-OBD-BLADE</t>
        </is>
      </c>
      <c r="B102" t="inlineStr">
        <is>
          <t>SW-DIFF-089</t>
        </is>
      </c>
      <c r="C102" t="inlineStr">
        <is>
          <t>Nan nhôm &amp; thanh truyền van OBD (SOBD)</t>
        </is>
      </c>
      <c r="D102" t="inlineStr">
        <is>
          <t>NHÔM_ĐỊNH_HÌNH</t>
        </is>
      </c>
      <c r="E102" t="inlineStr">
        <is>
          <t>MAT-ALU-NAN-OBD</t>
        </is>
      </c>
      <c r="F102" t="inlineStr">
        <is>
          <t>kg</t>
        </is>
      </c>
      <c r="G102" s="407" t="n">
        <v>2.418121575124251</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Nan OBD đối xứng &amp; thanh liên kết</t>
        </is>
      </c>
    </row>
    <row r="103">
      <c r="A103" t="inlineStr">
        <is>
          <t>SW-DIFF-089-OBD-ACC</t>
        </is>
      </c>
      <c r="B103" t="inlineStr">
        <is>
          <t>SW-DIFF-089</t>
        </is>
      </c>
      <c r="C103" t="inlineStr">
        <is>
          <t>Bánh răng nhựa &amp; phụ kiện van OBD</t>
        </is>
      </c>
      <c r="D103" t="inlineStr">
        <is>
          <t>PHỤ_KIỆN_CỬA</t>
        </is>
      </c>
      <c r="E103" t="inlineStr">
        <is>
          <t>MAT-DOOR-ACCESSORY</t>
        </is>
      </c>
      <c r="F103" t="inlineStr">
        <is>
          <t>Bộ</t>
        </is>
      </c>
      <c r="G103" s="407" t="n">
        <v>2.677076794308432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bánh răng đóng mở OBD</t>
        </is>
      </c>
    </row>
    <row r="104">
      <c r="A104" t="inlineStr">
        <is>
          <t>SW-DIFF-090-FRAME</t>
        </is>
      </c>
      <c r="B104" t="inlineStr">
        <is>
          <t>SW-DIFF-090</t>
        </is>
      </c>
      <c r="C104" t="inlineStr">
        <is>
          <t>Khung nhôm định hình (1 lớp BD)</t>
        </is>
      </c>
      <c r="D104" t="inlineStr">
        <is>
          <t>NHÔM_ĐỊNH_HÌNH</t>
        </is>
      </c>
      <c r="E104" t="inlineStr">
        <is>
          <t>MAT-ALU-KHUNG-BD</t>
        </is>
      </c>
      <c r="F104" t="inlineStr">
        <is>
          <t>kg</t>
        </is>
      </c>
      <c r="G104" s="407" t="n">
        <v>0.557199653244851</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Khung bao 900x350mm (cổ 850x300mm)</t>
        </is>
      </c>
    </row>
    <row r="105">
      <c r="A105" t="inlineStr">
        <is>
          <t>SW-DIFF-090-BLADE</t>
        </is>
      </c>
      <c r="B105" t="inlineStr">
        <is>
          <t>SW-DIFF-090</t>
        </is>
      </c>
      <c r="C105" t="inlineStr">
        <is>
          <t>Nan nhôm bầu dục (14 nan)</t>
        </is>
      </c>
      <c r="D105" t="inlineStr">
        <is>
          <t>NHÔM_ĐỊNH_HÌNH</t>
        </is>
      </c>
      <c r="E105" t="inlineStr">
        <is>
          <t>MAT-ALU-NAN-BD</t>
        </is>
      </c>
      <c r="F105" t="inlineStr">
        <is>
          <t>kg</t>
        </is>
      </c>
      <c r="G105" s="407" t="n">
        <v>0.6877310455464881</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Nan bầu dục @ 0.058kg/m</t>
        </is>
      </c>
    </row>
    <row r="106">
      <c r="A106" t="inlineStr">
        <is>
          <t>SW-DIFF-090-ACCESSORY</t>
        </is>
      </c>
      <c r="B106" t="inlineStr">
        <is>
          <t>SW-DIFF-090</t>
        </is>
      </c>
      <c r="C106" t="inlineStr">
        <is>
          <t>Phụ kiện lắp ghép / Ke góc cửa gió</t>
        </is>
      </c>
      <c r="D106" t="inlineStr">
        <is>
          <t>PHỤ_KIỆN_CỬA</t>
        </is>
      </c>
      <c r="E106" t="inlineStr">
        <is>
          <t>MAT-DOOR-ACCESSORY</t>
        </is>
      </c>
      <c r="F106" t="inlineStr">
        <is>
          <t>Bộ</t>
        </is>
      </c>
      <c r="G106" s="407" t="n">
        <v>0.06225151705377694</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4 ke góc chìm và vít ghép khung</t>
        </is>
      </c>
    </row>
    <row r="107">
      <c r="A107" t="inlineStr">
        <is>
          <t>SW-DIFF-090-PAINT</t>
        </is>
      </c>
      <c r="B107" t="inlineStr">
        <is>
          <t>SW-DIFF-090</t>
        </is>
      </c>
      <c r="C107" t="inlineStr">
        <is>
          <t>Sơn tĩnh điện tiêu chuẩn Polyester</t>
        </is>
      </c>
      <c r="D107" t="inlineStr">
        <is>
          <t>SƠN_TĨNH_ĐIỆN</t>
        </is>
      </c>
      <c r="E107" t="inlineStr">
        <is>
          <t>MAT-PAINT-POWDER</t>
        </is>
      </c>
      <c r="F107" t="inlineStr">
        <is>
          <t>m2</t>
        </is>
      </c>
      <c r="G107" s="407" t="n">
        <v>0.2614354467461812</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Sơn tĩnh điện hoàn thiện</t>
        </is>
      </c>
    </row>
    <row r="108">
      <c r="A108" t="inlineStr">
        <is>
          <t>SW-DIFF-090-OBD-FRAME</t>
        </is>
      </c>
      <c r="B108" t="inlineStr">
        <is>
          <t>SW-DIFF-090</t>
        </is>
      </c>
      <c r="C108" t="inlineStr">
        <is>
          <t>Khung nhôm van OBD gắn cửa (SOBD)</t>
        </is>
      </c>
      <c r="D108" t="inlineStr">
        <is>
          <t>NHÔM_ĐỊNH_HÌNH</t>
        </is>
      </c>
      <c r="E108" t="inlineStr">
        <is>
          <t>MAT-ALU-KHUNG-OBD</t>
        </is>
      </c>
      <c r="F108" t="inlineStr">
        <is>
          <t>kg</t>
        </is>
      </c>
      <c r="G108" s="407" t="n">
        <v>0.3353237141818765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Khung OBD 850x300mm</t>
        </is>
      </c>
    </row>
    <row r="109">
      <c r="A109" t="inlineStr">
        <is>
          <t>SW-DIFF-090-OBD-BLADE</t>
        </is>
      </c>
      <c r="B109" t="inlineStr">
        <is>
          <t>SW-DIFF-090</t>
        </is>
      </c>
      <c r="C109" t="inlineStr">
        <is>
          <t>Nan nhôm &amp; thanh truyền van OBD (SOBD)</t>
        </is>
      </c>
      <c r="D109" t="inlineStr">
        <is>
          <t>NHÔM_ĐỊNH_HÌNH</t>
        </is>
      </c>
      <c r="E109" t="inlineStr">
        <is>
          <t>MAT-ALU-NAN-OBD</t>
        </is>
      </c>
      <c r="F109" t="inlineStr">
        <is>
          <t>kg</t>
        </is>
      </c>
      <c r="G109" s="407" t="n">
        <v>0.6090083966979597</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Nan OBD đối xứng &amp; thanh liên kết</t>
        </is>
      </c>
    </row>
    <row r="110">
      <c r="A110" t="inlineStr">
        <is>
          <t>SW-DIFF-090-OBD-ACC</t>
        </is>
      </c>
      <c r="B110" t="inlineStr">
        <is>
          <t>SW-DIFF-090</t>
        </is>
      </c>
      <c r="C110" t="inlineStr">
        <is>
          <t>Bánh răng nhựa &amp; phụ kiện van OBD</t>
        </is>
      </c>
      <c r="D110" t="inlineStr">
        <is>
          <t>PHỤ_KIỆN_CỬA</t>
        </is>
      </c>
      <c r="E110" t="inlineStr">
        <is>
          <t>MAT-DOOR-ACCESSORY</t>
        </is>
      </c>
      <c r="F110" t="inlineStr">
        <is>
          <t>Bộ</t>
        </is>
      </c>
      <c r="G110" s="407" t="n">
        <v>1.774691358024691</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bánh răng đóng mở OBD</t>
        </is>
      </c>
    </row>
    <row r="111">
      <c r="A111" t="inlineStr">
        <is>
          <t>SW-DIFF-091-FRAME</t>
        </is>
      </c>
      <c r="B111" t="inlineStr">
        <is>
          <t>SW-DIFF-091</t>
        </is>
      </c>
      <c r="C111" t="inlineStr">
        <is>
          <t>Khung nhôm định hình (1 lớp BD)</t>
        </is>
      </c>
      <c r="D111" t="inlineStr">
        <is>
          <t>NHÔM_ĐỊNH_HÌNH</t>
        </is>
      </c>
      <c r="E111" t="inlineStr">
        <is>
          <t>MAT-ALU-KHUNG-BD</t>
        </is>
      </c>
      <c r="F111" t="inlineStr">
        <is>
          <t>kg</t>
        </is>
      </c>
      <c r="G111" s="407" t="n">
        <v>0.42806325292201</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bao 350x600mm (cổ 300x550mm)</t>
        </is>
      </c>
    </row>
    <row r="112">
      <c r="A112" t="inlineStr">
        <is>
          <t>SW-DIFF-091-BLADE</t>
        </is>
      </c>
      <c r="B112" t="inlineStr">
        <is>
          <t>SW-DIFF-091</t>
        </is>
      </c>
      <c r="C112" t="inlineStr">
        <is>
          <t>Nan nhôm bầu dục (27 nan)</t>
        </is>
      </c>
      <c r="D112" t="inlineStr">
        <is>
          <t>NHÔM_ĐỊNH_HÌNH</t>
        </is>
      </c>
      <c r="E112" t="inlineStr">
        <is>
          <t>MAT-ALU-NAN-BD</t>
        </is>
      </c>
      <c r="F112" t="inlineStr">
        <is>
          <t>kg</t>
        </is>
      </c>
      <c r="G112" s="407" t="n">
        <v>0.4681194511702986</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bầu dục @ 0.058kg/m</t>
        </is>
      </c>
    </row>
    <row r="113">
      <c r="A113" t="inlineStr">
        <is>
          <t>SW-DIFF-091-ACCESSORY</t>
        </is>
      </c>
      <c r="B113" t="inlineStr">
        <is>
          <t>SW-DIFF-091</t>
        </is>
      </c>
      <c r="C113" t="inlineStr">
        <is>
          <t>Phụ kiện lắp ghép / Ke góc cửa gió</t>
        </is>
      </c>
      <c r="D113" t="inlineStr">
        <is>
          <t>PHỤ_KIỆN_CỬA</t>
        </is>
      </c>
      <c r="E113" t="inlineStr">
        <is>
          <t>MAT-DOOR-ACCESSORY</t>
        </is>
      </c>
      <c r="F113" t="inlineStr">
        <is>
          <t>Bộ</t>
        </is>
      </c>
      <c r="G113" s="407" t="n">
        <v>0.1200564971751412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4 ke góc chìm và vít ghép khung</t>
        </is>
      </c>
    </row>
    <row r="114">
      <c r="A114" t="inlineStr">
        <is>
          <t>SW-DIFF-091-PAINT</t>
        </is>
      </c>
      <c r="B114" t="inlineStr">
        <is>
          <t>SW-DIFF-091</t>
        </is>
      </c>
      <c r="C114" t="inlineStr">
        <is>
          <t>Sơn tĩnh điện tiêu chuẩn Polyester</t>
        </is>
      </c>
      <c r="D114" t="inlineStr">
        <is>
          <t>SƠN_TĨNH_ĐIỆN</t>
        </is>
      </c>
      <c r="E114" t="inlineStr">
        <is>
          <t>MAT-PAINT-POWDER</t>
        </is>
      </c>
      <c r="F114" t="inlineStr">
        <is>
          <t>m2</t>
        </is>
      </c>
      <c r="G114" s="407" t="n">
        <v>0.1881983678593848</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hoàn thiện</t>
        </is>
      </c>
    </row>
    <row r="115">
      <c r="A115" t="inlineStr">
        <is>
          <t>SW-DIFF-091-OBD-FRAME</t>
        </is>
      </c>
      <c r="B115" t="inlineStr">
        <is>
          <t>SW-DIFF-091</t>
        </is>
      </c>
      <c r="C115" t="inlineStr">
        <is>
          <t>Khung nhôm van OBD gắn cửa (SOBD)</t>
        </is>
      </c>
      <c r="D115" t="inlineStr">
        <is>
          <t>NHÔM_ĐỊNH_HÌNH</t>
        </is>
      </c>
      <c r="E115" t="inlineStr">
        <is>
          <t>MAT-ALU-KHUNG-OBD</t>
        </is>
      </c>
      <c r="F115" t="inlineStr">
        <is>
          <t>kg</t>
        </is>
      </c>
      <c r="G115" s="407" t="n">
        <v>0.2478479626561696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OBD 300x550mm</t>
        </is>
      </c>
    </row>
    <row r="116">
      <c r="A116" t="inlineStr">
        <is>
          <t>SW-DIFF-091-OBD-BLADE</t>
        </is>
      </c>
      <c r="B116" t="inlineStr">
        <is>
          <t>SW-DIFF-091</t>
        </is>
      </c>
      <c r="C116" t="inlineStr">
        <is>
          <t>Nan nhôm &amp; thanh truyền van OBD (SOBD)</t>
        </is>
      </c>
      <c r="D116" t="inlineStr">
        <is>
          <t>NHÔM_ĐỊNH_HÌNH</t>
        </is>
      </c>
      <c r="E116" t="inlineStr">
        <is>
          <t>MAT-ALU-NAN-OBD</t>
        </is>
      </c>
      <c r="F116" t="inlineStr">
        <is>
          <t>kg</t>
        </is>
      </c>
      <c r="G116" s="407" t="n">
        <v>0.394064256686915</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OBD đối xứng &amp; thanh liên kết</t>
        </is>
      </c>
    </row>
    <row r="117">
      <c r="A117" t="inlineStr">
        <is>
          <t>SW-DIFF-091-OBD-ACC</t>
        </is>
      </c>
      <c r="B117" t="inlineStr">
        <is>
          <t>SW-DIFF-091</t>
        </is>
      </c>
      <c r="C117" t="inlineStr">
        <is>
          <t>Bánh răng nhựa &amp; phụ kiện van OBD</t>
        </is>
      </c>
      <c r="D117" t="inlineStr">
        <is>
          <t>PHỤ_KIỆN_CỬA</t>
        </is>
      </c>
      <c r="E117" t="inlineStr">
        <is>
          <t>MAT-DOOR-ACCESSORY</t>
        </is>
      </c>
      <c r="F117" t="inlineStr">
        <is>
          <t>Bộ</t>
        </is>
      </c>
      <c r="G117" s="407" t="n">
        <v>0.7820673781125759</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bánh răng đóng mở OBD</t>
        </is>
      </c>
    </row>
    <row r="118">
      <c r="A118" t="inlineStr">
        <is>
          <t>SW-DIFF-092-FRAME</t>
        </is>
      </c>
      <c r="B118" t="inlineStr">
        <is>
          <t>SW-DIFF-092</t>
        </is>
      </c>
      <c r="C118" t="inlineStr">
        <is>
          <t>Khung nhôm định hình (1 lớp BD)</t>
        </is>
      </c>
      <c r="D118" t="inlineStr">
        <is>
          <t>NHÔM_ĐỊNH_HÌNH</t>
        </is>
      </c>
      <c r="E118" t="inlineStr">
        <is>
          <t>MAT-ALU-KHUNG-BD</t>
        </is>
      </c>
      <c r="F118" t="inlineStr">
        <is>
          <t>kg</t>
        </is>
      </c>
      <c r="G118" s="407" t="n">
        <v>0.5452425791408844</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Khung bao 800x400mm (cổ 750x350mm)</t>
        </is>
      </c>
    </row>
    <row r="119">
      <c r="A119" t="inlineStr">
        <is>
          <t>SW-DIFF-092-BLADE</t>
        </is>
      </c>
      <c r="B119" t="inlineStr">
        <is>
          <t>SW-DIFF-092</t>
        </is>
      </c>
      <c r="C119" t="inlineStr">
        <is>
          <t>Nan nhôm bầu dục (17 nan)</t>
        </is>
      </c>
      <c r="D119" t="inlineStr">
        <is>
          <t>NHÔM_ĐỊNH_HÌNH</t>
        </is>
      </c>
      <c r="E119" t="inlineStr">
        <is>
          <t>MAT-ALU-NAN-BD</t>
        </is>
      </c>
      <c r="F119" t="inlineStr">
        <is>
          <t>kg</t>
        </is>
      </c>
      <c r="G119" s="407" t="n">
        <v>0.7368546916569515</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Nan bầu dục @ 0.058kg/m</t>
        </is>
      </c>
    </row>
    <row r="120">
      <c r="A120" t="inlineStr">
        <is>
          <t>SW-DIFF-092-ACCESSORY</t>
        </is>
      </c>
      <c r="B120" t="inlineStr">
        <is>
          <t>SW-DIFF-092</t>
        </is>
      </c>
      <c r="C120" t="inlineStr">
        <is>
          <t>Phụ kiện lắp ghép / Ke góc cửa gió</t>
        </is>
      </c>
      <c r="D120" t="inlineStr">
        <is>
          <t>PHỤ_KIỆN_CỬA</t>
        </is>
      </c>
      <c r="E120" t="inlineStr">
        <is>
          <t>MAT-DOOR-ACCESSORY</t>
        </is>
      </c>
      <c r="F120" t="inlineStr">
        <is>
          <t>Bộ</t>
        </is>
      </c>
      <c r="G120" s="407" t="n">
        <v>0.07559112785101485</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4 ke góc chìm và vít ghép khung</t>
        </is>
      </c>
    </row>
    <row r="121">
      <c r="A121" t="inlineStr">
        <is>
          <t>SW-DIFF-092-PAINT</t>
        </is>
      </c>
      <c r="B121" t="inlineStr">
        <is>
          <t>SW-DIFF-092</t>
        </is>
      </c>
      <c r="C121" t="inlineStr">
        <is>
          <t>Sơn tĩnh điện tiêu chuẩn Polyester</t>
        </is>
      </c>
      <c r="D121" t="inlineStr">
        <is>
          <t>SƠN_TĨNH_ĐIỆN</t>
        </is>
      </c>
      <c r="E121" t="inlineStr">
        <is>
          <t>MAT-PAINT-POWDER</t>
        </is>
      </c>
      <c r="F121" t="inlineStr">
        <is>
          <t>m2</t>
        </is>
      </c>
      <c r="G121" s="407" t="n">
        <v>0.2692404268675456</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Sơn tĩnh điện hoàn thiện</t>
        </is>
      </c>
    </row>
    <row r="122">
      <c r="A122" t="inlineStr">
        <is>
          <t>SW-DIFF-092-OBD-FRAME</t>
        </is>
      </c>
      <c r="B122" t="inlineStr">
        <is>
          <t>SW-DIFF-092</t>
        </is>
      </c>
      <c r="C122" t="inlineStr">
        <is>
          <t>Khung nhôm van OBD gắn cửa (SOBD)</t>
        </is>
      </c>
      <c r="D122" t="inlineStr">
        <is>
          <t>NHÔM_ĐỊNH_HÌNH</t>
        </is>
      </c>
      <c r="E122" t="inlineStr">
        <is>
          <t>MAT-ALU-KHUNG-OBD</t>
        </is>
      </c>
      <c r="F122" t="inlineStr">
        <is>
          <t>kg</t>
        </is>
      </c>
      <c r="G122" s="407" t="n">
        <v>0.3207444222609253</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Khung OBD 750x350mm</t>
        </is>
      </c>
    </row>
    <row r="123">
      <c r="A123" t="inlineStr">
        <is>
          <t>SW-DIFF-092-OBD-BLADE</t>
        </is>
      </c>
      <c r="B123" t="inlineStr">
        <is>
          <t>SW-DIFF-092</t>
        </is>
      </c>
      <c r="C123" t="inlineStr">
        <is>
          <t>Nan nhôm &amp; thanh truyền van OBD (SOBD)</t>
        </is>
      </c>
      <c r="D123" t="inlineStr">
        <is>
          <t>NHÔM_ĐỊNH_HÌNH</t>
        </is>
      </c>
      <c r="E123" t="inlineStr">
        <is>
          <t>MAT-ALU-NAN-OBD</t>
        </is>
      </c>
      <c r="F123" t="inlineStr">
        <is>
          <t>kg</t>
        </is>
      </c>
      <c r="G123" s="407" t="n">
        <v>0.6269204083655466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Nan OBD đối xứng &amp; thanh liên kết</t>
        </is>
      </c>
    </row>
    <row r="124">
      <c r="A124" t="inlineStr">
        <is>
          <t>SW-DIFF-092-OBD-ACC</t>
        </is>
      </c>
      <c r="B124" t="inlineStr">
        <is>
          <t>SW-DIFF-092</t>
        </is>
      </c>
      <c r="C124" t="inlineStr">
        <is>
          <t>Bánh răng nhựa &amp; phụ kiện van OBD</t>
        </is>
      </c>
      <c r="D124" t="inlineStr">
        <is>
          <t>PHỤ_KIỆN_CỬA</t>
        </is>
      </c>
      <c r="E124" t="inlineStr">
        <is>
          <t>MAT-DOOR-ACCESSORY</t>
        </is>
      </c>
      <c r="F124" t="inlineStr">
        <is>
          <t>Bộ</t>
        </is>
      </c>
      <c r="G124" s="407" t="n">
        <v>1.594214270767943</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bánh răng đóng mở OBD</t>
        </is>
      </c>
    </row>
    <row r="125">
      <c r="A125" t="inlineStr">
        <is>
          <t>SW-DIFF-093-FRAME</t>
        </is>
      </c>
      <c r="B125" t="inlineStr">
        <is>
          <t>SW-DIFF-093</t>
        </is>
      </c>
      <c r="C125" t="inlineStr">
        <is>
          <t>Khung nhôm định hình (1 lớp BD)</t>
        </is>
      </c>
      <c r="D125" t="inlineStr">
        <is>
          <t>NHÔM_ĐỊNH_HÌNH</t>
        </is>
      </c>
      <c r="E125" t="inlineStr">
        <is>
          <t>MAT-ALU-KHUNG-BD</t>
        </is>
      </c>
      <c r="F125" t="inlineStr">
        <is>
          <t>kg</t>
        </is>
      </c>
      <c r="G125" s="407" t="n">
        <v>0.4719058579698882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Khung bao 700x400mm (cổ 650x350mm)</t>
        </is>
      </c>
    </row>
    <row r="126">
      <c r="A126" t="inlineStr">
        <is>
          <t>SW-DIFF-093-BLADE</t>
        </is>
      </c>
      <c r="B126" t="inlineStr">
        <is>
          <t>SW-DIFF-093</t>
        </is>
      </c>
      <c r="C126" t="inlineStr">
        <is>
          <t>Nan nhôm bầu dục (17 nan)</t>
        </is>
      </c>
      <c r="D126" t="inlineStr">
        <is>
          <t>NHÔM_ĐỊNH_HÌNH</t>
        </is>
      </c>
      <c r="E126" t="inlineStr">
        <is>
          <t>MAT-ALU-NAN-BD</t>
        </is>
      </c>
      <c r="F126" t="inlineStr">
        <is>
          <t>kg</t>
        </is>
      </c>
      <c r="G126" s="407" t="n">
        <v>0.6386073994360246</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Nan bầu dục @ 0.058kg/m</t>
        </is>
      </c>
    </row>
    <row r="127">
      <c r="A127" t="inlineStr">
        <is>
          <t>SW-DIFF-093-ACCESSORY</t>
        </is>
      </c>
      <c r="B127" t="inlineStr">
        <is>
          <t>SW-DIFF-093</t>
        </is>
      </c>
      <c r="C127" t="inlineStr">
        <is>
          <t>Phụ kiện lắp ghép / Ke góc cửa gió</t>
        </is>
      </c>
      <c r="D127" t="inlineStr">
        <is>
          <t>PHỤ_KIỆN_CỬA</t>
        </is>
      </c>
      <c r="E127" t="inlineStr">
        <is>
          <t>MAT-DOOR-ACCESSORY</t>
        </is>
      </c>
      <c r="F127" t="inlineStr">
        <is>
          <t>Bộ</t>
        </is>
      </c>
      <c r="G127" s="407" t="n">
        <v>0.07559112785101485</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4 ke góc chìm và vít ghép khung</t>
        </is>
      </c>
    </row>
    <row r="128">
      <c r="A128" t="inlineStr">
        <is>
          <t>SW-DIFF-093-PAINT</t>
        </is>
      </c>
      <c r="B128" t="inlineStr">
        <is>
          <t>SW-DIFF-093</t>
        </is>
      </c>
      <c r="C128" t="inlineStr">
        <is>
          <t>Sơn tĩnh điện tiêu chuẩn Polyester</t>
        </is>
      </c>
      <c r="D128" t="inlineStr">
        <is>
          <t>SƠN_TĨNH_ĐIỆN</t>
        </is>
      </c>
      <c r="E128" t="inlineStr">
        <is>
          <t>MAT-PAINT-POWDER</t>
        </is>
      </c>
      <c r="F128" t="inlineStr">
        <is>
          <t>m2</t>
        </is>
      </c>
      <c r="G128" s="407" t="n">
        <v>0.2332077840552417</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Sơn tĩnh điện hoàn thiện</t>
        </is>
      </c>
    </row>
    <row r="129">
      <c r="A129" t="inlineStr">
        <is>
          <t>SW-DIFF-093-OBD-FRAME</t>
        </is>
      </c>
      <c r="B129" t="inlineStr">
        <is>
          <t>SW-DIFF-093</t>
        </is>
      </c>
      <c r="C129" t="inlineStr">
        <is>
          <t>Khung nhôm van OBD gắn cửa (SOBD)</t>
        </is>
      </c>
      <c r="D129" t="inlineStr">
        <is>
          <t>NHÔM_ĐỊNH_HÌNH</t>
        </is>
      </c>
      <c r="E129" t="inlineStr">
        <is>
          <t>MAT-ALU-KHUNG-OBD</t>
        </is>
      </c>
      <c r="F129" t="inlineStr">
        <is>
          <t>kg</t>
        </is>
      </c>
      <c r="G129" s="407" t="n">
        <v>0.291585838419023</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Khung OBD 650x350mm</t>
        </is>
      </c>
    </row>
    <row r="130">
      <c r="A130" t="inlineStr">
        <is>
          <t>SW-DIFF-093-OBD-BLADE</t>
        </is>
      </c>
      <c r="B130" t="inlineStr">
        <is>
          <t>SW-DIFF-093</t>
        </is>
      </c>
      <c r="C130" t="inlineStr">
        <is>
          <t>Nan nhôm &amp; thanh truyền van OBD (SOBD)</t>
        </is>
      </c>
      <c r="D130" t="inlineStr">
        <is>
          <t>NHÔM_ĐỊNH_HÌNH</t>
        </is>
      </c>
      <c r="E130" t="inlineStr">
        <is>
          <t>MAT-ALU-NAN-OBD</t>
        </is>
      </c>
      <c r="F130" t="inlineStr">
        <is>
          <t>kg</t>
        </is>
      </c>
      <c r="G130" s="407" t="n">
        <v>0.5433310205834737</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Nan OBD đối xứng &amp; thanh liên kết</t>
        </is>
      </c>
    </row>
    <row r="131">
      <c r="A131" t="inlineStr">
        <is>
          <t>SW-DIFF-093-OBD-ACC</t>
        </is>
      </c>
      <c r="B131" t="inlineStr">
        <is>
          <t>SW-DIFF-093</t>
        </is>
      </c>
      <c r="C131" t="inlineStr">
        <is>
          <t>Bánh răng nhựa &amp; phụ kiện van OBD</t>
        </is>
      </c>
      <c r="D131" t="inlineStr">
        <is>
          <t>PHỤ_KIỆN_CỬA</t>
        </is>
      </c>
      <c r="E131" t="inlineStr">
        <is>
          <t>MAT-DOOR-ACCESSORY</t>
        </is>
      </c>
      <c r="F131" t="inlineStr">
        <is>
          <t>Bộ</t>
        </is>
      </c>
      <c r="G131" s="407" t="n">
        <v>1.413737183511195</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bánh răng đóng mở OBD</t>
        </is>
      </c>
    </row>
    <row r="132">
      <c r="A132" t="inlineStr">
        <is>
          <t>SW-DIFF-094-FRAME</t>
        </is>
      </c>
      <c r="B132" t="inlineStr">
        <is>
          <t>SW-DIFF-094</t>
        </is>
      </c>
      <c r="C132" t="inlineStr">
        <is>
          <t>Khung nhôm định hình Louver (SWL)</t>
        </is>
      </c>
      <c r="D132" t="inlineStr">
        <is>
          <t>NHÔM_ĐỊNH_HÌNH</t>
        </is>
      </c>
      <c r="E132" t="inlineStr">
        <is>
          <t>MAT-ALU-KHUNG-Z-2-LOP</t>
        </is>
      </c>
      <c r="F132" t="inlineStr">
        <is>
          <t>kg</t>
        </is>
      </c>
      <c r="G132" s="407" t="n">
        <v>1.025988700564972</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Khung Louver phủ bì 1750x500mm</t>
        </is>
      </c>
    </row>
    <row r="133">
      <c r="A133" t="inlineStr">
        <is>
          <t>SW-DIFF-094-BLADE</t>
        </is>
      </c>
      <c r="B133" t="inlineStr">
        <is>
          <t>SW-DIFF-094</t>
        </is>
      </c>
      <c r="C133" t="inlineStr">
        <is>
          <t>Nan Z Louver &amp; thanh tăng cứng (10 nan)</t>
        </is>
      </c>
      <c r="D133" t="inlineStr">
        <is>
          <t>NHÔM_ĐỊNH_HÌNH</t>
        </is>
      </c>
      <c r="E133" t="inlineStr">
        <is>
          <t>MAT-ALU-NAN-Z-DAY</t>
        </is>
      </c>
      <c r="F133" t="inlineStr">
        <is>
          <t>kg</t>
        </is>
      </c>
      <c r="G133" s="407" t="n">
        <v>3.771801632140615</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10 nan Z dày @ 0.217kg/m + thanh giằng</t>
        </is>
      </c>
    </row>
    <row r="134">
      <c r="A134" t="inlineStr">
        <is>
          <t>SW-DIFF-094-ACCESSORY</t>
        </is>
      </c>
      <c r="B134" t="inlineStr">
        <is>
          <t>SW-DIFF-094</t>
        </is>
      </c>
      <c r="C134" t="inlineStr">
        <is>
          <t>Phụ kiện lắp ghép / Ke góc cửa gió</t>
        </is>
      </c>
      <c r="D134" t="inlineStr">
        <is>
          <t>PHỤ_KIỆN_CỬA</t>
        </is>
      </c>
      <c r="E134" t="inlineStr">
        <is>
          <t>MAT-DOOR-ACCESSORY</t>
        </is>
      </c>
      <c r="F134" t="inlineStr">
        <is>
          <t>Bộ</t>
        </is>
      </c>
      <c r="G134" s="407" t="n">
        <v>0.8035153797865663</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Ke góc và vít ghép khung Louver</t>
        </is>
      </c>
    </row>
    <row r="135">
      <c r="A135" t="inlineStr">
        <is>
          <t>SW-DIFF-094-PAINT</t>
        </is>
      </c>
      <c r="B135" t="inlineStr">
        <is>
          <t>SW-DIFF-094</t>
        </is>
      </c>
      <c r="C135" t="inlineStr">
        <is>
          <t>Sơn tĩnh điện tiêu chuẩn Polyester</t>
        </is>
      </c>
      <c r="D135" t="inlineStr">
        <is>
          <t>SƠN_TĨNH_ĐIỆN</t>
        </is>
      </c>
      <c r="E135" t="inlineStr">
        <is>
          <t>MAT-PAINT-POWDER</t>
        </is>
      </c>
      <c r="F135" t="inlineStr">
        <is>
          <t>m2</t>
        </is>
      </c>
      <c r="G135" s="407" t="n">
        <v>1.450496321406152</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Sơn tĩnh điện khung và nan Louver</t>
        </is>
      </c>
    </row>
    <row r="136">
      <c r="A136" t="inlineStr">
        <is>
          <t>SW-DIFF-094-MESH</t>
        </is>
      </c>
      <c r="B136" t="inlineStr">
        <is>
          <t>SW-DIFF-094</t>
        </is>
      </c>
      <c r="C136" t="inlineStr">
        <is>
          <t>Lưới chắn côn trùng Inox 304 (LCCT)</t>
        </is>
      </c>
      <c r="D136" t="inlineStr">
        <is>
          <t>PHỤ_KIỆN_CỬA</t>
        </is>
      </c>
      <c r="E136" t="inlineStr">
        <is>
          <t>MAT-MESH-INOX-304</t>
        </is>
      </c>
      <c r="F136" t="inlineStr">
        <is>
          <t>m2</t>
        </is>
      </c>
      <c r="G136" s="407" t="n">
        <v>0.768361581920904</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Lưới chắn côn trùng cổ 1700x450mm</t>
        </is>
      </c>
    </row>
    <row r="137">
      <c r="A137" t="inlineStr">
        <is>
          <t>SW-DIFF-095-FRAME</t>
        </is>
      </c>
      <c r="B137" t="inlineStr">
        <is>
          <t>SW-DIFF-095</t>
        </is>
      </c>
      <c r="C137" t="inlineStr">
        <is>
          <t>Khung nhôm định hình Louver (SWL)</t>
        </is>
      </c>
      <c r="D137" t="inlineStr">
        <is>
          <t>NHÔM_ĐỊNH_HÌNH</t>
        </is>
      </c>
      <c r="E137" t="inlineStr">
        <is>
          <t>MAT-ALU-KHUNG-Z-2-LOP</t>
        </is>
      </c>
      <c r="F137" t="inlineStr">
        <is>
          <t>kg</t>
        </is>
      </c>
      <c r="G137" s="407" t="n">
        <v>1.139987445072191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Khung Louver phủ bì 1500x1000mm</t>
        </is>
      </c>
    </row>
    <row r="138">
      <c r="A138" t="inlineStr">
        <is>
          <t>SW-DIFF-095-BLADE</t>
        </is>
      </c>
      <c r="B138" t="inlineStr">
        <is>
          <t>SW-DIFF-095</t>
        </is>
      </c>
      <c r="C138" t="inlineStr">
        <is>
          <t>Nan Z Louver &amp; thanh tăng cứng (21 nan)</t>
        </is>
      </c>
      <c r="D138" t="inlineStr">
        <is>
          <t>NHÔM_ĐỊNH_HÌNH</t>
        </is>
      </c>
      <c r="E138" t="inlineStr">
        <is>
          <t>MAT-ALU-NAN-Z-DAY</t>
        </is>
      </c>
      <c r="F138" t="inlineStr">
        <is>
          <t>kg</t>
        </is>
      </c>
      <c r="G138" s="407" t="n">
        <v>6.767688637790333</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21 nan Z dày @ 0.217kg/m + thanh giằng</t>
        </is>
      </c>
    </row>
    <row r="139">
      <c r="A139" t="inlineStr">
        <is>
          <t>SW-DIFF-095-ACCESSORY</t>
        </is>
      </c>
      <c r="B139" t="inlineStr">
        <is>
          <t>SW-DIFF-095</t>
        </is>
      </c>
      <c r="C139" t="inlineStr">
        <is>
          <t>Phụ kiện lắp ghép / Ke góc cửa gió</t>
        </is>
      </c>
      <c r="D139" t="inlineStr">
        <is>
          <t>PHỤ_KIỆN_CỬA</t>
        </is>
      </c>
      <c r="E139" t="inlineStr">
        <is>
          <t>MAT-DOOR-ACCESSORY</t>
        </is>
      </c>
      <c r="F139" t="inlineStr">
        <is>
          <t>Bộ</t>
        </is>
      </c>
      <c r="G139" s="407" t="n">
        <v>1.473111529608705</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Ke góc và vít ghép khung Louver</t>
        </is>
      </c>
    </row>
    <row r="140">
      <c r="A140" t="inlineStr">
        <is>
          <t>SW-DIFF-095-PAINT</t>
        </is>
      </c>
      <c r="B140" t="inlineStr">
        <is>
          <t>SW-DIFF-095</t>
        </is>
      </c>
      <c r="C140" t="inlineStr">
        <is>
          <t>Sơn tĩnh điện tiêu chuẩn Polyester</t>
        </is>
      </c>
      <c r="D140" t="inlineStr">
        <is>
          <t>SƠN_TĨNH_ĐIỆN</t>
        </is>
      </c>
      <c r="E140" t="inlineStr">
        <is>
          <t>MAT-PAINT-POWDER</t>
        </is>
      </c>
      <c r="F140" t="inlineStr">
        <is>
          <t>m2</t>
        </is>
      </c>
      <c r="G140" s="407" t="n">
        <v>2.38111803138732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Sơn tĩnh điện khung và nan Louver</t>
        </is>
      </c>
    </row>
    <row r="141">
      <c r="A141" t="inlineStr">
        <is>
          <t>SW-DIFF-095-MESH</t>
        </is>
      </c>
      <c r="B141" t="inlineStr">
        <is>
          <t>SW-DIFF-095</t>
        </is>
      </c>
      <c r="C141" t="inlineStr">
        <is>
          <t>Lưới chắn côn trùng Inox 304 (LCCT)</t>
        </is>
      </c>
      <c r="D141" t="inlineStr">
        <is>
          <t>PHỤ_KIỆN_CỬA</t>
        </is>
      </c>
      <c r="E141" t="inlineStr">
        <is>
          <t>MAT-MESH-INOX-304</t>
        </is>
      </c>
      <c r="F141" t="inlineStr">
        <is>
          <t>m2</t>
        </is>
      </c>
      <c r="G141" s="407" t="n">
        <v>1.383553044569994</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Lưới chắn côn trùng cổ 1450x950mm</t>
        </is>
      </c>
    </row>
    <row r="142">
      <c r="A142" t="inlineStr">
        <is>
          <t>SW-DIFF-096-FRAME</t>
        </is>
      </c>
      <c r="B142" t="inlineStr">
        <is>
          <t>SW-DIFF-096</t>
        </is>
      </c>
      <c r="C142" t="inlineStr">
        <is>
          <t>Khung nhôm định hình Louver (SWL)</t>
        </is>
      </c>
      <c r="D142" t="inlineStr">
        <is>
          <t>NHÔM_ĐỊNH_HÌNH</t>
        </is>
      </c>
      <c r="E142" t="inlineStr">
        <is>
          <t>MAT-ALU-KHUNG-Z-2-LOP</t>
        </is>
      </c>
      <c r="F142" t="inlineStr">
        <is>
          <t>kg</t>
        </is>
      </c>
      <c r="G142" s="407" t="n">
        <v>2.051977401129944</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Khung Louver phủ bì 3500x1000mm</t>
        </is>
      </c>
    </row>
    <row r="143">
      <c r="A143" t="inlineStr">
        <is>
          <t>SW-DIFF-096-BLADE</t>
        </is>
      </c>
      <c r="B143" t="inlineStr">
        <is>
          <t>SW-DIFF-096</t>
        </is>
      </c>
      <c r="C143" t="inlineStr">
        <is>
          <t>Nan Z Louver &amp; thanh tăng cứng (21 nan)</t>
        </is>
      </c>
      <c r="D143" t="inlineStr">
        <is>
          <t>NHÔM_ĐỊNH_HÌNH</t>
        </is>
      </c>
      <c r="E143" t="inlineStr">
        <is>
          <t>MAT-ALU-NAN-Z-DAY</t>
        </is>
      </c>
      <c r="F143" t="inlineStr">
        <is>
          <t>kg</t>
        </is>
      </c>
      <c r="G143" s="407" t="n">
        <v>15.92173760200879</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21 nan Z dày @ 0.217kg/m + thanh giằng</t>
        </is>
      </c>
    </row>
    <row r="144">
      <c r="A144" t="inlineStr">
        <is>
          <t>SW-DIFF-096-ACCESSORY</t>
        </is>
      </c>
      <c r="B144" t="inlineStr">
        <is>
          <t>SW-DIFF-096</t>
        </is>
      </c>
      <c r="C144" t="inlineStr">
        <is>
          <t>Phụ kiện lắp ghép / Ke góc cửa gió</t>
        </is>
      </c>
      <c r="D144" t="inlineStr">
        <is>
          <t>PHỤ_KIỆN_CỬA</t>
        </is>
      </c>
      <c r="E144" t="inlineStr">
        <is>
          <t>MAT-DOOR-ACCESSORY</t>
        </is>
      </c>
      <c r="F144" t="inlineStr">
        <is>
          <t>Bộ</t>
        </is>
      </c>
      <c r="G144" s="407" t="n">
        <v>1.473111529608705</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Ke góc và vít ghép khung Louver</t>
        </is>
      </c>
    </row>
    <row r="145">
      <c r="A145" t="inlineStr">
        <is>
          <t>SW-DIFF-096-PAINT</t>
        </is>
      </c>
      <c r="B145" t="inlineStr">
        <is>
          <t>SW-DIFF-096</t>
        </is>
      </c>
      <c r="C145" t="inlineStr">
        <is>
          <t>Sơn tĩnh điện tiêu chuẩn Polyester</t>
        </is>
      </c>
      <c r="D145" t="inlineStr">
        <is>
          <t>SƠN_TĨNH_ĐIỆN</t>
        </is>
      </c>
      <c r="E145" t="inlineStr">
        <is>
          <t>MAT-PAINT-POWDER</t>
        </is>
      </c>
      <c r="F145" t="inlineStr">
        <is>
          <t>m2</t>
        </is>
      </c>
      <c r="G145" s="407" t="n">
        <v>5.481458018832392</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Sơn tĩnh điện khung và nan Louver</t>
        </is>
      </c>
    </row>
    <row r="146">
      <c r="A146" t="inlineStr">
        <is>
          <t>SW-DIFF-096-MESH</t>
        </is>
      </c>
      <c r="B146" t="inlineStr">
        <is>
          <t>SW-DIFF-096</t>
        </is>
      </c>
      <c r="C146" t="inlineStr">
        <is>
          <t>Lưới chắn côn trùng Inox 304 (LCCT)</t>
        </is>
      </c>
      <c r="D146" t="inlineStr">
        <is>
          <t>PHỤ_KIỆN_CỬA</t>
        </is>
      </c>
      <c r="E146" t="inlineStr">
        <is>
          <t>MAT-MESH-INOX-304</t>
        </is>
      </c>
      <c r="F146" t="inlineStr">
        <is>
          <t>m2</t>
        </is>
      </c>
      <c r="G146" s="407" t="n">
        <v>3.291902071563089</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Lưới chắn côn trùng cổ 3450x950mm</t>
        </is>
      </c>
    </row>
    <row r="147">
      <c r="A147" t="inlineStr">
        <is>
          <t>SW-DIFF-136-FRAME</t>
        </is>
      </c>
      <c r="B147" t="inlineStr">
        <is>
          <t>SW-DIFF-136</t>
        </is>
      </c>
      <c r="C147" t="inlineStr">
        <is>
          <t>Khung nhôm định hình (1 lớp BD)</t>
        </is>
      </c>
      <c r="D147" t="inlineStr">
        <is>
          <t>NHÔM_ĐỊNH_HÌNH</t>
        </is>
      </c>
      <c r="E147" t="inlineStr">
        <is>
          <t>MAT-ALU-KHUNG-BD</t>
        </is>
      </c>
      <c r="F147" t="inlineStr">
        <is>
          <t>kg</t>
        </is>
      </c>
      <c r="G147" s="407" t="n">
        <v>0.7365557648043525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bao 1000x600mm (cổ 950x550mm)</t>
        </is>
      </c>
    </row>
    <row r="148">
      <c r="A148" t="inlineStr">
        <is>
          <t>SW-DIFF-136-BLADE</t>
        </is>
      </c>
      <c r="B148" t="inlineStr">
        <is>
          <t>SW-DIFF-136</t>
        </is>
      </c>
      <c r="C148" t="inlineStr">
        <is>
          <t>Nan nhôm bầu dục (27 nan)</t>
        </is>
      </c>
      <c r="D148" t="inlineStr">
        <is>
          <t>NHÔM_ĐỊNH_HÌNH</t>
        </is>
      </c>
      <c r="E148" t="inlineStr">
        <is>
          <t>MAT-ALU-NAN-BD</t>
        </is>
      </c>
      <c r="F148" t="inlineStr">
        <is>
          <t>kg</t>
        </is>
      </c>
      <c r="G148" s="407" t="n">
        <v>1.482378262039279</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Nan bầu dục @ 0.058kg/m</t>
        </is>
      </c>
    </row>
    <row r="149">
      <c r="A149" t="inlineStr">
        <is>
          <t>SW-DIFF-136-ACCESSORY</t>
        </is>
      </c>
      <c r="B149" t="inlineStr">
        <is>
          <t>SW-DIFF-136</t>
        </is>
      </c>
      <c r="C149" t="inlineStr">
        <is>
          <t>Phụ kiện lắp ghép / Ke góc cửa gió</t>
        </is>
      </c>
      <c r="D149" t="inlineStr">
        <is>
          <t>PHỤ_KIỆN_CỬA</t>
        </is>
      </c>
      <c r="E149" t="inlineStr">
        <is>
          <t>MAT-DOOR-ACCESSORY</t>
        </is>
      </c>
      <c r="F149" t="inlineStr">
        <is>
          <t>Bộ</t>
        </is>
      </c>
      <c r="G149" s="407" t="n">
        <v>0.1200564971751412</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4 ke góc chìm và vít ghép khung</t>
        </is>
      </c>
    </row>
    <row r="150">
      <c r="A150" t="inlineStr">
        <is>
          <t>SW-DIFF-136-PAINT</t>
        </is>
      </c>
      <c r="B150" t="inlineStr">
        <is>
          <t>SW-DIFF-136</t>
        </is>
      </c>
      <c r="C150" t="inlineStr">
        <is>
          <t>Sơn tĩnh điện tiêu chuẩn Polyester</t>
        </is>
      </c>
      <c r="D150" t="inlineStr">
        <is>
          <t>SƠN_TĨNH_ĐIỆN</t>
        </is>
      </c>
      <c r="E150" t="inlineStr">
        <is>
          <t>MAT-PAINT-POWDER</t>
        </is>
      </c>
      <c r="F150" t="inlineStr">
        <is>
          <t>m2</t>
        </is>
      </c>
      <c r="G150" s="407" t="n">
        <v>0.4659761456371626</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hoàn thiện</t>
        </is>
      </c>
    </row>
    <row r="151">
      <c r="A151" t="inlineStr">
        <is>
          <t>SW-DIFF-136-OBD-FRAME</t>
        </is>
      </c>
      <c r="B151" t="inlineStr">
        <is>
          <t>SW-DIFF-136</t>
        </is>
      </c>
      <c r="C151" t="inlineStr">
        <is>
          <t>Khung nhôm van OBD gắn cửa (SOBD)</t>
        </is>
      </c>
      <c r="D151" t="inlineStr">
        <is>
          <t>NHÔM_ĐỊNH_HÌNH</t>
        </is>
      </c>
      <c r="E151" t="inlineStr">
        <is>
          <t>MAT-ALU-KHUNG-OBD</t>
        </is>
      </c>
      <c r="F151" t="inlineStr">
        <is>
          <t>kg</t>
        </is>
      </c>
      <c r="G151" s="407" t="n">
        <v>0.4373787576285346</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Khung OBD 950x550mm</t>
        </is>
      </c>
    </row>
    <row r="152">
      <c r="A152" t="inlineStr">
        <is>
          <t>SW-DIFF-136-OBD-BLADE</t>
        </is>
      </c>
      <c r="B152" t="inlineStr">
        <is>
          <t>SW-DIFF-136</t>
        </is>
      </c>
      <c r="C152" t="inlineStr">
        <is>
          <t>Nan nhôm &amp; thanh truyền van OBD (SOBD)</t>
        </is>
      </c>
      <c r="D152" t="inlineStr">
        <is>
          <t>NHÔM_ĐỊNH_HÌNH</t>
        </is>
      </c>
      <c r="E152" t="inlineStr">
        <is>
          <t>MAT-ALU-NAN-OBD</t>
        </is>
      </c>
      <c r="F152" t="inlineStr">
        <is>
          <t>kg</t>
        </is>
      </c>
      <c r="G152" s="407" t="n">
        <v>1.247870146175231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Nan OBD đối xứng &amp; thanh liên kết</t>
        </is>
      </c>
    </row>
    <row r="153">
      <c r="A153" t="inlineStr">
        <is>
          <t>SW-DIFF-136-OBD-ACC</t>
        </is>
      </c>
      <c r="B153" t="inlineStr">
        <is>
          <t>SW-DIFF-136</t>
        </is>
      </c>
      <c r="C153" t="inlineStr">
        <is>
          <t>Bánh răng nhựa &amp; phụ kiện van OBD</t>
        </is>
      </c>
      <c r="D153" t="inlineStr">
        <is>
          <t>PHỤ_KIỆN_CỬA</t>
        </is>
      </c>
      <c r="E153" t="inlineStr">
        <is>
          <t>MAT-DOOR-ACCESSORY</t>
        </is>
      </c>
      <c r="F153" t="inlineStr">
        <is>
          <t>Bộ</t>
        </is>
      </c>
      <c r="G153" s="407" t="n">
        <v>1.95516844528144</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bánh răng đóng mở OBD</t>
        </is>
      </c>
    </row>
    <row r="154">
      <c r="A154" t="inlineStr">
        <is>
          <t>SW-DIFF-137-FRAME</t>
        </is>
      </c>
      <c r="B154" t="inlineStr">
        <is>
          <t>SW-DIFF-137</t>
        </is>
      </c>
      <c r="C154" t="inlineStr">
        <is>
          <t>Khung nhôm định hình (1 lớp BD)</t>
        </is>
      </c>
      <c r="D154" t="inlineStr">
        <is>
          <t>NHÔM_ĐỊNH_HÌNH</t>
        </is>
      </c>
      <c r="E154" t="inlineStr">
        <is>
          <t>MAT-ALU-KHUNG-BD</t>
        </is>
      </c>
      <c r="F154" t="inlineStr">
        <is>
          <t>kg</t>
        </is>
      </c>
      <c r="G154" s="407" t="n">
        <v>0.8162695921641308</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Khung bao 1200x600mm (cổ 1150x550mm)</t>
        </is>
      </c>
    </row>
    <row r="155">
      <c r="A155" t="inlineStr">
        <is>
          <t>SW-DIFF-137-BLADE</t>
        </is>
      </c>
      <c r="B155" t="inlineStr">
        <is>
          <t>SW-DIFF-137</t>
        </is>
      </c>
      <c r="C155" t="inlineStr">
        <is>
          <t>Nan nhôm bầu dục (27 nan)</t>
        </is>
      </c>
      <c r="D155" t="inlineStr">
        <is>
          <t>NHÔM_ĐỊNH_HÌNH</t>
        </is>
      </c>
      <c r="E155" t="inlineStr">
        <is>
          <t>MAT-ALU-NAN-BD</t>
        </is>
      </c>
      <c r="F155" t="inlineStr">
        <is>
          <t>kg</t>
        </is>
      </c>
      <c r="G155" s="407" t="n">
        <v>1.794457896152811</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Nan bầu dục @ 0.058kg/m</t>
        </is>
      </c>
    </row>
    <row r="156">
      <c r="A156" t="inlineStr">
        <is>
          <t>SW-DIFF-137-ACCESSORY</t>
        </is>
      </c>
      <c r="B156" t="inlineStr">
        <is>
          <t>SW-DIFF-137</t>
        </is>
      </c>
      <c r="C156" t="inlineStr">
        <is>
          <t>Phụ kiện lắp ghép / Ke góc cửa gió</t>
        </is>
      </c>
      <c r="D156" t="inlineStr">
        <is>
          <t>PHỤ_KIỆN_CỬA</t>
        </is>
      </c>
      <c r="E156" t="inlineStr">
        <is>
          <t>MAT-DOOR-ACCESSORY</t>
        </is>
      </c>
      <c r="F156" t="inlineStr">
        <is>
          <t>Bộ</t>
        </is>
      </c>
      <c r="G156" s="407" t="n">
        <v>0.1200564971751412</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4 ke góc chìm và vít ghép khung</t>
        </is>
      </c>
    </row>
    <row r="157">
      <c r="A157" t="inlineStr">
        <is>
          <t>SW-DIFF-137-PAINT</t>
        </is>
      </c>
      <c r="B157" t="inlineStr">
        <is>
          <t>SW-DIFF-137</t>
        </is>
      </c>
      <c r="C157" t="inlineStr">
        <is>
          <t>Sơn tĩnh điện tiêu chuẩn Polyester</t>
        </is>
      </c>
      <c r="D157" t="inlineStr">
        <is>
          <t>SƠN_TĨNH_ĐIỆN</t>
        </is>
      </c>
      <c r="E157" t="inlineStr">
        <is>
          <t>MAT-PAINT-POWDER</t>
        </is>
      </c>
      <c r="F157" t="inlineStr">
        <is>
          <t>m2</t>
        </is>
      </c>
      <c r="G157" s="407" t="n">
        <v>0.5482527725465579</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Sơn tĩnh điện hoàn thiện</t>
        </is>
      </c>
    </row>
    <row r="158">
      <c r="A158" t="inlineStr">
        <is>
          <t>SW-DIFF-137-OBD-FRAME</t>
        </is>
      </c>
      <c r="B158" t="inlineStr">
        <is>
          <t>SW-DIFF-137</t>
        </is>
      </c>
      <c r="C158" t="inlineStr">
        <is>
          <t>Khung nhôm van OBD gắn cửa (SOBD)</t>
        </is>
      </c>
      <c r="D158" t="inlineStr">
        <is>
          <t>NHÔM_ĐỊNH_HÌNH</t>
        </is>
      </c>
      <c r="E158" t="inlineStr">
        <is>
          <t>MAT-ALU-KHUNG-OBD</t>
        </is>
      </c>
      <c r="F158" t="inlineStr">
        <is>
          <t>kg</t>
        </is>
      </c>
      <c r="G158" s="407" t="n">
        <v>0.4956959253123392</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Khung OBD 1150x550mm</t>
        </is>
      </c>
    </row>
    <row r="159">
      <c r="A159" t="inlineStr">
        <is>
          <t>SW-DIFF-137-OBD-BLADE</t>
        </is>
      </c>
      <c r="B159" t="inlineStr">
        <is>
          <t>SW-DIFF-137</t>
        </is>
      </c>
      <c r="C159" t="inlineStr">
        <is>
          <t>Nan nhôm &amp; thanh truyền van OBD (SOBD)</t>
        </is>
      </c>
      <c r="D159" t="inlineStr">
        <is>
          <t>NHÔM_ĐỊNH_HÌNH</t>
        </is>
      </c>
      <c r="E159" t="inlineStr">
        <is>
          <t>MAT-ALU-NAN-OBD</t>
        </is>
      </c>
      <c r="F159" t="inlineStr">
        <is>
          <t>kg</t>
        </is>
      </c>
      <c r="G159" s="407" t="n">
        <v>1.510579650633174</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Nan OBD đối xứng &amp; thanh liên kết</t>
        </is>
      </c>
    </row>
    <row r="160">
      <c r="A160" t="inlineStr">
        <is>
          <t>SW-DIFF-137-OBD-ACC</t>
        </is>
      </c>
      <c r="B160" t="inlineStr">
        <is>
          <t>SW-DIFF-137</t>
        </is>
      </c>
      <c r="C160" t="inlineStr">
        <is>
          <t>Bánh răng nhựa &amp; phụ kiện van OBD</t>
        </is>
      </c>
      <c r="D160" t="inlineStr">
        <is>
          <t>PHỤ_KIỆN_CỬA</t>
        </is>
      </c>
      <c r="E160" t="inlineStr">
        <is>
          <t>MAT-DOOR-ACCESSORY</t>
        </is>
      </c>
      <c r="F160" t="inlineStr">
        <is>
          <t>Bộ</t>
        </is>
      </c>
      <c r="G160" s="407" t="n">
        <v>2.316122619794935</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bánh răng đóng mở OBD</t>
        </is>
      </c>
    </row>
    <row r="161">
      <c r="A161" t="inlineStr">
        <is>
          <t>SW-DIFF-138-FRAME</t>
        </is>
      </c>
      <c r="B161" t="inlineStr">
        <is>
          <t>SW-DIFF-138</t>
        </is>
      </c>
      <c r="C161" t="inlineStr">
        <is>
          <t>Khung nhôm định hình (1 lớp BD)</t>
        </is>
      </c>
      <c r="D161" t="inlineStr">
        <is>
          <t>NHÔM_ĐỊNH_HÌNH</t>
        </is>
      </c>
      <c r="E161" t="inlineStr">
        <is>
          <t>MAT-ALU-KHUNG-BD</t>
        </is>
      </c>
      <c r="F161" t="inlineStr">
        <is>
          <t>kg</t>
        </is>
      </c>
      <c r="G161" s="407" t="n">
        <v>0.527705537121733</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Khung bao 600x600mm (cổ 550x550mm)</t>
        </is>
      </c>
    </row>
    <row r="162">
      <c r="A162" t="inlineStr">
        <is>
          <t>SW-DIFF-138-BLADE</t>
        </is>
      </c>
      <c r="B162" t="inlineStr">
        <is>
          <t>SW-DIFF-138</t>
        </is>
      </c>
      <c r="C162" t="inlineStr">
        <is>
          <t>Nan nhôm bầu dục (27 nan)</t>
        </is>
      </c>
      <c r="D162" t="inlineStr">
        <is>
          <t>NHÔM_ĐỊNH_HÌNH</t>
        </is>
      </c>
      <c r="E162" t="inlineStr">
        <is>
          <t>MAT-ALU-NAN-BD</t>
        </is>
      </c>
      <c r="F162" t="inlineStr">
        <is>
          <t>kg</t>
        </is>
      </c>
      <c r="G162" s="407" t="n">
        <v>0.8582189938122143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Nan bầu dục @ 0.058kg/m</t>
        </is>
      </c>
    </row>
    <row r="163">
      <c r="A163" t="inlineStr">
        <is>
          <t>SW-DIFF-138-ACCESSORY</t>
        </is>
      </c>
      <c r="B163" t="inlineStr">
        <is>
          <t>SW-DIFF-138</t>
        </is>
      </c>
      <c r="C163" t="inlineStr">
        <is>
          <t>Phụ kiện lắp ghép / Ke góc cửa gió</t>
        </is>
      </c>
      <c r="D163" t="inlineStr">
        <is>
          <t>PHỤ_KIỆN_CỬA</t>
        </is>
      </c>
      <c r="E163" t="inlineStr">
        <is>
          <t>MAT-DOOR-ACCESSORY</t>
        </is>
      </c>
      <c r="F163" t="inlineStr">
        <is>
          <t>Bộ</t>
        </is>
      </c>
      <c r="G163" s="407" t="n">
        <v>0.1200564971751412</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4 ke góc chìm và vít ghép khung</t>
        </is>
      </c>
    </row>
    <row r="164">
      <c r="A164" t="inlineStr">
        <is>
          <t>SW-DIFF-138-PAINT</t>
        </is>
      </c>
      <c r="B164" t="inlineStr">
        <is>
          <t>SW-DIFF-138</t>
        </is>
      </c>
      <c r="C164" t="inlineStr">
        <is>
          <t>Sơn tĩnh điện tiêu chuẩn Polyester</t>
        </is>
      </c>
      <c r="D164" t="inlineStr">
        <is>
          <t>SƠN_TĨNH_ĐIỆN</t>
        </is>
      </c>
      <c r="E164" t="inlineStr">
        <is>
          <t>MAT-PAINT-POWDER</t>
        </is>
      </c>
      <c r="F164" t="inlineStr">
        <is>
          <t>m2</t>
        </is>
      </c>
      <c r="G164" s="407" t="n">
        <v>0.2910441514961289</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Sơn tĩnh điện hoàn thiện</t>
        </is>
      </c>
    </row>
    <row r="165">
      <c r="A165" t="inlineStr">
        <is>
          <t>SW-DIFF-138-OBD-FRAME</t>
        </is>
      </c>
      <c r="B165" t="inlineStr">
        <is>
          <t>SW-DIFF-138</t>
        </is>
      </c>
      <c r="C165" t="inlineStr">
        <is>
          <t>Khung nhôm van OBD gắn cửa (SOBD)</t>
        </is>
      </c>
      <c r="D165" t="inlineStr">
        <is>
          <t>NHÔM_ĐỊNH_HÌNH</t>
        </is>
      </c>
      <c r="E165" t="inlineStr">
        <is>
          <t>MAT-ALU-KHUNG-OBD</t>
        </is>
      </c>
      <c r="F165" t="inlineStr">
        <is>
          <t>kg</t>
        </is>
      </c>
      <c r="G165" s="407" t="n">
        <v>0.3207444222609253</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Khung OBD 550x550mm</t>
        </is>
      </c>
    </row>
    <row r="166">
      <c r="A166" t="inlineStr">
        <is>
          <t>SW-DIFF-138-OBD-BLADE</t>
        </is>
      </c>
      <c r="B166" t="inlineStr">
        <is>
          <t>SW-DIFF-138</t>
        </is>
      </c>
      <c r="C166" t="inlineStr">
        <is>
          <t>Nan nhôm &amp; thanh truyền van OBD (SOBD)</t>
        </is>
      </c>
      <c r="D166" t="inlineStr">
        <is>
          <t>NHÔM_ĐỊNH_HÌNH</t>
        </is>
      </c>
      <c r="E166" t="inlineStr">
        <is>
          <t>MAT-ALU-NAN-OBD</t>
        </is>
      </c>
      <c r="F166" t="inlineStr">
        <is>
          <t>kg</t>
        </is>
      </c>
      <c r="G166" s="407" t="n">
        <v>0.7224511372593444</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Nan OBD đối xứng &amp; thanh liên kết</t>
        </is>
      </c>
    </row>
    <row r="167">
      <c r="A167" t="inlineStr">
        <is>
          <t>SW-DIFF-138-OBD-ACC</t>
        </is>
      </c>
      <c r="B167" t="inlineStr">
        <is>
          <t>SW-DIFF-138</t>
        </is>
      </c>
      <c r="C167" t="inlineStr">
        <is>
          <t>Bánh răng nhựa &amp; phụ kiện van OBD</t>
        </is>
      </c>
      <c r="D167" t="inlineStr">
        <is>
          <t>PHỤ_KIỆN_CỬA</t>
        </is>
      </c>
      <c r="E167" t="inlineStr">
        <is>
          <t>MAT-DOOR-ACCESSORY</t>
        </is>
      </c>
      <c r="F167" t="inlineStr">
        <is>
          <t>Bộ</t>
        </is>
      </c>
      <c r="G167" s="407" t="n">
        <v>1.233260096254446</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bánh răng đóng mở OBD</t>
        </is>
      </c>
    </row>
    <row r="168">
      <c r="A168" t="inlineStr">
        <is>
          <t>SW-DIFF-139-FRAME</t>
        </is>
      </c>
      <c r="B168" t="inlineStr">
        <is>
          <t>SW-DIFF-139</t>
        </is>
      </c>
      <c r="C168" t="inlineStr">
        <is>
          <t>Khung nhôm định hình (1 lớp BD)</t>
        </is>
      </c>
      <c r="D168" t="inlineStr">
        <is>
          <t>NHÔM_ĐỊNH_HÌNH</t>
        </is>
      </c>
      <c r="E168" t="inlineStr">
        <is>
          <t>MAT-ALU-KHUNG-BD</t>
        </is>
      </c>
      <c r="F168" t="inlineStr">
        <is>
          <t>kg</t>
        </is>
      </c>
      <c r="G168" s="407" t="n">
        <v>0.6966988511244633</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Khung bao 900x600mm (cổ 850x550mm)</t>
        </is>
      </c>
    </row>
    <row r="169">
      <c r="A169" t="inlineStr">
        <is>
          <t>SW-DIFF-139-BLADE</t>
        </is>
      </c>
      <c r="B169" t="inlineStr">
        <is>
          <t>SW-DIFF-139</t>
        </is>
      </c>
      <c r="C169" t="inlineStr">
        <is>
          <t>Nan nhôm bầu dục (27 nan)</t>
        </is>
      </c>
      <c r="D169" t="inlineStr">
        <is>
          <t>NHÔM_ĐỊNH_HÌNH</t>
        </is>
      </c>
      <c r="E169" t="inlineStr">
        <is>
          <t>MAT-ALU-NAN-BD</t>
        </is>
      </c>
      <c r="F169" t="inlineStr">
        <is>
          <t>kg</t>
        </is>
      </c>
      <c r="G169" s="407" t="n">
        <v>1.326338444982513</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Nan bầu dục @ 0.058kg/m</t>
        </is>
      </c>
    </row>
    <row r="170">
      <c r="A170" t="inlineStr">
        <is>
          <t>SW-DIFF-139-ACCESSORY</t>
        </is>
      </c>
      <c r="B170" t="inlineStr">
        <is>
          <t>SW-DIFF-139</t>
        </is>
      </c>
      <c r="C170" t="inlineStr">
        <is>
          <t>Phụ kiện lắp ghép / Ke góc cửa gió</t>
        </is>
      </c>
      <c r="D170" t="inlineStr">
        <is>
          <t>PHỤ_KIỆN_CỬA</t>
        </is>
      </c>
      <c r="E170" t="inlineStr">
        <is>
          <t>MAT-DOOR-ACCESSORY</t>
        </is>
      </c>
      <c r="F170" t="inlineStr">
        <is>
          <t>Bộ</t>
        </is>
      </c>
      <c r="G170" s="407" t="n">
        <v>0.1200564971751412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4 ke góc chìm và vít ghép khung</t>
        </is>
      </c>
    </row>
    <row r="171">
      <c r="A171" t="inlineStr">
        <is>
          <t>SW-DIFF-139-PAINT</t>
        </is>
      </c>
      <c r="B171" t="inlineStr">
        <is>
          <t>SW-DIFF-139</t>
        </is>
      </c>
      <c r="C171" t="inlineStr">
        <is>
          <t>Sơn tĩnh điện tiêu chuẩn Polyester</t>
        </is>
      </c>
      <c r="D171" t="inlineStr">
        <is>
          <t>SƠN_TĨNH_ĐIỆN</t>
        </is>
      </c>
      <c r="E171" t="inlineStr">
        <is>
          <t>MAT-PAINT-POWDER</t>
        </is>
      </c>
      <c r="F171" t="inlineStr">
        <is>
          <t>m2</t>
        </is>
      </c>
      <c r="G171" s="407" t="n">
        <v>0.424837832182465</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Sơn tĩnh điện hoàn thiện</t>
        </is>
      </c>
    </row>
    <row r="172">
      <c r="A172" t="inlineStr">
        <is>
          <t>SW-DIFF-139-OBD-FRAME</t>
        </is>
      </c>
      <c r="B172" t="inlineStr">
        <is>
          <t>SW-DIFF-139</t>
        </is>
      </c>
      <c r="C172" t="inlineStr">
        <is>
          <t>Khung nhôm van OBD gắn cửa (SOBD)</t>
        </is>
      </c>
      <c r="D172" t="inlineStr">
        <is>
          <t>NHÔM_ĐỊNH_HÌNH</t>
        </is>
      </c>
      <c r="E172" t="inlineStr">
        <is>
          <t>MAT-ALU-KHUNG-OBD</t>
        </is>
      </c>
      <c r="F172" t="inlineStr">
        <is>
          <t>kg</t>
        </is>
      </c>
      <c r="G172" s="407" t="n">
        <v>0.4082201737866322</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Khung OBD 850x550mm</t>
        </is>
      </c>
    </row>
    <row r="173">
      <c r="A173" t="inlineStr">
        <is>
          <t>SW-DIFF-139-OBD-BLADE</t>
        </is>
      </c>
      <c r="B173" t="inlineStr">
        <is>
          <t>SW-DIFF-139</t>
        </is>
      </c>
      <c r="C173" t="inlineStr">
        <is>
          <t>Nan nhôm &amp; thanh truyền van OBD (SOBD)</t>
        </is>
      </c>
      <c r="D173" t="inlineStr">
        <is>
          <t>NHÔM_ĐỊNH_HÌNH</t>
        </is>
      </c>
      <c r="E173" t="inlineStr">
        <is>
          <t>MAT-ALU-NAN-OBD</t>
        </is>
      </c>
      <c r="F173" t="inlineStr">
        <is>
          <t>kg</t>
        </is>
      </c>
      <c r="G173" s="407" t="n">
        <v>1.11651539394626</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Nan OBD đối xứng &amp; thanh liên kết</t>
        </is>
      </c>
    </row>
    <row r="174">
      <c r="A174" t="inlineStr">
        <is>
          <t>SW-DIFF-139-OBD-ACC</t>
        </is>
      </c>
      <c r="B174" t="inlineStr">
        <is>
          <t>SW-DIFF-139</t>
        </is>
      </c>
      <c r="C174" t="inlineStr">
        <is>
          <t>Bánh răng nhựa &amp; phụ kiện van OBD</t>
        </is>
      </c>
      <c r="D174" t="inlineStr">
        <is>
          <t>PHỤ_KIỆN_CỬA</t>
        </is>
      </c>
      <c r="E174" t="inlineStr">
        <is>
          <t>MAT-DOOR-ACCESSORY</t>
        </is>
      </c>
      <c r="F174" t="inlineStr">
        <is>
          <t>Bộ</t>
        </is>
      </c>
      <c r="G174" s="407" t="n">
        <v>1.774691358024691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bánh răng đóng mở OBD</t>
        </is>
      </c>
    </row>
    <row r="175">
      <c r="A175" t="inlineStr">
        <is>
          <t>SW-DIFF-140-FRAME</t>
        </is>
      </c>
      <c r="B175" t="inlineStr">
        <is>
          <t>SW-DIFF-140</t>
        </is>
      </c>
      <c r="C175" t="inlineStr">
        <is>
          <t>Khung nhôm định hình (1 lớp BD)</t>
        </is>
      </c>
      <c r="D175" t="inlineStr">
        <is>
          <t>NHÔM_ĐỊNH_HÌNH</t>
        </is>
      </c>
      <c r="E175" t="inlineStr">
        <is>
          <t>MAT-ALU-KHUNG-BD</t>
        </is>
      </c>
      <c r="F175" t="inlineStr">
        <is>
          <t>kg</t>
        </is>
      </c>
      <c r="G175" s="407" t="n">
        <v>0.8162695921641308</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Khung bao 850x850mm (cổ 800x800mm)</t>
        </is>
      </c>
    </row>
    <row r="176">
      <c r="A176" t="inlineStr">
        <is>
          <t>SW-DIFF-140-BLADE</t>
        </is>
      </c>
      <c r="B176" t="inlineStr">
        <is>
          <t>SW-DIFF-140</t>
        </is>
      </c>
      <c r="C176" t="inlineStr">
        <is>
          <t>Nan nhôm bầu dục (39 nan)</t>
        </is>
      </c>
      <c r="D176" t="inlineStr">
        <is>
          <t>NHÔM_ĐỊNH_HÌNH</t>
        </is>
      </c>
      <c r="E176" t="inlineStr">
        <is>
          <t>MAT-ALU-NAN-BD</t>
        </is>
      </c>
      <c r="F176" t="inlineStr">
        <is>
          <t>kg</t>
        </is>
      </c>
      <c r="G176" s="407" t="n">
        <v>1.803126774878188</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Nan bầu dục @ 0.058kg/m</t>
        </is>
      </c>
    </row>
    <row r="177">
      <c r="A177" t="inlineStr">
        <is>
          <t>SW-DIFF-140-ACCESSORY</t>
        </is>
      </c>
      <c r="B177" t="inlineStr">
        <is>
          <t>SW-DIFF-140</t>
        </is>
      </c>
      <c r="C177" t="inlineStr">
        <is>
          <t>Phụ kiện lắp ghép / Ke góc cửa gió</t>
        </is>
      </c>
      <c r="D177" t="inlineStr">
        <is>
          <t>PHỤ_KIỆN_CỬA</t>
        </is>
      </c>
      <c r="E177" t="inlineStr">
        <is>
          <t>MAT-DOOR-ACCESSORY</t>
        </is>
      </c>
      <c r="F177" t="inlineStr">
        <is>
          <t>Bộ</t>
        </is>
      </c>
      <c r="G177" s="407" t="n">
        <v>0.1734149403640929</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4 ke góc chìm và vít ghép khung</t>
        </is>
      </c>
    </row>
    <row r="178">
      <c r="A178" t="inlineStr">
        <is>
          <t>SW-DIFF-140-PAINT</t>
        </is>
      </c>
      <c r="B178" t="inlineStr">
        <is>
          <t>SW-DIFF-140</t>
        </is>
      </c>
      <c r="C178" t="inlineStr">
        <is>
          <t>Sơn tĩnh điện tiêu chuẩn Polyester</t>
        </is>
      </c>
      <c r="D178" t="inlineStr">
        <is>
          <t>SƠN_TĨNH_ĐIỆN</t>
        </is>
      </c>
      <c r="E178" t="inlineStr">
        <is>
          <t>MAT-PAINT-POWDER</t>
        </is>
      </c>
      <c r="F178" t="inlineStr">
        <is>
          <t>m2</t>
        </is>
      </c>
      <c r="G178" s="407" t="n">
        <v>0.5500732370788869</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Sơn tĩnh điện hoàn thiện</t>
        </is>
      </c>
    </row>
    <row r="179">
      <c r="A179" t="inlineStr">
        <is>
          <t>SW-DIFF-140-OBD-FRAME</t>
        </is>
      </c>
      <c r="B179" t="inlineStr">
        <is>
          <t>SW-DIFF-140</t>
        </is>
      </c>
      <c r="C179" t="inlineStr">
        <is>
          <t>Khung nhôm van OBD gắn cửa (SOBD)</t>
        </is>
      </c>
      <c r="D179" t="inlineStr">
        <is>
          <t>NHÔM_ĐỊNH_HÌNH</t>
        </is>
      </c>
      <c r="E179" t="inlineStr">
        <is>
          <t>MAT-ALU-KHUNG-OBD</t>
        </is>
      </c>
      <c r="F179" t="inlineStr">
        <is>
          <t>kg</t>
        </is>
      </c>
      <c r="G179" s="407" t="n">
        <v>0.4665373414704369</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Khung OBD 800x800mm</t>
        </is>
      </c>
    </row>
    <row r="180">
      <c r="A180" t="inlineStr">
        <is>
          <t>SW-DIFF-140-OBD-BLADE</t>
        </is>
      </c>
      <c r="B180" t="inlineStr">
        <is>
          <t>SW-DIFF-140</t>
        </is>
      </c>
      <c r="C180" t="inlineStr">
        <is>
          <t>Nan nhôm &amp; thanh truyền van OBD (SOBD)</t>
        </is>
      </c>
      <c r="D180" t="inlineStr">
        <is>
          <t>NHÔM_ĐỊNH_HÌNH</t>
        </is>
      </c>
      <c r="E180" t="inlineStr">
        <is>
          <t>MAT-ALU-NAN-OBD</t>
        </is>
      </c>
      <c r="F180" t="inlineStr">
        <is>
          <t>kg</t>
        </is>
      </c>
      <c r="G180" s="407" t="n">
        <v>1.528491662300761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Nan OBD đối xứng &amp; thanh liên kết</t>
        </is>
      </c>
    </row>
    <row r="181">
      <c r="A181" t="inlineStr">
        <is>
          <t>SW-DIFF-140-OBD-ACC</t>
        </is>
      </c>
      <c r="B181" t="inlineStr">
        <is>
          <t>SW-DIFF-140</t>
        </is>
      </c>
      <c r="C181" t="inlineStr">
        <is>
          <t>Bánh răng nhựa &amp; phụ kiện van OBD</t>
        </is>
      </c>
      <c r="D181" t="inlineStr">
        <is>
          <t>PHỤ_KIỆN_CỬA</t>
        </is>
      </c>
      <c r="E181" t="inlineStr">
        <is>
          <t>MAT-DOOR-ACCESSORY</t>
        </is>
      </c>
      <c r="F181" t="inlineStr">
        <is>
          <t>Bộ</t>
        </is>
      </c>
      <c r="G181" s="407" t="n">
        <v>1.684452814396317</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bánh răng đóng mở OBD</t>
        </is>
      </c>
    </row>
    <row r="182">
      <c r="A182" t="inlineStr">
        <is>
          <t>SW-DIFF-141-FRAME</t>
        </is>
      </c>
      <c r="B182" t="inlineStr">
        <is>
          <t>SW-DIFF-141</t>
        </is>
      </c>
      <c r="C182" t="inlineStr">
        <is>
          <t>Khung nhôm định hình (1 lớp BD)</t>
        </is>
      </c>
      <c r="D182" t="inlineStr">
        <is>
          <t>NHÔM_ĐỊNH_HÌNH</t>
        </is>
      </c>
      <c r="E182" t="inlineStr">
        <is>
          <t>MAT-ALU-KHUNG-BD</t>
        </is>
      </c>
      <c r="F182" t="inlineStr">
        <is>
          <t>kg</t>
        </is>
      </c>
      <c r="G182" s="407" t="n">
        <v>0.8680835799479869</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bao 1050x800mm (cổ 1000x750mm)</t>
        </is>
      </c>
    </row>
    <row r="183">
      <c r="A183" t="inlineStr">
        <is>
          <t>SW-DIFF-141-BLADE</t>
        </is>
      </c>
      <c r="B183" t="inlineStr">
        <is>
          <t>SW-DIFF-141</t>
        </is>
      </c>
      <c r="C183" t="inlineStr">
        <is>
          <t>Nan nhôm bầu dục (37 nan)</t>
        </is>
      </c>
      <c r="D183" t="inlineStr">
        <is>
          <t>NHÔM_ĐỊNH_HÌNH</t>
        </is>
      </c>
      <c r="E183" t="inlineStr">
        <is>
          <t>MAT-ALU-NAN-BD</t>
        </is>
      </c>
      <c r="F183" t="inlineStr">
        <is>
          <t>kg</t>
        </is>
      </c>
      <c r="G183" s="407" t="n">
        <v>2.138323418926055</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bầu dục @ 0.058kg/m</t>
        </is>
      </c>
    </row>
    <row r="184">
      <c r="A184" t="inlineStr">
        <is>
          <t>SW-DIFF-141-ACCESSORY</t>
        </is>
      </c>
      <c r="B184" t="inlineStr">
        <is>
          <t>SW-DIFF-141</t>
        </is>
      </c>
      <c r="C184" t="inlineStr">
        <is>
          <t>Phụ kiện lắp ghép / Ke góc cửa gió</t>
        </is>
      </c>
      <c r="D184" t="inlineStr">
        <is>
          <t>PHỤ_KIỆN_CỬA</t>
        </is>
      </c>
      <c r="E184" t="inlineStr">
        <is>
          <t>MAT-DOOR-ACCESSORY</t>
        </is>
      </c>
      <c r="F184" t="inlineStr">
        <is>
          <t>Bộ</t>
        </is>
      </c>
      <c r="G184" s="407" t="n">
        <v>0.1645218664992676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4 ke góc chìm và vít ghép khung</t>
        </is>
      </c>
    </row>
    <row r="185">
      <c r="A185" t="inlineStr">
        <is>
          <t>SW-DIFF-141-PAINT</t>
        </is>
      </c>
      <c r="B185" t="inlineStr">
        <is>
          <t>SW-DIFF-141</t>
        </is>
      </c>
      <c r="C185" t="inlineStr">
        <is>
          <t>Sơn tĩnh điện tiêu chuẩn Polyester</t>
        </is>
      </c>
      <c r="D185" t="inlineStr">
        <is>
          <t>SƠN_TĨNH_ĐIỆN</t>
        </is>
      </c>
      <c r="E185" t="inlineStr">
        <is>
          <t>MAT-PAINT-POWDER</t>
        </is>
      </c>
      <c r="F185" t="inlineStr">
        <is>
          <t>m2</t>
        </is>
      </c>
      <c r="G185" s="407" t="n">
        <v>0.6313454697635489</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hoàn thiện</t>
        </is>
      </c>
    </row>
    <row r="186">
      <c r="A186" t="inlineStr">
        <is>
          <t>SW-DIFF-141-OBD-FRAME</t>
        </is>
      </c>
      <c r="B186" t="inlineStr">
        <is>
          <t>SW-DIFF-141</t>
        </is>
      </c>
      <c r="C186" t="inlineStr">
        <is>
          <t>Khung nhôm van OBD gắn cửa (SOBD)</t>
        </is>
      </c>
      <c r="D186" t="inlineStr">
        <is>
          <t>NHÔM_ĐỊNH_HÌNH</t>
        </is>
      </c>
      <c r="E186" t="inlineStr">
        <is>
          <t>MAT-ALU-KHUNG-OBD</t>
        </is>
      </c>
      <c r="F186" t="inlineStr">
        <is>
          <t>kg</t>
        </is>
      </c>
      <c r="G186" s="407" t="n">
        <v>0.5102752172332904</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OBD 1000x750mm</t>
        </is>
      </c>
    </row>
    <row r="187">
      <c r="A187" t="inlineStr">
        <is>
          <t>SW-DIFF-141-OBD-BLADE</t>
        </is>
      </c>
      <c r="B187" t="inlineStr">
        <is>
          <t>SW-DIFF-141</t>
        </is>
      </c>
      <c r="C187" t="inlineStr">
        <is>
          <t>Nan nhôm &amp; thanh truyền van OBD (SOBD)</t>
        </is>
      </c>
      <c r="D187" t="inlineStr">
        <is>
          <t>NHÔM_ĐỊNH_HÌNH</t>
        </is>
      </c>
      <c r="E187" t="inlineStr">
        <is>
          <t>MAT-ALU-NAN-OBD</t>
        </is>
      </c>
      <c r="F187" t="inlineStr">
        <is>
          <t>kg</t>
        </is>
      </c>
      <c r="G187" s="407" t="n">
        <v>1.791201166758705</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OBD đối xứng &amp; thanh liên kết</t>
        </is>
      </c>
    </row>
    <row r="188">
      <c r="A188" t="inlineStr">
        <is>
          <t>SW-DIFF-141-OBD-ACC</t>
        </is>
      </c>
      <c r="B188" t="inlineStr">
        <is>
          <t>SW-DIFF-141</t>
        </is>
      </c>
      <c r="C188" t="inlineStr">
        <is>
          <t>Bánh răng nhựa &amp; phụ kiện van OBD</t>
        </is>
      </c>
      <c r="D188" t="inlineStr">
        <is>
          <t>PHỤ_KIỆN_CỬA</t>
        </is>
      </c>
      <c r="E188" t="inlineStr">
        <is>
          <t>MAT-DOOR-ACCESSORY</t>
        </is>
      </c>
      <c r="F188" t="inlineStr">
        <is>
          <t>Bộ</t>
        </is>
      </c>
      <c r="G188" s="407" t="n">
        <v>2.045406988909813</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bánh răng đóng mở OBD</t>
        </is>
      </c>
    </row>
    <row r="189">
      <c r="A189" t="inlineStr">
        <is>
          <t>SW-DIFF-142-FRAME</t>
        </is>
      </c>
      <c r="B189" t="inlineStr">
        <is>
          <t>SW-DIFF-142</t>
        </is>
      </c>
      <c r="C189" t="inlineStr">
        <is>
          <t>Khung nhôm định hình (1 lớp BD)</t>
        </is>
      </c>
      <c r="D189" t="inlineStr">
        <is>
          <t>NHÔM_ĐỊNH_HÌNH</t>
        </is>
      </c>
      <c r="E189" t="inlineStr">
        <is>
          <t>MAT-ALU-KHUNG-BD</t>
        </is>
      </c>
      <c r="F189" t="inlineStr">
        <is>
          <t>kg</t>
        </is>
      </c>
      <c r="G189" s="407" t="n">
        <v>0.8162695921641308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Khung bao 850x850mm (cổ 800x800mm)</t>
        </is>
      </c>
    </row>
    <row r="190">
      <c r="A190" t="inlineStr">
        <is>
          <t>SW-DIFF-142-BLADE</t>
        </is>
      </c>
      <c r="B190" t="inlineStr">
        <is>
          <t>SW-DIFF-142</t>
        </is>
      </c>
      <c r="C190" t="inlineStr">
        <is>
          <t>Nan nhôm bầu dục (39 nan)</t>
        </is>
      </c>
      <c r="D190" t="inlineStr">
        <is>
          <t>NHÔM_ĐỊNH_HÌNH</t>
        </is>
      </c>
      <c r="E190" t="inlineStr">
        <is>
          <t>MAT-ALU-NAN-BD</t>
        </is>
      </c>
      <c r="F190" t="inlineStr">
        <is>
          <t>kg</t>
        </is>
      </c>
      <c r="G190" s="407" t="n">
        <v>1.803126774878188</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Nan bầu dục @ 0.058kg/m</t>
        </is>
      </c>
    </row>
    <row r="191">
      <c r="A191" t="inlineStr">
        <is>
          <t>SW-DIFF-142-ACCESSORY</t>
        </is>
      </c>
      <c r="B191" t="inlineStr">
        <is>
          <t>SW-DIFF-142</t>
        </is>
      </c>
      <c r="C191" t="inlineStr">
        <is>
          <t>Phụ kiện lắp ghép / Ke góc cửa gió</t>
        </is>
      </c>
      <c r="D191" t="inlineStr">
        <is>
          <t>PHỤ_KIỆN_CỬA</t>
        </is>
      </c>
      <c r="E191" t="inlineStr">
        <is>
          <t>MAT-DOOR-ACCESSORY</t>
        </is>
      </c>
      <c r="F191" t="inlineStr">
        <is>
          <t>Bộ</t>
        </is>
      </c>
      <c r="G191" s="407" t="n">
        <v>0.1734149403640929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4 ke góc chìm và vít ghép khung</t>
        </is>
      </c>
    </row>
    <row r="192">
      <c r="A192" t="inlineStr">
        <is>
          <t>SW-DIFF-142-PAINT</t>
        </is>
      </c>
      <c r="B192" t="inlineStr">
        <is>
          <t>SW-DIFF-142</t>
        </is>
      </c>
      <c r="C192" t="inlineStr">
        <is>
          <t>Sơn tĩnh điện tiêu chuẩn Polyester</t>
        </is>
      </c>
      <c r="D192" t="inlineStr">
        <is>
          <t>SƠN_TĨNH_ĐIỆN</t>
        </is>
      </c>
      <c r="E192" t="inlineStr">
        <is>
          <t>MAT-PAINT-POWDER</t>
        </is>
      </c>
      <c r="F192" t="inlineStr">
        <is>
          <t>m2</t>
        </is>
      </c>
      <c r="G192" s="407" t="n">
        <v>0.5500732370788869</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Sơn tĩnh điện hoàn thiện</t>
        </is>
      </c>
    </row>
    <row r="193">
      <c r="A193" t="inlineStr">
        <is>
          <t>SW-DIFF-142-OBD-FRAME</t>
        </is>
      </c>
      <c r="B193" t="inlineStr">
        <is>
          <t>SW-DIFF-142</t>
        </is>
      </c>
      <c r="C193" t="inlineStr">
        <is>
          <t>Khung nhôm van OBD gắn cửa (SOBD)</t>
        </is>
      </c>
      <c r="D193" t="inlineStr">
        <is>
          <t>NHÔM_ĐỊNH_HÌNH</t>
        </is>
      </c>
      <c r="E193" t="inlineStr">
        <is>
          <t>MAT-ALU-KHUNG-OBD</t>
        </is>
      </c>
      <c r="F193" t="inlineStr">
        <is>
          <t>kg</t>
        </is>
      </c>
      <c r="G193" s="407" t="n">
        <v>0.4665373414704369</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Khung OBD 800x800mm</t>
        </is>
      </c>
    </row>
    <row r="194">
      <c r="A194" t="inlineStr">
        <is>
          <t>SW-DIFF-142-OBD-BLADE</t>
        </is>
      </c>
      <c r="B194" t="inlineStr">
        <is>
          <t>SW-DIFF-142</t>
        </is>
      </c>
      <c r="C194" t="inlineStr">
        <is>
          <t>Nan nhôm &amp; thanh truyền van OBD (SOBD)</t>
        </is>
      </c>
      <c r="D194" t="inlineStr">
        <is>
          <t>NHÔM_ĐỊNH_HÌNH</t>
        </is>
      </c>
      <c r="E194" t="inlineStr">
        <is>
          <t>MAT-ALU-NAN-OBD</t>
        </is>
      </c>
      <c r="F194" t="inlineStr">
        <is>
          <t>kg</t>
        </is>
      </c>
      <c r="G194" s="407" t="n">
        <v>1.528491662300761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Nan OBD đối xứng &amp; thanh liên kết</t>
        </is>
      </c>
    </row>
    <row r="195">
      <c r="A195" t="inlineStr">
        <is>
          <t>SW-DIFF-142-OBD-ACC</t>
        </is>
      </c>
      <c r="B195" t="inlineStr">
        <is>
          <t>SW-DIFF-142</t>
        </is>
      </c>
      <c r="C195" t="inlineStr">
        <is>
          <t>Bánh răng nhựa &amp; phụ kiện van OBD</t>
        </is>
      </c>
      <c r="D195" t="inlineStr">
        <is>
          <t>PHỤ_KIỆN_CỬA</t>
        </is>
      </c>
      <c r="E195" t="inlineStr">
        <is>
          <t>MAT-DOOR-ACCESSORY</t>
        </is>
      </c>
      <c r="F195" t="inlineStr">
        <is>
          <t>Bộ</t>
        </is>
      </c>
      <c r="G195" s="407" t="n">
        <v>1.684452814396317</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Cơ cấu bánh răng đóng mở OBD</t>
        </is>
      </c>
    </row>
    <row r="196">
      <c r="A196" t="inlineStr">
        <is>
          <t>SW-DIFF-143-FRAME</t>
        </is>
      </c>
      <c r="B196" t="inlineStr">
        <is>
          <t>SW-DIFF-143</t>
        </is>
      </c>
      <c r="C196" t="inlineStr">
        <is>
          <t>Khung nhôm định hình (1 lớp BD)</t>
        </is>
      </c>
      <c r="D196" t="inlineStr">
        <is>
          <t>NHÔM_ĐỊNH_HÌNH</t>
        </is>
      </c>
      <c r="E196" t="inlineStr">
        <is>
          <t>MAT-ALU-KHUNG-BD</t>
        </is>
      </c>
      <c r="F196" t="inlineStr">
        <is>
          <t>kg</t>
        </is>
      </c>
      <c r="G196" s="407" t="n">
        <v>0.8162695921641308</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Khung bao 850x850mm (cổ 800x800mm)</t>
        </is>
      </c>
    </row>
    <row r="197">
      <c r="A197" t="inlineStr">
        <is>
          <t>SW-DIFF-143-BLADE</t>
        </is>
      </c>
      <c r="B197" t="inlineStr">
        <is>
          <t>SW-DIFF-143</t>
        </is>
      </c>
      <c r="C197" t="inlineStr">
        <is>
          <t>Nan nhôm bầu dục (39 nan)</t>
        </is>
      </c>
      <c r="D197" t="inlineStr">
        <is>
          <t>NHÔM_ĐỊNH_HÌNH</t>
        </is>
      </c>
      <c r="E197" t="inlineStr">
        <is>
          <t>MAT-ALU-NAN-BD</t>
        </is>
      </c>
      <c r="F197" t="inlineStr">
        <is>
          <t>kg</t>
        </is>
      </c>
      <c r="G197" s="407" t="n">
        <v>1.803126774878188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Nan bầu dục @ 0.058kg/m</t>
        </is>
      </c>
    </row>
    <row r="198">
      <c r="A198" t="inlineStr">
        <is>
          <t>SW-DIFF-143-ACCESSORY</t>
        </is>
      </c>
      <c r="B198" t="inlineStr">
        <is>
          <t>SW-DIFF-143</t>
        </is>
      </c>
      <c r="C198" t="inlineStr">
        <is>
          <t>Phụ kiện lắp ghép / Ke góc cửa gió</t>
        </is>
      </c>
      <c r="D198" t="inlineStr">
        <is>
          <t>PHỤ_KIỆN_CỬA</t>
        </is>
      </c>
      <c r="E198" t="inlineStr">
        <is>
          <t>MAT-DOOR-ACCESSORY</t>
        </is>
      </c>
      <c r="F198" t="inlineStr">
        <is>
          <t>Bộ</t>
        </is>
      </c>
      <c r="G198" s="407" t="n">
        <v>0.1734149403640929</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4 ke góc chìm và vít ghép khung</t>
        </is>
      </c>
    </row>
    <row r="199">
      <c r="A199" t="inlineStr">
        <is>
          <t>SW-DIFF-143-PAINT</t>
        </is>
      </c>
      <c r="B199" t="inlineStr">
        <is>
          <t>SW-DIFF-143</t>
        </is>
      </c>
      <c r="C199" t="inlineStr">
        <is>
          <t>Sơn tĩnh điện tiêu chuẩn Polyester</t>
        </is>
      </c>
      <c r="D199" t="inlineStr">
        <is>
          <t>SƠN_TĨNH_ĐIỆN</t>
        </is>
      </c>
      <c r="E199" t="inlineStr">
        <is>
          <t>MAT-PAINT-POWDER</t>
        </is>
      </c>
      <c r="F199" t="inlineStr">
        <is>
          <t>m2</t>
        </is>
      </c>
      <c r="G199" s="407" t="n">
        <v>0.5500732370788869</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Sơn tĩnh điện hoàn thiện</t>
        </is>
      </c>
    </row>
    <row r="200">
      <c r="A200" t="inlineStr">
        <is>
          <t>SW-DIFF-143-OBD-FRAME</t>
        </is>
      </c>
      <c r="B200" t="inlineStr">
        <is>
          <t>SW-DIFF-143</t>
        </is>
      </c>
      <c r="C200" t="inlineStr">
        <is>
          <t>Khung nhôm van OBD gắn cửa (SOBD)</t>
        </is>
      </c>
      <c r="D200" t="inlineStr">
        <is>
          <t>NHÔM_ĐỊNH_HÌNH</t>
        </is>
      </c>
      <c r="E200" t="inlineStr">
        <is>
          <t>MAT-ALU-KHUNG-OBD</t>
        </is>
      </c>
      <c r="F200" t="inlineStr">
        <is>
          <t>kg</t>
        </is>
      </c>
      <c r="G200" s="407" t="n">
        <v>0.4665373414704369</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Khung OBD 800x800mm</t>
        </is>
      </c>
    </row>
    <row r="201">
      <c r="A201" t="inlineStr">
        <is>
          <t>SW-DIFF-143-OBD-BLADE</t>
        </is>
      </c>
      <c r="B201" t="inlineStr">
        <is>
          <t>SW-DIFF-143</t>
        </is>
      </c>
      <c r="C201" t="inlineStr">
        <is>
          <t>Nan nhôm &amp; thanh truyền van OBD (SOBD)</t>
        </is>
      </c>
      <c r="D201" t="inlineStr">
        <is>
          <t>NHÔM_ĐỊNH_HÌNH</t>
        </is>
      </c>
      <c r="E201" t="inlineStr">
        <is>
          <t>MAT-ALU-NAN-OBD</t>
        </is>
      </c>
      <c r="F201" t="inlineStr">
        <is>
          <t>kg</t>
        </is>
      </c>
      <c r="G201" s="407" t="n">
        <v>1.528491662300761</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Nan OBD đối xứng &amp; thanh liên kết</t>
        </is>
      </c>
    </row>
    <row r="202">
      <c r="A202" t="inlineStr">
        <is>
          <t>SW-DIFF-143-OBD-ACC</t>
        </is>
      </c>
      <c r="B202" t="inlineStr">
        <is>
          <t>SW-DIFF-143</t>
        </is>
      </c>
      <c r="C202" t="inlineStr">
        <is>
          <t>Bánh răng nhựa &amp; phụ kiện van OBD</t>
        </is>
      </c>
      <c r="D202" t="inlineStr">
        <is>
          <t>PHỤ_KIỆN_CỬA</t>
        </is>
      </c>
      <c r="E202" t="inlineStr">
        <is>
          <t>MAT-DOOR-ACCESSORY</t>
        </is>
      </c>
      <c r="F202" t="inlineStr">
        <is>
          <t>Bộ</t>
        </is>
      </c>
      <c r="G202" s="407" t="n">
        <v>1.684452814396317</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Cơ cấu bánh răng đóng mở OBD</t>
        </is>
      </c>
    </row>
    <row r="203">
      <c r="A203" t="inlineStr">
        <is>
          <t>SW-DIFF-144-FRAME</t>
        </is>
      </c>
      <c r="B203" t="inlineStr">
        <is>
          <t>SW-DIFF-144</t>
        </is>
      </c>
      <c r="C203" t="inlineStr">
        <is>
          <t>Khung nhôm định hình (1 lớp BD)</t>
        </is>
      </c>
      <c r="D203" t="inlineStr">
        <is>
          <t>NHÔM_ĐỊNH_HÌNH</t>
        </is>
      </c>
      <c r="E203" t="inlineStr">
        <is>
          <t>MAT-ALU-KHUNG-BD</t>
        </is>
      </c>
      <c r="F203" t="inlineStr">
        <is>
          <t>kg</t>
        </is>
      </c>
      <c r="G203" s="407" t="n">
        <v>0.2208073017865862</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Khung bao 250x250mm (cổ 200x200mm)</t>
        </is>
      </c>
    </row>
    <row r="204">
      <c r="A204" t="inlineStr">
        <is>
          <t>SW-DIFF-144-BLADE</t>
        </is>
      </c>
      <c r="B204" t="inlineStr">
        <is>
          <t>SW-DIFF-144</t>
        </is>
      </c>
      <c r="C204" t="inlineStr">
        <is>
          <t>Nan nhôm bầu dục (9 nan)</t>
        </is>
      </c>
      <c r="D204" t="inlineStr">
        <is>
          <t>NHÔM_ĐỊNH_HÌNH</t>
        </is>
      </c>
      <c r="E204" t="inlineStr">
        <is>
          <t>MAT-ALU-NAN-BD</t>
        </is>
      </c>
      <c r="F204" t="inlineStr">
        <is>
          <t>kg</t>
        </is>
      </c>
      <c r="G204" s="407" t="n">
        <v>0.1040265447045108</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Nan bầu dục @ 0.058kg/m</t>
        </is>
      </c>
    </row>
    <row r="205">
      <c r="A205" t="inlineStr">
        <is>
          <t>SW-DIFF-144-ACCESSORY</t>
        </is>
      </c>
      <c r="B205" t="inlineStr">
        <is>
          <t>SW-DIFF-144</t>
        </is>
      </c>
      <c r="C205" t="inlineStr">
        <is>
          <t>Phụ kiện lắp ghép / Ke góc cửa gió</t>
        </is>
      </c>
      <c r="D205" t="inlineStr">
        <is>
          <t>PHỤ_KIỆN_CỬA</t>
        </is>
      </c>
      <c r="E205" t="inlineStr">
        <is>
          <t>MAT-DOOR-ACCESSORY</t>
        </is>
      </c>
      <c r="F205" t="inlineStr">
        <is>
          <t>Bộ</t>
        </is>
      </c>
      <c r="G205" s="407" t="n">
        <v>0.04001883239171375</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4 ke góc chìm và vít ghép khung</t>
        </is>
      </c>
    </row>
    <row r="206">
      <c r="A206" t="inlineStr">
        <is>
          <t>SW-DIFF-144-PAINT</t>
        </is>
      </c>
      <c r="B206" t="inlineStr">
        <is>
          <t>SW-DIFF-144</t>
        </is>
      </c>
      <c r="C206" t="inlineStr">
        <is>
          <t>Sơn tĩnh điện tiêu chuẩn Polyester</t>
        </is>
      </c>
      <c r="D206" t="inlineStr">
        <is>
          <t>SƠN_TĨNH_ĐIỆN</t>
        </is>
      </c>
      <c r="E206" t="inlineStr">
        <is>
          <t>MAT-PAINT-POWDER</t>
        </is>
      </c>
      <c r="F206" t="inlineStr">
        <is>
          <t>m2</t>
        </is>
      </c>
      <c r="G206" s="407" t="n">
        <v>0.06821510776313036</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Sơn tĩnh điện hoàn thiện</t>
        </is>
      </c>
    </row>
    <row r="207">
      <c r="A207" t="inlineStr">
        <is>
          <t>SW-DIFF-144-OBD-FRAME</t>
        </is>
      </c>
      <c r="B207" t="inlineStr">
        <is>
          <t>SW-DIFF-144</t>
        </is>
      </c>
      <c r="C207" t="inlineStr">
        <is>
          <t>Khung nhôm van OBD gắn cửa (SOBD)</t>
        </is>
      </c>
      <c r="D207" t="inlineStr">
        <is>
          <t>NHÔM_ĐỊNH_HÌNH</t>
        </is>
      </c>
      <c r="E207" t="inlineStr">
        <is>
          <t>MAT-ALU-KHUNG-OBD</t>
        </is>
      </c>
      <c r="F207" t="inlineStr">
        <is>
          <t>kg</t>
        </is>
      </c>
      <c r="G207" s="407" t="n">
        <v>0.1166343353676092</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Khung OBD 200x200mm</t>
        </is>
      </c>
    </row>
    <row r="208">
      <c r="A208" t="inlineStr">
        <is>
          <t>SW-DIFF-144-OBD-BLADE</t>
        </is>
      </c>
      <c r="B208" t="inlineStr">
        <is>
          <t>SW-DIFF-144</t>
        </is>
      </c>
      <c r="C208" t="inlineStr">
        <is>
          <t>Nan nhôm &amp; thanh truyền van OBD (SOBD)</t>
        </is>
      </c>
      <c r="D208" t="inlineStr">
        <is>
          <t>NHÔM_ĐỊNH_HÌNH</t>
        </is>
      </c>
      <c r="E208" t="inlineStr">
        <is>
          <t>MAT-ALU-NAN-OBD</t>
        </is>
      </c>
      <c r="F208" t="inlineStr">
        <is>
          <t>kg</t>
        </is>
      </c>
      <c r="G208" s="407" t="n">
        <v>0.09553072889379759</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Nan OBD đối xứng &amp; thanh liên kết</t>
        </is>
      </c>
    </row>
    <row r="209">
      <c r="A209" t="inlineStr">
        <is>
          <t>SW-DIFF-144-OBD-ACC</t>
        </is>
      </c>
      <c r="B209" t="inlineStr">
        <is>
          <t>SW-DIFF-144</t>
        </is>
      </c>
      <c r="C209" t="inlineStr">
        <is>
          <t>Bánh răng nhựa &amp; phụ kiện van OBD</t>
        </is>
      </c>
      <c r="D209" t="inlineStr">
        <is>
          <t>PHỤ_KIỆN_CỬA</t>
        </is>
      </c>
      <c r="E209" t="inlineStr">
        <is>
          <t>MAT-DOOR-ACCESSORY</t>
        </is>
      </c>
      <c r="F209" t="inlineStr">
        <is>
          <t>Bộ</t>
        </is>
      </c>
      <c r="G209" s="407" t="n">
        <v>0.6015902908558275</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Cơ cấu bánh răng đóng mở OBD</t>
        </is>
      </c>
    </row>
    <row r="210">
      <c r="A210" t="inlineStr">
        <is>
          <t>SW-DIFF-148-FRAME</t>
        </is>
      </c>
      <c r="B210" t="inlineStr">
        <is>
          <t>SW-DIFF-148</t>
        </is>
      </c>
      <c r="C210" t="inlineStr">
        <is>
          <t>Khung nhôm định hình Louver (SWL)</t>
        </is>
      </c>
      <c r="D210" t="inlineStr">
        <is>
          <t>NHÔM_ĐỊNH_HÌNH</t>
        </is>
      </c>
      <c r="E210" t="inlineStr">
        <is>
          <t>MAT-ALU-KHUNG-Z-2-LOP</t>
        </is>
      </c>
      <c r="F210" t="inlineStr">
        <is>
          <t>kg</t>
        </is>
      </c>
      <c r="G210" s="407" t="n">
        <v>0.2735969868173258</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Louver phủ bì 300x300mm</t>
        </is>
      </c>
    </row>
    <row r="211">
      <c r="A211" t="inlineStr">
        <is>
          <t>SW-DIFF-148-BLADE</t>
        </is>
      </c>
      <c r="B211" t="inlineStr">
        <is>
          <t>SW-DIFF-148</t>
        </is>
      </c>
      <c r="C211" t="inlineStr">
        <is>
          <t>Nan Z Louver &amp; thanh tăng cứng (6 nan)</t>
        </is>
      </c>
      <c r="D211" t="inlineStr">
        <is>
          <t>NHÔM_ĐỊNH_HÌNH</t>
        </is>
      </c>
      <c r="E211" t="inlineStr">
        <is>
          <t>MAT-ALU-NAN-Z-DAY</t>
        </is>
      </c>
      <c r="F211" t="inlineStr">
        <is>
          <t>kg</t>
        </is>
      </c>
      <c r="G211" s="407" t="n">
        <v>0.3668851224105462</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6 nan Z dày @ 0.217kg/m + thanh giằng</t>
        </is>
      </c>
    </row>
    <row r="212">
      <c r="A212" t="inlineStr">
        <is>
          <t>SW-DIFF-148-ACCESSORY</t>
        </is>
      </c>
      <c r="B212" t="inlineStr">
        <is>
          <t>SW-DIFF-148</t>
        </is>
      </c>
      <c r="C212" t="inlineStr">
        <is>
          <t>Phụ kiện lắp ghép / Ke góc cửa gió</t>
        </is>
      </c>
      <c r="D212" t="inlineStr">
        <is>
          <t>PHỤ_KIỆN_CỬA</t>
        </is>
      </c>
      <c r="E212" t="inlineStr">
        <is>
          <t>MAT-DOOR-ACCESSORY</t>
        </is>
      </c>
      <c r="F212" t="inlineStr">
        <is>
          <t>Bộ</t>
        </is>
      </c>
      <c r="G212" s="407" t="n">
        <v>0.8035153797865663</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Ke góc và vít ghép khung Louver</t>
        </is>
      </c>
    </row>
    <row r="213">
      <c r="A213" t="inlineStr">
        <is>
          <t>SW-DIFF-148-PAINT</t>
        </is>
      </c>
      <c r="B213" t="inlineStr">
        <is>
          <t>SW-DIFF-148</t>
        </is>
      </c>
      <c r="C213" t="inlineStr">
        <is>
          <t>Sơn tĩnh điện tiêu chuẩn Polyester</t>
        </is>
      </c>
      <c r="D213" t="inlineStr">
        <is>
          <t>SƠN_TĨNH_ĐIỆN</t>
        </is>
      </c>
      <c r="E213" t="inlineStr">
        <is>
          <t>MAT-PAINT-POWDER</t>
        </is>
      </c>
      <c r="F213" t="inlineStr">
        <is>
          <t>m2</t>
        </is>
      </c>
      <c r="G213" s="407" t="n">
        <v>0.1809346290018832</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khung và nan Louver</t>
        </is>
      </c>
    </row>
    <row r="214">
      <c r="A214" t="inlineStr">
        <is>
          <t>SW-DIFF-148-MESH</t>
        </is>
      </c>
      <c r="B214" t="inlineStr">
        <is>
          <t>SW-DIFF-148</t>
        </is>
      </c>
      <c r="C214" t="inlineStr">
        <is>
          <t>Lưới chắn côn trùng Inox 304 (LCCT)</t>
        </is>
      </c>
      <c r="D214" t="inlineStr">
        <is>
          <t>PHỤ_KIỆN_CỬA</t>
        </is>
      </c>
      <c r="E214" t="inlineStr">
        <is>
          <t>MAT-MESH-INOX-304</t>
        </is>
      </c>
      <c r="F214" t="inlineStr">
        <is>
          <t>m2</t>
        </is>
      </c>
      <c r="G214" s="407" t="n">
        <v>0.06277463904582549</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Lưới chắn côn trùng cổ 250x250mm</t>
        </is>
      </c>
    </row>
    <row r="215">
      <c r="A215" t="inlineStr">
        <is>
          <t>SW-DIFF-149-FRAME</t>
        </is>
      </c>
      <c r="B215" t="inlineStr">
        <is>
          <t>SW-DIFF-149</t>
        </is>
      </c>
      <c r="C215" t="inlineStr">
        <is>
          <t>Khung nhôm định hình Louver (SWL)</t>
        </is>
      </c>
      <c r="D215" t="inlineStr">
        <is>
          <t>NHÔM_ĐỊNH_HÌNH</t>
        </is>
      </c>
      <c r="E215" t="inlineStr">
        <is>
          <t>MAT-ALU-KHUNG-Z-2-LOP</t>
        </is>
      </c>
      <c r="F215" t="inlineStr">
        <is>
          <t>kg</t>
        </is>
      </c>
      <c r="G215" s="407" t="n">
        <v>0.3191964846202134</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Khung Louver phủ bì 400x300mm</t>
        </is>
      </c>
    </row>
    <row r="216">
      <c r="A216" t="inlineStr">
        <is>
          <t>SW-DIFF-149-BLADE</t>
        </is>
      </c>
      <c r="B216" t="inlineStr">
        <is>
          <t>SW-DIFF-149</t>
        </is>
      </c>
      <c r="C216" t="inlineStr">
        <is>
          <t>Nan Z Louver &amp; thanh tăng cứng (6 nan)</t>
        </is>
      </c>
      <c r="D216" t="inlineStr">
        <is>
          <t>NHÔM_ĐỊNH_HÌNH</t>
        </is>
      </c>
      <c r="E216" t="inlineStr">
        <is>
          <t>MAT-ALU-NAN-Z-DAY</t>
        </is>
      </c>
      <c r="F216" t="inlineStr">
        <is>
          <t>kg</t>
        </is>
      </c>
      <c r="G216" s="407" t="n">
        <v>0.4976572504708098</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6 nan Z dày @ 0.217kg/m + thanh giằng</t>
        </is>
      </c>
    </row>
    <row r="217">
      <c r="A217" t="inlineStr">
        <is>
          <t>SW-DIFF-149-ACCESSORY</t>
        </is>
      </c>
      <c r="B217" t="inlineStr">
        <is>
          <t>SW-DIFF-149</t>
        </is>
      </c>
      <c r="C217" t="inlineStr">
        <is>
          <t>Phụ kiện lắp ghép / Ke góc cửa gió</t>
        </is>
      </c>
      <c r="D217" t="inlineStr">
        <is>
          <t>PHỤ_KIỆN_CỬA</t>
        </is>
      </c>
      <c r="E217" t="inlineStr">
        <is>
          <t>MAT-DOOR-ACCESSORY</t>
        </is>
      </c>
      <c r="F217" t="inlineStr">
        <is>
          <t>Bộ</t>
        </is>
      </c>
      <c r="G217" s="407" t="n">
        <v>0.8035153797865663</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Ke góc và vít ghép khung Louver</t>
        </is>
      </c>
    </row>
    <row r="218">
      <c r="A218" t="inlineStr">
        <is>
          <t>SW-DIFF-149-PAINT</t>
        </is>
      </c>
      <c r="B218" t="inlineStr">
        <is>
          <t>SW-DIFF-149</t>
        </is>
      </c>
      <c r="C218" t="inlineStr">
        <is>
          <t>Sơn tĩnh điện tiêu chuẩn Polyester</t>
        </is>
      </c>
      <c r="D218" t="inlineStr">
        <is>
          <t>SƠN_TĨNH_ĐIỆN</t>
        </is>
      </c>
      <c r="E218" t="inlineStr">
        <is>
          <t>MAT-PAINT-POWDER</t>
        </is>
      </c>
      <c r="F218" t="inlineStr">
        <is>
          <t>m2</t>
        </is>
      </c>
      <c r="G218" s="407" t="n">
        <v>0.2352570897677339</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Sơn tĩnh điện khung và nan Louver</t>
        </is>
      </c>
    </row>
    <row r="219">
      <c r="A219" t="inlineStr">
        <is>
          <t>SW-DIFF-149-MESH</t>
        </is>
      </c>
      <c r="B219" t="inlineStr">
        <is>
          <t>SW-DIFF-149</t>
        </is>
      </c>
      <c r="C219" t="inlineStr">
        <is>
          <t>Lưới chắn côn trùng Inox 304 (LCCT)</t>
        </is>
      </c>
      <c r="D219" t="inlineStr">
        <is>
          <t>PHỤ_KIỆN_CỬA</t>
        </is>
      </c>
      <c r="E219" t="inlineStr">
        <is>
          <t>MAT-MESH-INOX-304</t>
        </is>
      </c>
      <c r="F219" t="inlineStr">
        <is>
          <t>m2</t>
        </is>
      </c>
      <c r="G219" s="407" t="n">
        <v>0.08788449466415568</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Lưới chắn côn trùng cổ 350x250mm</t>
        </is>
      </c>
    </row>
    <row r="220">
      <c r="A220" t="inlineStr">
        <is>
          <t>SW-DIFF-150-FRAME</t>
        </is>
      </c>
      <c r="B220" t="inlineStr">
        <is>
          <t>SW-DIFF-150</t>
        </is>
      </c>
      <c r="C220" t="inlineStr">
        <is>
          <t>Khung nhôm định hình Louver (SWL)</t>
        </is>
      </c>
      <c r="D220" t="inlineStr">
        <is>
          <t>NHÔM_ĐỊNH_HÌNH</t>
        </is>
      </c>
      <c r="E220" t="inlineStr">
        <is>
          <t>MAT-ALU-KHUNG-Z-2-LOP</t>
        </is>
      </c>
      <c r="F220" t="inlineStr">
        <is>
          <t>kg</t>
        </is>
      </c>
      <c r="G220" s="407" t="n">
        <v>0.3647959824231011</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Khung Louver phủ bì 500x300mm</t>
        </is>
      </c>
    </row>
    <row r="221">
      <c r="A221" t="inlineStr">
        <is>
          <t>SW-DIFF-150-BLADE</t>
        </is>
      </c>
      <c r="B221" t="inlineStr">
        <is>
          <t>SW-DIFF-150</t>
        </is>
      </c>
      <c r="C221" t="inlineStr">
        <is>
          <t>Nan Z Louver &amp; thanh tăng cứng (6 nan)</t>
        </is>
      </c>
      <c r="D221" t="inlineStr">
        <is>
          <t>NHÔM_ĐỊNH_HÌNH</t>
        </is>
      </c>
      <c r="E221" t="inlineStr">
        <is>
          <t>MAT-ALU-NAN-Z-DAY</t>
        </is>
      </c>
      <c r="F221" t="inlineStr">
        <is>
          <t>kg</t>
        </is>
      </c>
      <c r="G221" s="407" t="n">
        <v>0.6284293785310735</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6 nan Z dày @ 0.217kg/m + thanh giằng</t>
        </is>
      </c>
    </row>
    <row r="222">
      <c r="A222" t="inlineStr">
        <is>
          <t>SW-DIFF-150-ACCESSORY</t>
        </is>
      </c>
      <c r="B222" t="inlineStr">
        <is>
          <t>SW-DIFF-150</t>
        </is>
      </c>
      <c r="C222" t="inlineStr">
        <is>
          <t>Phụ kiện lắp ghép / Ke góc cửa gió</t>
        </is>
      </c>
      <c r="D222" t="inlineStr">
        <is>
          <t>PHỤ_KIỆN_CỬA</t>
        </is>
      </c>
      <c r="E222" t="inlineStr">
        <is>
          <t>MAT-DOOR-ACCESSORY</t>
        </is>
      </c>
      <c r="F222" t="inlineStr">
        <is>
          <t>Bộ</t>
        </is>
      </c>
      <c r="G222" s="407" t="n">
        <v>0.8035153797865663</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Ke góc và vít ghép khung Louver</t>
        </is>
      </c>
    </row>
    <row r="223">
      <c r="A223" t="inlineStr">
        <is>
          <t>SW-DIFF-150-PAINT</t>
        </is>
      </c>
      <c r="B223" t="inlineStr">
        <is>
          <t>SW-DIFF-150</t>
        </is>
      </c>
      <c r="C223" t="inlineStr">
        <is>
          <t>Sơn tĩnh điện tiêu chuẩn Polyester</t>
        </is>
      </c>
      <c r="D223" t="inlineStr">
        <is>
          <t>SƠN_TĨNH_ĐIỆN</t>
        </is>
      </c>
      <c r="E223" t="inlineStr">
        <is>
          <t>MAT-PAINT-POWDER</t>
        </is>
      </c>
      <c r="F223" t="inlineStr">
        <is>
          <t>m2</t>
        </is>
      </c>
      <c r="G223" s="407" t="n">
        <v>0.2895795505335845</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Sơn tĩnh điện khung và nan Louver</t>
        </is>
      </c>
    </row>
    <row r="224">
      <c r="A224" t="inlineStr">
        <is>
          <t>SW-DIFF-150-MESH</t>
        </is>
      </c>
      <c r="B224" t="inlineStr">
        <is>
          <t>SW-DIFF-150</t>
        </is>
      </c>
      <c r="C224" t="inlineStr">
        <is>
          <t>Lưới chắn côn trùng Inox 304 (LCCT)</t>
        </is>
      </c>
      <c r="D224" t="inlineStr">
        <is>
          <t>PHỤ_KIỆN_CỬA</t>
        </is>
      </c>
      <c r="E224" t="inlineStr">
        <is>
          <t>MAT-MESH-INOX-304</t>
        </is>
      </c>
      <c r="F224" t="inlineStr">
        <is>
          <t>m2</t>
        </is>
      </c>
      <c r="G224" s="407" t="n">
        <v>0.1129943502824859</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Lưới chắn côn trùng cổ 450x250mm</t>
        </is>
      </c>
    </row>
    <row r="225">
      <c r="A225" t="inlineStr">
        <is>
          <t>SW-DIFF-151-FRAME</t>
        </is>
      </c>
      <c r="B225" t="inlineStr">
        <is>
          <t>SW-DIFF-151</t>
        </is>
      </c>
      <c r="C225" t="inlineStr">
        <is>
          <t>Khung nhôm định hình Louver (SWL)</t>
        </is>
      </c>
      <c r="D225" t="inlineStr">
        <is>
          <t>NHÔM_ĐỊNH_HÌNH</t>
        </is>
      </c>
      <c r="E225" t="inlineStr">
        <is>
          <t>MAT-ALU-KHUNG-Z-2-LOP</t>
        </is>
      </c>
      <c r="F225" t="inlineStr">
        <is>
          <t>kg</t>
        </is>
      </c>
      <c r="G225" s="407" t="n">
        <v>0.4559949780288764</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Khung Louver phủ bì 600x400mm</t>
        </is>
      </c>
    </row>
    <row r="226">
      <c r="A226" t="inlineStr">
        <is>
          <t>SW-DIFF-151-BLADE</t>
        </is>
      </c>
      <c r="B226" t="inlineStr">
        <is>
          <t>SW-DIFF-151</t>
        </is>
      </c>
      <c r="C226" t="inlineStr">
        <is>
          <t>Nan Z Louver &amp; thanh tăng cứng (8 nan)</t>
        </is>
      </c>
      <c r="D226" t="inlineStr">
        <is>
          <t>NHÔM_ĐỊNH_HÌNH</t>
        </is>
      </c>
      <c r="E226" t="inlineStr">
        <is>
          <t>MAT-ALU-NAN-Z-DAY</t>
        </is>
      </c>
      <c r="F226" t="inlineStr">
        <is>
          <t>kg</t>
        </is>
      </c>
      <c r="G226" s="407" t="n">
        <v>1.012268675455116</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8 nan Z dày @ 0.217kg/m + thanh giằng</t>
        </is>
      </c>
    </row>
    <row r="227">
      <c r="A227" t="inlineStr">
        <is>
          <t>SW-DIFF-151-ACCESSORY</t>
        </is>
      </c>
      <c r="B227" t="inlineStr">
        <is>
          <t>SW-DIFF-151</t>
        </is>
      </c>
      <c r="C227" t="inlineStr">
        <is>
          <t>Phụ kiện lắp ghép / Ke góc cửa gió</t>
        </is>
      </c>
      <c r="D227" t="inlineStr">
        <is>
          <t>PHỤ_KIỆN_CỬA</t>
        </is>
      </c>
      <c r="E227" t="inlineStr">
        <is>
          <t>MAT-DOOR-ACCESSORY</t>
        </is>
      </c>
      <c r="F227" t="inlineStr">
        <is>
          <t>Bộ</t>
        </is>
      </c>
      <c r="G227" s="407" t="n">
        <v>0.8035153797865663</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 góc và vít ghép khung Louver</t>
        </is>
      </c>
    </row>
    <row r="228">
      <c r="A228" t="inlineStr">
        <is>
          <t>SW-DIFF-151-PAINT</t>
        </is>
      </c>
      <c r="B228" t="inlineStr">
        <is>
          <t>SW-DIFF-151</t>
        </is>
      </c>
      <c r="C228" t="inlineStr">
        <is>
          <t>Sơn tĩnh điện tiêu chuẩn Polyester</t>
        </is>
      </c>
      <c r="D228" t="inlineStr">
        <is>
          <t>SƠN_TĨNH_ĐIỆN</t>
        </is>
      </c>
      <c r="E228" t="inlineStr">
        <is>
          <t>MAT-PAINT-POWDER</t>
        </is>
      </c>
      <c r="F228" t="inlineStr">
        <is>
          <t>m2</t>
        </is>
      </c>
      <c r="G228" s="407" t="n">
        <v>0.4304467244193346</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Sơn tĩnh điện khung và nan Louver</t>
        </is>
      </c>
    </row>
    <row r="229">
      <c r="A229" t="inlineStr">
        <is>
          <t>SW-DIFF-151-MESH</t>
        </is>
      </c>
      <c r="B229" t="inlineStr">
        <is>
          <t>SW-DIFF-151</t>
        </is>
      </c>
      <c r="C229" t="inlineStr">
        <is>
          <t>Lưới chắn côn trùng Inox 304 (LCCT)</t>
        </is>
      </c>
      <c r="D229" t="inlineStr">
        <is>
          <t>PHỤ_KIỆN_CỬA</t>
        </is>
      </c>
      <c r="E229" t="inlineStr">
        <is>
          <t>MAT-MESH-INOX-304</t>
        </is>
      </c>
      <c r="F229" t="inlineStr">
        <is>
          <t>m2</t>
        </is>
      </c>
      <c r="G229" s="407" t="n">
        <v>0.1933458882611425</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Lưới chắn côn trùng cổ 550x350mm</t>
        </is>
      </c>
    </row>
    <row r="230">
      <c r="A230" t="inlineStr">
        <is>
          <t>SW-DIFF-152-FRAME</t>
        </is>
      </c>
      <c r="B230" t="inlineStr">
        <is>
          <t>SW-DIFF-152</t>
        </is>
      </c>
      <c r="C230" t="inlineStr">
        <is>
          <t>Khung nhôm định hình Louver (SWL)</t>
        </is>
      </c>
      <c r="D230" t="inlineStr">
        <is>
          <t>NHÔM_ĐỊNH_HÌNH</t>
        </is>
      </c>
      <c r="E230" t="inlineStr">
        <is>
          <t>MAT-ALU-KHUNG-Z-2-LOP</t>
        </is>
      </c>
      <c r="F230" t="inlineStr">
        <is>
          <t>kg</t>
        </is>
      </c>
      <c r="G230" s="407" t="n">
        <v>0.5471939736346516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Louver phủ bì 600x600mm</t>
        </is>
      </c>
    </row>
    <row r="231">
      <c r="A231" t="inlineStr">
        <is>
          <t>SW-DIFF-152-BLADE</t>
        </is>
      </c>
      <c r="B231" t="inlineStr">
        <is>
          <t>SW-DIFF-152</t>
        </is>
      </c>
      <c r="C231" t="inlineStr">
        <is>
          <t>Nan Z Louver &amp; thanh tăng cứng (12 nan)</t>
        </is>
      </c>
      <c r="D231" t="inlineStr">
        <is>
          <t>NHÔM_ĐỊNH_HÌNH</t>
        </is>
      </c>
      <c r="E231" t="inlineStr">
        <is>
          <t>MAT-ALU-NAN-Z-DAY</t>
        </is>
      </c>
      <c r="F231" t="inlineStr">
        <is>
          <t>kg</t>
        </is>
      </c>
      <c r="G231" s="407" t="n">
        <v>1.518403013182674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12 nan Z dày @ 0.217kg/m + thanh giằng</t>
        </is>
      </c>
    </row>
    <row r="232">
      <c r="A232" t="inlineStr">
        <is>
          <t>SW-DIFF-152-ACCESSORY</t>
        </is>
      </c>
      <c r="B232" t="inlineStr">
        <is>
          <t>SW-DIFF-152</t>
        </is>
      </c>
      <c r="C232" t="inlineStr">
        <is>
          <t>Phụ kiện lắp ghép / Ke góc cửa gió</t>
        </is>
      </c>
      <c r="D232" t="inlineStr">
        <is>
          <t>PHỤ_KIỆN_CỬA</t>
        </is>
      </c>
      <c r="E232" t="inlineStr">
        <is>
          <t>MAT-DOOR-ACCESSORY</t>
        </is>
      </c>
      <c r="F232" t="inlineStr">
        <is>
          <t>Bộ</t>
        </is>
      </c>
      <c r="G232" s="407" t="n">
        <v>0.8035153797865663</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Ke góc và vít ghép khung Louver</t>
        </is>
      </c>
    </row>
    <row r="233">
      <c r="A233" t="inlineStr">
        <is>
          <t>SW-DIFF-152-PAINT</t>
        </is>
      </c>
      <c r="B233" t="inlineStr">
        <is>
          <t>SW-DIFF-152</t>
        </is>
      </c>
      <c r="C233" t="inlineStr">
        <is>
          <t>Sơn tĩnh điện tiêu chuẩn Polyester</t>
        </is>
      </c>
      <c r="D233" t="inlineStr">
        <is>
          <t>SƠN_TĨNH_ĐIỆN</t>
        </is>
      </c>
      <c r="E233" t="inlineStr">
        <is>
          <t>MAT-PAINT-POWDER</t>
        </is>
      </c>
      <c r="F233" t="inlineStr">
        <is>
          <t>m2</t>
        </is>
      </c>
      <c r="G233" s="407" t="n">
        <v>0.6035361506591338</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khung và nan Louver</t>
        </is>
      </c>
    </row>
    <row r="234">
      <c r="A234" t="inlineStr">
        <is>
          <t>SW-DIFF-152-MESH</t>
        </is>
      </c>
      <c r="B234" t="inlineStr">
        <is>
          <t>SW-DIFF-152</t>
        </is>
      </c>
      <c r="C234" t="inlineStr">
        <is>
          <t>Lưới chắn côn trùng Inox 304 (LCCT)</t>
        </is>
      </c>
      <c r="D234" t="inlineStr">
        <is>
          <t>PHỤ_KIỆN_CỬA</t>
        </is>
      </c>
      <c r="E234" t="inlineStr">
        <is>
          <t>MAT-MESH-INOX-304</t>
        </is>
      </c>
      <c r="F234" t="inlineStr">
        <is>
          <t>m2</t>
        </is>
      </c>
      <c r="G234" s="407" t="n">
        <v>0.3038292529817954</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Lưới chắn côn trùng cổ 550x550mm</t>
        </is>
      </c>
    </row>
    <row r="235">
      <c r="A235" t="inlineStr">
        <is>
          <t>SW-DIFF-153-FRAME</t>
        </is>
      </c>
      <c r="B235" t="inlineStr">
        <is>
          <t>SW-DIFF-153</t>
        </is>
      </c>
      <c r="C235" t="inlineStr">
        <is>
          <t>Khung nhôm định hình Louver (SWL)</t>
        </is>
      </c>
      <c r="D235" t="inlineStr">
        <is>
          <t>NHÔM_ĐỊNH_HÌNH</t>
        </is>
      </c>
      <c r="E235" t="inlineStr">
        <is>
          <t>MAT-ALU-KHUNG-Z-2-LOP</t>
        </is>
      </c>
      <c r="F235" t="inlineStr">
        <is>
          <t>kg</t>
        </is>
      </c>
      <c r="G235" s="407" t="n">
        <v>0.6839924670433146</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Khung Louver phủ bì 900x600mm</t>
        </is>
      </c>
    </row>
    <row r="236">
      <c r="A236" t="inlineStr">
        <is>
          <t>SW-DIFF-153-BLADE</t>
        </is>
      </c>
      <c r="B236" t="inlineStr">
        <is>
          <t>SW-DIFF-153</t>
        </is>
      </c>
      <c r="C236" t="inlineStr">
        <is>
          <t>Nan Z Louver &amp; thanh tăng cứng (12 nan)</t>
        </is>
      </c>
      <c r="D236" t="inlineStr">
        <is>
          <t>NHÔM_ĐỊNH_HÌNH</t>
        </is>
      </c>
      <c r="E236" t="inlineStr">
        <is>
          <t>MAT-ALU-NAN-Z-DAY</t>
        </is>
      </c>
      <c r="F236" t="inlineStr">
        <is>
          <t>kg</t>
        </is>
      </c>
      <c r="G236" s="407" t="n">
        <v>2.303035781544256</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12 nan Z dày @ 0.217kg/m + thanh giằng</t>
        </is>
      </c>
    </row>
    <row r="237">
      <c r="A237" t="inlineStr">
        <is>
          <t>SW-DIFF-153-ACCESSORY</t>
        </is>
      </c>
      <c r="B237" t="inlineStr">
        <is>
          <t>SW-DIFF-153</t>
        </is>
      </c>
      <c r="C237" t="inlineStr">
        <is>
          <t>Phụ kiện lắp ghép / Ke góc cửa gió</t>
        </is>
      </c>
      <c r="D237" t="inlineStr">
        <is>
          <t>PHỤ_KIỆN_CỬA</t>
        </is>
      </c>
      <c r="E237" t="inlineStr">
        <is>
          <t>MAT-DOOR-ACCESSORY</t>
        </is>
      </c>
      <c r="F237" t="inlineStr">
        <is>
          <t>Bộ</t>
        </is>
      </c>
      <c r="G237" s="407" t="n">
        <v>0.8035153797865663</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Ke góc và vít ghép khung Louver</t>
        </is>
      </c>
    </row>
    <row r="238">
      <c r="A238" t="inlineStr">
        <is>
          <t>SW-DIFF-153-PAINT</t>
        </is>
      </c>
      <c r="B238" t="inlineStr">
        <is>
          <t>SW-DIFF-153</t>
        </is>
      </c>
      <c r="C238" t="inlineStr">
        <is>
          <t>Sơn tĩnh điện tiêu chuẩn Polyester</t>
        </is>
      </c>
      <c r="D238" t="inlineStr">
        <is>
          <t>SƠN_TĨNH_ĐIỆN</t>
        </is>
      </c>
      <c r="E238" t="inlineStr">
        <is>
          <t>MAT-PAINT-POWDER</t>
        </is>
      </c>
      <c r="F238" t="inlineStr">
        <is>
          <t>m2</t>
        </is>
      </c>
      <c r="G238" s="407" t="n">
        <v>0.8873369792843693</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Sơn tĩnh điện khung và nan Louver</t>
        </is>
      </c>
    </row>
    <row r="239">
      <c r="A239" t="inlineStr">
        <is>
          <t>SW-DIFF-153-MESH</t>
        </is>
      </c>
      <c r="B239" t="inlineStr">
        <is>
          <t>SW-DIFF-153</t>
        </is>
      </c>
      <c r="C239" t="inlineStr">
        <is>
          <t>Lưới chắn côn trùng Inox 304 (LCCT)</t>
        </is>
      </c>
      <c r="D239" t="inlineStr">
        <is>
          <t>PHỤ_KIỆN_CỬA</t>
        </is>
      </c>
      <c r="E239" t="inlineStr">
        <is>
          <t>MAT-MESH-INOX-304</t>
        </is>
      </c>
      <c r="F239" t="inlineStr">
        <is>
          <t>m2</t>
        </is>
      </c>
      <c r="G239" s="407" t="n">
        <v>0.4695543000627747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Lưới chắn côn trùng cổ 850x550mm</t>
        </is>
      </c>
    </row>
    <row r="240">
      <c r="A240" t="inlineStr">
        <is>
          <t>SW-DIFF-154-FRAME</t>
        </is>
      </c>
      <c r="B240" t="inlineStr">
        <is>
          <t>SW-DIFF-154</t>
        </is>
      </c>
      <c r="C240" t="inlineStr">
        <is>
          <t>Khung nhôm định hình Louver (SWL)</t>
        </is>
      </c>
      <c r="D240" t="inlineStr">
        <is>
          <t>NHÔM_ĐỊNH_HÌNH</t>
        </is>
      </c>
      <c r="E240" t="inlineStr">
        <is>
          <t>MAT-ALU-KHUNG-Z-2-LOP</t>
        </is>
      </c>
      <c r="F240" t="inlineStr">
        <is>
          <t>kg</t>
        </is>
      </c>
      <c r="G240" s="407" t="n">
        <v>1.367984934086629</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Khung Louver phủ bì 2500x500mm</t>
        </is>
      </c>
    </row>
    <row r="241">
      <c r="A241" t="inlineStr">
        <is>
          <t>SW-DIFF-154-BLADE</t>
        </is>
      </c>
      <c r="B241" t="inlineStr">
        <is>
          <t>SW-DIFF-154</t>
        </is>
      </c>
      <c r="C241" t="inlineStr">
        <is>
          <t>Nan Z Louver &amp; thanh tăng cứng (10 nan)</t>
        </is>
      </c>
      <c r="D241" t="inlineStr">
        <is>
          <t>NHÔM_ĐỊNH_HÌNH</t>
        </is>
      </c>
      <c r="E241" t="inlineStr">
        <is>
          <t>MAT-ALU-NAN-Z-DAY</t>
        </is>
      </c>
      <c r="F241" t="inlineStr">
        <is>
          <t>kg</t>
        </is>
      </c>
      <c r="G241" s="407" t="n">
        <v>5.40645323289391</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10 nan Z dày @ 0.217kg/m + thanh giằng</t>
        </is>
      </c>
    </row>
    <row r="242">
      <c r="A242" t="inlineStr">
        <is>
          <t>SW-DIFF-154-ACCESSORY</t>
        </is>
      </c>
      <c r="B242" t="inlineStr">
        <is>
          <t>SW-DIFF-154</t>
        </is>
      </c>
      <c r="C242" t="inlineStr">
        <is>
          <t>Phụ kiện lắp ghép / Ke góc cửa gió</t>
        </is>
      </c>
      <c r="D242" t="inlineStr">
        <is>
          <t>PHỤ_KIỆN_CỬA</t>
        </is>
      </c>
      <c r="E242" t="inlineStr">
        <is>
          <t>MAT-DOOR-ACCESSORY</t>
        </is>
      </c>
      <c r="F242" t="inlineStr">
        <is>
          <t>Bộ</t>
        </is>
      </c>
      <c r="G242" s="407" t="n">
        <v>1.473111529608705</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Ke góc và vít ghép khung Louver</t>
        </is>
      </c>
    </row>
    <row r="243">
      <c r="A243" t="inlineStr">
        <is>
          <t>SW-DIFF-154-PAINT</t>
        </is>
      </c>
      <c r="B243" t="inlineStr">
        <is>
          <t>SW-DIFF-154</t>
        </is>
      </c>
      <c r="C243" t="inlineStr">
        <is>
          <t>Sơn tĩnh điện tiêu chuẩn Polyester</t>
        </is>
      </c>
      <c r="D243" t="inlineStr">
        <is>
          <t>SƠN_TĨNH_ĐIỆN</t>
        </is>
      </c>
      <c r="E243" t="inlineStr">
        <is>
          <t>MAT-PAINT-POWDER</t>
        </is>
      </c>
      <c r="F243" t="inlineStr">
        <is>
          <t>m2</t>
        </is>
      </c>
      <c r="G243" s="407" t="n">
        <v>2.059303854362837</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Sơn tĩnh điện khung và nan Louver</t>
        </is>
      </c>
    </row>
    <row r="244">
      <c r="A244" t="inlineStr">
        <is>
          <t>SW-DIFF-154-MESH</t>
        </is>
      </c>
      <c r="B244" t="inlineStr">
        <is>
          <t>SW-DIFF-154</t>
        </is>
      </c>
      <c r="C244" t="inlineStr">
        <is>
          <t>Lưới chắn côn trùng Inox 304 (LCCT)</t>
        </is>
      </c>
      <c r="D244" t="inlineStr">
        <is>
          <t>PHỤ_KIỆN_CỬA</t>
        </is>
      </c>
      <c r="E244" t="inlineStr">
        <is>
          <t>MAT-MESH-INOX-304</t>
        </is>
      </c>
      <c r="F244" t="inlineStr">
        <is>
          <t>m2</t>
        </is>
      </c>
      <c r="G244" s="407" t="n">
        <v>1.107344632768362</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Lưới chắn côn trùng cổ 2450x450mm</t>
        </is>
      </c>
    </row>
    <row r="245">
      <c r="A245" t="inlineStr">
        <is>
          <t>SW-DIFF-155-FRAME</t>
        </is>
      </c>
      <c r="B245" t="inlineStr">
        <is>
          <t>SW-DIFF-155</t>
        </is>
      </c>
      <c r="C245" t="inlineStr">
        <is>
          <t>Khung nhôm định hình Louver (SWL)</t>
        </is>
      </c>
      <c r="D245" t="inlineStr">
        <is>
          <t>NHÔM_ĐỊNH_HÌNH</t>
        </is>
      </c>
      <c r="E245" t="inlineStr">
        <is>
          <t>MAT-ALU-KHUNG-Z-2-LOP</t>
        </is>
      </c>
      <c r="F245" t="inlineStr">
        <is>
          <t>kg</t>
        </is>
      </c>
      <c r="G245" s="407" t="n">
        <v>1.025988700564972</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Khung Louver phủ bì 1750x500mm</t>
        </is>
      </c>
    </row>
    <row r="246">
      <c r="A246" t="inlineStr">
        <is>
          <t>SW-DIFF-155-BLADE</t>
        </is>
      </c>
      <c r="B246" t="inlineStr">
        <is>
          <t>SW-DIFF-155</t>
        </is>
      </c>
      <c r="C246" t="inlineStr">
        <is>
          <t>Nan Z Louver &amp; thanh tăng cứng (10 nan)</t>
        </is>
      </c>
      <c r="D246" t="inlineStr">
        <is>
          <t>NHÔM_ĐỊNH_HÌNH</t>
        </is>
      </c>
      <c r="E246" t="inlineStr">
        <is>
          <t>MAT-ALU-NAN-Z-DAY</t>
        </is>
      </c>
      <c r="F246" t="inlineStr">
        <is>
          <t>kg</t>
        </is>
      </c>
      <c r="G246" s="407" t="n">
        <v>3.771801632140615</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10 nan Z dày @ 0.217kg/m + thanh giằng</t>
        </is>
      </c>
    </row>
    <row r="247">
      <c r="A247" t="inlineStr">
        <is>
          <t>SW-DIFF-155-ACCESSORY</t>
        </is>
      </c>
      <c r="B247" t="inlineStr">
        <is>
          <t>SW-DIFF-155</t>
        </is>
      </c>
      <c r="C247" t="inlineStr">
        <is>
          <t>Phụ kiện lắp ghép / Ke góc cửa gió</t>
        </is>
      </c>
      <c r="D247" t="inlineStr">
        <is>
          <t>PHỤ_KIỆN_CỬA</t>
        </is>
      </c>
      <c r="E247" t="inlineStr">
        <is>
          <t>MAT-DOOR-ACCESSORY</t>
        </is>
      </c>
      <c r="F247" t="inlineStr">
        <is>
          <t>Bộ</t>
        </is>
      </c>
      <c r="G247" s="407" t="n">
        <v>0.8035153797865663</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Ke góc và vít ghép khung Louver</t>
        </is>
      </c>
    </row>
    <row r="248">
      <c r="A248" t="inlineStr">
        <is>
          <t>SW-DIFF-155-PAINT</t>
        </is>
      </c>
      <c r="B248" t="inlineStr">
        <is>
          <t>SW-DIFF-155</t>
        </is>
      </c>
      <c r="C248" t="inlineStr">
        <is>
          <t>Sơn tĩnh điện tiêu chuẩn Polyester</t>
        </is>
      </c>
      <c r="D248" t="inlineStr">
        <is>
          <t>SƠN_TĨNH_ĐIỆN</t>
        </is>
      </c>
      <c r="E248" t="inlineStr">
        <is>
          <t>MAT-PAINT-POWDER</t>
        </is>
      </c>
      <c r="F248" t="inlineStr">
        <is>
          <t>m2</t>
        </is>
      </c>
      <c r="G248" s="407" t="n">
        <v>1.450496321406152</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Sơn tĩnh điện khung và nan Louver</t>
        </is>
      </c>
    </row>
    <row r="249">
      <c r="A249" t="inlineStr">
        <is>
          <t>SW-DIFF-155-MESH</t>
        </is>
      </c>
      <c r="B249" t="inlineStr">
        <is>
          <t>SW-DIFF-155</t>
        </is>
      </c>
      <c r="C249" t="inlineStr">
        <is>
          <t>Lưới chắn côn trùng Inox 304 (LCCT)</t>
        </is>
      </c>
      <c r="D249" t="inlineStr">
        <is>
          <t>PHỤ_KIỆN_CỬA</t>
        </is>
      </c>
      <c r="E249" t="inlineStr">
        <is>
          <t>MAT-MESH-INOX-304</t>
        </is>
      </c>
      <c r="F249" t="inlineStr">
        <is>
          <t>m2</t>
        </is>
      </c>
      <c r="G249" s="407" t="n">
        <v>0.768361581920904</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Lưới chắn côn trùng cổ 1700x450mm</t>
        </is>
      </c>
    </row>
    <row r="250">
      <c r="A250" t="inlineStr">
        <is>
          <t>SW-DIFF-156-FRAME</t>
        </is>
      </c>
      <c r="B250" t="inlineStr">
        <is>
          <t>SW-DIFF-156</t>
        </is>
      </c>
      <c r="C250" t="inlineStr">
        <is>
          <t>Khung nhôm định hình Louver (SWL)</t>
        </is>
      </c>
      <c r="D250" t="inlineStr">
        <is>
          <t>NHÔM_ĐỊNH_HÌNH</t>
        </is>
      </c>
      <c r="E250" t="inlineStr">
        <is>
          <t>MAT-ALU-KHUNG-Z-2-LOP</t>
        </is>
      </c>
      <c r="F250" t="inlineStr">
        <is>
          <t>kg</t>
        </is>
      </c>
      <c r="G250" s="407" t="n">
        <v>1.367984934086629</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Khung Louver phủ bì 2500x500mm</t>
        </is>
      </c>
    </row>
    <row r="251">
      <c r="A251" t="inlineStr">
        <is>
          <t>SW-DIFF-156-BLADE</t>
        </is>
      </c>
      <c r="B251" t="inlineStr">
        <is>
          <t>SW-DIFF-156</t>
        </is>
      </c>
      <c r="C251" t="inlineStr">
        <is>
          <t>Nan Z Louver &amp; thanh tăng cứng (10 nan)</t>
        </is>
      </c>
      <c r="D251" t="inlineStr">
        <is>
          <t>NHÔM_ĐỊNH_HÌNH</t>
        </is>
      </c>
      <c r="E251" t="inlineStr">
        <is>
          <t>MAT-ALU-NAN-Z-DAY</t>
        </is>
      </c>
      <c r="F251" t="inlineStr">
        <is>
          <t>kg</t>
        </is>
      </c>
      <c r="G251" s="407" t="n">
        <v>5.40645323289391</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10 nan Z dày @ 0.217kg/m + thanh giằng</t>
        </is>
      </c>
    </row>
    <row r="252">
      <c r="A252" t="inlineStr">
        <is>
          <t>SW-DIFF-156-ACCESSORY</t>
        </is>
      </c>
      <c r="B252" t="inlineStr">
        <is>
          <t>SW-DIFF-156</t>
        </is>
      </c>
      <c r="C252" t="inlineStr">
        <is>
          <t>Phụ kiện lắp ghép / Ke góc cửa gió</t>
        </is>
      </c>
      <c r="D252" t="inlineStr">
        <is>
          <t>PHỤ_KIỆN_CỬA</t>
        </is>
      </c>
      <c r="E252" t="inlineStr">
        <is>
          <t>MAT-DOOR-ACCESSORY</t>
        </is>
      </c>
      <c r="F252" t="inlineStr">
        <is>
          <t>Bộ</t>
        </is>
      </c>
      <c r="G252" s="407" t="n">
        <v>1.473111529608705</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Ke góc và vít ghép khung Louver</t>
        </is>
      </c>
    </row>
    <row r="253">
      <c r="A253" t="inlineStr">
        <is>
          <t>SW-DIFF-156-PAINT</t>
        </is>
      </c>
      <c r="B253" t="inlineStr">
        <is>
          <t>SW-DIFF-156</t>
        </is>
      </c>
      <c r="C253" t="inlineStr">
        <is>
          <t>Sơn tĩnh điện tiêu chuẩn Polyester</t>
        </is>
      </c>
      <c r="D253" t="inlineStr">
        <is>
          <t>SƠN_TĨNH_ĐIỆN</t>
        </is>
      </c>
      <c r="E253" t="inlineStr">
        <is>
          <t>MAT-PAINT-POWDER</t>
        </is>
      </c>
      <c r="F253" t="inlineStr">
        <is>
          <t>m2</t>
        </is>
      </c>
      <c r="G253" s="407" t="n">
        <v>2.059303854362837</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Sơn tĩnh điện khung và nan Louver</t>
        </is>
      </c>
    </row>
    <row r="254">
      <c r="A254" t="inlineStr">
        <is>
          <t>SW-DIFF-156-MESH</t>
        </is>
      </c>
      <c r="B254" t="inlineStr">
        <is>
          <t>SW-DIFF-156</t>
        </is>
      </c>
      <c r="C254" t="inlineStr">
        <is>
          <t>Lưới chắn côn trùng Inox 304 (LCCT)</t>
        </is>
      </c>
      <c r="D254" t="inlineStr">
        <is>
          <t>PHỤ_KIỆN_CỬA</t>
        </is>
      </c>
      <c r="E254" t="inlineStr">
        <is>
          <t>MAT-MESH-INOX-304</t>
        </is>
      </c>
      <c r="F254" t="inlineStr">
        <is>
          <t>m2</t>
        </is>
      </c>
      <c r="G254" s="407" t="n">
        <v>1.107344632768362</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Lưới chắn côn trùng cổ 2450x450mm</t>
        </is>
      </c>
    </row>
    <row r="255">
      <c r="A255" t="inlineStr">
        <is>
          <t>SW-DIFF-157-FRAME</t>
        </is>
      </c>
      <c r="B255" t="inlineStr">
        <is>
          <t>SW-DIFF-157</t>
        </is>
      </c>
      <c r="C255" t="inlineStr">
        <is>
          <t>Khung nhôm định hình Louver (SWL)</t>
        </is>
      </c>
      <c r="D255" t="inlineStr">
        <is>
          <t>NHÔM_ĐỊNH_HÌNH</t>
        </is>
      </c>
      <c r="E255" t="inlineStr">
        <is>
          <t>MAT-ALU-KHUNG-Z-2-LOP</t>
        </is>
      </c>
      <c r="F255" t="inlineStr">
        <is>
          <t>kg</t>
        </is>
      </c>
      <c r="G255" s="407" t="n">
        <v>1.595982423101067</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Khung Louver phủ bì 3000x500mm</t>
        </is>
      </c>
    </row>
    <row r="256">
      <c r="A256" t="inlineStr">
        <is>
          <t>SW-DIFF-157-BLADE</t>
        </is>
      </c>
      <c r="B256" t="inlineStr">
        <is>
          <t>SW-DIFF-157</t>
        </is>
      </c>
      <c r="C256" t="inlineStr">
        <is>
          <t>Nan Z Louver &amp; thanh tăng cứng (10 nan)</t>
        </is>
      </c>
      <c r="D256" t="inlineStr">
        <is>
          <t>NHÔM_ĐỊNH_HÌNH</t>
        </is>
      </c>
      <c r="E256" t="inlineStr">
        <is>
          <t>MAT-ALU-NAN-Z-DAY</t>
        </is>
      </c>
      <c r="F256" t="inlineStr">
        <is>
          <t>kg</t>
        </is>
      </c>
      <c r="G256" s="407" t="n">
        <v>6.496220966729441</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10 nan Z dày @ 0.217kg/m + thanh giằng</t>
        </is>
      </c>
    </row>
    <row r="257">
      <c r="A257" t="inlineStr">
        <is>
          <t>SW-DIFF-157-ACCESSORY</t>
        </is>
      </c>
      <c r="B257" t="inlineStr">
        <is>
          <t>SW-DIFF-157</t>
        </is>
      </c>
      <c r="C257" t="inlineStr">
        <is>
          <t>Phụ kiện lắp ghép / Ke góc cửa gió</t>
        </is>
      </c>
      <c r="D257" t="inlineStr">
        <is>
          <t>PHỤ_KIỆN_CỬA</t>
        </is>
      </c>
      <c r="E257" t="inlineStr">
        <is>
          <t>MAT-DOOR-ACCESSORY</t>
        </is>
      </c>
      <c r="F257" t="inlineStr">
        <is>
          <t>Bộ</t>
        </is>
      </c>
      <c r="G257" s="407" t="n">
        <v>1.473111529608705</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Ke góc và vít ghép khung Louver</t>
        </is>
      </c>
    </row>
    <row r="258">
      <c r="A258" t="inlineStr">
        <is>
          <t>SW-DIFF-157-PAINT</t>
        </is>
      </c>
      <c r="B258" t="inlineStr">
        <is>
          <t>SW-DIFF-157</t>
        </is>
      </c>
      <c r="C258" t="inlineStr">
        <is>
          <t>Sơn tĩnh điện tiêu chuẩn Polyester</t>
        </is>
      </c>
      <c r="D258" t="inlineStr">
        <is>
          <t>SƠN_TĨNH_ĐIỆN</t>
        </is>
      </c>
      <c r="E258" t="inlineStr">
        <is>
          <t>MAT-PAINT-POWDER</t>
        </is>
      </c>
      <c r="F258" t="inlineStr">
        <is>
          <t>m2</t>
        </is>
      </c>
      <c r="G258" s="407" t="n">
        <v>2.465175543000628</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Sơn tĩnh điện khung và nan Louver</t>
        </is>
      </c>
    </row>
    <row r="259">
      <c r="A259" t="inlineStr">
        <is>
          <t>SW-DIFF-157-MESH</t>
        </is>
      </c>
      <c r="B259" t="inlineStr">
        <is>
          <t>SW-DIFF-157</t>
        </is>
      </c>
      <c r="C259" t="inlineStr">
        <is>
          <t>Lưới chắn côn trùng Inox 304 (LCCT)</t>
        </is>
      </c>
      <c r="D259" t="inlineStr">
        <is>
          <t>PHỤ_KIỆN_CỬA</t>
        </is>
      </c>
      <c r="E259" t="inlineStr">
        <is>
          <t>MAT-MESH-INOX-304</t>
        </is>
      </c>
      <c r="F259" t="inlineStr">
        <is>
          <t>m2</t>
        </is>
      </c>
      <c r="G259" s="407" t="n">
        <v>1.333333333333333</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Lưới chắn côn trùng cổ 2950x450mm</t>
        </is>
      </c>
    </row>
    <row r="260">
      <c r="A260" t="inlineStr">
        <is>
          <t>SW-DIFF-197-FRAME</t>
        </is>
      </c>
      <c r="B260" t="inlineStr">
        <is>
          <t>SW-DIFF-197</t>
        </is>
      </c>
      <c r="C260" t="inlineStr">
        <is>
          <t>Khung nhôm &amp; nẹp U cửa sọt trứng (SEEG)</t>
        </is>
      </c>
      <c r="D260" t="inlineStr">
        <is>
          <t>NHÔM_ĐỊNH_HÌNH</t>
        </is>
      </c>
      <c r="E260" t="inlineStr">
        <is>
          <t>MAT-ALU-KHUNG-BD</t>
        </is>
      </c>
      <c r="F260" t="inlineStr">
        <is>
          <t>kg</t>
        </is>
      </c>
      <c r="G260" s="407" t="n">
        <v>0.1765661276019092</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Khung bao 150x150mm + U bọc lõi</t>
        </is>
      </c>
    </row>
    <row r="261">
      <c r="A261" t="inlineStr">
        <is>
          <t>SW-DIFF-197-CORE</t>
        </is>
      </c>
      <c r="B261" t="inlineStr">
        <is>
          <t>SW-DIFF-197</t>
        </is>
      </c>
      <c r="C261" t="inlineStr">
        <is>
          <t>Lõi nhôm sọt trứng (Eggcrate Core 12.7x12.7mm)</t>
        </is>
      </c>
      <c r="D261" t="inlineStr">
        <is>
          <t>NHÔM_ĐỊNH_HÌNH</t>
        </is>
      </c>
      <c r="E261" t="inlineStr">
        <is>
          <t>MAT-ALU-EGGCRATE-CORE</t>
        </is>
      </c>
      <c r="F261" t="inlineStr">
        <is>
          <t>m2</t>
        </is>
      </c>
      <c r="G261" s="407" t="n">
        <v>0.007846829880728188</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Diện tích lõi sọt trứng 0.010m2</t>
        </is>
      </c>
    </row>
    <row r="262">
      <c r="A262" t="inlineStr">
        <is>
          <t>SW-DIFF-197-ACCESSORY</t>
        </is>
      </c>
      <c r="B262" t="inlineStr">
        <is>
          <t>SW-DIFF-197</t>
        </is>
      </c>
      <c r="C262" t="inlineStr">
        <is>
          <t>Phụ kiện lắp ghép / Ke góc cửa gió</t>
        </is>
      </c>
      <c r="D262" t="inlineStr">
        <is>
          <t>PHỤ_KIỆN_CỬA</t>
        </is>
      </c>
      <c r="E262" t="inlineStr">
        <is>
          <t>MAT-DOOR-ACCESSORY</t>
        </is>
      </c>
      <c r="F262" t="inlineStr">
        <is>
          <t>Bộ</t>
        </is>
      </c>
      <c r="G262" s="407" t="n">
        <v>0.2615609960242729</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Ke góc chìm và vít ghép khung</t>
        </is>
      </c>
    </row>
    <row r="263">
      <c r="A263" t="inlineStr">
        <is>
          <t>SW-DIFF-197-PAINT</t>
        </is>
      </c>
      <c r="B263" t="inlineStr">
        <is>
          <t>SW-DIFF-197</t>
        </is>
      </c>
      <c r="C263" t="inlineStr">
        <is>
          <t>Sơn tĩnh điện tiêu chuẩn Polyester</t>
        </is>
      </c>
      <c r="D263" t="inlineStr">
        <is>
          <t>SƠN_TĨNH_ĐIỆN</t>
        </is>
      </c>
      <c r="E263" t="inlineStr">
        <is>
          <t>MAT-PAINT-POWDER</t>
        </is>
      </c>
      <c r="F263" t="inlineStr">
        <is>
          <t>m2</t>
        </is>
      </c>
      <c r="G263" s="407" t="n">
        <v>0.04620974338488464</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Sơn tĩnh điện khung cửa sọt trứng</t>
        </is>
      </c>
    </row>
    <row r="264">
      <c r="A264" t="inlineStr">
        <is>
          <t>SW-DIFF-197-OBD-FRAME</t>
        </is>
      </c>
      <c r="B264" t="inlineStr">
        <is>
          <t>SW-DIFF-197</t>
        </is>
      </c>
      <c r="C264" t="inlineStr">
        <is>
          <t>Khung nhôm van OBD gắn cửa (SOBD)</t>
        </is>
      </c>
      <c r="D264" t="inlineStr">
        <is>
          <t>NHÔM_ĐỊNH_HÌNH</t>
        </is>
      </c>
      <c r="E264" t="inlineStr">
        <is>
          <t>MAT-ALU-KHUNG-OBD</t>
        </is>
      </c>
      <c r="F264" t="inlineStr">
        <is>
          <t>kg</t>
        </is>
      </c>
      <c r="G264" s="407" t="n">
        <v>0.05831716768380461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Khung OBD 100x100mm</t>
        </is>
      </c>
    </row>
    <row r="265">
      <c r="A265" t="inlineStr">
        <is>
          <t>SW-DIFF-197-OBD-BLADE</t>
        </is>
      </c>
      <c r="B265" t="inlineStr">
        <is>
          <t>SW-DIFF-197</t>
        </is>
      </c>
      <c r="C265" t="inlineStr">
        <is>
          <t>Nan nhôm &amp; thanh truyền van OBD (SOBD)</t>
        </is>
      </c>
      <c r="D265" t="inlineStr">
        <is>
          <t>NHÔM_ĐỊNH_HÌNH</t>
        </is>
      </c>
      <c r="E265" t="inlineStr">
        <is>
          <t>MAT-ALU-NAN-OBD</t>
        </is>
      </c>
      <c r="F265" t="inlineStr">
        <is>
          <t>kg</t>
        </is>
      </c>
      <c r="G265" s="407" t="n">
        <v>0.0238826822234494</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Nan OBD đối xứng &amp; thanh liên kết</t>
        </is>
      </c>
    </row>
    <row r="266">
      <c r="A266" t="inlineStr">
        <is>
          <t>SW-DIFF-197-OBD-ACC</t>
        </is>
      </c>
      <c r="B266" t="inlineStr">
        <is>
          <t>SW-DIFF-197</t>
        </is>
      </c>
      <c r="C266" t="inlineStr">
        <is>
          <t>Bánh răng nhựa &amp; phụ kiện van OBD</t>
        </is>
      </c>
      <c r="D266" t="inlineStr">
        <is>
          <t>PHỤ_KIỆN_CỬA</t>
        </is>
      </c>
      <c r="E266" t="inlineStr">
        <is>
          <t>MAT-DOOR-ACCESSORY</t>
        </is>
      </c>
      <c r="F266" t="inlineStr">
        <is>
          <t>Bộ</t>
        </is>
      </c>
      <c r="G266" s="407" t="n">
        <v>0.4211132035990793</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Cơ cấu bánh răng đóng mở OBD</t>
        </is>
      </c>
    </row>
    <row r="267">
      <c r="A267" t="inlineStr">
        <is>
          <t>SW-DIFF-198-FRAME</t>
        </is>
      </c>
      <c r="B267" t="inlineStr">
        <is>
          <t>SW-DIFF-198</t>
        </is>
      </c>
      <c r="C267" t="inlineStr">
        <is>
          <t>Khung nhôm &amp; nẹp U cửa sọt trứng (SEEG)</t>
        </is>
      </c>
      <c r="D267" t="inlineStr">
        <is>
          <t>NHÔM_ĐỊNH_HÌNH</t>
        </is>
      </c>
      <c r="E267" t="inlineStr">
        <is>
          <t>MAT-ALU-KHUNG-BD</t>
        </is>
      </c>
      <c r="F267" t="inlineStr">
        <is>
          <t>kg</t>
        </is>
      </c>
      <c r="G267" s="407" t="n">
        <v>0.3810320947797407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Khung bao 300x300mm + U bọc lõi</t>
        </is>
      </c>
    </row>
    <row r="268">
      <c r="A268" t="inlineStr">
        <is>
          <t>SW-DIFF-198-CORE</t>
        </is>
      </c>
      <c r="B268" t="inlineStr">
        <is>
          <t>SW-DIFF-198</t>
        </is>
      </c>
      <c r="C268" t="inlineStr">
        <is>
          <t>Lõi nhôm sọt trứng (Eggcrate Core 12.7x12.7mm)</t>
        </is>
      </c>
      <c r="D268" t="inlineStr">
        <is>
          <t>NHÔM_ĐỊNH_HÌNH</t>
        </is>
      </c>
      <c r="E268" t="inlineStr">
        <is>
          <t>MAT-ALU-EGGCRATE-CORE</t>
        </is>
      </c>
      <c r="F268" t="inlineStr">
        <is>
          <t>m2</t>
        </is>
      </c>
      <c r="G268" s="407" t="n">
        <v>0.04904268675455116</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Diện tích lõi sọt trứng 0.062m2</t>
        </is>
      </c>
    </row>
    <row r="269">
      <c r="A269" t="inlineStr">
        <is>
          <t>SW-DIFF-198-ACCESSORY</t>
        </is>
      </c>
      <c r="B269" t="inlineStr">
        <is>
          <t>SW-DIFF-198</t>
        </is>
      </c>
      <c r="C269" t="inlineStr">
        <is>
          <t>Phụ kiện lắp ghép / Ke góc cửa gió</t>
        </is>
      </c>
      <c r="D269" t="inlineStr">
        <is>
          <t>PHỤ_KIỆN_CỬA</t>
        </is>
      </c>
      <c r="E269" t="inlineStr">
        <is>
          <t>MAT-DOOR-ACCESSORY</t>
        </is>
      </c>
      <c r="F269" t="inlineStr">
        <is>
          <t>Bộ</t>
        </is>
      </c>
      <c r="G269" s="407" t="n">
        <v>0.2615609960242729</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Ke góc chìm và vít ghép khung</t>
        </is>
      </c>
    </row>
    <row r="270">
      <c r="A270" t="inlineStr">
        <is>
          <t>SW-DIFF-198-PAINT</t>
        </is>
      </c>
      <c r="B270" t="inlineStr">
        <is>
          <t>SW-DIFF-198</t>
        </is>
      </c>
      <c r="C270" t="inlineStr">
        <is>
          <t>Sơn tĩnh điện tiêu chuẩn Polyester</t>
        </is>
      </c>
      <c r="D270" t="inlineStr">
        <is>
          <t>SƠN_TĨNH_ĐIỆN</t>
        </is>
      </c>
      <c r="E270" t="inlineStr">
        <is>
          <t>MAT-PAINT-POWDER</t>
        </is>
      </c>
      <c r="F270" t="inlineStr">
        <is>
          <t>m2</t>
        </is>
      </c>
      <c r="G270" s="407" t="n">
        <v>0.1370845935817687</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Sơn tĩnh điện khung cửa sọt trứng</t>
        </is>
      </c>
    </row>
    <row r="271">
      <c r="A271" t="inlineStr">
        <is>
          <t>SW-DIFF-198-OBD-FRAME</t>
        </is>
      </c>
      <c r="B271" t="inlineStr">
        <is>
          <t>SW-DIFF-198</t>
        </is>
      </c>
      <c r="C271" t="inlineStr">
        <is>
          <t>Khung nhôm van OBD gắn cửa (SOBD)</t>
        </is>
      </c>
      <c r="D271" t="inlineStr">
        <is>
          <t>NHÔM_ĐỊNH_HÌNH</t>
        </is>
      </c>
      <c r="E271" t="inlineStr">
        <is>
          <t>MAT-ALU-KHUNG-OBD</t>
        </is>
      </c>
      <c r="F271" t="inlineStr">
        <is>
          <t>kg</t>
        </is>
      </c>
      <c r="G271" s="407" t="n">
        <v>0.1457929192095115</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Khung OBD 250x250mm</t>
        </is>
      </c>
    </row>
    <row r="272">
      <c r="A272" t="inlineStr">
        <is>
          <t>SW-DIFF-198-OBD-BLADE</t>
        </is>
      </c>
      <c r="B272" t="inlineStr">
        <is>
          <t>SW-DIFF-198</t>
        </is>
      </c>
      <c r="C272" t="inlineStr">
        <is>
          <t>Nan nhôm &amp; thanh truyền van OBD (SOBD)</t>
        </is>
      </c>
      <c r="D272" t="inlineStr">
        <is>
          <t>NHÔM_ĐỊNH_HÌNH</t>
        </is>
      </c>
      <c r="E272" t="inlineStr">
        <is>
          <t>MAT-ALU-NAN-OBD</t>
        </is>
      </c>
      <c r="F272" t="inlineStr">
        <is>
          <t>kg</t>
        </is>
      </c>
      <c r="G272" s="407" t="n">
        <v>0.1492667638965587</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Nan OBD đối xứng &amp; thanh liên kết</t>
        </is>
      </c>
    </row>
    <row r="273">
      <c r="A273" t="inlineStr">
        <is>
          <t>SW-DIFF-198-OBD-ACC</t>
        </is>
      </c>
      <c r="B273" t="inlineStr">
        <is>
          <t>SW-DIFF-198</t>
        </is>
      </c>
      <c r="C273" t="inlineStr">
        <is>
          <t>Bánh răng nhựa &amp; phụ kiện van OBD</t>
        </is>
      </c>
      <c r="D273" t="inlineStr">
        <is>
          <t>PHỤ_KIỆN_CỬA</t>
        </is>
      </c>
      <c r="E273" t="inlineStr">
        <is>
          <t>MAT-DOOR-ACCESSORY</t>
        </is>
      </c>
      <c r="F273" t="inlineStr">
        <is>
          <t>Bộ</t>
        </is>
      </c>
      <c r="G273" s="407" t="n">
        <v>0.6918288344842017</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Cơ cấu bánh răng đóng mở OBD</t>
        </is>
      </c>
    </row>
    <row r="274">
      <c r="A274" t="inlineStr">
        <is>
          <t>SW-DIFF-199-FRAME</t>
        </is>
      </c>
      <c r="B274" t="inlineStr">
        <is>
          <t>SW-DIFF-199</t>
        </is>
      </c>
      <c r="C274" t="inlineStr">
        <is>
          <t>Khung nhôm &amp; nẹp U cửa sọt trứng (SEEG)</t>
        </is>
      </c>
      <c r="D274" t="inlineStr">
        <is>
          <t>NHÔM_ĐỊNH_HÌNH</t>
        </is>
      </c>
      <c r="E274" t="inlineStr">
        <is>
          <t>MAT-ALU-KHUNG-BD</t>
        </is>
      </c>
      <c r="F274" t="inlineStr">
        <is>
          <t>kg</t>
        </is>
      </c>
      <c r="G274" s="407" t="n">
        <v>0.4491874171723513</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Khung bao 400x300mm + U bọc lõi</t>
        </is>
      </c>
    </row>
    <row r="275">
      <c r="A275" t="inlineStr">
        <is>
          <t>SW-DIFF-199-CORE</t>
        </is>
      </c>
      <c r="B275" t="inlineStr">
        <is>
          <t>SW-DIFF-199</t>
        </is>
      </c>
      <c r="C275" t="inlineStr">
        <is>
          <t>Lõi nhôm sọt trứng (Eggcrate Core 12.7x12.7mm)</t>
        </is>
      </c>
      <c r="D275" t="inlineStr">
        <is>
          <t>NHÔM_ĐỊNH_HÌNH</t>
        </is>
      </c>
      <c r="E275" t="inlineStr">
        <is>
          <t>MAT-ALU-EGGCRATE-CORE</t>
        </is>
      </c>
      <c r="F275" t="inlineStr">
        <is>
          <t>m2</t>
        </is>
      </c>
      <c r="G275" s="407" t="n">
        <v>0.06865976145637162</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Diện tích lõi sọt trứng 0.087m2</t>
        </is>
      </c>
    </row>
    <row r="276">
      <c r="A276" t="inlineStr">
        <is>
          <t>SW-DIFF-199-ACCESSORY</t>
        </is>
      </c>
      <c r="B276" t="inlineStr">
        <is>
          <t>SW-DIFF-199</t>
        </is>
      </c>
      <c r="C276" t="inlineStr">
        <is>
          <t>Phụ kiện lắp ghép / Ke góc cửa gió</t>
        </is>
      </c>
      <c r="D276" t="inlineStr">
        <is>
          <t>PHỤ_KIỆN_CỬA</t>
        </is>
      </c>
      <c r="E276" t="inlineStr">
        <is>
          <t>MAT-DOOR-ACCESSORY</t>
        </is>
      </c>
      <c r="F276" t="inlineStr">
        <is>
          <t>Bộ</t>
        </is>
      </c>
      <c r="G276" s="407" t="n">
        <v>0.2615609960242729</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Ke góc chìm và vít ghép khung</t>
        </is>
      </c>
    </row>
    <row r="277">
      <c r="A277" t="inlineStr">
        <is>
          <t>SW-DIFF-199-PAINT</t>
        </is>
      </c>
      <c r="B277" t="inlineStr">
        <is>
          <t>SW-DIFF-199</t>
        </is>
      </c>
      <c r="C277" t="inlineStr">
        <is>
          <t>Sơn tĩnh điện tiêu chuẩn Polyester</t>
        </is>
      </c>
      <c r="D277" t="inlineStr">
        <is>
          <t>SƠN_TĨNH_ĐIỆN</t>
        </is>
      </c>
      <c r="E277" t="inlineStr">
        <is>
          <t>MAT-PAINT-POWDER</t>
        </is>
      </c>
      <c r="F277" t="inlineStr">
        <is>
          <t>m2</t>
        </is>
      </c>
      <c r="G277" s="407" t="n">
        <v>0.1742243527554262</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Sơn tĩnh điện khung cửa sọt trứng</t>
        </is>
      </c>
    </row>
    <row r="278">
      <c r="A278" t="inlineStr">
        <is>
          <t>SW-DIFF-199-OBD-FRAME</t>
        </is>
      </c>
      <c r="B278" t="inlineStr">
        <is>
          <t>SW-DIFF-199</t>
        </is>
      </c>
      <c r="C278" t="inlineStr">
        <is>
          <t>Khung nhôm van OBD gắn cửa (SOBD)</t>
        </is>
      </c>
      <c r="D278" t="inlineStr">
        <is>
          <t>NHÔM_ĐỊNH_HÌNH</t>
        </is>
      </c>
      <c r="E278" t="inlineStr">
        <is>
          <t>MAT-ALU-KHUNG-OBD</t>
        </is>
      </c>
      <c r="F278" t="inlineStr">
        <is>
          <t>kg</t>
        </is>
      </c>
      <c r="G278" s="407" t="n">
        <v>0.1749515030514138</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Khung OBD 350x250mm</t>
        </is>
      </c>
    </row>
    <row r="279">
      <c r="A279" t="inlineStr">
        <is>
          <t>SW-DIFF-199-OBD-BLADE</t>
        </is>
      </c>
      <c r="B279" t="inlineStr">
        <is>
          <t>SW-DIFF-199</t>
        </is>
      </c>
      <c r="C279" t="inlineStr">
        <is>
          <t>Nan nhôm &amp; thanh truyền van OBD (SOBD)</t>
        </is>
      </c>
      <c r="D279" t="inlineStr">
        <is>
          <t>NHÔM_ĐỊNH_HÌNH</t>
        </is>
      </c>
      <c r="E279" t="inlineStr">
        <is>
          <t>MAT-ALU-NAN-OBD</t>
        </is>
      </c>
      <c r="F279" t="inlineStr">
        <is>
          <t>kg</t>
        </is>
      </c>
      <c r="G279" s="407" t="n">
        <v>0.2089734694551822</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Nan OBD đối xứng &amp; thanh liên kết</t>
        </is>
      </c>
    </row>
    <row r="280">
      <c r="A280" t="inlineStr">
        <is>
          <t>SW-DIFF-199-OBD-ACC</t>
        </is>
      </c>
      <c r="B280" t="inlineStr">
        <is>
          <t>SW-DIFF-199</t>
        </is>
      </c>
      <c r="C280" t="inlineStr">
        <is>
          <t>Bánh răng nhựa &amp; phụ kiện van OBD</t>
        </is>
      </c>
      <c r="D280" t="inlineStr">
        <is>
          <t>PHỤ_KIỆN_CỬA</t>
        </is>
      </c>
      <c r="E280" t="inlineStr">
        <is>
          <t>MAT-DOOR-ACCESSORY</t>
        </is>
      </c>
      <c r="F280" t="inlineStr">
        <is>
          <t>Bộ</t>
        </is>
      </c>
      <c r="G280" s="407" t="n">
        <v>0.87230592174095</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Cơ cấu bánh răng đóng mở OBD</t>
        </is>
      </c>
    </row>
    <row r="281">
      <c r="A281" t="inlineStr">
        <is>
          <t>SW-DIFF-200-FRAME</t>
        </is>
      </c>
      <c r="B281" t="inlineStr">
        <is>
          <t>SW-DIFF-200</t>
        </is>
      </c>
      <c r="C281" t="inlineStr">
        <is>
          <t>Khung nhôm &amp; nẹp U cửa sọt trứng (SEEG)</t>
        </is>
      </c>
      <c r="D281" t="inlineStr">
        <is>
          <t>NHÔM_ĐỊNH_HÌNH</t>
        </is>
      </c>
      <c r="E281" t="inlineStr">
        <is>
          <t>MAT-ALU-KHUNG-BD</t>
        </is>
      </c>
      <c r="F281" t="inlineStr">
        <is>
          <t>kg</t>
        </is>
      </c>
      <c r="G281" s="407" t="n">
        <v>1.335206608276288</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Khung bao 1200x800mm + U bọc lõi</t>
        </is>
      </c>
    </row>
    <row r="282">
      <c r="A282" t="inlineStr">
        <is>
          <t>SW-DIFF-200-CORE</t>
        </is>
      </c>
      <c r="B282" t="inlineStr">
        <is>
          <t>SW-DIFF-200</t>
        </is>
      </c>
      <c r="C282" t="inlineStr">
        <is>
          <t>Lõi nhôm sọt trứng (Eggcrate Core 12.7x12.7mm)</t>
        </is>
      </c>
      <c r="D282" t="inlineStr">
        <is>
          <t>NHÔM_ĐỊNH_HÌNH</t>
        </is>
      </c>
      <c r="E282" t="inlineStr">
        <is>
          <t>MAT-ALU-EGGCRATE-CORE</t>
        </is>
      </c>
      <c r="F282" t="inlineStr">
        <is>
          <t>m2</t>
        </is>
      </c>
      <c r="G282" s="407" t="n">
        <v>0.6767890772128059</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Diện tích lõi sọt trứng 0.862m2</t>
        </is>
      </c>
    </row>
    <row r="283">
      <c r="A283" t="inlineStr">
        <is>
          <t>SW-DIFF-200-ACCESSORY</t>
        </is>
      </c>
      <c r="B283" t="inlineStr">
        <is>
          <t>SW-DIFF-200</t>
        </is>
      </c>
      <c r="C283" t="inlineStr">
        <is>
          <t>Phụ kiện lắp ghép / Ke góc cửa gió</t>
        </is>
      </c>
      <c r="D283" t="inlineStr">
        <is>
          <t>PHỤ_KIỆN_CỬA</t>
        </is>
      </c>
      <c r="E283" t="inlineStr">
        <is>
          <t>MAT-DOOR-ACCESSORY</t>
        </is>
      </c>
      <c r="F283" t="inlineStr">
        <is>
          <t>Bộ</t>
        </is>
      </c>
      <c r="G283" s="407" t="n">
        <v>0.2615609960242729</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Ke góc chìm và vít ghép khung</t>
        </is>
      </c>
    </row>
    <row r="284">
      <c r="A284" t="inlineStr">
        <is>
          <t>SW-DIFF-200-PAINT</t>
        </is>
      </c>
      <c r="B284" t="inlineStr">
        <is>
          <t>SW-DIFF-200</t>
        </is>
      </c>
      <c r="C284" t="inlineStr">
        <is>
          <t>Sơn tĩnh điện tiêu chuẩn Polyester</t>
        </is>
      </c>
      <c r="D284" t="inlineStr">
        <is>
          <t>SƠN_TĨNH_ĐIỆN</t>
        </is>
      </c>
      <c r="E284" t="inlineStr">
        <is>
          <t>MAT-PAINT-POWDER</t>
        </is>
      </c>
      <c r="F284" t="inlineStr">
        <is>
          <t>m2</t>
        </is>
      </c>
      <c r="G284" s="407" t="n">
        <v>1.06792976849474</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Sơn tĩnh điện khung cửa sọt trứng</t>
        </is>
      </c>
    </row>
    <row r="285">
      <c r="A285" t="inlineStr">
        <is>
          <t>SW-DIFF-200-OBD-FRAME</t>
        </is>
      </c>
      <c r="B285" t="inlineStr">
        <is>
          <t>SW-DIFF-200</t>
        </is>
      </c>
      <c r="C285" t="inlineStr">
        <is>
          <t>Khung nhôm van OBD gắn cửa (SOBD)</t>
        </is>
      </c>
      <c r="D285" t="inlineStr">
        <is>
          <t>NHÔM_ĐỊNH_HÌNH</t>
        </is>
      </c>
      <c r="E285" t="inlineStr">
        <is>
          <t>MAT-ALU-KHUNG-OBD</t>
        </is>
      </c>
      <c r="F285" t="inlineStr">
        <is>
          <t>kg</t>
        </is>
      </c>
      <c r="G285" s="407" t="n">
        <v>0.5540130929961437</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Khung OBD 1150x750mm</t>
        </is>
      </c>
    </row>
    <row r="286">
      <c r="A286" t="inlineStr">
        <is>
          <t>SW-DIFF-200-OBD-BLADE</t>
        </is>
      </c>
      <c r="B286" t="inlineStr">
        <is>
          <t>SW-DIFF-200</t>
        </is>
      </c>
      <c r="C286" t="inlineStr">
        <is>
          <t>Nan nhôm &amp; thanh truyền van OBD (SOBD)</t>
        </is>
      </c>
      <c r="D286" t="inlineStr">
        <is>
          <t>NHÔM_ĐỊNH_HÌNH</t>
        </is>
      </c>
      <c r="E286" t="inlineStr">
        <is>
          <t>MAT-ALU-NAN-OBD</t>
        </is>
      </c>
      <c r="F286" t="inlineStr">
        <is>
          <t>kg</t>
        </is>
      </c>
      <c r="G286" s="407" t="n">
        <v>2.05988134177251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Nan OBD đối xứng &amp; thanh liên kết</t>
        </is>
      </c>
    </row>
    <row r="287">
      <c r="A287" t="inlineStr">
        <is>
          <t>SW-DIFF-200-OBD-ACC</t>
        </is>
      </c>
      <c r="B287" t="inlineStr">
        <is>
          <t>SW-DIFF-200</t>
        </is>
      </c>
      <c r="C287" t="inlineStr">
        <is>
          <t>Bánh răng nhựa &amp; phụ kiện van OBD</t>
        </is>
      </c>
      <c r="D287" t="inlineStr">
        <is>
          <t>PHỤ_KIỆN_CỬA</t>
        </is>
      </c>
      <c r="E287" t="inlineStr">
        <is>
          <t>MAT-DOOR-ACCESSORY</t>
        </is>
      </c>
      <c r="F287" t="inlineStr">
        <is>
          <t>Bộ</t>
        </is>
      </c>
      <c r="G287" s="407" t="n">
        <v>2.316122619794935</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Cơ cấu bánh răng đóng mở OBD</t>
        </is>
      </c>
    </row>
    <row r="288">
      <c r="A288" t="inlineStr">
        <is>
          <t>SW-DIFF-201-FRAME</t>
        </is>
      </c>
      <c r="B288" t="inlineStr">
        <is>
          <t>SW-DIFF-201</t>
        </is>
      </c>
      <c r="C288" t="inlineStr">
        <is>
          <t>Khung nhôm &amp; nẹp U cửa sọt trứng (SEEG)</t>
        </is>
      </c>
      <c r="D288" t="inlineStr">
        <is>
          <t>NHÔM_ĐỊNH_HÌNH</t>
        </is>
      </c>
      <c r="E288" t="inlineStr">
        <is>
          <t>MAT-ALU-KHUNG-BD</t>
        </is>
      </c>
      <c r="F288" t="inlineStr">
        <is>
          <t>kg</t>
        </is>
      </c>
      <c r="G288" s="407" t="n">
        <v>0.9262746739206249</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Khung bao 1000x400mm + U bọc lõi</t>
        </is>
      </c>
    </row>
    <row r="289">
      <c r="A289" t="inlineStr">
        <is>
          <t>SW-DIFF-201-CORE</t>
        </is>
      </c>
      <c r="B289" t="inlineStr">
        <is>
          <t>SW-DIFF-201</t>
        </is>
      </c>
      <c r="C289" t="inlineStr">
        <is>
          <t>Lõi nhôm sọt trứng (Eggcrate Core 12.7x12.7mm)</t>
        </is>
      </c>
      <c r="D289" t="inlineStr">
        <is>
          <t>NHÔM_ĐỊNH_HÌNH</t>
        </is>
      </c>
      <c r="E289" t="inlineStr">
        <is>
          <t>MAT-ALU-EGGCRATE-CORE</t>
        </is>
      </c>
      <c r="F289" t="inlineStr">
        <is>
          <t>m2</t>
        </is>
      </c>
      <c r="G289" s="407" t="n">
        <v>0.2609070935342122</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Diện tích lõi sọt trứng 0.332m2</t>
        </is>
      </c>
    </row>
    <row r="290">
      <c r="A290" t="inlineStr">
        <is>
          <t>SW-DIFF-201-ACCESSORY</t>
        </is>
      </c>
      <c r="B290" t="inlineStr">
        <is>
          <t>SW-DIFF-201</t>
        </is>
      </c>
      <c r="C290" t="inlineStr">
        <is>
          <t>Phụ kiện lắp ghép / Ke góc cửa gió</t>
        </is>
      </c>
      <c r="D290" t="inlineStr">
        <is>
          <t>PHỤ_KIỆN_CỬA</t>
        </is>
      </c>
      <c r="E290" t="inlineStr">
        <is>
          <t>MAT-DOOR-ACCESSORY</t>
        </is>
      </c>
      <c r="F290" t="inlineStr">
        <is>
          <t>Bộ</t>
        </is>
      </c>
      <c r="G290" s="407" t="n">
        <v>0.2615609960242729</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Ke góc chìm và vít ghép khung</t>
        </is>
      </c>
    </row>
    <row r="291">
      <c r="A291" t="inlineStr">
        <is>
          <t>SW-DIFF-201-PAINT</t>
        </is>
      </c>
      <c r="B291" t="inlineStr">
        <is>
          <t>SW-DIFF-201</t>
        </is>
      </c>
      <c r="C291" t="inlineStr">
        <is>
          <t>Sơn tĩnh điện tiêu chuẩn Polyester</t>
        </is>
      </c>
      <c r="D291" t="inlineStr">
        <is>
          <t>SƠN_TĨNH_ĐIỆN</t>
        </is>
      </c>
      <c r="E291" t="inlineStr">
        <is>
          <t>MAT-PAINT-POWDER</t>
        </is>
      </c>
      <c r="F291" t="inlineStr">
        <is>
          <t>m2</t>
        </is>
      </c>
      <c r="G291" s="407" t="n">
        <v>0.4981186630904145</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Sơn tĩnh điện khung cửa sọt trứng</t>
        </is>
      </c>
    </row>
    <row r="292">
      <c r="A292" t="inlineStr">
        <is>
          <t>SW-DIFF-201-OBD-FRAME</t>
        </is>
      </c>
      <c r="B292" t="inlineStr">
        <is>
          <t>SW-DIFF-201</t>
        </is>
      </c>
      <c r="C292" t="inlineStr">
        <is>
          <t>Khung nhôm van OBD gắn cửa (SOBD)</t>
        </is>
      </c>
      <c r="D292" t="inlineStr">
        <is>
          <t>NHÔM_ĐỊNH_HÌNH</t>
        </is>
      </c>
      <c r="E292" t="inlineStr">
        <is>
          <t>MAT-ALU-KHUNG-OBD</t>
        </is>
      </c>
      <c r="F292" t="inlineStr">
        <is>
          <t>kg</t>
        </is>
      </c>
      <c r="G292" s="407" t="n">
        <v>0.3790615899447299</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Khung OBD 950x350mm</t>
        </is>
      </c>
    </row>
    <row r="293">
      <c r="A293" t="inlineStr">
        <is>
          <t>SW-DIFF-201-OBD-BLADE</t>
        </is>
      </c>
      <c r="B293" t="inlineStr">
        <is>
          <t>SW-DIFF-201</t>
        </is>
      </c>
      <c r="C293" t="inlineStr">
        <is>
          <t>Nan nhôm &amp; thanh truyền van OBD (SOBD)</t>
        </is>
      </c>
      <c r="D293" t="inlineStr">
        <is>
          <t>NHÔM_ĐỊNH_HÌNH</t>
        </is>
      </c>
      <c r="E293" t="inlineStr">
        <is>
          <t>MAT-ALU-NAN-OBD</t>
        </is>
      </c>
      <c r="F293" t="inlineStr">
        <is>
          <t>kg</t>
        </is>
      </c>
      <c r="G293" s="407" t="n">
        <v>0.7940991839296924</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Nan OBD đối xứng &amp; thanh liên kết</t>
        </is>
      </c>
    </row>
    <row r="294">
      <c r="A294" t="inlineStr">
        <is>
          <t>SW-DIFF-201-OBD-ACC</t>
        </is>
      </c>
      <c r="B294" t="inlineStr">
        <is>
          <t>SW-DIFF-201</t>
        </is>
      </c>
      <c r="C294" t="inlineStr">
        <is>
          <t>Bánh răng nhựa &amp; phụ kiện van OBD</t>
        </is>
      </c>
      <c r="D294" t="inlineStr">
        <is>
          <t>PHỤ_KIỆN_CỬA</t>
        </is>
      </c>
      <c r="E294" t="inlineStr">
        <is>
          <t>MAT-DOOR-ACCESSORY</t>
        </is>
      </c>
      <c r="F294" t="inlineStr">
        <is>
          <t>Bộ</t>
        </is>
      </c>
      <c r="G294" s="407" t="n">
        <v>1.95516844528144</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Cơ cấu bánh răng đóng mở OBD</t>
        </is>
      </c>
    </row>
    <row r="295">
      <c r="A295" t="inlineStr">
        <is>
          <t>SW-DIFF-202-FRAME</t>
        </is>
      </c>
      <c r="B295" t="inlineStr">
        <is>
          <t>SW-DIFF-202</t>
        </is>
      </c>
      <c r="C295" t="inlineStr">
        <is>
          <t>Khung nhôm &amp; nẹp U cửa sọt trứng (SEEG)</t>
        </is>
      </c>
      <c r="D295" t="inlineStr">
        <is>
          <t>NHÔM_ĐỊNH_HÌNH</t>
        </is>
      </c>
      <c r="E295" t="inlineStr">
        <is>
          <t>MAT-ALU-KHUNG-BD</t>
        </is>
      </c>
      <c r="F295" t="inlineStr">
        <is>
          <t>kg</t>
        </is>
      </c>
      <c r="G295" s="407" t="n">
        <v>0.6536533843501829</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Khung bao 600x400mm + U bọc lõi</t>
        </is>
      </c>
    </row>
    <row r="296">
      <c r="A296" t="inlineStr">
        <is>
          <t>SW-DIFF-202-CORE</t>
        </is>
      </c>
      <c r="B296" t="inlineStr">
        <is>
          <t>SW-DIFF-202</t>
        </is>
      </c>
      <c r="C296" t="inlineStr">
        <is>
          <t>Lõi nhôm sọt trứng (Eggcrate Core 12.7x12.7mm)</t>
        </is>
      </c>
      <c r="D296" t="inlineStr">
        <is>
          <t>NHÔM_ĐỊNH_HÌNH</t>
        </is>
      </c>
      <c r="E296" t="inlineStr">
        <is>
          <t>MAT-ALU-EGGCRATE-CORE</t>
        </is>
      </c>
      <c r="F296" t="inlineStr">
        <is>
          <t>m2</t>
        </is>
      </c>
      <c r="G296" s="407" t="n">
        <v>0.1510514752040176</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Diện tích lõi sọt trứng 0.193m2</t>
        </is>
      </c>
    </row>
    <row r="297">
      <c r="A297" t="inlineStr">
        <is>
          <t>SW-DIFF-202-ACCESSORY</t>
        </is>
      </c>
      <c r="B297" t="inlineStr">
        <is>
          <t>SW-DIFF-202</t>
        </is>
      </c>
      <c r="C297" t="inlineStr">
        <is>
          <t>Phụ kiện lắp ghép / Ke góc cửa gió</t>
        </is>
      </c>
      <c r="D297" t="inlineStr">
        <is>
          <t>PHỤ_KIỆN_CỬA</t>
        </is>
      </c>
      <c r="E297" t="inlineStr">
        <is>
          <t>MAT-DOOR-ACCESSORY</t>
        </is>
      </c>
      <c r="F297" t="inlineStr">
        <is>
          <t>Bộ</t>
        </is>
      </c>
      <c r="G297" s="407" t="n">
        <v>0.2615609960242729</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Ke góc chìm và vít ghép khung</t>
        </is>
      </c>
    </row>
    <row r="298">
      <c r="A298" t="inlineStr">
        <is>
          <t>SW-DIFF-202-PAINT</t>
        </is>
      </c>
      <c r="B298" t="inlineStr">
        <is>
          <t>SW-DIFF-202</t>
        </is>
      </c>
      <c r="C298" t="inlineStr">
        <is>
          <t>Sơn tĩnh điện tiêu chuẩn Polyester</t>
        </is>
      </c>
      <c r="D298" t="inlineStr">
        <is>
          <t>SƠN_TĨNH_ĐIỆN</t>
        </is>
      </c>
      <c r="E298" t="inlineStr">
        <is>
          <t>MAT-PAINT-POWDER</t>
        </is>
      </c>
      <c r="F298" t="inlineStr">
        <is>
          <t>m2</t>
        </is>
      </c>
      <c r="G298" s="407" t="n">
        <v>0.3130362000418498</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Sơn tĩnh điện khung cửa sọt trứng</t>
        </is>
      </c>
    </row>
    <row r="299">
      <c r="A299" t="inlineStr">
        <is>
          <t>SW-DIFF-202-OBD-FRAME</t>
        </is>
      </c>
      <c r="B299" t="inlineStr">
        <is>
          <t>SW-DIFF-202</t>
        </is>
      </c>
      <c r="C299" t="inlineStr">
        <is>
          <t>Khung nhôm van OBD gắn cửa (SOBD)</t>
        </is>
      </c>
      <c r="D299" t="inlineStr">
        <is>
          <t>NHÔM_ĐỊNH_HÌNH</t>
        </is>
      </c>
      <c r="E299" t="inlineStr">
        <is>
          <t>MAT-ALU-KHUNG-OBD</t>
        </is>
      </c>
      <c r="F299" t="inlineStr">
        <is>
          <t>kg</t>
        </is>
      </c>
      <c r="G299" s="407" t="n">
        <v>0.2624272545771207</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Khung OBD 550x350mm</t>
        </is>
      </c>
    </row>
    <row r="300">
      <c r="A300" t="inlineStr">
        <is>
          <t>SW-DIFF-202-OBD-BLADE</t>
        </is>
      </c>
      <c r="B300" t="inlineStr">
        <is>
          <t>SW-DIFF-202</t>
        </is>
      </c>
      <c r="C300" t="inlineStr">
        <is>
          <t>Nan nhôm &amp; thanh truyền van OBD (SOBD)</t>
        </is>
      </c>
      <c r="D300" t="inlineStr">
        <is>
          <t>NHÔM_ĐỊNH_HÌNH</t>
        </is>
      </c>
      <c r="E300" t="inlineStr">
        <is>
          <t>MAT-ALU-NAN-OBD</t>
        </is>
      </c>
      <c r="F300" t="inlineStr">
        <is>
          <t>kg</t>
        </is>
      </c>
      <c r="G300" s="407" t="n">
        <v>0.459741632801401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Nan OBD đối xứng &amp; thanh liên kết</t>
        </is>
      </c>
    </row>
    <row r="301">
      <c r="A301" t="inlineStr">
        <is>
          <t>SW-DIFF-202-OBD-ACC</t>
        </is>
      </c>
      <c r="B301" t="inlineStr">
        <is>
          <t>SW-DIFF-202</t>
        </is>
      </c>
      <c r="C301" t="inlineStr">
        <is>
          <t>Bánh răng nhựa &amp; phụ kiện van OBD</t>
        </is>
      </c>
      <c r="D301" t="inlineStr">
        <is>
          <t>PHỤ_KIỆN_CỬA</t>
        </is>
      </c>
      <c r="E301" t="inlineStr">
        <is>
          <t>MAT-DOOR-ACCESSORY</t>
        </is>
      </c>
      <c r="F301" t="inlineStr">
        <is>
          <t>Bộ</t>
        </is>
      </c>
      <c r="G301" s="407" t="n">
        <v>1.233260096254446</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Cơ cấu bánh răng đóng mở OBD</t>
        </is>
      </c>
    </row>
    <row r="302">
      <c r="A302" t="inlineStr">
        <is>
          <t>SW-DIFF-203-FRAME</t>
        </is>
      </c>
      <c r="B302" t="inlineStr">
        <is>
          <t>SW-DIFF-203</t>
        </is>
      </c>
      <c r="C302" t="inlineStr">
        <is>
          <t>Khung nhôm &amp; nẹp U cửa sọt trứng (SEEG)</t>
        </is>
      </c>
      <c r="D302" t="inlineStr">
        <is>
          <t>NHÔM_ĐỊNH_HÌNH</t>
        </is>
      </c>
      <c r="E302" t="inlineStr">
        <is>
          <t>MAT-ALU-KHUNG-BD</t>
        </is>
      </c>
      <c r="F302" t="inlineStr">
        <is>
          <t>kg</t>
        </is>
      </c>
      <c r="G302" s="407" t="n">
        <v>0.3810320947797407</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Khung bao 300x300mm + U bọc lõi</t>
        </is>
      </c>
    </row>
    <row r="303">
      <c r="A303" t="inlineStr">
        <is>
          <t>SW-DIFF-203-CORE</t>
        </is>
      </c>
      <c r="B303" t="inlineStr">
        <is>
          <t>SW-DIFF-203</t>
        </is>
      </c>
      <c r="C303" t="inlineStr">
        <is>
          <t>Lõi nhôm sọt trứng (Eggcrate Core 12.7x12.7mm)</t>
        </is>
      </c>
      <c r="D303" t="inlineStr">
        <is>
          <t>NHÔM_ĐỊNH_HÌNH</t>
        </is>
      </c>
      <c r="E303" t="inlineStr">
        <is>
          <t>MAT-ALU-EGGCRATE-CORE</t>
        </is>
      </c>
      <c r="F303" t="inlineStr">
        <is>
          <t>m2</t>
        </is>
      </c>
      <c r="G303" s="407" t="n">
        <v>0.04904268675455116</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Diện tích lõi sọt trứng 0.062m2</t>
        </is>
      </c>
    </row>
    <row r="304">
      <c r="A304" t="inlineStr">
        <is>
          <t>SW-DIFF-203-ACCESSORY</t>
        </is>
      </c>
      <c r="B304" t="inlineStr">
        <is>
          <t>SW-DIFF-203</t>
        </is>
      </c>
      <c r="C304" t="inlineStr">
        <is>
          <t>Phụ kiện lắp ghép / Ke góc cửa gió</t>
        </is>
      </c>
      <c r="D304" t="inlineStr">
        <is>
          <t>PHỤ_KIỆN_CỬA</t>
        </is>
      </c>
      <c r="E304" t="inlineStr">
        <is>
          <t>MAT-DOOR-ACCESSORY</t>
        </is>
      </c>
      <c r="F304" t="inlineStr">
        <is>
          <t>Bộ</t>
        </is>
      </c>
      <c r="G304" s="407" t="n">
        <v>0.2615609960242729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Ke góc chìm và vít ghép khung</t>
        </is>
      </c>
    </row>
    <row r="305">
      <c r="A305" t="inlineStr">
        <is>
          <t>SW-DIFF-203-PAINT</t>
        </is>
      </c>
      <c r="B305" t="inlineStr">
        <is>
          <t>SW-DIFF-203</t>
        </is>
      </c>
      <c r="C305" t="inlineStr">
        <is>
          <t>Sơn tĩnh điện tiêu chuẩn Polyester</t>
        </is>
      </c>
      <c r="D305" t="inlineStr">
        <is>
          <t>SƠN_TĨNH_ĐIỆN</t>
        </is>
      </c>
      <c r="E305" t="inlineStr">
        <is>
          <t>MAT-PAINT-POWDER</t>
        </is>
      </c>
      <c r="F305" t="inlineStr">
        <is>
          <t>m2</t>
        </is>
      </c>
      <c r="G305" s="407" t="n">
        <v>0.1370845935817687</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Sơn tĩnh điện khung cửa sọt trứng</t>
        </is>
      </c>
    </row>
    <row r="306">
      <c r="A306" t="inlineStr">
        <is>
          <t>SW-DIFF-203-OBD-FRAME</t>
        </is>
      </c>
      <c r="B306" t="inlineStr">
        <is>
          <t>SW-DIFF-203</t>
        </is>
      </c>
      <c r="C306" t="inlineStr">
        <is>
          <t>Khung nhôm van OBD gắn cửa (SOBD)</t>
        </is>
      </c>
      <c r="D306" t="inlineStr">
        <is>
          <t>NHÔM_ĐỊNH_HÌNH</t>
        </is>
      </c>
      <c r="E306" t="inlineStr">
        <is>
          <t>MAT-ALU-KHUNG-OBD</t>
        </is>
      </c>
      <c r="F306" t="inlineStr">
        <is>
          <t>kg</t>
        </is>
      </c>
      <c r="G306" s="407" t="n">
        <v>0.1457929192095115</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Khung OBD 250x250mm</t>
        </is>
      </c>
    </row>
    <row r="307">
      <c r="A307" t="inlineStr">
        <is>
          <t>SW-DIFF-203-OBD-BLADE</t>
        </is>
      </c>
      <c r="B307" t="inlineStr">
        <is>
          <t>SW-DIFF-203</t>
        </is>
      </c>
      <c r="C307" t="inlineStr">
        <is>
          <t>Nan nhôm &amp; thanh truyền van OBD (SOBD)</t>
        </is>
      </c>
      <c r="D307" t="inlineStr">
        <is>
          <t>NHÔM_ĐỊNH_HÌNH</t>
        </is>
      </c>
      <c r="E307" t="inlineStr">
        <is>
          <t>MAT-ALU-NAN-OBD</t>
        </is>
      </c>
      <c r="F307" t="inlineStr">
        <is>
          <t>kg</t>
        </is>
      </c>
      <c r="G307" s="407" t="n">
        <v>0.1492667638965587</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Nan OBD đối xứng &amp; thanh liên kết</t>
        </is>
      </c>
    </row>
    <row r="308">
      <c r="A308" t="inlineStr">
        <is>
          <t>SW-DIFF-203-OBD-ACC</t>
        </is>
      </c>
      <c r="B308" t="inlineStr">
        <is>
          <t>SW-DIFF-203</t>
        </is>
      </c>
      <c r="C308" t="inlineStr">
        <is>
          <t>Bánh răng nhựa &amp; phụ kiện van OBD</t>
        </is>
      </c>
      <c r="D308" t="inlineStr">
        <is>
          <t>PHỤ_KIỆN_CỬA</t>
        </is>
      </c>
      <c r="E308" t="inlineStr">
        <is>
          <t>MAT-DOOR-ACCESSORY</t>
        </is>
      </c>
      <c r="F308" t="inlineStr">
        <is>
          <t>Bộ</t>
        </is>
      </c>
      <c r="G308" s="407" t="n">
        <v>0.6918288344842017</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Cơ cấu bánh răng đóng mở OBD</t>
        </is>
      </c>
    </row>
    <row r="309">
      <c r="A309" t="inlineStr">
        <is>
          <t>SW-DIFF-204-FRAME</t>
        </is>
      </c>
      <c r="B309" t="inlineStr">
        <is>
          <t>SW-DIFF-204</t>
        </is>
      </c>
      <c r="C309" t="inlineStr">
        <is>
          <t>Khung nhôm định hình Louver (SWL)</t>
        </is>
      </c>
      <c r="D309" t="inlineStr">
        <is>
          <t>NHÔM_ĐỊNH_HÌNH</t>
        </is>
      </c>
      <c r="E309" t="inlineStr">
        <is>
          <t>MAT-ALU-KHUNG-Z-2-LOP</t>
        </is>
      </c>
      <c r="F309" t="inlineStr">
        <is>
          <t>kg</t>
        </is>
      </c>
      <c r="G309" s="407" t="n">
        <v>0.2051977401129944</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Khung Louver phủ bì 300x150mm</t>
        </is>
      </c>
    </row>
    <row r="310">
      <c r="A310" t="inlineStr">
        <is>
          <t>SW-DIFF-204-BLADE</t>
        </is>
      </c>
      <c r="B310" t="inlineStr">
        <is>
          <t>SW-DIFF-204</t>
        </is>
      </c>
      <c r="C310" t="inlineStr">
        <is>
          <t>Nan Z Louver &amp; thanh tăng cứng (2 nan)</t>
        </is>
      </c>
      <c r="D310" t="inlineStr">
        <is>
          <t>NHÔM_ĐỊNH_HÌNH</t>
        </is>
      </c>
      <c r="E310" t="inlineStr">
        <is>
          <t>MAT-ALU-NAN-Z-DAY</t>
        </is>
      </c>
      <c r="F310" t="inlineStr">
        <is>
          <t>kg</t>
        </is>
      </c>
      <c r="G310" s="407" t="n">
        <v>0.1311337099811676</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2 nan Z dày @ 0.217kg/m + thanh giằng</t>
        </is>
      </c>
    </row>
    <row r="311">
      <c r="A311" t="inlineStr">
        <is>
          <t>SW-DIFF-204-ACCESSORY</t>
        </is>
      </c>
      <c r="B311" t="inlineStr">
        <is>
          <t>SW-DIFF-204</t>
        </is>
      </c>
      <c r="C311" t="inlineStr">
        <is>
          <t>Phụ kiện lắp ghép / Ke góc cửa gió</t>
        </is>
      </c>
      <c r="D311" t="inlineStr">
        <is>
          <t>PHỤ_KIỆN_CỬA</t>
        </is>
      </c>
      <c r="E311" t="inlineStr">
        <is>
          <t>MAT-DOOR-ACCESSORY</t>
        </is>
      </c>
      <c r="F311" t="inlineStr">
        <is>
          <t>Bộ</t>
        </is>
      </c>
      <c r="G311" s="407" t="n">
        <v>0.8035153797865663</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 góc và vít ghép khung Louver</t>
        </is>
      </c>
    </row>
    <row r="312">
      <c r="A312" t="inlineStr">
        <is>
          <t>SW-DIFF-204-PAINT</t>
        </is>
      </c>
      <c r="B312" t="inlineStr">
        <is>
          <t>SW-DIFF-204</t>
        </is>
      </c>
      <c r="C312" t="inlineStr">
        <is>
          <t>Sơn tĩnh điện tiêu chuẩn Polyester</t>
        </is>
      </c>
      <c r="D312" t="inlineStr">
        <is>
          <t>SƠN_TĨNH_ĐIỆN</t>
        </is>
      </c>
      <c r="E312" t="inlineStr">
        <is>
          <t>MAT-PAINT-POWDER</t>
        </is>
      </c>
      <c r="F312" t="inlineStr">
        <is>
          <t>m2</t>
        </is>
      </c>
      <c r="G312" s="407" t="n">
        <v>0.0954231563088512</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Sơn tĩnh điện khung và nan Louver</t>
        </is>
      </c>
    </row>
    <row r="313">
      <c r="A313" t="inlineStr">
        <is>
          <t>SW-DIFF-204-MESH</t>
        </is>
      </c>
      <c r="B313" t="inlineStr">
        <is>
          <t>SW-DIFF-204</t>
        </is>
      </c>
      <c r="C313" t="inlineStr">
        <is>
          <t>Lưới chắn côn trùng Inox 304 (LCCT)</t>
        </is>
      </c>
      <c r="D313" t="inlineStr">
        <is>
          <t>PHỤ_KIỆN_CỬA</t>
        </is>
      </c>
      <c r="E313" t="inlineStr">
        <is>
          <t>MAT-MESH-INOX-304</t>
        </is>
      </c>
      <c r="F313" t="inlineStr">
        <is>
          <t>m2</t>
        </is>
      </c>
      <c r="G313" s="407" t="n">
        <v>0.0251098556183302</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Lưới chắn côn trùng cổ 250x100mm</t>
        </is>
      </c>
    </row>
    <row r="314">
      <c r="A314" t="inlineStr">
        <is>
          <t>SW-DIFF-205-FRAME</t>
        </is>
      </c>
      <c r="B314" t="inlineStr">
        <is>
          <t>SW-DIFF-205</t>
        </is>
      </c>
      <c r="C314" t="inlineStr">
        <is>
          <t>Khung nhôm định hình Louver (SWL)</t>
        </is>
      </c>
      <c r="D314" t="inlineStr">
        <is>
          <t>NHÔM_ĐỊNH_HÌNH</t>
        </is>
      </c>
      <c r="E314" t="inlineStr">
        <is>
          <t>MAT-ALU-KHUNG-Z-2-LOP</t>
        </is>
      </c>
      <c r="F314" t="inlineStr">
        <is>
          <t>kg</t>
        </is>
      </c>
      <c r="G314" s="407" t="n">
        <v>0.250797237915882</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Khung Louver phủ bì 400x150mm</t>
        </is>
      </c>
    </row>
    <row r="315">
      <c r="A315" t="inlineStr">
        <is>
          <t>SW-DIFF-205-BLADE</t>
        </is>
      </c>
      <c r="B315" t="inlineStr">
        <is>
          <t>SW-DIFF-205</t>
        </is>
      </c>
      <c r="C315" t="inlineStr">
        <is>
          <t>Nan Z Louver &amp; thanh tăng cứng (2 nan)</t>
        </is>
      </c>
      <c r="D315" t="inlineStr">
        <is>
          <t>NHÔM_ĐỊNH_HÌNH</t>
        </is>
      </c>
      <c r="E315" t="inlineStr">
        <is>
          <t>MAT-ALU-NAN-Z-DAY</t>
        </is>
      </c>
      <c r="F315" t="inlineStr">
        <is>
          <t>kg</t>
        </is>
      </c>
      <c r="G315" s="407" t="n">
        <v>0.1747244193345888</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nan Z dày @ 0.217kg/m + thanh giằng</t>
        </is>
      </c>
    </row>
    <row r="316">
      <c r="A316" t="inlineStr">
        <is>
          <t>SW-DIFF-205-ACCESSORY</t>
        </is>
      </c>
      <c r="B316" t="inlineStr">
        <is>
          <t>SW-DIFF-205</t>
        </is>
      </c>
      <c r="C316" t="inlineStr">
        <is>
          <t>Phụ kiện lắp ghép / Ke góc cửa gió</t>
        </is>
      </c>
      <c r="D316" t="inlineStr">
        <is>
          <t>PHỤ_KIỆN_CỬA</t>
        </is>
      </c>
      <c r="E316" t="inlineStr">
        <is>
          <t>MAT-DOOR-ACCESSORY</t>
        </is>
      </c>
      <c r="F316" t="inlineStr">
        <is>
          <t>Bộ</t>
        </is>
      </c>
      <c r="G316" s="407" t="n">
        <v>0.8035153797865663</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Ke góc và vít ghép khung Louver</t>
        </is>
      </c>
    </row>
    <row r="317">
      <c r="A317" t="inlineStr">
        <is>
          <t>SW-DIFF-205-PAINT</t>
        </is>
      </c>
      <c r="B317" t="inlineStr">
        <is>
          <t>SW-DIFF-205</t>
        </is>
      </c>
      <c r="C317" t="inlineStr">
        <is>
          <t>Sơn tĩnh điện tiêu chuẩn Polyester</t>
        </is>
      </c>
      <c r="D317" t="inlineStr">
        <is>
          <t>SƠN_TĨNH_ĐIỆN</t>
        </is>
      </c>
      <c r="E317" t="inlineStr">
        <is>
          <t>MAT-PAINT-POWDER</t>
        </is>
      </c>
      <c r="F317" t="inlineStr">
        <is>
          <t>m2</t>
        </is>
      </c>
      <c r="G317" s="407" t="n">
        <v>0.1228937401129944</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Sơn tĩnh điện khung và nan Louver</t>
        </is>
      </c>
    </row>
    <row r="318">
      <c r="A318" t="inlineStr">
        <is>
          <t>SW-DIFF-205-MESH</t>
        </is>
      </c>
      <c r="B318" t="inlineStr">
        <is>
          <t>SW-DIFF-205</t>
        </is>
      </c>
      <c r="C318" t="inlineStr">
        <is>
          <t>Lưới chắn côn trùng Inox 304 (LCCT)</t>
        </is>
      </c>
      <c r="D318" t="inlineStr">
        <is>
          <t>PHỤ_KIỆN_CỬA</t>
        </is>
      </c>
      <c r="E318" t="inlineStr">
        <is>
          <t>MAT-MESH-INOX-304</t>
        </is>
      </c>
      <c r="F318" t="inlineStr">
        <is>
          <t>m2</t>
        </is>
      </c>
      <c r="G318" s="407" t="n">
        <v>0.03515379786566228</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Lưới chắn côn trùng cổ 350x100mm</t>
        </is>
      </c>
    </row>
    <row r="319">
      <c r="A319" t="inlineStr">
        <is>
          <t>SW-DIFF-206-FRAME</t>
        </is>
      </c>
      <c r="B319" t="inlineStr">
        <is>
          <t>SW-DIFF-206</t>
        </is>
      </c>
      <c r="C319" t="inlineStr">
        <is>
          <t>Khung nhôm định hình Louver (SWL)</t>
        </is>
      </c>
      <c r="D319" t="inlineStr">
        <is>
          <t>NHÔM_ĐỊNH_HÌNH</t>
        </is>
      </c>
      <c r="E319" t="inlineStr">
        <is>
          <t>MAT-ALU-KHUNG-Z-2-LOP</t>
        </is>
      </c>
      <c r="F319" t="inlineStr">
        <is>
          <t>kg</t>
        </is>
      </c>
      <c r="G319" s="407" t="n">
        <v>0.4787947269303202</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Khung Louver phủ bì 800x250mm</t>
        </is>
      </c>
    </row>
    <row r="320">
      <c r="A320" t="inlineStr">
        <is>
          <t>SW-DIFF-206-BLADE</t>
        </is>
      </c>
      <c r="B320" t="inlineStr">
        <is>
          <t>SW-DIFF-206</t>
        </is>
      </c>
      <c r="C320" t="inlineStr">
        <is>
          <t>Nan Z Louver &amp; thanh tăng cứng (4 nan)</t>
        </is>
      </c>
      <c r="D320" t="inlineStr">
        <is>
          <t>NHÔM_ĐỊNH_HÌNH</t>
        </is>
      </c>
      <c r="E320" t="inlineStr">
        <is>
          <t>MAT-ALU-NAN-Z-DAY</t>
        </is>
      </c>
      <c r="F320" t="inlineStr">
        <is>
          <t>kg</t>
        </is>
      </c>
      <c r="G320" s="407" t="n">
        <v>0.6893358443188953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4 nan Z dày @ 0.217kg/m + thanh giằng</t>
        </is>
      </c>
    </row>
    <row r="321">
      <c r="A321" t="inlineStr">
        <is>
          <t>SW-DIFF-206-ACCESSORY</t>
        </is>
      </c>
      <c r="B321" t="inlineStr">
        <is>
          <t>SW-DIFF-206</t>
        </is>
      </c>
      <c r="C321" t="inlineStr">
        <is>
          <t>Phụ kiện lắp ghép / Ke góc cửa gió</t>
        </is>
      </c>
      <c r="D321" t="inlineStr">
        <is>
          <t>PHỤ_KIỆN_CỬA</t>
        </is>
      </c>
      <c r="E321" t="inlineStr">
        <is>
          <t>MAT-DOOR-ACCESSORY</t>
        </is>
      </c>
      <c r="F321" t="inlineStr">
        <is>
          <t>Bộ</t>
        </is>
      </c>
      <c r="G321" s="407" t="n">
        <v>0.8035153797865663</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Ke góc và vít ghép khung Louver</t>
        </is>
      </c>
    </row>
    <row r="322">
      <c r="A322" t="inlineStr">
        <is>
          <t>SW-DIFF-206-PAINT</t>
        </is>
      </c>
      <c r="B322" t="inlineStr">
        <is>
          <t>SW-DIFF-206</t>
        </is>
      </c>
      <c r="C322" t="inlineStr">
        <is>
          <t>Sơn tĩnh điện tiêu chuẩn Polyester</t>
        </is>
      </c>
      <c r="D322" t="inlineStr">
        <is>
          <t>SƠN_TĨNH_ĐIỆN</t>
        </is>
      </c>
      <c r="E322" t="inlineStr">
        <is>
          <t>MAT-PAINT-POWDER</t>
        </is>
      </c>
      <c r="F322" t="inlineStr">
        <is>
          <t>m2</t>
        </is>
      </c>
      <c r="G322" s="407" t="n">
        <v>0.3461726654111739</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Sơn tĩnh điện khung và nan Louver</t>
        </is>
      </c>
    </row>
    <row r="323">
      <c r="A323" t="inlineStr">
        <is>
          <t>SW-DIFF-206-MESH</t>
        </is>
      </c>
      <c r="B323" t="inlineStr">
        <is>
          <t>SW-DIFF-206</t>
        </is>
      </c>
      <c r="C323" t="inlineStr">
        <is>
          <t>Lưới chắn côn trùng Inox 304 (LCCT)</t>
        </is>
      </c>
      <c r="D323" t="inlineStr">
        <is>
          <t>PHỤ_KIỆN_CỬA</t>
        </is>
      </c>
      <c r="E323" t="inlineStr">
        <is>
          <t>MAT-MESH-INOX-304</t>
        </is>
      </c>
      <c r="F323" t="inlineStr">
        <is>
          <t>m2</t>
        </is>
      </c>
      <c r="G323" s="407" t="n">
        <v>0.1506591337099812</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Lưới chắn côn trùng cổ 750x200mm</t>
        </is>
      </c>
    </row>
    <row r="324">
      <c r="A324" t="inlineStr">
        <is>
          <t>SW-DIFF-207-FRAME</t>
        </is>
      </c>
      <c r="B324" t="inlineStr">
        <is>
          <t>SW-DIFF-207</t>
        </is>
      </c>
      <c r="C324" t="inlineStr">
        <is>
          <t>Khung nhôm định hình Louver (SWL)</t>
        </is>
      </c>
      <c r="D324" t="inlineStr">
        <is>
          <t>NHÔM_ĐỊNH_HÌNH</t>
        </is>
      </c>
      <c r="E324" t="inlineStr">
        <is>
          <t>MAT-ALU-KHUNG-Z-2-LOP</t>
        </is>
      </c>
      <c r="F324" t="inlineStr">
        <is>
          <t>kg</t>
        </is>
      </c>
      <c r="G324" s="407" t="n">
        <v>0.7067922159447584</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Khung Louver phủ bì 1200x350mm</t>
        </is>
      </c>
    </row>
    <row r="325">
      <c r="A325" t="inlineStr">
        <is>
          <t>SW-DIFF-207-BLADE</t>
        </is>
      </c>
      <c r="B325" t="inlineStr">
        <is>
          <t>SW-DIFF-207</t>
        </is>
      </c>
      <c r="C325" t="inlineStr">
        <is>
          <t>Nan Z Louver &amp; thanh tăng cứng (7 nan)</t>
        </is>
      </c>
      <c r="D325" t="inlineStr">
        <is>
          <t>NHÔM_ĐỊNH_HÌNH</t>
        </is>
      </c>
      <c r="E325" t="inlineStr">
        <is>
          <t>MAT-ALU-NAN-Z-DAY</t>
        </is>
      </c>
      <c r="F325" t="inlineStr">
        <is>
          <t>kg</t>
        </is>
      </c>
      <c r="G325" s="407" t="n">
        <v>1.801139987445072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7 nan Z dày @ 0.217kg/m + thanh giằng</t>
        </is>
      </c>
    </row>
    <row r="326">
      <c r="A326" t="inlineStr">
        <is>
          <t>SW-DIFF-207-ACCESSORY</t>
        </is>
      </c>
      <c r="B326" t="inlineStr">
        <is>
          <t>SW-DIFF-207</t>
        </is>
      </c>
      <c r="C326" t="inlineStr">
        <is>
          <t>Phụ kiện lắp ghép / Ke góc cửa gió</t>
        </is>
      </c>
      <c r="D326" t="inlineStr">
        <is>
          <t>PHỤ_KIỆN_CỬA</t>
        </is>
      </c>
      <c r="E326" t="inlineStr">
        <is>
          <t>MAT-DOOR-ACCESSORY</t>
        </is>
      </c>
      <c r="F326" t="inlineStr">
        <is>
          <t>Bộ</t>
        </is>
      </c>
      <c r="G326" s="407" t="n">
        <v>0.8035153797865663</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Ke góc và vít ghép khung Louver</t>
        </is>
      </c>
    </row>
    <row r="327">
      <c r="A327" t="inlineStr">
        <is>
          <t>SW-DIFF-207-PAINT</t>
        </is>
      </c>
      <c r="B327" t="inlineStr">
        <is>
          <t>SW-DIFF-207</t>
        </is>
      </c>
      <c r="C327" t="inlineStr">
        <is>
          <t>Sơn tĩnh điện tiêu chuẩn Polyester</t>
        </is>
      </c>
      <c r="D327" t="inlineStr">
        <is>
          <t>SƠN_TĨNH_ĐIỆN</t>
        </is>
      </c>
      <c r="E327" t="inlineStr">
        <is>
          <t>MAT-PAINT-POWDER</t>
        </is>
      </c>
      <c r="F327" t="inlineStr">
        <is>
          <t>m2</t>
        </is>
      </c>
      <c r="G327" s="407" t="n">
        <v>0.7533869478970496</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Sơn tĩnh điện khung và nan Louver</t>
        </is>
      </c>
    </row>
    <row r="328">
      <c r="A328" t="inlineStr">
        <is>
          <t>SW-DIFF-207-MESH</t>
        </is>
      </c>
      <c r="B328" t="inlineStr">
        <is>
          <t>SW-DIFF-207</t>
        </is>
      </c>
      <c r="C328" t="inlineStr">
        <is>
          <t>Lưới chắn côn trùng Inox 304 (LCCT)</t>
        </is>
      </c>
      <c r="D328" t="inlineStr">
        <is>
          <t>PHỤ_KIỆN_CỬA</t>
        </is>
      </c>
      <c r="E328" t="inlineStr">
        <is>
          <t>MAT-MESH-INOX-304</t>
        </is>
      </c>
      <c r="F328" t="inlineStr">
        <is>
          <t>m2</t>
        </is>
      </c>
      <c r="G328" s="407" t="n">
        <v>0.3465160075329567</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Lưới chắn côn trùng cổ 1150x300mm</t>
        </is>
      </c>
    </row>
    <row r="329">
      <c r="A329" t="inlineStr">
        <is>
          <t>SW-DIFF-208-FRAME</t>
        </is>
      </c>
      <c r="B329" t="inlineStr">
        <is>
          <t>SW-DIFF-208</t>
        </is>
      </c>
      <c r="C329" t="inlineStr">
        <is>
          <t>Khung nhôm định hình Louver (SWL)</t>
        </is>
      </c>
      <c r="D329" t="inlineStr">
        <is>
          <t>NHÔM_ĐỊNH_HÌNH</t>
        </is>
      </c>
      <c r="E329" t="inlineStr">
        <is>
          <t>MAT-ALU-KHUNG-Z-2-LOP</t>
        </is>
      </c>
      <c r="F329" t="inlineStr">
        <is>
          <t>kg</t>
        </is>
      </c>
      <c r="G329" s="407" t="n">
        <v>0.5927934714375394</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Khung Louver phủ bì 1000x300mm</t>
        </is>
      </c>
    </row>
    <row r="330">
      <c r="A330" t="inlineStr">
        <is>
          <t>SW-DIFF-208-BLADE</t>
        </is>
      </c>
      <c r="B330" t="inlineStr">
        <is>
          <t>SW-DIFF-208</t>
        </is>
      </c>
      <c r="C330" t="inlineStr">
        <is>
          <t>Nan Z Louver &amp; thanh tăng cứng (6 nan)</t>
        </is>
      </c>
      <c r="D330" t="inlineStr">
        <is>
          <t>NHÔM_ĐỊNH_HÌNH</t>
        </is>
      </c>
      <c r="E330" t="inlineStr">
        <is>
          <t>MAT-ALU-NAN-Z-DAY</t>
        </is>
      </c>
      <c r="F330" t="inlineStr">
        <is>
          <t>kg</t>
        </is>
      </c>
      <c r="G330" s="407" t="n">
        <v>1.282290018832392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6 nan Z dày @ 0.217kg/m + thanh giằng</t>
        </is>
      </c>
    </row>
    <row r="331">
      <c r="A331" t="inlineStr">
        <is>
          <t>SW-DIFF-208-ACCESSORY</t>
        </is>
      </c>
      <c r="B331" t="inlineStr">
        <is>
          <t>SW-DIFF-208</t>
        </is>
      </c>
      <c r="C331" t="inlineStr">
        <is>
          <t>Phụ kiện lắp ghép / Ke góc cửa gió</t>
        </is>
      </c>
      <c r="D331" t="inlineStr">
        <is>
          <t>PHỤ_KIỆN_CỬA</t>
        </is>
      </c>
      <c r="E331" t="inlineStr">
        <is>
          <t>MAT-DOOR-ACCESSORY</t>
        </is>
      </c>
      <c r="F331" t="inlineStr">
        <is>
          <t>Bộ</t>
        </is>
      </c>
      <c r="G331" s="407" t="n">
        <v>0.8035153797865663</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Ke góc và vít ghép khung Louver</t>
        </is>
      </c>
    </row>
    <row r="332">
      <c r="A332" t="inlineStr">
        <is>
          <t>SW-DIFF-208-PAINT</t>
        </is>
      </c>
      <c r="B332" t="inlineStr">
        <is>
          <t>SW-DIFF-208</t>
        </is>
      </c>
      <c r="C332" t="inlineStr">
        <is>
          <t>Sơn tĩnh điện tiêu chuẩn Polyester</t>
        </is>
      </c>
      <c r="D332" t="inlineStr">
        <is>
          <t>SƠN_TĨNH_ĐIỆN</t>
        </is>
      </c>
      <c r="E332" t="inlineStr">
        <is>
          <t>MAT-PAINT-POWDER</t>
        </is>
      </c>
      <c r="F332" t="inlineStr">
        <is>
          <t>m2</t>
        </is>
      </c>
      <c r="G332" s="407" t="n">
        <v>0.5611918543628375</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Sơn tĩnh điện khung và nan Louver</t>
        </is>
      </c>
    </row>
    <row r="333">
      <c r="A333" t="inlineStr">
        <is>
          <t>SW-DIFF-208-MESH</t>
        </is>
      </c>
      <c r="B333" t="inlineStr">
        <is>
          <t>SW-DIFF-208</t>
        </is>
      </c>
      <c r="C333" t="inlineStr">
        <is>
          <t>Lưới chắn côn trùng Inox 304 (LCCT)</t>
        </is>
      </c>
      <c r="D333" t="inlineStr">
        <is>
          <t>PHỤ_KIỆN_CỬA</t>
        </is>
      </c>
      <c r="E333" t="inlineStr">
        <is>
          <t>MAT-MESH-INOX-304</t>
        </is>
      </c>
      <c r="F333" t="inlineStr">
        <is>
          <t>m2</t>
        </is>
      </c>
      <c r="G333" s="407" t="n">
        <v>0.2385436283741368</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Lưới chắn côn trùng cổ 950x250mm</t>
        </is>
      </c>
    </row>
    <row r="334">
      <c r="A334" t="inlineStr">
        <is>
          <t>SW-DIFF-209-FRAME</t>
        </is>
      </c>
      <c r="B334" t="inlineStr">
        <is>
          <t>SW-DIFF-209</t>
        </is>
      </c>
      <c r="C334" t="inlineStr">
        <is>
          <t>Khung nhôm định hình Louver (SWL)</t>
        </is>
      </c>
      <c r="D334" t="inlineStr">
        <is>
          <t>NHÔM_ĐỊNH_HÌNH</t>
        </is>
      </c>
      <c r="E334" t="inlineStr">
        <is>
          <t>MAT-ALU-KHUNG-Z-2-LOP</t>
        </is>
      </c>
      <c r="F334" t="inlineStr">
        <is>
          <t>kg</t>
        </is>
      </c>
      <c r="G334" s="407" t="n">
        <v>0.5015944758317641</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Khung Louver phủ bì 800x300mm</t>
        </is>
      </c>
    </row>
    <row r="335">
      <c r="A335" t="inlineStr">
        <is>
          <t>SW-DIFF-209-BLADE</t>
        </is>
      </c>
      <c r="B335" t="inlineStr">
        <is>
          <t>SW-DIFF-209</t>
        </is>
      </c>
      <c r="C335" t="inlineStr">
        <is>
          <t>Nan Z Louver &amp; thanh tăng cứng (6 nan)</t>
        </is>
      </c>
      <c r="D335" t="inlineStr">
        <is>
          <t>NHÔM_ĐỊNH_HÌNH</t>
        </is>
      </c>
      <c r="E335" t="inlineStr">
        <is>
          <t>MAT-ALU-NAN-Z-DAY</t>
        </is>
      </c>
      <c r="F335" t="inlineStr">
        <is>
          <t>kg</t>
        </is>
      </c>
      <c r="G335" s="407" t="n">
        <v>1.020745762711864</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6 nan Z dày @ 0.217kg/m + thanh giằng</t>
        </is>
      </c>
    </row>
    <row r="336">
      <c r="A336" t="inlineStr">
        <is>
          <t>SW-DIFF-209-ACCESSORY</t>
        </is>
      </c>
      <c r="B336" t="inlineStr">
        <is>
          <t>SW-DIFF-209</t>
        </is>
      </c>
      <c r="C336" t="inlineStr">
        <is>
          <t>Phụ kiện lắp ghép / Ke góc cửa gió</t>
        </is>
      </c>
      <c r="D336" t="inlineStr">
        <is>
          <t>PHỤ_KIỆN_CỬA</t>
        </is>
      </c>
      <c r="E336" t="inlineStr">
        <is>
          <t>MAT-DOOR-ACCESSORY</t>
        </is>
      </c>
      <c r="F336" t="inlineStr">
        <is>
          <t>Bộ</t>
        </is>
      </c>
      <c r="G336" s="407" t="n">
        <v>0.8035153797865663</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Ke góc và vít ghép khung Louver</t>
        </is>
      </c>
    </row>
    <row r="337">
      <c r="A337" t="inlineStr">
        <is>
          <t>SW-DIFF-209-PAINT</t>
        </is>
      </c>
      <c r="B337" t="inlineStr">
        <is>
          <t>SW-DIFF-209</t>
        </is>
      </c>
      <c r="C337" t="inlineStr">
        <is>
          <t>Sơn tĩnh điện tiêu chuẩn Polyester</t>
        </is>
      </c>
      <c r="D337" t="inlineStr">
        <is>
          <t>SƠN_TĨNH_ĐIỆN</t>
        </is>
      </c>
      <c r="E337" t="inlineStr">
        <is>
          <t>MAT-PAINT-POWDER</t>
        </is>
      </c>
      <c r="F337" t="inlineStr">
        <is>
          <t>m2</t>
        </is>
      </c>
      <c r="G337" s="407" t="n">
        <v>0.4525469328311362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Sơn tĩnh điện khung và nan Louver</t>
        </is>
      </c>
    </row>
    <row r="338">
      <c r="A338" t="inlineStr">
        <is>
          <t>SW-DIFF-209-MESH</t>
        </is>
      </c>
      <c r="B338" t="inlineStr">
        <is>
          <t>SW-DIFF-209</t>
        </is>
      </c>
      <c r="C338" t="inlineStr">
        <is>
          <t>Lưới chắn côn trùng Inox 304 (LCCT)</t>
        </is>
      </c>
      <c r="D338" t="inlineStr">
        <is>
          <t>PHỤ_KIỆN_CỬA</t>
        </is>
      </c>
      <c r="E338" t="inlineStr">
        <is>
          <t>MAT-MESH-INOX-304</t>
        </is>
      </c>
      <c r="F338" t="inlineStr">
        <is>
          <t>m2</t>
        </is>
      </c>
      <c r="G338" s="407" t="n">
        <v>0.1883239171374765</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Lưới chắn côn trùng cổ 750x250mm</t>
        </is>
      </c>
    </row>
    <row r="339">
      <c r="A339" t="inlineStr">
        <is>
          <t>SW-DIFF-210-FRAME</t>
        </is>
      </c>
      <c r="B339" t="inlineStr">
        <is>
          <t>SW-DIFF-210</t>
        </is>
      </c>
      <c r="C339" t="inlineStr">
        <is>
          <t>Khung nhôm định hình Louver (SWL)</t>
        </is>
      </c>
      <c r="D339" t="inlineStr">
        <is>
          <t>NHÔM_ĐỊNH_HÌNH</t>
        </is>
      </c>
      <c r="E339" t="inlineStr">
        <is>
          <t>MAT-ALU-KHUNG-Z-2-LOP</t>
        </is>
      </c>
      <c r="F339" t="inlineStr">
        <is>
          <t>kg</t>
        </is>
      </c>
      <c r="G339" s="407" t="n">
        <v>0.2735969868173259</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Louver phủ bì 400x200mm</t>
        </is>
      </c>
    </row>
    <row r="340">
      <c r="A340" t="inlineStr">
        <is>
          <t>SW-DIFF-210-BLADE</t>
        </is>
      </c>
      <c r="B340" t="inlineStr">
        <is>
          <t>SW-DIFF-210</t>
        </is>
      </c>
      <c r="C340" t="inlineStr">
        <is>
          <t>Nan Z Louver &amp; thanh tăng cứng (3 nan)</t>
        </is>
      </c>
      <c r="D340" t="inlineStr">
        <is>
          <t>NHÔM_ĐỊNH_HÌNH</t>
        </is>
      </c>
      <c r="E340" t="inlineStr">
        <is>
          <t>MAT-ALU-NAN-Z-DAY</t>
        </is>
      </c>
      <c r="F340" t="inlineStr">
        <is>
          <t>kg</t>
        </is>
      </c>
      <c r="G340" s="407" t="n">
        <v>0.2576672944130571</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3 nan Z dày @ 0.217kg/m + thanh giằng</t>
        </is>
      </c>
    </row>
    <row r="341">
      <c r="A341" t="inlineStr">
        <is>
          <t>SW-DIFF-210-ACCESSORY</t>
        </is>
      </c>
      <c r="B341" t="inlineStr">
        <is>
          <t>SW-DIFF-210</t>
        </is>
      </c>
      <c r="C341" t="inlineStr">
        <is>
          <t>Phụ kiện lắp ghép / Ke góc cửa gió</t>
        </is>
      </c>
      <c r="D341" t="inlineStr">
        <is>
          <t>PHỤ_KIỆN_CỬA</t>
        </is>
      </c>
      <c r="E341" t="inlineStr">
        <is>
          <t>MAT-DOOR-ACCESSORY</t>
        </is>
      </c>
      <c r="F341" t="inlineStr">
        <is>
          <t>Bộ</t>
        </is>
      </c>
      <c r="G341" s="407" t="n">
        <v>0.8035153797865663</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và vít ghép khung Louver</t>
        </is>
      </c>
    </row>
    <row r="342">
      <c r="A342" t="inlineStr">
        <is>
          <t>SW-DIFF-210-PAINT</t>
        </is>
      </c>
      <c r="B342" t="inlineStr">
        <is>
          <t>SW-DIFF-210</t>
        </is>
      </c>
      <c r="C342" t="inlineStr">
        <is>
          <t>Sơn tĩnh điện tiêu chuẩn Polyester</t>
        </is>
      </c>
      <c r="D342" t="inlineStr">
        <is>
          <t>SƠN_TĨNH_ĐIỆN</t>
        </is>
      </c>
      <c r="E342" t="inlineStr">
        <is>
          <t>MAT-PAINT-POWDER</t>
        </is>
      </c>
      <c r="F342" t="inlineStr">
        <is>
          <t>m2</t>
        </is>
      </c>
      <c r="G342" s="407" t="n">
        <v>0.1527401581920904</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và nan Louver</t>
        </is>
      </c>
    </row>
    <row r="343">
      <c r="A343" t="inlineStr">
        <is>
          <t>SW-DIFF-210-MESH</t>
        </is>
      </c>
      <c r="B343" t="inlineStr">
        <is>
          <t>SW-DIFF-210</t>
        </is>
      </c>
      <c r="C343" t="inlineStr">
        <is>
          <t>Lưới chắn côn trùng Inox 304 (LCCT)</t>
        </is>
      </c>
      <c r="D343" t="inlineStr">
        <is>
          <t>PHỤ_KIỆN_CỬA</t>
        </is>
      </c>
      <c r="E343" t="inlineStr">
        <is>
          <t>MAT-MESH-INOX-304</t>
        </is>
      </c>
      <c r="F343" t="inlineStr">
        <is>
          <t>m2</t>
        </is>
      </c>
      <c r="G343" s="407" t="n">
        <v>0.05273069679849341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Lưới chắn côn trùng cổ 350x150mm</t>
        </is>
      </c>
    </row>
    <row r="344">
      <c r="A344" t="inlineStr">
        <is>
          <t>SW-DIFF-211-FRAME</t>
        </is>
      </c>
      <c r="B344" t="inlineStr">
        <is>
          <t>SW-DIFF-211</t>
        </is>
      </c>
      <c r="C344" t="inlineStr">
        <is>
          <t>Khung nhôm định hình Louver (SWL)</t>
        </is>
      </c>
      <c r="D344" t="inlineStr">
        <is>
          <t>NHÔM_ĐỊNH_HÌNH</t>
        </is>
      </c>
      <c r="E344" t="inlineStr">
        <is>
          <t>MAT-ALU-KHUNG-Z-2-LOP</t>
        </is>
      </c>
      <c r="F344" t="inlineStr">
        <is>
          <t>kg</t>
        </is>
      </c>
      <c r="G344" s="407" t="n">
        <v>0.2279974890144382</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Khung Louver phủ bì 300x200mm</t>
        </is>
      </c>
    </row>
    <row r="345">
      <c r="A345" t="inlineStr">
        <is>
          <t>SW-DIFF-211-BLADE</t>
        </is>
      </c>
      <c r="B345" t="inlineStr">
        <is>
          <t>SW-DIFF-211</t>
        </is>
      </c>
      <c r="C345" t="inlineStr">
        <is>
          <t>Nan Z Louver &amp; thanh tăng cứng (3 nan)</t>
        </is>
      </c>
      <c r="D345" t="inlineStr">
        <is>
          <t>NHÔM_ĐỊNH_HÌNH</t>
        </is>
      </c>
      <c r="E345" t="inlineStr">
        <is>
          <t>MAT-ALU-NAN-Z-DAY</t>
        </is>
      </c>
      <c r="F345" t="inlineStr">
        <is>
          <t>kg</t>
        </is>
      </c>
      <c r="G345" s="407" t="n">
        <v>0.1922812303829253</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3 nan Z dày @ 0.217kg/m + thanh giằng</t>
        </is>
      </c>
    </row>
    <row r="346">
      <c r="A346" t="inlineStr">
        <is>
          <t>SW-DIFF-211-ACCESSORY</t>
        </is>
      </c>
      <c r="B346" t="inlineStr">
        <is>
          <t>SW-DIFF-211</t>
        </is>
      </c>
      <c r="C346" t="inlineStr">
        <is>
          <t>Phụ kiện lắp ghép / Ke góc cửa gió</t>
        </is>
      </c>
      <c r="D346" t="inlineStr">
        <is>
          <t>PHỤ_KIỆN_CỬA</t>
        </is>
      </c>
      <c r="E346" t="inlineStr">
        <is>
          <t>MAT-DOOR-ACCESSORY</t>
        </is>
      </c>
      <c r="F346" t="inlineStr">
        <is>
          <t>Bộ</t>
        </is>
      </c>
      <c r="G346" s="407" t="n">
        <v>0.8035153797865663</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Ke góc và vít ghép khung Louver</t>
        </is>
      </c>
    </row>
    <row r="347">
      <c r="A347" t="inlineStr">
        <is>
          <t>SW-DIFF-211-PAINT</t>
        </is>
      </c>
      <c r="B347" t="inlineStr">
        <is>
          <t>SW-DIFF-211</t>
        </is>
      </c>
      <c r="C347" t="inlineStr">
        <is>
          <t>Sơn tĩnh điện tiêu chuẩn Polyester</t>
        </is>
      </c>
      <c r="D347" t="inlineStr">
        <is>
          <t>SƠN_TĨNH_ĐIỆN</t>
        </is>
      </c>
      <c r="E347" t="inlineStr">
        <is>
          <t>MAT-PAINT-POWDER</t>
        </is>
      </c>
      <c r="F347" t="inlineStr">
        <is>
          <t>m2</t>
        </is>
      </c>
      <c r="G347" s="407" t="n">
        <v>0.1185566051475204</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Sơn tĩnh điện khung và nan Louver</t>
        </is>
      </c>
    </row>
    <row r="348">
      <c r="A348" t="inlineStr">
        <is>
          <t>SW-DIFF-211-MESH</t>
        </is>
      </c>
      <c r="B348" t="inlineStr">
        <is>
          <t>SW-DIFF-211</t>
        </is>
      </c>
      <c r="C348" t="inlineStr">
        <is>
          <t>Lưới chắn côn trùng Inox 304 (LCCT)</t>
        </is>
      </c>
      <c r="D348" t="inlineStr">
        <is>
          <t>PHỤ_KIỆN_CỬA</t>
        </is>
      </c>
      <c r="E348" t="inlineStr">
        <is>
          <t>MAT-MESH-INOX-304</t>
        </is>
      </c>
      <c r="F348" t="inlineStr">
        <is>
          <t>m2</t>
        </is>
      </c>
      <c r="G348" s="407" t="n">
        <v>0.03766478342749529</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Lưới chắn côn trùng cổ 250x150mm</t>
        </is>
      </c>
    </row>
    <row r="349">
      <c r="A349" t="inlineStr">
        <is>
          <t>SW-DIFF-212-FRAME</t>
        </is>
      </c>
      <c r="B349" t="inlineStr">
        <is>
          <t>SW-DIFF-212</t>
        </is>
      </c>
      <c r="C349" t="inlineStr">
        <is>
          <t>Khung nhôm định hình Louver (SWL)</t>
        </is>
      </c>
      <c r="D349" t="inlineStr">
        <is>
          <t>NHÔM_ĐỊNH_HÌNH</t>
        </is>
      </c>
      <c r="E349" t="inlineStr">
        <is>
          <t>MAT-ALU-KHUNG-Z-2-LOP</t>
        </is>
      </c>
      <c r="F349" t="inlineStr">
        <is>
          <t>kg</t>
        </is>
      </c>
      <c r="G349" s="407" t="n">
        <v>0.8435907093534214</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Khung Louver phủ bì 1200x650mm</t>
        </is>
      </c>
    </row>
    <row r="350">
      <c r="A350" t="inlineStr">
        <is>
          <t>SW-DIFF-212-BLADE</t>
        </is>
      </c>
      <c r="B350" t="inlineStr">
        <is>
          <t>SW-DIFF-212</t>
        </is>
      </c>
      <c r="C350" t="inlineStr">
        <is>
          <t>Nan Z Louver &amp; thanh tăng cứng (13 nan)</t>
        </is>
      </c>
      <c r="D350" t="inlineStr">
        <is>
          <t>NHÔM_ĐỊNH_HÌNH</t>
        </is>
      </c>
      <c r="E350" t="inlineStr">
        <is>
          <t>MAT-ALU-NAN-Z-DAY</t>
        </is>
      </c>
      <c r="F350" t="inlineStr">
        <is>
          <t>kg</t>
        </is>
      </c>
      <c r="G350" s="407" t="n">
        <v>3.344974262397991</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13 nan Z dày @ 0.217kg/m + thanh giằng</t>
        </is>
      </c>
    </row>
    <row r="351">
      <c r="A351" t="inlineStr">
        <is>
          <t>SW-DIFF-212-ACCESSORY</t>
        </is>
      </c>
      <c r="B351" t="inlineStr">
        <is>
          <t>SW-DIFF-212</t>
        </is>
      </c>
      <c r="C351" t="inlineStr">
        <is>
          <t>Phụ kiện lắp ghép / Ke góc cửa gió</t>
        </is>
      </c>
      <c r="D351" t="inlineStr">
        <is>
          <t>PHỤ_KIỆN_CỬA</t>
        </is>
      </c>
      <c r="E351" t="inlineStr">
        <is>
          <t>MAT-DOOR-ACCESSORY</t>
        </is>
      </c>
      <c r="F351" t="inlineStr">
        <is>
          <t>Bộ</t>
        </is>
      </c>
      <c r="G351" s="407" t="n">
        <v>0.8035153797865663</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Ke góc và vít ghép khung Louver</t>
        </is>
      </c>
    </row>
    <row r="352">
      <c r="A352" t="inlineStr">
        <is>
          <t>SW-DIFF-212-PAINT</t>
        </is>
      </c>
      <c r="B352" t="inlineStr">
        <is>
          <t>SW-DIFF-212</t>
        </is>
      </c>
      <c r="C352" t="inlineStr">
        <is>
          <t>Sơn tĩnh điện tiêu chuẩn Polyester</t>
        </is>
      </c>
      <c r="D352" t="inlineStr">
        <is>
          <t>SƠN_TĨNH_ĐIỆN</t>
        </is>
      </c>
      <c r="E352" t="inlineStr">
        <is>
          <t>MAT-PAINT-POWDER</t>
        </is>
      </c>
      <c r="F352" t="inlineStr">
        <is>
          <t>m2</t>
        </is>
      </c>
      <c r="G352" s="407" t="n">
        <v>1.254687979912115</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Sơn tĩnh điện khung và nan Louver</t>
        </is>
      </c>
    </row>
    <row r="353">
      <c r="A353" t="inlineStr">
        <is>
          <t>SW-DIFF-212-MESH</t>
        </is>
      </c>
      <c r="B353" t="inlineStr">
        <is>
          <t>SW-DIFF-212</t>
        </is>
      </c>
      <c r="C353" t="inlineStr">
        <is>
          <t>Lưới chắn côn trùng Inox 304 (LCCT)</t>
        </is>
      </c>
      <c r="D353" t="inlineStr">
        <is>
          <t>PHỤ_KIỆN_CỬA</t>
        </is>
      </c>
      <c r="E353" t="inlineStr">
        <is>
          <t>MAT-MESH-INOX-304</t>
        </is>
      </c>
      <c r="F353" t="inlineStr">
        <is>
          <t>m2</t>
        </is>
      </c>
      <c r="G353" s="407" t="n">
        <v>0.6930320150659134</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Lưới chắn côn trùng cổ 1150x600mm</t>
        </is>
      </c>
    </row>
    <row r="354">
      <c r="A354" t="inlineStr">
        <is>
          <t>SW-DIFF-230-FRAME</t>
        </is>
      </c>
      <c r="B354" t="inlineStr">
        <is>
          <t>SW-DIFF-230</t>
        </is>
      </c>
      <c r="C354" t="inlineStr">
        <is>
          <t>Khung nhôm cửa khuếch tán (SCD)</t>
        </is>
      </c>
      <c r="D354" t="inlineStr">
        <is>
          <t>NHÔM_ĐỊNH_HÌNH</t>
        </is>
      </c>
      <c r="E354" t="inlineStr">
        <is>
          <t>MAT-ALU-KHUNG-BD</t>
        </is>
      </c>
      <c r="F354" t="inlineStr">
        <is>
          <t>kg</t>
        </is>
      </c>
      <c r="G354" s="407" t="n">
        <v>0.9230203008</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Khung khuếch tán 600x600mm (cổ 450x450mm)</t>
        </is>
      </c>
    </row>
    <row r="355">
      <c r="A355" t="inlineStr">
        <is>
          <t>SW-DIFF-230-BLADE</t>
        </is>
      </c>
      <c r="B355" t="inlineStr">
        <is>
          <t>SW-DIFF-230</t>
        </is>
      </c>
      <c r="C355" t="inlineStr">
        <is>
          <t>Chao nhôm khuếch tán (5 chao)</t>
        </is>
      </c>
      <c r="D355" t="inlineStr">
        <is>
          <t>NHÔM_ĐỊNH_HÌNH</t>
        </is>
      </c>
      <c r="E355" t="inlineStr">
        <is>
          <t>MAT-ALU-NAN-T</t>
        </is>
      </c>
      <c r="F355" t="inlineStr">
        <is>
          <t>kg</t>
        </is>
      </c>
      <c r="G355" s="407" t="n">
        <v>0.239174</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5 lớp chao khuếch tán</t>
        </is>
      </c>
    </row>
    <row r="356">
      <c r="A356" t="inlineStr">
        <is>
          <t>SW-DIFF-230-ACCESSORY</t>
        </is>
      </c>
      <c r="B356" t="inlineStr">
        <is>
          <t>SW-DIFF-230</t>
        </is>
      </c>
      <c r="C356" t="inlineStr">
        <is>
          <t>Phụ kiện lắp ghép / Ke góc cửa gió</t>
        </is>
      </c>
      <c r="D356" t="inlineStr">
        <is>
          <t>PHỤ_KIỆN_CỬA</t>
        </is>
      </c>
      <c r="E356" t="inlineStr">
        <is>
          <t>MAT-DOOR-ACCESSORY</t>
        </is>
      </c>
      <c r="F356" t="inlineStr">
        <is>
          <t>Bộ</t>
        </is>
      </c>
      <c r="G356" s="407" t="n">
        <v>1.913392</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Ke góc và chốt tháo lắp lõi khuếch tán</t>
        </is>
      </c>
    </row>
    <row r="357">
      <c r="A357" t="inlineStr">
        <is>
          <t>SW-DIFF-230-PAINT</t>
        </is>
      </c>
      <c r="B357" t="inlineStr">
        <is>
          <t>SW-DIFF-230</t>
        </is>
      </c>
      <c r="C357" t="inlineStr">
        <is>
          <t>Sơn tĩnh điện tiêu chuẩn Polyester</t>
        </is>
      </c>
      <c r="D357" t="inlineStr">
        <is>
          <t>SƠN_TĨNH_ĐIỆN</t>
        </is>
      </c>
      <c r="E357" t="inlineStr">
        <is>
          <t>MAT-PAINT-POWDER</t>
        </is>
      </c>
      <c r="F357" t="inlineStr">
        <is>
          <t>m2</t>
        </is>
      </c>
      <c r="G357" s="407" t="n">
        <v>0.3579558446464</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Sơn tĩnh điện hoàn thiện</t>
        </is>
      </c>
    </row>
    <row r="358">
      <c r="A358" t="inlineStr">
        <is>
          <t>SW-DIFF-230-OBD-FRAME</t>
        </is>
      </c>
      <c r="B358" t="inlineStr">
        <is>
          <t>SW-DIFF-230</t>
        </is>
      </c>
      <c r="C358" t="inlineStr">
        <is>
          <t>Khung nhôm van OBD gắn cửa (SOBD)</t>
        </is>
      </c>
      <c r="D358" t="inlineStr">
        <is>
          <t>NHÔM_ĐỊNH_HÌNH</t>
        </is>
      </c>
      <c r="E358" t="inlineStr">
        <is>
          <t>MAT-ALU-KHUNG-OBD</t>
        </is>
      </c>
      <c r="F358" t="inlineStr">
        <is>
          <t>kg</t>
        </is>
      </c>
      <c r="G358" s="407" t="n">
        <v>0.2624272545771207</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Khung OBD 450x450mm</t>
        </is>
      </c>
    </row>
    <row r="359">
      <c r="A359" t="inlineStr">
        <is>
          <t>SW-DIFF-230-OBD-BLADE</t>
        </is>
      </c>
      <c r="B359" t="inlineStr">
        <is>
          <t>SW-DIFF-230</t>
        </is>
      </c>
      <c r="C359" t="inlineStr">
        <is>
          <t>Nan nhôm &amp; thanh truyền van OBD (SOBD)</t>
        </is>
      </c>
      <c r="D359" t="inlineStr">
        <is>
          <t>NHÔM_ĐỊNH_HÌNH</t>
        </is>
      </c>
      <c r="E359" t="inlineStr">
        <is>
          <t>MAT-ALU-NAN-OBD</t>
        </is>
      </c>
      <c r="F359" t="inlineStr">
        <is>
          <t>kg</t>
        </is>
      </c>
      <c r="G359" s="407" t="n">
        <v>0.4836243150248503</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Nan OBD đối xứng &amp; thanh liên kết</t>
        </is>
      </c>
    </row>
    <row r="360">
      <c r="A360" t="inlineStr">
        <is>
          <t>SW-DIFF-230-OBD-ACC</t>
        </is>
      </c>
      <c r="B360" t="inlineStr">
        <is>
          <t>SW-DIFF-230</t>
        </is>
      </c>
      <c r="C360" t="inlineStr">
        <is>
          <t>Bánh răng nhựa &amp; phụ kiện van OBD</t>
        </is>
      </c>
      <c r="D360" t="inlineStr">
        <is>
          <t>PHỤ_KIỆN_CỬA</t>
        </is>
      </c>
      <c r="E360" t="inlineStr">
        <is>
          <t>MAT-DOOR-ACCESSORY</t>
        </is>
      </c>
      <c r="F360" t="inlineStr">
        <is>
          <t>Bộ</t>
        </is>
      </c>
      <c r="G360" s="407" t="n">
        <v>1.052783008997698</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bánh răng đóng mở OBD</t>
        </is>
      </c>
    </row>
    <row r="361">
      <c r="A361" t="inlineStr">
        <is>
          <t>SW-DIFF-231-FRAME</t>
        </is>
      </c>
      <c r="B361" t="inlineStr">
        <is>
          <t>SW-DIFF-231</t>
        </is>
      </c>
      <c r="C361" t="inlineStr">
        <is>
          <t>Khung nhôm định hình (1 lớp BD)</t>
        </is>
      </c>
      <c r="D361" t="inlineStr">
        <is>
          <t>NHÔM_ĐỊNH_HÌNH</t>
        </is>
      </c>
      <c r="E361" t="inlineStr">
        <is>
          <t>MAT-ALU-KHUNG-BD</t>
        </is>
      </c>
      <c r="F361" t="inlineStr">
        <is>
          <t>kg</t>
        </is>
      </c>
      <c r="G361" s="407" t="n">
        <v>0.527705537121733</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Khung bao 600x600mm (cổ 550x550mm)</t>
        </is>
      </c>
    </row>
    <row r="362">
      <c r="A362" t="inlineStr">
        <is>
          <t>SW-DIFF-231-BLADE</t>
        </is>
      </c>
      <c r="B362" t="inlineStr">
        <is>
          <t>SW-DIFF-231</t>
        </is>
      </c>
      <c r="C362" t="inlineStr">
        <is>
          <t>Nan nhôm bầu dục (27 nan)</t>
        </is>
      </c>
      <c r="D362" t="inlineStr">
        <is>
          <t>NHÔM_ĐỊNH_HÌNH</t>
        </is>
      </c>
      <c r="E362" t="inlineStr">
        <is>
          <t>MAT-ALU-NAN-BD</t>
        </is>
      </c>
      <c r="F362" t="inlineStr">
        <is>
          <t>kg</t>
        </is>
      </c>
      <c r="G362" s="407" t="n">
        <v>0.8582189938122143</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Nan bầu dục @ 0.058kg/m</t>
        </is>
      </c>
    </row>
    <row r="363">
      <c r="A363" t="inlineStr">
        <is>
          <t>SW-DIFF-231-ACCESSORY</t>
        </is>
      </c>
      <c r="B363" t="inlineStr">
        <is>
          <t>SW-DIFF-231</t>
        </is>
      </c>
      <c r="C363" t="inlineStr">
        <is>
          <t>Phụ kiện lắp ghép / Ke góc cửa gió</t>
        </is>
      </c>
      <c r="D363" t="inlineStr">
        <is>
          <t>PHỤ_KIỆN_CỬA</t>
        </is>
      </c>
      <c r="E363" t="inlineStr">
        <is>
          <t>MAT-DOOR-ACCESSORY</t>
        </is>
      </c>
      <c r="F363" t="inlineStr">
        <is>
          <t>Bộ</t>
        </is>
      </c>
      <c r="G363" s="407" t="n">
        <v>0.1200564971751412</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4 ke góc chìm và vít ghép khung</t>
        </is>
      </c>
    </row>
    <row r="364">
      <c r="A364" t="inlineStr">
        <is>
          <t>SW-DIFF-231-PAINT</t>
        </is>
      </c>
      <c r="B364" t="inlineStr">
        <is>
          <t>SW-DIFF-231</t>
        </is>
      </c>
      <c r="C364" t="inlineStr">
        <is>
          <t>Sơn tĩnh điện tiêu chuẩn Polyester</t>
        </is>
      </c>
      <c r="D364" t="inlineStr">
        <is>
          <t>SƠN_TĨNH_ĐIỆN</t>
        </is>
      </c>
      <c r="E364" t="inlineStr">
        <is>
          <t>MAT-PAINT-POWDER</t>
        </is>
      </c>
      <c r="F364" t="inlineStr">
        <is>
          <t>m2</t>
        </is>
      </c>
      <c r="G364" s="407" t="n">
        <v>0.2910441514961289</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Sơn tĩnh điện hoàn thiện</t>
        </is>
      </c>
    </row>
    <row r="365">
      <c r="A365" t="inlineStr">
        <is>
          <t>SW-DIFF-231-OBD-FRAME</t>
        </is>
      </c>
      <c r="B365" t="inlineStr">
        <is>
          <t>SW-DIFF-231</t>
        </is>
      </c>
      <c r="C365" t="inlineStr">
        <is>
          <t>Khung nhôm van OBD gắn cửa (SOBD)</t>
        </is>
      </c>
      <c r="D365" t="inlineStr">
        <is>
          <t>NHÔM_ĐỊNH_HÌNH</t>
        </is>
      </c>
      <c r="E365" t="inlineStr">
        <is>
          <t>MAT-ALU-KHUNG-OBD</t>
        </is>
      </c>
      <c r="F365" t="inlineStr">
        <is>
          <t>kg</t>
        </is>
      </c>
      <c r="G365" s="407" t="n">
        <v>0.3207444222609253</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Khung OBD 550x550mm</t>
        </is>
      </c>
    </row>
    <row r="366">
      <c r="A366" t="inlineStr">
        <is>
          <t>SW-DIFF-231-OBD-BLADE</t>
        </is>
      </c>
      <c r="B366" t="inlineStr">
        <is>
          <t>SW-DIFF-231</t>
        </is>
      </c>
      <c r="C366" t="inlineStr">
        <is>
          <t>Nan nhôm &amp; thanh truyền van OBD (SOBD)</t>
        </is>
      </c>
      <c r="D366" t="inlineStr">
        <is>
          <t>NHÔM_ĐỊNH_HÌNH</t>
        </is>
      </c>
      <c r="E366" t="inlineStr">
        <is>
          <t>MAT-ALU-NAN-OBD</t>
        </is>
      </c>
      <c r="F366" t="inlineStr">
        <is>
          <t>kg</t>
        </is>
      </c>
      <c r="G366" s="407" t="n">
        <v>0.7224511372593444</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Nan OBD đối xứng &amp; thanh liên kết</t>
        </is>
      </c>
    </row>
    <row r="367">
      <c r="A367" t="inlineStr">
        <is>
          <t>SW-DIFF-231-OBD-ACC</t>
        </is>
      </c>
      <c r="B367" t="inlineStr">
        <is>
          <t>SW-DIFF-231</t>
        </is>
      </c>
      <c r="C367" t="inlineStr">
        <is>
          <t>Bánh răng nhựa &amp; phụ kiện van OBD</t>
        </is>
      </c>
      <c r="D367" t="inlineStr">
        <is>
          <t>PHỤ_KIỆN_CỬA</t>
        </is>
      </c>
      <c r="E367" t="inlineStr">
        <is>
          <t>MAT-DOOR-ACCESSORY</t>
        </is>
      </c>
      <c r="F367" t="inlineStr">
        <is>
          <t>Bộ</t>
        </is>
      </c>
      <c r="G367" s="407" t="n">
        <v>1.233260096254446</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Cơ cấu bánh răng đóng mở OBD</t>
        </is>
      </c>
    </row>
    <row r="368">
      <c r="A368" t="inlineStr">
        <is>
          <t>SW-DIFF-268-FRAME</t>
        </is>
      </c>
      <c r="B368" t="inlineStr">
        <is>
          <t>SW-DIFF-268</t>
        </is>
      </c>
      <c r="C368" t="inlineStr">
        <is>
          <t>Khung nhôm định hình Linear (SLB)</t>
        </is>
      </c>
      <c r="D368" t="inlineStr">
        <is>
          <t>NHÔM_ĐỊNH_HÌNH</t>
        </is>
      </c>
      <c r="E368" t="inlineStr">
        <is>
          <t>MAT-ALU-KHUNG-BD</t>
        </is>
      </c>
      <c r="F368" t="inlineStr">
        <is>
          <t>kg</t>
        </is>
      </c>
      <c r="G368" s="407" t="n">
        <v>0.588512241054614</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Khung Linear 900x150mm</t>
        </is>
      </c>
    </row>
    <row r="369">
      <c r="A369" t="inlineStr">
        <is>
          <t>SW-DIFF-268-BLADE</t>
        </is>
      </c>
      <c r="B369" t="inlineStr">
        <is>
          <t>SW-DIFF-268</t>
        </is>
      </c>
      <c r="C369" t="inlineStr">
        <is>
          <t>Nan T nhôm định hình &amp; ty suốt (4 nan)</t>
        </is>
      </c>
      <c r="D369" t="inlineStr">
        <is>
          <t>NHÔM_ĐỊNH_HÌNH</t>
        </is>
      </c>
      <c r="E369" t="inlineStr">
        <is>
          <t>MAT-ALU-NAN-T</t>
        </is>
      </c>
      <c r="F369" t="inlineStr">
        <is>
          <t>kg</t>
        </is>
      </c>
      <c r="G369" s="407" t="n">
        <v>0.3909402744148507</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4 nan T + 1 suốt liên kết</t>
        </is>
      </c>
    </row>
    <row r="370">
      <c r="A370" t="inlineStr">
        <is>
          <t>SW-DIFF-268-ACCESSORY</t>
        </is>
      </c>
      <c r="B370" t="inlineStr">
        <is>
          <t>SW-DIFF-268</t>
        </is>
      </c>
      <c r="C370" t="inlineStr">
        <is>
          <t>Phụ kiện lắp ghép / Ke góc cửa gió</t>
        </is>
      </c>
      <c r="D370" t="inlineStr">
        <is>
          <t>PHỤ_KIỆN_CỬA</t>
        </is>
      </c>
      <c r="E370" t="inlineStr">
        <is>
          <t>MAT-DOOR-ACCESSORY</t>
        </is>
      </c>
      <c r="F370" t="inlineStr">
        <is>
          <t>Bộ</t>
        </is>
      </c>
      <c r="G370" s="407" t="n">
        <v>0.3923414940364093</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Ke góc chìm và vít ghép khung</t>
        </is>
      </c>
    </row>
    <row r="371">
      <c r="A371" t="inlineStr">
        <is>
          <t>SW-DIFF-268-PAINT</t>
        </is>
      </c>
      <c r="B371" t="inlineStr">
        <is>
          <t>SW-DIFF-268</t>
        </is>
      </c>
      <c r="C371" t="inlineStr">
        <is>
          <t>Sơn tĩnh điện tiêu chuẩn Polyester</t>
        </is>
      </c>
      <c r="D371" t="inlineStr">
        <is>
          <t>SƠN_TĨNH_ĐIỆN</t>
        </is>
      </c>
      <c r="E371" t="inlineStr">
        <is>
          <t>MAT-PAINT-POWDER</t>
        </is>
      </c>
      <c r="F371" t="inlineStr">
        <is>
          <t>m2</t>
        </is>
      </c>
      <c r="G371" s="407" t="n">
        <v>0.2193973634651601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Sơn tĩnh điện hoàn thiện (kèm sơn đen lớp 2 nếu có)</t>
        </is>
      </c>
    </row>
    <row r="372">
      <c r="A372" t="inlineStr">
        <is>
          <t>SW-DIFF-268-OBD-FRAME</t>
        </is>
      </c>
      <c r="B372" t="inlineStr">
        <is>
          <t>SW-DIFF-268</t>
        </is>
      </c>
      <c r="C372" t="inlineStr">
        <is>
          <t>Khung nhôm van OBD gắn cửa (SOBD)</t>
        </is>
      </c>
      <c r="D372" t="inlineStr">
        <is>
          <t>NHÔM_ĐỊNH_HÌNH</t>
        </is>
      </c>
      <c r="E372" t="inlineStr">
        <is>
          <t>MAT-ALU-KHUNG-OBD</t>
        </is>
      </c>
      <c r="F372" t="inlineStr">
        <is>
          <t>kg</t>
        </is>
      </c>
      <c r="G372" s="407" t="n">
        <v>0.3910680656443368</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Khung OBD 850x100mm</t>
        </is>
      </c>
    </row>
    <row r="373">
      <c r="A373" t="inlineStr">
        <is>
          <t>SW-DIFF-268-OBD-BLADE</t>
        </is>
      </c>
      <c r="B373" t="inlineStr">
        <is>
          <t>SW-DIFF-268</t>
        </is>
      </c>
      <c r="C373" t="inlineStr">
        <is>
          <t>Nan nhôm &amp; thanh truyền van OBD (SOBD)</t>
        </is>
      </c>
      <c r="D373" t="inlineStr">
        <is>
          <t>NHÔM_ĐỊNH_HÌNH</t>
        </is>
      </c>
      <c r="E373" t="inlineStr">
        <is>
          <t>MAT-ALU-NAN-OBD</t>
        </is>
      </c>
      <c r="F373" t="inlineStr">
        <is>
          <t>kg</t>
        </is>
      </c>
      <c r="G373" s="407" t="n">
        <v>0.3045041983489798</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Nan OBD đối xứng &amp; thanh liên kết</t>
        </is>
      </c>
    </row>
    <row r="374">
      <c r="A374" t="inlineStr">
        <is>
          <t>SW-DIFF-268-OBD-ACC</t>
        </is>
      </c>
      <c r="B374" t="inlineStr">
        <is>
          <t>SW-DIFF-268</t>
        </is>
      </c>
      <c r="C374" t="inlineStr">
        <is>
          <t>Bánh răng nhựa &amp; phụ kiện van OBD</t>
        </is>
      </c>
      <c r="D374" t="inlineStr">
        <is>
          <t>PHỤ_KIỆN_CỬA</t>
        </is>
      </c>
      <c r="E374" t="inlineStr">
        <is>
          <t>MAT-DOOR-ACCESSORY</t>
        </is>
      </c>
      <c r="F374" t="inlineStr">
        <is>
          <t>Bộ</t>
        </is>
      </c>
      <c r="G374" s="407" t="n">
        <v>2.662037037037037</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Cơ cấu bánh răng đóng mở OBD</t>
        </is>
      </c>
    </row>
    <row r="375">
      <c r="A375" t="inlineStr">
        <is>
          <t>SW-DIFF-269-FRAME</t>
        </is>
      </c>
      <c r="B375" t="inlineStr">
        <is>
          <t>SW-DIFF-269</t>
        </is>
      </c>
      <c r="C375" t="inlineStr">
        <is>
          <t>Khung nhôm định hình Linear (SLB)</t>
        </is>
      </c>
      <c r="D375" t="inlineStr">
        <is>
          <t>NHÔM_ĐỊNH_HÌNH</t>
        </is>
      </c>
      <c r="E375" t="inlineStr">
        <is>
          <t>MAT-ALU-KHUNG-BD</t>
        </is>
      </c>
      <c r="F375" t="inlineStr">
        <is>
          <t>kg</t>
        </is>
      </c>
      <c r="G375" s="407" t="n">
        <v>0.7566585956416464</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Khung Linear 1200x150mm</t>
        </is>
      </c>
    </row>
    <row r="376">
      <c r="A376" t="inlineStr">
        <is>
          <t>SW-DIFF-269-BLADE</t>
        </is>
      </c>
      <c r="B376" t="inlineStr">
        <is>
          <t>SW-DIFF-269</t>
        </is>
      </c>
      <c r="C376" t="inlineStr">
        <is>
          <t>Nan T nhôm định hình &amp; ty suốt (4 nan)</t>
        </is>
      </c>
      <c r="D376" t="inlineStr">
        <is>
          <t>NHÔM_ĐỊNH_HÌNH</t>
        </is>
      </c>
      <c r="E376" t="inlineStr">
        <is>
          <t>MAT-ALU-NAN-T</t>
        </is>
      </c>
      <c r="F376" t="inlineStr">
        <is>
          <t>kg</t>
        </is>
      </c>
      <c r="G376" s="407" t="n">
        <v>0.5254573580844767</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4 nan T + 1 suốt liên kết</t>
        </is>
      </c>
    </row>
    <row r="377">
      <c r="A377" t="inlineStr">
        <is>
          <t>SW-DIFF-269-ACCESSORY</t>
        </is>
      </c>
      <c r="B377" t="inlineStr">
        <is>
          <t>SW-DIFF-269</t>
        </is>
      </c>
      <c r="C377" t="inlineStr">
        <is>
          <t>Phụ kiện lắp ghép / Ke góc cửa gió</t>
        </is>
      </c>
      <c r="D377" t="inlineStr">
        <is>
          <t>PHỤ_KIỆN_CỬA</t>
        </is>
      </c>
      <c r="E377" t="inlineStr">
        <is>
          <t>MAT-DOOR-ACCESSORY</t>
        </is>
      </c>
      <c r="F377" t="inlineStr">
        <is>
          <t>Bộ</t>
        </is>
      </c>
      <c r="G377" s="407" t="n">
        <v>0.3923414940364093</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 góc chìm và vít ghép khung</t>
        </is>
      </c>
    </row>
    <row r="378">
      <c r="A378" t="inlineStr">
        <is>
          <t>SW-DIFF-269-PAINT</t>
        </is>
      </c>
      <c r="B378" t="inlineStr">
        <is>
          <t>SW-DIFF-269</t>
        </is>
      </c>
      <c r="C378" t="inlineStr">
        <is>
          <t>Sơn tĩnh điện tiêu chuẩn Polyester</t>
        </is>
      </c>
      <c r="D378" t="inlineStr">
        <is>
          <t>SƠN_TĨNH_ĐIỆN</t>
        </is>
      </c>
      <c r="E378" t="inlineStr">
        <is>
          <t>MAT-PAINT-POWDER</t>
        </is>
      </c>
      <c r="F378" t="inlineStr">
        <is>
          <t>m2</t>
        </is>
      </c>
      <c r="G378" s="407" t="n">
        <v>0.2871939736346516</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Sơn tĩnh điện hoàn thiện (kèm sơn đen lớp 2 nếu có)</t>
        </is>
      </c>
    </row>
    <row r="379">
      <c r="A379" t="inlineStr">
        <is>
          <t>SW-DIFF-269-OBD-FRAME</t>
        </is>
      </c>
      <c r="B379" t="inlineStr">
        <is>
          <t>SW-DIFF-269</t>
        </is>
      </c>
      <c r="C379" t="inlineStr">
        <is>
          <t>Khung nhôm van OBD gắn cửa (SOBD)</t>
        </is>
      </c>
      <c r="D379" t="inlineStr">
        <is>
          <t>NHÔM_ĐỊNH_HÌNH</t>
        </is>
      </c>
      <c r="E379" t="inlineStr">
        <is>
          <t>MAT-ALU-KHUNG-OBD</t>
        </is>
      </c>
      <c r="F379" t="inlineStr">
        <is>
          <t>kg</t>
        </is>
      </c>
      <c r="G379" s="407" t="n">
        <v>0.5145632442688642</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Khung OBD 1150x100mm</t>
        </is>
      </c>
    </row>
    <row r="380">
      <c r="A380" t="inlineStr">
        <is>
          <t>SW-DIFF-269-OBD-BLADE</t>
        </is>
      </c>
      <c r="B380" t="inlineStr">
        <is>
          <t>SW-DIFF-269</t>
        </is>
      </c>
      <c r="C380" t="inlineStr">
        <is>
          <t>Nan nhôm &amp; thanh truyền van OBD (SOBD)</t>
        </is>
      </c>
      <c r="D380" t="inlineStr">
        <is>
          <t>NHÔM_ĐỊNH_HÌNH</t>
        </is>
      </c>
      <c r="E380" t="inlineStr">
        <is>
          <t>MAT-ALU-NAN-OBD</t>
        </is>
      </c>
      <c r="F380" t="inlineStr">
        <is>
          <t>kg</t>
        </is>
      </c>
      <c r="G380" s="407" t="n">
        <v>0.4119762683545021</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Nan OBD đối xứng &amp; thanh liên kết</t>
        </is>
      </c>
    </row>
    <row r="381">
      <c r="A381" t="inlineStr">
        <is>
          <t>SW-DIFF-269-OBD-ACC</t>
        </is>
      </c>
      <c r="B381" t="inlineStr">
        <is>
          <t>SW-DIFF-269</t>
        </is>
      </c>
      <c r="C381" t="inlineStr">
        <is>
          <t>Bánh răng nhựa &amp; phụ kiện van OBD</t>
        </is>
      </c>
      <c r="D381" t="inlineStr">
        <is>
          <t>PHỤ_KIỆN_CỬA</t>
        </is>
      </c>
      <c r="E381" t="inlineStr">
        <is>
          <t>MAT-DOOR-ACCESSORY</t>
        </is>
      </c>
      <c r="F381" t="inlineStr">
        <is>
          <t>Bộ</t>
        </is>
      </c>
      <c r="G381" s="407" t="n">
        <v>3.474183929692403</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Cơ cấu bánh răng đóng mở OBD</t>
        </is>
      </c>
    </row>
    <row r="382">
      <c r="A382" t="inlineStr">
        <is>
          <t>SW-DIFF-270-FRAME</t>
        </is>
      </c>
      <c r="B382" t="inlineStr">
        <is>
          <t>SW-DIFF-270</t>
        </is>
      </c>
      <c r="C382" t="inlineStr">
        <is>
          <t>Khung nhôm định hình Linear (SLB)</t>
        </is>
      </c>
      <c r="D382" t="inlineStr">
        <is>
          <t>NHÔM_ĐỊNH_HÌNH</t>
        </is>
      </c>
      <c r="E382" t="inlineStr">
        <is>
          <t>MAT-ALU-KHUNG-BD</t>
        </is>
      </c>
      <c r="F382" t="inlineStr">
        <is>
          <t>kg</t>
        </is>
      </c>
      <c r="G382" s="407" t="n">
        <v>1.2050488745404</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Khung Linear 2000x150mm</t>
        </is>
      </c>
    </row>
    <row r="383">
      <c r="A383" t="inlineStr">
        <is>
          <t>SW-DIFF-270-BLADE</t>
        </is>
      </c>
      <c r="B383" t="inlineStr">
        <is>
          <t>SW-DIFF-270</t>
        </is>
      </c>
      <c r="C383" t="inlineStr">
        <is>
          <t>Nan T nhôm định hình &amp; ty suốt (4 nan)</t>
        </is>
      </c>
      <c r="D383" t="inlineStr">
        <is>
          <t>NHÔM_ĐỊNH_HÌNH</t>
        </is>
      </c>
      <c r="E383" t="inlineStr">
        <is>
          <t>MAT-ALU-NAN-T</t>
        </is>
      </c>
      <c r="F383" t="inlineStr">
        <is>
          <t>kg</t>
        </is>
      </c>
      <c r="G383" s="407" t="n">
        <v>0.8939781185543897</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4 nan T + 2 suốt liên kết</t>
        </is>
      </c>
    </row>
    <row r="384">
      <c r="A384" t="inlineStr">
        <is>
          <t>SW-DIFF-270-ACCESSORY</t>
        </is>
      </c>
      <c r="B384" t="inlineStr">
        <is>
          <t>SW-DIFF-270</t>
        </is>
      </c>
      <c r="C384" t="inlineStr">
        <is>
          <t>Phụ kiện lắp ghép / Ke góc cửa gió</t>
        </is>
      </c>
      <c r="D384" t="inlineStr">
        <is>
          <t>PHỤ_KIỆN_CỬA</t>
        </is>
      </c>
      <c r="E384" t="inlineStr">
        <is>
          <t>MAT-DOOR-ACCESSORY</t>
        </is>
      </c>
      <c r="F384" t="inlineStr">
        <is>
          <t>Bộ</t>
        </is>
      </c>
      <c r="G384" s="407" t="n">
        <v>0.3923414940364093</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Ke góc chìm và vít ghép khung</t>
        </is>
      </c>
    </row>
    <row r="385">
      <c r="A385" t="inlineStr">
        <is>
          <t>SW-DIFF-270-PAINT</t>
        </is>
      </c>
      <c r="B385" t="inlineStr">
        <is>
          <t>SW-DIFF-270</t>
        </is>
      </c>
      <c r="C385" t="inlineStr">
        <is>
          <t>Sơn tĩnh điện tiêu chuẩn Polyester</t>
        </is>
      </c>
      <c r="D385" t="inlineStr">
        <is>
          <t>SƠN_TĨNH_ĐIỆN</t>
        </is>
      </c>
      <c r="E385" t="inlineStr">
        <is>
          <t>MAT-PAINT-POWDER</t>
        </is>
      </c>
      <c r="F385" t="inlineStr">
        <is>
          <t>m2</t>
        </is>
      </c>
      <c r="G385" s="407" t="n">
        <v>0.4701820464532329</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Sơn tĩnh điện hoàn thiện (kèm sơn đen lớp 2 nếu có)</t>
        </is>
      </c>
    </row>
    <row r="386">
      <c r="A386" t="inlineStr">
        <is>
          <t>SW-DIFF-270-OBD-FRAME</t>
        </is>
      </c>
      <c r="B386" t="inlineStr">
        <is>
          <t>SW-DIFF-270</t>
        </is>
      </c>
      <c r="C386" t="inlineStr">
        <is>
          <t>Khung nhôm van OBD gắn cửa (SOBD)</t>
        </is>
      </c>
      <c r="D386" t="inlineStr">
        <is>
          <t>NHÔM_ĐỊNH_HÌNH</t>
        </is>
      </c>
      <c r="E386" t="inlineStr">
        <is>
          <t>MAT-ALU-KHUNG-OBD</t>
        </is>
      </c>
      <c r="F386" t="inlineStr">
        <is>
          <t>kg</t>
        </is>
      </c>
      <c r="G386" s="407" t="n">
        <v>0.8438837206009373</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Khung OBD 1950x100mm</t>
        </is>
      </c>
    </row>
    <row r="387">
      <c r="A387" t="inlineStr">
        <is>
          <t>SW-DIFF-270-OBD-BLADE</t>
        </is>
      </c>
      <c r="B387" t="inlineStr">
        <is>
          <t>SW-DIFF-270</t>
        </is>
      </c>
      <c r="C387" t="inlineStr">
        <is>
          <t>Nan nhôm &amp; thanh truyền van OBD (SOBD)</t>
        </is>
      </c>
      <c r="D387" t="inlineStr">
        <is>
          <t>NHÔM_ĐỊNH_HÌNH</t>
        </is>
      </c>
      <c r="E387" t="inlineStr">
        <is>
          <t>MAT-ALU-NAN-OBD</t>
        </is>
      </c>
      <c r="F387" t="inlineStr">
        <is>
          <t>kg</t>
        </is>
      </c>
      <c r="G387" s="407" t="n">
        <v>0.6985684550358948</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Nan OBD đối xứng &amp; thanh liên kết</t>
        </is>
      </c>
    </row>
    <row r="388">
      <c r="A388" t="inlineStr">
        <is>
          <t>SW-DIFF-270-OBD-ACC</t>
        </is>
      </c>
      <c r="B388" t="inlineStr">
        <is>
          <t>SW-DIFF-270</t>
        </is>
      </c>
      <c r="C388" t="inlineStr">
        <is>
          <t>Bánh răng nhựa &amp; phụ kiện van OBD</t>
        </is>
      </c>
      <c r="D388" t="inlineStr">
        <is>
          <t>PHỤ_KIỆN_CỬA</t>
        </is>
      </c>
      <c r="E388" t="inlineStr">
        <is>
          <t>MAT-DOOR-ACCESSORY</t>
        </is>
      </c>
      <c r="F388" t="inlineStr">
        <is>
          <t>Bộ</t>
        </is>
      </c>
      <c r="G388" s="407" t="n">
        <v>5.639908976773383</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Cơ cấu bánh răng đóng mở OBD</t>
        </is>
      </c>
    </row>
    <row r="389">
      <c r="A389" t="inlineStr">
        <is>
          <t>SW-DIFF-271-FRAME</t>
        </is>
      </c>
      <c r="B389" t="inlineStr">
        <is>
          <t>SW-DIFF-271</t>
        </is>
      </c>
      <c r="C389" t="inlineStr">
        <is>
          <t>Khung nhôm định hình Linear (SLB)</t>
        </is>
      </c>
      <c r="D389" t="inlineStr">
        <is>
          <t>NHÔM_ĐỊNH_HÌNH</t>
        </is>
      </c>
      <c r="E389" t="inlineStr">
        <is>
          <t>MAT-ALU-KHUNG-BD</t>
        </is>
      </c>
      <c r="F389" t="inlineStr">
        <is>
          <t>kg</t>
        </is>
      </c>
      <c r="G389" s="407" t="n">
        <v>0.588512241054614</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Khung Linear 900x150mm</t>
        </is>
      </c>
    </row>
    <row r="390">
      <c r="A390" t="inlineStr">
        <is>
          <t>SW-DIFF-271-BLADE</t>
        </is>
      </c>
      <c r="B390" t="inlineStr">
        <is>
          <t>SW-DIFF-271</t>
        </is>
      </c>
      <c r="C390" t="inlineStr">
        <is>
          <t>Nan T nhôm định hình &amp; ty suốt (4 nan)</t>
        </is>
      </c>
      <c r="D390" t="inlineStr">
        <is>
          <t>NHÔM_ĐỊNH_HÌNH</t>
        </is>
      </c>
      <c r="E390" t="inlineStr">
        <is>
          <t>MAT-ALU-NAN-T</t>
        </is>
      </c>
      <c r="F390" t="inlineStr">
        <is>
          <t>kg</t>
        </is>
      </c>
      <c r="G390" s="407" t="n">
        <v>0.3909402744148507</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4 nan T + 1 suốt liên kết</t>
        </is>
      </c>
    </row>
    <row r="391">
      <c r="A391" t="inlineStr">
        <is>
          <t>SW-DIFF-271-ACCESSORY</t>
        </is>
      </c>
      <c r="B391" t="inlineStr">
        <is>
          <t>SW-DIFF-271</t>
        </is>
      </c>
      <c r="C391" t="inlineStr">
        <is>
          <t>Phụ kiện lắp ghép / Ke góc cửa gió</t>
        </is>
      </c>
      <c r="D391" t="inlineStr">
        <is>
          <t>PHỤ_KIỆN_CỬA</t>
        </is>
      </c>
      <c r="E391" t="inlineStr">
        <is>
          <t>MAT-DOOR-ACCESSORY</t>
        </is>
      </c>
      <c r="F391" t="inlineStr">
        <is>
          <t>Bộ</t>
        </is>
      </c>
      <c r="G391" s="407" t="n">
        <v>0.3923414940364093</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Ke góc chìm và vít ghép khung</t>
        </is>
      </c>
    </row>
    <row r="392">
      <c r="A392" t="inlineStr">
        <is>
          <t>SW-DIFF-271-PAINT</t>
        </is>
      </c>
      <c r="B392" t="inlineStr">
        <is>
          <t>SW-DIFF-271</t>
        </is>
      </c>
      <c r="C392" t="inlineStr">
        <is>
          <t>Sơn tĩnh điện tiêu chuẩn Polyester</t>
        </is>
      </c>
      <c r="D392" t="inlineStr">
        <is>
          <t>SƠN_TĨNH_ĐIỆN</t>
        </is>
      </c>
      <c r="E392" t="inlineStr">
        <is>
          <t>MAT-PAINT-POWDER</t>
        </is>
      </c>
      <c r="F392" t="inlineStr">
        <is>
          <t>m2</t>
        </is>
      </c>
      <c r="G392" s="407" t="n">
        <v>0.2193973634651601</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Sơn tĩnh điện hoàn thiện (kèm sơn đen lớp 2 nếu có)</t>
        </is>
      </c>
    </row>
    <row r="393">
      <c r="A393" t="inlineStr">
        <is>
          <t>SW-DIFF-271-OBD-FRAME</t>
        </is>
      </c>
      <c r="B393" t="inlineStr">
        <is>
          <t>SW-DIFF-271</t>
        </is>
      </c>
      <c r="C393" t="inlineStr">
        <is>
          <t>Khung nhôm van OBD gắn cửa (SOBD)</t>
        </is>
      </c>
      <c r="D393" t="inlineStr">
        <is>
          <t>NHÔM_ĐỊNH_HÌNH</t>
        </is>
      </c>
      <c r="E393" t="inlineStr">
        <is>
          <t>MAT-ALU-KHUNG-OBD</t>
        </is>
      </c>
      <c r="F393" t="inlineStr">
        <is>
          <t>kg</t>
        </is>
      </c>
      <c r="G393" s="407" t="n">
        <v>0.3910680656443368</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Khung OBD 850x100mm</t>
        </is>
      </c>
    </row>
    <row r="394">
      <c r="A394" t="inlineStr">
        <is>
          <t>SW-DIFF-271-OBD-BLADE</t>
        </is>
      </c>
      <c r="B394" t="inlineStr">
        <is>
          <t>SW-DIFF-271</t>
        </is>
      </c>
      <c r="C394" t="inlineStr">
        <is>
          <t>Nan nhôm &amp; thanh truyền van OBD (SOBD)</t>
        </is>
      </c>
      <c r="D394" t="inlineStr">
        <is>
          <t>NHÔM_ĐỊNH_HÌNH</t>
        </is>
      </c>
      <c r="E394" t="inlineStr">
        <is>
          <t>MAT-ALU-NAN-OBD</t>
        </is>
      </c>
      <c r="F394" t="inlineStr">
        <is>
          <t>kg</t>
        </is>
      </c>
      <c r="G394" s="407" t="n">
        <v>0.3045041983489798</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Nan OBD đối xứng &amp; thanh liên kết</t>
        </is>
      </c>
    </row>
    <row r="395">
      <c r="A395" t="inlineStr">
        <is>
          <t>SW-DIFF-271-OBD-ACC</t>
        </is>
      </c>
      <c r="B395" t="inlineStr">
        <is>
          <t>SW-DIFF-271</t>
        </is>
      </c>
      <c r="C395" t="inlineStr">
        <is>
          <t>Bánh răng nhựa &amp; phụ kiện van OBD</t>
        </is>
      </c>
      <c r="D395" t="inlineStr">
        <is>
          <t>PHỤ_KIỆN_CỬA</t>
        </is>
      </c>
      <c r="E395" t="inlineStr">
        <is>
          <t>MAT-DOOR-ACCESSORY</t>
        </is>
      </c>
      <c r="F395" t="inlineStr">
        <is>
          <t>Bộ</t>
        </is>
      </c>
      <c r="G395" s="407" t="n">
        <v>2.662037037037037</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Cơ cấu bánh răng đóng mở OBD</t>
        </is>
      </c>
    </row>
    <row r="396">
      <c r="A396" t="inlineStr">
        <is>
          <t>SW-DIFF-272-FRAME</t>
        </is>
      </c>
      <c r="B396" t="inlineStr">
        <is>
          <t>SW-DIFF-272</t>
        </is>
      </c>
      <c r="C396" t="inlineStr">
        <is>
          <t>Khung nhôm định hình Linear (SLB)</t>
        </is>
      </c>
      <c r="D396" t="inlineStr">
        <is>
          <t>NHÔM_ĐỊNH_HÌNH</t>
        </is>
      </c>
      <c r="E396" t="inlineStr">
        <is>
          <t>MAT-ALU-KHUNG-BD</t>
        </is>
      </c>
      <c r="F396" t="inlineStr">
        <is>
          <t>kg</t>
        </is>
      </c>
      <c r="G396" s="407" t="n">
        <v>0.7566585956416464</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Khung Linear 1200x150mm</t>
        </is>
      </c>
    </row>
    <row r="397">
      <c r="A397" t="inlineStr">
        <is>
          <t>SW-DIFF-272-BLADE</t>
        </is>
      </c>
      <c r="B397" t="inlineStr">
        <is>
          <t>SW-DIFF-272</t>
        </is>
      </c>
      <c r="C397" t="inlineStr">
        <is>
          <t>Nan T nhôm định hình &amp; ty suốt (4 nan)</t>
        </is>
      </c>
      <c r="D397" t="inlineStr">
        <is>
          <t>NHÔM_ĐỊNH_HÌNH</t>
        </is>
      </c>
      <c r="E397" t="inlineStr">
        <is>
          <t>MAT-ALU-NAN-T</t>
        </is>
      </c>
      <c r="F397" t="inlineStr">
        <is>
          <t>kg</t>
        </is>
      </c>
      <c r="G397" s="407" t="n">
        <v>0.5254573580844767</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4 nan T + 1 suốt liên kết</t>
        </is>
      </c>
    </row>
    <row r="398">
      <c r="A398" t="inlineStr">
        <is>
          <t>SW-DIFF-272-ACCESSORY</t>
        </is>
      </c>
      <c r="B398" t="inlineStr">
        <is>
          <t>SW-DIFF-272</t>
        </is>
      </c>
      <c r="C398" t="inlineStr">
        <is>
          <t>Phụ kiện lắp ghép / Ke góc cửa gió</t>
        </is>
      </c>
      <c r="D398" t="inlineStr">
        <is>
          <t>PHỤ_KIỆN_CỬA</t>
        </is>
      </c>
      <c r="E398" t="inlineStr">
        <is>
          <t>MAT-DOOR-ACCESSORY</t>
        </is>
      </c>
      <c r="F398" t="inlineStr">
        <is>
          <t>Bộ</t>
        </is>
      </c>
      <c r="G398" s="407" t="n">
        <v>0.3923414940364093</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Ke góc chìm và vít ghép khung</t>
        </is>
      </c>
    </row>
    <row r="399">
      <c r="A399" t="inlineStr">
        <is>
          <t>SW-DIFF-272-PAINT</t>
        </is>
      </c>
      <c r="B399" t="inlineStr">
        <is>
          <t>SW-DIFF-272</t>
        </is>
      </c>
      <c r="C399" t="inlineStr">
        <is>
          <t>Sơn tĩnh điện tiêu chuẩn Polyester</t>
        </is>
      </c>
      <c r="D399" t="inlineStr">
        <is>
          <t>SƠN_TĨNH_ĐIỆN</t>
        </is>
      </c>
      <c r="E399" t="inlineStr">
        <is>
          <t>MAT-PAINT-POWDER</t>
        </is>
      </c>
      <c r="F399" t="inlineStr">
        <is>
          <t>m2</t>
        </is>
      </c>
      <c r="G399" s="407" t="n">
        <v>0.2871939736346516</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Sơn tĩnh điện hoàn thiện (kèm sơn đen lớp 2 nếu có)</t>
        </is>
      </c>
    </row>
    <row r="400">
      <c r="A400" t="inlineStr">
        <is>
          <t>SW-DIFF-272-OBD-FRAME</t>
        </is>
      </c>
      <c r="B400" t="inlineStr">
        <is>
          <t>SW-DIFF-272</t>
        </is>
      </c>
      <c r="C400" t="inlineStr">
        <is>
          <t>Khung nhôm van OBD gắn cửa (SOBD)</t>
        </is>
      </c>
      <c r="D400" t="inlineStr">
        <is>
          <t>NHÔM_ĐỊNH_HÌNH</t>
        </is>
      </c>
      <c r="E400" t="inlineStr">
        <is>
          <t>MAT-ALU-KHUNG-OBD</t>
        </is>
      </c>
      <c r="F400" t="inlineStr">
        <is>
          <t>kg</t>
        </is>
      </c>
      <c r="G400" s="407" t="n">
        <v>0.5145632442688642</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Khung OBD 1150x100mm</t>
        </is>
      </c>
    </row>
    <row r="401">
      <c r="A401" t="inlineStr">
        <is>
          <t>SW-DIFF-272-OBD-BLADE</t>
        </is>
      </c>
      <c r="B401" t="inlineStr">
        <is>
          <t>SW-DIFF-272</t>
        </is>
      </c>
      <c r="C401" t="inlineStr">
        <is>
          <t>Nan nhôm &amp; thanh truyền van OBD (SOBD)</t>
        </is>
      </c>
      <c r="D401" t="inlineStr">
        <is>
          <t>NHÔM_ĐỊNH_HÌNH</t>
        </is>
      </c>
      <c r="E401" t="inlineStr">
        <is>
          <t>MAT-ALU-NAN-OBD</t>
        </is>
      </c>
      <c r="F401" t="inlineStr">
        <is>
          <t>kg</t>
        </is>
      </c>
      <c r="G401" s="407" t="n">
        <v>0.4119762683545021</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Nan OBD đối xứng &amp; thanh liên kết</t>
        </is>
      </c>
    </row>
    <row r="402">
      <c r="A402" t="inlineStr">
        <is>
          <t>SW-DIFF-272-OBD-ACC</t>
        </is>
      </c>
      <c r="B402" t="inlineStr">
        <is>
          <t>SW-DIFF-272</t>
        </is>
      </c>
      <c r="C402" t="inlineStr">
        <is>
          <t>Bánh răng nhựa &amp; phụ kiện van OBD</t>
        </is>
      </c>
      <c r="D402" t="inlineStr">
        <is>
          <t>PHỤ_KIỆN_CỬA</t>
        </is>
      </c>
      <c r="E402" t="inlineStr">
        <is>
          <t>MAT-DOOR-ACCESSORY</t>
        </is>
      </c>
      <c r="F402" t="inlineStr">
        <is>
          <t>Bộ</t>
        </is>
      </c>
      <c r="G402" s="407" t="n">
        <v>3.474183929692403</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Cơ cấu bánh răng đóng mở OBD</t>
        </is>
      </c>
    </row>
    <row r="403">
      <c r="A403" t="inlineStr">
        <is>
          <t>SW-DIFF-273-FRAME</t>
        </is>
      </c>
      <c r="B403" t="inlineStr">
        <is>
          <t>SW-DIFF-273</t>
        </is>
      </c>
      <c r="C403" t="inlineStr">
        <is>
          <t>Khung nhôm định hình Linear (SLB)</t>
        </is>
      </c>
      <c r="D403" t="inlineStr">
        <is>
          <t>NHÔM_ĐỊNH_HÌNH</t>
        </is>
      </c>
      <c r="E403" t="inlineStr">
        <is>
          <t>MAT-ALU-KHUNG-BD</t>
        </is>
      </c>
      <c r="F403" t="inlineStr">
        <is>
          <t>kg</t>
        </is>
      </c>
      <c r="G403" s="407" t="n">
        <v>0.8687561653663348</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Khung Linear 1400x150mm</t>
        </is>
      </c>
    </row>
    <row r="404">
      <c r="A404" t="inlineStr">
        <is>
          <t>SW-DIFF-273-BLADE</t>
        </is>
      </c>
      <c r="B404" t="inlineStr">
        <is>
          <t>SW-DIFF-273</t>
        </is>
      </c>
      <c r="C404" t="inlineStr">
        <is>
          <t>Nan T nhôm định hình &amp; ty suốt (4 nan)</t>
        </is>
      </c>
      <c r="D404" t="inlineStr">
        <is>
          <t>NHÔM_ĐỊNH_HÌNH</t>
        </is>
      </c>
      <c r="E404" t="inlineStr">
        <is>
          <t>MAT-ALU-NAN-T</t>
        </is>
      </c>
      <c r="F404" t="inlineStr">
        <is>
          <t>kg</t>
        </is>
      </c>
      <c r="G404" s="407" t="n">
        <v>0.6249439512151377</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4 nan T + 2 suốt liên kết</t>
        </is>
      </c>
    </row>
    <row r="405">
      <c r="A405" t="inlineStr">
        <is>
          <t>SW-DIFF-273-ACCESSORY</t>
        </is>
      </c>
      <c r="B405" t="inlineStr">
        <is>
          <t>SW-DIFF-273</t>
        </is>
      </c>
      <c r="C405" t="inlineStr">
        <is>
          <t>Phụ kiện lắp ghép / Ke góc cửa gió</t>
        </is>
      </c>
      <c r="D405" t="inlineStr">
        <is>
          <t>PHỤ_KIỆN_CỬA</t>
        </is>
      </c>
      <c r="E405" t="inlineStr">
        <is>
          <t>MAT-DOOR-ACCESSORY</t>
        </is>
      </c>
      <c r="F405" t="inlineStr">
        <is>
          <t>Bộ</t>
        </is>
      </c>
      <c r="G405" s="407" t="n">
        <v>0.3923414940364093</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Ke góc chìm và vít ghép khung</t>
        </is>
      </c>
    </row>
    <row r="406">
      <c r="A406" t="inlineStr">
        <is>
          <t>SW-DIFF-273-PAINT</t>
        </is>
      </c>
      <c r="B406" t="inlineStr">
        <is>
          <t>SW-DIFF-273</t>
        </is>
      </c>
      <c r="C406" t="inlineStr">
        <is>
          <t>Sơn tĩnh điện tiêu chuẩn Polyester</t>
        </is>
      </c>
      <c r="D406" t="inlineStr">
        <is>
          <t>SƠN_TĨNH_ĐIỆN</t>
        </is>
      </c>
      <c r="E406" t="inlineStr">
        <is>
          <t>MAT-PAINT-POWDER</t>
        </is>
      </c>
      <c r="F406" t="inlineStr">
        <is>
          <t>m2</t>
        </is>
      </c>
      <c r="G406" s="407" t="n">
        <v>0.3345888261142498</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Sơn tĩnh điện hoàn thiện (kèm sơn đen lớp 2 nếu có)</t>
        </is>
      </c>
    </row>
    <row r="407">
      <c r="A407" t="inlineStr">
        <is>
          <t>SW-DIFF-273-OBD-FRAME</t>
        </is>
      </c>
      <c r="B407" t="inlineStr">
        <is>
          <t>SW-DIFF-273</t>
        </is>
      </c>
      <c r="C407" t="inlineStr">
        <is>
          <t>Khung nhôm van OBD gắn cửa (SOBD)</t>
        </is>
      </c>
      <c r="D407" t="inlineStr">
        <is>
          <t>NHÔM_ĐỊNH_HÌNH</t>
        </is>
      </c>
      <c r="E407" t="inlineStr">
        <is>
          <t>MAT-ALU-KHUNG-OBD</t>
        </is>
      </c>
      <c r="F407" t="inlineStr">
        <is>
          <t>kg</t>
        </is>
      </c>
      <c r="G407" s="407" t="n">
        <v>0.5968933633518826</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Khung OBD 1350x100mm</t>
        </is>
      </c>
    </row>
    <row r="408">
      <c r="A408" t="inlineStr">
        <is>
          <t>SW-DIFF-273-OBD-BLADE</t>
        </is>
      </c>
      <c r="B408" t="inlineStr">
        <is>
          <t>SW-DIFF-273</t>
        </is>
      </c>
      <c r="C408" t="inlineStr">
        <is>
          <t>Nan nhôm &amp; thanh truyền van OBD (SOBD)</t>
        </is>
      </c>
      <c r="D408" t="inlineStr">
        <is>
          <t>NHÔM_ĐỊNH_HÌNH</t>
        </is>
      </c>
      <c r="E408" t="inlineStr">
        <is>
          <t>MAT-ALU-NAN-OBD</t>
        </is>
      </c>
      <c r="F408" t="inlineStr">
        <is>
          <t>kg</t>
        </is>
      </c>
      <c r="G408" s="407" t="n">
        <v>0.4836243150248503</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Nan OBD đối xứng &amp; thanh liên kết</t>
        </is>
      </c>
    </row>
    <row r="409">
      <c r="A409" t="inlineStr">
        <is>
          <t>SW-DIFF-273-OBD-ACC</t>
        </is>
      </c>
      <c r="B409" t="inlineStr">
        <is>
          <t>SW-DIFF-273</t>
        </is>
      </c>
      <c r="C409" t="inlineStr">
        <is>
          <t>Bánh răng nhựa &amp; phụ kiện van OBD</t>
        </is>
      </c>
      <c r="D409" t="inlineStr">
        <is>
          <t>PHỤ_KIỆN_CỬA</t>
        </is>
      </c>
      <c r="E409" t="inlineStr">
        <is>
          <t>MAT-DOOR-ACCESSORY</t>
        </is>
      </c>
      <c r="F409" t="inlineStr">
        <is>
          <t>Bộ</t>
        </is>
      </c>
      <c r="G409" s="407" t="n">
        <v>4.015615191462649</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Cơ cấu bánh răng đóng mở OBD</t>
        </is>
      </c>
    </row>
    <row r="410">
      <c r="A410" t="inlineStr">
        <is>
          <t>SW-DIFF-274-FRAME</t>
        </is>
      </c>
      <c r="B410" t="inlineStr">
        <is>
          <t>SW-DIFF-274</t>
        </is>
      </c>
      <c r="C410" t="inlineStr">
        <is>
          <t>Khung nhôm định hình Linear (SLB)</t>
        </is>
      </c>
      <c r="D410" t="inlineStr">
        <is>
          <t>NHÔM_ĐỊNH_HÌNH</t>
        </is>
      </c>
      <c r="E410" t="inlineStr">
        <is>
          <t>MAT-ALU-KHUNG-BD</t>
        </is>
      </c>
      <c r="F410" t="inlineStr">
        <is>
          <t>kg</t>
        </is>
      </c>
      <c r="G410" s="407" t="n">
        <v>1.2050488745404</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Khung Linear 2000x150mm</t>
        </is>
      </c>
    </row>
    <row r="411">
      <c r="A411" t="inlineStr">
        <is>
          <t>SW-DIFF-274-BLADE</t>
        </is>
      </c>
      <c r="B411" t="inlineStr">
        <is>
          <t>SW-DIFF-274</t>
        </is>
      </c>
      <c r="C411" t="inlineStr">
        <is>
          <t>Nan T nhôm định hình &amp; ty suốt (4 nan)</t>
        </is>
      </c>
      <c r="D411" t="inlineStr">
        <is>
          <t>NHÔM_ĐỊNH_HÌNH</t>
        </is>
      </c>
      <c r="E411" t="inlineStr">
        <is>
          <t>MAT-ALU-NAN-T</t>
        </is>
      </c>
      <c r="F411" t="inlineStr">
        <is>
          <t>kg</t>
        </is>
      </c>
      <c r="G411" s="407" t="n">
        <v>0.8939781185543897</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4 nan T + 2 suốt liên kết</t>
        </is>
      </c>
    </row>
    <row r="412">
      <c r="A412" t="inlineStr">
        <is>
          <t>SW-DIFF-274-ACCESSORY</t>
        </is>
      </c>
      <c r="B412" t="inlineStr">
        <is>
          <t>SW-DIFF-274</t>
        </is>
      </c>
      <c r="C412" t="inlineStr">
        <is>
          <t>Phụ kiện lắp ghép / Ke góc cửa gió</t>
        </is>
      </c>
      <c r="D412" t="inlineStr">
        <is>
          <t>PHỤ_KIỆN_CỬA</t>
        </is>
      </c>
      <c r="E412" t="inlineStr">
        <is>
          <t>MAT-DOOR-ACCESSORY</t>
        </is>
      </c>
      <c r="F412" t="inlineStr">
        <is>
          <t>Bộ</t>
        </is>
      </c>
      <c r="G412" s="407" t="n">
        <v>0.3923414940364093</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Ke góc chìm và vít ghép khung</t>
        </is>
      </c>
    </row>
    <row r="413">
      <c r="A413" t="inlineStr">
        <is>
          <t>SW-DIFF-274-PAINT</t>
        </is>
      </c>
      <c r="B413" t="inlineStr">
        <is>
          <t>SW-DIFF-274</t>
        </is>
      </c>
      <c r="C413" t="inlineStr">
        <is>
          <t>Sơn tĩnh điện tiêu chuẩn Polyester</t>
        </is>
      </c>
      <c r="D413" t="inlineStr">
        <is>
          <t>SƠN_TĨNH_ĐIỆN</t>
        </is>
      </c>
      <c r="E413" t="inlineStr">
        <is>
          <t>MAT-PAINT-POWDER</t>
        </is>
      </c>
      <c r="F413" t="inlineStr">
        <is>
          <t>m2</t>
        </is>
      </c>
      <c r="G413" s="407" t="n">
        <v>0.4701820464532329</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Sơn tĩnh điện hoàn thiện (kèm sơn đen lớp 2 nếu có)</t>
        </is>
      </c>
    </row>
    <row r="414">
      <c r="A414" t="inlineStr">
        <is>
          <t>SW-DIFF-274-OBD-FRAME</t>
        </is>
      </c>
      <c r="B414" t="inlineStr">
        <is>
          <t>SW-DIFF-274</t>
        </is>
      </c>
      <c r="C414" t="inlineStr">
        <is>
          <t>Khung nhôm van OBD gắn cửa (SOBD)</t>
        </is>
      </c>
      <c r="D414" t="inlineStr">
        <is>
          <t>NHÔM_ĐỊNH_HÌNH</t>
        </is>
      </c>
      <c r="E414" t="inlineStr">
        <is>
          <t>MAT-ALU-KHUNG-OBD</t>
        </is>
      </c>
      <c r="F414" t="inlineStr">
        <is>
          <t>kg</t>
        </is>
      </c>
      <c r="G414" s="407" t="n">
        <v>0.8438837206009373</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Khung OBD 1950x100mm</t>
        </is>
      </c>
    </row>
    <row r="415">
      <c r="A415" t="inlineStr">
        <is>
          <t>SW-DIFF-274-OBD-BLADE</t>
        </is>
      </c>
      <c r="B415" t="inlineStr">
        <is>
          <t>SW-DIFF-274</t>
        </is>
      </c>
      <c r="C415" t="inlineStr">
        <is>
          <t>Nan nhôm &amp; thanh truyền van OBD (SOBD)</t>
        </is>
      </c>
      <c r="D415" t="inlineStr">
        <is>
          <t>NHÔM_ĐỊNH_HÌNH</t>
        </is>
      </c>
      <c r="E415" t="inlineStr">
        <is>
          <t>MAT-ALU-NAN-OBD</t>
        </is>
      </c>
      <c r="F415" t="inlineStr">
        <is>
          <t>kg</t>
        </is>
      </c>
      <c r="G415" s="407" t="n">
        <v>0.6985684550358948</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Nan OBD đối xứng &amp; thanh liên kết</t>
        </is>
      </c>
    </row>
    <row r="416">
      <c r="A416" t="inlineStr">
        <is>
          <t>SW-DIFF-274-OBD-ACC</t>
        </is>
      </c>
      <c r="B416" t="inlineStr">
        <is>
          <t>SW-DIFF-274</t>
        </is>
      </c>
      <c r="C416" t="inlineStr">
        <is>
          <t>Bánh răng nhựa &amp; phụ kiện van OBD</t>
        </is>
      </c>
      <c r="D416" t="inlineStr">
        <is>
          <t>PHỤ_KIỆN_CỬA</t>
        </is>
      </c>
      <c r="E416" t="inlineStr">
        <is>
          <t>MAT-DOOR-ACCESSORY</t>
        </is>
      </c>
      <c r="F416" t="inlineStr">
        <is>
          <t>Bộ</t>
        </is>
      </c>
      <c r="G416" s="407" t="n">
        <v>5.639908976773383</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Cơ cấu bánh răng đóng mở OBD</t>
        </is>
      </c>
    </row>
    <row r="417">
      <c r="A417" t="inlineStr">
        <is>
          <t>SW-DIFF-275-FRAME</t>
        </is>
      </c>
      <c r="B417" t="inlineStr">
        <is>
          <t>SW-DIFF-275</t>
        </is>
      </c>
      <c r="C417" t="inlineStr">
        <is>
          <t>Khung nhôm định hình Linear (SLB)</t>
        </is>
      </c>
      <c r="D417" t="inlineStr">
        <is>
          <t>NHÔM_ĐỊNH_HÌNH</t>
        </is>
      </c>
      <c r="E417" t="inlineStr">
        <is>
          <t>MAT-ALU-KHUNG-BD</t>
        </is>
      </c>
      <c r="F417" t="inlineStr">
        <is>
          <t>kg</t>
        </is>
      </c>
      <c r="G417" s="407" t="n">
        <v>2.438122141511972</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Khung Linear 4200x150mm</t>
        </is>
      </c>
    </row>
    <row r="418">
      <c r="A418" t="inlineStr">
        <is>
          <t>SW-DIFF-275-BLADE</t>
        </is>
      </c>
      <c r="B418" t="inlineStr">
        <is>
          <t>SW-DIFF-275</t>
        </is>
      </c>
      <c r="C418" t="inlineStr">
        <is>
          <t>Nan T nhôm định hình &amp; ty suốt (4 nan)</t>
        </is>
      </c>
      <c r="D418" t="inlineStr">
        <is>
          <t>NHÔM_ĐỊNH_HÌNH</t>
        </is>
      </c>
      <c r="E418" t="inlineStr">
        <is>
          <t>MAT-ALU-NAN-T</t>
        </is>
      </c>
      <c r="F418" t="inlineStr">
        <is>
          <t>kg</t>
        </is>
      </c>
      <c r="G418" s="407" t="n">
        <v>1.909862344184378</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4 nan T + 5 suốt liên kết</t>
        </is>
      </c>
    </row>
    <row r="419">
      <c r="A419" t="inlineStr">
        <is>
          <t>SW-DIFF-275-ACCESSORY</t>
        </is>
      </c>
      <c r="B419" t="inlineStr">
        <is>
          <t>SW-DIFF-275</t>
        </is>
      </c>
      <c r="C419" t="inlineStr">
        <is>
          <t>Phụ kiện lắp ghép / Ke góc cửa gió</t>
        </is>
      </c>
      <c r="D419" t="inlineStr">
        <is>
          <t>PHỤ_KIỆN_CỬA</t>
        </is>
      </c>
      <c r="E419" t="inlineStr">
        <is>
          <t>MAT-DOOR-ACCESSORY</t>
        </is>
      </c>
      <c r="F419" t="inlineStr">
        <is>
          <t>Bộ</t>
        </is>
      </c>
      <c r="G419" s="407" t="n">
        <v>0.3923414940364093</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Ke góc chìm và vít ghép khung</t>
        </is>
      </c>
    </row>
    <row r="420">
      <c r="A420" t="inlineStr">
        <is>
          <t>SW-DIFF-275-PAINT</t>
        </is>
      </c>
      <c r="B420" t="inlineStr">
        <is>
          <t>SW-DIFF-275</t>
        </is>
      </c>
      <c r="C420" t="inlineStr">
        <is>
          <t>Sơn tĩnh điện tiêu chuẩn Polyester</t>
        </is>
      </c>
      <c r="D420" t="inlineStr">
        <is>
          <t>SƠN_TĨNH_ĐIỆN</t>
        </is>
      </c>
      <c r="E420" t="inlineStr">
        <is>
          <t>MAT-PAINT-POWDER</t>
        </is>
      </c>
      <c r="F420" t="inlineStr">
        <is>
          <t>m2</t>
        </is>
      </c>
      <c r="G420" s="407" t="n">
        <v>0.9739485247959826</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Sơn tĩnh điện hoàn thiện (kèm sơn đen lớp 2 nếu có)</t>
        </is>
      </c>
    </row>
    <row r="421">
      <c r="A421" t="inlineStr">
        <is>
          <t>SW-DIFF-275-OBD-FRAME</t>
        </is>
      </c>
      <c r="B421" t="inlineStr">
        <is>
          <t>SW-DIFF-275</t>
        </is>
      </c>
      <c r="C421" t="inlineStr">
        <is>
          <t>Khung nhôm van OBD gắn cửa (SOBD)</t>
        </is>
      </c>
      <c r="D421" t="inlineStr">
        <is>
          <t>NHÔM_ĐỊNH_HÌNH</t>
        </is>
      </c>
      <c r="E421" t="inlineStr">
        <is>
          <t>MAT-ALU-KHUNG-OBD</t>
        </is>
      </c>
      <c r="F421" t="inlineStr">
        <is>
          <t>kg</t>
        </is>
      </c>
      <c r="G421" s="407" t="n">
        <v>1.749515030514138</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Khung OBD 4150x100mm</t>
        </is>
      </c>
    </row>
    <row r="422">
      <c r="A422" t="inlineStr">
        <is>
          <t>SW-DIFF-275-OBD-BLADE</t>
        </is>
      </c>
      <c r="B422" t="inlineStr">
        <is>
          <t>SW-DIFF-275</t>
        </is>
      </c>
      <c r="C422" t="inlineStr">
        <is>
          <t>Nan nhôm &amp; thanh truyền van OBD (SOBD)</t>
        </is>
      </c>
      <c r="D422" t="inlineStr">
        <is>
          <t>NHÔM_ĐỊNH_HÌNH</t>
        </is>
      </c>
      <c r="E422" t="inlineStr">
        <is>
          <t>MAT-ALU-NAN-OBD</t>
        </is>
      </c>
      <c r="F422" t="inlineStr">
        <is>
          <t>kg</t>
        </is>
      </c>
      <c r="G422" s="407" t="n">
        <v>1.486696968409725</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Nan OBD đối xứng &amp; thanh liên kết</t>
        </is>
      </c>
    </row>
    <row r="423">
      <c r="A423" t="inlineStr">
        <is>
          <t>SW-DIFF-275-OBD-ACC</t>
        </is>
      </c>
      <c r="B423" t="inlineStr">
        <is>
          <t>SW-DIFF-275</t>
        </is>
      </c>
      <c r="C423" t="inlineStr">
        <is>
          <t>Bánh răng nhựa &amp; phụ kiện van OBD</t>
        </is>
      </c>
      <c r="D423" t="inlineStr">
        <is>
          <t>PHỤ_KIỆN_CỬA</t>
        </is>
      </c>
      <c r="E423" t="inlineStr">
        <is>
          <t>MAT-DOOR-ACCESSORY</t>
        </is>
      </c>
      <c r="F423" t="inlineStr">
        <is>
          <t>Bộ</t>
        </is>
      </c>
      <c r="G423" s="407" t="n">
        <v>11.59565285624608</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Cơ cấu bánh răng đóng mở OBD</t>
        </is>
      </c>
    </row>
    <row r="424">
      <c r="A424" t="inlineStr">
        <is>
          <t>SW-DIFF-276-FRAME</t>
        </is>
      </c>
      <c r="B424" t="inlineStr">
        <is>
          <t>SW-DIFF-276</t>
        </is>
      </c>
      <c r="C424" t="inlineStr">
        <is>
          <t>Khung nhôm định hình Linear (SLB)</t>
        </is>
      </c>
      <c r="D424" t="inlineStr">
        <is>
          <t>NHÔM_ĐỊNH_HÌNH</t>
        </is>
      </c>
      <c r="E424" t="inlineStr">
        <is>
          <t>MAT-ALU-KHUNG-BD</t>
        </is>
      </c>
      <c r="F424" t="inlineStr">
        <is>
          <t>kg</t>
        </is>
      </c>
      <c r="G424" s="407" t="n">
        <v>5.067744297970287</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Khung Linear 7600x150mm</t>
        </is>
      </c>
    </row>
    <row r="425">
      <c r="A425" t="inlineStr">
        <is>
          <t>SW-DIFF-276-BLADE</t>
        </is>
      </c>
      <c r="B425" t="inlineStr">
        <is>
          <t>SW-DIFF-276</t>
        </is>
      </c>
      <c r="C425" t="inlineStr">
        <is>
          <t>Nan T nhôm định hình &amp; ty suốt (4 nan)</t>
        </is>
      </c>
      <c r="D425" t="inlineStr">
        <is>
          <t>NHÔM_ĐỊNH_HÌNH</t>
        </is>
      </c>
      <c r="E425" t="inlineStr">
        <is>
          <t>MAT-ALU-NAN-T</t>
        </is>
      </c>
      <c r="F425" t="inlineStr">
        <is>
          <t>kg</t>
        </is>
      </c>
      <c r="G425" s="407" t="n">
        <v>4.052560682151078</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4 nan T + 9 suốt liên kết</t>
        </is>
      </c>
    </row>
    <row r="426">
      <c r="A426" t="inlineStr">
        <is>
          <t>SW-DIFF-276-ACCESSORY</t>
        </is>
      </c>
      <c r="B426" t="inlineStr">
        <is>
          <t>SW-DIFF-276</t>
        </is>
      </c>
      <c r="C426" t="inlineStr">
        <is>
          <t>Phụ kiện lắp ghép / Ke góc cửa gió</t>
        </is>
      </c>
      <c r="D426" t="inlineStr">
        <is>
          <t>PHỤ_KIỆN_CỬA</t>
        </is>
      </c>
      <c r="E426" t="inlineStr">
        <is>
          <t>MAT-DOOR-ACCESSORY</t>
        </is>
      </c>
      <c r="F426" t="inlineStr">
        <is>
          <t>Bộ</t>
        </is>
      </c>
      <c r="G426" s="407" t="n">
        <v>0.4577317430424775</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Ke góc chìm và vít ghép khung</t>
        </is>
      </c>
    </row>
    <row r="427">
      <c r="A427" t="inlineStr">
        <is>
          <t>SW-DIFF-276-PAINT</t>
        </is>
      </c>
      <c r="B427" t="inlineStr">
        <is>
          <t>SW-DIFF-276</t>
        </is>
      </c>
      <c r="C427" t="inlineStr">
        <is>
          <t>Sơn tĩnh điện tiêu chuẩn Polyester</t>
        </is>
      </c>
      <c r="D427" t="inlineStr">
        <is>
          <t>SƠN_TĨNH_ĐIỆN</t>
        </is>
      </c>
      <c r="E427" t="inlineStr">
        <is>
          <t>MAT-PAINT-POWDER</t>
        </is>
      </c>
      <c r="F427" t="inlineStr">
        <is>
          <t>m2</t>
        </is>
      </c>
      <c r="G427" s="407" t="n">
        <v>2.042948315547186</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Sơn tĩnh điện hoàn thiện (kèm sơn đen lớp 2 nếu có)</t>
        </is>
      </c>
    </row>
    <row r="428">
      <c r="A428" t="inlineStr">
        <is>
          <t>SW-DIFF-276-OBD-FRAME</t>
        </is>
      </c>
      <c r="B428" t="inlineStr">
        <is>
          <t>SW-DIFF-276</t>
        </is>
      </c>
      <c r="C428" t="inlineStr">
        <is>
          <t>Khung nhôm van OBD gắn cửa (SOBD)</t>
        </is>
      </c>
      <c r="D428" t="inlineStr">
        <is>
          <t>NHÔM_ĐỊNH_HÌNH</t>
        </is>
      </c>
      <c r="E428" t="inlineStr">
        <is>
          <t>MAT-ALU-KHUNG-OBD</t>
        </is>
      </c>
      <c r="F428" t="inlineStr">
        <is>
          <t>kg</t>
        </is>
      </c>
      <c r="G428" s="407" t="n">
        <v>3.67398156407969</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Khung OBD 7550x100mm</t>
        </is>
      </c>
    </row>
    <row r="429">
      <c r="A429" t="inlineStr">
        <is>
          <t>SW-DIFF-276-OBD-BLADE</t>
        </is>
      </c>
      <c r="B429" t="inlineStr">
        <is>
          <t>SW-DIFF-276</t>
        </is>
      </c>
      <c r="C429" t="inlineStr">
        <is>
          <t>Nan nhôm &amp; thanh truyền van OBD (SOBD)</t>
        </is>
      </c>
      <c r="D429" t="inlineStr">
        <is>
          <t>NHÔM_ĐỊNH_HÌNH</t>
        </is>
      </c>
      <c r="E429" t="inlineStr">
        <is>
          <t>MAT-ALU-NAN-OBD</t>
        </is>
      </c>
      <c r="F429" t="inlineStr">
        <is>
          <t>kg</t>
        </is>
      </c>
      <c r="G429" s="407" t="n">
        <v>3.155499388773251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Nan OBD đối xứng &amp; thanh liên kết</t>
        </is>
      </c>
    </row>
    <row r="430">
      <c r="A430" t="inlineStr">
        <is>
          <t>SW-DIFF-276-OBD-ACC</t>
        </is>
      </c>
      <c r="B430" t="inlineStr">
        <is>
          <t>SW-DIFF-276</t>
        </is>
      </c>
      <c r="C430" t="inlineStr">
        <is>
          <t>Bánh răng nhựa &amp; phụ kiện van OBD</t>
        </is>
      </c>
      <c r="D430" t="inlineStr">
        <is>
          <t>PHỤ_KIỆN_CỬA</t>
        </is>
      </c>
      <c r="E430" t="inlineStr">
        <is>
          <t>MAT-DOOR-ACCESSORY</t>
        </is>
      </c>
      <c r="F430" t="inlineStr">
        <is>
          <t>Bộ</t>
        </is>
      </c>
      <c r="G430" s="407" t="n">
        <v>24.26664835739695</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Cơ cấu bánh răng đóng mở OBD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(1.15mm)</t>
        </is>
      </c>
      <c r="D2" t="inlineStr">
        <is>
          <t>TÔN_CUỘN_MẠ_KẼM</t>
        </is>
      </c>
      <c r="E2" t="inlineStr">
        <is>
          <t>MAT-STEEL-PN-1.15</t>
        </is>
      </c>
      <c r="F2" t="inlineStr">
        <is>
          <t>kg</t>
        </is>
      </c>
      <c r="G2" s="407" t="n">
        <v>15.42477586587557</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(2 modul 625x1250mm)</t>
        </is>
      </c>
    </row>
    <row r="3">
      <c r="A3" t="inlineStr">
        <is>
          <t>SW-DAMPER-008-BLADE</t>
        </is>
      </c>
      <c r="B3" t="inlineStr">
        <is>
          <t>SW-DAMPER-008</t>
        </is>
      </c>
      <c r="C3" t="inlineStr">
        <is>
          <t>Lá cánh / Tôn tấm bọc van (14 cánh)</t>
        </is>
      </c>
      <c r="D3" t="inlineStr">
        <is>
          <t>TÔN_CUỘN_MẠ_KẼM</t>
        </is>
      </c>
      <c r="E3" t="inlineStr">
        <is>
          <t>MAT-STEEL-PN-0.75</t>
        </is>
      </c>
      <c r="F3" t="inlineStr">
        <is>
          <t>kg</t>
        </is>
      </c>
      <c r="G3" s="407" t="n">
        <v>8.47060280764876</v>
      </c>
      <c r="H3" s="403">
        <f>IFERROR(INDEX('00_TONG_HOP_BAO_GIA'!$G$1:$G$5000, MATCH(B3, '00_TONG_HOP_BAO_GIA'!$B$1:$B$5000, 0)), 1)</f>
        <v/>
      </c>
      <c r="I3" s="408">
        <f>G3*H3</f>
        <v/>
      </c>
      <c r="J3" s="403">
        <f>IFERROR(INDEX('06_BANG_GIA_VAT_TU_AP_DUNG'!$E$1:$E$5000, MATCH(E3, '06_BANG_GIA_VAT_TU_AP_DUNG'!$B$1:$B$5000, 0)), 0)</f>
        <v/>
      </c>
      <c r="K3" s="403">
        <f>I3*J3</f>
        <v/>
      </c>
      <c r="L3" t="inlineStr">
        <is>
          <t>14 cánh cao 199mm (2 modul 625x1250mm)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7.352811564227036</v>
      </c>
      <c r="H4" s="403">
        <f>IFERROR(INDEX('00_TONG_HOP_BAO_GIA'!$G$1:$G$5000, MATCH(B4, '00_TONG_HOP_BAO_GIA'!$B$1:$B$5000, 0)), 1)</f>
        <v/>
      </c>
      <c r="I4" s="408">
        <f>G4*H4</f>
        <v/>
      </c>
      <c r="J4" s="403">
        <f>IFERROR(INDEX('06_BANG_GIA_VAT_TU_AP_DUNG'!$E$1:$E$5000, MATCH(E4, '06_BANG_GIA_VAT_TU_AP_DUNG'!$B$1:$B$5000, 0)), 0)</f>
        <v/>
      </c>
      <c r="K4" s="403">
        <f>I4*J4</f>
        <v/>
      </c>
      <c r="L4" t="inlineStr">
        <is>
          <t>14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14</v>
      </c>
      <c r="H5" s="403">
        <f>IFERROR(INDEX('00_TONG_HOP_BAO_GIA'!$G$1:$G$5000, MATCH(B5, '00_TONG_HOP_BAO_GIA'!$B$1:$B$5000, 0)), 1)</f>
        <v/>
      </c>
      <c r="I5" s="408">
        <f>G5*H5</f>
        <v/>
      </c>
      <c r="J5" s="403">
        <f>IFERROR(INDEX('06_BANG_GIA_VAT_TU_AP_DUNG'!$E$1:$E$5000, MATCH(E5, '06_BANG_GIA_VAT_TU_AP_DUNG'!$B$1:$B$5000, 0)), 0)</f>
        <v/>
      </c>
      <c r="K5" s="403">
        <f>I5*J5</f>
        <v/>
      </c>
      <c r="L5" t="inlineStr">
        <is>
          <t>14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2</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(2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2</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1.186483052360829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(2 modul 625x1250mm)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11.60848772750726</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6.618662526413641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6.555247708403745</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0.9298152900133843</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(0.75mm)</t>
        </is>
      </c>
      <c r="D16" t="inlineStr">
        <is>
          <t>TÔN_CUỘN_MẠ_KẼM</t>
        </is>
      </c>
      <c r="E16" t="inlineStr">
        <is>
          <t>MAT-STEEL-PN-0.75</t>
        </is>
      </c>
      <c r="F16" t="inlineStr">
        <is>
          <t>kg</t>
        </is>
      </c>
      <c r="G16" s="407" t="n">
        <v>8.478896450682852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 (2 modul 600x350mm)</t>
        </is>
      </c>
    </row>
    <row r="17">
      <c r="A17" t="inlineStr">
        <is>
          <t>SW-DAMPER-010-BLADE</t>
        </is>
      </c>
      <c r="B17" t="inlineStr">
        <is>
          <t>SW-DAMPER-010</t>
        </is>
      </c>
      <c r="C17" t="inlineStr">
        <is>
          <t>Lá cánh / Tôn tấm bọc van (4 cánh)</t>
        </is>
      </c>
      <c r="D17" t="inlineStr">
        <is>
          <t>TÔN_CUỘN_MẠ_KẼM</t>
        </is>
      </c>
      <c r="E17" t="inlineStr">
        <is>
          <t>MAT-STEEL-PN-0.75</t>
        </is>
      </c>
      <c r="F17" t="inlineStr">
        <is>
          <t>kg</t>
        </is>
      </c>
      <c r="G17" s="407" t="n">
        <v>3.756902151301932</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4 cánh cao 195mm (2 modul 600x350mm)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3.332984409266115</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trục dài 660mm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4</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4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2</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(2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2</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0.5230211006325286</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 (2 modul 600x350mm)</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23.13751997714415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33.64686142804813</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12.49937573914176</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5.367098361272701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2.820197666162016</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5.732109077565074</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14.51121092198056</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17.75838359238884</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7.020000573008986</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3.355714559625174</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1.476578476230719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3.024317360954484</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6.099039198093898</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5.755167915162913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1.912545416282331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1.411640664398863</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0.4790027756517843</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0.9742429335290531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5.282778183832593</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5.16859308141553</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2.282621381551846</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1.220411431720789</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0.429039233620217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0.8765317676111959</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7.250430025516569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8.263936609006395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2.919701837985032</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1.676660461417147</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0.6877169583757295</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1.405013140767619</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3.896180927717602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2.23179238838796</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0.6570888111681674</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0.8978045142693772</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0.123610766457378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0.2472215329147561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4.926574404204364</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3.899717272002787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1.530883487481357</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1.1367946689218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0.3223453763924776</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0.6585550700491476</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16.60364322872667</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7.327531336639752</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6.543982085429632</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0.9685575937639419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8.90994727281425</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4.573081844581948</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5.123452492271055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0.5966314777585883</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11.70350423843106</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5.119033742716759</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5.644236513349656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0.7128583890102612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12.35181754695901</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5.754020403820312</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5.722374342919237</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0.7554749231358747</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4.059479875897853</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1.626888824305588</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1.399578661520552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0.4126055349434393</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2.54845269931417</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1.037923503979773</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1.056220117006647</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0.2789445870040153</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0.2568626583096471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0.06532456930323832</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0.1027358171003198</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0.1394722935020076</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4.165262358491355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1.940674437951105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1.775197958753798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0.4145426501309671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5.403547223118295</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3.247581062568623</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3.080692645580224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0.5656376347581421</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0.1148869585728153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0.02693832289592718</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0.0437780404064765</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0.1239753720017846</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2.993653609025431</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1.361482441561952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1.489530895992781</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0.4416622627563574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1.210591887598976</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0.3658075552389268</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0.4060975038385044</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0.1743403668775096</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0.5724479255648766</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0.1721300790004986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0.2187005637779906</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0.1733718092837456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1.369274747983457</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0.2877734017053143</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0.3118622916566493</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0.1365666207207158</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2.937175036835042</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1.272330533608422</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0.4127511324757313</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0.6644286522780066</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0.07046970554463705</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0.1409394110892741</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5.995956930642272</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6.067554068652369</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2.189187526451304</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1.382644753548192</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0.501057931367628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1.031589858698058</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7.576915439476737</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9.846543780996408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3.700683068380974</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1.752955137654146</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0.8162065005706826</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1.680425148233758</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9.045853433951351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12.62285495754593</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4.893934350751676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2.097400436036433</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1.056944753475679</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2.149718142662397</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2.560225317084887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0.9607209715504845</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0.3299069522909446</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0.5746766265713229</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0.05321079875660398</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0.106421597513208</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5.100113338975247</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4.906313938408126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2.173941373983108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1.177551577574184</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0.4067811497688247</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0.8320523517998687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5.100113338975247</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4.906313938408126</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2.173941373983108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1.177551577574184</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0.4067811497688247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0.8320523517998687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2.63498656092799</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1.34919946796108</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0.5978175432671639</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0.5978175432671639</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0.1063265978380262</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0.2278427096529133</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2.560225317084887</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0.9607209715504845</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0.3299069522909446</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0.5746766265713229</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0.05321079875660398</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0.106421597513208</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2.937175036835042</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1.272330533608422</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0.4127511324757313</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0.6644286522780066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0.07046970554463705</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0.1409394110892741</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2.697389907036926</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0.9606089412524662</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0.4155025421408249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0.6080525006938902</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0.05320459381071539</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0.1064091876214308</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5.106183044480298</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4.093460834119206</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1.602166891596551</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1.178952995703123</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0.3387237861570534</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0.6912730329735783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4.567984783022233</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3.511768702183239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1.388224225101622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1.052609577274856</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0.2895436538469892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0.593041218722749</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4.628492322039158</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3.907137129504406</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1.329326237834312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1.066552446634506</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0.322435268178868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0.6614056783156266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16.71780577600115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22.95213542101141</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8.29235917475137</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3.872375275001819</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1.916565870167847</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3.911358918709891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5.362329813778613</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4.832233769287746</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1.62113155689204</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1.238789208568446</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0.4008235970557836</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0.8180073409301705</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6.099039198093898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5.755167915162913</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1.912545416282331</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1.411640664398863</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0.4790027756517843</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0.9742429335290531</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5.730412358720834</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5.293905765174197</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1.766875582215113</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1.325156686661335</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0.4399330059205165</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0.8961598268751262</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5.826159713776217</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4.867301348183974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1.887073355706886</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1.347909539790633</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0.4041271021441407</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0.8219534280897779</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5.826159713776217</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4.867301348183974</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1.887073355706886</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1.347909539790633</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0.4041271021441407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0.8219534280897779</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4.99494854490862</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4.37003372257972</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1.475291942583387</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1.152571830143271</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0.3616631166124199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0.7397654657981316</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5.914665651788624</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5.524582114649866</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1.839718694940433</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1.368385806154041</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0.4594722696056461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0.9352090443300762</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6.462785235121054</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7.371297673363051</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2.857883340545077</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1.496986511714088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0.6154891858062048</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1.25184241180923</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4.661241768606005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3.559558433452466</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1.539654186510014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1.070247422330132</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0.2857827139851316</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0.6062057569381579</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5.730412358720834</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5.293905765174197</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1.766875582215113</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1.325156686661335</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0.4399330059205165</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0.8961598268751262</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5.362329813778613</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4.832233769287746</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1.62113155689204</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1.238789208568446</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0.4008235970557836</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0.8180073409301705</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4.389071206734894</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3.317514139633328</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1.316838438144864</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1.010596940901873</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0.2731155189111823</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0.5602369618690918</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4.190760688886821</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3.591942438842155</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1.629814326892996</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0.9641155173169834</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0.2952037596563361</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0.6091506151638683</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1.875597849366699</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0.5667540571819057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0.6291762010262195</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0.6595931862448501</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0.1546592794495089</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0.2513400782645162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0.1239753720017846</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(1.15mm)</t>
        </is>
      </c>
      <c r="D512" t="inlineStr">
        <is>
          <t>TÔN_CUỘN_MẠ_KẼM</t>
        </is>
      </c>
      <c r="E512" t="inlineStr">
        <is>
          <t>MAT-STEEL-PN-1.15</t>
        </is>
      </c>
      <c r="F512" t="inlineStr">
        <is>
          <t>kg</t>
        </is>
      </c>
      <c r="G512" s="407" t="n">
        <v>15.90156754358801</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(2 modul 675x1250mm)</t>
        </is>
      </c>
    </row>
    <row r="513">
      <c r="A513" t="inlineStr">
        <is>
          <t>SW-DAMPER-107-BLADE</t>
        </is>
      </c>
      <c r="B513" t="inlineStr">
        <is>
          <t>SW-DAMPER-107</t>
        </is>
      </c>
      <c r="C513" t="inlineStr">
        <is>
          <t>Lá cánh / Tôn tấm bọc van (14 cánh)</t>
        </is>
      </c>
      <c r="D513" t="inlineStr">
        <is>
          <t>TÔN_CUỘN_MẠ_KẼM</t>
        </is>
      </c>
      <c r="E513" t="inlineStr">
        <is>
          <t>MAT-STEEL-PN-0.75</t>
        </is>
      </c>
      <c r="F513" t="inlineStr">
        <is>
          <t>kg</t>
        </is>
      </c>
      <c r="G513" s="407" t="n">
        <v>9.188587559615906</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14 cánh cao 199mm (2 modul 675x1250mm)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7.924299630386447</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14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14</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14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2</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(2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2</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1.258156314299361</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(2 modul 675x1250mm)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8.277981853985896</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5.190276303826908</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5.26256454213146</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0.7206068497603728</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1.717336744084353</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0.6839212515064143</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0.7974287422693981</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3.517375303130706</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2.075494474224</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2.064079633830398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19.98966832460631</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29.82108295233069</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11.04056340448761</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4.639385685928307</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2.502540842914528</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5.080346072082125</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9.300971174540289</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13.15815179036908</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5.091754112916753</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2.157193536388395</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1.102513521672866</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2.240881141611517</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5.546294474636881</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5.063127454676339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1.694014012268857</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1.281956549825081</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0.4203838808543429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0.85709334931468</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4.628492322039158</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3.907137129504406</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1.329326237834312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1.066552446634506</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0.322435268178868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0.6614056783156266</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4.99494854490862</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4.37003372257972</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1.475291942583387</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1.152571830143271</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0.3616631166124199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0.7397654657981316</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4.99494854490862</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4.37003372257972</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1.475291942583387</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1.152571830143271</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0.3616631166124199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0.7397654657981316</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2.335124038888959</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0.8315968799462102</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0.3684727244292264</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0.5263896063274663</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0.06100201966347613</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0.1407738915310988</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5.730412358720834</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5.293905765174197</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1.766875582215113</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1.325156686661335</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0.4399330059205165</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0.8961598268751262</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4.389071206734894</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3.317514139633328</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1.316838438144864</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1.010596940901873</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0.2731155189111823</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0.5602369618690918</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4.99494854490862</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4.37003372257972</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1.475291942583387</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1.152571830143271</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0.3616631166124199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0.7397654657981316</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6.837501682705668</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6.676782001665572</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2.203720315460524</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1.584867350159966</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0.5570542818471648</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1.130255064617436</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2.010598214488377</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0.4986602714504904</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0.2577769334554367</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0.4419033144950344</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0.02761895715593965</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0.05523791431187931</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2.010598214488377</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0.4986602714504904</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0.2577769334554367</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0.4419033144950344</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0.02761895715593965</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0.05523791431187931</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3.149914879215815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1.947999306874344</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0.8151878695803282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0.7192834143355837</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0.1571714717081006</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0.3289635454355594</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6.17593939336498</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4.071891340463814</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0.9697664228188537</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1.420820572967158</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0.225527075074152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0.4510541501483041</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3.028002114614096</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1.23239809304603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0.4095479677804587</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0.6825799463007645</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0.06825799463007645</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0.1365159892601529</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2.445300386115649</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0.8214664940339795</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0.2957370374533851</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0.5459760691447109</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0.04549800576205925</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0.0909960115241185</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3.319339429174715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1.437877162302237</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0.4664553835850119</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0.7508793979661168</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0.07963872402670934</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0.1592774480534187</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3.79223584872784</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1.796842382718711</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0.5639494231739702</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0.8625108825013662</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0.09952048644246533</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0.1990409728849307</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3.232079816807473</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0.6441704888904171</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0.715119258305002</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1.875597849366699</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0.5667540571819057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0.6291762010262195</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9.740046003276193</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4.075941826323659</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4.118787366879902</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0.5230211006325286</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1.482633253802313</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0.2170053136145605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0.2810572592133593</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1.482633253802313</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0.2170053136145605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0.2810572592133593</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0.5295522453149275</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0.1111596549932209</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0.1893889432664769</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20.00706012020072</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26.20234182015915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9.055807973292335</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4.644004088867865</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2.197728183337701</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4.45485442568453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9.198554001607993</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14.26215322845591</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5.233274169954052</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2.132806076811463</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1.192659671067984</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2.433999328710173</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8.87250315134678</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13.26114720854151</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5.190368703426198</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2.056561184376418</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1.108486478378889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2.26221730281406</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1.854293367090143</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0.4598941882664044</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0.2377372338495214</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0.4075495437420367</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0.02547184648387729</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0.05094369296775458</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3.177459691447321</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1.179786388730092</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0.5009708657027994</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0.7187842855735816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0.06534402596123469</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0.1306880519224694</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3.503484004751392</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1.594576551061679</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0.5078269270897068</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0.7948595380534541</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0.08831772645038381</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0.1766354529007676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2.713658716213134</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0.9164669760935944</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0.4060778625726256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0.6091167938589386</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0.0507597328215782</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0.1015194656431564</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3.028002114614096</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1.23239809304603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0.4095479677804587</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0.6825799463007645</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0.06825799463007645</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0.1365159892601529</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3.177459691447321</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1.179786388730092</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0.5009708657027994</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0.7187842855735816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0.06534402596123469</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0.1306880519224694</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6.17593939336498</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4.071891340463814</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0.9697664228188537</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1.420820572967158</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0.225527075074152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0.4510541501483041</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6.753053090528465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6.372307705145991</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2.117632026080086</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1.563014114487683</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0.5303673364647221</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1.07871322670791</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5.813691948636777</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4.660647706138187</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1.824161937969715</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1.342307841147526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0.3856571006638195</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0.7870553074771826</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4.440049196849821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3.064216146894286</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1.244581468322243</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1.01829392862729</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0.2501065813103273</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0.5174618923661944</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3.503484004751392</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1.594576551061679</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0.5078269270897068</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0.7948595380534541</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0.08831772645038381</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0.1766354529007676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3.028002114614096</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1.23239809304603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0.4095479677804587</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0.6825799463007645</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0.06825799463007645</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0.1365159892601529</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3.319339429174715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1.437877162302237</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0.4664553835850119</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0.7508793979661168</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0.07963872402670934</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0.1592774480534187</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4.084762009759655</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2.001157167234791</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0.6206856901974428</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0.9310285352961641</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0.1108367303924005</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0.221673460784801</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6.283520022299222</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5.985672936956278</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1.985357514872866</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1.454918484181642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0.4985254690091334</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1.013263148392548</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7.684176731843254</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9.495270004187397</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4.054273036202972</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1.778525435692814</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0.7917634066970335</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1.615843687136803</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2.575352368127013</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1.261685463515096</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0.3913286400268368</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0.586992960040255</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0.06988011429050656</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0.1397602285810131</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4.389071206734894</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3.317514139633328</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1.316838438144864</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1.010596940901873</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0.2731155189111823</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0.5602369618690918</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9.398841357691255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13.82847383074287</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4.948945750303138</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2.179892770966859</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1.158642861188839</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2.356561751570521</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1.482633253802313</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0.2170053136145605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0.2810572592133593</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SW-DAMPER-187-BODY</t>
        </is>
      </c>
      <c r="B1009" t="inlineStr">
        <is>
          <t>SW-DAMPER-187</t>
        </is>
      </c>
      <c r="C1009" t="inlineStr">
        <is>
          <t>Thân vỏ van VCD bích C30/TDF (0.75mm)</t>
        </is>
      </c>
      <c r="D1009" t="inlineStr">
        <is>
          <t>TÔN_CUỘN_MẠ_KẼM</t>
        </is>
      </c>
      <c r="E1009" t="inlineStr">
        <is>
          <t>MAT-STEEL-PN-0.75</t>
        </is>
      </c>
      <c r="F1009" t="inlineStr">
        <is>
          <t>kg</t>
        </is>
      </c>
      <c r="G1009" s="407" t="n">
        <v>1.89435126790071</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Kích thước vỏ 300x150x210mm</t>
        </is>
      </c>
    </row>
    <row r="1010">
      <c r="A1010" t="inlineStr">
        <is>
          <t>SW-DAMPER-187-BLADE</t>
        </is>
      </c>
      <c r="B1010" t="inlineStr">
        <is>
          <t>SW-DAMPER-187</t>
        </is>
      </c>
      <c r="C1010" t="inlineStr">
        <is>
          <t>Lá cánh / Tôn tấm bọc van (1 cánh)</t>
        </is>
      </c>
      <c r="D1010" t="inlineStr">
        <is>
          <t>TÔN_CUỘN_MẠ_KẼM</t>
        </is>
      </c>
      <c r="E1010" t="inlineStr">
        <is>
          <t>MAT-STEEL-PN-0.75</t>
        </is>
      </c>
      <c r="F1010" t="inlineStr">
        <is>
          <t>kg</t>
        </is>
      </c>
      <c r="G1010" s="407" t="n">
        <v>0.3775541606454303</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1 cánh cao 170mm</t>
        </is>
      </c>
    </row>
    <row r="1011">
      <c r="A1011" t="inlineStr">
        <is>
          <t>SW-DAMPER-187-AXLE</t>
        </is>
      </c>
      <c r="B1011" t="inlineStr">
        <is>
          <t>SW-DAMPER-187</t>
        </is>
      </c>
      <c r="C1011" t="inlineStr">
        <is>
          <t>Trục Sus 201 D10</t>
        </is>
      </c>
      <c r="D1011" t="inlineStr">
        <is>
          <t>PHỤ_KIỆN_VAN</t>
        </is>
      </c>
      <c r="E1011" t="inlineStr">
        <is>
          <t>MAT-DAMPER-TRUC-SUS-201-D10</t>
        </is>
      </c>
      <c r="F1011" t="inlineStr">
        <is>
          <t>m</t>
        </is>
      </c>
      <c r="G1011" s="407" t="n">
        <v>0.4191378772967324</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trục dài 360mm</t>
        </is>
      </c>
    </row>
    <row r="1012">
      <c r="A1012" t="inlineStr">
        <is>
          <t>SW-DAMPER-187-BEARING</t>
        </is>
      </c>
      <c r="B1012" t="inlineStr">
        <is>
          <t>SW-DAMPER-187</t>
        </is>
      </c>
      <c r="C1012" t="inlineStr">
        <is>
          <t>Bạc đồng D10</t>
        </is>
      </c>
      <c r="D1012" t="inlineStr">
        <is>
          <t>PHỤ_KIỆN_VAN</t>
        </is>
      </c>
      <c r="E1012" t="inlineStr">
        <is>
          <t>MAT-DAMPER-BAC-DONG-D10</t>
        </is>
      </c>
      <c r="F1012" t="inlineStr">
        <is>
          <t>Đôi</t>
        </is>
      </c>
      <c r="G1012" s="407" t="n">
        <v>1</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đôi bạc đỡ 2 bên thân</t>
        </is>
      </c>
    </row>
    <row r="1013">
      <c r="A1013" t="inlineStr">
        <is>
          <t>SW-DAMPER-187-HANDLE</t>
        </is>
      </c>
      <c r="B1013" t="inlineStr">
        <is>
          <t>SW-DAMPER-187</t>
        </is>
      </c>
      <c r="C1013" t="inlineStr">
        <is>
          <t>Tay gạt nhỏ</t>
        </is>
      </c>
      <c r="D1013" t="inlineStr">
        <is>
          <t>PHỤ_KIỆN_VAN</t>
        </is>
      </c>
      <c r="E1013" t="inlineStr">
        <is>
          <t>MAT-DAMPER-TAY-GAT-NHO</t>
        </is>
      </c>
      <c r="F1013" t="inlineStr">
        <is>
          <t>Bộ</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Tay gạt khóa vị trí nan (S=0.04m2)</t>
        </is>
      </c>
    </row>
    <row r="1014">
      <c r="A1014" t="inlineStr">
        <is>
          <t>SW-DAMPER-188-BODY</t>
        </is>
      </c>
      <c r="B1014" t="inlineStr">
        <is>
          <t>SW-DAMPER-188</t>
        </is>
      </c>
      <c r="C1014" t="inlineStr">
        <is>
          <t>Thân vỏ van MD bích C30/TDF (0.75mm)</t>
        </is>
      </c>
      <c r="D1014" t="inlineStr">
        <is>
          <t>TÔN_CUỘN_MẠ_KẼM</t>
        </is>
      </c>
      <c r="E1014" t="inlineStr">
        <is>
          <t>MAT-STEEL-PN-0.75</t>
        </is>
      </c>
      <c r="F1014" t="inlineStr">
        <is>
          <t>kg</t>
        </is>
      </c>
      <c r="G1014" s="407" t="n">
        <v>3.232079816807473</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Kích thước vỏ 300x150x210mm</t>
        </is>
      </c>
    </row>
    <row r="1015">
      <c r="A1015" t="inlineStr">
        <is>
          <t>SW-DAMPER-188-BLADE</t>
        </is>
      </c>
      <c r="B1015" t="inlineStr">
        <is>
          <t>SW-DAMPER-188</t>
        </is>
      </c>
      <c r="C1015" t="inlineStr">
        <is>
          <t>Lá cánh / Tôn tấm bọc van (1 cánh)</t>
        </is>
      </c>
      <c r="D1015" t="inlineStr">
        <is>
          <t>TÔN_CUỘN_MẠ_KẼM</t>
        </is>
      </c>
      <c r="E1015" t="inlineStr">
        <is>
          <t>MAT-STEEL-PN-0.75</t>
        </is>
      </c>
      <c r="F1015" t="inlineStr">
        <is>
          <t>kg</t>
        </is>
      </c>
      <c r="G1015" s="407" t="n">
        <v>0.6441704888904171</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1 cánh cao 170mm</t>
        </is>
      </c>
    </row>
    <row r="1016">
      <c r="A1016" t="inlineStr">
        <is>
          <t>SW-DAMPER-188-AXLE</t>
        </is>
      </c>
      <c r="B1016" t="inlineStr">
        <is>
          <t>SW-DAMPER-188</t>
        </is>
      </c>
      <c r="C1016" t="inlineStr">
        <is>
          <t>Trục Sus 201 D10</t>
        </is>
      </c>
      <c r="D1016" t="inlineStr">
        <is>
          <t>PHỤ_KIỆN_VAN</t>
        </is>
      </c>
      <c r="E1016" t="inlineStr">
        <is>
          <t>MAT-DAMPER-TRUC-SUS-201-D10</t>
        </is>
      </c>
      <c r="F1016" t="inlineStr">
        <is>
          <t>m</t>
        </is>
      </c>
      <c r="G1016" s="407" t="n">
        <v>0.715119258305002</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trục dài 360mm</t>
        </is>
      </c>
    </row>
    <row r="1017">
      <c r="A1017" t="inlineStr">
        <is>
          <t>SW-DAMPER-188-BEARING</t>
        </is>
      </c>
      <c r="B1017" t="inlineStr">
        <is>
          <t>SW-DAMPER-188</t>
        </is>
      </c>
      <c r="C1017" t="inlineStr">
        <is>
          <t>Bạc đồng D10</t>
        </is>
      </c>
      <c r="D1017" t="inlineStr">
        <is>
          <t>PHỤ_KIỆN_VAN</t>
        </is>
      </c>
      <c r="E1017" t="inlineStr">
        <is>
          <t>MAT-DAMPER-BAC-DONG-D10</t>
        </is>
      </c>
      <c r="F1017" t="inlineStr">
        <is>
          <t>Đôi</t>
        </is>
      </c>
      <c r="G1017" s="407" t="n">
        <v>1</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đôi bạc đỡ 2 bên thân</t>
        </is>
      </c>
    </row>
    <row r="1018">
      <c r="A1018" t="inlineStr">
        <is>
          <t>SW-DAMPER-188-ACTUATOR</t>
        </is>
      </c>
      <c r="B1018" t="inlineStr">
        <is>
          <t>SW-DAMPER-188</t>
        </is>
      </c>
      <c r="C1018" t="inlineStr">
        <is>
          <t>Động cơ van gió Belimo ON/OFF 5Nm</t>
        </is>
      </c>
      <c r="D1018" t="inlineStr">
        <is>
          <t>ĐỘNG_CƠ_VÀ_CẢM_BIẾN</t>
        </is>
      </c>
      <c r="E1018" t="inlineStr">
        <is>
          <t>MAT-ACTUATOR-BELIMO-5NM</t>
        </is>
      </c>
      <c r="F1018" t="inlineStr">
        <is>
          <t>Cái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Tiết diện 0.04m2/modul (1 bộ)</t>
        </is>
      </c>
    </row>
    <row r="1019">
      <c r="A1019" t="inlineStr">
        <is>
          <t>SW-DAMPER-189-BODY</t>
        </is>
      </c>
      <c r="B1019" t="inlineStr">
        <is>
          <t>SW-DAMPER-189</t>
        </is>
      </c>
      <c r="C1019" t="inlineStr">
        <is>
          <t>Thân vỏ van VCD bích C30/TDF (0.75mm)</t>
        </is>
      </c>
      <c r="D1019" t="inlineStr">
        <is>
          <t>TÔN_CUỘN_MẠ_KẼM</t>
        </is>
      </c>
      <c r="E1019" t="inlineStr">
        <is>
          <t>MAT-STEEL-PN-0.75</t>
        </is>
      </c>
      <c r="F1019" t="inlineStr">
        <is>
          <t>kg</t>
        </is>
      </c>
      <c r="G1019" s="407" t="n">
        <v>1.875597849366699</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Kích thước vỏ 300x300x210mm</t>
        </is>
      </c>
    </row>
    <row r="1020">
      <c r="A1020" t="inlineStr">
        <is>
          <t>SW-DAMPER-189-BLADE</t>
        </is>
      </c>
      <c r="B1020" t="inlineStr">
        <is>
          <t>SW-DAMPER-189</t>
        </is>
      </c>
      <c r="C1020" t="inlineStr">
        <is>
          <t>Lá cánh / Tôn tấm bọc van (2 cánh)</t>
        </is>
      </c>
      <c r="D1020" t="inlineStr">
        <is>
          <t>TÔN_CUỘN_MẠ_KẼM</t>
        </is>
      </c>
      <c r="E1020" t="inlineStr">
        <is>
          <t>MAT-STEEL-PN-0.75</t>
        </is>
      </c>
      <c r="F1020" t="inlineStr">
        <is>
          <t>kg</t>
        </is>
      </c>
      <c r="G1020" s="407" t="n">
        <v>0.5667540571819057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2 cánh cao 170mm</t>
        </is>
      </c>
    </row>
    <row r="1021">
      <c r="A1021" t="inlineStr">
        <is>
          <t>SW-DAMPER-189-AXLE</t>
        </is>
      </c>
      <c r="B1021" t="inlineStr">
        <is>
          <t>SW-DAMPER-189</t>
        </is>
      </c>
      <c r="C1021" t="inlineStr">
        <is>
          <t>Trục Sus 201 D10</t>
        </is>
      </c>
      <c r="D1021" t="inlineStr">
        <is>
          <t>PHỤ_KIỆN_VAN</t>
        </is>
      </c>
      <c r="E1021" t="inlineStr">
        <is>
          <t>MAT-DAMPER-TRUC-SUS-201-D10</t>
        </is>
      </c>
      <c r="F1021" t="inlineStr">
        <is>
          <t>m</t>
        </is>
      </c>
      <c r="G1021" s="407" t="n">
        <v>0.6291762010262195</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trục dài 360mm</t>
        </is>
      </c>
    </row>
    <row r="1022">
      <c r="A1022" t="inlineStr">
        <is>
          <t>SW-DAMPER-189-BEARING</t>
        </is>
      </c>
      <c r="B1022" t="inlineStr">
        <is>
          <t>SW-DAMPER-189</t>
        </is>
      </c>
      <c r="C1022" t="inlineStr">
        <is>
          <t>Bạc đồng D10</t>
        </is>
      </c>
      <c r="D1022" t="inlineStr">
        <is>
          <t>PHỤ_KIỆN_VAN</t>
        </is>
      </c>
      <c r="E1022" t="inlineStr">
        <is>
          <t>MAT-DAMPER-BAC-DONG-D10</t>
        </is>
      </c>
      <c r="F1022" t="inlineStr">
        <is>
          <t>Đôi</t>
        </is>
      </c>
      <c r="G1022" s="407" t="n">
        <v>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đôi bạc đỡ 2 bên thân</t>
        </is>
      </c>
    </row>
    <row r="1023">
      <c r="A1023" t="inlineStr">
        <is>
          <t>SW-DAMPER-189-GEAR</t>
        </is>
      </c>
      <c r="B1023" t="inlineStr">
        <is>
          <t>SW-DAMPER-189</t>
        </is>
      </c>
      <c r="C1023" t="inlineStr">
        <is>
          <t>Bánh răng van nhôm</t>
        </is>
      </c>
      <c r="D1023" t="inlineStr">
        <is>
          <t>PHỤ_KIỆN_VAN</t>
        </is>
      </c>
      <c r="E1023" t="inlineStr">
        <is>
          <t>MAT-DAMPER-BANH-RANG-VAN-NHOM</t>
        </is>
      </c>
      <c r="F1023" t="inlineStr">
        <is>
          <t>Bộ</t>
        </is>
      </c>
      <c r="G1023" s="407" t="n">
        <v>1</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Cơ cấu liên động cánh (1 bộ)</t>
        </is>
      </c>
    </row>
    <row r="1024">
      <c r="A1024" t="inlineStr">
        <is>
          <t>SW-DAMPER-189-HANDLE</t>
        </is>
      </c>
      <c r="B1024" t="inlineStr">
        <is>
          <t>SW-DAMPER-189</t>
        </is>
      </c>
      <c r="C1024" t="inlineStr">
        <is>
          <t>Tay gạt nhỏ</t>
        </is>
      </c>
      <c r="D1024" t="inlineStr">
        <is>
          <t>PHỤ_KIỆN_VAN</t>
        </is>
      </c>
      <c r="E1024" t="inlineStr">
        <is>
          <t>MAT-DAMPER-TAY-GAT-NHO</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Tay gạt khóa vị trí nan (S=0.09m2)</t>
        </is>
      </c>
    </row>
    <row r="1025">
      <c r="A1025" t="inlineStr">
        <is>
          <t>SW-DAMPER-190-BODY</t>
        </is>
      </c>
      <c r="B1025" t="inlineStr">
        <is>
          <t>SW-DAMPER-190</t>
        </is>
      </c>
      <c r="C1025" t="inlineStr">
        <is>
          <t>Thân vỏ van NRD bích C30/TDF (0.75mm)</t>
        </is>
      </c>
      <c r="D1025" t="inlineStr">
        <is>
          <t>TÔN_CUỘN_MẠ_KẼM</t>
        </is>
      </c>
      <c r="E1025" t="inlineStr">
        <is>
          <t>MAT-STEEL-PN-0.75</t>
        </is>
      </c>
      <c r="F1025" t="inlineStr">
        <is>
          <t>kg</t>
        </is>
      </c>
      <c r="G1025" s="407" t="n">
        <v>0.392765829386833</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Kích thước vỏ 350x200x210mm</t>
        </is>
      </c>
    </row>
    <row r="1026">
      <c r="A1026" t="inlineStr">
        <is>
          <t>SW-DAMPER-190-BLADE</t>
        </is>
      </c>
      <c r="B1026" t="inlineStr">
        <is>
          <t>SW-DAMPER-190</t>
        </is>
      </c>
      <c r="C1026" t="inlineStr">
        <is>
          <t>Lá cánh / Tôn tấm bọc van (2 cánh)</t>
        </is>
      </c>
      <c r="D1026" t="inlineStr">
        <is>
          <t>TÔN_CUỘN_MẠ_KẼM</t>
        </is>
      </c>
      <c r="E1026" t="inlineStr">
        <is>
          <t>MAT-STEEL-PN-0.75</t>
        </is>
      </c>
      <c r="F1026" t="inlineStr">
        <is>
          <t>kg</t>
        </is>
      </c>
      <c r="G1026" s="407" t="n">
        <v>0.1063125553227518</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2 cánh cao 120mm</t>
        </is>
      </c>
    </row>
    <row r="1027">
      <c r="A1027" t="inlineStr">
        <is>
          <t>SW-DAMPER-190-AXLE</t>
        </is>
      </c>
      <c r="B1027" t="inlineStr">
        <is>
          <t>SW-DAMPER-190</t>
        </is>
      </c>
      <c r="C1027" t="inlineStr">
        <is>
          <t>Trục Sus 201 D10</t>
        </is>
      </c>
      <c r="D1027" t="inlineStr">
        <is>
          <t>PHỤ_KIỆN_VAN</t>
        </is>
      </c>
      <c r="E1027" t="inlineStr">
        <is>
          <t>MAT-DAMPER-TRUC-SUS-201-D10</t>
        </is>
      </c>
      <c r="F1027" t="inlineStr">
        <is>
          <t>m</t>
        </is>
      </c>
      <c r="G1027" s="407" t="n">
        <v>0.1632166454439622</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trục dài 410mm</t>
        </is>
      </c>
    </row>
    <row r="1028">
      <c r="A1028" t="inlineStr">
        <is>
          <t>SW-DAMPER-190-BEARING</t>
        </is>
      </c>
      <c r="B1028" t="inlineStr">
        <is>
          <t>SW-DAMPER-190</t>
        </is>
      </c>
      <c r="C1028" t="inlineStr">
        <is>
          <t>Bạc đồng D10</t>
        </is>
      </c>
      <c r="D1028" t="inlineStr">
        <is>
          <t>PHỤ_KIỆN_VAN</t>
        </is>
      </c>
      <c r="E1028" t="inlineStr">
        <is>
          <t>MAT-DAMPER-BAC-DONG-D10</t>
        </is>
      </c>
      <c r="F1028" t="inlineStr">
        <is>
          <t>Đôi</t>
        </is>
      </c>
      <c r="G1028" s="407" t="n">
        <v>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đôi bạc đỡ 2 bên thân</t>
        </is>
      </c>
    </row>
    <row r="1029">
      <c r="A1029" t="inlineStr">
        <is>
          <t>SW-DAMPER-190-GEAR</t>
        </is>
      </c>
      <c r="B1029" t="inlineStr">
        <is>
          <t>SW-DAMPER-190</t>
        </is>
      </c>
      <c r="C1029" t="inlineStr">
        <is>
          <t>Bánh răng van nhôm</t>
        </is>
      </c>
      <c r="D1029" t="inlineStr">
        <is>
          <t>PHỤ_KIỆN_VAN</t>
        </is>
      </c>
      <c r="E1029" t="inlineStr">
        <is>
          <t>MAT-DAMPER-BANH-RANG-VAN-NHOM</t>
        </is>
      </c>
      <c r="F1029" t="inlineStr">
        <is>
          <t>Bộ</t>
        </is>
      </c>
      <c r="G1029" s="407" t="n">
        <v>1</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Cơ cấu liên động cánh (1 bộ)</t>
        </is>
      </c>
    </row>
    <row r="1030">
      <c r="A1030" t="inlineStr">
        <is>
          <t>SW-DAMPER-190-ECCENTRIC</t>
        </is>
      </c>
      <c r="B1030" t="inlineStr">
        <is>
          <t>SW-DAMPER-190</t>
        </is>
      </c>
      <c r="C1030" t="inlineStr">
        <is>
          <t>Cơ cấu lệch tâm / Lò xo đóng mở (NRD)</t>
        </is>
      </c>
      <c r="D1030" t="inlineStr">
        <is>
          <t>PHỤ_KIỆN_VAN</t>
        </is>
      </c>
      <c r="E1030" t="inlineStr">
        <is>
          <t>ECCENTRIC_SHAFT</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đóng mở một chiều</t>
        </is>
      </c>
    </row>
    <row r="1031">
      <c r="A1031" t="inlineStr">
        <is>
          <t>SW-DAMPER-191-BODY</t>
        </is>
      </c>
      <c r="B1031" t="inlineStr">
        <is>
          <t>SW-DAMPER-191</t>
        </is>
      </c>
      <c r="C1031" t="inlineStr">
        <is>
          <t>Thân vỏ van NRD bích C30/TDF (0.75mm)</t>
        </is>
      </c>
      <c r="D1031" t="inlineStr">
        <is>
          <t>TÔN_CUỘN_MẠ_KẼM</t>
        </is>
      </c>
      <c r="E1031" t="inlineStr">
        <is>
          <t>MAT-STEEL-PN-0.75</t>
        </is>
      </c>
      <c r="F1031" t="inlineStr">
        <is>
          <t>kg</t>
        </is>
      </c>
      <c r="G1031" s="407" t="n">
        <v>1.474670447071415</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Kích thước vỏ 400x400x210mm</t>
        </is>
      </c>
    </row>
    <row r="1032">
      <c r="A1032" t="inlineStr">
        <is>
          <t>SW-DAMPER-191-BLADE</t>
        </is>
      </c>
      <c r="B1032" t="inlineStr">
        <is>
          <t>SW-DAMPER-191</t>
        </is>
      </c>
      <c r="C1032" t="inlineStr">
        <is>
          <t>Lá cánh / Tôn tấm bọc van (3 cánh)</t>
        </is>
      </c>
      <c r="D1032" t="inlineStr">
        <is>
          <t>TÔN_CUỘN_MẠ_KẼM</t>
        </is>
      </c>
      <c r="E1032" t="inlineStr">
        <is>
          <t>MAT-STEEL-PN-0.75</t>
        </is>
      </c>
      <c r="F1032" t="inlineStr">
        <is>
          <t>kg</t>
        </is>
      </c>
      <c r="G1032" s="407" t="n">
        <v>0.6077785615605434</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3 cánh cao 153mm</t>
        </is>
      </c>
    </row>
    <row r="1033">
      <c r="A1033" t="inlineStr">
        <is>
          <t>SW-DAMPER-191-AXLE</t>
        </is>
      </c>
      <c r="B1033" t="inlineStr">
        <is>
          <t>SW-DAMPER-191</t>
        </is>
      </c>
      <c r="C1033" t="inlineStr">
        <is>
          <t>Trục Sus 201 D10</t>
        </is>
      </c>
      <c r="D1033" t="inlineStr">
        <is>
          <t>PHỤ_KIỆN_VAN</t>
        </is>
      </c>
      <c r="E1033" t="inlineStr">
        <is>
          <t>MAT-DAMPER-TRUC-SUS-201-D10</t>
        </is>
      </c>
      <c r="F1033" t="inlineStr">
        <is>
          <t>m</t>
        </is>
      </c>
      <c r="G1033" s="407" t="n">
        <v>0.716889079453342</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trục dài 460mm</t>
        </is>
      </c>
    </row>
    <row r="1034">
      <c r="A1034" t="inlineStr">
        <is>
          <t>SW-DAMPER-191-BEARING</t>
        </is>
      </c>
      <c r="B1034" t="inlineStr">
        <is>
          <t>SW-DAMPER-191</t>
        </is>
      </c>
      <c r="C1034" t="inlineStr">
        <is>
          <t>Bạc đồng D10</t>
        </is>
      </c>
      <c r="D1034" t="inlineStr">
        <is>
          <t>PHỤ_KIỆN_VAN</t>
        </is>
      </c>
      <c r="E1034" t="inlineStr">
        <is>
          <t>MAT-DAMPER-BAC-DONG-D10</t>
        </is>
      </c>
      <c r="F1034" t="inlineStr">
        <is>
          <t>Đôi</t>
        </is>
      </c>
      <c r="G1034" s="407" t="n">
        <v>3</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đôi bạc đỡ 2 bên thân</t>
        </is>
      </c>
    </row>
    <row r="1035">
      <c r="A1035" t="inlineStr">
        <is>
          <t>SW-DAMPER-191-GEAR</t>
        </is>
      </c>
      <c r="B1035" t="inlineStr">
        <is>
          <t>SW-DAMPER-191</t>
        </is>
      </c>
      <c r="C1035" t="inlineStr">
        <is>
          <t>Bánh răng van nhôm</t>
        </is>
      </c>
      <c r="D1035" t="inlineStr">
        <is>
          <t>PHỤ_KIỆN_VAN</t>
        </is>
      </c>
      <c r="E1035" t="inlineStr">
        <is>
          <t>MAT-DAMPER-BANH-RANG-VAN-NHOM</t>
        </is>
      </c>
      <c r="F1035" t="inlineStr">
        <is>
          <t>Bộ</t>
        </is>
      </c>
      <c r="G1035" s="407" t="n">
        <v>1</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Cơ cấu liên động cánh (1 bộ)</t>
        </is>
      </c>
    </row>
    <row r="1036">
      <c r="A1036" t="inlineStr">
        <is>
          <t>SW-DAMPER-191-ECCENTRIC</t>
        </is>
      </c>
      <c r="B1036" t="inlineStr">
        <is>
          <t>SW-DAMPER-191</t>
        </is>
      </c>
      <c r="C1036" t="inlineStr">
        <is>
          <t>Cơ cấu lệch tâm / Lò xo đóng mở (NRD)</t>
        </is>
      </c>
      <c r="D1036" t="inlineStr">
        <is>
          <t>PHỤ_KIỆN_VAN</t>
        </is>
      </c>
      <c r="E1036" t="inlineStr">
        <is>
          <t>ECCENTRIC_SHAFT</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đóng mở một chiều</t>
        </is>
      </c>
    </row>
    <row r="1037">
      <c r="A1037" t="inlineStr">
        <is>
          <t>SW-DAMPER-192-BODY</t>
        </is>
      </c>
      <c r="B1037" t="inlineStr">
        <is>
          <t>SW-DAMPER-192</t>
        </is>
      </c>
      <c r="C1037" t="inlineStr">
        <is>
          <t>Thân vỏ van NRD bích C30/TDF (0.75mm)</t>
        </is>
      </c>
      <c r="D1037" t="inlineStr">
        <is>
          <t>TÔN_CUỘN_MẠ_KẼM</t>
        </is>
      </c>
      <c r="E1037" t="inlineStr">
        <is>
          <t>MAT-STEEL-PN-0.75</t>
        </is>
      </c>
      <c r="F1037" t="inlineStr">
        <is>
          <t>kg</t>
        </is>
      </c>
      <c r="G1037" s="407" t="n">
        <v>0.2725724307191532</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Kích thước vỏ 250x250x210mm</t>
        </is>
      </c>
    </row>
    <row r="1038">
      <c r="A1038" t="inlineStr">
        <is>
          <t>SW-DAMPER-192-BLADE</t>
        </is>
      </c>
      <c r="B1038" t="inlineStr">
        <is>
          <t>SW-DAMPER-192</t>
        </is>
      </c>
      <c r="C1038" t="inlineStr">
        <is>
          <t>Lá cánh / Tôn tấm bọc van (2 cánh)</t>
        </is>
      </c>
      <c r="D1038" t="inlineStr">
        <is>
          <t>TÔN_CUỘN_MẠ_KẼM</t>
        </is>
      </c>
      <c r="E1038" t="inlineStr">
        <is>
          <t>MAT-STEEL-PN-0.75</t>
        </is>
      </c>
      <c r="F1038" t="inlineStr">
        <is>
          <t>kg</t>
        </is>
      </c>
      <c r="G1038" s="407" t="n">
        <v>0.06980122097497936</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2 cánh cao 145mm</t>
        </is>
      </c>
    </row>
    <row r="1039">
      <c r="A1039" t="inlineStr">
        <is>
          <t>SW-DAMPER-192-AXLE</t>
        </is>
      </c>
      <c r="B1039" t="inlineStr">
        <is>
          <t>SW-DAMPER-192</t>
        </is>
      </c>
      <c r="C1039" t="inlineStr">
        <is>
          <t>Trục Sus 201 D10</t>
        </is>
      </c>
      <c r="D1039" t="inlineStr">
        <is>
          <t>PHỤ_KIỆN_VAN</t>
        </is>
      </c>
      <c r="E1039" t="inlineStr">
        <is>
          <t>MAT-DAMPER-TRUC-SUS-201-D10</t>
        </is>
      </c>
      <c r="F1039" t="inlineStr">
        <is>
          <t>m</t>
        </is>
      </c>
      <c r="G1039" s="407" t="n">
        <v>0.0938776104849869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trục dài 310mm</t>
        </is>
      </c>
    </row>
    <row r="1040">
      <c r="A1040" t="inlineStr">
        <is>
          <t>SW-DAMPER-192-BEARING</t>
        </is>
      </c>
      <c r="B1040" t="inlineStr">
        <is>
          <t>SW-DAMPER-192</t>
        </is>
      </c>
      <c r="C1040" t="inlineStr">
        <is>
          <t>Bạc đồng D10</t>
        </is>
      </c>
      <c r="D1040" t="inlineStr">
        <is>
          <t>PHỤ_KIỆN_VAN</t>
        </is>
      </c>
      <c r="E1040" t="inlineStr">
        <is>
          <t>MAT-DAMPER-BAC-DONG-D10</t>
        </is>
      </c>
      <c r="F1040" t="inlineStr">
        <is>
          <t>Đôi</t>
        </is>
      </c>
      <c r="G1040" s="407" t="n">
        <v>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đôi bạc đỡ 2 bên thân</t>
        </is>
      </c>
    </row>
    <row r="1041">
      <c r="A1041" t="inlineStr">
        <is>
          <t>SW-DAMPER-192-GEAR</t>
        </is>
      </c>
      <c r="B1041" t="inlineStr">
        <is>
          <t>SW-DAMPER-192</t>
        </is>
      </c>
      <c r="C1041" t="inlineStr">
        <is>
          <t>Bánh răng van nhôm</t>
        </is>
      </c>
      <c r="D1041" t="inlineStr">
        <is>
          <t>PHỤ_KIỆN_VAN</t>
        </is>
      </c>
      <c r="E1041" t="inlineStr">
        <is>
          <t>MAT-DAMPER-BANH-RANG-VAN-NHOM</t>
        </is>
      </c>
      <c r="F1041" t="inlineStr">
        <is>
          <t>Bộ</t>
        </is>
      </c>
      <c r="G1041" s="407" t="n">
        <v>1</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Cơ cấu liên động cánh (1 bộ)</t>
        </is>
      </c>
    </row>
    <row r="1042">
      <c r="A1042" t="inlineStr">
        <is>
          <t>SW-DAMPER-192-ECCENTRIC</t>
        </is>
      </c>
      <c r="B1042" t="inlineStr">
        <is>
          <t>SW-DAMPER-192</t>
        </is>
      </c>
      <c r="C1042" t="inlineStr">
        <is>
          <t>Cơ cấu lệch tâm / Lò xo đóng mở (NRD)</t>
        </is>
      </c>
      <c r="D1042" t="inlineStr">
        <is>
          <t>PHỤ_KIỆN_VAN</t>
        </is>
      </c>
      <c r="E1042" t="inlineStr">
        <is>
          <t>ECCENTRIC_SHAFT</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đóng mở một chiều</t>
        </is>
      </c>
    </row>
    <row r="1043">
      <c r="A1043" t="inlineStr">
        <is>
          <t>SW-DAMPER-193-BODY</t>
        </is>
      </c>
      <c r="B1043" t="inlineStr">
        <is>
          <t>SW-DAMPER-193</t>
        </is>
      </c>
      <c r="C1043" t="inlineStr">
        <is>
          <t>Thân vỏ van NRD bích C30/TDF (0.75mm)</t>
        </is>
      </c>
      <c r="D1043" t="inlineStr">
        <is>
          <t>TÔN_CUỘN_MẠ_KẼM</t>
        </is>
      </c>
      <c r="E1043" t="inlineStr">
        <is>
          <t>MAT-STEEL-PN-0.75</t>
        </is>
      </c>
      <c r="F1043" t="inlineStr">
        <is>
          <t>kg</t>
        </is>
      </c>
      <c r="G1043" s="407" t="n">
        <v>8.674171712280474</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Kích thước vỏ 1250x350x210mm (2 modul 625x350mm)</t>
        </is>
      </c>
    </row>
    <row r="1044">
      <c r="A1044" t="inlineStr">
        <is>
          <t>SW-DAMPER-193-BLADE</t>
        </is>
      </c>
      <c r="B1044" t="inlineStr">
        <is>
          <t>SW-DAMPER-193</t>
        </is>
      </c>
      <c r="C1044" t="inlineStr">
        <is>
          <t>Lá cánh / Tôn tấm bọc van (4 cánh)</t>
        </is>
      </c>
      <c r="D1044" t="inlineStr">
        <is>
          <t>TÔN_CUỘN_MẠ_KẼM</t>
        </is>
      </c>
      <c r="E1044" t="inlineStr">
        <is>
          <t>MAT-STEEL-PN-0.75</t>
        </is>
      </c>
      <c r="F1044" t="inlineStr">
        <is>
          <t>kg</t>
        </is>
      </c>
      <c r="G1044" s="407" t="n">
        <v>3.90297696519645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4 cánh cao 195mm (2 modul 625x350mm)</t>
        </is>
      </c>
    </row>
    <row r="1045">
      <c r="A1045" t="inlineStr">
        <is>
          <t>SW-DAMPER-193-AXLE</t>
        </is>
      </c>
      <c r="B1045" t="inlineStr">
        <is>
          <t>SW-DAMPER-193</t>
        </is>
      </c>
      <c r="C1045" t="inlineStr">
        <is>
          <t>Trục Sus 201 D10</t>
        </is>
      </c>
      <c r="D1045" t="inlineStr">
        <is>
          <t>PHỤ_KIỆN_VAN</t>
        </is>
      </c>
      <c r="E1045" t="inlineStr">
        <is>
          <t>MAT-DAMPER-TRUC-SUS-201-D10</t>
        </is>
      </c>
      <c r="F1045" t="inlineStr">
        <is>
          <t>m</t>
        </is>
      </c>
      <c r="G1045" s="407" t="n">
        <v>3.449985385083411</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trục dài 685mm</t>
        </is>
      </c>
    </row>
    <row r="1046">
      <c r="A1046" t="inlineStr">
        <is>
          <t>SW-DAMPER-193-BEARING</t>
        </is>
      </c>
      <c r="B1046" t="inlineStr">
        <is>
          <t>SW-DAMPER-193</t>
        </is>
      </c>
      <c r="C1046" t="inlineStr">
        <is>
          <t>Bạc đồng D10</t>
        </is>
      </c>
      <c r="D1046" t="inlineStr">
        <is>
          <t>PHỤ_KIỆN_VAN</t>
        </is>
      </c>
      <c r="E1046" t="inlineStr">
        <is>
          <t>MAT-DAMPER-BAC-DONG-D10</t>
        </is>
      </c>
      <c r="F1046" t="inlineStr">
        <is>
          <t>Đôi</t>
        </is>
      </c>
      <c r="G1046" s="407" t="n">
        <v>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đôi bạc đỡ 2 bên thân</t>
        </is>
      </c>
    </row>
    <row r="1047">
      <c r="A1047" t="inlineStr">
        <is>
          <t>SW-DAMPER-193-GEAR</t>
        </is>
      </c>
      <c r="B1047" t="inlineStr">
        <is>
          <t>SW-DAMPER-193</t>
        </is>
      </c>
      <c r="C1047" t="inlineStr">
        <is>
          <t>Bánh răng van nhôm</t>
        </is>
      </c>
      <c r="D1047" t="inlineStr">
        <is>
          <t>PHỤ_KIỆN_VAN</t>
        </is>
      </c>
      <c r="E1047" t="inlineStr">
        <is>
          <t>MAT-DAMPER-BANH-RANG-VAN-NHOM</t>
        </is>
      </c>
      <c r="F1047" t="inlineStr">
        <is>
          <t>Bộ</t>
        </is>
      </c>
      <c r="G1047" s="407" t="n">
        <v>2</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Cơ cấu liên động cánh (2 bộ)</t>
        </is>
      </c>
    </row>
    <row r="1048">
      <c r="A1048" t="inlineStr">
        <is>
          <t>SW-DAMPER-193-ECCENTRIC</t>
        </is>
      </c>
      <c r="B1048" t="inlineStr">
        <is>
          <t>SW-DAMPER-193</t>
        </is>
      </c>
      <c r="C1048" t="inlineStr">
        <is>
          <t>Cơ cấu lệch tâm / Lò xo đóng mở (NRD)</t>
        </is>
      </c>
      <c r="D1048" t="inlineStr">
        <is>
          <t>PHỤ_KIỆN_VAN</t>
        </is>
      </c>
      <c r="E1048" t="inlineStr">
        <is>
          <t>ECCENTRIC_SHAFT</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đóng mở một chiều</t>
        </is>
      </c>
    </row>
    <row r="1049">
      <c r="A1049" t="inlineStr">
        <is>
          <t>SW-DAMPER-194-BODY</t>
        </is>
      </c>
      <c r="B1049" t="inlineStr">
        <is>
          <t>SW-DAMPER-194</t>
        </is>
      </c>
      <c r="C1049" t="inlineStr">
        <is>
          <t>Thân vỏ van NRD bích C30/TDF (0.95mm)</t>
        </is>
      </c>
      <c r="D1049" t="inlineStr">
        <is>
          <t>TÔN_CUỘN_MẠ_KẼM</t>
        </is>
      </c>
      <c r="E1049" t="inlineStr">
        <is>
          <t>MAT-STEEL-PN-0.95</t>
        </is>
      </c>
      <c r="F1049" t="inlineStr">
        <is>
          <t>kg</t>
        </is>
      </c>
      <c r="G1049" s="407" t="n">
        <v>4.531733032979433</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Kích thước vỏ 1000x550x210mm</t>
        </is>
      </c>
    </row>
    <row r="1050">
      <c r="A1050" t="inlineStr">
        <is>
          <t>SW-DAMPER-194-BLADE</t>
        </is>
      </c>
      <c r="B1050" t="inlineStr">
        <is>
          <t>SW-DAMPER-194</t>
        </is>
      </c>
      <c r="C1050" t="inlineStr">
        <is>
          <t>Lá cánh / Tôn tấm bọc van (4 cánh)</t>
        </is>
      </c>
      <c r="D1050" t="inlineStr">
        <is>
          <t>TÔN_CUỘN_MẠ_KẼM</t>
        </is>
      </c>
      <c r="E1050" t="inlineStr">
        <is>
          <t>MAT-STEEL-PN-0.75</t>
        </is>
      </c>
      <c r="F1050" t="inlineStr">
        <is>
          <t>kg</t>
        </is>
      </c>
      <c r="G1050" s="407" t="n">
        <v>2.636873538178252</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4 cánh cao 158mm</t>
        </is>
      </c>
    </row>
    <row r="1051">
      <c r="A1051" t="inlineStr">
        <is>
          <t>SW-DAMPER-194-AXLE</t>
        </is>
      </c>
      <c r="B1051" t="inlineStr">
        <is>
          <t>SW-DAMPER-194</t>
        </is>
      </c>
      <c r="C1051" t="inlineStr">
        <is>
          <t>Trục Sus 201 D10</t>
        </is>
      </c>
      <c r="D1051" t="inlineStr">
        <is>
          <t>PHỤ_KIỆN_VAN</t>
        </is>
      </c>
      <c r="E1051" t="inlineStr">
        <is>
          <t>MAT-DAMPER-TRUC-SUS-201-D10</t>
        </is>
      </c>
      <c r="F1051" t="inlineStr">
        <is>
          <t>m</t>
        </is>
      </c>
      <c r="G1051" s="407" t="n">
        <v>2.791000623306583</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trục dài 1060mm</t>
        </is>
      </c>
    </row>
    <row r="1052">
      <c r="A1052" t="inlineStr">
        <is>
          <t>SW-DAMPER-194-BEARING</t>
        </is>
      </c>
      <c r="B1052" t="inlineStr">
        <is>
          <t>SW-DAMPER-194</t>
        </is>
      </c>
      <c r="C1052" t="inlineStr">
        <is>
          <t>Bạc đồng D10</t>
        </is>
      </c>
      <c r="D1052" t="inlineStr">
        <is>
          <t>PHỤ_KIỆN_VAN</t>
        </is>
      </c>
      <c r="E1052" t="inlineStr">
        <is>
          <t>MAT-DAMPER-BAC-DONG-D10</t>
        </is>
      </c>
      <c r="F1052" t="inlineStr">
        <is>
          <t>Đôi</t>
        </is>
      </c>
      <c r="G1052" s="407" t="n">
        <v>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đôi bạc đỡ 2 bên thân</t>
        </is>
      </c>
    </row>
    <row r="1053">
      <c r="A1053" t="inlineStr">
        <is>
          <t>SW-DAMPER-194-GEAR</t>
        </is>
      </c>
      <c r="B1053" t="inlineStr">
        <is>
          <t>SW-DAMPER-194</t>
        </is>
      </c>
      <c r="C1053" t="inlineStr">
        <is>
          <t>Bánh răng van nhôm</t>
        </is>
      </c>
      <c r="D1053" t="inlineStr">
        <is>
          <t>PHỤ_KIỆN_VAN</t>
        </is>
      </c>
      <c r="E1053" t="inlineStr">
        <is>
          <t>MAT-DAMPER-BANH-RANG-VAN-NHOM</t>
        </is>
      </c>
      <c r="F1053" t="inlineStr">
        <is>
          <t>Bộ</t>
        </is>
      </c>
      <c r="G1053" s="407" t="n">
        <v>1</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Cơ cấu liên động cánh (1 bộ)</t>
        </is>
      </c>
    </row>
    <row r="1054">
      <c r="A1054" t="inlineStr">
        <is>
          <t>SW-DAMPER-194-ECCENTRIC</t>
        </is>
      </c>
      <c r="B1054" t="inlineStr">
        <is>
          <t>SW-DAMPER-194</t>
        </is>
      </c>
      <c r="C1054" t="inlineStr">
        <is>
          <t>Cơ cấu lệch tâm / Lò xo đóng mở (NRD)</t>
        </is>
      </c>
      <c r="D1054" t="inlineStr">
        <is>
          <t>PHỤ_KIỆN_VAN</t>
        </is>
      </c>
      <c r="E1054" t="inlineStr">
        <is>
          <t>ECCENTRIC_SHAFT</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đóng mở một chiều</t>
        </is>
      </c>
    </row>
    <row r="1055">
      <c r="A1055" t="inlineStr">
        <is>
          <t>SW-DAMPER-195-BODY</t>
        </is>
      </c>
      <c r="B1055" t="inlineStr">
        <is>
          <t>SW-DAMPER-195</t>
        </is>
      </c>
      <c r="C1055" t="inlineStr">
        <is>
          <t>Thân vỏ van NRD bích C30/TDF (0.75mm)</t>
        </is>
      </c>
      <c r="D1055" t="inlineStr">
        <is>
          <t>TÔN_CUỘN_MẠ_KẼM</t>
        </is>
      </c>
      <c r="E1055" t="inlineStr">
        <is>
          <t>MAT-STEEL-PN-0.75</t>
        </is>
      </c>
      <c r="F1055" t="inlineStr">
        <is>
          <t>kg</t>
        </is>
      </c>
      <c r="G1055" s="407" t="n">
        <v>0.5243880093992379</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Kích thước vỏ 400x200x210mm</t>
        </is>
      </c>
    </row>
    <row r="1056">
      <c r="A1056" t="inlineStr">
        <is>
          <t>SW-DAMPER-195-BLADE</t>
        </is>
      </c>
      <c r="B1056" t="inlineStr">
        <is>
          <t>SW-DAMPER-195</t>
        </is>
      </c>
      <c r="C1056" t="inlineStr">
        <is>
          <t>Lá cánh / Tôn tấm bọc van (2 cánh)</t>
        </is>
      </c>
      <c r="D1056" t="inlineStr">
        <is>
          <t>TÔN_CUỘN_MẠ_KẼM</t>
        </is>
      </c>
      <c r="E1056" t="inlineStr">
        <is>
          <t>MAT-STEEL-PN-0.75</t>
        </is>
      </c>
      <c r="F1056" t="inlineStr">
        <is>
          <t>kg</t>
        </is>
      </c>
      <c r="G1056" s="407" t="n">
        <v>0.1491347070839176</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2 cánh cao 120mm</t>
        </is>
      </c>
    </row>
    <row r="1057">
      <c r="A1057" t="inlineStr">
        <is>
          <t>SW-DAMPER-195-AXLE</t>
        </is>
      </c>
      <c r="B1057" t="inlineStr">
        <is>
          <t>SW-DAMPER-195</t>
        </is>
      </c>
      <c r="C1057" t="inlineStr">
        <is>
          <t>Trục Sus 201 D10</t>
        </is>
      </c>
      <c r="D1057" t="inlineStr">
        <is>
          <t>PHỤ_KIỆN_VAN</t>
        </is>
      </c>
      <c r="E1057" t="inlineStr">
        <is>
          <t>MAT-DAMPER-TRUC-SUS-201-D10</t>
        </is>
      </c>
      <c r="F1057" t="inlineStr">
        <is>
          <t>m</t>
        </is>
      </c>
      <c r="G1057" s="407" t="n">
        <v>0.2247711896759</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trục dài 460mm</t>
        </is>
      </c>
    </row>
    <row r="1058">
      <c r="A1058" t="inlineStr">
        <is>
          <t>SW-DAMPER-195-BEARING</t>
        </is>
      </c>
      <c r="B1058" t="inlineStr">
        <is>
          <t>SW-DAMPER-195</t>
        </is>
      </c>
      <c r="C1058" t="inlineStr">
        <is>
          <t>Bạc đồng D10</t>
        </is>
      </c>
      <c r="D1058" t="inlineStr">
        <is>
          <t>PHỤ_KIỆN_VAN</t>
        </is>
      </c>
      <c r="E1058" t="inlineStr">
        <is>
          <t>MAT-DAMPER-BAC-DONG-D10</t>
        </is>
      </c>
      <c r="F1058" t="inlineStr">
        <is>
          <t>Đôi</t>
        </is>
      </c>
      <c r="G1058" s="407" t="n">
        <v>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đôi bạc đỡ 2 bên thân</t>
        </is>
      </c>
    </row>
    <row r="1059">
      <c r="A1059" t="inlineStr">
        <is>
          <t>SW-DAMPER-195-GEAR</t>
        </is>
      </c>
      <c r="B1059" t="inlineStr">
        <is>
          <t>SW-DAMPER-195</t>
        </is>
      </c>
      <c r="C1059" t="inlineStr">
        <is>
          <t>Bánh răng van nhôm</t>
        </is>
      </c>
      <c r="D1059" t="inlineStr">
        <is>
          <t>PHỤ_KIỆN_VAN</t>
        </is>
      </c>
      <c r="E1059" t="inlineStr">
        <is>
          <t>MAT-DAMPER-BANH-RANG-VAN-NHOM</t>
        </is>
      </c>
      <c r="F1059" t="inlineStr">
        <is>
          <t>Bộ</t>
        </is>
      </c>
      <c r="G1059" s="407" t="n">
        <v>1</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Cơ cấu liên động cánh (1 bộ)</t>
        </is>
      </c>
    </row>
    <row r="1060">
      <c r="A1060" t="inlineStr">
        <is>
          <t>SW-DAMPER-195-ECCENTRIC</t>
        </is>
      </c>
      <c r="B1060" t="inlineStr">
        <is>
          <t>SW-DAMPER-195</t>
        </is>
      </c>
      <c r="C1060" t="inlineStr">
        <is>
          <t>Cơ cấu lệch tâm / Lò xo đóng mở (NRD)</t>
        </is>
      </c>
      <c r="D1060" t="inlineStr">
        <is>
          <t>PHỤ_KIỆN_VAN</t>
        </is>
      </c>
      <c r="E1060" t="inlineStr">
        <is>
          <t>ECCENTRIC_SHAFT</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đóng mở một chiều</t>
        </is>
      </c>
    </row>
    <row r="1061">
      <c r="A1061" t="inlineStr">
        <is>
          <t>SW-DAMPER-196-BODY</t>
        </is>
      </c>
      <c r="B1061" t="inlineStr">
        <is>
          <t>SW-DAMPER-196</t>
        </is>
      </c>
      <c r="C1061" t="inlineStr">
        <is>
          <t>Thân vỏ van NRD bích C30/TDF (0.75mm)</t>
        </is>
      </c>
      <c r="D1061" t="inlineStr">
        <is>
          <t>TÔN_CUỘN_MẠ_KẼM</t>
        </is>
      </c>
      <c r="E1061" t="inlineStr">
        <is>
          <t>MAT-STEEL-PN-0.75</t>
        </is>
      </c>
      <c r="F1061" t="inlineStr">
        <is>
          <t>kg</t>
        </is>
      </c>
      <c r="G1061" s="407" t="n">
        <v>3.517375303130706</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Kích thước vỏ 800x450x210mm</t>
        </is>
      </c>
    </row>
    <row r="1062">
      <c r="A1062" t="inlineStr">
        <is>
          <t>SW-DAMPER-196-BLADE</t>
        </is>
      </c>
      <c r="B1062" t="inlineStr">
        <is>
          <t>SW-DAMPER-196</t>
        </is>
      </c>
      <c r="C1062" t="inlineStr">
        <is>
          <t>Lá cánh / Tôn tấm bọc van (3 cánh)</t>
        </is>
      </c>
      <c r="D1062" t="inlineStr">
        <is>
          <t>TÔN_CUỘN_MẠ_KẼM</t>
        </is>
      </c>
      <c r="E1062" t="inlineStr">
        <is>
          <t>MAT-STEEL-PN-0.75</t>
        </is>
      </c>
      <c r="F1062" t="inlineStr">
        <is>
          <t>kg</t>
        </is>
      </c>
      <c r="G1062" s="407" t="n">
        <v>2.075494474224</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3 cánh cao 170mm</t>
        </is>
      </c>
    </row>
    <row r="1063">
      <c r="A1063" t="inlineStr">
        <is>
          <t>SW-DAMPER-196-AXLE</t>
        </is>
      </c>
      <c r="B1063" t="inlineStr">
        <is>
          <t>SW-DAMPER-196</t>
        </is>
      </c>
      <c r="C1063" t="inlineStr">
        <is>
          <t>Trục Sus 201 D10</t>
        </is>
      </c>
      <c r="D1063" t="inlineStr">
        <is>
          <t>PHỤ_KIỆN_VAN</t>
        </is>
      </c>
      <c r="E1063" t="inlineStr">
        <is>
          <t>MAT-DAMPER-TRUC-SUS-201-D10</t>
        </is>
      </c>
      <c r="F1063" t="inlineStr">
        <is>
          <t>m</t>
        </is>
      </c>
      <c r="G1063" s="407" t="n">
        <v>2.064079633830398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trục dài 860mm</t>
        </is>
      </c>
    </row>
    <row r="1064">
      <c r="A1064" t="inlineStr">
        <is>
          <t>SW-DAMPER-196-BEARING</t>
        </is>
      </c>
      <c r="B1064" t="inlineStr">
        <is>
          <t>SW-DAMPER-196</t>
        </is>
      </c>
      <c r="C1064" t="inlineStr">
        <is>
          <t>Bạc đồng D10</t>
        </is>
      </c>
      <c r="D1064" t="inlineStr">
        <is>
          <t>PHỤ_KIỆN_VAN</t>
        </is>
      </c>
      <c r="E1064" t="inlineStr">
        <is>
          <t>MAT-DAMPER-BAC-DONG-D10</t>
        </is>
      </c>
      <c r="F1064" t="inlineStr">
        <is>
          <t>Đôi</t>
        </is>
      </c>
      <c r="G1064" s="407" t="n">
        <v>3</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đôi bạc đỡ 2 bên thân</t>
        </is>
      </c>
    </row>
    <row r="1065">
      <c r="A1065" t="inlineStr">
        <is>
          <t>SW-DAMPER-196-GEAR</t>
        </is>
      </c>
      <c r="B1065" t="inlineStr">
        <is>
          <t>SW-DAMPER-196</t>
        </is>
      </c>
      <c r="C1065" t="inlineStr">
        <is>
          <t>Bánh răng van nhôm</t>
        </is>
      </c>
      <c r="D1065" t="inlineStr">
        <is>
          <t>PHỤ_KIỆN_VAN</t>
        </is>
      </c>
      <c r="E1065" t="inlineStr">
        <is>
          <t>MAT-DAMPER-BANH-RANG-VAN-NHOM</t>
        </is>
      </c>
      <c r="F1065" t="inlineStr">
        <is>
          <t>Bộ</t>
        </is>
      </c>
      <c r="G1065" s="407" t="n">
        <v>1</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Cơ cấu liên động cánh (1 bộ)</t>
        </is>
      </c>
    </row>
    <row r="1066">
      <c r="A1066" t="inlineStr">
        <is>
          <t>SW-DAMPER-196-ECCENTRIC</t>
        </is>
      </c>
      <c r="B1066" t="inlineStr">
        <is>
          <t>SW-DAMPER-196</t>
        </is>
      </c>
      <c r="C1066" t="inlineStr">
        <is>
          <t>Cơ cấu lệch tâm / Lò xo đóng mở (NRD)</t>
        </is>
      </c>
      <c r="D1066" t="inlineStr">
        <is>
          <t>PHỤ_KIỆN_VAN</t>
        </is>
      </c>
      <c r="E1066" t="inlineStr">
        <is>
          <t>ECCENTRIC_SHAFT</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2026-10-14T10:24:08Z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
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BG Đơn Cánh ĐC FSLF 24V" sheetId="1" state="visible" r:id="rId1"/>
    <sheet name="BG Đa Cánh BFN 24" sheetId="2" state="visible" r:id="rId2"/>
    <sheet name="00_BANG_CHAO_GIA" sheetId="3" state="visible" r:id="rId3"/>
    <sheet name="00_TONG_HOP_BAO_GIA" sheetId="4" state="visible" r:id="rId4"/>
    <sheet name="01_BOC_TACH_ONG" sheetId="5" state="visible" r:id="rId5"/>
    <sheet name="02_BOC_TACH_CUA" sheetId="6" state="visible" r:id="rId6"/>
    <sheet name="03_BOC_TACH_VAN" sheetId="7" state="visible" r:id="rId7"/>
    <sheet name="05_DANH_MUC_KY_THUAT_GOC" sheetId="8" state="visible" r:id="rId8"/>
    <sheet name="06_BANG_GIA_VAT_TU_AP_DUNG" sheetId="9" state="visible" r:id="rId9"/>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2" hidden="1">{"'Sheet1'!$L$16"}</definedName>
    <definedName name="________________________________________________________________a1" localSheetId="2" hidden="1">{"'Sheet1'!$L$16"}</definedName>
    <definedName name="_______________________________________________________________a1" localSheetId="2" hidden="1">{"'Sheet1'!$L$16"}</definedName>
    <definedName name="______________________________________________________________a1" localSheetId="2" hidden="1">{"'Sheet1'!$L$16"}</definedName>
    <definedName name="_____________________________________________________________a1" localSheetId="2" hidden="1">{"'Sheet1'!$L$16"}</definedName>
    <definedName name="____________________________________________________________a1" localSheetId="2" hidden="1">{"'Sheet1'!$L$16"}</definedName>
    <definedName name="___________________________________________________________a1" localSheetId="2" hidden="1">{"'Sheet1'!$L$16"}</definedName>
    <definedName name="__________________________________________________________a1" localSheetId="2" hidden="1">{"'Sheet1'!$L$16"}</definedName>
    <definedName name="_________________________________________________________a1" localSheetId="2" hidden="1">{"'Sheet1'!$L$16"}</definedName>
    <definedName name="________________________________________________________a1" localSheetId="2" hidden="1">{"'Sheet1'!$L$16"}</definedName>
    <definedName name="_______________________________________________________a1" localSheetId="2" hidden="1">{"'Sheet1'!$L$16"}</definedName>
    <definedName name="______________________________________________________a1" localSheetId="2" hidden="1">{"'Sheet1'!$L$16"}</definedName>
    <definedName name="_____________________________________________________a1" localSheetId="2" hidden="1">{"'Sheet1'!$L$16"}</definedName>
    <definedName name="____________________________________________________a1" localSheetId="2" hidden="1">{"'Sheet1'!$L$16"}</definedName>
    <definedName name="___________________________________________________a1" localSheetId="2" hidden="1">{"'Sheet1'!$L$16"}</definedName>
    <definedName name="__________________________________________________a1" localSheetId="2" hidden="1">{"'Sheet1'!$L$16"}</definedName>
    <definedName name="_________________________________________________a1" localSheetId="2" hidden="1">{"'Sheet1'!$L$16"}</definedName>
    <definedName name="________________________________________________a1" localSheetId="2" hidden="1">{"'Sheet1'!$L$16"}</definedName>
    <definedName name="_______________________________________________a1" localSheetId="2" hidden="1">{"'Sheet1'!$L$16"}</definedName>
    <definedName name="______________________________________________a1" localSheetId="2" hidden="1">{"'Sheet1'!$L$16"}</definedName>
    <definedName name="_____________________________________________a1" localSheetId="2" hidden="1">{"'Sheet1'!$L$16"}</definedName>
    <definedName name="_____________________________________________PA3" localSheetId="2" hidden="1">{"'Sheet1'!$L$16"}</definedName>
    <definedName name="____________________________________________a1" localSheetId="2" hidden="1">{"'Sheet1'!$L$16"}</definedName>
    <definedName name="____________________________________________PA3" localSheetId="2" hidden="1">{"'Sheet1'!$L$16"}</definedName>
    <definedName name="___________________________________________a1" localSheetId="2" hidden="1">{"'Sheet1'!$L$16"}</definedName>
    <definedName name="__________________________________________a1" localSheetId="2" hidden="1">{"'Sheet1'!$L$16"}</definedName>
    <definedName name="__________________________________________PA3" localSheetId="2" hidden="1">{"'Sheet1'!$L$16"}</definedName>
    <definedName name="_________________________________________a1" localSheetId="2" hidden="1">{"'Sheet1'!$L$16"}</definedName>
    <definedName name="_________________________________________PA3" localSheetId="2" hidden="1">{"'Sheet1'!$L$16"}</definedName>
    <definedName name="________________________________________a1" localSheetId="2" hidden="1">{"'Sheet1'!$L$16"}</definedName>
    <definedName name="________________________________________PA3" localSheetId="2" hidden="1">{"'Sheet1'!$L$16"}</definedName>
    <definedName name="_______________________________________a1" localSheetId="2" hidden="1">{"'Sheet1'!$L$16"}</definedName>
    <definedName name="_______________________________________PA3" localSheetId="2" hidden="1">{"'Sheet1'!$L$16"}</definedName>
    <definedName name="______________________________________a1" localSheetId="2" hidden="1">{"'Sheet1'!$L$16"}</definedName>
    <definedName name="______________________________________PA3" localSheetId="2" hidden="1">{"'Sheet1'!$L$16"}</definedName>
    <definedName name="_____________________________________a1" localSheetId="2" hidden="1">{"'Sheet1'!$L$16"}</definedName>
    <definedName name="_____________________________________PA3" localSheetId="2" hidden="1">{"'Sheet1'!$L$16"}</definedName>
    <definedName name="____________________________________a1" localSheetId="2" hidden="1">{"'Sheet1'!$L$16"}</definedName>
    <definedName name="____________________________________PA3" localSheetId="2" hidden="1">{"'Sheet1'!$L$16"}</definedName>
    <definedName name="___________________________________a1" localSheetId="2" hidden="1">{"'Sheet1'!$L$16"}</definedName>
    <definedName name="__________________________________a1" localSheetId="2" hidden="1">{"'Sheet1'!$L$16"}</definedName>
    <definedName name="__________________________________PA3" localSheetId="2" hidden="1">{"'Sheet1'!$L$16"}</definedName>
    <definedName name="__________________________________VT3" localSheetId="2" hidden="1">{"'Sheet1'!$L$16"}</definedName>
    <definedName name="_________________________________a1" localSheetId="2" hidden="1">{"'Sheet1'!$L$16"}</definedName>
    <definedName name="_________________________________NSO2" localSheetId="2" hidden="1">{"'Sheet1'!$L$16"}</definedName>
    <definedName name="_________________________________PA3" localSheetId="2" hidden="1">{"'Sheet1'!$L$16"}</definedName>
    <definedName name="________________________________a1" localSheetId="2" hidden="1">{"'Sheet1'!$L$16"}</definedName>
    <definedName name="________________________________VT3" localSheetId="2" hidden="1">{"'Sheet1'!$L$16"}</definedName>
    <definedName name="_______________________________a1" localSheetId="2" hidden="1">{"'Sheet1'!$L$16"}</definedName>
    <definedName name="_______________________________NSO2" localSheetId="2" hidden="1">{"'Sheet1'!$L$16"}</definedName>
    <definedName name="_______________________________PA3" localSheetId="2" hidden="1">{"'Sheet1'!$L$16"}</definedName>
    <definedName name="______________________________a1" localSheetId="2" hidden="1">{"'Sheet1'!$L$16"}</definedName>
    <definedName name="______________________________Goi8" localSheetId="2" hidden="1">{"'Sheet1'!$L$16"}</definedName>
    <definedName name="______________________________PA3" localSheetId="2" hidden="1">{"'Sheet1'!$L$16"}</definedName>
    <definedName name="______________________________SCL4" localSheetId="2" hidden="1">{"'Sheet1'!$L$16"}</definedName>
    <definedName name="______________________________VT3" localSheetId="2" hidden="1">{"'Sheet1'!$L$16"}</definedName>
    <definedName name="_____________________________a1" localSheetId="2" hidden="1">{"'Sheet1'!$L$16"}</definedName>
    <definedName name="_____________________________CN1" localSheetId="2" hidden="1">{"'Sheet1'!$L$16"}</definedName>
    <definedName name="_____________________________Goi8" localSheetId="2" hidden="1">{"'Sheet1'!$L$16"}</definedName>
    <definedName name="_____________________________NSO2" localSheetId="2" hidden="1">{"'Sheet1'!$L$16"}</definedName>
    <definedName name="_____________________________PA3" localSheetId="2" hidden="1">{"'Sheet1'!$L$16"}</definedName>
    <definedName name="_____________________________SCL4" localSheetId="2" hidden="1">{"'Sheet1'!$L$16"}</definedName>
    <definedName name="_____________________________VT3" localSheetId="2" hidden="1">{"'Sheet1'!$L$16"}</definedName>
    <definedName name="____________________________a1" localSheetId="2" hidden="1">{"'Sheet1'!$L$16"}</definedName>
    <definedName name="____________________________BG12" localSheetId="2" hidden="1">{"'Sheet1'!$L$16"}</definedName>
    <definedName name="____________________________CN1" localSheetId="2" hidden="1">{"'Sheet1'!$L$16"}</definedName>
    <definedName name="____________________________Goi8" localSheetId="2" hidden="1">{"'Sheet1'!$L$16"}</definedName>
    <definedName name="____________________________SCL4" localSheetId="2" hidden="1">{"'Sheet1'!$L$16"}</definedName>
    <definedName name="____________________________VT3" localSheetId="2" hidden="1">{"'Sheet1'!$L$16"}</definedName>
    <definedName name="___________________________a1" localSheetId="2" hidden="1">{"'Sheet1'!$L$16"}</definedName>
    <definedName name="___________________________BG12" localSheetId="2" hidden="1">{"'Sheet1'!$L$16"}</definedName>
    <definedName name="___________________________CN1" localSheetId="2" hidden="1">{"'Sheet1'!$L$16"}</definedName>
    <definedName name="___________________________Goi8" localSheetId="2" hidden="1">{"'Sheet1'!$L$16"}</definedName>
    <definedName name="___________________________NSO2" localSheetId="2" hidden="1">{"'Sheet1'!$L$16"}</definedName>
    <definedName name="___________________________PA3" localSheetId="2" hidden="1">{"'Sheet1'!$L$16"}</definedName>
    <definedName name="___________________________SCL4" localSheetId="2" hidden="1">{"'Sheet1'!$L$16"}</definedName>
    <definedName name="___________________________VT3" localSheetId="2" hidden="1">{"'Sheet1'!$L$16"}</definedName>
    <definedName name="__________________________a1" localSheetId="2" hidden="1">{"'Sheet1'!$L$16"}</definedName>
    <definedName name="__________________________BG12" localSheetId="2" hidden="1">{"'Sheet1'!$L$16"}</definedName>
    <definedName name="__________________________CN1" localSheetId="2" hidden="1">{"'Sheet1'!$L$16"}</definedName>
    <definedName name="__________________________Goi8" localSheetId="2" hidden="1">{"'Sheet1'!$L$16"}</definedName>
    <definedName name="__________________________PA3" localSheetId="2" hidden="1">{"'Sheet1'!$L$16"}</definedName>
    <definedName name="__________________________SCL4" localSheetId="2" hidden="1">{"'Sheet1'!$L$16"}</definedName>
    <definedName name="__________________________tt3" localSheetId="2" hidden="1">{"'Sheet1'!$L$16"}</definedName>
    <definedName name="__________________________VT3" localSheetId="2" hidden="1">{"'Sheet1'!$L$16"}</definedName>
    <definedName name="_________________________a1" localSheetId="2" hidden="1">{"'Sheet1'!$L$16"}</definedName>
    <definedName name="_________________________BG12" localSheetId="2" hidden="1">{"'Sheet1'!$L$16"}</definedName>
    <definedName name="_________________________CN1" localSheetId="2" hidden="1">{"'Sheet1'!$L$16"}</definedName>
    <definedName name="_________________________Goi8" localSheetId="2" hidden="1">{"'Sheet1'!$L$16"}</definedName>
    <definedName name="_________________________NSO2" localSheetId="2" hidden="1">{"'Sheet1'!$L$16"}</definedName>
    <definedName name="_________________________PA3" localSheetId="2" hidden="1">{"'Sheet1'!$L$16"}</definedName>
    <definedName name="_________________________SCL4" localSheetId="2" hidden="1">{"'Sheet1'!$L$16"}</definedName>
    <definedName name="_________________________VT3" localSheetId="2" hidden="1">{"'Sheet1'!$L$16"}</definedName>
    <definedName name="________________________a1" localSheetId="2" hidden="1">{"'Sheet1'!$L$16"}</definedName>
    <definedName name="________________________BG12" localSheetId="2" hidden="1">{"'Sheet1'!$L$16"}</definedName>
    <definedName name="________________________CN1" localSheetId="2" hidden="1">{"'Sheet1'!$L$16"}</definedName>
    <definedName name="________________________Goi8" localSheetId="2" hidden="1">{"'Sheet1'!$L$16"}</definedName>
    <definedName name="________________________PA3" localSheetId="2" hidden="1">{"'Sheet1'!$L$16"}</definedName>
    <definedName name="________________________SCL4" localSheetId="2" hidden="1">{"'Sheet1'!$L$16"}</definedName>
    <definedName name="________________________tt3" localSheetId="2" hidden="1">{"'Sheet1'!$L$16"}</definedName>
    <definedName name="________________________VT3" localSheetId="2" hidden="1">{"'Sheet1'!$L$16"}</definedName>
    <definedName name="_______________________a1" localSheetId="2" hidden="1">{"'Sheet1'!$L$16"}</definedName>
    <definedName name="_______________________BG12" localSheetId="2" hidden="1">{"'Sheet1'!$L$16"}</definedName>
    <definedName name="_______________________CN1" localSheetId="2" hidden="1">{"'Sheet1'!$L$16"}</definedName>
    <definedName name="_______________________Goi8" localSheetId="2" hidden="1">{"'Sheet1'!$L$16"}</definedName>
    <definedName name="_______________________NSO2" localSheetId="2" hidden="1">{"'Sheet1'!$L$16"}</definedName>
    <definedName name="_______________________PA3" localSheetId="2" hidden="1">{"'Sheet1'!$L$16"}</definedName>
    <definedName name="_______________________SCL4" localSheetId="2" hidden="1">{"'Sheet1'!$L$16"}</definedName>
    <definedName name="_______________________VT3" localSheetId="2" hidden="1">{"'Sheet1'!$L$16"}</definedName>
    <definedName name="______________________a1" localSheetId="2" hidden="1">{"'Sheet1'!$L$16"}</definedName>
    <definedName name="______________________BG12" localSheetId="2" hidden="1">{"'Sheet1'!$L$16"}</definedName>
    <definedName name="______________________CN1" localSheetId="2" hidden="1">{"'Sheet1'!$L$16"}</definedName>
    <definedName name="______________________Goi8" localSheetId="2" hidden="1">{"'Sheet1'!$L$16"}</definedName>
    <definedName name="______________________PA3" localSheetId="2" hidden="1">{"'Sheet1'!$L$16"}</definedName>
    <definedName name="______________________SCL4" localSheetId="2" hidden="1">{"'Sheet1'!$L$16"}</definedName>
    <definedName name="______________________tt3" localSheetId="2" hidden="1">{"'Sheet1'!$L$16"}</definedName>
    <definedName name="______________________VT3" localSheetId="2" hidden="1">{"'Sheet1'!$L$16"}</definedName>
    <definedName name="_____________________a1" localSheetId="2" hidden="1">{"'Sheet1'!$L$16"}</definedName>
    <definedName name="_____________________BG12" localSheetId="2" hidden="1">{"'Sheet1'!$L$16"}</definedName>
    <definedName name="_____________________CN1" localSheetId="2" hidden="1">{"'Sheet1'!$L$16"}</definedName>
    <definedName name="_____________________Goi8" localSheetId="2" hidden="1">{"'Sheet1'!$L$16"}</definedName>
    <definedName name="_____________________NSO2" localSheetId="2" hidden="1">{"'Sheet1'!$L$16"}</definedName>
    <definedName name="_____________________PA3" localSheetId="2" hidden="1">{"'Sheet1'!$L$16"}</definedName>
    <definedName name="_____________________SCL4" localSheetId="2" hidden="1">{"'Sheet1'!$L$16"}</definedName>
    <definedName name="_____________________VT3" localSheetId="2" hidden="1">{"'Sheet1'!$L$16"}</definedName>
    <definedName name="____________________a1" localSheetId="2" hidden="1">{"'Sheet1'!$L$16"}</definedName>
    <definedName name="____________________BG12" localSheetId="2" hidden="1">{"'Sheet1'!$L$16"}</definedName>
    <definedName name="____________________CN1" localSheetId="2" hidden="1">{"'Sheet1'!$L$16"}</definedName>
    <definedName name="____________________Goi8" localSheetId="2" hidden="1">{"'Sheet1'!$L$16"}</definedName>
    <definedName name="____________________m4" localSheetId="2" hidden="1">{"'Sheet1'!$L$16"}</definedName>
    <definedName name="____________________PA3" localSheetId="2" hidden="1">{"'Sheet1'!$L$16"}</definedName>
    <definedName name="____________________SCL4" localSheetId="2" hidden="1">{"'Sheet1'!$L$16"}</definedName>
    <definedName name="____________________tt3" localSheetId="2" hidden="1">{"'Sheet1'!$L$16"}</definedName>
    <definedName name="____________________VT3" localSheetId="2" hidden="1">{"'Sheet1'!$L$16"}</definedName>
    <definedName name="___________________a1" localSheetId="2" hidden="1">{"'Sheet1'!$L$16"}</definedName>
    <definedName name="___________________a1_1" localSheetId="2" hidden="1">{"'Sheet1'!$L$16"}</definedName>
    <definedName name="___________________BG12" localSheetId="2" hidden="1">{"'Sheet1'!$L$16"}</definedName>
    <definedName name="___________________CN1" localSheetId="2" hidden="1">{"'Sheet1'!$L$16"}</definedName>
    <definedName name="___________________Goi8" localSheetId="2" hidden="1">{"'Sheet1'!$L$16"}</definedName>
    <definedName name="___________________Goi8_1" localSheetId="2" hidden="1">{"'Sheet1'!$L$16"}</definedName>
    <definedName name="___________________m4" localSheetId="2" hidden="1">{"'Sheet1'!$L$16"}</definedName>
    <definedName name="___________________NSO2" localSheetId="2" hidden="1">{"'Sheet1'!$L$16"}</definedName>
    <definedName name="___________________PA3" localSheetId="2" hidden="1">{"'Sheet1'!$L$16"}</definedName>
    <definedName name="___________________SCL4" localSheetId="2" hidden="1">{"'Sheet1'!$L$16"}</definedName>
    <definedName name="___________________SCL4_1" localSheetId="2" hidden="1">{"'Sheet1'!$L$16"}</definedName>
    <definedName name="___________________VT3" localSheetId="2" hidden="1">{"'Sheet1'!$L$16"}</definedName>
    <definedName name="__________________a1" localSheetId="2" hidden="1">{"'Sheet1'!$L$16"}</definedName>
    <definedName name="__________________BG12" localSheetId="2" hidden="1">{"'Sheet1'!$L$16"}</definedName>
    <definedName name="__________________CN1" localSheetId="2" hidden="1">{"'Sheet1'!$L$16"}</definedName>
    <definedName name="__________________DT10" localSheetId="2" hidden="1">{"'Sheet1'!$L$16"}</definedName>
    <definedName name="__________________Goi8" localSheetId="2" hidden="1">{"'Sheet1'!$L$16"}</definedName>
    <definedName name="__________________h1" localSheetId="2" hidden="1">{"'Sheet1'!$L$16"}</definedName>
    <definedName name="__________________hu1" localSheetId="2" hidden="1">{"'Sheet1'!$L$16"}</definedName>
    <definedName name="__________________hu2" localSheetId="2" hidden="1">{"'Sheet1'!$L$16"}</definedName>
    <definedName name="__________________hu5" localSheetId="2" hidden="1">{"'Sheet1'!$L$16"}</definedName>
    <definedName name="__________________hu6" localSheetId="2" hidden="1">{"'Sheet1'!$L$16"}</definedName>
    <definedName name="__________________hu7" localSheetId="2" hidden="1">{"'Sheet1'!$L$16"}</definedName>
    <definedName name="__________________LAN3" localSheetId="2" hidden="1">{"'Sheet1'!$L$16"}</definedName>
    <definedName name="__________________m4" localSheetId="2" hidden="1">{"'Sheet1'!$L$16"}</definedName>
    <definedName name="__________________NSO2" localSheetId="2" hidden="1">{"'Sheet1'!$L$16"}</definedName>
    <definedName name="__________________PA3" localSheetId="2" hidden="1">{"'Sheet1'!$L$16"}</definedName>
    <definedName name="__________________SCL4" localSheetId="2" hidden="1">{"'Sheet1'!$L$16"}</definedName>
    <definedName name="__________________T10" localSheetId="2" hidden="1">{"'Sheet1'!$L$16"}</definedName>
    <definedName name="__________________TM2" localSheetId="2" hidden="1">{"'Sheet1'!$L$16"}</definedName>
    <definedName name="__________________tt3" localSheetId="2" hidden="1">{"'Sheet1'!$L$16"}</definedName>
    <definedName name="__________________VT3" localSheetId="2" hidden="1">{"'Sheet1'!$L$16"}</definedName>
    <definedName name="_________________a1" localSheetId="2" hidden="1">{"'Sheet1'!$L$16"}</definedName>
    <definedName name="_________________a1_1" localSheetId="2" hidden="1">{"'Sheet1'!$L$16"}</definedName>
    <definedName name="_________________BG12" localSheetId="2" hidden="1">{"'Sheet1'!$L$16"}</definedName>
    <definedName name="_________________CN1" localSheetId="2" hidden="1">{"'Sheet1'!$L$16"}</definedName>
    <definedName name="_________________DT10" localSheetId="2" hidden="1">{"'Sheet1'!$L$16"}</definedName>
    <definedName name="_________________Goi8" localSheetId="2" hidden="1">{"'Sheet1'!$L$16"}</definedName>
    <definedName name="_________________Goi8_1" localSheetId="2" hidden="1">{"'Sheet1'!$L$16"}</definedName>
    <definedName name="_________________h1" localSheetId="2" hidden="1">{"'Sheet1'!$L$16"}</definedName>
    <definedName name="_________________hu1" localSheetId="2" hidden="1">{"'Sheet1'!$L$16"}</definedName>
    <definedName name="_________________hu2" localSheetId="2" hidden="1">{"'Sheet1'!$L$16"}</definedName>
    <definedName name="_________________hu5" localSheetId="2" hidden="1">{"'Sheet1'!$L$16"}</definedName>
    <definedName name="_________________hu6" localSheetId="2" hidden="1">{"'Sheet1'!$L$16"}</definedName>
    <definedName name="_________________hu7" localSheetId="2" hidden="1">{"'Sheet1'!$L$16"}</definedName>
    <definedName name="_________________Lan1" localSheetId="2" hidden="1">{"'Sheet1'!$L$16"}</definedName>
    <definedName name="_________________LAN3" localSheetId="2" hidden="1">{"'Sheet1'!$L$16"}</definedName>
    <definedName name="_________________m4" localSheetId="2" hidden="1">{"'Sheet1'!$L$16"}</definedName>
    <definedName name="_________________NSO2" localSheetId="2" hidden="1">{"'Sheet1'!$L$16"}</definedName>
    <definedName name="_________________PA3" localSheetId="2" hidden="1">{"'Sheet1'!$L$16"}</definedName>
    <definedName name="_________________SCL4" localSheetId="2" hidden="1">{"'Sheet1'!$L$16"}</definedName>
    <definedName name="_________________SCL4_1" localSheetId="2" hidden="1">{"'Sheet1'!$L$16"}</definedName>
    <definedName name="_________________T10" localSheetId="2" hidden="1">{"'Sheet1'!$L$16"}</definedName>
    <definedName name="_________________TM2" localSheetId="2" hidden="1">{"'Sheet1'!$L$16"}</definedName>
    <definedName name="_________________TH1" localSheetId="2" hidden="1">{"'Sheet1'!$L$16"}</definedName>
    <definedName name="_________________VT3" localSheetId="2" hidden="1">{"'Sheet1'!$L$16"}</definedName>
    <definedName name="________________a1" localSheetId="2" hidden="1">{"'Sheet1'!$L$16"}</definedName>
    <definedName name="________________BG12" localSheetId="2" hidden="1">{"'Sheet1'!$L$16"}</definedName>
    <definedName name="________________CN1" localSheetId="2" hidden="1">{"'Sheet1'!$L$16"}</definedName>
    <definedName name="________________DT10" localSheetId="2" hidden="1">{"'Sheet1'!$L$16"}</definedName>
    <definedName name="________________Goi8" localSheetId="2" hidden="1">{"'Sheet1'!$L$16"}</definedName>
    <definedName name="________________h1" localSheetId="2" hidden="1">{"'Sheet1'!$L$16"}</definedName>
    <definedName name="________________hu1" localSheetId="2" hidden="1">{"'Sheet1'!$L$16"}</definedName>
    <definedName name="________________hu2" localSheetId="2" hidden="1">{"'Sheet1'!$L$16"}</definedName>
    <definedName name="________________hu5" localSheetId="2" hidden="1">{"'Sheet1'!$L$16"}</definedName>
    <definedName name="________________hu6" localSheetId="2" hidden="1">{"'Sheet1'!$L$16"}</definedName>
    <definedName name="________________hu7" localSheetId="2" hidden="1">{"'Sheet1'!$L$16"}</definedName>
    <definedName name="________________Lan1" localSheetId="2" hidden="1">{"'Sheet1'!$L$16"}</definedName>
    <definedName name="________________LAN3" localSheetId="2" hidden="1">{"'Sheet1'!$L$16"}</definedName>
    <definedName name="________________m4" localSheetId="2" hidden="1">{"'Sheet1'!$L$16"}</definedName>
    <definedName name="________________NSO2" localSheetId="2" hidden="1">{"'Sheet1'!$L$16"}</definedName>
    <definedName name="________________P3" localSheetId="2" hidden="1">{#N/A,#N/A,FALSE,"特殊室（ＢＱ表）"}</definedName>
    <definedName name="________________PA3" localSheetId="2" hidden="1">{"'Sheet1'!$L$16"}</definedName>
    <definedName name="________________PPP3" localSheetId="2" hidden="1">{#N/A,#N/A,FALSE,"特殊室（ＢＱ表）"}</definedName>
    <definedName name="________________PPP33" localSheetId="2" hidden="1">{#N/A,#N/A,FALSE,"特殊室（ＢＱ表）"}</definedName>
    <definedName name="________________ppp34" localSheetId="2" hidden="1">{#N/A,#N/A,FALSE,"特殊室（ＢＱ表）"}</definedName>
    <definedName name="________________ppp3444" localSheetId="2" hidden="1">{#N/A,#N/A,FALSE,"特殊室（ＢＱ表）"}</definedName>
    <definedName name="________________SCL4" localSheetId="2" hidden="1">{"'Sheet1'!$L$16"}</definedName>
    <definedName name="________________T10" localSheetId="2" hidden="1">{"'Sheet1'!$L$16"}</definedName>
    <definedName name="________________TM2" localSheetId="2" hidden="1">{"'Sheet1'!$L$16"}</definedName>
    <definedName name="________________tt3" localSheetId="2" hidden="1">{"'Sheet1'!$L$16"}</definedName>
    <definedName name="________________TH1" localSheetId="2" hidden="1">{"'Sheet1'!$L$16"}</definedName>
    <definedName name="________________THT11" localSheetId="2" hidden="1">{"'Sheet1'!$L$16"}</definedName>
    <definedName name="________________VT3" localSheetId="2" hidden="1">{"'Sheet1'!$L$16"}</definedName>
    <definedName name="_______________a1" localSheetId="2" hidden="1">{"'Sheet1'!$L$16"}</definedName>
    <definedName name="_______________a129" localSheetId="2" hidden="1">{"Offgrid",#N/A,FALSE,"OFFGRID";"Region",#N/A,FALSE,"REGION";"Offgrid -2",#N/A,FALSE,"OFFGRID";"WTP",#N/A,FALSE,"WTP";"WTP -2",#N/A,FALSE,"WTP";"Project",#N/A,FALSE,"PROJECT";"Summary -2",#N/A,FALSE,"SUMMARY"}</definedName>
    <definedName name="_______________a130" localSheetId="2" hidden="1">{"Offgrid",#N/A,FALSE,"OFFGRID";"Region",#N/A,FALSE,"REGION";"Offgrid -2",#N/A,FALSE,"OFFGRID";"WTP",#N/A,FALSE,"WTP";"WTP -2",#N/A,FALSE,"WTP";"Project",#N/A,FALSE,"PROJECT";"Summary -2",#N/A,FALSE,"SUMMARY"}</definedName>
    <definedName name="_______________BG12" localSheetId="2" hidden="1">{"'Sheet1'!$L$16"}</definedName>
    <definedName name="_______________CN1" localSheetId="2" hidden="1">{"'Sheet1'!$L$16"}</definedName>
    <definedName name="_______________DT10" localSheetId="2" hidden="1">{"'Sheet1'!$L$16"}</definedName>
    <definedName name="_______________Goi8" localSheetId="2" hidden="1">{"'Sheet1'!$L$16"}</definedName>
    <definedName name="_______________h1" localSheetId="2" hidden="1">{"'Sheet1'!$L$16"}</definedName>
    <definedName name="_______________hu1" localSheetId="2" hidden="1">{"'Sheet1'!$L$16"}</definedName>
    <definedName name="_______________hu2" localSheetId="2" hidden="1">{"'Sheet1'!$L$16"}</definedName>
    <definedName name="_______________hu5" localSheetId="2" hidden="1">{"'Sheet1'!$L$16"}</definedName>
    <definedName name="_______________hu6" localSheetId="2" hidden="1">{"'Sheet1'!$L$16"}</definedName>
    <definedName name="_______________hu7" localSheetId="2" hidden="1">{"'Sheet1'!$L$16"}</definedName>
    <definedName name="_______________Lan1" localSheetId="2" hidden="1">{"'Sheet1'!$L$16"}</definedName>
    <definedName name="_______________LAN3" localSheetId="2" hidden="1">{"'Sheet1'!$L$16"}</definedName>
    <definedName name="_______________m4" localSheetId="2" hidden="1">{"'Sheet1'!$L$16"}</definedName>
    <definedName name="_______________NSO2" localSheetId="2" hidden="1">{"'Sheet1'!$L$16"}</definedName>
    <definedName name="_______________ngk1109" localSheetId="2" hidden="1">{#N/A,#N/A,FALSE,"估價單  (3)"}</definedName>
    <definedName name="_______________P3" localSheetId="2" hidden="1">{#N/A,#N/A,FALSE,"特殊室（ＢＱ表）"}</definedName>
    <definedName name="_______________PA3" localSheetId="2" hidden="1">{"'Sheet1'!$L$16"}</definedName>
    <definedName name="_______________PPP3" localSheetId="2" hidden="1">{#N/A,#N/A,FALSE,"特殊室（ＢＱ表）"}</definedName>
    <definedName name="_______________PPP33" localSheetId="2" hidden="1">{#N/A,#N/A,FALSE,"特殊室（ＢＱ表）"}</definedName>
    <definedName name="_______________ppp34" localSheetId="2" hidden="1">{#N/A,#N/A,FALSE,"特殊室（ＢＱ表）"}</definedName>
    <definedName name="_______________ppp3444" localSheetId="2" hidden="1">{#N/A,#N/A,FALSE,"特殊室（ＢＱ表）"}</definedName>
    <definedName name="_______________SCL4" localSheetId="2" hidden="1">{"'Sheet1'!$L$16"}</definedName>
    <definedName name="_______________T10" localSheetId="2" hidden="1">{"'Sheet1'!$L$16"}</definedName>
    <definedName name="_______________TM2" localSheetId="2" hidden="1">{"'Sheet1'!$L$16"}</definedName>
    <definedName name="_______________tt3" localSheetId="2" hidden="1">{"'Sheet1'!$L$16"}</definedName>
    <definedName name="_______________TV2" localSheetId="2" hidden="1">{"'Sheet1'!$L$16"}</definedName>
    <definedName name="_______________TH1" localSheetId="2" hidden="1">{"'Sheet1'!$L$16"}</definedName>
    <definedName name="_______________THT11" localSheetId="2" hidden="1">{"'Sheet1'!$L$16"}</definedName>
    <definedName name="_______________VT3" localSheetId="2" hidden="1">{"'Sheet1'!$L$16"}</definedName>
    <definedName name="______________a1" localSheetId="2" hidden="1">{"'Sheet1'!$L$16"}</definedName>
    <definedName name="______________a1_1" localSheetId="2" hidden="1">{"'Sheet1'!$L$16"}</definedName>
    <definedName name="______________a129" localSheetId="2" hidden="1">{"Offgrid",#N/A,FALSE,"OFFGRID";"Region",#N/A,FALSE,"REGION";"Offgrid -2",#N/A,FALSE,"OFFGRID";"WTP",#N/A,FALSE,"WTP";"WTP -2",#N/A,FALSE,"WTP";"Project",#N/A,FALSE,"PROJECT";"Summary -2",#N/A,FALSE,"SUMMARY"}</definedName>
    <definedName name="______________a130" localSheetId="2" hidden="1">{"Offgrid",#N/A,FALSE,"OFFGRID";"Region",#N/A,FALSE,"REGION";"Offgrid -2",#N/A,FALSE,"OFFGRID";"WTP",#N/A,FALSE,"WTP";"WTP -2",#N/A,FALSE,"WTP";"Project",#N/A,FALSE,"PROJECT";"Summary -2",#N/A,FALSE,"SUMMARY"}</definedName>
    <definedName name="______________BG12" localSheetId="2" hidden="1">{"'Sheet1'!$L$16"}</definedName>
    <definedName name="______________CN1" localSheetId="2" hidden="1">{"'Sheet1'!$L$16"}</definedName>
    <definedName name="______________DT10" localSheetId="2" hidden="1">{"'Sheet1'!$L$16"}</definedName>
    <definedName name="______________Goi8" localSheetId="2" hidden="1">{"'Sheet1'!$L$16"}</definedName>
    <definedName name="______________Goi8_1" localSheetId="2" hidden="1">{"'Sheet1'!$L$16"}</definedName>
    <definedName name="______________h1" localSheetId="2" hidden="1">{"'Sheet1'!$L$16"}</definedName>
    <definedName name="______________hu1" localSheetId="2" hidden="1">{"'Sheet1'!$L$16"}</definedName>
    <definedName name="______________hu2" localSheetId="2" hidden="1">{"'Sheet1'!$L$16"}</definedName>
    <definedName name="______________hu5" localSheetId="2" hidden="1">{"'Sheet1'!$L$16"}</definedName>
    <definedName name="______________hu6" localSheetId="2" hidden="1">{"'Sheet1'!$L$16"}</definedName>
    <definedName name="______________hu7" localSheetId="2" hidden="1">{"'Sheet1'!$L$16"}</definedName>
    <definedName name="______________Lan1" localSheetId="2" hidden="1">{"'Sheet1'!$L$16"}</definedName>
    <definedName name="______________LAN3" localSheetId="2" hidden="1">{"'Sheet1'!$L$16"}</definedName>
    <definedName name="______________NSO2" localSheetId="2" hidden="1">{"'Sheet1'!$L$16"}</definedName>
    <definedName name="______________ngk1109" localSheetId="2" hidden="1">{#N/A,#N/A,FALSE,"估價單  (3)"}</definedName>
    <definedName name="______________P3" localSheetId="2" hidden="1">{#N/A,#N/A,FALSE,"特殊室（ＢＱ表）"}</definedName>
    <definedName name="______________PA3" localSheetId="2" hidden="1">{"'Sheet1'!$L$16"}</definedName>
    <definedName name="______________PPP3" localSheetId="2" hidden="1">{#N/A,#N/A,FALSE,"特殊室（ＢＱ表）"}</definedName>
    <definedName name="______________PPP33" localSheetId="2" hidden="1">{#N/A,#N/A,FALSE,"特殊室（ＢＱ表）"}</definedName>
    <definedName name="______________ppp34" localSheetId="2" hidden="1">{#N/A,#N/A,FALSE,"特殊室（ＢＱ表）"}</definedName>
    <definedName name="______________ppp3444" localSheetId="2" hidden="1">{#N/A,#N/A,FALSE,"特殊室（ＢＱ表）"}</definedName>
    <definedName name="______________SCL4" localSheetId="2" hidden="1">{"'Sheet1'!$L$16"}</definedName>
    <definedName name="______________SCL4_1" localSheetId="2" hidden="1">{"'Sheet1'!$L$16"}</definedName>
    <definedName name="______________T10" localSheetId="2" hidden="1">{"'Sheet1'!$L$16"}</definedName>
    <definedName name="______________TM2" localSheetId="2" hidden="1">{"'Sheet1'!$L$16"}</definedName>
    <definedName name="______________tu4" localSheetId="2" hidden="1">{"'Sheet1'!$L$16"}</definedName>
    <definedName name="______________TV2" localSheetId="2" hidden="1">{"'Sheet1'!$L$16"}</definedName>
    <definedName name="______________TH1" localSheetId="2" hidden="1">{"'Sheet1'!$L$16"}</definedName>
    <definedName name="______________THT11" localSheetId="2" hidden="1">{"'Sheet1'!$L$16"}</definedName>
    <definedName name="______________VT3" localSheetId="2" hidden="1">{"'Sheet1'!$L$16"}</definedName>
    <definedName name="_____________a1" localSheetId="2" hidden="1">{"'Sheet1'!$L$16"}</definedName>
    <definedName name="_____________a1_1" localSheetId="2" hidden="1">{"'Sheet1'!$L$16"}</definedName>
    <definedName name="_____________a129" localSheetId="2" hidden="1">{"Offgrid",#N/A,FALSE,"OFFGRID";"Region",#N/A,FALSE,"REGION";"Offgrid -2",#N/A,FALSE,"OFFGRID";"WTP",#N/A,FALSE,"WTP";"WTP -2",#N/A,FALSE,"WTP";"Project",#N/A,FALSE,"PROJECT";"Summary -2",#N/A,FALSE,"SUMMARY"}</definedName>
    <definedName name="_____________a130" localSheetId="2" hidden="1">{"Offgrid",#N/A,FALSE,"OFFGRID";"Region",#N/A,FALSE,"REGION";"Offgrid -2",#N/A,FALSE,"OFFGRID";"WTP",#N/A,FALSE,"WTP";"WTP -2",#N/A,FALSE,"WTP";"Project",#N/A,FALSE,"PROJECT";"Summary -2",#N/A,FALSE,"SUMMARY"}</definedName>
    <definedName name="_____________BG12" localSheetId="2" hidden="1">{"'Sheet1'!$L$16"}</definedName>
    <definedName name="_____________CN1" localSheetId="2" hidden="1">{"'Sheet1'!$L$16"}</definedName>
    <definedName name="_____________DT10" localSheetId="2" hidden="1">{"'Sheet1'!$L$16"}</definedName>
    <definedName name="_____________Goi8" localSheetId="2" hidden="1">{"'Sheet1'!$L$16"}</definedName>
    <definedName name="_____________Goi8_1" localSheetId="2" hidden="1">{"'Sheet1'!$L$16"}</definedName>
    <definedName name="_____________h1" localSheetId="2" hidden="1">{"'Sheet1'!$L$16"}</definedName>
    <definedName name="_____________hu1" localSheetId="2" hidden="1">{"'Sheet1'!$L$16"}</definedName>
    <definedName name="_____________hu2" localSheetId="2" hidden="1">{"'Sheet1'!$L$16"}</definedName>
    <definedName name="_____________hu5" localSheetId="2" hidden="1">{"'Sheet1'!$L$16"}</definedName>
    <definedName name="_____________hu6" localSheetId="2" hidden="1">{"'Sheet1'!$L$16"}</definedName>
    <definedName name="_____________hu7" localSheetId="2" hidden="1">{"'Sheet1'!$L$16"}</definedName>
    <definedName name="_____________Lan1" localSheetId="2" hidden="1">{"'Sheet1'!$L$16"}</definedName>
    <definedName name="_____________LAN3" localSheetId="2" hidden="1">{"'Sheet1'!$L$16"}</definedName>
    <definedName name="_____________lop111" localSheetId="2" hidden="1">{#N/A,#N/A,FALSE,"特殊室（ＢＱ表）"}</definedName>
    <definedName name="_____________m4" localSheetId="2" hidden="1">{"'Sheet1'!$L$16"}</definedName>
    <definedName name="_____________NSO2" localSheetId="2" hidden="1">{"'Sheet1'!$L$16"}</definedName>
    <definedName name="_____________ngk1109" localSheetId="2" hidden="1">{#N/A,#N/A,FALSE,"估價單  (3)"}</definedName>
    <definedName name="_____________P3" localSheetId="2" hidden="1">{#N/A,#N/A,FALSE,"特殊室（ＢＱ表）"}</definedName>
    <definedName name="_____________PA3" localSheetId="2" hidden="1">{"'Sheet1'!$L$16"}</definedName>
    <definedName name="_____________PPP3" localSheetId="2" hidden="1">{#N/A,#N/A,FALSE,"特殊室（ＢＱ表）"}</definedName>
    <definedName name="_____________PPP33" localSheetId="2" hidden="1">{#N/A,#N/A,FALSE,"特殊室（ＢＱ表）"}</definedName>
    <definedName name="_____________ppp34" localSheetId="2" hidden="1">{#N/A,#N/A,FALSE,"特殊室（ＢＱ表）"}</definedName>
    <definedName name="_____________ppp3444" localSheetId="2" hidden="1">{#N/A,#N/A,FALSE,"特殊室（ＢＱ表）"}</definedName>
    <definedName name="_____________SCL4" localSheetId="2" hidden="1">{"'Sheet1'!$L$16"}</definedName>
    <definedName name="_____________SCL4_1" localSheetId="2" hidden="1">{"'Sheet1'!$L$16"}</definedName>
    <definedName name="_____________T10" localSheetId="2" hidden="1">{"'Sheet1'!$L$16"}</definedName>
    <definedName name="_____________TM2" localSheetId="2" hidden="1">{"'Sheet1'!$L$16"}</definedName>
    <definedName name="_____________tt3" localSheetId="2" hidden="1">{"'Sheet1'!$L$16"}</definedName>
    <definedName name="_____________tu4" localSheetId="2" hidden="1">{"'Sheet1'!$L$16"}</definedName>
    <definedName name="_____________TV2" localSheetId="2" hidden="1">{"'Sheet1'!$L$16"}</definedName>
    <definedName name="_____________TH1" localSheetId="2" hidden="1">{"'Sheet1'!$L$16"}</definedName>
    <definedName name="_____________THT11" localSheetId="2" hidden="1">{"'Sheet1'!$L$16"}</definedName>
    <definedName name="_____________VT3" localSheetId="2" hidden="1">{"'Sheet1'!$L$16"}</definedName>
    <definedName name="____________a1" localSheetId="2" hidden="1">{"'Sheet1'!$L$16"}</definedName>
    <definedName name="____________a1_1" localSheetId="2" hidden="1">{"'Sheet1'!$L$16"}</definedName>
    <definedName name="____________a129" localSheetId="2" hidden="1">{"Offgrid",#N/A,FALSE,"OFFGRID";"Region",#N/A,FALSE,"REGION";"Offgrid -2",#N/A,FALSE,"OFFGRID";"WTP",#N/A,FALSE,"WTP";"WTP -2",#N/A,FALSE,"WTP";"Project",#N/A,FALSE,"PROJECT";"Summary -2",#N/A,FALSE,"SUMMARY"}</definedName>
    <definedName name="____________a130" localSheetId="2" hidden="1">{"Offgrid",#N/A,FALSE,"OFFGRID";"Region",#N/A,FALSE,"REGION";"Offgrid -2",#N/A,FALSE,"OFFGRID";"WTP",#N/A,FALSE,"WTP";"WTP -2",#N/A,FALSE,"WTP";"Project",#N/A,FALSE,"PROJECT";"Summary -2",#N/A,FALSE,"SUMMARY"}</definedName>
    <definedName name="____________BG12" localSheetId="2" hidden="1">{"'Sheet1'!$L$16"}</definedName>
    <definedName name="____________CN1" localSheetId="2" hidden="1">{"'Sheet1'!$L$16"}</definedName>
    <definedName name="____________DT10" localSheetId="2" hidden="1">{"'Sheet1'!$L$16"}</definedName>
    <definedName name="____________Goi8" localSheetId="2" hidden="1">{"'Sheet1'!$L$16"}</definedName>
    <definedName name="____________Goi8_1" localSheetId="2" hidden="1">{"'Sheet1'!$L$16"}</definedName>
    <definedName name="____________Lan1" localSheetId="2" hidden="1">{"'Sheet1'!$L$16"}</definedName>
    <definedName name="____________LAN3" localSheetId="2" hidden="1">{"'Sheet1'!$L$16"}</definedName>
    <definedName name="____________lop111" localSheetId="2" hidden="1">{#N/A,#N/A,FALSE,"特殊室（ＢＱ表）"}</definedName>
    <definedName name="____________m4" localSheetId="2" hidden="1">{"'Sheet1'!$L$16"}</definedName>
    <definedName name="____________NSO2" localSheetId="2" hidden="1">{"'Sheet1'!$L$16"}</definedName>
    <definedName name="____________ngk1109" localSheetId="2" hidden="1">{#N/A,#N/A,FALSE,"估價單  (3)"}</definedName>
    <definedName name="____________P3" localSheetId="2" hidden="1">{#N/A,#N/A,FALSE,"特殊室（ＢＱ表）"}</definedName>
    <definedName name="____________PA3" localSheetId="2" hidden="1">{"'Sheet1'!$L$16"}</definedName>
    <definedName name="____________PPP3" localSheetId="2" hidden="1">{#N/A,#N/A,FALSE,"特殊室（ＢＱ表）"}</definedName>
    <definedName name="____________PPP33" localSheetId="2" hidden="1">{#N/A,#N/A,FALSE,"特殊室（ＢＱ表）"}</definedName>
    <definedName name="____________ppp34" localSheetId="2" hidden="1">{#N/A,#N/A,FALSE,"特殊室（ＢＱ表）"}</definedName>
    <definedName name="____________ppp3444" localSheetId="2" hidden="1">{#N/A,#N/A,FALSE,"特殊室（ＢＱ表）"}</definedName>
    <definedName name="____________SCL4" localSheetId="2" hidden="1">{"'Sheet1'!$L$16"}</definedName>
    <definedName name="____________SCL4_1" localSheetId="2" hidden="1">{"'Sheet1'!$L$16"}</definedName>
    <definedName name="____________T3" localSheetId="2" hidden="1">{"'Sheet1'!$L$16"}</definedName>
    <definedName name="____________TM2" localSheetId="2" hidden="1">{"'Sheet1'!$L$16"}</definedName>
    <definedName name="____________tt3" localSheetId="2" hidden="1">{"'Sheet1'!$L$16"}</definedName>
    <definedName name="____________tu4" localSheetId="2" hidden="1">{"'Sheet1'!$L$16"}</definedName>
    <definedName name="____________TV2" localSheetId="2" hidden="1">{"'Sheet1'!$L$16"}</definedName>
    <definedName name="____________TH1" localSheetId="2" hidden="1">{"'Sheet1'!$L$16"}</definedName>
    <definedName name="____________THT11" localSheetId="2" hidden="1">{"'Sheet1'!$L$16"}</definedName>
    <definedName name="____________VT3" localSheetId="2" hidden="1">{"'Sheet1'!$L$16"}</definedName>
    <definedName name="___________a1" localSheetId="2" hidden="1">{"'Sheet1'!$L$16"}</definedName>
    <definedName name="___________a1_1" localSheetId="2" hidden="1">{"'Sheet1'!$L$16"}</definedName>
    <definedName name="___________a129" localSheetId="2" hidden="1">{"Offgrid",#N/A,FALSE,"OFFGRID";"Region",#N/A,FALSE,"REGION";"Offgrid -2",#N/A,FALSE,"OFFGRID";"WTP",#N/A,FALSE,"WTP";"WTP -2",#N/A,FALSE,"WTP";"Project",#N/A,FALSE,"PROJECT";"Summary -2",#N/A,FALSE,"SUMMARY"}</definedName>
    <definedName name="___________a130" localSheetId="2" hidden="1">{"Offgrid",#N/A,FALSE,"OFFGRID";"Region",#N/A,FALSE,"REGION";"Offgrid -2",#N/A,FALSE,"OFFGRID";"WTP",#N/A,FALSE,"WTP";"WTP -2",#N/A,FALSE,"WTP";"Project",#N/A,FALSE,"PROJECT";"Summary -2",#N/A,FALSE,"SUMMARY"}</definedName>
    <definedName name="___________a2" localSheetId="2" hidden="1">{"'Sheet1'!$L$16"}</definedName>
    <definedName name="___________BG12" localSheetId="2" hidden="1">{"'Sheet1'!$L$16"}</definedName>
    <definedName name="___________CN1" localSheetId="2" hidden="1">{"'Sheet1'!$L$16"}</definedName>
    <definedName name="___________DT10" localSheetId="2" hidden="1">{"'Sheet1'!$L$16"}</definedName>
    <definedName name="___________Goi8" localSheetId="2" hidden="1">{"'Sheet1'!$L$16"}</definedName>
    <definedName name="___________Goi8_1" localSheetId="2" hidden="1">{"'Sheet1'!$L$16"}</definedName>
    <definedName name="___________h1" localSheetId="2" hidden="1">{"'Sheet1'!$L$16"}</definedName>
    <definedName name="___________hu1" localSheetId="2" hidden="1">{"'Sheet1'!$L$16"}</definedName>
    <definedName name="___________hu2" localSheetId="2" hidden="1">{"'Sheet1'!$L$16"}</definedName>
    <definedName name="___________hu5" localSheetId="2" hidden="1">{"'Sheet1'!$L$16"}</definedName>
    <definedName name="___________hu6" localSheetId="2" hidden="1">{"'Sheet1'!$L$16"}</definedName>
    <definedName name="___________hu7" localSheetId="2" hidden="1">{"'Sheet1'!$L$16"}</definedName>
    <definedName name="___________LAN3" localSheetId="2" hidden="1">{"'Sheet1'!$L$16"}</definedName>
    <definedName name="___________lop111" localSheetId="2" hidden="1">{#N/A,#N/A,FALSE,"特殊室（ＢＱ表）"}</definedName>
    <definedName name="___________m4" localSheetId="2" hidden="1">{"'Sheet1'!$L$16"}</definedName>
    <definedName name="___________NSO2" localSheetId="2" hidden="1">{"'Sheet1'!$L$16"}</definedName>
    <definedName name="___________ngk1109" localSheetId="2" hidden="1">{#N/A,#N/A,FALSE,"估價單  (3)"}</definedName>
    <definedName name="___________P3" localSheetId="2" hidden="1">{#N/A,#N/A,FALSE,"特殊室（ＢＱ表）"}</definedName>
    <definedName name="___________PA3" localSheetId="2" hidden="1">{"'Sheet1'!$L$16"}</definedName>
    <definedName name="___________PPP3" localSheetId="2" hidden="1">{#N/A,#N/A,FALSE,"特殊室（ＢＱ表）"}</definedName>
    <definedName name="___________PPP33" localSheetId="2" hidden="1">{#N/A,#N/A,FALSE,"特殊室（ＢＱ表）"}</definedName>
    <definedName name="___________ppp34" localSheetId="2" hidden="1">{#N/A,#N/A,FALSE,"特殊室（ＢＱ表）"}</definedName>
    <definedName name="___________ppp3444" localSheetId="2" hidden="1">{#N/A,#N/A,FALSE,"特殊室（ＢＱ表）"}</definedName>
    <definedName name="___________SCL4" localSheetId="2" hidden="1">{"'Sheet1'!$L$16"}</definedName>
    <definedName name="___________SCL4_1" localSheetId="2" hidden="1">{"'Sheet1'!$L$16"}</definedName>
    <definedName name="___________T10" localSheetId="2" hidden="1">{"'Sheet1'!$L$16"}</definedName>
    <definedName name="___________TM2" localSheetId="2" hidden="1">{"'Sheet1'!$L$16"}</definedName>
    <definedName name="___________tt3" localSheetId="2" hidden="1">{"'Sheet1'!$L$16"}</definedName>
    <definedName name="___________tu4" localSheetId="2" hidden="1">{"'Sheet1'!$L$16"}</definedName>
    <definedName name="___________TV2" localSheetId="2" hidden="1">{"'Sheet1'!$L$16"}</definedName>
    <definedName name="___________THT11" localSheetId="2" hidden="1">{"'Sheet1'!$L$16"}</definedName>
    <definedName name="___________VT3" localSheetId="2" hidden="1">{"'Sheet1'!$L$16"}</definedName>
    <definedName name="__________a1" localSheetId="2" hidden="1">{"'Sheet1'!$L$16"}</definedName>
    <definedName name="__________a1_1" localSheetId="2" hidden="1">{"'Sheet1'!$L$16"}</definedName>
    <definedName name="__________a129" localSheetId="2" hidden="1">{"Offgrid",#N/A,FALSE,"OFFGRID";"Region",#N/A,FALSE,"REGION";"Offgrid -2",#N/A,FALSE,"OFFGRID";"WTP",#N/A,FALSE,"WTP";"WTP -2",#N/A,FALSE,"WTP";"Project",#N/A,FALSE,"PROJECT";"Summary -2",#N/A,FALSE,"SUMMARY"}</definedName>
    <definedName name="__________a130" localSheetId="2" hidden="1">{"Offgrid",#N/A,FALSE,"OFFGRID";"Region",#N/A,FALSE,"REGION";"Offgrid -2",#N/A,FALSE,"OFFGRID";"WTP",#N/A,FALSE,"WTP";"WTP -2",#N/A,FALSE,"WTP";"Project",#N/A,FALSE,"PROJECT";"Summary -2",#N/A,FALSE,"SUMMARY"}</definedName>
    <definedName name="__________a2" localSheetId="2" hidden="1">{"'Sheet1'!$L$16"}</definedName>
    <definedName name="__________BG12" localSheetId="2" hidden="1">{"'Sheet1'!$L$16"}</definedName>
    <definedName name="__________CN1" localSheetId="2" hidden="1">{"'Sheet1'!$L$16"}</definedName>
    <definedName name="__________d1500" localSheetId="2" hidden="1">{"'Sheet1'!$L$16"}</definedName>
    <definedName name="__________DT10" localSheetId="2" hidden="1">{"'Sheet1'!$L$16"}</definedName>
    <definedName name="__________Goi8" localSheetId="2" hidden="1">{"'Sheet1'!$L$16"}</definedName>
    <definedName name="__________Goi8_1" localSheetId="2" hidden="1">{"'Sheet1'!$L$16"}</definedName>
    <definedName name="__________h1" localSheetId="2" hidden="1">{"'Sheet1'!$L$16"}</definedName>
    <definedName name="__________hu1" localSheetId="2" hidden="1">{"'Sheet1'!$L$16"}</definedName>
    <definedName name="__________hu2" localSheetId="2" hidden="1">{"'Sheet1'!$L$16"}</definedName>
    <definedName name="__________hu5" localSheetId="2" hidden="1">{"'Sheet1'!$L$16"}</definedName>
    <definedName name="__________hu6" localSheetId="2" hidden="1">{"'Sheet1'!$L$16"}</definedName>
    <definedName name="__________hu7" localSheetId="2" hidden="1">{"'Sheet1'!$L$16"}</definedName>
    <definedName name="__________Lan1" localSheetId="2" hidden="1">{"'Sheet1'!$L$16"}</definedName>
    <definedName name="__________LAN3" localSheetId="2" hidden="1">{"'Sheet1'!$L$16"}</definedName>
    <definedName name="__________lop111" localSheetId="2" hidden="1">{#N/A,#N/A,FALSE,"特殊室（ＢＱ表）"}</definedName>
    <definedName name="__________m4" localSheetId="2" hidden="1">{"'Sheet1'!$L$16"}</definedName>
    <definedName name="__________NSO2" localSheetId="2" hidden="1">{"'Sheet1'!$L$16"}</definedName>
    <definedName name="__________ngk1109" localSheetId="2" hidden="1">{#N/A,#N/A,FALSE,"估價單  (3)"}</definedName>
    <definedName name="__________P3" localSheetId="2" hidden="1">{#N/A,#N/A,FALSE,"特殊室（ＢＱ表）"}</definedName>
    <definedName name="__________PA3" localSheetId="2" hidden="1">{"'Sheet1'!$L$16"}</definedName>
    <definedName name="__________PPP3" localSheetId="2" hidden="1">{#N/A,#N/A,FALSE,"特殊室（ＢＱ表）"}</definedName>
    <definedName name="__________PPP33" localSheetId="2" hidden="1">{#N/A,#N/A,FALSE,"特殊室（ＢＱ表）"}</definedName>
    <definedName name="__________ppp34" localSheetId="2" hidden="1">{#N/A,#N/A,FALSE,"特殊室（ＢＱ表）"}</definedName>
    <definedName name="__________ppp3444" localSheetId="2" hidden="1">{#N/A,#N/A,FALSE,"特殊室（ＢＱ表）"}</definedName>
    <definedName name="__________SCL4" localSheetId="2" hidden="1">{"'Sheet1'!$L$16"}</definedName>
    <definedName name="__________SCL4_1" localSheetId="2" hidden="1">{"'Sheet1'!$L$16"}</definedName>
    <definedName name="__________T10" localSheetId="2" hidden="1">{"'Sheet1'!$L$16"}</definedName>
    <definedName name="__________TM2" localSheetId="2" hidden="1">{"'Sheet1'!$L$16"}</definedName>
    <definedName name="__________tt3" localSheetId="2" hidden="1">{"'Sheet1'!$L$16"}</definedName>
    <definedName name="__________tu4" localSheetId="2" hidden="1">{"'Sheet1'!$L$16"}</definedName>
    <definedName name="__________TH1" localSheetId="2" hidden="1">{"'Sheet1'!$L$16"}</definedName>
    <definedName name="__________VT3" localSheetId="2" hidden="1">{"'Sheet1'!$L$16"}</definedName>
    <definedName name="_________a1" localSheetId="2" hidden="1">{"'Sheet1'!$L$16"}</definedName>
    <definedName name="_________a1_1" localSheetId="2" hidden="1">{"'Sheet1'!$L$16"}</definedName>
    <definedName name="_________a129" localSheetId="2" hidden="1">{"Offgrid",#N/A,FALSE,"OFFGRID";"Region",#N/A,FALSE,"REGION";"Offgrid -2",#N/A,FALSE,"OFFGRID";"WTP",#N/A,FALSE,"WTP";"WTP -2",#N/A,FALSE,"WTP";"Project",#N/A,FALSE,"PROJECT";"Summary -2",#N/A,FALSE,"SUMMARY"}</definedName>
    <definedName name="_________a130" localSheetId="2" hidden="1">{"Offgrid",#N/A,FALSE,"OFFGRID";"Region",#N/A,FALSE,"REGION";"Offgrid -2",#N/A,FALSE,"OFFGRID";"WTP",#N/A,FALSE,"WTP";"WTP -2",#N/A,FALSE,"WTP";"Project",#N/A,FALSE,"PROJECT";"Summary -2",#N/A,FALSE,"SUMMARY"}</definedName>
    <definedName name="_________a2" localSheetId="2" hidden="1">{"'Sheet1'!$L$16"}</definedName>
    <definedName name="_________BG12" localSheetId="2" hidden="1">{"'Sheet1'!$L$16"}</definedName>
    <definedName name="_________CN1" localSheetId="2" hidden="1">{"'Sheet1'!$L$16"}</definedName>
    <definedName name="_________d1500" localSheetId="2" hidden="1">{"'Sheet1'!$L$16"}</definedName>
    <definedName name="_________DT10" localSheetId="2" hidden="1">{"'Sheet1'!$L$16"}</definedName>
    <definedName name="_________Goi8" localSheetId="2" hidden="1">{"'Sheet1'!$L$16"}</definedName>
    <definedName name="_________Goi8_1" localSheetId="2" hidden="1">{"'Sheet1'!$L$16"}</definedName>
    <definedName name="_________h1" localSheetId="2" hidden="1">{"'Sheet1'!$L$16"}</definedName>
    <definedName name="_________hu1" localSheetId="2" hidden="1">{"'Sheet1'!$L$16"}</definedName>
    <definedName name="_________hu2" localSheetId="2" hidden="1">{"'Sheet1'!$L$16"}</definedName>
    <definedName name="_________hu5" localSheetId="2" hidden="1">{"'Sheet1'!$L$16"}</definedName>
    <definedName name="_________hu6" localSheetId="2" hidden="1">{"'Sheet1'!$L$16"}</definedName>
    <definedName name="_________hu7" localSheetId="2" hidden="1">{"'Sheet1'!$L$16"}</definedName>
    <definedName name="_________Lan1" localSheetId="2" hidden="1">{"'Sheet1'!$L$16"}</definedName>
    <definedName name="_________LAN3" localSheetId="2" hidden="1">{"'Sheet1'!$L$16"}</definedName>
    <definedName name="_________lop111" localSheetId="2" hidden="1">{#N/A,#N/A,FALSE,"特殊室（ＢＱ表）"}</definedName>
    <definedName name="_________m4" localSheetId="2" hidden="1">{"'Sheet1'!$L$16"}</definedName>
    <definedName name="_________NSO2" localSheetId="2" hidden="1">{"'Sheet1'!$L$16"}</definedName>
    <definedName name="_________ngk1109" localSheetId="2" hidden="1">{#N/A,#N/A,FALSE,"估價單  (3)"}</definedName>
    <definedName name="_________P3" localSheetId="2" hidden="1">{#N/A,#N/A,FALSE,"特殊室（ＢＱ表）"}</definedName>
    <definedName name="_________PA3" localSheetId="2" hidden="1">{"'Sheet1'!$L$16"}</definedName>
    <definedName name="_________PPP3" localSheetId="2" hidden="1">{#N/A,#N/A,FALSE,"特殊室（ＢＱ表）"}</definedName>
    <definedName name="_________PPP33" localSheetId="2" hidden="1">{#N/A,#N/A,FALSE,"特殊室（ＢＱ表）"}</definedName>
    <definedName name="_________ppp34" localSheetId="2" hidden="1">{#N/A,#N/A,FALSE,"特殊室（ＢＱ表）"}</definedName>
    <definedName name="_________ppp3444" localSheetId="2" hidden="1">{#N/A,#N/A,FALSE,"特殊室（ＢＱ表）"}</definedName>
    <definedName name="_________SCL4" localSheetId="2" hidden="1">{"'Sheet1'!$L$16"}</definedName>
    <definedName name="_________SCL4_1" localSheetId="2" hidden="1">{"'Sheet1'!$L$16"}</definedName>
    <definedName name="_________T10" localSheetId="2" hidden="1">{"'Sheet1'!$L$16"}</definedName>
    <definedName name="_________T3" localSheetId="2" hidden="1">{"'Sheet1'!$L$16"}</definedName>
    <definedName name="_________TM2" localSheetId="2" hidden="1">{"'Sheet1'!$L$16"}</definedName>
    <definedName name="_________tt3" localSheetId="2" hidden="1">{"'Sheet1'!$L$16"}</definedName>
    <definedName name="_________tu4" localSheetId="2" hidden="1">{"'Sheet1'!$L$16"}</definedName>
    <definedName name="_________TV2" localSheetId="2" hidden="1">{"'Sheet1'!$L$16"}</definedName>
    <definedName name="_________TH1" localSheetId="2" hidden="1">{"'Sheet1'!$L$16"}</definedName>
    <definedName name="_________THT11" localSheetId="2" hidden="1">{"'Sheet1'!$L$16"}</definedName>
    <definedName name="_________VT3" localSheetId="2" hidden="1">{"'Sheet1'!$L$16"}</definedName>
    <definedName name="________a1" localSheetId="2" hidden="1">{"'Sheet1'!$L$16"}</definedName>
    <definedName name="________a1_1" localSheetId="2" hidden="1">{"'Sheet1'!$L$16"}</definedName>
    <definedName name="________a129" localSheetId="2"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2" localSheetId="2" hidden="1">{"'Sheet1'!$L$16"}</definedName>
    <definedName name="________BG12" localSheetId="2" hidden="1">{"'Sheet1'!$L$16"}</definedName>
    <definedName name="________CN1" localSheetId="2" hidden="1">{"'Sheet1'!$L$16"}</definedName>
    <definedName name="________d1500" localSheetId="2" hidden="1">{"'Sheet1'!$L$16"}</definedName>
    <definedName name="________DT10" localSheetId="2" hidden="1">{"'Sheet1'!$L$16"}</definedName>
    <definedName name="________Goi8" localSheetId="2" hidden="1">{"'Sheet1'!$L$16"}</definedName>
    <definedName name="________Goi8_1" localSheetId="2" hidden="1">{"'Sheet1'!$L$16"}</definedName>
    <definedName name="________h1" localSheetId="2" hidden="1">{"'Sheet1'!$L$16"}</definedName>
    <definedName name="________hu1" localSheetId="2" hidden="1">{"'Sheet1'!$L$16"}</definedName>
    <definedName name="________hu2" localSheetId="2" hidden="1">{"'Sheet1'!$L$16"}</definedName>
    <definedName name="________hu5" localSheetId="2" hidden="1">{"'Sheet1'!$L$16"}</definedName>
    <definedName name="________hu6" localSheetId="2" hidden="1">{"'Sheet1'!$L$16"}</definedName>
    <definedName name="________hu7" localSheetId="2" hidden="1">{"'Sheet1'!$L$16"}</definedName>
    <definedName name="________Lan1" localSheetId="2" hidden="1">{"'Sheet1'!$L$16"}</definedName>
    <definedName name="________LAN3" localSheetId="2" hidden="1">{"'Sheet1'!$L$16"}</definedName>
    <definedName name="________lop111" localSheetId="2" hidden="1">{#N/A,#N/A,FALSE,"特殊室（ＢＱ表）"}</definedName>
    <definedName name="________m4" localSheetId="2" hidden="1">{"'Sheet1'!$L$16"}</definedName>
    <definedName name="________MCC3" localSheetId="2" hidden="1">{#N/A,#N/A,FALSE,"CCTV"}</definedName>
    <definedName name="________nam1" localSheetId="2" hidden="1">{"'Sheet1'!$L$16"}</definedName>
    <definedName name="________NSO2" localSheetId="2" hidden="1">{"'Sheet1'!$L$16"}</definedName>
    <definedName name="________ngk1109" localSheetId="2" hidden="1">{#N/A,#N/A,FALSE,"估價單  (3)"}</definedName>
    <definedName name="________P3" localSheetId="2" hidden="1">{#N/A,#N/A,FALSE,"特殊室（ＢＱ表）"}</definedName>
    <definedName name="________PA3" localSheetId="2" hidden="1">{"'Sheet1'!$L$16"}</definedName>
    <definedName name="________PPP3" localSheetId="2" hidden="1">{#N/A,#N/A,FALSE,"特殊室（ＢＱ表）"}</definedName>
    <definedName name="________PPP33" localSheetId="2" hidden="1">{#N/A,#N/A,FALSE,"特殊室（ＢＱ表）"}</definedName>
    <definedName name="________ppp34" localSheetId="2" hidden="1">{#N/A,#N/A,FALSE,"特殊室（ＢＱ表）"}</definedName>
    <definedName name="________ppp3444" localSheetId="2" hidden="1">{#N/A,#N/A,FALSE,"特殊室（ＢＱ表）"}</definedName>
    <definedName name="________phu3" localSheetId="2" hidden="1">{"'Sheet1'!$L$16"}</definedName>
    <definedName name="________SCL4" localSheetId="2" hidden="1">{"'Sheet1'!$L$16"}</definedName>
    <definedName name="________SCL4_1" localSheetId="2" hidden="1">{"'Sheet1'!$L$16"}</definedName>
    <definedName name="________SHI1" localSheetId="2" hidden="1">{"'Sheet1'!$L$16"}</definedName>
    <definedName name="________T10" localSheetId="2" hidden="1">{"'Sheet1'!$L$16"}</definedName>
    <definedName name="________T3" localSheetId="2" hidden="1">{"'Sheet1'!$L$16"}</definedName>
    <definedName name="________TM2" localSheetId="2" hidden="1">{"'Sheet1'!$L$16"}</definedName>
    <definedName name="________tt3" localSheetId="2" hidden="1">{"'Sheet1'!$L$16"}</definedName>
    <definedName name="________tu4" localSheetId="2" hidden="1">{"'Sheet1'!$L$16"}</definedName>
    <definedName name="________TV2" localSheetId="2" hidden="1">{"'Sheet1'!$L$16"}</definedName>
    <definedName name="________TH1" localSheetId="2" hidden="1">{"'Sheet1'!$L$16"}</definedName>
    <definedName name="________THT11" localSheetId="2" hidden="1">{"'Sheet1'!$L$16"}</definedName>
    <definedName name="________VT3" localSheetId="2" hidden="1">{"'Sheet1'!$L$16"}</definedName>
    <definedName name="_______a1" localSheetId="2" hidden="1">{"'Sheet1'!$L$16"}</definedName>
    <definedName name="_______a1_1" localSheetId="2" hidden="1">{"'Sheet1'!$L$16"}</definedName>
    <definedName name="_______a129" localSheetId="2"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2" localSheetId="2" hidden="1">{"'Sheet1'!$L$16"}</definedName>
    <definedName name="_______BG12" localSheetId="2" hidden="1">{"'Sheet1'!$L$16"}</definedName>
    <definedName name="_______CN1" localSheetId="2" hidden="1">{"'Sheet1'!$L$16"}</definedName>
    <definedName name="_______d1500" localSheetId="2" hidden="1">{"'Sheet1'!$L$16"}</definedName>
    <definedName name="_______DT10" localSheetId="2" hidden="1">{"'Sheet1'!$L$16"}</definedName>
    <definedName name="_______Goi8" localSheetId="2" hidden="1">{"'Sheet1'!$L$16"}</definedName>
    <definedName name="_______Goi8_1" localSheetId="2" hidden="1">{"'Sheet1'!$L$16"}</definedName>
    <definedName name="_______h1" localSheetId="2" hidden="1">{"'Sheet1'!$L$16"}</definedName>
    <definedName name="_______hu1" localSheetId="2" hidden="1">{"'Sheet1'!$L$16"}</definedName>
    <definedName name="_______hu2" localSheetId="2" hidden="1">{"'Sheet1'!$L$16"}</definedName>
    <definedName name="_______hu5" localSheetId="2" hidden="1">{"'Sheet1'!$L$16"}</definedName>
    <definedName name="_______hu6" localSheetId="2" hidden="1">{"'Sheet1'!$L$16"}</definedName>
    <definedName name="_______hu7" localSheetId="2" hidden="1">{"'Sheet1'!$L$16"}</definedName>
    <definedName name="_______Lan1" localSheetId="2" hidden="1">{"'Sheet1'!$L$16"}</definedName>
    <definedName name="_______LAN3" localSheetId="2" hidden="1">{"'Sheet1'!$L$16"}</definedName>
    <definedName name="_______lop111" localSheetId="2" hidden="1">{#N/A,#N/A,FALSE,"特殊室（ＢＱ表）"}</definedName>
    <definedName name="_______m4" localSheetId="2" hidden="1">{"'Sheet1'!$L$16"}</definedName>
    <definedName name="_______MCC3" localSheetId="2" hidden="1">{#N/A,#N/A,FALSE,"CCTV"}</definedName>
    <definedName name="_______nam1" localSheetId="2" hidden="1">{"'Sheet1'!$L$16"}</definedName>
    <definedName name="_______NSO2" localSheetId="2" hidden="1">{"'Sheet1'!$L$16"}</definedName>
    <definedName name="_______ngk1109" localSheetId="2" hidden="1">{#N/A,#N/A,FALSE,"估價單  (3)"}</definedName>
    <definedName name="_______P3" localSheetId="2" hidden="1">{#N/A,#N/A,FALSE,"特殊室（ＢＱ表）"}</definedName>
    <definedName name="_______PA3" localSheetId="2" hidden="1">{"'Sheet1'!$L$16"}</definedName>
    <definedName name="_______PPP3" localSheetId="2" hidden="1">{#N/A,#N/A,FALSE,"特殊室（ＢＱ表）"}</definedName>
    <definedName name="_______PPP33" localSheetId="2" hidden="1">{#N/A,#N/A,FALSE,"特殊室（ＢＱ表）"}</definedName>
    <definedName name="_______ppp34" localSheetId="2" hidden="1">{#N/A,#N/A,FALSE,"特殊室（ＢＱ表）"}</definedName>
    <definedName name="_______ppp3444" localSheetId="2" hidden="1">{#N/A,#N/A,FALSE,"特殊室（ＢＱ表）"}</definedName>
    <definedName name="_______phu3" localSheetId="2" hidden="1">{"'Sheet1'!$L$16"}</definedName>
    <definedName name="_______SCL4" localSheetId="2" hidden="1">{"'Sheet1'!$L$16"}</definedName>
    <definedName name="_______SCL4_1" localSheetId="2" hidden="1">{"'Sheet1'!$L$16"}</definedName>
    <definedName name="_______SHI1" localSheetId="2" hidden="1">{"'Sheet1'!$L$16"}</definedName>
    <definedName name="_______T10" localSheetId="2" hidden="1">{"'Sheet1'!$L$16"}</definedName>
    <definedName name="_______T3" localSheetId="2" hidden="1">{"'Sheet1'!$L$16"}</definedName>
    <definedName name="_______TM2" localSheetId="2" hidden="1">{"'Sheet1'!$L$16"}</definedName>
    <definedName name="_______tt3" localSheetId="2" hidden="1">{"'Sheet1'!$L$16"}</definedName>
    <definedName name="_______tu4" localSheetId="2" hidden="1">{"'Sheet1'!$L$16"}</definedName>
    <definedName name="_______TV2" localSheetId="2" hidden="1">{"'Sheet1'!$L$16"}</definedName>
    <definedName name="_______TH1" localSheetId="2" hidden="1">{"'Sheet1'!$L$16"}</definedName>
    <definedName name="_______THT11" localSheetId="2" hidden="1">{"'Sheet1'!$L$16"}</definedName>
    <definedName name="_______VT3" localSheetId="2" hidden="1">{"'Sheet1'!$L$16"}</definedName>
    <definedName name="______a1" localSheetId="2" hidden="1">{"'Sheet1'!$L$16"}</definedName>
    <definedName name="______a1_1" localSheetId="2" hidden="1">{"'Sheet1'!$L$16"}</definedName>
    <definedName name="______a129" localSheetId="2"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2" localSheetId="2" hidden="1">{"'Sheet1'!$L$16"}</definedName>
    <definedName name="______b01" localSheetId="2" hidden="1">{#N/A,#N/A,FALSE,"MARCH"}</definedName>
    <definedName name="______ba1" localSheetId="2" hidden="1">{#N/A,#N/A,FALSE,"Chi tiÆt"}</definedName>
    <definedName name="______ba2" localSheetId="2" hidden="1">{#N/A,#N/A,FALSE,"Chi tiÆt"}</definedName>
    <definedName name="______BG12" localSheetId="2" hidden="1">{"'Sheet1'!$L$16"}</definedName>
    <definedName name="______CN1" localSheetId="2" hidden="1">{"'Sheet1'!$L$16"}</definedName>
    <definedName name="______ct2005" localSheetId="2" hidden="1">{"'Sheet1'!$L$16"}</definedName>
    <definedName name="______d1500" localSheetId="2" hidden="1">{"'Sheet1'!$L$16"}</definedName>
    <definedName name="______DT10" localSheetId="2" hidden="1">{"'Sheet1'!$L$16"}</definedName>
    <definedName name="______Goi8" localSheetId="2" hidden="1">{"'Sheet1'!$L$16"}</definedName>
    <definedName name="______Goi8_1" localSheetId="2" hidden="1">{"'Sheet1'!$L$16"}</definedName>
    <definedName name="______h1" localSheetId="2" hidden="1">{"'Sheet1'!$L$16"}</definedName>
    <definedName name="______hh1219" localSheetId="2" hidden="1">{"'Sheet1'!$L$16"}</definedName>
    <definedName name="______hu1" localSheetId="2" hidden="1">{"'Sheet1'!$L$16"}</definedName>
    <definedName name="______hu2" localSheetId="2" hidden="1">{"'Sheet1'!$L$16"}</definedName>
    <definedName name="______hu5" localSheetId="2" hidden="1">{"'Sheet1'!$L$16"}</definedName>
    <definedName name="______hu6" localSheetId="2" hidden="1">{"'Sheet1'!$L$16"}</definedName>
    <definedName name="______hu7" localSheetId="2" hidden="1">{"'Sheet1'!$L$16"}</definedName>
    <definedName name="______Lan1" localSheetId="2" hidden="1">{"'Sheet1'!$L$16"}</definedName>
    <definedName name="______LAN3" localSheetId="2" hidden="1">{"'Sheet1'!$L$16"}</definedName>
    <definedName name="______ld2" localSheetId="2" hidden="1">{"'Sheet1'!$L$16"}</definedName>
    <definedName name="______lop111" localSheetId="2" hidden="1">{#N/A,#N/A,FALSE,"特殊室（ＢＱ表）"}</definedName>
    <definedName name="______m4" localSheetId="2" hidden="1">{"'Sheet1'!$L$16"}</definedName>
    <definedName name="______MCC3" localSheetId="2" hidden="1">{#N/A,#N/A,FALSE,"CCTV"}</definedName>
    <definedName name="______nam1" localSheetId="2" hidden="1">{"'Sheet1'!$L$16"}</definedName>
    <definedName name="______NSO2" localSheetId="2" hidden="1">{"'Sheet1'!$L$16"}</definedName>
    <definedName name="______ngk1109" localSheetId="2" hidden="1">{#N/A,#N/A,FALSE,"估價單  (3)"}</definedName>
    <definedName name="______P3" localSheetId="2" hidden="1">{#N/A,#N/A,FALSE,"特殊室（ＢＱ表）"}</definedName>
    <definedName name="______PA3" localSheetId="2" hidden="1">{"'Sheet1'!$L$16"}</definedName>
    <definedName name="______PPP3" localSheetId="2" hidden="1">{#N/A,#N/A,FALSE,"特殊室（ＢＱ表）"}</definedName>
    <definedName name="______PPP33" localSheetId="2" hidden="1">{#N/A,#N/A,FALSE,"特殊室（ＢＱ表）"}</definedName>
    <definedName name="______ppp34" localSheetId="2" hidden="1">{#N/A,#N/A,FALSE,"特殊室（ＢＱ表）"}</definedName>
    <definedName name="______ppp3444" localSheetId="2" hidden="1">{#N/A,#N/A,FALSE,"特殊室（ＢＱ表）"}</definedName>
    <definedName name="______phu3" localSheetId="2" hidden="1">{"'Sheet1'!$L$16"}</definedName>
    <definedName name="______SCL4" localSheetId="2" hidden="1">{"'Sheet1'!$L$16"}</definedName>
    <definedName name="______SCL4_1" localSheetId="2" hidden="1">{"'Sheet1'!$L$16"}</definedName>
    <definedName name="______SHI1" localSheetId="2" hidden="1">{"'Sheet1'!$L$16"}</definedName>
    <definedName name="______T1" localSheetId="2" hidden="1">{#N/A,#N/A,FALSE,"Chi tiÆt"}</definedName>
    <definedName name="______T10" localSheetId="2" hidden="1">{"'Sheet1'!$L$16"}</definedName>
    <definedName name="______t2" localSheetId="2" hidden="1">{"'Sheet1'!$L$16"}</definedName>
    <definedName name="______t3" localSheetId="2" hidden="1">{"'Sheet1'!$L$16"}</definedName>
    <definedName name="______t5" localSheetId="2" hidden="1">{"'Sheet1'!$L$16"}</definedName>
    <definedName name="______TM2" localSheetId="2" hidden="1">{"'Sheet1'!$L$16"}</definedName>
    <definedName name="______tt3" localSheetId="2" hidden="1">{"'Sheet1'!$L$16"}</definedName>
    <definedName name="______tu4" localSheetId="2" hidden="1">{"'Sheet1'!$L$16"}</definedName>
    <definedName name="______TV2" localSheetId="2" hidden="1">{"'Sheet1'!$L$16"}</definedName>
    <definedName name="______TH1" localSheetId="2" hidden="1">{"'Sheet1'!$L$16"}</definedName>
    <definedName name="______THT11" localSheetId="2" hidden="1">{"'Sheet1'!$L$16"}</definedName>
    <definedName name="______VT3" localSheetId="2" hidden="1">{"'Sheet1'!$L$16"}</definedName>
    <definedName name="_____a1" localSheetId="2" hidden="1">{"'Sheet1'!$L$16"}</definedName>
    <definedName name="_____a1_1" localSheetId="2" hidden="1">{"'Sheet1'!$L$16"}</definedName>
    <definedName name="_____a129" localSheetId="2"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2" localSheetId="2" hidden="1">{"'Sheet1'!$L$16"}</definedName>
    <definedName name="_____b01" localSheetId="2" hidden="1">{#N/A,#N/A,FALSE,"MARCH"}</definedName>
    <definedName name="_____ba1" localSheetId="2" hidden="1">{#N/A,#N/A,FALSE,"Chi tiÆt"}</definedName>
    <definedName name="_____ba2" localSheetId="2" hidden="1">{#N/A,#N/A,FALSE,"Chi tiÆt"}</definedName>
    <definedName name="_____BG12" localSheetId="2" hidden="1">{"'Sheet1'!$L$16"}</definedName>
    <definedName name="_____bht6" localSheetId="2" hidden="1">{"'Sheet1'!$L$16"}</definedName>
    <definedName name="_____CN1" localSheetId="2" hidden="1">{"'Sheet1'!$L$16"}</definedName>
    <definedName name="_____ct2005" localSheetId="2" hidden="1">{"'Sheet1'!$L$16"}</definedName>
    <definedName name="_____d1500" localSheetId="2" hidden="1">{"'Sheet1'!$L$16"}</definedName>
    <definedName name="_____DT10" localSheetId="2" hidden="1">{"'Sheet1'!$L$16"}</definedName>
    <definedName name="_____FD12" localSheetId="2" hidden="1">{"'Sheet1'!$L$16"}</definedName>
    <definedName name="_____Goi8" localSheetId="2" hidden="1">{"'Sheet1'!$L$16"}</definedName>
    <definedName name="_____Goi8_1" localSheetId="2" hidden="1">{"'Sheet1'!$L$16"}</definedName>
    <definedName name="_____h1" localSheetId="2" hidden="1">{"'Sheet1'!$L$16"}</definedName>
    <definedName name="_____hh1219" localSheetId="2" hidden="1">{"'Sheet1'!$L$16"}</definedName>
    <definedName name="_____hu1" localSheetId="2" hidden="1">{"'Sheet1'!$L$16"}</definedName>
    <definedName name="_____hu2" localSheetId="2" hidden="1">{"'Sheet1'!$L$16"}</definedName>
    <definedName name="_____hu5" localSheetId="2" hidden="1">{"'Sheet1'!$L$16"}</definedName>
    <definedName name="_____hu6" localSheetId="2" hidden="1">{"'Sheet1'!$L$16"}</definedName>
    <definedName name="_____hu7" localSheetId="2" hidden="1">{"'Sheet1'!$L$16"}</definedName>
    <definedName name="_____Lan1" localSheetId="2" hidden="1">{"'Sheet1'!$L$16"}</definedName>
    <definedName name="_____Lan2" localSheetId="2" hidden="1">{"'Sheet1'!$L$16"}</definedName>
    <definedName name="_____LAN3" localSheetId="2" hidden="1">{"'Sheet1'!$L$16"}</definedName>
    <definedName name="_____lao2" localSheetId="2" hidden="1">{"'Sheet1'!$L$16"}</definedName>
    <definedName name="_____ld2" localSheetId="2" hidden="1">{"'Sheet1'!$L$16"}</definedName>
    <definedName name="_____lop111" localSheetId="2" hidden="1">{#N/A,#N/A,FALSE,"特殊室（ＢＱ表）"}</definedName>
    <definedName name="_____M2" localSheetId="2" hidden="1">{"'Sheet1'!$L$16"}</definedName>
    <definedName name="_____m4" localSheetId="2" hidden="1">{"'Sheet1'!$L$16"}</definedName>
    <definedName name="_____MCC3" localSheetId="2" hidden="1">{#N/A,#N/A,FALSE,"CCTV"}</definedName>
    <definedName name="_____nam1" localSheetId="2" hidden="1">{"'Sheet1'!$L$16"}</definedName>
    <definedName name="_____NSO2" localSheetId="2" hidden="1">{"'Sheet1'!$L$16"}</definedName>
    <definedName name="_____ngk1109" localSheetId="2" hidden="1">{#N/A,#N/A,FALSE,"估價單  (3)"}</definedName>
    <definedName name="_____P3" localSheetId="2" hidden="1">{#N/A,#N/A,FALSE,"特殊室（ＢＱ表）"}</definedName>
    <definedName name="_____PA3" localSheetId="2" hidden="1">{"'Sheet1'!$L$16"}</definedName>
    <definedName name="_____PPP3" localSheetId="2" hidden="1">{#N/A,#N/A,FALSE,"特殊室（ＢＱ表）"}</definedName>
    <definedName name="_____PPP33" localSheetId="2" hidden="1">{#N/A,#N/A,FALSE,"特殊室（ＢＱ表）"}</definedName>
    <definedName name="_____ppp34" localSheetId="2" hidden="1">{#N/A,#N/A,FALSE,"特殊室（ＢＱ表）"}</definedName>
    <definedName name="_____ppp3444" localSheetId="2" hidden="1">{#N/A,#N/A,FALSE,"特殊室（ＢＱ表）"}</definedName>
    <definedName name="_____phu3" localSheetId="2" hidden="1">{"'Sheet1'!$L$16"}</definedName>
    <definedName name="_____SCL4" localSheetId="2" hidden="1">{"'Sheet1'!$L$16"}</definedName>
    <definedName name="_____SCL4_1" localSheetId="2" hidden="1">{"'Sheet1'!$L$16"}</definedName>
    <definedName name="_____SHI1" localSheetId="2" hidden="1">{"'Sheet1'!$L$16"}</definedName>
    <definedName name="_____sxt5" localSheetId="2" hidden="1">{"'Sheet1'!$L$16"}</definedName>
    <definedName name="_____T1" localSheetId="2" hidden="1">{#N/A,#N/A,FALSE,"Chi tiÆt"}</definedName>
    <definedName name="_____T10" localSheetId="2" hidden="1">{"'Sheet1'!$L$16"}</definedName>
    <definedName name="_____T2" localSheetId="2" hidden="1">{"'Sheet1'!$L$16"}</definedName>
    <definedName name="_____T3" localSheetId="2" hidden="1">{"'Sheet1'!$L$16"}</definedName>
    <definedName name="_____t4" localSheetId="2" hidden="1">{"'Sheet1'!$L$16"}</definedName>
    <definedName name="_____T5" localSheetId="2" hidden="1">{"'Sheet1'!$L$16"}</definedName>
    <definedName name="_____TM2" localSheetId="2" hidden="1">{"'Sheet1'!$L$16"}</definedName>
    <definedName name="_____tt3" localSheetId="2" hidden="1">{"'Sheet1'!$L$16"}</definedName>
    <definedName name="_____tu4" localSheetId="2" hidden="1">{"'Sheet1'!$L$16"}</definedName>
    <definedName name="_____TV2" localSheetId="2" hidden="1">{"'Sheet1'!$L$16"}</definedName>
    <definedName name="_____TH1" localSheetId="2" hidden="1">{"'Sheet1'!$L$16"}</definedName>
    <definedName name="_____THT11" localSheetId="2" hidden="1">{"'Sheet1'!$L$16"}</definedName>
    <definedName name="_____vpt5" localSheetId="2" hidden="1">{"'Sheet1'!$L$16"}</definedName>
    <definedName name="_____vpt6" localSheetId="2" hidden="1">{"'Sheet1'!$L$16"}</definedName>
    <definedName name="_____VT3" localSheetId="2" hidden="1">{"'Sheet1'!$L$16"}</definedName>
    <definedName name="____a1" localSheetId="2" hidden="1">{"'Sheet1'!$L$16"}</definedName>
    <definedName name="____a1_1" localSheetId="2" hidden="1">{"'Sheet1'!$L$16"}</definedName>
    <definedName name="____a129" localSheetId="2"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2" localSheetId="2" hidden="1">{"'Sheet1'!$L$16"}</definedName>
    <definedName name="____b2" localSheetId="2" hidden="1">{"'Sheet1'!$L$16"}</definedName>
    <definedName name="____ba1" localSheetId="2" hidden="1">{#N/A,#N/A,FALSE,"Chi tiÆt"}</definedName>
    <definedName name="____ba2" localSheetId="2" hidden="1">{#N/A,#N/A,FALSE,"Chi tiÆt"}</definedName>
    <definedName name="____BG12" localSheetId="2" hidden="1">{"'Sheet1'!$L$16"}</definedName>
    <definedName name="____bht6" localSheetId="2" hidden="1">{"'Sheet1'!$L$16"}</definedName>
    <definedName name="____CN1" localSheetId="2" hidden="1">{"'Sheet1'!$L$16"}</definedName>
    <definedName name="____ct2005" localSheetId="2" hidden="1">{"'Sheet1'!$L$16"}</definedName>
    <definedName name="____CT4" localSheetId="2" hidden="1">{"'Sheet1'!$L$16"}</definedName>
    <definedName name="____d1500" localSheetId="2" hidden="1">{"'Sheet1'!$L$16"}</definedName>
    <definedName name="____DT10" localSheetId="2" hidden="1">{"'Sheet1'!$L$16"}</definedName>
    <definedName name="____f1" localSheetId="2" hidden="1">{#N/A,#N/A,FALSE,"FORM A";#N/A,#N/A,FALSE,"FORM D";#N/A,#N/A,FALSE,"FORM E-1";#N/A,#N/A,FALSE,"FORM E-2";#N/A,#N/A,FALSE,"FORM F";#N/A,#N/A,FALSE,"FORM G";#N/A,#N/A,FALSE,"FORM H-1";#N/A,#N/A,FALSE,"FORM H-2";#N/A,#N/A,FALSE,"FORM H-3";#N/A,#N/A,FALSE,"FORM H-4";#N/A,#N/A,FALSE,"FORM H-5";#N/A,#N/A,FALSE,"FORM I";#N/A,#N/A,FALSE,"FORM J"}</definedName>
    <definedName name="____FD12" localSheetId="2" hidden="1">{"'Sheet1'!$L$16"}</definedName>
    <definedName name="____G4211" localSheetId="2" hidden="1">{"'Sheet1'!$L$16"}</definedName>
    <definedName name="____Goi8" localSheetId="2" hidden="1">{"'Sheet1'!$L$16"}</definedName>
    <definedName name="____Goi8_1" localSheetId="2" hidden="1">{"'Sheet1'!$L$16"}</definedName>
    <definedName name="____h1" localSheetId="2" hidden="1">{"'Sheet1'!$L$16"}</definedName>
    <definedName name="____h12" localSheetId="2" hidden="1">{"'Sheet1'!$L$16"}</definedName>
    <definedName name="____hh1219" localSheetId="2" hidden="1">{"'Sheet1'!$L$16"}</definedName>
    <definedName name="____hu1" localSheetId="2" hidden="1">{"'Sheet1'!$L$16"}</definedName>
    <definedName name="____hu2" localSheetId="2" hidden="1">{"'Sheet1'!$L$16"}</definedName>
    <definedName name="____hu5" localSheetId="2" hidden="1">{"'Sheet1'!$L$16"}</definedName>
    <definedName name="____hu6" localSheetId="2" hidden="1">{"'Sheet1'!$L$16"}</definedName>
    <definedName name="____hu7" localSheetId="2" hidden="1">{"'Sheet1'!$L$16"}</definedName>
    <definedName name="____huy1" localSheetId="2" hidden="1">{"'Sheet1'!$L$16"}</definedName>
    <definedName name="____huy2" localSheetId="2" hidden="1">{"'Sheet1'!$L$16"}</definedName>
    <definedName name="____Lan1" localSheetId="2" hidden="1">{"'Sheet1'!$L$16"}</definedName>
    <definedName name="____Lan2" localSheetId="2" hidden="1">{"'Sheet1'!$L$16"}</definedName>
    <definedName name="____LAN3" localSheetId="2" hidden="1">{"'Sheet1'!$L$16"}</definedName>
    <definedName name="____ld2" localSheetId="2" hidden="1">{"'Sheet1'!$L$16"}</definedName>
    <definedName name="____lop111" localSheetId="2" hidden="1">{#N/A,#N/A,FALSE,"特殊室（ＢＱ表）"}</definedName>
    <definedName name="____M2" localSheetId="2" hidden="1">{"'Sheet1'!$L$16"}</definedName>
    <definedName name="____m4" localSheetId="2" hidden="1">{"'Sheet1'!$L$16"}</definedName>
    <definedName name="____MCC3" localSheetId="2" hidden="1">{#N/A,#N/A,FALSE,"CCTV"}</definedName>
    <definedName name="____nam1" localSheetId="2" hidden="1">{"'Sheet1'!$L$16"}</definedName>
    <definedName name="____NAM11" localSheetId="2" hidden="1">{#N/A,#N/A,FALSE,"Chi tiÆt"}</definedName>
    <definedName name="____nso1" localSheetId="2" hidden="1">{"'Sheet1'!$L$16"}</definedName>
    <definedName name="____NSO2" localSheetId="2" hidden="1">{"'Sheet1'!$L$16"}</definedName>
    <definedName name="____ngk1109" localSheetId="2" hidden="1">{#N/A,#N/A,FALSE,"估價單  (3)"}</definedName>
    <definedName name="____P3" localSheetId="2" hidden="1">{#N/A,#N/A,FALSE,"特殊室（ＢＱ表）"}</definedName>
    <definedName name="____pa22" localSheetId="2" hidden="1">{"'ROOF'!$B$6","'ROOF'!$B$6","'ROOF'!$B$6","'ROOF'!$B$6"}</definedName>
    <definedName name="____PA3" localSheetId="2" hidden="1">{"'Sheet1'!$L$16"}</definedName>
    <definedName name="____PPP3" localSheetId="2" hidden="1">{#N/A,#N/A,FALSE,"特殊室（ＢＱ表）"}</definedName>
    <definedName name="____PPP33" localSheetId="2" hidden="1">{#N/A,#N/A,FALSE,"特殊室（ＢＱ表）"}</definedName>
    <definedName name="____ppp34" localSheetId="2" hidden="1">{#N/A,#N/A,FALSE,"特殊室（ＢＱ表）"}</definedName>
    <definedName name="____ppp3444" localSheetId="2" hidden="1">{#N/A,#N/A,FALSE,"特殊室（ＢＱ表）"}</definedName>
    <definedName name="____phu3" localSheetId="2" hidden="1">{"'Sheet1'!$L$16"}</definedName>
    <definedName name="____Rh90" localSheetId="2" hidden="1">{"'Sheet1'!$L$16"}</definedName>
    <definedName name="____SCL4" localSheetId="2" hidden="1">{"'Sheet1'!$L$16"}</definedName>
    <definedName name="____SCL4_1" localSheetId="2" hidden="1">{"'Sheet1'!$L$16"}</definedName>
    <definedName name="____SHI1" localSheetId="2" hidden="1">{"'Sheet1'!$L$16"}</definedName>
    <definedName name="____sxt5" localSheetId="2" hidden="1">{"'Sheet1'!$L$16"}</definedName>
    <definedName name="____t1" localSheetId="2" hidden="1">{"'Sheet1'!$L$16"}</definedName>
    <definedName name="____T10" localSheetId="2" hidden="1">{"'Sheet1'!$L$16"}</definedName>
    <definedName name="____T2" localSheetId="2" hidden="1">{"'Sheet1'!$L$16"}</definedName>
    <definedName name="____T3" localSheetId="2" hidden="1">{"'Sheet1'!$L$16"}</definedName>
    <definedName name="____T4" localSheetId="2" hidden="1">{"'Sheet1'!$L$16"}</definedName>
    <definedName name="____t5" localSheetId="2" hidden="1">{"'Sheet1'!$L$16"}</definedName>
    <definedName name="____T9" localSheetId="2" hidden="1">{#N/A,#N/A,FALSE,"Chi tiÆt"}</definedName>
    <definedName name="____TM2" localSheetId="2" hidden="1">{"'Sheet1'!$L$16"}</definedName>
    <definedName name="____tt3" localSheetId="2" hidden="1">{"'Sheet1'!$L$16"}</definedName>
    <definedName name="____ttt1" localSheetId="2" hidden="1">{"'Sheet1'!$L$16"}</definedName>
    <definedName name="____tu4" localSheetId="2" hidden="1">{"'Sheet1'!$L$16"}</definedName>
    <definedName name="____TV2" localSheetId="2" hidden="1">{"'Sheet1'!$L$16"}</definedName>
    <definedName name="____TH1" localSheetId="2" hidden="1">{"'Sheet1'!$L$16"}</definedName>
    <definedName name="____THT11" localSheetId="2" hidden="1">{"'Sheet1'!$L$16"}</definedName>
    <definedName name="____vpt5" localSheetId="2" hidden="1">{"'Sheet1'!$L$16"}</definedName>
    <definedName name="____vpt6" localSheetId="2" hidden="1">{"'Sheet1'!$L$16"}</definedName>
    <definedName name="____VT3" localSheetId="2" hidden="1">{"'Sheet1'!$L$16"}</definedName>
    <definedName name="___a1" localSheetId="2" hidden="1">{"'Sheet1'!$L$16"}</definedName>
    <definedName name="___a1_1" localSheetId="2" hidden="1">{"'Sheet1'!$L$16"}</definedName>
    <definedName name="___a129" localSheetId="2"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2" localSheetId="2" hidden="1">{"'Sheet1'!$L$16"}</definedName>
    <definedName name="___A4" localSheetId="2" hidden="1">{"'Sheet1'!$L$16"}</definedName>
    <definedName name="___b01" localSheetId="2" hidden="1">{#N/A,#N/A,FALSE,"MARCH"}</definedName>
    <definedName name="___b2" localSheetId="2" hidden="1">{"'Sheet1'!$L$16"}</definedName>
    <definedName name="___ba1" localSheetId="2" hidden="1">{#N/A,#N/A,FALSE,"Chi tiÆt"}</definedName>
    <definedName name="___ba2" localSheetId="2" hidden="1">{#N/A,#N/A,FALSE,"Chi tiÆt"}</definedName>
    <definedName name="___BG12" localSheetId="2" hidden="1">{"'Sheet1'!$L$16"}</definedName>
    <definedName name="___bht6" localSheetId="2" hidden="1">{"'Sheet1'!$L$16"}</definedName>
    <definedName name="___CN1" localSheetId="2" hidden="1">{"'Sheet1'!$L$16"}</definedName>
    <definedName name="___Coc39" localSheetId="2" hidden="1">{"'Sheet1'!$L$16"}</definedName>
    <definedName name="___ct2005" localSheetId="2" hidden="1">{"'Sheet1'!$L$16"}</definedName>
    <definedName name="___CT4" localSheetId="2" hidden="1">{"'Sheet1'!$L$16"}</definedName>
    <definedName name="___Cty501" localSheetId="2" hidden="1">{"'Sheet1'!$L$16"}</definedName>
    <definedName name="___d1500" localSheetId="2" hidden="1">{"'Sheet1'!$L$16"}</definedName>
    <definedName name="___dt1" localSheetId="2" hidden="1">{"'Sheet1'!$L$16"}</definedName>
    <definedName name="___DT10" localSheetId="2" hidden="1">{"'Sheet1'!$L$16"}</definedName>
    <definedName name="___ewt3" localSheetId="2" hidden="1">{#N/A,#N/A,FALSE,"CCTV"}</definedName>
    <definedName name="___f1" localSheetId="2" hidden="1">{#N/A,#N/A,FALSE,"FORM A";#N/A,#N/A,FALSE,"FORM D";#N/A,#N/A,FALSE,"FORM E-1";#N/A,#N/A,FALSE,"FORM E-2";#N/A,#N/A,FALSE,"FORM F";#N/A,#N/A,FALSE,"FORM G";#N/A,#N/A,FALSE,"FORM H-1";#N/A,#N/A,FALSE,"FORM H-2";#N/A,#N/A,FALSE,"FORM H-3";#N/A,#N/A,FALSE,"FORM H-4";#N/A,#N/A,FALSE,"FORM H-5";#N/A,#N/A,FALSE,"FORM I";#N/A,#N/A,FALSE,"FORM J"}</definedName>
    <definedName name="___f5" localSheetId="2" hidden="1">{"'Sheet1'!$L$16"}</definedName>
    <definedName name="___FD12" localSheetId="2" hidden="1">{"'Sheet1'!$L$16"}</definedName>
    <definedName name="___G4211" localSheetId="2" hidden="1">{"'Sheet1'!$L$16"}</definedName>
    <definedName name="___Goi8" localSheetId="2" hidden="1">{"'Sheet1'!$L$16"}</definedName>
    <definedName name="___Goi8_1" localSheetId="2" hidden="1">{"'Sheet1'!$L$16"}</definedName>
    <definedName name="___h1" localSheetId="2" hidden="1">{"'Sheet1'!$L$16"}</definedName>
    <definedName name="___h12" localSheetId="2" hidden="1">{"'Sheet1'!$L$16"}</definedName>
    <definedName name="___h14" localSheetId="2" hidden="1">{"'Sheet1'!$L$16"}</definedName>
    <definedName name="___hh1219" localSheetId="2" hidden="1">{"'Sheet1'!$L$16"}</definedName>
    <definedName name="___hu1" localSheetId="2" hidden="1">{"'Sheet1'!$L$16"}</definedName>
    <definedName name="___hu2" localSheetId="2" hidden="1">{"'Sheet1'!$L$16"}</definedName>
    <definedName name="___hu5" localSheetId="2" hidden="1">{"'Sheet1'!$L$16"}</definedName>
    <definedName name="___hu6" localSheetId="2" hidden="1">{"'Sheet1'!$L$16"}</definedName>
    <definedName name="___hu7" localSheetId="2" hidden="1">{"'Sheet1'!$L$16"}</definedName>
    <definedName name="___huy1" localSheetId="2" hidden="1">{"'Sheet1'!$L$16"}</definedName>
    <definedName name="___huy2" localSheetId="2" hidden="1">{"'Sheet1'!$L$16"}</definedName>
    <definedName name="___Lan1" localSheetId="2" hidden="1">{"'Sheet1'!$L$16"}</definedName>
    <definedName name="___Lan2" localSheetId="2" hidden="1">{"'Sheet1'!$L$16"}</definedName>
    <definedName name="___LAN3" localSheetId="2" hidden="1">{"'Sheet1'!$L$16"}</definedName>
    <definedName name="___lao2" localSheetId="2" hidden="1">{"'Sheet1'!$L$16"}</definedName>
    <definedName name="___ld2" localSheetId="2" hidden="1">{"'Sheet1'!$L$16"}</definedName>
    <definedName name="___lk2" localSheetId="2" hidden="1">{"'Sheet1'!$L$16"}</definedName>
    <definedName name="___lop111" localSheetId="2" hidden="1">{#N/A,#N/A,FALSE,"特殊室（ＢＱ表）"}</definedName>
    <definedName name="___M2" localSheetId="2" hidden="1">{"'Sheet1'!$L$16"}</definedName>
    <definedName name="___M36" localSheetId="2" hidden="1">{"'Sheet1'!$L$16"}</definedName>
    <definedName name="___m4" localSheetId="2" hidden="1">{"'Sheet1'!$L$16"}</definedName>
    <definedName name="___MCC3" localSheetId="2" hidden="1">{#N/A,#N/A,FALSE,"CCTV"}</definedName>
    <definedName name="___nam1" localSheetId="2" hidden="1">{"'Sheet1'!$L$16"}</definedName>
    <definedName name="___NAM11" localSheetId="2" hidden="1">{#N/A,#N/A,FALSE,"Chi tiÆt"}</definedName>
    <definedName name="___nso1" localSheetId="2" hidden="1">{"'Sheet1'!$L$16"}</definedName>
    <definedName name="___NSO2" localSheetId="2" hidden="1">{"'Sheet1'!$L$16"}</definedName>
    <definedName name="___ngk1109" localSheetId="2" hidden="1">{#N/A,#N/A,FALSE,"估價單  (3)"}</definedName>
    <definedName name="___P3" localSheetId="2" hidden="1">{#N/A,#N/A,FALSE,"特殊室（ＢＱ表）"}</definedName>
    <definedName name="___pa22" localSheetId="2" hidden="1">{"'ROOF'!$B$6","'ROOF'!$B$6","'ROOF'!$B$6","'ROOF'!$B$6"}</definedName>
    <definedName name="___PA3" localSheetId="2" hidden="1">{"'Sheet1'!$L$16"}</definedName>
    <definedName name="___PK2" localSheetId="2" hidden="1">{"'장비'!$A$3:$M$12"}</definedName>
    <definedName name="___PKG3" localSheetId="2" hidden="1">{"'장비'!$A$3:$M$12"}</definedName>
    <definedName name="___PPP3" localSheetId="2" hidden="1">{#N/A,#N/A,FALSE,"特殊室（ＢＱ表）"}</definedName>
    <definedName name="___PPP33" localSheetId="2" hidden="1">{#N/A,#N/A,FALSE,"特殊室（ＢＱ表）"}</definedName>
    <definedName name="___ppp34" localSheetId="2" hidden="1">{#N/A,#N/A,FALSE,"特殊室（ＢＱ表）"}</definedName>
    <definedName name="___ppp3444" localSheetId="2" hidden="1">{#N/A,#N/A,FALSE,"特殊室（ＢＱ表）"}</definedName>
    <definedName name="___phu3" localSheetId="2" hidden="1">{"'Sheet1'!$L$16"}</definedName>
    <definedName name="___qqq222" localSheetId="2" hidden="1">{"'장비'!$A$3:$M$12"}</definedName>
    <definedName name="___Rh90" localSheetId="2" hidden="1">{"'Sheet1'!$L$16"}</definedName>
    <definedName name="___SCL4" localSheetId="2" hidden="1">{"'Sheet1'!$L$16"}</definedName>
    <definedName name="___SCL4_1" localSheetId="2" hidden="1">{"'Sheet1'!$L$16"}</definedName>
    <definedName name="___SHI1" localSheetId="2" hidden="1">{"'Sheet1'!$L$16"}</definedName>
    <definedName name="___sxt5" localSheetId="2" hidden="1">{"'Sheet1'!$L$16"}</definedName>
    <definedName name="___t1" localSheetId="2" hidden="1">{"'Sheet1'!$L$16"}</definedName>
    <definedName name="___T10" localSheetId="2" hidden="1">{"'Sheet1'!$L$16"}</definedName>
    <definedName name="___t2" localSheetId="2" hidden="1">{"'Sheet1'!$L$16"}</definedName>
    <definedName name="___T3" localSheetId="2" hidden="1">{"'Sheet1'!$L$16"}</definedName>
    <definedName name="___T4" localSheetId="2" hidden="1">{"'Sheet1'!$L$16"}</definedName>
    <definedName name="___t5" localSheetId="2" hidden="1">{"'Sheet1'!$L$16"}</definedName>
    <definedName name="___T9" localSheetId="2" hidden="1">{#N/A,#N/A,FALSE,"Chi tiÆt"}</definedName>
    <definedName name="___TM2" localSheetId="2" hidden="1">{"'Sheet1'!$L$16"}</definedName>
    <definedName name="___tt3" localSheetId="2" hidden="1">{"'Sheet1'!$L$16"}</definedName>
    <definedName name="___TT31" localSheetId="2" hidden="1">{"'Sheet1'!$L$16"}</definedName>
    <definedName name="___ttt1" localSheetId="2" hidden="1">{"'Sheet1'!$L$16"}</definedName>
    <definedName name="___tu4" localSheetId="2" hidden="1">{"'Sheet1'!$L$16"}</definedName>
    <definedName name="___TV2" localSheetId="2" hidden="1">{"'Sheet1'!$L$16"}</definedName>
    <definedName name="___TH1" localSheetId="2" hidden="1">{"'Sheet1'!$L$16"}</definedName>
    <definedName name="___tha1" localSheetId="2" hidden="1">{"'Sheet1'!$L$16"}</definedName>
    <definedName name="___THT11" localSheetId="2" hidden="1">{"'Sheet1'!$L$16"}</definedName>
    <definedName name="___vpt5" localSheetId="2" hidden="1">{"'Sheet1'!$L$16"}</definedName>
    <definedName name="___vpt6" localSheetId="2" hidden="1">{"'Sheet1'!$L$16"}</definedName>
    <definedName name="___VT3" localSheetId="2" hidden="1">{"'Sheet1'!$L$16"}</definedName>
    <definedName name="__1" localSheetId="2" hidden="1">{"'Sheet1'!$L$16"}</definedName>
    <definedName name="__a1" localSheetId="2" hidden="1">{"'Sheet1'!$L$16"}</definedName>
    <definedName name="__a1_1" localSheetId="2" hidden="1">{"'Sheet1'!$L$16"}</definedName>
    <definedName name="__a129" localSheetId="2"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2" localSheetId="2" hidden="1">{"'Sheet1'!$L$16"}</definedName>
    <definedName name="__A4" localSheetId="2" hidden="1">{"'Sheet1'!$L$16"}</definedName>
    <definedName name="__a9" localSheetId="2" hidden="1">{"'Sheet1'!$L$16"}</definedName>
    <definedName name="__b2" localSheetId="2" hidden="1">{"'Sheet1'!$L$16"}</definedName>
    <definedName name="__ba1" localSheetId="2" hidden="1">{#N/A,#N/A,FALSE,"Chi tiÆt"}</definedName>
    <definedName name="__ba2" localSheetId="2" hidden="1">{#N/A,#N/A,FALSE,"Chi tiÆt"}</definedName>
    <definedName name="__BG12" localSheetId="2" hidden="1">{"'Sheet1'!$L$16"}</definedName>
    <definedName name="__bht6" localSheetId="2" hidden="1">{"'Sheet1'!$L$16"}</definedName>
    <definedName name="__ccr1" localSheetId="2" hidden="1">{#N/A,#N/A,TRUE,"Cover";#N/A,#N/A,TRUE,"Conts";#N/A,#N/A,TRUE,"VOS";#N/A,#N/A,TRUE,"Warrington";#N/A,#N/A,TRUE,"Widnes"}</definedName>
    <definedName name="__CN1" localSheetId="2" hidden="1">{"'Sheet1'!$L$16"}</definedName>
    <definedName name="__coc1000" localSheetId="2" hidden="1">{#N/A,#N/A,FALSE,"Chi tiÆt"}</definedName>
    <definedName name="__Coc39" localSheetId="2" hidden="1">{"'Sheet1'!$L$16"}</definedName>
    <definedName name="__CT2" localSheetId="2" hidden="1">{"'Sheet1'!$L$16"}</definedName>
    <definedName name="__ct2005" localSheetId="2" hidden="1">{"'Sheet1'!$L$16"}</definedName>
    <definedName name="__CT4" localSheetId="2" hidden="1">{"'Sheet1'!$L$16"}</definedName>
    <definedName name="__Cty501" localSheetId="2" hidden="1">{"'Sheet1'!$L$16"}</definedName>
    <definedName name="__d1500" localSheetId="2" hidden="1">{"'Sheet1'!$L$16"}</definedName>
    <definedName name="__D41" localSheetId="2" hidden="1">{"'Sheet1'!$L$16"}</definedName>
    <definedName name="__D42" localSheetId="2" hidden="1">{"'Sheet1'!$L$16"}</definedName>
    <definedName name="__dt1" localSheetId="2" hidden="1">{"'Sheet1'!$L$16"}</definedName>
    <definedName name="__DT10" localSheetId="2" hidden="1">{"'Sheet1'!$L$16"}</definedName>
    <definedName name="__e2" localSheetId="2" hidden="1">{"'Sheet1'!$L$16"}</definedName>
    <definedName name="__ewt3" localSheetId="2" hidden="1">{#N/A,#N/A,FALSE,"CCTV"}</definedName>
    <definedName name="__f1" localSheetId="2" hidden="1">{#N/A,#N/A,FALSE,"FORM A";#N/A,#N/A,FALSE,"FORM D";#N/A,#N/A,FALSE,"FORM E-1";#N/A,#N/A,FALSE,"FORM E-2";#N/A,#N/A,FALSE,"FORM F";#N/A,#N/A,FALSE,"FORM G";#N/A,#N/A,FALSE,"FORM H-1";#N/A,#N/A,FALSE,"FORM H-2";#N/A,#N/A,FALSE,"FORM H-3";#N/A,#N/A,FALSE,"FORM H-4";#N/A,#N/A,FALSE,"FORM H-5";#N/A,#N/A,FALSE,"FORM I";#N/A,#N/A,FALSE,"FORM J"}</definedName>
    <definedName name="__f5" localSheetId="2" hidden="1">{"'Sheet1'!$L$16"}</definedName>
    <definedName name="__FD12" localSheetId="2" hidden="1">{"'Sheet1'!$L$16"}</definedName>
    <definedName name="__fd2" localSheetId="2" hidden="1">{#N/A,#N/A,TRUE,"Cover Memo";"Complete Sys. Estimate",#N/A,TRUE,"Change Summary";"Complete Sys. Estimate",#N/A,TRUE,"Estimate Summary";"Complete Sys. Estimate",#N/A,TRUE,"Dept. Summary";"Complete Sys. Estimate",#N/A,TRUE,"DOW Detail"}</definedName>
    <definedName name="__G4211" localSheetId="2" hidden="1">{"'Sheet1'!$L$16"}</definedName>
    <definedName name="__Goi8" localSheetId="2" hidden="1">{"'Sheet1'!$L$16"}</definedName>
    <definedName name="__Goi8_1" localSheetId="2" hidden="1">{"'Sheet1'!$L$16"}</definedName>
    <definedName name="__h1" localSheetId="2" hidden="1">{"'Sheet1'!$L$16"}</definedName>
    <definedName name="__h12" localSheetId="2" hidden="1">{"'Sheet1'!$L$16"}</definedName>
    <definedName name="__h14" localSheetId="2" hidden="1">{"'Sheet1'!$L$16"}</definedName>
    <definedName name="__hh1219" localSheetId="2" hidden="1">{"'Sheet1'!$L$16"}</definedName>
    <definedName name="__hu1" localSheetId="2" hidden="1">{"'Sheet1'!$L$16"}</definedName>
    <definedName name="__hu2" localSheetId="2" hidden="1">{"'Sheet1'!$L$16"}</definedName>
    <definedName name="__hu5" localSheetId="2" hidden="1">{"'Sheet1'!$L$16"}</definedName>
    <definedName name="__hu6" localSheetId="2" hidden="1">{"'Sheet1'!$L$16"}</definedName>
    <definedName name="__hu7" localSheetId="2" hidden="1">{"'Sheet1'!$L$16"}</definedName>
    <definedName name="__huy1" localSheetId="2" hidden="1">{"'Sheet1'!$L$16"}</definedName>
    <definedName name="__huy2" localSheetId="2" hidden="1">{"'Sheet1'!$L$16"}</definedName>
    <definedName name="__K146" localSheetId="2" hidden="1">{"'Sheet1'!$L$16"}</definedName>
    <definedName name="__khq3" localSheetId="2" hidden="1">{"'Sheet1'!$L$16"}</definedName>
    <definedName name="__Lan1" localSheetId="2" hidden="1">{"'Sheet1'!$L$16"}</definedName>
    <definedName name="__Lan2" localSheetId="2" hidden="1">{"'Sheet1'!$L$16"}</definedName>
    <definedName name="__LAN3" localSheetId="2" hidden="1">{"'Sheet1'!$L$16"}</definedName>
    <definedName name="__lao2" localSheetId="2" hidden="1">{"'Sheet1'!$L$16"}</definedName>
    <definedName name="__ld2" localSheetId="2" hidden="1">{"'Sheet1'!$L$16"}</definedName>
    <definedName name="__lk2" localSheetId="2" hidden="1">{"'Sheet1'!$L$16"}</definedName>
    <definedName name="__lop111" localSheetId="2" hidden="1">{#N/A,#N/A,FALSE,"特殊室（ＢＱ表）"}</definedName>
    <definedName name="__M2" localSheetId="2" hidden="1">{"'Sheet1'!$L$16"}</definedName>
    <definedName name="__M36" localSheetId="2" hidden="1">{"'Sheet1'!$L$16"}</definedName>
    <definedName name="__m4" localSheetId="2" hidden="1">{"'Sheet1'!$L$16"}</definedName>
    <definedName name="__MCC3" localSheetId="2" hidden="1">{#N/A,#N/A,FALSE,"CCTV"}</definedName>
    <definedName name="__nam1" localSheetId="2" hidden="1">{"'Sheet1'!$L$16"}</definedName>
    <definedName name="__NAM11" localSheetId="2" hidden="1">{#N/A,#N/A,FALSE,"Chi tiÆt"}</definedName>
    <definedName name="__nso1" localSheetId="2" hidden="1">{"'Sheet1'!$L$16"}</definedName>
    <definedName name="__NSO2" localSheetId="2" hidden="1">{"'Sheet1'!$L$16"}</definedName>
    <definedName name="__ngk1109" localSheetId="2" hidden="1">{#N/A,#N/A,FALSE,"估價單  (3)"}</definedName>
    <definedName name="__P3" localSheetId="2" hidden="1">{#N/A,#N/A,FALSE,"特殊室（ＢＱ表）"}</definedName>
    <definedName name="__pa22" localSheetId="2" hidden="1">{"'ROOF'!$B$6","'ROOF'!$B$6","'ROOF'!$B$6","'ROOF'!$B$6"}</definedName>
    <definedName name="__PA3" localSheetId="2" hidden="1">{"'Sheet1'!$L$16"}</definedName>
    <definedName name="__PK2" localSheetId="2" hidden="1">{"'장비'!$A$3:$M$12"}</definedName>
    <definedName name="__PKG3" localSheetId="2" hidden="1">{"'장비'!$A$3:$M$12"}</definedName>
    <definedName name="__PPP3" localSheetId="2" hidden="1">{#N/A,#N/A,FALSE,"特殊室（ＢＱ表）"}</definedName>
    <definedName name="__PPP33" localSheetId="2" hidden="1">{#N/A,#N/A,FALSE,"特殊室（ＢＱ表）"}</definedName>
    <definedName name="__ppp34" localSheetId="2" hidden="1">{#N/A,#N/A,FALSE,"特殊室（ＢＱ表）"}</definedName>
    <definedName name="__ppp3444" localSheetId="2" hidden="1">{#N/A,#N/A,FALSE,"特殊室（ＢＱ表）"}</definedName>
    <definedName name="__phu3" localSheetId="2" hidden="1">{"'Sheet1'!$L$16"}</definedName>
    <definedName name="__qqq222" localSheetId="2" hidden="1">{"'장비'!$A$3:$M$12"}</definedName>
    <definedName name="__Rh90" localSheetId="2" hidden="1">{"'Sheet1'!$L$16"}</definedName>
    <definedName name="__SCL4" localSheetId="2" hidden="1">{"'Sheet1'!$L$16"}</definedName>
    <definedName name="__SCL4_1" localSheetId="2" hidden="1">{"'Sheet1'!$L$16"}</definedName>
    <definedName name="__SHI1" localSheetId="2" hidden="1">{"'Sheet1'!$L$16"}</definedName>
    <definedName name="__sxt5" localSheetId="2" hidden="1">{"'Sheet1'!$L$16"}</definedName>
    <definedName name="__t1" localSheetId="2" hidden="1">{"'Sheet1'!$L$16"}</definedName>
    <definedName name="__T10" localSheetId="2" hidden="1">{"'Sheet1'!$L$16"}</definedName>
    <definedName name="__t2" localSheetId="2" hidden="1">{"'Sheet1'!$L$16"}</definedName>
    <definedName name="__T3" localSheetId="2" hidden="1">{"'Sheet1'!$L$16"}</definedName>
    <definedName name="__T4" localSheetId="2" hidden="1">{"'Sheet1'!$L$16"}</definedName>
    <definedName name="__t5" localSheetId="2" hidden="1">{"'Sheet1'!$L$16"}</definedName>
    <definedName name="__T9" localSheetId="2" hidden="1">{#N/A,#N/A,FALSE,"Chi tiÆt"}</definedName>
    <definedName name="__TM2" localSheetId="2" hidden="1">{"'Sheet1'!$L$16"}</definedName>
    <definedName name="__tt3" localSheetId="2" hidden="1">{"'Sheet1'!$L$16"}</definedName>
    <definedName name="__TT31" localSheetId="2" hidden="1">{"'Sheet1'!$L$16"}</definedName>
    <definedName name="__TT623" localSheetId="2" hidden="1">{"'Sheet1'!$L$16"}</definedName>
    <definedName name="__ttt1" localSheetId="2" hidden="1">{"'Sheet1'!$L$16"}</definedName>
    <definedName name="__tu4" localSheetId="2" hidden="1">{"'Sheet1'!$L$16"}</definedName>
    <definedName name="__TV2" localSheetId="2" hidden="1">{"'Sheet1'!$L$16"}</definedName>
    <definedName name="__TH1" localSheetId="2" hidden="1">{"'Sheet1'!$L$16"}</definedName>
    <definedName name="__THT11" localSheetId="2" hidden="1">{"'Sheet1'!$L$16"}</definedName>
    <definedName name="__UI33" localSheetId="2" hidden="1">{"'Sheet1'!$L$16"}</definedName>
    <definedName name="__vpt5" localSheetId="2" hidden="1">{"'Sheet1'!$L$16"}</definedName>
    <definedName name="__vpt6" localSheetId="2" hidden="1">{"'Sheet1'!$L$16"}</definedName>
    <definedName name="__VT3" localSheetId="2" hidden="1">{"'Sheet1'!$L$16"}</definedName>
    <definedName name="__VT675" localSheetId="2" hidden="1">{"Offgrid",#N/A,FALSE,"OFFGRID";"Region",#N/A,FALSE,"REGION";"Offgrid -2",#N/A,FALSE,"OFFGRID";"WTP",#N/A,FALSE,"WTP";"WTP -2",#N/A,FALSE,"WTP";"Project",#N/A,FALSE,"PROJECT";"Summary -2",#N/A,FALSE,"SUMMARY"}</definedName>
    <definedName name="__VT676" localSheetId="2" hidden="1">{"Offgrid",#N/A,FALSE,"OFFGRID";"Region",#N/A,FALSE,"REGION";"Offgrid -2",#N/A,FALSE,"OFFGRID";"WTP",#N/A,FALSE,"WTP";"WTP -2",#N/A,FALSE,"WTP";"Project",#N/A,FALSE,"PROJECT";"Summary -2",#N/A,FALSE,"SUMMARY"}</definedName>
    <definedName name="__VT677" localSheetId="2" hidden="1">{"Offgrid",#N/A,FALSE,"OFFGRID";"Region",#N/A,FALSE,"REGION";"Offgrid -2",#N/A,FALSE,"OFFGRID";"WTP",#N/A,FALSE,"WTP";"WTP -2",#N/A,FALSE,"WTP";"Project",#N/A,FALSE,"PROJECT";"Summary -2",#N/A,FALSE,"SUMMARY"}</definedName>
    <definedName name="__VT678" localSheetId="2" hidden="1">{"Offgrid",#N/A,FALSE,"OFFGRID";"Region",#N/A,FALSE,"REGION";"Offgrid -2",#N/A,FALSE,"OFFGRID";"WTP",#N/A,FALSE,"WTP";"WTP -2",#N/A,FALSE,"WTP";"Project",#N/A,FALSE,"PROJECT";"Summary -2",#N/A,FALSE,"SUMMARY"}</definedName>
    <definedName name="__VT679" localSheetId="2" hidden="1">{"Offgrid",#N/A,FALSE,"OFFGRID";"Region",#N/A,FALSE,"REGION";"Offgrid -2",#N/A,FALSE,"OFFGRID";"WTP",#N/A,FALSE,"WTP";"WTP -2",#N/A,FALSE,"WTP";"Project",#N/A,FALSE,"PROJECT";"Summary -2",#N/A,FALSE,"SUMMARY"}</definedName>
    <definedName name="__WRN2.P854._.addendum." localSheetId="2" hidden="1">{#N/A,#N/A,FALSE,"mgtsum.XLS";#N/A,#N/A,FALSE,"CAPONE";#N/A,#N/A,FALSE,"CAPTWO";#N/A,#N/A,FALSE,"CAPTHREE"}</definedName>
    <definedName name="__wrn3.p854._.addendum." localSheetId="2" hidden="1">{#N/A,#N/A,FALSE,"mgtsum.XLS";#N/A,#N/A,FALSE,"CAPONE";#N/A,#N/A,FALSE,"CAPTWO";#N/A,#N/A,FALSE,"CAPTHREE"}</definedName>
    <definedName name="_11P3_" localSheetId="2" hidden="1">{#N/A,#N/A,FALSE,"特殊室（ＢＱ表）"}</definedName>
    <definedName name="_16fd2_" localSheetId="2" hidden="1">{#N/A,#N/A,TRUE,"Cover Memo";"Complete Sys. Estimate",#N/A,TRUE,"Change Summary";"Complete Sys. Estimate",#N/A,TRUE,"Estimate Summary";"Complete Sys. Estimate",#N/A,TRUE,"Dept. Summary";"Complete Sys. Estimate",#N/A,TRUE,"DOW Detail"}</definedName>
    <definedName name="_16P3_" localSheetId="2" hidden="1">{#N/A,#N/A,FALSE,"特殊室（ＢＱ表）"}</definedName>
    <definedName name="_17a1_" localSheetId="2" hidden="1">{"'Sheet1'!$L$16"}</definedName>
    <definedName name="_17fd2_" localSheetId="2" hidden="1">{#N/A,#N/A,TRUE,"Cover Memo";"Complete Sys. Estimate",#N/A,TRUE,"Change Summary";"Complete Sys. Estimate",#N/A,TRUE,"Estimate Summary";"Complete Sys. Estimate",#N/A,TRUE,"Dept. Summary";"Complete Sys. Estimate",#N/A,TRUE,"DOW Detail"}</definedName>
    <definedName name="_17P3_" localSheetId="2" hidden="1">{#N/A,#N/A,FALSE,"特殊室（ＢＱ表）"}</definedName>
    <definedName name="_1P3_" localSheetId="2" hidden="1">{#N/A,#N/A,FALSE,"特殊室（ＢＱ表）"}</definedName>
    <definedName name="_21P3_" localSheetId="2" hidden="1">{#N/A,#N/A,FALSE,"特殊室（ＢＱ表）"}</definedName>
    <definedName name="_2a1_" localSheetId="2" hidden="1">{"'Sheet1'!$L$16"}</definedName>
    <definedName name="_2fd2_" localSheetId="2" hidden="1">{#N/A,#N/A,TRUE,"Cover Memo";"Complete Sys. Estimate",#N/A,TRUE,"Change Summary";"Complete Sys. Estimate",#N/A,TRUE,"Estimate Summary";"Complete Sys. Estimate",#N/A,TRUE,"Dept. Summary";"Complete Sys. Estimate",#N/A,TRUE,"DOW Detail"}</definedName>
    <definedName name="_3a1_" localSheetId="2" hidden="1">{"'Sheet1'!$L$16"}</definedName>
    <definedName name="_6fd2_" localSheetId="2" hidden="1">{#N/A,#N/A,TRUE,"Cover Memo";"Complete Sys. Estimate",#N/A,TRUE,"Change Summary";"Complete Sys. Estimate",#N/A,TRUE,"Estimate Summary";"Complete Sys. Estimate",#N/A,TRUE,"Dept. Summary";"Complete Sys. Estimate",#N/A,TRUE,"DOW Detail"}</definedName>
    <definedName name="_a1" localSheetId="2" hidden="1">{"'Sheet1'!$L$16"}</definedName>
    <definedName name="_a1_1" localSheetId="2" hidden="1">{"'Sheet1'!$L$16"}</definedName>
    <definedName name="_a129" localSheetId="2"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s" localSheetId="2" hidden="1">{"'Sheet1'!$L$16"}</definedName>
    <definedName name="_a2" localSheetId="2" hidden="1">{"'Sheet1'!$L$16"}</definedName>
    <definedName name="_A4" localSheetId="2" hidden="1">{"'Sheet1'!$L$16"}</definedName>
    <definedName name="_a9" localSheetId="2" hidden="1">{"'Sheet1'!$L$16"}</definedName>
    <definedName name="_b01" localSheetId="2" hidden="1">{#N/A,#N/A,FALSE,"MARCH"}</definedName>
    <definedName name="_B2" localSheetId="2" hidden="1">{"'Sheet1'!$L$16"}</definedName>
    <definedName name="_ba1" localSheetId="2" hidden="1">{#N/A,#N/A,FALSE,"Chi tiÆt"}</definedName>
    <definedName name="_ba2" localSheetId="2" hidden="1">{#N/A,#N/A,FALSE,"Chi tiÆt"}</definedName>
    <definedName name="_BG12" localSheetId="2" hidden="1">{"'Sheet1'!$L$16"}</definedName>
    <definedName name="_bht4" localSheetId="2" hidden="1">{#N/A,#N/A,FALSE,"Chi tiÆt"}</definedName>
    <definedName name="_bht5" localSheetId="2" hidden="1">{#N/A,#N/A,FALSE,"Chi tiÆt"}</definedName>
    <definedName name="_bht6" localSheetId="2" hidden="1">{"'Sheet1'!$L$16"}</definedName>
    <definedName name="_ccr1" localSheetId="2" hidden="1">{#N/A,#N/A,TRUE,"Cover";#N/A,#N/A,TRUE,"Conts";#N/A,#N/A,TRUE,"VOS";#N/A,#N/A,TRUE,"Warrington";#N/A,#N/A,TRUE,"Widnes"}</definedName>
    <definedName name="_CN1" localSheetId="2" hidden="1">{"'Sheet1'!$L$16"}</definedName>
    <definedName name="_coc1000" localSheetId="2" hidden="1">{#N/A,#N/A,FALSE,"Chi tiÆt"}</definedName>
    <definedName name="_Coc39" localSheetId="2" hidden="1">{"'Sheet1'!$L$16"}</definedName>
    <definedName name="_CT2" localSheetId="2" hidden="1">{"'Sheet1'!$L$16"}</definedName>
    <definedName name="_ct2005" localSheetId="2" hidden="1">{"'Sheet1'!$L$16"}</definedName>
    <definedName name="_CT4" localSheetId="2" hidden="1">{"'Sheet1'!$L$16"}</definedName>
    <definedName name="_Cty501" localSheetId="2" hidden="1">{"'Sheet1'!$L$16"}</definedName>
    <definedName name="_d12" localSheetId="2" hidden="1">{"'Sheet1'!$L$16"}</definedName>
    <definedName name="_d1500" localSheetId="2" hidden="1">{"'Sheet1'!$L$16"}</definedName>
    <definedName name="_d2" localSheetId="2" hidden="1">{#N/A,#N/A,FALSE,"mgtsum.XLS";#N/A,#N/A,FALSE,"CAPONE";#N/A,#N/A,FALSE,"CAPTWO";#N/A,#N/A,FALSE,"CAPTHREE"}</definedName>
    <definedName name="_dt1" localSheetId="2" hidden="1">{"'Sheet1'!$L$16"}</definedName>
    <definedName name="_DT10" localSheetId="2" hidden="1">{"'Sheet1'!$L$16"}</definedName>
    <definedName name="_e2" localSheetId="2" hidden="1">{"'Sheet1'!$L$16"}</definedName>
    <definedName name="_ewt3" localSheetId="2" hidden="1">{#N/A,#N/A,FALSE,"CCTV"}</definedName>
    <definedName name="_f1" localSheetId="2" hidden="1">{#N/A,#N/A,FALSE,"FORM A";#N/A,#N/A,FALSE,"FORM D";#N/A,#N/A,FALSE,"FORM E-1";#N/A,#N/A,FALSE,"FORM E-2";#N/A,#N/A,FALSE,"FORM F";#N/A,#N/A,FALSE,"FORM G";#N/A,#N/A,FALSE,"FORM H-1";#N/A,#N/A,FALSE,"FORM H-2";#N/A,#N/A,FALSE,"FORM H-3";#N/A,#N/A,FALSE,"FORM H-4";#N/A,#N/A,FALSE,"FORM H-5";#N/A,#N/A,FALSE,"FORM I";#N/A,#N/A,FALSE,"FORM J"}</definedName>
    <definedName name="_f5" localSheetId="2" hidden="1">{"'Sheet1'!$L$16"}</definedName>
    <definedName name="_FD12" localSheetId="2" hidden="1">{"'Sheet1'!$L$16"}</definedName>
    <definedName name="_G4211" localSheetId="2" hidden="1">{"'Sheet1'!$L$16"}</definedName>
    <definedName name="_Goi8" localSheetId="2" hidden="1">{"'Sheet1'!$L$16"}</definedName>
    <definedName name="_Goi8_1" localSheetId="2" hidden="1">{"'Sheet1'!$L$16"}</definedName>
    <definedName name="_h1" localSheetId="2" hidden="1">{"'Sheet1'!$L$16"}</definedName>
    <definedName name="_h12" localSheetId="2" hidden="1">{"'Sheet1'!$L$16"}</definedName>
    <definedName name="_h14" localSheetId="2" hidden="1">{"'Sheet1'!$L$16"}</definedName>
    <definedName name="_h2" localSheetId="2" hidden="1">{"'Sheet1'!$L$16"}</definedName>
    <definedName name="_hh1219" localSheetId="2" hidden="1">{"'Sheet1'!$L$16"}</definedName>
    <definedName name="_hu1" localSheetId="2" hidden="1">{"'Sheet1'!$L$16"}</definedName>
    <definedName name="_hu2" localSheetId="2" hidden="1">{"'Sheet1'!$L$16"}</definedName>
    <definedName name="_hu5" localSheetId="2" hidden="1">{"'Sheet1'!$L$16"}</definedName>
    <definedName name="_hu57" localSheetId="2" hidden="1">{"'Sheet1'!$L$16"}</definedName>
    <definedName name="_hu6" localSheetId="2" hidden="1">{"'Sheet1'!$L$16"}</definedName>
    <definedName name="_hu7" localSheetId="2" hidden="1">{"'Sheet1'!$L$16"}</definedName>
    <definedName name="_huy1" localSheetId="2" hidden="1">{"'Sheet1'!$L$16"}</definedName>
    <definedName name="_huy2" localSheetId="2" hidden="1">{"'Sheet1'!$L$16"}</definedName>
    <definedName name="_K146" localSheetId="2" hidden="1">{"'Sheet1'!$L$16"}</definedName>
    <definedName name="_kl11" localSheetId="2" hidden="1">{"'Sheet1'!$L$16"}</definedName>
    <definedName name="_kl4" localSheetId="2" hidden="1">{"'Sheet1'!$L$16"}</definedName>
    <definedName name="_kl6" localSheetId="2" hidden="1">{"'Sheet1'!$L$16"}</definedName>
    <definedName name="_KH12" localSheetId="2" hidden="1">{#N/A,#N/A,FALSE,"Chi tiÆt"}</definedName>
    <definedName name="_khq3" localSheetId="2" hidden="1">{"'Sheet1'!$L$16"}</definedName>
    <definedName name="_Lan1" localSheetId="2" hidden="1">{"'Sheet1'!$L$16"}</definedName>
    <definedName name="_Lan2" localSheetId="2" hidden="1">{"'Sheet1'!$L$16"}</definedName>
    <definedName name="_LAN3" localSheetId="2" hidden="1">{"'Sheet1'!$L$16"}</definedName>
    <definedName name="_lao2" localSheetId="2" hidden="1">{"'Sheet1'!$L$16"}</definedName>
    <definedName name="_ld2" localSheetId="2" hidden="1">{"'Sheet1'!$L$16"}</definedName>
    <definedName name="_lk2" localSheetId="2" hidden="1">{"'Sheet1'!$L$16"}</definedName>
    <definedName name="_lop111" localSheetId="2" hidden="1">{#N/A,#N/A,FALSE,"特殊室（ＢＱ表）"}</definedName>
    <definedName name="_M2" localSheetId="2" hidden="1">{"'Sheet1'!$L$16"}</definedName>
    <definedName name="_M36" localSheetId="2" hidden="1">{"'Sheet1'!$L$16"}</definedName>
    <definedName name="_m4" localSheetId="2" hidden="1">{"'Sheet1'!$L$16"}</definedName>
    <definedName name="_MCC3" localSheetId="2" hidden="1">{#N/A,#N/A,FALSE,"CCTV"}</definedName>
    <definedName name="_nam1" localSheetId="2" hidden="1">{"'Sheet1'!$L$16"}</definedName>
    <definedName name="_NAM11" localSheetId="2" hidden="1">{#N/A,#N/A,FALSE,"Chi tiÆt"}</definedName>
    <definedName name="_nso1" localSheetId="2" hidden="1">{"'Sheet1'!$L$16"}</definedName>
    <definedName name="_NSO2" localSheetId="2" hidden="1">{"'Sheet1'!$L$16"}</definedName>
    <definedName name="_ngk1109" localSheetId="2" hidden="1">{#N/A,#N/A,FALSE,"估價單  (3)"}</definedName>
    <definedName name="_P3" localSheetId="2" hidden="1">{#N/A,#N/A,FALSE,"特殊室（ＢＱ表）"}</definedName>
    <definedName name="_pa2" localSheetId="2" hidden="1">{"'Sheet1'!$L$16"}</definedName>
    <definedName name="_pa22" localSheetId="2" hidden="1">{"'ROOF'!$B$6","'ROOF'!$B$6","'ROOF'!$B$6","'ROOF'!$B$6"}</definedName>
    <definedName name="_PA3" localSheetId="2" hidden="1">{"'Sheet1'!$L$16"}</definedName>
    <definedName name="_PK2" localSheetId="2" hidden="1">{"'장비'!$A$3:$M$12"}</definedName>
    <definedName name="_PKG3" localSheetId="2" hidden="1">{"'장비'!$A$3:$M$12"}</definedName>
    <definedName name="_PP1" localSheetId="2" hidden="1">{#N/A,#N/A,FALSE,"CCTV"}</definedName>
    <definedName name="_PPP3" localSheetId="2" hidden="1">{#N/A,#N/A,FALSE,"特殊室（ＢＱ表）"}</definedName>
    <definedName name="_PPP33" localSheetId="2" hidden="1">{#N/A,#N/A,FALSE,"特殊室（ＢＱ表）"}</definedName>
    <definedName name="_ppp34" localSheetId="2" hidden="1">{#N/A,#N/A,FALSE,"特殊室（ＢＱ表）"}</definedName>
    <definedName name="_ppp3444" localSheetId="2" hidden="1">{#N/A,#N/A,FALSE,"特殊室（ＢＱ表）"}</definedName>
    <definedName name="_phu3" localSheetId="2" hidden="1">{"'Sheet1'!$L$16"}</definedName>
    <definedName name="_q45" localSheetId="2" hidden="1">{"'용역비'!$A$4:$C$8"}</definedName>
    <definedName name="_qqq222" localSheetId="2" hidden="1">{"'장비'!$A$3:$M$12"}</definedName>
    <definedName name="_r" localSheetId="2" hidden="1">{"'Sheet1'!$L$16"}</definedName>
    <definedName name="_REV1" localSheetId="2" hidden="1">{#N/A,#N/A,TRUE,"Str.";#N/A,#N/A,TRUE,"Steel &amp; Roof";#N/A,#N/A,TRUE,"Arc.";#N/A,#N/A,TRUE,"Preliminary";#N/A,#N/A,TRUE,"Sum_Prelim"}</definedName>
    <definedName name="_Rh90" localSheetId="2" hidden="1">{"'Sheet1'!$L$16"}</definedName>
    <definedName name="_SCL4" localSheetId="2" hidden="1">{"'Sheet1'!$L$16"}</definedName>
    <definedName name="_SCL4_1" localSheetId="2" hidden="1">{"'Sheet1'!$L$16"}</definedName>
    <definedName name="_SHI1" localSheetId="2" hidden="1">{"'Sheet1'!$L$16"}</definedName>
    <definedName name="_ss1" localSheetId="2" hidden="1">{0}</definedName>
    <definedName name="_ss4" localSheetId="2" hidden="1">{0,0,0,0;0,0,0,0;0,0,0,0;0,0,0,0;0,0,0,0;0,0,0,0;0,0,0,0}</definedName>
    <definedName name="_SXT3" localSheetId="2" hidden="1">{#N/A,#N/A,FALSE,"Chi tiÆt"}</definedName>
    <definedName name="_sxt5" localSheetId="2" hidden="1">{"'Sheet1'!$L$16"}</definedName>
    <definedName name="_sxt6" localSheetId="2" hidden="1">{#N/A,#N/A,FALSE,"Chi tiÆt"}</definedName>
    <definedName name="_T1" localSheetId="2" hidden="1">{#N/A,#N/A,FALSE,"Chi tiÆt"}</definedName>
    <definedName name="_T10" localSheetId="2" hidden="1">{"'Sheet1'!$L$16"}</definedName>
    <definedName name="_t112" localSheetId="2" hidden="1">{#N/A,#N/A,FALSE,"Chi tiÆt"}</definedName>
    <definedName name="_T12" localSheetId="2" hidden="1">{"'Sheet1'!$L$16"}</definedName>
    <definedName name="_t2" localSheetId="2" hidden="1">{"'Sheet1'!$L$16"}</definedName>
    <definedName name="_T3" localSheetId="2" hidden="1">{"'Sheet1'!$L$16"}</definedName>
    <definedName name="_t4" localSheetId="2" hidden="1">{"'Sheet1'!$L$16"}</definedName>
    <definedName name="_t5" localSheetId="2" hidden="1">{"'Sheet1'!$L$16"}</definedName>
    <definedName name="_T9" localSheetId="2" hidden="1">{#N/A,#N/A,FALSE,"Chi tiÆt"}</definedName>
    <definedName name="_tb2" localSheetId="2" hidden="1">{"'Sheet1'!$L$16"}</definedName>
    <definedName name="_td1" localSheetId="2" hidden="1">{"'Sheet1'!$L$16"}</definedName>
    <definedName name="_TM2" localSheetId="2" hidden="1">{"'Sheet1'!$L$16"}</definedName>
    <definedName name="_TT11" localSheetId="2" hidden="1">{"'Sheet1'!$L$16"}</definedName>
    <definedName name="_tt3" localSheetId="2" hidden="1">{"'Sheet1'!$L$16"}</definedName>
    <definedName name="_TT31" localSheetId="2" hidden="1">{"'Sheet1'!$L$16"}</definedName>
    <definedName name="_TT623" localSheetId="2" hidden="1">{"'Sheet1'!$L$16"}</definedName>
    <definedName name="_ttt1" localSheetId="2" hidden="1">{"'Sheet1'!$L$16"}</definedName>
    <definedName name="_tu4" localSheetId="2" hidden="1">{"'Sheet1'!$L$16"}</definedName>
    <definedName name="_TV2" localSheetId="2" hidden="1">{"'Sheet1'!$L$16"}</definedName>
    <definedName name="_TH1" localSheetId="2" hidden="1">{"'Sheet1'!$L$16"}</definedName>
    <definedName name="_tha1" localSheetId="2" hidden="1">{"'Sheet1'!$L$16"}</definedName>
    <definedName name="_THT11" localSheetId="2" hidden="1">{"'Sheet1'!$L$16"}</definedName>
    <definedName name="_vl1" localSheetId="2" hidden="1">{"'Sheet1'!$L$16"}</definedName>
    <definedName name="_VO15" localSheetId="2" hidden="1">{"'CPA Sum'!$A$1:$X$30","'CPA'!$A$1:$K$187","'Infra Cost'!$A$1:$Q$30","'Dev't Cost'!$A$1:$AH$40","'Cashflow'!$A$1:$DG$82"}</definedName>
    <definedName name="_vpt5" localSheetId="2" hidden="1">{"'Sheet1'!$L$16"}</definedName>
    <definedName name="_vpt6" localSheetId="2" hidden="1">{"'Sheet1'!$L$16"}</definedName>
    <definedName name="_VT3" localSheetId="2" hidden="1">{"'Sheet1'!$L$16"}</definedName>
    <definedName name="_VT675" localSheetId="2" hidden="1">{"Offgrid",#N/A,FALSE,"OFFGRID";"Region",#N/A,FALSE,"REGION";"Offgrid -2",#N/A,FALSE,"OFFGRID";"WTP",#N/A,FALSE,"WTP";"WTP -2",#N/A,FALSE,"WTP";"Project",#N/A,FALSE,"PROJECT";"Summary -2",#N/A,FALSE,"SUMMARY"}</definedName>
    <definedName name="_VT676" localSheetId="2" hidden="1">{"Offgrid",#N/A,FALSE,"OFFGRID";"Region",#N/A,FALSE,"REGION";"Offgrid -2",#N/A,FALSE,"OFFGRID";"WTP",#N/A,FALSE,"WTP";"WTP -2",#N/A,FALSE,"WTP";"Project",#N/A,FALSE,"PROJECT";"Summary -2",#N/A,FALSE,"SUMMARY"}</definedName>
    <definedName name="_VT677" localSheetId="2" hidden="1">{"Offgrid",#N/A,FALSE,"OFFGRID";"Region",#N/A,FALSE,"REGION";"Offgrid -2",#N/A,FALSE,"OFFGRID";"WTP",#N/A,FALSE,"WTP";"WTP -2",#N/A,FALSE,"WTP";"Project",#N/A,FALSE,"PROJECT";"Summary -2",#N/A,FALSE,"SUMMARY"}</definedName>
    <definedName name="_VT678" localSheetId="2" hidden="1">{"Offgrid",#N/A,FALSE,"OFFGRID";"Region",#N/A,FALSE,"REGION";"Offgrid -2",#N/A,FALSE,"OFFGRID";"WTP",#N/A,FALSE,"WTP";"WTP -2",#N/A,FALSE,"WTP";"Project",#N/A,FALSE,"PROJECT";"Summary -2",#N/A,FALSE,"SUMMARY"}</definedName>
    <definedName name="_VT679" localSheetId="2" hidden="1">{"Offgrid",#N/A,FALSE,"OFFGRID";"Region",#N/A,FALSE,"REGION";"Offgrid -2",#N/A,FALSE,"OFFGRID";"WTP",#N/A,FALSE,"WTP";"WTP -2",#N/A,FALSE,"WTP";"Project",#N/A,FALSE,"PROJECT";"Summary -2",#N/A,FALSE,"SUMMARY"}</definedName>
    <definedName name="_WRN2.P854._.addendum." localSheetId="2" hidden="1">{#N/A,#N/A,FALSE,"mgtsum.XLS";#N/A,#N/A,FALSE,"CAPONE";#N/A,#N/A,FALSE,"CAPTWO";#N/A,#N/A,FALSE,"CAPTHREE"}</definedName>
    <definedName name="_wrn3.p854._.addendum." localSheetId="2" hidden="1">{#N/A,#N/A,FALSE,"mgtsum.XLS";#N/A,#N/A,FALSE,"CAPONE";#N/A,#N/A,FALSE,"CAPTWO";#N/A,#N/A,FALSE,"CAPTHREE"}</definedName>
    <definedName name="¸d" localSheetId="2" hidden="1">{"'Sheet1'!$L$16"}</definedName>
    <definedName name="a129_xoa" localSheetId="2" hidden="1">{"Offgrid",#N/A,FALSE,"OFFGRID";"Region",#N/A,FALSE,"REGION";"Offgrid -2",#N/A,FALSE,"OFFGRID";"WTP",#N/A,FALSE,"WTP";"WTP -2",#N/A,FALSE,"WTP";"Project",#N/A,FALSE,"PROJECT";"Summary -2",#N/A,FALSE,"SUMMARY"}</definedName>
    <definedName name="a129_xoaxoa" localSheetId="2" hidden="1">{"Offgrid",#N/A,FALSE,"OFFGRID";"Region",#N/A,FALSE,"REGION";"Offgrid -2",#N/A,FALSE,"OFFGRID";"WTP",#N/A,FALSE,"WTP";"WTP -2",#N/A,FALSE,"WTP";"Project",#N/A,FALSE,"PROJECT";"Summary -2",#N/A,FALSE,"SUMMARY"}</definedName>
    <definedName name="a130_xoa" localSheetId="2" hidden="1">{"Offgrid",#N/A,FALSE,"OFFGRID";"Region",#N/A,FALSE,"REGION";"Offgrid -2",#N/A,FALSE,"OFFGRID";"WTP",#N/A,FALSE,"WTP";"WTP -2",#N/A,FALSE,"WTP";"Project",#N/A,FALSE,"PROJECT";"Summary -2",#N/A,FALSE,"SUMMARY"}</definedName>
    <definedName name="a130_xoaxoa" localSheetId="2" hidden="1">{"Offgrid",#N/A,FALSE,"OFFGRID";"Region",#N/A,FALSE,"REGION";"Offgrid -2",#N/A,FALSE,"OFFGRID";"WTP",#N/A,FALSE,"WTP";"WTP -2",#N/A,FALSE,"WTP";"Project",#N/A,FALSE,"PROJECT";"Summary -2",#N/A,FALSE,"SUMMARY"}</definedName>
    <definedName name="a1moi" localSheetId="2" hidden="1">{"'Sheet1'!$L$16"}</definedName>
    <definedName name="a3rt" localSheetId="2" hidden="1">{"'Sheet1'!$L$16"}</definedName>
    <definedName name="AAAAA" localSheetId="2" hidden="1">{0}</definedName>
    <definedName name="aaaaaa" localSheetId="2" hidden="1">{"Offgrid",#N/A,FALSE,"OFFGRID";"Region",#N/A,FALSE,"REGION";"Offgrid -2",#N/A,FALSE,"OFFGRID";"WTP",#N/A,FALSE,"WTP";"WTP -2",#N/A,FALSE,"WTP";"Project",#N/A,FALSE,"PROJECT";"Summary -2",#N/A,FALSE,"SUMMARY"}</definedName>
    <definedName name="aaaaaaaaaaaaaaaa" localSheetId="2" hidden="1">{#N/A,#N/A,FALSE,"CCTV"}</definedName>
    <definedName name="aaag" localSheetId="2" hidden="1">{#N/A,#N/A,TRUE,"SUM";#N/A,#N/A,TRUE,"EE";#N/A,#N/A,TRUE,"AC";#N/A,#N/A,TRUE,"SN"}</definedName>
    <definedName name="aakdf" localSheetId="2" hidden="1">{#N/A,#N/A,FALSE,"mgtsum.XLS";#N/A,#N/A,FALSE,"CAPONE";#N/A,#N/A,FALSE,"CAPTWO";#N/A,#N/A,FALSE,"CAPTHREE"}</definedName>
    <definedName name="ÀASA" localSheetId="2" hidden="1">{"'Sheet1'!$L$16"}</definedName>
    <definedName name="aasasas" localSheetId="2" hidden="1">{"'Sheet1'!$L$16"}</definedName>
    <definedName name="aassa" localSheetId="2" hidden="1">{"'Sheet1'!$L$16"}</definedName>
    <definedName name="AAX" localSheetId="2" hidden="1">{#N/A,#N/A,TRUE,"SUM";#N/A,#N/A,TRUE,"EE";#N/A,#N/A,TRUE,"AC";#N/A,#N/A,TRUE,"SN"}</definedName>
    <definedName name="ABAB" localSheetId="2" hidden="1">{#N/A,#N/A,FALSE,"CCTV"}</definedName>
    <definedName name="abcd" localSheetId="2" hidden="1">{#N/A,#N/A,FALSE,"特殊室（ＢＱ表）"}</definedName>
    <definedName name="abcdefg" localSheetId="2" hidden="1">{#N/A,#N/A,FALSE,"mgtsum.XLS";#N/A,#N/A,FALSE,"CAPONE";#N/A,#N/A,FALSE,"CAPTWO";#N/A,#N/A,FALSE,"CAPTHREE"}</definedName>
    <definedName name="abcxyz" localSheetId="2" hidden="1">{#N/A,#N/A,FALSE,"mgtsum.XLS";#N/A,#N/A,FALSE,"CAPONE";#N/A,#N/A,FALSE,"CAPTWO";#N/A,#N/A,FALSE,"CAPTHREE"}</definedName>
    <definedName name="acd" localSheetId="2" hidden="1">{"'Sheet1'!$L$16"}</definedName>
    <definedName name="ACMV" localSheetId="2" hidden="1">{"'Sheet1'!$L$16"}</definedName>
    <definedName name="ACMV_1" localSheetId="2" hidden="1">{"'Sheet1'!$L$16"}</definedName>
    <definedName name="ád" localSheetId="2" hidden="1">{#N/A,#N/A,TRUE,"BT M200 da 10x20"}</definedName>
    <definedName name="AD_1" localSheetId="2" hidden="1">{"'Sheet1'!$L$16"}</definedName>
    <definedName name="ada" localSheetId="2" hidden="1">{"'Sheet1'!$L$16"}</definedName>
    <definedName name="adad" localSheetId="2" hidden="1">{"'Sheet1'!$L$16"}</definedName>
    <definedName name="adadada" localSheetId="2" hidden="1">{0,0,0,0;0,0,0,0;0,0,0,0;0,0,0,0;0,0,0,0;0,0,0,0;0,0,0,0}</definedName>
    <definedName name="ADADADD" localSheetId="2" hidden="1">{"'Sheet1'!$L$16"}</definedName>
    <definedName name="adaf" localSheetId="2" hidden="1">{"'Sheet1'!$L$16"}</definedName>
    <definedName name="ÁDAF" localSheetId="2" hidden="1">{"'Sheet1'!$L$16"}</definedName>
    <definedName name="ádas" localSheetId="2" hidden="1">{"'Sheet1'!$L$16"}</definedName>
    <definedName name="ÁDASDFASFA" localSheetId="2" hidden="1">{"'Sheet1'!$L$16"}</definedName>
    <definedName name="adasfgdsg" localSheetId="2" hidden="1">{"'Sheet1'!$L$16"}</definedName>
    <definedName name="adc" localSheetId="2" hidden="1">{#N/A,#N/A,FALSE,"CCTV"}</definedName>
    <definedName name="ADCD" localSheetId="2" hidden="1">{#N/A,#N/A,FALSE,"特殊室（ＢＱ表）"}</definedName>
    <definedName name="ade" localSheetId="2" hidden="1">{#N/A,#N/A,FALSE,"Chi tiÆt"}</definedName>
    <definedName name="ÁDFGHJ" localSheetId="2" hidden="1">{"'Sheet1'!$L$16"}</definedName>
    <definedName name="àds" localSheetId="2" hidden="1">{"'Sheet1'!$L$16"}</definedName>
    <definedName name="áds" localSheetId="2" hidden="1">{"'Sheet1'!$L$16"}</definedName>
    <definedName name="adsadsa" localSheetId="2" hidden="1">{#N/A,#N/A,TRUE,"CS&amp;SS(AG)";#N/A,#N/A,TRUE,"CS(UG)";#N/A,#N/A,TRUE,"CSCL(UG)";#N/A,#N/A,TRUE,"KYNAR";#N/A,#N/A,TRUE,"ALLOY904";#N/A,#N/A,TRUE,"TITANIUM";#N/A,#N/A,TRUE,"STMTRACE"}</definedName>
    <definedName name="adsas" localSheetId="2" hidden="1">{#N/A,#N/A,FALSE,"Aging Summary";#N/A,#N/A,FALSE,"Ratio Analysis";#N/A,#N/A,FALSE,"Test 120 Day Accts";#N/A,#N/A,FALSE,"Tickmarks"}</definedName>
    <definedName name="ádsấ" localSheetId="2" hidden="1">{#N/A,#N/A,FALSE,"Tabelle2";#N/A,#N/A,FALSE,"Tabelle1"}</definedName>
    <definedName name="advass" localSheetId="2" hidden="1">{"'Sheet1'!$L$16"}</definedName>
    <definedName name="ae" localSheetId="2" hidden="1">{"'Sheet1'!$L$16"}</definedName>
    <definedName name="aefaef" localSheetId="2" hidden="1">{"'Sheet1'!$L$16"}</definedName>
    <definedName name="aefesa" localSheetId="2" hidden="1">{"'Sheet1'!$L$16"}</definedName>
    <definedName name="aesde" localSheetId="2" hidden="1">{#N/A,#N/A,FALSE,"CCTV"}</definedName>
    <definedName name="AEWWQAFDASF" localSheetId="2" hidden="1">{"'Sheet1'!$L$16"}</definedName>
    <definedName name="afafa" localSheetId="2" hidden="1">{"AnalRSA",#N/A,TRUE,"PL-Anal";"AnalIAS",#N/A,TRUE,"PL-Anal"}</definedName>
    <definedName name="AFAF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2" hidden="1">{#N/A,#N/A,FALSE,"Chi tiÆt"}</definedName>
    <definedName name="AFDFD" localSheetId="2" hidden="1">{#N/A,#N/A,FALSE,"Chi tiÆt"}</definedName>
    <definedName name="afdslkjf" localSheetId="2" hidden="1">{#N/A,#N/A,TRUE,"Cover Memo";"Complete Sys. Estimate",#N/A,TRUE,"Change Summary";"Complete Sys. Estimate",#N/A,TRUE,"Estimate Summary";"Complete Sys. Estimate",#N/A,TRUE,"Dept. Summary";"Complete Sys. Estimate",#N/A,TRUE,"DOW Detail"}</definedName>
    <definedName name="afff" localSheetId="2" hidden="1">{"'Sheet1'!$L$16"}</definedName>
    <definedName name="AFWRR" localSheetId="2" hidden="1">{"'Sheet1'!$L$16"}</definedName>
    <definedName name="AGE" localSheetId="2" hidden="1">{"'Sheet1'!$L$16"}</definedName>
    <definedName name="ah" localSheetId="2" hidden="1">{"'Sheet1'!$L$16"}</definedName>
    <definedName name="ahah" localSheetId="2" hidden="1">{"'Sheet1'!$L$16"}</definedName>
    <definedName name="ahajdks" localSheetId="2" hidden="1">{"'Sheet1'!$L$16"}</definedName>
    <definedName name="AHGA" localSheetId="2" hidden="1">{"'Sheet1'!$L$16"}</definedName>
    <definedName name="ahtjht" localSheetId="2" hidden="1">{"'Sheet1'!$L$16"}</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2" hidden="1">{"'Sheet1'!$L$16"}</definedName>
    <definedName name="ameeenn" localSheetId="2" hidden="1">{#N/A,#N/A,FALSE,"估價單  (3)"}</definedName>
    <definedName name="An" localSheetId="2" hidden="1">{"'Sheet1'!$L$16"}</definedName>
    <definedName name="Antoan" localSheetId="2" hidden="1">{"'Sheet1'!$L$16"}</definedName>
    <definedName name="aqe" localSheetId="2" hidden="1">{"'Sheet1'!$L$16"}</definedName>
    <definedName name="aqwerq" localSheetId="2" hidden="1">{"'Sheet1'!$L$16"}</definedName>
    <definedName name="asa" localSheetId="2" hidden="1">{"'Sheet1'!$L$16"}</definedName>
    <definedName name="asas" localSheetId="2" hidden="1">{#N/A,#N/A,FALSE,"Sheet2";#N/A,#N/A,FALSE,"Sheet4";#N/A,#N/A,FALSE,"Sheet6"}</definedName>
    <definedName name="asca" localSheetId="2" hidden="1">{"'Sheet1'!$L$16"}</definedName>
    <definedName name="asdada" localSheetId="2" hidden="1">{#N/A,#N/A,FALSE,"特殊室（ＢＱ表）"}</definedName>
    <definedName name="ASDAS" localSheetId="2" hidden="1">{"ECA Qtrs C",#N/A,TRUE,"ECA_Qtrs_C";"ECA Qtrs D",#N/A,TRUE,"ECA_Qtrs_D";"ECA Qtrs F",#N/A,TRUE,"ECA_Qtrs_F";"ECA Qtrs G",#N/A,TRUE,"ECA_Qtrs_G";"ECA SisterApt",#N/A,TRUE,"ECA_SisterApt";"ECA Nurses",#N/A,TRUE,"ECA_NursesHostel"}</definedName>
    <definedName name="asdasd" localSheetId="2" hidden="1">{"'Sheet1'!$L$16"}</definedName>
    <definedName name="ASDASDSADAS" localSheetId="2" hidden="1">{"'Sheet1'!$L$16"}</definedName>
    <definedName name="asdc" localSheetId="2" hidden="1">{#N/A,#N/A,FALSE,"변경관리예산";#N/A,#N/A,FALSE,"변경장비예산";#N/A,#N/A,FALSE,"변경준설예산";#N/A,#N/A,FALSE,"변경철구예산"}</definedName>
    <definedName name="asdf" localSheetId="2" hidden="1">{#N/A,#N/A,FALSE,"Chi tiÆt"}</definedName>
    <definedName name="asdffgggh" localSheetId="2" hidden="1">{"'Sheet1'!$L$16"}</definedName>
    <definedName name="asdfg" localSheetId="2" hidden="1">{"'Sheet1'!$L$16"}</definedName>
    <definedName name="aserasdea" localSheetId="2" hidden="1">{"'Sheet1'!$L$16"}</definedName>
    <definedName name="asf" localSheetId="2" hidden="1">{"'Sheet1'!$L$16"}</definedName>
    <definedName name="asfsf" localSheetId="2" hidden="1">{"'Sheet1'!$L$16"}</definedName>
    <definedName name="asmd" localSheetId="2" hidden="1">{#N/A,#N/A,FALSE,"Chi tiÆt"}</definedName>
    <definedName name="ASS" localSheetId="2" hidden="1">{"'Sheet1'!$L$16"}</definedName>
    <definedName name="asss" localSheetId="2" hidden="1">{"'Sheet1'!$L$16"}</definedName>
    <definedName name="asssss" localSheetId="2" hidden="1">{"'Sheet1'!$L$16"}</definedName>
    <definedName name="ata" localSheetId="2" hidden="1">{#N/A,#N/A,FALSE,"CCTV"}</definedName>
    <definedName name="ATGT" localSheetId="2" hidden="1">{"'Sheet1'!$L$16"}</definedName>
    <definedName name="atien1" localSheetId="2" hidden="1">{"'Sheet1'!$L$16"}</definedName>
    <definedName name="AU" localSheetId="2" hidden="1">{"'Sheet1'!$L$16"}</definedName>
    <definedName name="AU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2" hidden="1">{0,#N/A,FALSE,0;0,#N/A,FALSE,0;0,#N/A,FALSE,0;0,#N/A,FALSE,0;0,#N/A,FALSE,0;0,#N/A,FALSE,0;0,#N/A,FALSE,0}</definedName>
    <definedName name="awegw" localSheetId="2" hidden="1">{#N/A,#N/A,TRUE,"BT M200 da 10x20"}</definedName>
    <definedName name="ằ" localSheetId="2" hidden="1">{"'Sheet1'!$L$16"}</definedName>
    <definedName name="ĂFRSGDF" localSheetId="2" hidden="1">{"'Sheet1'!$L$16"}</definedName>
    <definedName name="ăg" localSheetId="2" hidden="1">{"'Sheet1'!$L$16"}</definedName>
    <definedName name="â" localSheetId="2" hidden="1">{"'Sheet1'!$L$16"}</definedName>
    <definedName name="ầ" localSheetId="2" hidden="1">{"'Sheet1'!$L$16"}</definedName>
    <definedName name="ấdfsdfasdfsd" localSheetId="2" hidden="1">{"'Sheet1'!$L$16"}</definedName>
    <definedName name="âfA" localSheetId="2" hidden="1">{"'Sheet1'!$L$16"}</definedName>
    <definedName name="ẩgg" localSheetId="2" hidden="1">{"'Sheet1'!$L$16"}</definedName>
    <definedName name="ầgga" localSheetId="2" hidden="1">{"'Sheet1'!$L$16"}</definedName>
    <definedName name="ÂSSSSS" localSheetId="2" hidden="1">{"'Sheet1'!$L$16"}</definedName>
    <definedName name="b14b" localSheetId="2" hidden="1">{"'Sheet1'!$L$16"}</definedName>
    <definedName name="b14b1" localSheetId="2" hidden="1">{"'Sheet1'!$L$16"}</definedName>
    <definedName name="B1V" localSheetId="2" hidden="1">{"'ROOF'!$B$6","'ROOF'!$B$6","'ROOF'!$B$6","'ROOF'!$B$6"}</definedName>
    <definedName name="B2.Other" localSheetId="2" hidden="1">{"'Sheet1'!$L$16"}</definedName>
    <definedName name="b22aaa" localSheetId="2" hidden="1">{"'ROOF'!$B$6","'ROOF'!$B$6","'ROOF'!$B$6","'ROOF'!$B$6"}</definedName>
    <definedName name="b2b" localSheetId="2" hidden="1">{"'ROOF'!$B$6","'ROOF'!$B$6","'ROOF'!$B$6","'ROOF'!$B$6"}</definedName>
    <definedName name="B2BB" localSheetId="2" hidden="1">{"'ROOF'!$B$6","'ROOF'!$B$6","'ROOF'!$B$6","'ROOF'!$B$6"}</definedName>
    <definedName name="b2bbb" localSheetId="2" hidden="1">{"'ROOF'!$B$6","'ROOF'!$B$6","'ROOF'!$B$6","'ROOF'!$B$6"}</definedName>
    <definedName name="B2C" localSheetId="2" hidden="1">{"'ROOF'!$B$6","'ROOF'!$B$6","'ROOF'!$B$6","'ROOF'!$B$6"}</definedName>
    <definedName name="b2d" localSheetId="2" hidden="1">{"'ROOF'!$B$6","'ROOF'!$B$6","'ROOF'!$B$6","'ROOF'!$B$6"}</definedName>
    <definedName name="b2e" localSheetId="2" hidden="1">{"'ROOF'!$B$6","'ROOF'!$B$6","'ROOF'!$B$6","'ROOF'!$B$6"}</definedName>
    <definedName name="b2f" localSheetId="2" hidden="1">{"'ROOF'!$B$6","'ROOF'!$B$6","'ROOF'!$B$6","'ROOF'!$B$6"}</definedName>
    <definedName name="B2G" localSheetId="2" hidden="1">{"'ROOF'!$B$6","'ROOF'!$B$6","'ROOF'!$B$6","'ROOF'!$B$6"}</definedName>
    <definedName name="B2GG" localSheetId="2" hidden="1">{"'ROOF'!$B$6","'ROOF'!$B$6","'ROOF'!$B$6","'ROOF'!$B$6"}</definedName>
    <definedName name="B2GSSL" localSheetId="2" hidden="1">{"'ROOF'!$B$6","'ROOF'!$B$6","'ROOF'!$B$6","'ROOF'!$B$6"}</definedName>
    <definedName name="B2H" localSheetId="2" hidden="1">{"'ROOF'!$B$6","'ROOF'!$B$6","'ROOF'!$B$6","'ROOF'!$B$6"}</definedName>
    <definedName name="B2J" localSheetId="2" hidden="1">{"'ROOF'!$B$6","'ROOF'!$B$6","'ROOF'!$B$6","'ROOF'!$B$6"}</definedName>
    <definedName name="b2k" localSheetId="2" hidden="1">{"'ROOF'!$B$6","'ROOF'!$B$6","'ROOF'!$B$6","'ROOF'!$B$6"}</definedName>
    <definedName name="b2l" localSheetId="2" hidden="1">{"'ROOF'!$B$6","'ROOF'!$B$6","'ROOF'!$B$6","'ROOF'!$B$6"}</definedName>
    <definedName name="b3sl" localSheetId="2" hidden="1">{"'ROOF'!$B$6","'ROOF'!$B$6","'ROOF'!$B$6","'ROOF'!$B$6"}</definedName>
    <definedName name="b5sl" localSheetId="2" hidden="1">{"'ROOF'!$B$6","'ROOF'!$B$6","'ROOF'!$B$6","'ROOF'!$B$6"}</definedName>
    <definedName name="b5slL" localSheetId="2" hidden="1">{"'ROOF'!$B$6","'ROOF'!$B$6","'ROOF'!$B$6","'ROOF'!$B$6"}</definedName>
    <definedName name="B6a" localSheetId="2" hidden="1">{"'Sheet1'!$L$16"}</definedName>
    <definedName name="bai" localSheetId="2" hidden="1">{"'Sheet1'!$L$16"}</definedName>
    <definedName name="banQL" localSheetId="2" hidden="1">{"'Sheet1'!$L$16"}</definedName>
    <definedName name="BB" localSheetId="2" hidden="1">{#N/A,#N/A,FALSE,"Sheet1";#N/A,#N/A,FALSE,"Sheet3";#N/A,#N/A,FALSE,"Sheet5"}</definedName>
    <definedName name="BB_new" localSheetId="2" hidden="1">{"'Sheet1'!$L$16"}</definedName>
    <definedName name="BBB" localSheetId="2" hidden="1">{"'Sheet1'!$L$16"}</definedName>
    <definedName name="bbbb" localSheetId="2" hidden="1">{"'Sheet1'!$L$16"}</definedName>
    <definedName name="ｂｂｂｂｂ" localSheetId="2" hidden="1">{"'Sheet1'!$L$16"}</definedName>
    <definedName name="BBBG" localSheetId="2" hidden="1">{"'Sheet1'!$L$16"}</definedName>
    <definedName name="bbfd" localSheetId="2" hidden="1">{#N/A,#N/A,FALSE,"Chi tiÆt"}</definedName>
    <definedName name="BBKK" localSheetId="2" hidden="1">{"'Sheet1'!$L$16"}</definedName>
    <definedName name="bc" localSheetId="2" hidden="1">{"'Sheet1'!$L$16"}</definedName>
    <definedName name="bcb" localSheetId="2" hidden="1">{"'Sheet1'!$L$16"}</definedName>
    <definedName name="BCTQ" localSheetId="2" hidden="1">{"'Sheet1'!$L$16"}</definedName>
    <definedName name="BCTV" localSheetId="2" hidden="1">{"'Sheet1'!$L$16"}</definedName>
    <definedName name="bcv" localSheetId="2" hidden="1">{"'Sheet1'!$L$16"}</definedName>
    <definedName name="BDFBDFBDF" localSheetId="2" hidden="1">{"'Sheet1'!$L$16"}</definedName>
    <definedName name="BDGNDNGB" localSheetId="2" hidden="1">{"'Sheet1'!$L$16"}</definedName>
    <definedName name="bdv" localSheetId="2" hidden="1">{"'Sheet1'!$L$16"}</definedName>
    <definedName name="bemai" localSheetId="2" hidden="1">{"'Sheet1'!$L$16"}</definedName>
    <definedName name="BFSBFD" localSheetId="2" hidden="1">{"'Sheet1'!$L$16"}</definedName>
    <definedName name="bg" localSheetId="2" hidden="1">{"'Sheet1'!$L$16"}</definedName>
    <definedName name="BGFNC" localSheetId="2" hidden="1">{"'Sheet1'!$L$16"}</definedName>
    <definedName name="BGHG" localSheetId="2" hidden="1">{#N/A,#N/A,FALSE,"估價單  (3)"}</definedName>
    <definedName name="bghui" localSheetId="2" hidden="1">{"'Sheet1'!$L$16"}</definedName>
    <definedName name="BGSFGSD" localSheetId="2" hidden="1">{"'Sheet1'!$L$16"}</definedName>
    <definedName name="Bgiang" localSheetId="2" hidden="1">{"'Sheet1'!$L$16"}</definedName>
    <definedName name="BHDB" localSheetId="2" hidden="1">{"'Sheet1'!$L$16"}</definedName>
    <definedName name="BHJ" localSheetId="2" hidden="1">{#N/A,#N/A,FALSE,"Sheet6"}</definedName>
    <definedName name="Bhthang4" localSheetId="2" hidden="1">{#N/A,#N/A,FALSE,"Chi tiÆt"}</definedName>
    <definedName name="bhthang5" localSheetId="2" hidden="1">{#N/A,#N/A,FALSE,"Chi tiÆt"}</definedName>
    <definedName name="bhthang6" localSheetId="2" hidden="1">{"'Sheet1'!$L$16"}</definedName>
    <definedName name="BI" localSheetId="2" hidden="1">{#N/A,#N/A,FALSE,"이태원철근"}</definedName>
    <definedName name="BIA" localSheetId="2" hidden="1">{"'Sheet1'!$L$16"}</definedName>
    <definedName name="bietthu" localSheetId="2" hidden="1">{"'Sheet1'!$L$16"}</definedName>
    <definedName name="BIGC" localSheetId="2" hidden="1">{#N/A,#N/A,TRUE,"Str.";#N/A,#N/A,TRUE,"Steel &amp; Roof";#N/A,#N/A,TRUE,"Arc.";#N/A,#N/A,TRUE,"Preliminary";#N/A,#N/A,TRUE,"Sum_Prelim"}</definedName>
    <definedName name="bill1a" localSheetId="2" hidden="1">{"'Sheet1'!$L$16"}</definedName>
    <definedName name="Binh" localSheetId="2" hidden="1">{"'Sheet1'!$L$16"}</definedName>
    <definedName name="BMS" localSheetId="2" hidden="1">{"'Sheet1'!$L$16"}</definedName>
    <definedName name="BN" localSheetId="2" hidden="1">{"'Sheet1'!$L$16"}</definedName>
    <definedName name="bnm" localSheetId="2" hidden="1">{#N/A,#N/A,FALSE,"Chi tiÆt"}</definedName>
    <definedName name="bo" localSheetId="2" hidden="1">{#N/A,#N/A,FALSE,"Chi tiÆt"}</definedName>
    <definedName name="book1" localSheetId="2" hidden="1">{"'现金流量表（全部投资）'!$B$4:$P$23"}</definedName>
    <definedName name="BOQ" localSheetId="2">{"Book1","BoQ2.XLS"}</definedName>
    <definedName name="BOQA2" localSheetId="2" hidden="1">{"'Sheet1'!$L$16"}</definedName>
    <definedName name="bql" localSheetId="2" hidden="1">{#N/A,#N/A,FALSE,"Chi tiÆt"}</definedName>
    <definedName name="BREAK" localSheetId="2" hidden="1">{#N/A,#N/A,FALSE,"CCTV"}</definedName>
    <definedName name="BSFSDBVSD" localSheetId="2" hidden="1">{"'Sheet1'!$L$16"}</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2" hidden="1">{"'Sheet1'!$L$16"}</definedName>
    <definedName name="btnm3" localSheetId="2" hidden="1">{"'Sheet1'!$L$16"}</definedName>
    <definedName name="BTH" localSheetId="2" hidden="1">{"'Sheet1'!$L$16"}</definedName>
    <definedName name="bu" localSheetId="2" hidden="1">{"'Sheet1'!$L$16"}</definedName>
    <definedName name="buoi" localSheetId="2" hidden="1">{"'Sheet1'!$L$16"}</definedName>
    <definedName name="bvb" localSheetId="2" hidden="1">{"NGUYEN QUI THIEP - Personal View",#N/A,FALSE,"XDCB.HT.FUR."}</definedName>
    <definedName name="bvx" localSheetId="2" hidden="1">{#N/A,#N/A,FALSE,"토공2"}</definedName>
    <definedName name="BXBXCBC" localSheetId="2" hidden="1">{"'Sheet1'!$L$16"}</definedName>
    <definedName name="bxvbx" localSheetId="2" hidden="1">{"'Sheet1'!$L$16"}</definedName>
    <definedName name="ca" localSheetId="2" hidden="1">{"'Sheet1'!$L$16"}</definedName>
    <definedName name="Cable" localSheetId="2" hidden="1">{"'Sheet1'!$L$16"}</definedName>
    <definedName name="cables" localSheetId="2" hidden="1">{"IMRAK42x8x8",#N/A,TRUE,"IMRAK 1400 42U 800X800";"IMRAK32x6x6",#N/A,TRUE,"IMRAK 1400 32U 600x600";"IMRAK42x12x8",#N/A,TRUE,"IMRAK 1400 42U 1200x800";"IMRAK15x6x4",#N/A,TRUE,"IMRAK 400 15U FRONT SECTION"}</definedName>
    <definedName name="caccccc" localSheetId="2" hidden="1">{"'Sheet1'!$L$16"}</definedName>
    <definedName name="CACSA" localSheetId="2" hidden="1">{"'Sheet1'!$L$16"}</definedName>
    <definedName name="CALBE" localSheetId="2" hidden="1">{"'Sheet1'!$L$16"}</definedName>
    <definedName name="cald" localSheetId="2" hidden="1">{#N/A,#N/A,FALSE,"CCTV"}</definedName>
    <definedName name="came" localSheetId="2" hidden="1">{"'Sheet1'!$L$16"}</definedName>
    <definedName name="CANON" localSheetId="2" hidden="1">{"'Sheet1'!$L$16"}</definedName>
    <definedName name="CaododayGa" localSheetId="2" hidden="1">{"'Sheet1'!$L$16"}</definedName>
    <definedName name="cap" localSheetId="2" hidden="1">{"'Sheet1'!$L$16"}</definedName>
    <definedName name="CARL" localSheetId="2" hidden="1">{#N/A,#N/A,FALSE,"CCTV"}</definedName>
    <definedName name="CARL1" localSheetId="2" hidden="1">{#N/A,#N/A,FALSE,"CCTV"}</definedName>
    <definedName name="CARL2" localSheetId="2" hidden="1">{#N/A,#N/A,FALSE,"CCTV"}</definedName>
    <definedName name="cashfl" localSheetId="2" hidden="1">{#N/A,#N/A,TRUE,"Cover";#N/A,#N/A,TRUE,"Conts";#N/A,#N/A,TRUE,"VOS";#N/A,#N/A,TRUE,"Warrington";#N/A,#N/A,TRUE,"Widnes"}</definedName>
    <definedName name="catalogue" localSheetId="2" hidden="1">{"'Sheet1'!$L$16"}</definedName>
    <definedName name="cauthang" localSheetId="2" hidden="1">{"'Sheet1'!$L$16"}</definedName>
    <definedName name="cay" localSheetId="2" hidden="1">{"'Sheet1'!$L$16"}</definedName>
    <definedName name="CẪ" localSheetId="2" hidden="1">{"'Sheet1'!$L$16"}</definedName>
    <definedName name="CCC" localSheetId="2" hidden="1">{"'Sheet1'!$L$16"}</definedName>
    <definedName name="cccc" localSheetId="2" hidden="1">{#N/A,#N/A,TRUE,"SUM";#N/A,#N/A,TRUE,"EE";#N/A,#N/A,TRUE,"AC";#N/A,#N/A,TRUE,"SN"}</definedName>
    <definedName name="cccccccasdasd" localSheetId="2" hidden="1">{"'Sheet1'!$L$16"}</definedName>
    <definedName name="CCR" localSheetId="2" hidden="1">{#N/A,#N/A,TRUE,"Cover";#N/A,#N/A,TRUE,"Conts";#N/A,#N/A,TRUE,"VOS";#N/A,#N/A,TRUE,"Warrington";#N/A,#N/A,TRUE,"Widnes"}</definedName>
    <definedName name="Çdµ" localSheetId="2" hidden="1">{"'Sheet1'!$L$16"}</definedName>
    <definedName name="cdfdf" localSheetId="2" hidden="1">{#N/A,#N/A,TRUE,"1";#N/A,#N/A,TRUE,"2";#N/A,#N/A,TRUE,"3";#N/A,#N/A,TRUE,"4";#N/A,#N/A,TRUE,"5";#N/A,#N/A,TRUE,"6";#N/A,#N/A,TRUE,"7"}</definedName>
    <definedName name="ced" localSheetId="2" hidden="1">{#N/A,#N/A,FALSE,"Chi tiÆt"}</definedName>
    <definedName name="Celling" localSheetId="2" hidden="1">{"'Sheet1'!$L$16"}</definedName>
    <definedName name="CF1_a129" localSheetId="2" hidden="1">{"Offgrid",#N/A,FALSE,"OFFGRID";"Region",#N/A,FALSE,"REGION";"Offgrid -2",#N/A,FALSE,"OFFGRID";"WTP",#N/A,FALSE,"WTP";"WTP -2",#N/A,FALSE,"WTP";"Project",#N/A,FALSE,"PROJECT";"Summary -2",#N/A,FALSE,"SUMMARY"}</definedName>
    <definedName name="cg" localSheetId="2" hidden="1">{"'Sheet1'!$L$16"}</definedName>
    <definedName name="cgghh" localSheetId="2" hidden="1">{"'Sheet1'!$L$16"}</definedName>
    <definedName name="cgmh" localSheetId="2" hidden="1">{"'용역비'!$A$4:$C$8"}</definedName>
    <definedName name="ci" localSheetId="2" hidden="1">{"'Sheet1'!$L$16"}</definedName>
    <definedName name="CI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2" hidden="1">{#N/A,#N/A,TRUE,"Cover Memo";"Complete Sys. Estimate",#N/A,TRUE,"Change Summary";"Complete Sys. Estimate",#N/A,TRUE,"Estimate Summary";"Complete Sys. Estimate",#N/A,TRUE,"Dept. Summary";"Complete Sys. Estimate",#N/A,TRUE,"DOW Detail"}</definedName>
    <definedName name="CMC" localSheetId="2" hidden="1">{"'Sheet1'!$L$16"}</definedName>
    <definedName name="CNchung" localSheetId="2" hidden="1">{"'Sheet1'!$L$16"}</definedName>
    <definedName name="CNSCL" localSheetId="2" hidden="1">{"'Sheet1'!$L$16"}</definedName>
    <definedName name="cntksdtj" localSheetId="2" hidden="1">{#N/A,#N/A,FALSE,"견적갑지";#N/A,#N/A,FALSE,"총괄표";#N/A,#N/A,FALSE,"철골공사";#N/A,#N/A,FALSE,"토목공사";#N/A,#N/A,FALSE,"판넬전기공사"}</definedName>
    <definedName name="Coc_60" localSheetId="2" hidden="1">{"'Sheet1'!$L$16"}</definedName>
    <definedName name="coccat" localSheetId="2" hidden="1">{"'Sheet1'!$L$16"}</definedName>
    <definedName name="cocly" localSheetId="2" hidden="1">{"'Sheet1'!$L$16"}</definedName>
    <definedName name="compare" localSheetId="2" hidden="1">{#N/A,#N/A,FALSE,"Chi tiÆt"}</definedName>
    <definedName name="con" localSheetId="2" hidden="1">{#N/A,#N/A,FALSE,"Chi tiÆt"}</definedName>
    <definedName name="CONGD300" localSheetId="2" hidden="1">{"'Sheet1'!$L$16"}</definedName>
    <definedName name="CONGPA1" localSheetId="2" hidden="1">{"'Sheet1'!$L$16"}</definedName>
    <definedName name="coping" localSheetId="2" hidden="1">{"ECA Qtrs C",#N/A,TRUE,"ECA_Qtrs_C";"ECA Qtrs D",#N/A,TRUE,"ECA_Qtrs_D";"ECA Qtrs F",#N/A,TRUE,"ECA_Qtrs_F";"ECA Qtrs G",#N/A,TRUE,"ECA_Qtrs_G";"ECA SisterApt",#N/A,TRUE,"ECA_SisterApt";"ECA Nurses",#N/A,TRUE,"ECA_NursesHostel"}</definedName>
    <definedName name="coping_1" localSheetId="2" hidden="1">{"ECA Qtrs C",#N/A,TRUE,"ECA_Qtrs_C";"ECA Qtrs D",#N/A,TRUE,"ECA_Qtrs_D";"ECA Qtrs F",#N/A,TRUE,"ECA_Qtrs_F";"ECA Qtrs G",#N/A,TRUE,"ECA_Qtrs_G";"ECA SisterApt",#N/A,TRUE,"ECA_SisterApt";"ECA Nurses",#N/A,TRUE,"ECA_NursesHostel"}</definedName>
    <definedName name="copphathepviÎttung" localSheetId="2" hidden="1">{"'Sheet1'!$L$16"}</definedName>
    <definedName name="copy" localSheetId="2" hidden="1">{"'Sheet1'!$L$16"}</definedName>
    <definedName name="cotycap" localSheetId="2" hidden="1">{"'Sheet1'!$L$16"}</definedName>
    <definedName name="COVE" localSheetId="2" hidden="1">{"'Sheet1'!$L$16"}</definedName>
    <definedName name="CPM" localSheetId="2" hidden="1">{#N/A,#N/A,FALSE,"Chi tiÆt"}</definedName>
    <definedName name="CPXD" localSheetId="2" hidden="1">{"'Sheet1'!$L$16"}</definedName>
    <definedName name="csa" localSheetId="2" hidden="1">{#N/A,#N/A,FALSE,"Chi tiÆt"}</definedName>
    <definedName name="csac" localSheetId="2" hidden="1">{"'Sheet1'!$L$16"}</definedName>
    <definedName name="cscx" localSheetId="2" hidden="1">{"'Sheet1'!$L$16"}</definedName>
    <definedName name="CSODJWO" localSheetId="2" hidden="1">{#N/A,#N/A,TRUE,"SUM";#N/A,#N/A,TRUE,"EE";#N/A,#N/A,TRUE,"AC";#N/A,#N/A,TRUE,"SN"}</definedName>
    <definedName name="css" localSheetId="2" hidden="1">{"'Sheet1'!$L$16"}</definedName>
    <definedName name="csxxc" localSheetId="2" hidden="1">{"'Sheet1'!$L$16"}</definedName>
    <definedName name="ct" localSheetId="2" hidden="1">{"'Sheet1'!$L$16"}</definedName>
    <definedName name="ctbbt" localSheetId="2" hidden="1">{"'Sheet1'!$L$16"}</definedName>
    <definedName name="CTCT1" localSheetId="2" hidden="1">{"'Sheet1'!$L$16"}</definedName>
    <definedName name="CTCT1_1" localSheetId="2" hidden="1">{"'Sheet1'!$L$16"}</definedName>
    <definedName name="ctct2" localSheetId="2" hidden="1">{"'Sheet1'!$L$16"}</definedName>
    <definedName name="ctieu" localSheetId="2" hidden="1">{"'Sheet1'!$L$16"}</definedName>
    <definedName name="CTTC10nam" localSheetId="2" hidden="1">{"'Sheet1'!$L$16"}</definedName>
    <definedName name="cung" localSheetId="2" hidden="1">{"'Sheet1'!$L$16"}</definedName>
    <definedName name="cuong" localSheetId="2" hidden="1">{"'Sheet1'!$L$16"}</definedName>
    <definedName name="CVBCXBCV" localSheetId="2" hidden="1">{"'Sheet1'!$L$16"}</definedName>
    <definedName name="cvfr" localSheetId="2" hidden="1">{"'Sheet1'!$L$16"}</definedName>
    <definedName name="cxcxcxc" localSheetId="2" hidden="1">{"'Sheet1'!$L$16"}</definedName>
    <definedName name="cxsxs" localSheetId="2" hidden="1">{"'Sheet1'!$L$16"}</definedName>
    <definedName name="cxvv" localSheetId="2" hidden="1">{"'Sheet1'!$L$16"}</definedName>
    <definedName name="cxxacazc" localSheetId="2" hidden="1">{"'Sheet1'!$L$16"}</definedName>
    <definedName name="Cham" localSheetId="2" hidden="1">{#N/A,#N/A,FALSE,"CCTV"}</definedName>
    <definedName name="Chart3" localSheetId="2" hidden="1">{"'Sheet1'!$L$16"}</definedName>
    <definedName name="chietchai2" localSheetId="2" hidden="1">{"'Sheet1'!$L$16"}</definedName>
    <definedName name="chilk" localSheetId="2" hidden="1">{"'Sheet1'!$L$16"}</definedName>
    <definedName name="chitietbgiang2" localSheetId="2" hidden="1">{"'Sheet1'!$L$16"}</definedName>
    <definedName name="chl" localSheetId="2" hidden="1">{"'Sheet1'!$L$16"}</definedName>
    <definedName name="CH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2" hidden="1">{"'Sheet1'!$L$16"}</definedName>
    <definedName name="chottda" localSheetId="2" hidden="1">{"'Sheet1'!$L$16"}</definedName>
    <definedName name="chuyen" localSheetId="2" hidden="1">{"'Sheet1'!$L$16"}</definedName>
    <definedName name="d" localSheetId="2" hidden="1">{"'Sheet1'!$L$16"}</definedName>
    <definedName name="Ð" localSheetId="2" hidden="1">{"'Sheet1'!$L$16"}</definedName>
    <definedName name="d¸" localSheetId="2" hidden="1">{"'Sheet1'!$L$16"}</definedName>
    <definedName name="D1D" localSheetId="2" hidden="1">{"'Sheet1'!$L$16"}</definedName>
    <definedName name="D3D" localSheetId="2" hidden="1">{"'Sheet1'!$L$16"}</definedName>
    <definedName name="da" localSheetId="2" hidden="1">{"'Sheet1'!$L$16"}</definedName>
    <definedName name="dà" localSheetId="2" hidden="1">{"'Sheet1'!$L$16"}</definedName>
    <definedName name="dá" localSheetId="2" hidden="1">{"'Sheet1'!$L$16"}</definedName>
    <definedName name="daa" localSheetId="2" hidden="1">{#N/A,#N/A,FALSE,"特殊室（ＢＱ表）"}</definedName>
    <definedName name="Dad" localSheetId="2" hidden="1">{#N/A,#N/A,FALSE,"MARCH"}</definedName>
    <definedName name="dada" localSheetId="2" hidden="1">{#N/A,#N/A,FALSE,"特殊室（ＢＱ表）"}</definedName>
    <definedName name="dadasda" localSheetId="2" hidden="1">{#N/A,#N/A,FALSE,"特殊室（ＢＱ表）"}</definedName>
    <definedName name="DADASDSADSA" localSheetId="2" hidden="1">{"'Sheet1'!$L$16"}</definedName>
    <definedName name="daDSD" localSheetId="2" hidden="1">{"'Sheet1'!$L$16"}</definedName>
    <definedName name="dafas" localSheetId="2" hidden="1">{#N/A,#N/A,TRUE,"BT M200 da 10x20"}</definedName>
    <definedName name="dam" localSheetId="2" hidden="1">{"'Sheet1'!$L$16"}</definedName>
    <definedName name="DAMMONG" localSheetId="2" hidden="1">{"'Sheet1'!$L$16"}</definedName>
    <definedName name="dang" localSheetId="2" hidden="1">{"'Sheet1'!$L$16"}</definedName>
    <definedName name="dao" localSheetId="2" hidden="1">{"'Sheet1'!$L$16"}</definedName>
    <definedName name="daomuong" localSheetId="2" hidden="1">{"'Sheet1'!$L$16"}</definedName>
    <definedName name="das" localSheetId="2" hidden="1">{"'Sheet1'!$L$16"}</definedName>
    <definedName name="DASDSADADS" localSheetId="2" hidden="1">{"'Sheet1'!$L$16"}</definedName>
    <definedName name="DASDSADAS" localSheetId="2" hidden="1">{"'Sheet1'!$L$16"}</definedName>
    <definedName name="dase" localSheetId="2" hidden="1">{#N/A,#N/A,FALSE,"CCTV"}</definedName>
    <definedName name="dat" localSheetId="2" hidden="1">{#N/A,#N/A,FALSE,"Sheet1"}</definedName>
    <definedName name="datct" localSheetId="2" hidden="1">{"'Sheet1'!$L$16"}</definedName>
    <definedName name="davdacsa" localSheetId="2" hidden="1">{"'Sheet1'!$L$16"}</definedName>
    <definedName name="Daywork1" localSheetId="2" hidden="1">{#N/A,#N/A,FALSE,"MARCH"}</definedName>
    <definedName name="DBSDVSDVS" localSheetId="2" hidden="1">{"'Sheet1'!$L$16"}</definedName>
    <definedName name="dc" localSheetId="2" hidden="1">{"'Sheet1'!$L$16"}</definedName>
    <definedName name="dca" localSheetId="2" hidden="1">{#N/A,#N/A,FALSE,"Chi tiÆt"}</definedName>
    <definedName name="dcdxsz" localSheetId="2" hidden="1">{"'Sheet1'!$L$16"}</definedName>
    <definedName name="DCKS" localSheetId="2" hidden="1">{"'Sheet1'!$L$16"}</definedName>
    <definedName name="dcvxdsz" localSheetId="2" hidden="1">{"'Sheet1'!$L$16"}</definedName>
    <definedName name="dd" localSheetId="2" hidden="1">{"'Sheet1'!$L$16"}</definedName>
    <definedName name="ddång" localSheetId="2" hidden="1">{"'Sheet1'!$L$16"}</definedName>
    <definedName name="ddc" localSheetId="2" hidden="1">{"'Sheet1'!$L$16"}</definedName>
    <definedName name="ddd" localSheetId="2" hidden="1">{"'Sheet1'!$L$16"}</definedName>
    <definedName name="dddd" localSheetId="2" hidden="1">{"'Sheet1'!$L$16"}</definedName>
    <definedName name="dddddd" localSheetId="2" hidden="1">{"Offgrid",#N/A,FALSE,"OFFGRID";"Region",#N/A,FALSE,"REGION";"Offgrid -2",#N/A,FALSE,"OFFGRID";"WTP",#N/A,FALSE,"WTP";"WTP -2",#N/A,FALSE,"WTP";"Project",#N/A,FALSE,"PROJECT";"Summary -2",#N/A,FALSE,"SUMMARY"}</definedName>
    <definedName name="DDDDDDDD" localSheetId="2" hidden="1">{#N/A,#N/A,TRUE,"SUM";#N/A,#N/A,TRUE,"EE";#N/A,#N/A,TRUE,"AC";#N/A,#N/A,TRUE,"SN"}</definedName>
    <definedName name="dddddddddddddddđ" localSheetId="2" hidden="1">{"'Sheet1'!$L$16"}</definedName>
    <definedName name="DDDĐ" localSheetId="2" hidden="1">{"'Sheet1'!$L$16"}</definedName>
    <definedName name="ddds" localSheetId="2" hidden="1">{"'Sheet1'!$L$16"}</definedName>
    <definedName name="ddf" localSheetId="2" hidden="1">{"'Sheet1'!$L$16"}</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2" hidden="1">{"'Sheet1'!$L$16"}</definedName>
    <definedName name="def" localSheetId="2" hidden="1">{#N/A,#N/A,TRUE,"BT M200 da 10x20"}</definedName>
    <definedName name="deí" localSheetId="2" hidden="1">{"'Sheet1'!$L$16"}</definedName>
    <definedName name="DenDK" localSheetId="2" hidden="1">{"'Sheet1'!$L$16"}</definedName>
    <definedName name="deqetq" localSheetId="2" hidden="1">{"'Sheet1'!$L$16"}</definedName>
    <definedName name="der" localSheetId="2">{"Book1","BoQ2.XLS"}</definedName>
    <definedName name="deviation" localSheetId="2" hidden="1">{#N/A,#N/A,FALSE,"CCTV"}</definedName>
    <definedName name="DEWSLDW" localSheetId="2" hidden="1">{#N/A,#N/A,TRUE,"SUM";#N/A,#N/A,TRUE,"EE";#N/A,#N/A,TRUE,"AC";#N/A,#N/A,TRUE,"SN"}</definedName>
    <definedName name="dex" localSheetId="2" hidden="1">{"'Sheet1'!$L$16"}</definedName>
    <definedName name="DFADF" localSheetId="2" hidden="1">{"'Sheet1'!$L$16"}</definedName>
    <definedName name="DFADFDA" localSheetId="2" hidden="1">{"'Sheet1'!$L$16"}</definedName>
    <definedName name="dfadsfsdf" localSheetId="2" hidden="1">{"'Sheet1'!$L$16"}</definedName>
    <definedName name="dfafa" localSheetId="2" hidden="1">{#N/A,#N/A,FALSE,"Chi tiÆt"}</definedName>
    <definedName name="dfasdfsdfsdf" localSheetId="2" hidden="1">{"'Sheet1'!$L$16"}</definedName>
    <definedName name="dfd" localSheetId="2" hidden="1">{#N/A,#N/A,FALSE,"Sheet1";#N/A,#N/A,FALSE,"Sheet3";#N/A,#N/A,FALSE,"Sheet5"}</definedName>
    <definedName name="DFDF" localSheetId="2" hidden="1">{"ECA Qtrs C",#N/A,TRUE,"ECA_Qtrs_C";"ECA Qtrs D",#N/A,TRUE,"ECA_Qtrs_D";"ECA Qtrs F",#N/A,TRUE,"ECA_Qtrs_F";"ECA Qtrs G",#N/A,TRUE,"ECA_Qtrs_G";"ECA SisterApt",#N/A,TRUE,"ECA_SisterApt";"ECA Nurses",#N/A,TRUE,"ECA_NursesHostel"}</definedName>
    <definedName name="DFDF_1" localSheetId="2" hidden="1">{"ECA Qtrs C",#N/A,TRUE,"ECA_Qtrs_C";"ECA Qtrs D",#N/A,TRUE,"ECA_Qtrs_D";"ECA Qtrs F",#N/A,TRUE,"ECA_Qtrs_F";"ECA Qtrs G",#N/A,TRUE,"ECA_Qtrs_G";"ECA SisterApt",#N/A,TRUE,"ECA_SisterApt";"ECA Nurses",#N/A,TRUE,"ECA_NursesHostel"}</definedName>
    <definedName name="DFDFBGFBFB" localSheetId="2" hidden="1">{"'Sheet1'!$L$16"}</definedName>
    <definedName name="dfdfd" localSheetId="2" hidden="1">{"'Sheet1'!$L$16"}</definedName>
    <definedName name="dfdfdf" localSheetId="2" hidden="1">{"'Sheet1'!$L$16"}</definedName>
    <definedName name="DFDFDS" localSheetId="2" hidden="1">{#N/A,#N/A,TRUE,"SUM";#N/A,#N/A,TRUE,"EE";#N/A,#N/A,TRUE,"AC";#N/A,#N/A,TRUE,"SN"}</definedName>
    <definedName name="DFDFGE" localSheetId="2" hidden="1">{#N/A,#N/A,FALSE,"Chi tiÆt"}</definedName>
    <definedName name="dfdfsdf" localSheetId="2" hidden="1">{"'Sheet1'!$L$16"}</definedName>
    <definedName name="DFDFSDFSD" localSheetId="2" hidden="1">{#N/A,#N/A,TRUE,"SUM";#N/A,#N/A,TRUE,"EE";#N/A,#N/A,TRUE,"AC";#N/A,#N/A,TRUE,"SN"}</definedName>
    <definedName name="DFDSAFASF" localSheetId="2" hidden="1">{"'Sheet1'!$L$16"}</definedName>
    <definedName name="DFDSFA" localSheetId="2" hidden="1">{"'Sheet1'!$L$16"}</definedName>
    <definedName name="DFĐF" localSheetId="2" hidden="1">{"'Sheet1'!$L$16"}</definedName>
    <definedName name="DFF" localSheetId="2" hidden="1">{#N/A,#N/A,TRUE,"SUM";#N/A,#N/A,TRUE,"EE";#N/A,#N/A,TRUE,"AC";#N/A,#N/A,TRUE,"SN"}</definedName>
    <definedName name="dffddf" localSheetId="2" hidden="1">{"'Break down'!$A$4"}</definedName>
    <definedName name="DFFDF" localSheetId="2" hidden="1">{#N/A,#N/A,FALSE,"CCTV"}</definedName>
    <definedName name="dfg" localSheetId="2" hidden="1">{"Offgrid",#N/A,FALSE,"OFFGRID";"Region",#N/A,FALSE,"REGION";"Offgrid -2",#N/A,FALSE,"OFFGRID";"WTP",#N/A,FALSE,"WTP";"WTP -2",#N/A,FALSE,"WTP";"Project",#N/A,FALSE,"PROJECT";"Summary -2",#N/A,FALSE,"SUMMARY"}</definedName>
    <definedName name="dfgadfa" localSheetId="2" hidden="1">{#N/A,#N/A,TRUE,"BT M200 da 10x20"}</definedName>
    <definedName name="DFGASDFA" localSheetId="2" hidden="1">{"'Sheet1'!$L$16"}</definedName>
    <definedName name="dfggg" localSheetId="2" hidden="1">{"'Sheet1'!$L$16"}</definedName>
    <definedName name="dfgh" localSheetId="2" hidden="1">{#N/A,#N/A,FALSE,"Chi tiÆt"}</definedName>
    <definedName name="DFGHFSGFDS" localSheetId="2" hidden="1">{"'Sheet1'!$L$16"}</definedName>
    <definedName name="dfgsdsdfe" localSheetId="2" hidden="1">{"'Sheet1'!$L$16"}</definedName>
    <definedName name="dfgzxdf" localSheetId="2" hidden="1">{0,#N/A,FALSE,0;0,#N/A,FALSE,0;0,#N/A,FALSE,0;0,#N/A,FALSE,0;0,#N/A,FALSE,0;0,#N/A,FALSE,0;0,#N/A,FALSE,0}</definedName>
    <definedName name="dfh" localSheetId="2" hidden="1">{"'Sheet1'!$L$16"}</definedName>
    <definedName name="dfhf" localSheetId="2" hidden="1">{"'Sheet1'!$L$16"}</definedName>
    <definedName name="dfhh" localSheetId="2" hidden="1">{#N/A,#N/A,FALSE,"Chi tiÆt"}</definedName>
    <definedName name="dfhp" localSheetId="2" hidden="1">{"'Sheet1'!$L$16"}</definedName>
    <definedName name="dfjgw" localSheetId="2" hidden="1">{"Offgrid",#N/A,FALSE,"OFFGRID";"Region",#N/A,FALSE,"REGION";"Offgrid -2",#N/A,FALSE,"OFFGRID";"WTP",#N/A,FALSE,"WTP";"WTP -2",#N/A,FALSE,"WTP";"Project",#N/A,FALSE,"PROJECT";"Summary -2",#N/A,FALSE,"SUMMARY"}</definedName>
    <definedName name="dfs" localSheetId="2" hidden="1">{#N/A,#N/A,TRUE,"SUM";#N/A,#N/A,TRUE,"EE";#N/A,#N/A,TRUE,"AC";#N/A,#N/A,TRUE,"SN"}</definedName>
    <definedName name="DFSD" localSheetId="2" hidden="1">{#N/A,#N/A,FALSE,"Sheet6"}</definedName>
    <definedName name="DFSDF" localSheetId="2" hidden="1">{"'Sheet1'!$L$16"}</definedName>
    <definedName name="DFSF" localSheetId="2" hidden="1">{#N/A,#N/A,FALSE,"特殊室（ＢＱ表）"}</definedName>
    <definedName name="dfsfsd" localSheetId="2" hidden="1">{"'Sheet1'!$L$16"}</definedName>
    <definedName name="dfsgsag" localSheetId="2" hidden="1">{"'Sheet1'!$L$16"}</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2" hidden="1">{"'Sheet1'!$L$16"}</definedName>
    <definedName name="dgctp2" localSheetId="2" hidden="1">{"'Sheet1'!$L$16"}</definedName>
    <definedName name="DGDG" localSheetId="2" hidden="1">{"'Sheet1'!$L$16"}</definedName>
    <definedName name="dgdjdkgd" localSheetId="2" hidden="1">{#N/A,#N/A,FALSE,"CCTV"}</definedName>
    <definedName name="DGF" localSheetId="2" hidden="1">{#N/A,#N/A,FALSE,"特殊室（ＢＱ表）"}</definedName>
    <definedName name="DGFDG" localSheetId="2" hidden="1">{#N/A,#N/A,FALSE,"特殊室（ＢＱ表）"}</definedName>
    <definedName name="dggfhd" localSheetId="2" hidden="1">{#N/A,#N/A,FALSE,"Chi tiÆt"}</definedName>
    <definedName name="dghg" localSheetId="2" hidden="1">{"'Sheet1'!$L$16"}</definedName>
    <definedName name="dghjyuk" localSheetId="2" hidden="1">{"'Sheet1'!$L$16"}</definedName>
    <definedName name="DGSDG" localSheetId="2" hidden="1">{"'Sheet1'!$L$16"}</definedName>
    <definedName name="DGSEGWE" localSheetId="2" hidden="1">{"'Sheet1'!$L$16"}</definedName>
    <definedName name="dgsgsg" localSheetId="2" hidden="1">{"'Sheet1'!$L$16"}</definedName>
    <definedName name="DGWEHWR" localSheetId="2" hidden="1">{"'Sheet1'!$L$16"}</definedName>
    <definedName name="DHDFGSF" localSheetId="2" hidden="1">{"'Sheet1'!$L$16"}</definedName>
    <definedName name="dhdhd" localSheetId="2" hidden="1">{"'Sheet1'!$L$16"}</definedName>
    <definedName name="dhh" localSheetId="2" hidden="1">{"'Sheet1'!$L$16"}</definedName>
    <definedName name="dhj" localSheetId="2" hidden="1">{"'용역비'!$A$4:$C$8"}</definedName>
    <definedName name="DHSRHGR" localSheetId="2" hidden="1">{"'Sheet1'!$L$16"}</definedName>
    <definedName name="dien" localSheetId="2" hidden="1">{"'Sheet1'!$L$16"}</definedName>
    <definedName name="dj" localSheetId="2" hidden="1">{"'Sheet1'!$L$16"}</definedName>
    <definedName name="DKD" localSheetId="2" hidden="1">{#N/A,#N/A,FALSE,"주간공정";#N/A,#N/A,FALSE,"주간보고";#N/A,#N/A,FALSE,"주간공정표"}</definedName>
    <definedName name="dkdkdkdkd" localSheetId="2" hidden="1">{#N/A,#N/A,FALSE,"명세표"}</definedName>
    <definedName name="dks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2" hidden="1">{#N/A,#N/A,FALSE,"주간공정";#N/A,#N/A,FALSE,"주간보고";#N/A,#N/A,FALSE,"주간공정표"}</definedName>
    <definedName name="dldyddn" localSheetId="2" hidden="1">{"'별표'!$N$220"}</definedName>
    <definedName name="dlff" localSheetId="2" hidden="1">{#N/A,#N/A,FALSE,"운반시간"}</definedName>
    <definedName name="dmxl2" localSheetId="2" hidden="1">{"'Sheet1'!$L$16"}</definedName>
    <definedName name="dn" localSheetId="2" hidden="1">{#N/A,#N/A,FALSE,"혼합골재"}</definedName>
    <definedName name="DN1_CT5" localSheetId="2" hidden="1">{"'Sheet1'!$L$16"}</definedName>
    <definedName name="DNTT" localSheetId="2" hidden="1">{"NGUYEN QUI THIEP - Personal View",#N/A,FALSE,"XDCB.HT.FUR."}</definedName>
    <definedName name="dntt10" localSheetId="2" hidden="1">{"'Sheet1'!$L$16"}</definedName>
    <definedName name="dntt9" localSheetId="2" hidden="1">{"'Sheet1'!$L$16"}</definedName>
    <definedName name="doc" localSheetId="2" hidden="1">{"'Sheet1'!$L$16"}</definedName>
    <definedName name="Document_array" localSheetId="2">{"Book1","BoQ2.XLS"}</definedName>
    <definedName name="dohong" localSheetId="2" hidden="1">{"'Sheet1'!$L$16"}</definedName>
    <definedName name="dq" localSheetId="2" hidden="1">{"'Sheet1'!$L$16"}</definedName>
    <definedName name="dqdq" localSheetId="2" hidden="1">{"'Sheet1'!$L$16"}</definedName>
    <definedName name="dQlda_GdpVal" localSheetId="2" hidden="1">10%*([0]!dQlda_GxlGtbVal+dQlda_GcpkVal)/10^9</definedName>
    <definedName name="dQlda_GtongVal" localSheetId="2" hidden="1">[0]!dQlda_GxlGtbVal+dQlda_GcpkVal+10%*([0]!dQlda_GxlGtbVal+dQlda_GcpkVal)</definedName>
    <definedName name="dQlda_GxlGtbVal" localSheetId="2" hidden="1">dQlda_GxlVal+dQlda_GtbVal</definedName>
    <definedName name="dqw" localSheetId="2" hidden="1">{"'Sheet1'!$L$16"}</definedName>
    <definedName name="ds" localSheetId="2" hidden="1">{"'Sheet1'!$L$16"}</definedName>
    <definedName name="dsa" localSheetId="2" hidden="1">{"'Sheet1'!$L$16"}</definedName>
    <definedName name="dsaaee" localSheetId="2" hidden="1">{"'Sheet1'!$L$16"}</definedName>
    <definedName name="dsada" localSheetId="2" hidden="1">{"'Sheet1'!$L$16"}</definedName>
    <definedName name="dsadasdasdas" localSheetId="2" hidden="1">{"'Sheet1'!$L$16"}</definedName>
    <definedName name="DSADEDWE" localSheetId="2" hidden="1">{"'Sheet1'!$L$16"}</definedName>
    <definedName name="dsadsa" localSheetId="2" hidden="1">{"'Sheet1'!$L$16"}</definedName>
    <definedName name="dsaf" localSheetId="2" hidden="1">{"'Sheet1'!$L$16"}</definedName>
    <definedName name="dsafddsdf" localSheetId="2" hidden="1">{"'Sheet1'!$L$16"}</definedName>
    <definedName name="DSD" localSheetId="2" hidden="1">{"'Sheet1'!$L$16"}</definedName>
    <definedName name="DSDL" localSheetId="2" hidden="1">{"'Sheet1'!$L$16"}</definedName>
    <definedName name="dsds" localSheetId="2" hidden="1">{"'Sheet1'!$L$16"}</definedName>
    <definedName name="dsdsd" localSheetId="2" hidden="1">{#N/A,#N/A,FALSE,"운반시간"}</definedName>
    <definedName name="DSDSDS" localSheetId="2" hidden="1">{"'Sheet1'!$L$16"}</definedName>
    <definedName name="dsfas" localSheetId="2" hidden="1">{"'Sheet1'!$L$16"}</definedName>
    <definedName name="dsfaws" localSheetId="2" hidden="1">{"'Sheet1'!$L$16"}</definedName>
    <definedName name="DSFDS" localSheetId="2" hidden="1">{"'Sheet1'!$L$16"}</definedName>
    <definedName name="DSFDSDFSD" localSheetId="2" hidden="1">{"'Sheet1'!$L$16"}</definedName>
    <definedName name="dsfs" localSheetId="2" hidden="1">{"'Sheet1'!$L$16"}</definedName>
    <definedName name="dsfsad" localSheetId="2" hidden="1">{"'Sheet1'!$L$16"}</definedName>
    <definedName name="dsg" localSheetId="2" hidden="1">{#N/A,#N/A,FALSE,"Chi tiÆt"}</definedName>
    <definedName name="DSGDSG" localSheetId="2" hidden="1">{"'Sheet1'!$L$16"}</definedName>
    <definedName name="dsgsdg" localSheetId="2" hidden="1">{"'Sheet1'!$L$16"}</definedName>
    <definedName name="DSH" localSheetId="2" hidden="1">{#N/A,#N/A,FALSE,"Chi tiÆt"}</definedName>
    <definedName name="dsjk" localSheetId="2" hidden="1">{"'Sheet1'!$L$16"}</definedName>
    <definedName name="DSJKLDE" localSheetId="2" hidden="1">{#N/A,#N/A,TRUE,"SUM";#N/A,#N/A,TRUE,"EE";#N/A,#N/A,TRUE,"AC";#N/A,#N/A,TRUE,"SN"}</definedName>
    <definedName name="dssad" localSheetId="2" hidden="1">{"'Sheet1'!$L$16"}</definedName>
    <definedName name="DSTD_Clear" localSheetId="2">#N/A</definedName>
    <definedName name="dtctnd" localSheetId="2" hidden="1">{"'Sheet1'!$L$16"}</definedName>
    <definedName name="DTMG_vumua" localSheetId="2" hidden="1">{#N/A,#N/A,FALSE,"Chi tiÆt"}</definedName>
    <definedName name="DTTK" localSheetId="2" hidden="1">{"'Sheet1'!$L$16"}</definedName>
    <definedName name="dthft" localSheetId="2" hidden="1">{"'Sheet1'!$L$16"}</definedName>
    <definedName name="du" localSheetId="2" hidden="1">{"'Sheet1'!$L$16"}</definedName>
    <definedName name="duc" localSheetId="2" hidden="1">{"'Sheet1'!$L$16"}</definedName>
    <definedName name="DucO" localSheetId="2" hidden="1">{"'Sheet1'!$L$16"}</definedName>
    <definedName name="DUCT" localSheetId="2" hidden="1">{#N/A,#N/A,FALSE,"Sheet1"}</definedName>
    <definedName name="dudwhd" localSheetId="2" hidden="1">{#N/A,#N/A,FALSE,"CCTV"}</definedName>
    <definedName name="dumbwaiter" localSheetId="2" hidden="1">{#N/A,#N/A,FALSE,"Sheet1";#N/A,#N/A,FALSE,"Sheet3";#N/A,#N/A,FALSE,"Sheet5"}</definedName>
    <definedName name="DUNG" localSheetId="2" hidden="1">{"'Sheet1'!$L$16"}</definedName>
    <definedName name="Duong1" localSheetId="2" hidden="1">{"'Sheet1'!$L$16"}</definedName>
    <definedName name="Duongnaco" localSheetId="2" hidden="1">{"'Sheet1'!$L$16"}</definedName>
    <definedName name="dutoanbenuoc" localSheetId="2" hidden="1">{"'Sheet1'!$L$16"}</definedName>
    <definedName name="dutoanc2" localSheetId="2" hidden="1">{"'Sheet1'!$L$16"}</definedName>
    <definedName name="Dutoandien" localSheetId="2" hidden="1">{"'Sheet1'!$L$16"}</definedName>
    <definedName name="dutruchiphi" localSheetId="2" hidden="1">{"NGUYEN QUI THIEP - Personal View",#N/A,FALSE,"XDCB.HT.FUR."}</definedName>
    <definedName name="DVGEWVBEW" localSheetId="2" hidden="1">{"'Sheet1'!$L$16"}</definedName>
    <definedName name="DZ" localSheetId="2" hidden="1">{"'Sheet1'!$L$16"}</definedName>
    <definedName name="đấ" localSheetId="2" hidden="1">{"'Sheet1'!$L$16"}</definedName>
    <definedName name="đe" localSheetId="2" hidden="1">{"'Sheet1'!$L$16"}</definedName>
    <definedName name="đhf" localSheetId="2" hidden="1">{"'Sheet1'!$L$16"}</definedName>
    <definedName name="e" localSheetId="2" hidden="1">{#N/A,#N/A,FALSE,"Chi tiÆt"}</definedName>
    <definedName name="Ẻ" localSheetId="2" hidden="1">{"'Sheet1'!$L$16"}</definedName>
    <definedName name="e4y" localSheetId="2" hidden="1">{#N/A,#N/A,FALSE,"Chi tiÆt"}</definedName>
    <definedName name="èafe" localSheetId="2" hidden="1">{"'Sheet1'!$L$16"}</definedName>
    <definedName name="ED" localSheetId="2" hidden="1">{#N/A,#N/A,FALSE,"CCTV"}</definedName>
    <definedName name="edd" localSheetId="2" hidden="1">{"'Sheet1'!$L$16"}</definedName>
    <definedName name="edssqq" localSheetId="2" hidden="1">{#N/A,#N/A,FALSE,"혼합골재"}</definedName>
    <definedName name="edwtgfdsgf" localSheetId="2" hidden="1">{"'Sheet1'!$L$16"}</definedName>
    <definedName name="ee" localSheetId="2" hidden="1">{#N/A,#N/A,FALSE,"단가표지"}</definedName>
    <definedName name="EEE" localSheetId="2" hidden="1">{#N/A,#N/A,FALSE,"Sheet6"}</definedName>
    <definedName name="eee.송운" localSheetId="2" hidden="1">{#N/A,#N/A,FALSE,"운반시간"}</definedName>
    <definedName name="eeee" localSheetId="2" hidden="1">{#N/A,#N/A,FALSE,"사업총괄";#N/A,#N/A,FALSE,"장비사업";#N/A,#N/A,FALSE,"철구사업";#N/A,#N/A,FALSE,"준설사업"}</definedName>
    <definedName name="eeeee" localSheetId="2" hidden="1">{#N/A,#N/A,TRUE,"SUM";#N/A,#N/A,TRUE,"EE";#N/A,#N/A,TRUE,"AC";#N/A,#N/A,TRUE,"SN"}</definedName>
    <definedName name="EEEEEEEEEEEEEEEEEE" localSheetId="2" hidden="1">{#N/A,#N/A,FALSE,"CCTV"}</definedName>
    <definedName name="eef" localSheetId="2" hidden="1">{"'Sheet1'!$L$16"}</definedName>
    <definedName name="eerefdg" localSheetId="2" hidden="1">{#N/A,#N/A,FALSE,"CCTV"}</definedName>
    <definedName name="ẻger" localSheetId="2" hidden="1">{#N/A,#N/A,TRUE,"BT M200 da 10x20"}</definedName>
    <definedName name="ẻgwe" localSheetId="2" hidden="1">{"'Sheet1'!$L$16"}</definedName>
    <definedName name="eïhd" localSheetId="2" hidden="1">{"'Sheet1'!$L$16"}</definedName>
    <definedName name="ej" localSheetId="2" hidden="1">{"'용역비'!$A$4:$C$8"}</definedName>
    <definedName name="EL" localSheetId="2" hidden="1">{"'Sheet1'!$L$16"}</definedName>
    <definedName name="Ele" localSheetId="2" hidden="1">{"'Break down'!$A$4"}</definedName>
    <definedName name="ELELLELEELE" localSheetId="2" hidden="1">{#N/A,#N/A,FALSE,"주간공정";#N/A,#N/A,FALSE,"주간보고";#N/A,#N/A,FALSE,"주간공정표"}</definedName>
    <definedName name="elle18" localSheetId="2" hidden="1">{#N/A,#N/A,FALSE,"CCTV"}</definedName>
    <definedName name="ELLEN1" localSheetId="2" hidden="1">{#N/A,#N/A,FALSE,"CCTV"}</definedName>
    <definedName name="ELLEN10" localSheetId="2" hidden="1">{#N/A,#N/A,FALSE,"CCTV"}</definedName>
    <definedName name="ELLEN11" localSheetId="2" hidden="1">{#N/A,#N/A,FALSE,"CCTV"}</definedName>
    <definedName name="ELLEN12" localSheetId="2" hidden="1">{#N/A,#N/A,FALSE,"CCTV"}</definedName>
    <definedName name="ELLEN13" localSheetId="2" hidden="1">{#N/A,#N/A,FALSE,"CCTV"}</definedName>
    <definedName name="ELLEN14" localSheetId="2" hidden="1">{#N/A,#N/A,FALSE,"CCTV"}</definedName>
    <definedName name="ELLEN15" localSheetId="2" hidden="1">{#N/A,#N/A,FALSE,"CCTV"}</definedName>
    <definedName name="ELLEN16" localSheetId="2" hidden="1">{#N/A,#N/A,FALSE,"CCTV"}</definedName>
    <definedName name="ELLEN17" localSheetId="2" hidden="1">{#N/A,#N/A,FALSE,"CCTV"}</definedName>
    <definedName name="ELLEN18" localSheetId="2" hidden="1">{#N/A,#N/A,FALSE,"CCTV"}</definedName>
    <definedName name="ELLEN19" localSheetId="2" hidden="1">{#N/A,#N/A,FALSE,"CCTV"}</definedName>
    <definedName name="ELLEN2" localSheetId="2" hidden="1">{#N/A,#N/A,FALSE,"CCTV"}</definedName>
    <definedName name="ELLEN3" localSheetId="2" hidden="1">{#N/A,#N/A,FALSE,"CCTV"}</definedName>
    <definedName name="ELLEN4" localSheetId="2" hidden="1">{#N/A,#N/A,FALSE,"CCTV"}</definedName>
    <definedName name="ELLEN5" localSheetId="2" hidden="1">{#N/A,#N/A,FALSE,"CCTV"}</definedName>
    <definedName name="ELLEN6" localSheetId="2" hidden="1">{#N/A,#N/A,FALSE,"CCTV"}</definedName>
    <definedName name="ELLEN7" localSheetId="2" hidden="1">{#N/A,#N/A,FALSE,"CCTV"}</definedName>
    <definedName name="ELLEN8" localSheetId="2" hidden="1">{#N/A,#N/A,FALSE,"CCTV"}</definedName>
    <definedName name="ELLEN9" localSheetId="2" hidden="1">{#N/A,#N/A,FALSE,"CCTV"}</definedName>
    <definedName name="elv" localSheetId="2" hidden="1">{"'Sheet1'!$L$16"}</definedName>
    <definedName name="en" localSheetId="2" hidden="1">{#N/A,#N/A,FALSE,"변경관리예산";#N/A,#N/A,FALSE,"변경장비예산";#N/A,#N/A,FALSE,"변경준설예산";#N/A,#N/A,FALSE,"변경철구예산"}</definedName>
    <definedName name="enfgfgfdffddddddddddddddddd" localSheetId="2" hidden="1">{#N/A,#N/A,FALSE,"Chi tiÆt"}</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2" hidden="1">{0,0,0,0;0,0,0,0;0,0,0,0;0,0,0,0;0,0,0,0;0,0,0,0;0,0,0,0}</definedName>
    <definedName name="ERT" localSheetId="2" hidden="1">{"'Sheet1'!$L$16"}</definedName>
    <definedName name="ertwqtg" localSheetId="2" hidden="1">{"'Sheet1'!$L$16"}</definedName>
    <definedName name="ertyertye" localSheetId="2" hidden="1">{"'용역비'!$A$4:$C$8"}</definedName>
    <definedName name="es" localSheetId="2" hidden="1">{"'Sheet1'!$L$16"}</definedName>
    <definedName name="estimateb" localSheetId="2" hidden="1">{#N/A,#N/A,TRUE,"Cover";#N/A,#N/A,TRUE,"Conts";#N/A,#N/A,TRUE,"VOS";#N/A,#N/A,TRUE,"Warrington";#N/A,#N/A,TRUE,"Widnes"}</definedName>
    <definedName name="etqgsg_đhs" localSheetId="2" hidden="1">{"'Sheet1'!$L$16"}</definedName>
    <definedName name="ettr" localSheetId="2" hidden="1">{#N/A,#N/A,FALSE,"Chi tiÆt"}</definedName>
    <definedName name="etuiuti" localSheetId="2" hidden="1">{"'Sheet1'!$L$16"}</definedName>
    <definedName name="ETWE" localSheetId="2" hidden="1">{#N/A,#N/A,FALSE,"Sheet6"}</definedName>
    <definedName name="ETWEGF" localSheetId="2" hidden="1">{#N/A,#N/A,FALSE,"Sheet6"}</definedName>
    <definedName name="ẺTWTW" localSheetId="2" hidden="1">{"'Sheet1'!$L$16"}</definedName>
    <definedName name="etyj" localSheetId="2" hidden="1">{"'용역비'!$A$4:$C$8"}</definedName>
    <definedName name="etyjj" localSheetId="2" hidden="1">{"'용역비'!$A$4:$C$8"}</definedName>
    <definedName name="eù" localSheetId="2">{"Book1"}</definedName>
    <definedName name="eûtheí" localSheetId="2" hidden="1">{"'Sheet1'!$L$16"}</definedName>
    <definedName name="ewdsd" localSheetId="2" hidden="1">{"'Break down'!$A$4"}</definedName>
    <definedName name="EWEREWRE" localSheetId="2" hidden="1">{"'Sheet1'!$L$16"}</definedName>
    <definedName name="èwerwe" localSheetId="2" hidden="1">{"'Sheet1'!$L$16"}</definedName>
    <definedName name="ẺWERWE" localSheetId="2" hidden="1">{"'Sheet1'!$L$16"}</definedName>
    <definedName name="ewrfewr" localSheetId="2" hidden="1">{"'Sheet1'!$L$16"}</definedName>
    <definedName name="ewrfqewrrefeqrftr" localSheetId="2" hidden="1">{"'Sheet1'!$L$16"}</definedName>
    <definedName name="ewrfwe" localSheetId="2" hidden="1">{"'Sheet1'!$L$16"}</definedName>
    <definedName name="ewrfwef" localSheetId="2" hidden="1">{"'Sheet1'!$L$16"}</definedName>
    <definedName name="ews" localSheetId="2" hidden="1">{0}</definedName>
    <definedName name="ewtgyqyewy" localSheetId="2" hidden="1">{"'Sheet1'!$L$16"}</definedName>
    <definedName name="EWTWV" localSheetId="2" hidden="1">{#N/A,#N/A,FALSE,"Sheet6"}</definedName>
    <definedName name="ewwq" localSheetId="2" hidden="1">{"'Sheet1'!$L$16"}</definedName>
    <definedName name="Excavati" localSheetId="2" hidden="1">{#N/A,#N/A,FALSE,"Chi tiÆt"}</definedName>
    <definedName name="eXCLUSIONS" localSheetId="2" hidden="1">{#N/A,#N/A,TRUE,"Cover";#N/A,#N/A,TRUE,"Conts";#N/A,#N/A,TRUE,"VOS";#N/A,#N/A,TRUE,"Warrington";#N/A,#N/A,TRUE,"Widnes"}</definedName>
    <definedName name="explorer" localSheetId="2" hidden="1">{"'Sheet1'!$L$16"}</definedName>
    <definedName name="Êc" localSheetId="2" hidden="1">{"'Sheet1'!$L$16"}</definedName>
    <definedName name="ÊR" localSheetId="2" hidden="1">{"'Sheet1'!$L$16"}</definedName>
    <definedName name="êre" localSheetId="2" hidden="1">{"'Sheet1'!$L$16"}</definedName>
    <definedName name="f" localSheetId="2" hidden="1">{#N/A,#N/A,FALSE,"Sheet1"}</definedName>
    <definedName name="F6A" localSheetId="2" hidden="1">{"'Sheet1'!$L$16"}</definedName>
    <definedName name="F6B" localSheetId="2" hidden="1">{"'Sheet1'!$L$16"}</definedName>
    <definedName name="fáaafafaf" localSheetId="2" hidden="1">{"'Sheet1'!$L$16"}</definedName>
    <definedName name="FACTORY" localSheetId="2" hidden="1">{#N/A,#N/A,TRUE,"SUM";#N/A,#N/A,TRUE,"EE";#N/A,#N/A,TRUE,"AC";#N/A,#N/A,TRUE,"SN"}</definedName>
    <definedName name="factory4" localSheetId="2" hidden="1">{"'Sheet1'!$L$16"}</definedName>
    <definedName name="fae" localSheetId="2" hidden="1">{"'Sheet1'!$L$16"}</definedName>
    <definedName name="FAFA" localSheetId="2" hidden="1">{"'Sheet1'!$L$16"}</definedName>
    <definedName name="fafafda" localSheetId="2" hidden="1">{"AnalRSA",#N/A,TRUE,"PL-Anal";"AnalIAS",#N/A,TRUE,"PL-Anal"}</definedName>
    <definedName name="fasdfsdfsdfsdf" localSheetId="2" hidden="1">{"'Sheet1'!$L$16"}</definedName>
    <definedName name="fasfa" localSheetId="2" hidden="1">{"'Sheet1'!$L$16"}</definedName>
    <definedName name="fasfaga" localSheetId="2" hidden="1">{"'Sheet1'!$L$16"}</definedName>
    <definedName name="fasfsadfs" localSheetId="2" hidden="1">{"'Sheet1'!$L$16"}</definedName>
    <definedName name="FBSEEBASD" localSheetId="2" hidden="1">{"'Sheet1'!$L$16"}</definedName>
    <definedName name="fÇ" localSheetId="2" hidden="1">{"'Sheet1'!$L$16"}</definedName>
    <definedName name="fcae" localSheetId="2" hidden="1">{"'Sheet1'!$L$16"}</definedName>
    <definedName name="fd" localSheetId="2" hidden="1">{#N/A,#N/A,TRUE,"Cover Memo";"Complete Sys. Estimate",#N/A,TRUE,"Change Summary";"Complete Sys. Estimate",#N/A,TRUE,"Estimate Summary";"Complete Sys. Estimate",#N/A,TRUE,"Dept. Summary";"Complete Sys. Estimate",#N/A,TRUE,"DOW Detail"}</definedName>
    <definedName name="FDAFW" localSheetId="2" hidden="1">{"'Sheet1'!$L$16"}</definedName>
    <definedName name="fdasfa" localSheetId="2" hidden="1">{"'Sheet1'!$L$16"}</definedName>
    <definedName name="fdasfdsa" localSheetId="2" hidden="1">{#N/A,#N/A,FALSE,"Chi tiÆt"}</definedName>
    <definedName name="fdds" localSheetId="2" hidden="1">{"'Sheet1'!$L$16"}</definedName>
    <definedName name="fdf" localSheetId="2" hidden="1">{#N/A,#N/A,FALSE,"CCTV"}</definedName>
    <definedName name="fdfd" localSheetId="2" hidden="1">{#N/A,#N/A,TRUE,"Cover Memo";"Complete Sys. Estimate",#N/A,TRUE,"Change Summary";"Complete Sys. Estimate",#N/A,TRUE,"Estimate Summary";"Complete Sys. Estimate",#N/A,TRUE,"Dept. Summary";"Complete Sys. Estimate",#N/A,TRUE,"DOW Detail"}</definedName>
    <definedName name="fdfd2" localSheetId="2" hidden="1">{#N/A,#N/A,TRUE,"Cover Memo";"Complete Sys. Estimate",#N/A,TRUE,"Change Summary";"Complete Sys. Estimate",#N/A,TRUE,"Estimate Summary";"Complete Sys. Estimate",#N/A,TRUE,"Dept. Summary";"Complete Sys. Estimate",#N/A,TRUE,"DOW Detail"}</definedName>
    <definedName name="FDFDF" localSheetId="2" hidden="1">{"'Sheet1'!$L$16"}</definedName>
    <definedName name="FDFDSF" localSheetId="2" hidden="1">{#N/A,#N/A,TRUE,"SUM";#N/A,#N/A,TRUE,"EE";#N/A,#N/A,TRUE,"AC";#N/A,#N/A,TRUE,"SN"}</definedName>
    <definedName name="fdfs" localSheetId="2" hidden="1">{#N/A,#N/A,TRUE,"SUM";#N/A,#N/A,TRUE,"EE";#N/A,#N/A,TRUE,"AC";#N/A,#N/A,TRUE,"SN"}</definedName>
    <definedName name="fdfs2" localSheetId="2" hidden="1">{#N/A,#N/A,TRUE,"SUM";#N/A,#N/A,TRUE,"EE";#N/A,#N/A,TRUE,"AC";#N/A,#N/A,TRUE,"SN"}</definedName>
    <definedName name="fdfsdfs" localSheetId="2" hidden="1">{#N/A,#N/A,TRUE,"SUM";#N/A,#N/A,TRUE,"EE";#N/A,#N/A,TRUE,"AC";#N/A,#N/A,TRUE,"SN"}</definedName>
    <definedName name="fdfsf" localSheetId="2" hidden="1">{#N/A,#N/A,FALSE,"Chi tiÆt"}</definedName>
    <definedName name="fdg" localSheetId="2" hidden="1">{"'Sheet1'!$L$16"}</definedName>
    <definedName name="fdgdg" localSheetId="2" hidden="1">{#N/A,#N/A,TRUE,"Cover Memo";"Complete Sys. Estimate",#N/A,TRUE,"Change Summary";"Complete Sys. Estimate",#N/A,TRUE,"Estimate Summary";"Complete Sys. Estimate",#N/A,TRUE,"Dept. Summary";"Complete Sys. Estimate",#N/A,TRUE,"DOW Detail"}</definedName>
    <definedName name="FDGDGDF" localSheetId="2" hidden="1">{"ECA Qtrs C",#N/A,TRUE,"ECA_Qtrs_C";"ECA Qtrs D",#N/A,TRUE,"ECA_Qtrs_D";"ECA Qtrs F",#N/A,TRUE,"ECA_Qtrs_F";"ECA Qtrs G",#N/A,TRUE,"ECA_Qtrs_G";"ECA SisterApt",#N/A,TRUE,"ECA_SisterApt";"ECA Nurses",#N/A,TRUE,"ECA_NursesHostel"}</definedName>
    <definedName name="fdgfg" localSheetId="2" hidden="1">{"'Sheet1'!$L$16"}</definedName>
    <definedName name="fdgssda" localSheetId="2" hidden="1">{"'Sheet1'!$L$16"}</definedName>
    <definedName name="fdhgf" localSheetId="2" hidden="1">{"'Sheet1'!$L$16"}</definedName>
    <definedName name="fdsdf" localSheetId="2" hidden="1">{"'Sheet1'!$L$16"}</definedName>
    <definedName name="fdsfds" localSheetId="2" hidden="1">{"ECA Qtrs C",#N/A,TRUE,"ECA_Qtrs_C";"ECA Qtrs D",#N/A,TRUE,"ECA_Qtrs_D";"ECA Qtrs F",#N/A,TRUE,"ECA_Qtrs_F";"ECA Qtrs G",#N/A,TRUE,"ECA_Qtrs_G";"ECA SisterApt",#N/A,TRUE,"ECA_SisterApt";"ECA Nurses",#N/A,TRUE,"ECA_NursesHostel"}</definedName>
    <definedName name="fdsff" localSheetId="2" hidden="1">{"'Sheet1'!$L$16"}</definedName>
    <definedName name="fdsfsdfd" localSheetId="2" hidden="1">{"'Sheet1'!$L$16"}</definedName>
    <definedName name="fđhh" localSheetId="2" hidden="1">{"'Sheet1'!$L$16"}</definedName>
    <definedName name="FEDSBSD" localSheetId="2" hidden="1">{"'Sheet1'!$L$16"}</definedName>
    <definedName name="Fees.1" localSheetId="2" hidden="1">{#N/A,#N/A,TRUE,"Cover";#N/A,#N/A,TRUE,"Conts";#N/A,#N/A,TRUE,"VOS";#N/A,#N/A,TRUE,"Warrington";#N/A,#N/A,TRUE,"Widnes"}</definedName>
    <definedName name="fef" localSheetId="2" hidden="1">{"'Sheet1'!$L$16"}</definedName>
    <definedName name="FEFE" localSheetId="2" hidden="1">{"'Sheet1'!$L$16"}</definedName>
    <definedName name="FERQAA" localSheetId="2" hidden="1">{"'Sheet1'!$L$16"}</definedName>
    <definedName name="ffas" localSheetId="2" hidden="1">{"'Sheet1'!$L$16"}</definedName>
    <definedName name="ffdfc" localSheetId="2" hidden="1">{"'Sheet1'!$L$16"}</definedName>
    <definedName name="fff" localSheetId="2" hidden="1">{"'Sheet1'!$L$16"}</definedName>
    <definedName name="Fffef" localSheetId="2" hidden="1">{#N/A,#N/A,FALSE,"MARCH"}</definedName>
    <definedName name="ffff" localSheetId="2" hidden="1">{"'Sheet1'!$L$16"}</definedName>
    <definedName name="ffffd" localSheetId="2" hidden="1">{#N/A,#N/A,TRUE,"SUM";#N/A,#N/A,TRUE,"EE";#N/A,#N/A,TRUE,"AC";#N/A,#N/A,TRUE,"SN"}</definedName>
    <definedName name="fffffffffffffff" localSheetId="2" hidden="1">{"'Sheet1'!$L$16"}</definedName>
    <definedName name="fg" localSheetId="2" hidden="1">{"'Sheet1'!$L$16"}</definedName>
    <definedName name="FGDFAG" localSheetId="2" hidden="1">{"'Sheet1'!$L$16"}</definedName>
    <definedName name="FGDFGH" localSheetId="2" hidden="1">{"'Sheet1'!$L$16"}</definedName>
    <definedName name="FGDFHG" localSheetId="2" hidden="1">{"'Sheet1'!$L$16"}</definedName>
    <definedName name="FGF" localSheetId="2" hidden="1">{#N/A,#N/A,FALSE,"Sheet2";#N/A,#N/A,FALSE,"Sheet4";#N/A,#N/A,FALSE,"Sheet6"}</definedName>
    <definedName name="fgff" localSheetId="2" hidden="1">{#N/A,#N/A,TRUE,"SUM";#N/A,#N/A,TRUE,"EE";#N/A,#N/A,TRUE,"AC";#N/A,#N/A,TRUE,"SN"}</definedName>
    <definedName name="fgfg" localSheetId="2" hidden="1">{#N/A,#N/A,TRUE,"BT M200 da 10x20"}</definedName>
    <definedName name="fgfgf" localSheetId="2" hidden="1">{"'Sheet1'!$L$16"}</definedName>
    <definedName name="fgfgfg" localSheetId="2" hidden="1">{"'Sheet1'!$L$16"}</definedName>
    <definedName name="fgfgfgfg" localSheetId="2" hidden="1">{#N/A,#N/A,TRUE,"BT M200 da 10x20"}</definedName>
    <definedName name="fgfgfgfgf" localSheetId="2" hidden="1">{"'Sheet1'!$L$16"}</definedName>
    <definedName name="fgg" localSheetId="2" hidden="1">{"'장비'!$A$3:$M$12"}</definedName>
    <definedName name="fggfgfgfg" localSheetId="2" hidden="1">{"'Sheet1'!$L$16"}</definedName>
    <definedName name="FGHDGFHDF" localSheetId="2" hidden="1">{"'Sheet1'!$L$16"}</definedName>
    <definedName name="FGHDGHD" localSheetId="2" hidden="1">{"'Sheet1'!$L$16"}</definedName>
    <definedName name="FGHH" localSheetId="2" hidden="1">{#N/A,#N/A,FALSE,"CCTV"}</definedName>
    <definedName name="FGJFGH" localSheetId="2" hidden="1">{"'Sheet1'!$L$16"}</definedName>
    <definedName name="fgjft" localSheetId="2" hidden="1">{#N/A,#N/A,FALSE,"Sheet6"}</definedName>
    <definedName name="fgjj" localSheetId="2" hidden="1">{"'Sheet1'!$L$16"}</definedName>
    <definedName name="fgn" localSheetId="2" hidden="1">{"'Sheet1'!$L$16"}</definedName>
    <definedName name="fgsdaa" localSheetId="2" hidden="1">{#N/A,#N/A,TRUE,"BT M200 da 10x20"}</definedName>
    <definedName name="fgㅗ" localSheetId="2" hidden="1">{#N/A,#N/A,FALSE,"집계표"}</definedName>
    <definedName name="fhdfh" localSheetId="2" hidden="1">{"'Sheet1'!$L$16"}</definedName>
    <definedName name="fhf" localSheetId="2" hidden="1">{0,0,0,0}</definedName>
    <definedName name="fhfdyh" localSheetId="2" hidden="1">{"'Sheet1'!$L$16"}</definedName>
    <definedName name="fhgj" localSheetId="2" hidden="1">{"'Sheet1'!$L$16"}</definedName>
    <definedName name="FHJHJHG" localSheetId="2" hidden="1">{"'Sheet1'!$L$16"}</definedName>
    <definedName name="FK" localSheetId="2" hidden="1">{"'용역비'!$A$4:$C$8"}</definedName>
    <definedName name="FKFKFKFKF" localSheetId="2" hidden="1">{#N/A,#N/A,FALSE,"주간공정";#N/A,#N/A,FALSE,"주간보고";#N/A,#N/A,FALSE,"주간공정표"}</definedName>
    <definedName name="FOR" localSheetId="2" hidden="1">{#N/A,#N/A,FALSE,"CCTV"}</definedName>
    <definedName name="form" localSheetId="2" hidden="1">{"'ELEC'!$A$2:$H$216","'ELEC'!$C$2:$D$2"}</definedName>
    <definedName name="FORMAT" localSheetId="2" hidden="1">{#N/A,#N/A,FALSE,"CCTV"}</definedName>
    <definedName name="FReport5" localSheetId="2" hidden="1">{#N/A,#N/A,FALSE,"MARCH"}</definedName>
    <definedName name="FREPRT6" localSheetId="2" hidden="1">{#N/A,#N/A,FALSE,"MARCH"}</definedName>
    <definedName name="fsd" localSheetId="2" hidden="1">{#N/A,#N/A,FALSE,"mgtsum.XLS";#N/A,#N/A,FALSE,"CAPONE";#N/A,#N/A,FALSE,"CAPTWO";#N/A,#N/A,FALSE,"CAPTHREE"}</definedName>
    <definedName name="fsdf" localSheetId="2" hidden="1">{"'Sheet1'!$L$16"}</definedName>
    <definedName name="fsdfdsf" localSheetId="2" hidden="1">{"'Sheet1'!$L$16"}</definedName>
    <definedName name="FSDFĐ" localSheetId="2" hidden="1">{"'Sheet1'!$L$16"}</definedName>
    <definedName name="FSDFEW" localSheetId="2" hidden="1">{"'Sheet1'!$L$16"}</definedName>
    <definedName name="fsdfs" localSheetId="2" hidden="1">{"'Sheet1'!$L$16"}</definedName>
    <definedName name="fsdfsd" localSheetId="2" hidden="1">{#N/A,#N/A,FALSE,"Chi tiÆt"}</definedName>
    <definedName name="FSDFSDF" localSheetId="2" hidden="1">{#N/A,#N/A,TRUE,"SUM";#N/A,#N/A,TRUE,"EE";#N/A,#N/A,TRUE,"AC";#N/A,#N/A,TRUE,"SN"}</definedName>
    <definedName name="FSDFSĐ" localSheetId="2" hidden="1">{"'Sheet1'!$L$16"}</definedName>
    <definedName name="fsdfsf" localSheetId="2" hidden="1">{"ECA Qtrs C",#N/A,TRUE,"ECA_Qtrs_C";"ECA Qtrs D",#N/A,TRUE,"ECA_Qtrs_D";"ECA Qtrs F",#N/A,TRUE,"ECA_Qtrs_F";"ECA Qtrs G",#N/A,TRUE,"ECA_Qtrs_G";"ECA SisterApt",#N/A,TRUE,"ECA_SisterApt";"ECA Nurses",#N/A,TRUE,"ECA_NursesHostel"}</definedName>
    <definedName name="FSE" localSheetId="2" hidden="1">{#N/A,#N/A,TRUE,"Cover Memo";"Ride Estimate",#N/A,TRUE,"Change Summary";"Ride Estimate",#N/A,TRUE,"Estimate Summary";"Ride Estimate",#N/A,TRUE,"Dept. Summary";"Ride Estimate",#N/A,TRUE,"DOW Detail"}</definedName>
    <definedName name="FSED" localSheetId="2" hidden="1">{#N/A,#N/A,TRUE,"Cover Memo";"Ride Estimate",#N/A,TRUE,"Change Summary";"Ride Estimate",#N/A,TRUE,"Estimate Summary";"Ride Estimate",#N/A,TRUE,"Dept. Summary";"Ride Estimate",#N/A,TRUE,"DOW Detail"}</definedName>
    <definedName name="fsf" localSheetId="2" hidden="1">{"'Sheet1'!$L$16"}</definedName>
    <definedName name="FSFE" localSheetId="2" hidden="1">{#N/A,#N/A,TRUE,"Cover Memo";"Complete Sys. Estimate",#N/A,TRUE,"Change Summary";"Complete Sys. Estimate",#N/A,TRUE,"Estimate Summary";"Complete Sys. Estimate",#N/A,TRUE,"Dept. Summary";"Complete Sys. Estimate",#N/A,TRUE,"DOW Detail"}</definedName>
    <definedName name="fsfsd" localSheetId="2" hidden="1">{"'Sheet1'!$L$16"}</definedName>
    <definedName name="fsfsf" localSheetId="2" hidden="1">{"'Sheet1'!$L$16"}</definedName>
    <definedName name="fsfsfdd" localSheetId="2" hidden="1">{"'Sheet1'!$L$16"}</definedName>
    <definedName name="fsm" localSheetId="2" hidden="1">{"'CPA Sum'!$A$1:$X$30","'CPA'!$A$1:$K$187","'Infra Cost'!$A$1:$Q$30","'Dev't Cost'!$A$1:$AH$40","'Cashflow'!$A$1:$DG$82"}</definedName>
    <definedName name="fszg" localSheetId="2" hidden="1">{"'Sheet1'!$L$16"}</definedName>
    <definedName name="fu" localSheetId="2" hidden="1">{"Offgrid",#N/A,FALSE,"OFFGRID";"Region",#N/A,FALSE,"REGION";"Offgrid -2",#N/A,FALSE,"OFFGRID";"WTP",#N/A,FALSE,"WTP";"WTP -2",#N/A,FALSE,"WTP";"Project",#N/A,FALSE,"PROJECT";"Summary -2",#N/A,FALSE,"SUMMARY"}</definedName>
    <definedName name="fwerfaef" localSheetId="2" hidden="1">{#N/A,#N/A,FALSE,"Tabelle2";#N/A,#N/A,FALSE,"Tabelle1"}</definedName>
    <definedName name="FXBFXB" localSheetId="2" hidden="1">{"'Sheet1'!$L$16"}</definedName>
    <definedName name="g" localSheetId="2" hidden="1">{"'Sheet1'!$L$16"}</definedName>
    <definedName name="ga" localSheetId="2" hidden="1">{"'Sheet1'!$L$16"}</definedName>
    <definedName name="GÀGF" localSheetId="2" hidden="1">{"'Sheet1'!$L$16"}</definedName>
    <definedName name="gbb" localSheetId="2" hidden="1">{"'Sheet1'!$L$16"}</definedName>
    <definedName name="gbdff" localSheetId="2" hidden="1">{#N/A,#N/A,FALSE,"Chi tiÆt"}</definedName>
    <definedName name="gbdg" localSheetId="2" hidden="1">{"'Sheet1'!$L$16"}</definedName>
    <definedName name="gcm" localSheetId="2" hidden="1">{"'Sheet1'!$L$16"}</definedName>
    <definedName name="gd" localSheetId="2" hidden="1">{"'Sheet1'!$L$16"}</definedName>
    <definedName name="gdfg" localSheetId="2" hidden="1">{0}</definedName>
    <definedName name="gdfgdfgdf" localSheetId="2" hidden="1">{"'Sheet1'!$L$16"}</definedName>
    <definedName name="gdg" localSheetId="2" hidden="1">{"'Sheet1'!$L$16"}</definedName>
    <definedName name="gdgdg." localSheetId="2" hidden="1">{"'Sheet1'!$L$16"}</definedName>
    <definedName name="GDGDS" localSheetId="2" hidden="1">{"'Sheet1'!$L$16"}</definedName>
    <definedName name="gdgfgf" localSheetId="2" hidden="1">{"'Sheet1'!$L$16"}</definedName>
    <definedName name="gdh" localSheetId="2" hidden="1">{"'Sheet1'!$L$16"}</definedName>
    <definedName name="gdjf" localSheetId="2" hidden="1">{#N/A,#N/A,FALSE,"Chi tiÆt"}</definedName>
    <definedName name="gdret" localSheetId="2" hidden="1">{"'Sheet1'!$L$16"}</definedName>
    <definedName name="GDRFHDF" localSheetId="2" hidden="1">{"'Sheet1'!$L$16"}</definedName>
    <definedName name="GDS" localSheetId="2" hidden="1">{"'Sheet1'!$L$16"}</definedName>
    <definedName name="ge" localSheetId="2" hidden="1">{"'Sheet1'!$L$16"}</definedName>
    <definedName name="GÈGEWG" localSheetId="2" hidden="1">{"'Sheet1'!$L$16"}</definedName>
    <definedName name="GEWGEW" localSheetId="2" hidden="1">{"'Sheet1'!$L$16"}</definedName>
    <definedName name="gfdg" localSheetId="2" hidden="1">{"'Sheet1'!$L$16"}</definedName>
    <definedName name="GFGFG" localSheetId="2" hidden="1">{"'Sheet1'!$L$16"}</definedName>
    <definedName name="gfgfgfgfgfg" localSheetId="2" hidden="1">{"'Sheet1'!$L$16"}</definedName>
    <definedName name="gfh" localSheetId="2" hidden="1">{"ECA Qtrs C",#N/A,TRUE,"ECA_Qtrs_C";"ECA Qtrs D",#N/A,TRUE,"ECA_Qtrs_D";"ECA Qtrs F",#N/A,TRUE,"ECA_Qtrs_F";"ECA Qtrs G",#N/A,TRUE,"ECA_Qtrs_G";"ECA SisterApt",#N/A,TRUE,"ECA_SisterApt";"ECA Nurses",#N/A,TRUE,"ECA_NursesHostel"}</definedName>
    <definedName name="gfj" localSheetId="2" hidden="1">{"'Sheet1'!$L$16"}</definedName>
    <definedName name="gfjf" localSheetId="2" hidden="1">{#N/A,#N/A,FALSE,"Sheet6"}</definedName>
    <definedName name="gfjnfg" localSheetId="2" hidden="1">{"'Sheet1'!$L$16"}</definedName>
    <definedName name="GFNGHFN" localSheetId="2" hidden="1">{"'Sheet1'!$L$16"}</definedName>
    <definedName name="GFSDFSF" localSheetId="2" hidden="1">{"'Sheet1'!$L$16"}</definedName>
    <definedName name="gfxhfh" localSheetId="2" hidden="1">{"'Sheet1'!$L$16"}</definedName>
    <definedName name="GFㄹ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2" hidden="1">{"'Sheet1'!$L$16"}</definedName>
    <definedName name="ggger" localSheetId="2" hidden="1">{#N/A,#N/A,FALSE,"지침";#N/A,#N/A,FALSE,"환경분석";#N/A,#N/A,FALSE,"Sheet16"}</definedName>
    <definedName name="GGGGG" localSheetId="2" hidden="1">{#N/A,#N/A,TRUE,"SUM";#N/A,#N/A,TRUE,"EE";#N/A,#N/A,TRUE,"AC";#N/A,#N/A,TRUE,"SN"}</definedName>
    <definedName name="ggggggg" localSheetId="2" hidden="1">{#N/A,#N/A,FALSE,"전력간선"}</definedName>
    <definedName name="gggppiou" localSheetId="2" hidden="1">{#N/A,#N/A,FALSE,"Chi tiÆt"}</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2" hidden="1">{"'Sheet1'!$L$16"}</definedName>
    <definedName name="ggss" localSheetId="2" hidden="1">{"'Sheet1'!$L$16"}</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2" hidden="1">{#N/A,#N/A,FALSE,"Chi tiÆt"}</definedName>
    <definedName name="ghfj" localSheetId="2" hidden="1">{#N/A,#N/A,FALSE,"Sheet6"}</definedName>
    <definedName name="ghg" localSheetId="2" hidden="1">{"'Sheet1'!$L$16"}</definedName>
    <definedName name="GHGF" localSheetId="2" hidden="1">{#N/A,#N/A,FALSE,"Sheet6"}</definedName>
    <definedName name="G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2" hidden="1">{#N/A,#N/A,FALSE,"Chi tiÆt"}</definedName>
    <definedName name="ghhh" localSheetId="2" hidden="1">{"'Sheet1'!$L$16"}</definedName>
    <definedName name="ghj" localSheetId="2" hidden="1">{"'Sheet1'!$L$16"}</definedName>
    <definedName name="ghjhgj" localSheetId="2" hidden="1">{"'Sheet1'!$L$16"}</definedName>
    <definedName name="GHK" localSheetId="2" hidden="1">{"'용역비'!$A$4:$C$8"}</definedName>
    <definedName name="GHTRH" localSheetId="2" hidden="1">{#N/A,#N/A,FALSE,"Sheet6"}</definedName>
    <definedName name="gjfd" localSheetId="2" hidden="1">{"'Sheet1'!$L$16"}</definedName>
    <definedName name="gjfgvfh" localSheetId="2" hidden="1">{#N/A,#N/A,FALSE,"特殊室（ＢＱ表）"}</definedName>
    <definedName name="gjhhn" localSheetId="2" hidden="1">{"'Sheet1'!$L$16"}</definedName>
    <definedName name="gjhi" localSheetId="2" hidden="1">{"'Sheet1'!$L$16"}</definedName>
    <definedName name="gjk" localSheetId="2" hidden="1">{0}</definedName>
    <definedName name="gjkj" localSheetId="2" hidden="1">{"'Sheet1'!$L$16"}</definedName>
    <definedName name="GJKHJFG" localSheetId="2" hidden="1">{"'Sheet1'!$L$16"}</definedName>
    <definedName name="GJKHK" localSheetId="2" hidden="1">{"'Sheet1'!$L$16"}</definedName>
    <definedName name="gjrđjsjs" localSheetId="2" hidden="1">{"'Sheet1'!$L$16"}</definedName>
    <definedName name="glhlhl" localSheetId="2" hidden="1">{"'Sheet1'!$L$16"}</definedName>
    <definedName name="glllhlh" localSheetId="2" hidden="1">{"'Sheet1'!$L$16"}</definedName>
    <definedName name="GMG" localSheetId="2" hidden="1">{#N/A,#N/A,FALSE,"特殊室（ＢＱ表）"}</definedName>
    <definedName name="gndfd" localSheetId="2" hidden="1">{"'Sheet1'!$L$16"}</definedName>
    <definedName name="gnfgf" localSheetId="2" hidden="1">{#N/A,#N/A,FALSE,"Chi tiÆt"}</definedName>
    <definedName name="GNFKD" localSheetId="2" hidden="1">{#N/A,#N/A,TRUE,"SUM";#N/A,#N/A,TRUE,"EE";#N/A,#N/A,TRUE,"AC";#N/A,#N/A,TRUE,"SN"}</definedName>
    <definedName name="GR" localSheetId="2" hidden="1">{#N/A,#N/A,TRUE,"Cover Memo";"Complete Sys. Estimate",#N/A,TRUE,"Change Summary";"Complete Sys. Estimate",#N/A,TRUE,"Estimate Summary";"Complete Sys. Estimate",#N/A,TRUE,"Dept. Summary";"Complete Sys. Estimate",#N/A,TRUE,"DOW Detail"}</definedName>
    <definedName name="gra" localSheetId="2" hidden="1">{"'Sheet1'!$L$16"}</definedName>
    <definedName name="GREG4E" localSheetId="2" hidden="1">{"'Sheet1'!$L$16"}</definedName>
    <definedName name="gresg" localSheetId="2" hidden="1">{"'Sheet1'!$L$16"}</definedName>
    <definedName name="gsdbsa" localSheetId="2" hidden="1">{#N/A,#N/A,FALSE,"Chi tiÆt"}</definedName>
    <definedName name="GSDGA" localSheetId="2" hidden="1">{"'Sheet1'!$L$16"}</definedName>
    <definedName name="GSETGS" localSheetId="2" hidden="1">{#N/A,#N/A,FALSE,"Sheet6"}</definedName>
    <definedName name="GSFFAFSFSDF" localSheetId="2" hidden="1">{"'Sheet1'!$L$16"}</definedName>
    <definedName name="GSGSD" localSheetId="2" hidden="1">{"'Sheet1'!$L$16"}</definedName>
    <definedName name="gshsdgf" localSheetId="2" hidden="1">{#N/A,#N/A,FALSE,"부대2"}</definedName>
    <definedName name="gssl" localSheetId="2" hidden="1">{"'ROOF'!$B$6","'ROOF'!$B$6","'ROOF'!$B$6","'ROOF'!$B$6"}</definedName>
    <definedName name="gteyhưez" localSheetId="2" hidden="1">{"'Sheet1'!$L$16"}</definedName>
    <definedName name="GTOTAL" localSheetId="2" hidden="1">{"'Sheet1'!$L$16"}</definedName>
    <definedName name="guestroom" localSheetId="2" hidden="1">{#N/A,#N/A,TRUE,"Cover Memo";"Complete Sys. Estimate",#N/A,TRUE,"Change Summary";"Complete Sys. Estimate",#N/A,TRUE,"Estimate Summary";"Complete Sys. Estimate",#N/A,TRUE,"Dept. Summary";"Complete Sys. Estimate",#N/A,TRUE,"DOW Detail"}</definedName>
    <definedName name="guo" localSheetId="2" hidden="1">{#N/A,#N/A,FALSE,"Sheet6"}</definedName>
    <definedName name="GUUUUUU" localSheetId="2" hidden="1">{"ECA Qtrs C",#N/A,TRUE,"ECA_Qtrs_C";"ECA Qtrs D",#N/A,TRUE,"ECA_Qtrs_D";"ECA Qtrs F",#N/A,TRUE,"ECA_Qtrs_F";"ECA Qtrs G",#N/A,TRUE,"ECA_Qtrs_G";"ECA SisterApt",#N/A,TRUE,"ECA_SisterApt";"ECA Nurses",#N/A,TRUE,"ECA_NursesHostel"}</definedName>
    <definedName name="GƯD" localSheetId="2" hidden="1">{"'Sheet1'!$L$16"}</definedName>
    <definedName name="GƯEGWEGED" localSheetId="2" hidden="1">{"'Sheet1'!$L$16"}</definedName>
    <definedName name="GV" localSheetId="2" hidden="1">{#N/A,#N/A,FALSE,"CCTV"}</definedName>
    <definedName name="gvjgkjh" localSheetId="2" hidden="1">{"'Sheet1'!$L$16"}</definedName>
    <definedName name="GYG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2" hidden="1">{"'Sheet1'!$L$16"}</definedName>
    <definedName name="h" localSheetId="2" hidden="1">{"'Sheet1'!$L$16"}</definedName>
    <definedName name="h_1" localSheetId="2" hidden="1">{"'Sheet1'!$L$16"}</definedName>
    <definedName name="h_xoa" localSheetId="2" hidden="1">{"'Sheet1'!$L$16"}</definedName>
    <definedName name="h_xoa_1" localSheetId="2" hidden="1">{"'Sheet1'!$L$16"}</definedName>
    <definedName name="h_xoa2" localSheetId="2" hidden="1">{"'Sheet1'!$L$16"}</definedName>
    <definedName name="h_xoa2_1" localSheetId="2" hidden="1">{"'Sheet1'!$L$16"}</definedName>
    <definedName name="h_xoa3" localSheetId="2" hidden="1">{"'Sheet1'!$L$16"}</definedName>
    <definedName name="HA" localSheetId="2" hidden="1">{"'Sheet1'!$L$16"}</definedName>
    <definedName name="halong" localSheetId="2" hidden="1">{"'Sheet1'!$L$16"}</definedName>
    <definedName name="hanh" localSheetId="2" hidden="1">{"'Sheet1'!$L$16"}</definedName>
    <definedName name="HAO" localSheetId="2" hidden="1">{#N/A,#N/A,FALSE,"Sheet1"}</definedName>
    <definedName name="haq" localSheetId="2" hidden="1">{"'Sheet1'!$L$16"}</definedName>
    <definedName name="hau" localSheetId="2" hidden="1">{"'Sheet1'!$L$16"}</definedName>
    <definedName name="hb" localSheetId="2" hidden="1">{"'Sheet1'!$L$16"}</definedName>
    <definedName name="hbbbbbb" localSheetId="2" hidden="1">{"'Sheet1'!$L$16"}</definedName>
    <definedName name="hbhbh" localSheetId="2" hidden="1">{"'Sheet1'!$L$16"}</definedName>
    <definedName name="HCNA" localSheetId="2" hidden="1">{"'Sheet1'!$L$16"}</definedName>
    <definedName name="HDFGHFD" localSheetId="2" hidden="1">{"'Sheet1'!$L$16"}</definedName>
    <definedName name="HDGUJ" localSheetId="2" hidden="1">{"'Sheet1'!$L$16"}</definedName>
    <definedName name="hdhgd"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2" hidden="1">{#N/A,#N/A,FALSE,"Chi tiÆt"}</definedName>
    <definedName name="hdyt" localSheetId="2" hidden="1">{"'Sheet1'!$L$16"}</definedName>
    <definedName name="hee_opjg" localSheetId="2" hidden="1">{"'Sheet1'!$L$16"}</definedName>
    <definedName name="hehdhdh"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2" hidden="1">{#N/A,#N/A,FALSE,"Chi tiÆt"}</definedName>
    <definedName name="hehreh" localSheetId="2" hidden="1">{"'Sheet1'!$L$16"}</definedName>
    <definedName name="help" localSheetId="2" hidden="1">{"summary",#N/A,FALSE,"Summary";"parameter",#N/A,FALSE,"Parameter Summary";"detail",#N/A,FALSE,"Detail";"gsf",#N/A,FALSE,"GSF"}</definedName>
    <definedName name="help1" localSheetId="2" hidden="1">{#N/A,#N/A,FALSE,"Project Summary";#N/A,#N/A,FALSE,"Parameter Summary";#N/A,#N/A,FALSE,"Budget Control Report";#N/A,#N/A,FALSE,"DETAIL.XLS"}</definedName>
    <definedName name="hergyew" localSheetId="2" hidden="1">{"'Sheet1'!$L$16"}</definedName>
    <definedName name="herse" localSheetId="2" hidden="1">{#N/A,#N/A,FALSE,"Chi tiÆt"}</definedName>
    <definedName name="HETH" localSheetId="2" hidden="1">{"'Sheet1'!$L$16"}</definedName>
    <definedName name="hẻy" localSheetId="2" hidden="1">{"'Sheet1'!$L$16"}</definedName>
    <definedName name="HFGHFGHDG" localSheetId="2" hidden="1">{"'Sheet1'!$L$16"}</definedName>
    <definedName name="hfgk" localSheetId="2" hidden="1">{#N/A,#N/A,FALSE,"特殊室（ＢＱ表）"}</definedName>
    <definedName name="hfgsdf" localSheetId="2" hidden="1">{"'Sheet1'!$L$16"}</definedName>
    <definedName name="hfgsdf_1" localSheetId="2" hidden="1">{"'Sheet1'!$L$16"}</definedName>
    <definedName name="hg" localSheetId="2" hidden="1">{"'Sheet1'!$L$16"}</definedName>
    <definedName name="HGDHDFG" localSheetId="2" hidden="1">{"'Sheet1'!$L$16"}</definedName>
    <definedName name="hgdhdghd" localSheetId="2" hidden="1">{"'Sheet1'!$L$16"}</definedName>
    <definedName name="HGFGJHG" localSheetId="2" hidden="1">{"'Sheet1'!$L$16"}</definedName>
    <definedName name="HG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2" hidden="1">{#N/A,#N/A,FALSE,"Chi tiÆt"}</definedName>
    <definedName name="hggg" localSheetId="2" hidden="1">{"'Sheet1'!$L$16"}</definedName>
    <definedName name="HGH" localSheetId="2" hidden="1">{"'Sheet1'!$L$16"}</definedName>
    <definedName name="HGHG" localSheetId="2" hidden="1">{"'Sheet1'!$L$16"}</definedName>
    <definedName name="hghghg" localSheetId="2" hidden="1">{"'Sheet1'!$L$16"}</definedName>
    <definedName name="hgj" localSheetId="2" hidden="1">{#N/A,#N/A,FALSE,"Sheet6"}</definedName>
    <definedName name="hgjhkh" localSheetId="2" hidden="1">{"'Sheet1'!$L$16"}</definedName>
    <definedName name="hgjjjh" localSheetId="2" hidden="1">{"'Sheet1'!$L$16"}</definedName>
    <definedName name="hgre_zdfhgfd" localSheetId="2" hidden="1">{"'Sheet1'!$L$16"}</definedName>
    <definedName name="hgrf" localSheetId="2" hidden="1">{"'Sheet1'!$L$16"}</definedName>
    <definedName name="hgsa" localSheetId="2" hidden="1">{#N/A,#N/A,FALSE,"Chi tiÆt"}</definedName>
    <definedName name="hh" localSheetId="2" hidden="1">{"'Sheet1'!$L$16"}</definedName>
    <definedName name="hhb" localSheetId="2" hidden="1">{"'Sheet1'!$L$16"}</definedName>
    <definedName name="HHG" localSheetId="2" hidden="1">{"'ROOF'!$B$6","'ROOF'!$B$6","'ROOF'!$B$6","'ROOF'!$B$6"}</definedName>
    <definedName name="hhgggggg" localSheetId="2" hidden="1">{"'Sheet1'!$L$16"}</definedName>
    <definedName name="hhghg" localSheetId="2" hidden="1">{"'Sheet1'!$L$16"}</definedName>
    <definedName name="HHHHHH" localSheetId="2" hidden="1">{#N/A,#N/A,TRUE,"SUM";#N/A,#N/A,TRUE,"EE";#N/A,#N/A,TRUE,"AC";#N/A,#N/A,TRUE,"SN"}</definedName>
    <definedName name="hhhhhhh" localSheetId="2" hidden="1">{"'Sheet1'!$L$16"}</definedName>
    <definedName name="hhhhhu" localSheetId="2" hidden="1">{"'Sheet1'!$L$16"}</definedName>
    <definedName name="hhhlll" localSheetId="2" hidden="1">{"'Sheet1'!$L$16"}</definedName>
    <definedName name="hhjd" localSheetId="2" hidden="1">{0}</definedName>
    <definedName name="hiep" localSheetId="2" hidden="1">{#N/A,#N/A,FALSE,"Chi tiÆt"}</definedName>
    <definedName name="hiept2" localSheetId="2" hidden="1">{"'Sheet1'!$L$16"}</definedName>
    <definedName name="hieu" localSheetId="2" hidden="1">{"'Sheet1'!$L$16"}</definedName>
    <definedName name="hihi" localSheetId="2" hidden="1">{"'Sheet1'!$L$16"}</definedName>
    <definedName name="hj" localSheetId="2" hidden="1">{#N/A,#N/A,FALSE,"Sheet6"}</definedName>
    <definedName name="HJHH" localSheetId="2" hidden="1">{"ECA Qtrs C",#N/A,TRUE,"ECA_Qtrs_C";"ECA Qtrs D",#N/A,TRUE,"ECA_Qtrs_D";"ECA Qtrs F",#N/A,TRUE,"ECA_Qtrs_F";"ECA Qtrs G",#N/A,TRUE,"ECA_Qtrs_G";"ECA SisterApt",#N/A,TRUE,"ECA_SisterApt";"ECA Nurses",#N/A,TRUE,"ECA_NursesHostel"}</definedName>
    <definedName name="HJHH_1" localSheetId="2" hidden="1">{"ECA Qtrs C",#N/A,TRUE,"ECA_Qtrs_C";"ECA Qtrs D",#N/A,TRUE,"ECA_Qtrs_D";"ECA Qtrs F",#N/A,TRUE,"ECA_Qtrs_F";"ECA Qtrs G",#N/A,TRUE,"ECA_Qtrs_G";"ECA SisterApt",#N/A,TRUE,"ECA_SisterApt";"ECA Nurses",#N/A,TRUE,"ECA_NursesHostel"}</definedName>
    <definedName name="hjjkl" localSheetId="2" hidden="1">{"'Sheet1'!$L$16"}</definedName>
    <definedName name="hjjpu" localSheetId="2" hidden="1">{"'Sheet1'!$L$16"}</definedName>
    <definedName name="hjjþu" localSheetId="2" hidden="1">{"'Sheet1'!$L$16"}</definedName>
    <definedName name="hjk" localSheetId="2" hidden="1">{"'Sheet1'!$L$16"}</definedName>
    <definedName name="HJTHE" localSheetId="2" hidden="1">{"'Sheet1'!$L$16"}</definedName>
    <definedName name="hkilgu" localSheetId="2" hidden="1">{#N/A,#N/A,FALSE,"포장2"}</definedName>
    <definedName name="HKJH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2" hidden="1">{"'Sheet1'!$L$16"}</definedName>
    <definedName name="hkl" localSheetId="2" hidden="1">{"'Sheet1'!$L$16"}</definedName>
    <definedName name="hklhj" localSheetId="2" hidden="1">{"'Sheet1'!$L$16"}</definedName>
    <definedName name="hllgljl" localSheetId="2" hidden="1">{"'Sheet1'!$L$16"}</definedName>
    <definedName name="HMFDFG" localSheetId="2" hidden="1">{"'Sheet1'!$L$16"}</definedName>
    <definedName name="HMFGMFG" localSheetId="2" hidden="1">{"'Sheet1'!$L$16"}</definedName>
    <definedName name="ho" localSheetId="2" hidden="1">{"'Sheet1'!$L$16"}</definedName>
    <definedName name="hoa" localSheetId="2" hidden="1">{"'Sheet1'!$L$16"}</definedName>
    <definedName name="Hoang" localSheetId="2" hidden="1">{"'Sheet1'!$L$16"}</definedName>
    <definedName name="hoc" localSheetId="2" hidden="1">{"'Sheet1'!$L$16"}</definedName>
    <definedName name="hoe" localSheetId="2" hidden="1">{#N/A,#N/A,FALSE,"Chi tiÆt"}</definedName>
    <definedName name="hoi" localSheetId="2" hidden="1">{0}</definedName>
    <definedName name="hong" localSheetId="2" hidden="1">{"'Sheet1'!$L$16"}</definedName>
    <definedName name="hp" localSheetId="2" hidden="1">{"'Sheet1'!$L$16"}</definedName>
    <definedName name="HREHRE" localSheetId="2" hidden="1">{"'Sheet1'!$L$16"}</definedName>
    <definedName name="HTD" localSheetId="2" hidden="1">{#N/A,#N/A,FALSE,"CCTV"}</definedName>
    <definedName name="htey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2" hidden="1">{"'Sheet1'!$L$16"}</definedName>
    <definedName name="html" localSheetId="2" hidden="1">{"'Sheet1'!$L$16"}</definedName>
    <definedName name="HTML_Control" localSheetId="2" hidden="1">{"'Sheet1'!$L$16"}</definedName>
    <definedName name="HTML_Control_1" localSheetId="2" hidden="1">{"'Sheet1'!$L$16"}</definedName>
    <definedName name="html_control_xoa2" localSheetId="2" hidden="1">{"'Sheet1'!$L$16"}</definedName>
    <definedName name="html_control_xoa2_1" localSheetId="2" hidden="1">{"'Sheet1'!$L$16"}</definedName>
    <definedName name="HTML_Control1" localSheetId="2" hidden="1">{"'Sheet1'!$L$16"}</definedName>
    <definedName name="HTML_Control1_1" localSheetId="2" hidden="1">{"'Sheet1'!$L$16"}</definedName>
    <definedName name="HTML_Controlmoi" localSheetId="2" hidden="1">{"'Sheet1'!$L$16"}</definedName>
    <definedName name="html2" localSheetId="2" hidden="1">{"'Sheet1'!$L$16"}</definedName>
    <definedName name="HTMLcpnmtrol" localSheetId="2" hidden="1">{"'Sheet1'!$L$16"}</definedName>
    <definedName name="htmll" localSheetId="2" hidden="1">{"'Sheet1'!$L$16"}</definedName>
    <definedName name="hþ" localSheetId="2" hidden="1">{"'Sheet1'!$L$16"}</definedName>
    <definedName name="HTHTR" localSheetId="2" hidden="1">{"'Sheet1'!$L$16"}</definedName>
    <definedName name="hþwr" localSheetId="2" hidden="1">{"'Sheet1'!$L$16"}</definedName>
    <definedName name="HTR" localSheetId="2" hidden="1">{#N/A,#N/A,FALSE,"이태원철근"}</definedName>
    <definedName name="htrhrt" localSheetId="2" hidden="1">{"'Sheet1'!$L$16"}</definedName>
    <definedName name="hu" localSheetId="2" hidden="1">{"'Sheet1'!$L$16"}</definedName>
    <definedName name="hu_1" localSheetId="2" hidden="1">{"'Sheet1'!$L$16"}</definedName>
    <definedName name="hud" localSheetId="2" hidden="1">{"'Sheet1'!$L$16"}</definedName>
    <definedName name="hudas" localSheetId="2" hidden="1">{"'Sheet1'!$L$16"}</definedName>
    <definedName name="HUE" localSheetId="2" hidden="1">{"'Sheet1'!$L$16"}</definedName>
    <definedName name="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2" hidden="1">{"'Sheet1'!$L$16"}</definedName>
    <definedName name="HUNG" localSheetId="2" hidden="1">{#N/A,#N/A,FALSE,"Chi tiÆt"}</definedName>
    <definedName name="hung3" localSheetId="2" hidden="1">{"'Sheet1'!$L$16"}</definedName>
    <definedName name="hunh" localSheetId="2" hidden="1">{"'Sheet1'!$L$16"}</definedName>
    <definedName name="huong" localSheetId="2" hidden="1">{"'Sheet1'!$L$16"}</definedName>
    <definedName name="hut" localSheetId="2" hidden="1">{"'Sheet1'!$L$16"}</definedName>
    <definedName name="HUU" localSheetId="2" hidden="1">{"'Sheet1'!$L$16"}</definedName>
    <definedName name="huy" localSheetId="2" hidden="1">{"'Sheet1'!$L$16"}</definedName>
    <definedName name="huy_1" localSheetId="2" hidden="1">{"'Sheet1'!$L$16"}</definedName>
    <definedName name="huy_xoa" localSheetId="2" hidden="1">{"'Sheet1'!$L$16"}</definedName>
    <definedName name="huy_xoa_1" localSheetId="2" hidden="1">{"'Sheet1'!$L$16"}</definedName>
    <definedName name="huy_xoa2" localSheetId="2" hidden="1">{"'Sheet1'!$L$16"}</definedName>
    <definedName name="huy_xoa2_1" localSheetId="2" hidden="1">{"'Sheet1'!$L$16"}</definedName>
    <definedName name="huyen" localSheetId="2" hidden="1">{"'Sheet1'!$L$16"}</definedName>
    <definedName name="huyhoa" localSheetId="2" hidden="1">{"'Sheet1'!$L$16"}</definedName>
    <definedName name="huyhu" localSheetId="2" hidden="1">{"'Sheet1'!$L$16"}</definedName>
    <definedName name="huymoi" localSheetId="2" hidden="1">{"'Sheet1'!$L$16"}</definedName>
    <definedName name="HUYØ" localSheetId="2" hidden="1">{"'Sheet1'!$L$16"}</definedName>
    <definedName name="huyy" localSheetId="2" hidden="1">{"'Sheet1'!$L$16"}</definedName>
    <definedName name="huyyy" localSheetId="2" hidden="1">{"'Sheet1'!$L$16"}</definedName>
    <definedName name="hvjhvj" localSheetId="2" hidden="1">{"'Sheet1'!$L$16"}</definedName>
    <definedName name="hy" localSheetId="2" hidden="1">{"'Sheet1'!$L$16"}</definedName>
    <definedName name="ii" localSheetId="2" hidden="1">{#N/A,#N/A,FALSE,"지침";#N/A,#N/A,FALSE,"환경분석";#N/A,#N/A,FALSE,"Sheet16"}</definedName>
    <definedName name="III" localSheetId="2" hidden="1">{#N/A,#N/A,TRUE,"Cover Memo";"Facility Estimate",#N/A,TRUE,"Change Summary";"Facility Estimate",#N/A,TRUE,"Estimate Summary";"Facility Estimate",#N/A,TRUE,"Dept. Summary";"Facility Estimate",#N/A,TRUE,"DOW Detail"}</definedName>
    <definedName name="iiiiiiiii" localSheetId="2" hidden="1">{#N/A,#N/A,FALSE,"지침";#N/A,#N/A,FALSE,"환경분석";#N/A,#N/A,FALSE,"Sheet16"}</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2" hidden="1">{"'Sheet1'!$L$16"}</definedName>
    <definedName name="ijn" localSheetId="2" hidden="1">{#N/A,#N/A,FALSE,"MARCH"}</definedName>
    <definedName name="IN" localSheetId="2" hidden="1">{"'Sheet1'!$L$16"}</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tyityit" localSheetId="2" hidden="1">{#N/A,#N/A,FALSE,"변경관리예산";#N/A,#N/A,FALSE,"변경장비예산";#N/A,#N/A,FALSE,"변경준설예산";#N/A,#N/A,FALSE,"변경철구예산"}</definedName>
    <definedName name="ịth" localSheetId="2" hidden="1">{"'Sheet1'!$L$16"}</definedName>
    <definedName name="iuliupoui" localSheetId="2" hidden="1">{"'Sheet1'!$L$16"}</definedName>
    <definedName name="iutrir" localSheetId="2" hidden="1">{#N/A,#N/A,FALSE,"부대1"}</definedName>
    <definedName name="IV" localSheetId="2" hidden="1">{#N/A,#N/A,TRUE,"Cover Memo";"Ride Estimate",#N/A,TRUE,"Change Summary";"Ride Estimate",#N/A,TRUE,"Estimate Summary";"Ride Estimate",#N/A,TRUE,"Dept. Summary";"Ride Estimate",#N/A,TRUE,"DOW Detail"}</definedName>
    <definedName name="iwer" localSheetId="2" hidden="1">{"'Sheet1'!$L$16"}</definedName>
    <definedName name="iylryi" localSheetId="2" hidden="1">{"'Sheet1'!$L$16"}</definedName>
    <definedName name="Î" localSheetId="2" hidden="1">{#N/A,#N/A,FALSE,"Chi tiÆt"}</definedName>
    <definedName name="Ît" localSheetId="2" hidden="1">{"'Sheet1'!$L$16"}</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2" hidden="1">{"'Sheet1'!$L$16"}</definedName>
    <definedName name="JDFHDH" localSheetId="2" hidden="1">{"'Sheet1'!$L$16"}</definedName>
    <definedName name="jfdjf" localSheetId="2" hidden="1">{#N/A,#N/A,FALSE,"Chi tiÆt"}</definedName>
    <definedName name="J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2" hidden="1">{"'Sheet1'!$L$16"}</definedName>
    <definedName name="jggui78" localSheetId="2" hidden="1">{"'Sheet1'!$L$16"}</definedName>
    <definedName name="JGHJFHJJ" localSheetId="2" hidden="1">{"'Sheet1'!$L$16"}</definedName>
    <definedName name="jgtjdt" localSheetId="2" hidden="1">{"'Sheet1'!$L$16"}</definedName>
    <definedName name="jh" localSheetId="2" hidden="1">{"'Sheet1'!$L$16"}</definedName>
    <definedName name="jhakjhskjd" localSheetId="2" hidden="1">{0,0,0,0;0,0,TRUE,0;0,#N/A,FALSE,0;0,#N/A,FALSE,0;0,#N/A,FALSE,0;0,#N/A,FALSE,0;0,#N/A,FALSE,0}</definedName>
    <definedName name="jhfdgy" localSheetId="2" hidden="1">{"'Sheet1'!$L$16"}</definedName>
    <definedName name="JH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2" hidden="1">{"'Sheet1'!$L$16"}</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 hidden="1">{#N/A,#N/A,FALSE,"Sheet1"}</definedName>
    <definedName name="jjjj" localSheetId="2" hidden="1">{#N/A,#N/A,FALSE,"단가표지"}</definedName>
    <definedName name="jjjjj" localSheetId="2" hidden="1">{"'Sheet1'!$L$16"}</definedName>
    <definedName name="jjkk" localSheetId="2" hidden="1">{"'Sheet1'!$L$16"}</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2" hidden="1">{#N/A,#N/A,TRUE,"SUM";#N/A,#N/A,TRUE,"EE";#N/A,#N/A,TRUE,"AC";#N/A,#N/A,TRUE,"SN"}</definedName>
    <definedName name="jkjlkl" localSheetId="2" hidden="1">{#N/A,#N/A,FALSE,"Chi tiÆt"}</definedName>
    <definedName name="jkl" localSheetId="2" hidden="1">{"'Sheet1'!$L$16"}</definedName>
    <definedName name="JK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2" hidden="1">{"sintesi",#N/A,FALSE,"contrib_unit";"dett_materiali",#N/A,FALSE,"contrib_unit";"dett_lav.ne",#N/A,FALSE,"contrib_unit";"dett_altre_ind.li",#N/A,FALSE,"contrib_unit";"dett_commerciali",#N/A,FALSE,"contrib_unit"}</definedName>
    <definedName name="jmjkjk" localSheetId="2" hidden="1">{"'Break down'!$A$4"}</definedName>
    <definedName name="jn" localSheetId="2" hidden="1">{#N/A,#N/A,FALSE,"CCTV"}</definedName>
    <definedName name="jo" localSheetId="2" hidden="1">{"'Sheet1'!$L$16"}</definedName>
    <definedName name="jrtj" localSheetId="2" hidden="1">{#N/A,#N/A,FALSE,"Chi tiÆt"}</definedName>
    <definedName name="JRY" localSheetId="2" hidden="1">{"'Sheet1'!$L$16"}</definedName>
    <definedName name="jsdh" localSheetId="2" hidden="1">{"'Sheet1'!$L$16"}</definedName>
    <definedName name="jsdjs" localSheetId="2" hidden="1">{"'Sheet1'!$L$16"}</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2" hidden="1">{"'Sheet1'!$L$16"}</definedName>
    <definedName name="jt" localSheetId="2" hidden="1">{"'Sheet1'!$L$16"}</definedName>
    <definedName name="JTDEYW" localSheetId="2" hidden="1">{"'Sheet1'!$L$16"}</definedName>
    <definedName name="jtgyurtsd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2" hidden="1">{"'Sheet1'!$L$16"}</definedName>
    <definedName name="jtru" localSheetId="2" hidden="1">{"'Sheet1'!$L$16"}</definedName>
    <definedName name="jtrujt" localSheetId="2" hidden="1">{#N/A,#N/A,FALSE,"부대2"}</definedName>
    <definedName name="JUNK" localSheetId="2" hidden="1">{"SCHEDULE",#N/A,FALSE,"Fin_sched"}</definedName>
    <definedName name="JUNK2" localSheetId="2" hidden="1">{"SUMMARY",#N/A,FALSE,"Fin_sched"}</definedName>
    <definedName name="JY" localSheetId="2" hidden="1">{"'Sheet1'!$L$16"}</definedName>
    <definedName name="jyuk" localSheetId="2" hidden="1">{"'Sheet1'!$L$16"}</definedName>
    <definedName name="jýỵy" localSheetId="2" hidden="1">{"'Sheet1'!$L$16"}</definedName>
    <definedName name="k" localSheetId="2" hidden="1">{"Offgrid",#N/A,FALSE,"OFFGRID";"Region",#N/A,FALSE,"REGION";"Offgrid -2",#N/A,FALSE,"OFFGRID";"WTP",#N/A,FALSE,"WTP";"WTP -2",#N/A,FALSE,"WTP";"Project",#N/A,FALSE,"PROJECT";"Summary -2",#N/A,FALSE,"SUMMARY"}</definedName>
    <definedName name="K.viecBAHUNG" localSheetId="2" hidden="1">{"'Sheet1'!$L$16"}</definedName>
    <definedName name="k_xoa" localSheetId="2" hidden="1">{"Offgrid",#N/A,FALSE,"OFFGRID";"Region",#N/A,FALSE,"REGION";"Offgrid -2",#N/A,FALSE,"OFFGRID";"WTP",#N/A,FALSE,"WTP";"WTP -2",#N/A,FALSE,"WTP";"Project",#N/A,FALSE,"PROJECT";"Summary -2",#N/A,FALSE,"SUMMARY"}</definedName>
    <definedName name="k_xoa2" localSheetId="2" hidden="1">{"Offgrid",#N/A,FALSE,"OFFGRID";"Region",#N/A,FALSE,"REGION";"Offgrid -2",#N/A,FALSE,"OFFGRID";"WTP",#N/A,FALSE,"WTP";"WTP -2",#N/A,FALSE,"WTP";"Project",#N/A,FALSE,"PROJECT";"Summary -2",#N/A,FALSE,"SUMMARY"}</definedName>
    <definedName name="KCThep" localSheetId="2" hidden="1">{"'Sheet1'!$L$16"}</definedName>
    <definedName name="kd" localSheetId="2" hidden="1">{"SUMMARY",#N/A,FALSE,"Fin_sched"}</definedName>
    <definedName name="KDCNThonmoi20_00" localSheetId="2" hidden="1">{"'Sheet1'!$L$16"}</definedName>
    <definedName name="KDJU" localSheetId="2" hidden="1">{"'장비'!$A$3:$M$12"}</definedName>
    <definedName name="kdkk" localSheetId="2" hidden="1">{"'Sheet1'!$L$16"}</definedName>
    <definedName name="kgdf" localSheetId="2" hidden="1">{#N/A,#N/A,FALSE,"Chi tiÆt"}</definedName>
    <definedName name="kgh" localSheetId="2" hidden="1">{"'Sheet1'!$L$16"}</definedName>
    <definedName name="kgj" localSheetId="2" hidden="1">{#N/A,#N/A,FALSE,"MARCH"}</definedName>
    <definedName name="Kien" localSheetId="2" hidden="1">{"'Sheet1'!$L$16"}</definedName>
    <definedName name="kij" localSheetId="2" hidden="1">{#N/A,#N/A,FALSE,"MARCH"}</definedName>
    <definedName name="kiyddfdr" localSheetId="2" hidden="1">{"'Sheet1'!$L$16"}</definedName>
    <definedName name="kj" localSheetId="2" hidden="1">{#N/A,#N/A,FALSE,"Chi tiÆt"}</definedName>
    <definedName name="kjhkhj" localSheetId="2" hidden="1">{"'Sheet1'!$L$16"}</definedName>
    <definedName name="kjjkjgg" localSheetId="2" hidden="1">{"'Sheet1'!$L$16"}</definedName>
    <definedName name="kjjlll" localSheetId="2" hidden="1">{"'Sheet1'!$L$16"}</definedName>
    <definedName name="kjkjk" localSheetId="2" hidden="1">{"'Sheet1'!$L$16"}</definedName>
    <definedName name="kjkjkj" localSheetId="2" hidden="1">{"'Sheet1'!$L$16"}</definedName>
    <definedName name="kjoh" localSheetId="2" hidden="1">{#N/A,#N/A,FALSE,"特殊室（ＢＱ表）"}</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2" hidden="1">{"'Sheet1'!$L$16"}</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 hidden="1">{"'Sheet1'!$L$16"}</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2" hidden="1">{"'Sheet1'!$L$16"}</definedName>
    <definedName name="kkkkk" localSheetId="2" hidden="1">{"'Sheet1'!$L$16"}</definedName>
    <definedName name="kkkl" localSheetId="2" hidden="1">{"'Sheet1'!$L$16"}</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2" hidden="1">{"'Sheet1'!$L$16"}</definedName>
    <definedName name="kkll" localSheetId="2" hidden="1">{"'Sheet1'!$L$16"}</definedName>
    <definedName name="kklll" localSheetId="2" hidden="1">{"'Sheet1'!$L$16"}</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2" hidden="1">{"'Sheet1'!$L$16"}</definedName>
    <definedName name="KLduonggiaods" localSheetId="2" hidden="1">{"'Sheet1'!$L$16"}</definedName>
    <definedName name="klhkl" localSheetId="2" hidden="1">{#N/A,#N/A,FALSE,"CCTV"}</definedName>
    <definedName name="kljg" localSheetId="2" hidden="1">{"'Sheet1'!$L$16"}</definedName>
    <definedName name="klkklk" localSheetId="2" hidden="1">{#N/A,#N/A,FALSE,"Sheet1";#N/A,#N/A,FALSE,"Sheet3";#N/A,#N/A,FALSE,"Sheet5"}</definedName>
    <definedName name="klm" localSheetId="2" hidden="1">{"'Sheet1'!$L$16"}</definedName>
    <definedName name="klnhhh" localSheetId="2" hidden="1">{"'Sheet1'!$L$16"}</definedName>
    <definedName name="kon" localSheetId="2" hidden="1">{"'Sheet1'!$L$16"}</definedName>
    <definedName name="ks" localSheetId="2" hidden="1">{"'Sheet1'!$L$16"}</definedName>
    <definedName name="ksbn" localSheetId="2" hidden="1">{"'Sheet1'!$L$16"}</definedName>
    <definedName name="KSDA" localSheetId="2" hidden="1">{"'Sheet1'!$L$16"}</definedName>
    <definedName name="kshn" localSheetId="2" hidden="1">{"'Sheet1'!$L$16"}</definedName>
    <definedName name="ksls" localSheetId="2" hidden="1">{"'Sheet1'!$L$16"}</definedName>
    <definedName name="kukek" localSheetId="2" hidden="1">{"'Sheet1'!$L$16"}</definedName>
    <definedName name="kuklk" localSheetId="2" hidden="1">{"'Sheet1'!$L$16"}</definedName>
    <definedName name="kutkuk" localSheetId="2" hidden="1">{"'Sheet1'!$L$16"}</definedName>
    <definedName name="KYUKGH" localSheetId="2" hidden="1">{"'Sheet1'!$L$16"}</definedName>
    <definedName name="khg" localSheetId="2" hidden="1">{"'Sheet1'!$L$16"}</definedName>
    <definedName name="KHKN" localSheetId="2" hidden="1">{#N/A,#N/A,FALSE,"特殊室（ＢＱ表）"}</definedName>
    <definedName name="khkttt" localSheetId="2" hidden="1">{"'Sheet1'!$L$16"}</definedName>
    <definedName name="khoas" localSheetId="2" hidden="1">{"'Sheet1'!$L$16"}</definedName>
    <definedName name="KHOILUONG" localSheetId="2" hidden="1">{"'Sheet1'!$L$16"}</definedName>
    <definedName name="KhongCT" localSheetId="2" hidden="1">{"'Sheet1'!$L$16"}</definedName>
    <definedName name="khongtruotgia" localSheetId="2" hidden="1">{"'Sheet1'!$L$16"}</definedName>
    <definedName name="khuyen" localSheetId="2" hidden="1">{"'Sheet1'!$L$16"}</definedName>
    <definedName name="l" localSheetId="2">{"Book1","BoQ2.XLS"}</definedName>
    <definedName name="l.w일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2" hidden="1">{"'Sheet1'!$L$16"}</definedName>
    <definedName name="lan" localSheetId="2" hidden="1">{#N/A,#N/A,TRUE,"BT M200 da 10x20"}</definedName>
    <definedName name="langson" localSheetId="2" hidden="1">{"'Sheet1'!$L$16"}</definedName>
    <definedName name="lapmoi8430" localSheetId="2" hidden="1">{"'Sheet1'!$L$16"}</definedName>
    <definedName name="LC산출" localSheetId="2" hidden="1">{#N/A,#N/A,FALSE,"사업총괄";#N/A,#N/A,FALSE,"장비사업";#N/A,#N/A,FALSE,"철구사업";#N/A,#N/A,FALSE,"준설사업"}</definedName>
    <definedName name="le" localSheetId="2" hidden="1">{"'Sheet1'!$L$16"}</definedName>
    <definedName name="LEE" localSheetId="2" hidden="1">{#N/A,#N/A,FALSE,"구조2"}</definedName>
    <definedName name="LEE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2" hidden="1">{"'Sheet1'!$L$16"}</definedName>
    <definedName name="lhhh" localSheetId="2" hidden="1">{#N/A,#N/A,FALSE,"Chi tiÆt"}</definedName>
    <definedName name="li" localSheetId="2" hidden="1">{"'용역비'!$A$4:$C$8"}</definedName>
    <definedName name="lie" localSheetId="2" hidden="1">{"'Sheet1'!$L$16"}</definedName>
    <definedName name="linh" localSheetId="2" hidden="1">{"'Sheet1'!$L$16"}</definedName>
    <definedName name="linhT" localSheetId="2" hidden="1">{"'Sheet1'!$L$16"}</definedName>
    <definedName name="List" localSheetId="2" hidden="1">{"'Sheet1'!$L$16"}</definedName>
    <definedName name="ljhghg" localSheetId="2" hidden="1">{"'Sheet1'!$L$16"}</definedName>
    <definedName name="ljklk" localSheetId="2" hidden="1">{"'Sheet1'!$L$16"}</definedName>
    <definedName name="lk" localSheetId="2" hidden="1">{#N/A,#N/A,FALSE,"mgtsum.XLS";#N/A,#N/A,FALSE,"CAPONE";#N/A,#N/A,FALSE,"CAPTWO";#N/A,#N/A,FALSE,"CAPTHREE"}</definedName>
    <definedName name="lkj" localSheetId="2" hidden="1">{"'Sheet1'!$L$16"}</definedName>
    <definedName name="lkjhgf" localSheetId="2" hidden="1">{"'Sheet1'!$L$16"}</definedName>
    <definedName name="lkklll" localSheetId="2" hidden="1">{"'Sheet1'!$L$16"}</definedName>
    <definedName name="lklkhh" localSheetId="2" hidden="1">{"'Sheet1'!$L$16"}</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 hidden="1">{#N/A,#N/A,FALSE,"特殊室（ＢＱ表）"}</definedName>
    <definedName name="lllj" localSheetId="2" hidden="1">{"'Sheet1'!$L$16"}</definedName>
    <definedName name="LLLL" localSheetId="2" hidden="1">{"ECA Qtrs C",#N/A,TRUE,"ECA_Qtrs_C";"ECA Qtrs D",#N/A,TRUE,"ECA_Qtrs_D";"ECA Qtrs F",#N/A,TRUE,"ECA_Qtrs_F";"ECA Qtrs G",#N/A,TRUE,"ECA_Qtrs_G";"ECA SisterApt",#N/A,TRUE,"ECA_SisterApt";"ECA Nurses",#N/A,TRUE,"ECA_NursesHostel"}</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2" hidden="1">{#N/A,#N/A,FALSE,"CCTV"}</definedName>
    <definedName name="LOCO" localSheetId="2" hidden="1">{"'Sheet1'!$L$16"}</definedName>
    <definedName name="LOCO2" localSheetId="2" hidden="1">{"'Sheet1'!$L$16"}</definedName>
    <definedName name="lon" localSheetId="2" hidden="1">{"'Sheet1'!$L$16"}</definedName>
    <definedName name="lontrau" localSheetId="2" hidden="1">{"'Sheet1'!$L$16"}</definedName>
    <definedName name="Long" localSheetId="2" hidden="1">{"'Sheet1'!$L$16"}</definedName>
    <definedName name="lop" localSheetId="2" hidden="1">{#N/A,#N/A,FALSE,"特殊室（ＢＱ表）"}</definedName>
    <definedName name="lop." localSheetId="2" hidden="1">{#N/A,#N/A,FALSE,"特殊室（ＢＱ表）"}</definedName>
    <definedName name="luan" localSheetId="2" hidden="1">{"'Sheet1'!$L$16"}</definedName>
    <definedName name="luong" localSheetId="2" hidden="1">{"'Sheet1'!$L$16"}</definedName>
    <definedName name="luyÕn" localSheetId="2" hidden="1">{"'Sheet1'!$L$16"}</definedName>
    <definedName name="M10." localSheetId="2" hidden="1">{"'Sheet1'!$L$16"}</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2" hidden="1">{#N/A,#N/A,FALSE,"估價單  (3)"}</definedName>
    <definedName name="Mai" localSheetId="2" hidden="1">{"'Sheet1'!$L$16"}</definedName>
    <definedName name="mainu" localSheetId="2" hidden="1">{"'ROOF'!$B$6","'ROOF'!$B$6","'ROOF'!$B$6","'ROOF'!$B$6"}</definedName>
    <definedName name="MAITAI.11.MARCH08" localSheetId="2" hidden="1">{"'Sheet1'!$L$16"}</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R" localSheetId="2" hidden="1">{#N/A,#N/A,FALSE,"MARCH"}</definedName>
    <definedName name="Masonry" localSheetId="2" hidden="1">{#N/A,#N/A,FALSE,"Tabelle2";#N/A,#N/A,FALSE,"Tabelle1"}</definedName>
    <definedName name="mat.spare" localSheetId="2" hidden="1">{"'ELEC'!$A$2:$H$216","'ELEC'!$C$2:$D$2"}</definedName>
    <definedName name="MAU" localSheetId="2" hidden="1">{"'Sheet1'!$L$16"}</definedName>
    <definedName name="May" localSheetId="2" hidden="1">{#N/A,#N/A,FALSE,"MARCH"}</definedName>
    <definedName name="mbm" localSheetId="2" hidden="1">{"'Sheet1'!$L$16"}</definedName>
    <definedName name="mbnbnb"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2" hidden="1">{#N/A,#N/A,FALSE,"CCTV"}</definedName>
    <definedName name="MCCO" localSheetId="2" hidden="1">{#N/A,#N/A,FALSE,"CCTV"}</definedName>
    <definedName name="MCCO10" localSheetId="2" hidden="1">{#N/A,#N/A,FALSE,"CCTV"}</definedName>
    <definedName name="MCCO11" localSheetId="2" hidden="1">{#N/A,#N/A,FALSE,"CCTV"}</definedName>
    <definedName name="MCCO12" localSheetId="2" hidden="1">{#N/A,#N/A,FALSE,"CCTV"}</definedName>
    <definedName name="MCCO13" localSheetId="2" hidden="1">{#N/A,#N/A,FALSE,"CCTV"}</definedName>
    <definedName name="MCCO3" localSheetId="2" hidden="1">{#N/A,#N/A,FALSE,"CCTV"}</definedName>
    <definedName name="MCCO4" localSheetId="2" hidden="1">{#N/A,#N/A,FALSE,"CCTV"}</definedName>
    <definedName name="MCCO5" localSheetId="2" hidden="1">{#N/A,#N/A,FALSE,"CCTV"}</definedName>
    <definedName name="MCCO6" localSheetId="2" hidden="1">{#N/A,#N/A,FALSE,"CCTV"}</definedName>
    <definedName name="MCCO7" localSheetId="2" hidden="1">{#N/A,#N/A,FALSE,"CCTV"}</definedName>
    <definedName name="MCCO8" localSheetId="2" hidden="1">{#N/A,#N/A,FALSE,"CCTV"}</definedName>
    <definedName name="MCCO9" localSheetId="2" hidden="1">{#N/A,#N/A,FALSE,"CCTV"}</definedName>
    <definedName name="MCCOÙ" localSheetId="2" hidden="1">{#N/A,#N/A,FALSE,"CCTV"}</definedName>
    <definedName name="mck" localSheetId="2" hidden="1">{#N/A,#N/A,FALSE,"Chi tiÆt"}</definedName>
    <definedName name="MFGND" localSheetId="2" hidden="1">{"'Sheet1'!$L$16"}</definedName>
    <definedName name="MFHMFGNG" localSheetId="2" hidden="1">{"'Sheet1'!$L$16"}</definedName>
    <definedName name="MGB" localSheetId="2" hidden="1">{#N/A,#N/A,FALSE,"特殊室（ＢＱ表）"}</definedName>
    <definedName name="mh" localSheetId="2" hidden="1">{"'Sheet1'!$L$16"}</definedName>
    <definedName name="minh" localSheetId="2" hidden="1">{"'Sheet1'!$L$16"}</definedName>
    <definedName name="mj" localSheetId="2" hidden="1">{#N/A,#N/A,FALSE,"표지"}</definedName>
    <definedName name="mm" localSheetId="2">{"Book1","BoQ2.XLS"}</definedName>
    <definedName name="mmlj" localSheetId="2" hidden="1">{0}</definedName>
    <definedName name="mmm" localSheetId="2" hidden="1">{"'Sheet1'!$L$16"}</definedName>
    <definedName name="MMMM" localSheetId="2" hidden="1">{"'Sheet1'!$L$16"}</definedName>
    <definedName name="mmmmmmmm" localSheetId="2" hidden="1">{"'Sheet1'!$L$16"}</definedName>
    <definedName name="MNB" localSheetId="2" hidden="1">{#N/A,#N/A,FALSE,"特殊室（ＢＱ表）"}</definedName>
    <definedName name="mnjjhkj" localSheetId="2" hidden="1">{#N/A,#N/A,FALSE,"Chi tiÆt"}</definedName>
    <definedName name="mo" localSheetId="2" hidden="1">{"'Sheet1'!$L$16"}</definedName>
    <definedName name="moi" localSheetId="2" hidden="1">{"'Sheet1'!$L$16"}</definedName>
    <definedName name="mot" localSheetId="2" hidden="1">{"'Sheet1'!$L$16"}</definedName>
    <definedName name="MP" localSheetId="2" hidden="1">{#N/A,#N/A,FALSE,"CCTV"}</definedName>
    <definedName name="MTYMYTMY" localSheetId="2" hidden="1">{"'Sheet1'!$L$16"}</definedName>
    <definedName name="MV" localSheetId="2" hidden="1">{#N/A,#N/A,FALSE,"Sheet1";#N/A,#N/A,FALSE,"Sheet3";#N/A,#N/A,FALSE,"Sheet5"}</definedName>
    <definedName name="mvac" localSheetId="2" hidden="1">{"'Sheet1'!$L$16"}</definedName>
    <definedName name="Na" localSheetId="2" hidden="1">{"'Sheet1'!$L$16"}</definedName>
    <definedName name="nam" localSheetId="2" hidden="1">{"'Sheet1'!$L$16"}</definedName>
    <definedName name="NAME" localSheetId="2" hidden="1">{#N/A,#N/A,TRUE,"SUM";#N/A,#N/A,TRUE,"EE";#N/A,#N/A,TRUE,"AC";#N/A,#N/A,TRUE,"SN"}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2" hidden="1">{"'Sheet1'!$L$16"}</definedName>
    <definedName name="nbfđ" localSheetId="2" hidden="1">{"'Sheet1'!$L$16"}</definedName>
    <definedName name="NCga" localSheetId="2" hidden="1">{"'Sheet1'!$L$16"}</definedName>
    <definedName name="NCVBXVCB" localSheetId="2" hidden="1">{"'Sheet1'!$L$16"}</definedName>
    <definedName name="NDFNDF" localSheetId="2" hidden="1">{"'Sheet1'!$L$16"}</definedName>
    <definedName name="NDFNDFB" localSheetId="2" hidden="1">{"'Sheet1'!$L$16"}</definedName>
    <definedName name="NDFNDN" localSheetId="2" hidden="1">{"'Sheet1'!$L$16"}</definedName>
    <definedName name="NDFNSF" localSheetId="2" hidden="1">{"'Sheet1'!$L$16"}</definedName>
    <definedName name="NDGFD" localSheetId="2" hidden="1">{"'Sheet1'!$L$16"}</definedName>
    <definedName name="NDGNFGNG" localSheetId="2" hidden="1">{"'Sheet1'!$L$16"}</definedName>
    <definedName name="NDNSBS" localSheetId="2" hidden="1">{"'Sheet1'!$L$16"}</definedName>
    <definedName name="Ne" localSheetId="2" hidden="1">{"'Sheet1'!$L$16"}</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2" hidden="1">{#N/A,#N/A,FALSE,"Chi tiÆt"}</definedName>
    <definedName name="ner" localSheetId="2" hidden="1">{"'Sheet1'!$L$16"}</definedName>
    <definedName name="NEW" localSheetId="2" hidden="1">{#N/A,#N/A,FALSE,"Chi tiÆt"}</definedName>
    <definedName name="NEWNAME" localSheetId="2" hidden="1">{#N/A,#N/A,FALSE,"CCTV"}</definedName>
    <definedName name="NFDBDB" localSheetId="2" hidden="1">{"'Sheet1'!$L$16"}</definedName>
    <definedName name="NFDNDF" localSheetId="2" hidden="1">{"'Sheet1'!$L$16"}</definedName>
    <definedName name="NFGJH" localSheetId="2" hidden="1">{"'Sheet1'!$L$16"}</definedName>
    <definedName name="NFGMGF" localSheetId="2" hidden="1">{"'Sheet1'!$L$16"}</definedName>
    <definedName name="NFGNDBDF" localSheetId="2" hidden="1">{"'Sheet1'!$L$16"}</definedName>
    <definedName name="NFHJYFF" localSheetId="2" hidden="1">{"'Sheet1'!$L$16"}</definedName>
    <definedName name="NFNGFH" localSheetId="2" hidden="1">{"'Sheet1'!$L$16"}</definedName>
    <definedName name="nn" localSheetId="2">{"Book1","BoQ2.XLS"}</definedName>
    <definedName name="nnn" localSheetId="2" hidden="1">{"'Sheet1'!$L$16"}</definedName>
    <definedName name="nnnnn" localSheetId="2" hidden="1">{"'Sheet1'!$L$16"}</definedName>
    <definedName name="No.10" localSheetId="2" hidden="1">{"'Sheet1'!$L$16"}</definedName>
    <definedName name="No.9" localSheetId="2" hidden="1">{"'Sheet1'!$L$16"}</definedName>
    <definedName name="NRBFD" localSheetId="2" hidden="1">{"'Sheet1'!$L$16"}</definedName>
    <definedName name="NRNRD" localSheetId="2" hidden="1">{"'Sheet1'!$L$16"}</definedName>
    <definedName name="NT" localSheetId="2" hidden="1">{"'Sheet1'!$L$16"}</definedName>
    <definedName name="nttn" localSheetId="2" hidden="1">{"'Sheet1'!$L$16"}</definedName>
    <definedName name="NUOCHKHOAN" localSheetId="2" hidden="1">{"'Sheet1'!$L$16"}</definedName>
    <definedName name="NUOCHKHOANMOI" localSheetId="2" hidden="1">{"'Sheet1'!$L$16"}</definedName>
    <definedName name="NVCB" localSheetId="2" hidden="1">{"'Sheet1'!$L$16"}</definedName>
    <definedName name="ng" localSheetId="2" hidden="1">{"'Sheet1'!$L$16"}</definedName>
    <definedName name="ngfmg" localSheetId="2" hidden="1">{#N/A,#N/A,FALSE,"Chi tiÆt"}</definedName>
    <definedName name="NGFN" localSheetId="2" hidden="1">{"'Sheet1'!$L$16"}</definedName>
    <definedName name="nghgh" localSheetId="2" hidden="1">{"'Sheet1'!$L$16"}</definedName>
    <definedName name="NGK" localSheetId="2" hidden="1">{#N/A,#N/A,FALSE,"估價單  (3)"}</definedName>
    <definedName name="ngljlj" localSheetId="2" hidden="1">{"'Sheet1'!$L$16"}</definedName>
    <definedName name="ngu" localSheetId="2" hidden="1">{"'Sheet1'!$L$16"}</definedName>
    <definedName name="NguyenDiep" localSheetId="2" hidden="1">{"'Sheet1'!$L$16"}</definedName>
    <definedName name="nguyennha" localSheetId="2" hidden="1">{"'Sheet1'!$L$16"}</definedName>
    <definedName name="nham" localSheetId="2" hidden="1">{0,#VALUE!,0,0;0,#VALUE!,0,#VALUE!;0,0,0,0;#NULL!,0,0,0;0,0,TRUE,0;0,#N/A,FALSE,0;0,#N/A,FALSE,0}</definedName>
    <definedName name="nhanuoc" localSheetId="2" hidden="1">{"'Sheet1'!$L$16"}</definedName>
    <definedName name="NHANH2_CG4" localSheetId="2" hidden="1">{"'Sheet1'!$L$16"}</definedName>
    <definedName name="NHAP5P" localSheetId="2" hidden="1">{"'Sheet1'!$L$16"}</definedName>
    <definedName name="nharac" localSheetId="2" hidden="1">{#N/A,#N/A,FALSE,"Chi tiÆt"}</definedName>
    <definedName name="Nhiem" localSheetId="2" hidden="1">{"'Sheet1'!$L$16"}</definedName>
    <definedName name="nhjyeru" localSheetId="2" hidden="1">{"'Sheet1'!$L$16"}</definedName>
    <definedName name="nhug" localSheetId="2" hidden="1">{"một";"hai";"ba";"bốn";"năm";"sáu";"bảy";"tám";"chín";"mười";"mươi";"mốt";"lăm";"trăm";"nghìn";"triệu";"tỷ";"lẻ";"không trăm";"Bằng chử : "}</definedName>
    <definedName name="NHUNG" localSheetId="2" hidden="1">zIsDgiaCTiet_Gia.VTu*2+3</definedName>
    <definedName name="o" localSheetId="2" hidden="1">{"'Sheet1'!$L$16"}</definedName>
    <definedName name="õadfgdfgdf" localSheetId="2" hidden="1">{"'Sheet1'!$L$16"}</definedName>
    <definedName name="oanh" localSheetId="2" hidden="1">{"'Sheet1'!$L$16"}</definedName>
    <definedName name="OC" localSheetId="2" hidden="1">{"'Sheet1'!$L$16"}</definedName>
    <definedName name="office" localSheetId="2" hidden="1">{"'Sheet1'!$L$16"}</definedName>
    <definedName name="OIJYED" localSheetId="2" hidden="1">{"'Sheet1'!$L$16"}</definedName>
    <definedName name="OIL" localSheetId="2" hidden="1">{"'용역비'!$A$4:$C$8"}</definedName>
    <definedName name="oiuy" localSheetId="2" hidden="1">{#N/A,#N/A,FALSE,"Chi tiÆt"}</definedName>
    <definedName name="oiy" localSheetId="2" hidden="1">{#N/A,#N/A,FALSE,"포장2"}</definedName>
    <definedName name="ok" localSheetId="2" hidden="1">{#N/A,#N/A,FALSE,"MARCH"}</definedName>
    <definedName name="okay" localSheetId="2" hidden="1">{#N/A,#N/A,FALSE,"mgtsum.XLS";#N/A,#N/A,FALSE,"CAPONE";#N/A,#N/A,FALSE,"CAPTWO";#N/A,#N/A,FALSE,"CAPTHREE"}</definedName>
    <definedName name="okko" localSheetId="2" hidden="1">{#N/A,#N/A,FALSE,"MARCH"}</definedName>
    <definedName name="old" localSheetId="2" hidden="1">{"'ELEC'!$A$2:$H$216","'ELEC'!$C$2:$D$2"}</definedName>
    <definedName name="olk" localSheetId="2" hidden="1">{#N/A,#N/A,FALSE,"特殊室（ＢＱ表）"}</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2" hidden="1">{"'Sheet1'!$L$16"}</definedName>
    <definedName name="opo" localSheetId="2" hidden="1">{#N/A,#N/A,FALSE,"지침";#N/A,#N/A,FALSE,"환경분석";#N/A,#N/A,FALSE,"Sheet16"}</definedName>
    <definedName name="ôclsaclnmc" localSheetId="2" hidden="1">{"'Sheet1'!$L$16"}</definedName>
    <definedName name="p" localSheetId="2" hidden="1">{"'Sheet1'!$L$16"}</definedName>
    <definedName name="P.R.D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2" hidden="1">{"'Sheet1'!$L$16"}</definedName>
    <definedName name="Panel" localSheetId="2" hidden="1">{#N/A,#N/A,TRUE,"SUM";#N/A,#N/A,TRUE,"EE";#N/A,#N/A,TRUE,"AC";#N/A,#N/A,TRUE,"SN"}</definedName>
    <definedName name="patrickk" localSheetId="2" hidden="1">{#N/A,#N/A,FALSE,"récap";#N/A,#N/A,FALSE,"hypothèses";#N/A,#N/A,FALSE,"Serv Génér";#N/A,#N/A,FALSE,"A-R paroi";#N/A,#N/A,FALSE,"paroi moulée";#N/A,#N/A,FALSE,"préfondés";#N/A,#N/A,FALSE,"A-R injection";#N/A,#N/A,FALSE,"forages";#N/A,#N/A,FALSE,"injection";#N/A,#N/A,FALSE,"pompage";#N/A,#N/A,FALSE,"comparatif";#N/A,#N/A,FALSE,"échéancier"}</definedName>
    <definedName name="PC" localSheetId="2" hidden="1">{"'Sheet1'!$L$16"}</definedName>
    <definedName name="Piling" localSheetId="2" hidden="1">{#N/A,#N/A,FALSE,"CCTV"}</definedName>
    <definedName name="Pipe" localSheetId="2" hidden="1">{#N/A,#N/A,FALSE,"CCTV"}</definedName>
    <definedName name="PlucBcaoTD" localSheetId="2" hidden="1">{"'Sheet1'!$L$16"}</definedName>
    <definedName name="PMS" localSheetId="2" hidden="1">{"'Sheet1'!$L$16"}</definedName>
    <definedName name="poi" localSheetId="2" hidden="1">{"'Sheet1'!$L$16"}</definedName>
    <definedName name="pol" localSheetId="2" hidden="1">{#N/A,#N/A,FALSE,"Chi tiÆt"}</definedName>
    <definedName name="pope" localSheetId="2" hidden="1">{"'Sheet1'!$L$16"}</definedName>
    <definedName name="Port1" localSheetId="2" hidden="1">{#N/A,#N/A,FALSE,"特殊室（ＢＱ表）"}</definedName>
    <definedName name="port11" localSheetId="2" hidden="1">{#N/A,#N/A,FALSE,"特殊室（ＢＱ表）"}</definedName>
    <definedName name="pp" localSheetId="2" hidden="1">{#N/A,#N/A,FALSE,"OUTPUT SHEET "}</definedName>
    <definedName name="PPPP" localSheetId="2" hidden="1">{"'Sheet1'!$L$16"}</definedName>
    <definedName name="ppppp" localSheetId="2" hidden="1">{#N/A,#N/A,FALSE,"지침";#N/A,#N/A,FALSE,"환경분석";#N/A,#N/A,FALSE,"Sheet16"}</definedName>
    <definedName name="pri" localSheetId="2" hidden="1">{#N/A,#N/A,TRUE,"Str.";#N/A,#N/A,TRUE,"Steel &amp; Roof";#N/A,#N/A,TRUE,"Arc.";#N/A,#N/A,TRUE,"Preliminary";#N/A,#N/A,TRUE,"Sum_Prelim"}</definedName>
    <definedName name="Print_Area_Reset" localSheetId="2">OFFSET(Full_Print,0,0,Last_Row)</definedName>
    <definedName name="PRODUCTION" localSheetId="2" hidden="1">{"'Sheet1'!$L$16"}</definedName>
    <definedName name="psm" localSheetId="2" hidden="1">{"'Sheet1'!$L$16"}</definedName>
    <definedName name="pst" localSheetId="2" hidden="1">{"'Sheet1'!$L$16"}</definedName>
    <definedName name="ptich3" localSheetId="2" hidden="1">{"'Sheet1'!$L$16"}</definedName>
    <definedName name="PUBLIC" localSheetId="2" hidden="1">{"'Sheet1'!$L$16"}</definedName>
    <definedName name="PVC" localSheetId="2" hidden="1">{"'Sheet1'!$L$16"}</definedName>
    <definedName name="phantich3" localSheetId="2" hidden="1">{"'Sheet1'!$L$16"}</definedName>
    <definedName name="phong" localSheetId="2" hidden="1">{"'Sheet1'!$L$16"}</definedName>
    <definedName name="phuoc" localSheetId="2" hidden="1">{"'Sheet1'!$L$16"}</definedName>
    <definedName name="Phuong" localSheetId="2" hidden="1">{"'Sheet1'!$L$16"}</definedName>
    <definedName name="q" localSheetId="2" hidden="1">{"'Sheet1'!$L$16"}</definedName>
    <definedName name="q234562456" localSheetId="2" hidden="1">{"'용역비'!$A$4:$C$8"}</definedName>
    <definedName name="qasd" localSheetId="2" hidden="1">{"'Sheet1'!$L$16"}</definedName>
    <definedName name="qcdc" localSheetId="2" hidden="1">{"'Sheet1'!$L$16"}</definedName>
    <definedName name="qd10_gt" localSheetId="2" hidden="1">{"'Sheet1'!$L$16"}</definedName>
    <definedName name="qd10_gt_1" localSheetId="2" hidden="1">{"'Sheet1'!$L$16"}</definedName>
    <definedName name="qd10_gt1" localSheetId="2" hidden="1">{"'Sheet1'!$L$16"}</definedName>
    <definedName name="qdqdwd" localSheetId="2" hidden="1">{"'Sheet1'!$L$16"}</definedName>
    <definedName name="qet" localSheetId="2" hidden="1">{"'Sheet1'!$L$16"}</definedName>
    <definedName name="qềqg" localSheetId="2" hidden="1">{"'Sheet1'!$L$16"}</definedName>
    <definedName name="qkqh1" localSheetId="2" hidden="1">{#N/A,#N/A,FALSE,"명세표"}</definedName>
    <definedName name="qncjstkdehdwhrud" localSheetId="2" hidden="1">{#N/A,#N/A,TRUE,"1";#N/A,#N/A,TRUE,"2";#N/A,#N/A,TRUE,"3";#N/A,#N/A,TRUE,"4";#N/A,#N/A,TRUE,"5";#N/A,#N/A,TRUE,"6";#N/A,#N/A,TRUE,"7"}</definedName>
    <definedName name="qq" localSheetId="2" hidden="1">{"'Sheet1'!$L$16"}</definedName>
    <definedName name="qqq" localSheetId="2" hidden="1">{"'Sheet1'!$L$16"}</definedName>
    <definedName name="QQQ_1" localSheetId="2" hidden="1">{"'Sheet1'!$L$16"}</definedName>
    <definedName name="qqqq" localSheetId="2" hidden="1">{"'Sheet1'!$L$16"}</definedName>
    <definedName name="qqqqq" localSheetId="2" hidden="1">{"'Sheet1'!$L$16"}</definedName>
    <definedName name="qqqqqqq" localSheetId="2" hidden="1">{"'Sheet1'!$L$16"}</definedName>
    <definedName name="qqqqqqqqqqqqqqqqqqqqqq" localSheetId="2" hidden="1">{"'Sheet1'!$L$16"}</definedName>
    <definedName name="qrt" localSheetId="2" hidden="1">{"'Sheet1'!$L$16"}</definedName>
    <definedName name="qrw" localSheetId="2" hidden="1">{#N/A,#N/A,FALSE,"Sheet2";#N/A,#N/A,FALSE,"Sheet4";#N/A,#N/A,FALSE,"Sheet6"}</definedName>
    <definedName name="qthoan" localSheetId="2" hidden="1">{#N/A,#N/A,FALSE,"Chi tiÆt"}</definedName>
    <definedName name="qvv" localSheetId="2" hidden="1">{"'Sheet1'!$L$16"}</definedName>
    <definedName name="qw" localSheetId="2" hidden="1">{#N/A,#N/A,FALSE,"단가표지"}</definedName>
    <definedName name="QWE" localSheetId="2" hidden="1">{"'Sheet1'!$L$16"}</definedName>
    <definedName name="qwer" localSheetId="2" hidden="1">{"'Sheet1'!$L$16"}</definedName>
    <definedName name="qwertet" localSheetId="2" hidden="1">{"'Sheet1'!$L$16"}</definedName>
    <definedName name="qwwe" localSheetId="2" hidden="1">{#N/A,#N/A,FALSE,"CCTV"}</definedName>
    <definedName name="qwwqe" localSheetId="2" hidden="1">{"'Sheet1'!$L$16"}</definedName>
    <definedName name="qyk" localSheetId="2" hidden="1">{"'용역비'!$A$4:$C$8"}</definedName>
    <definedName name="quan" localSheetId="2" hidden="1">{"'Sheet1'!$L$16"}</definedName>
    <definedName name="QUATANG" localSheetId="2" hidden="1">{"'Sheet1'!$L$16"}</definedName>
    <definedName name="quoan" localSheetId="2" hidden="1">{"'Sheet1'!$L$16"}</definedName>
    <definedName name="quyet" localSheetId="2" hidden="1">{"'Sheet1'!$L$16"}</definedName>
    <definedName name="rake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2" hidden="1">{"'Sheet1'!$L$16"}</definedName>
    <definedName name="RANH2" localSheetId="2" hidden="1">{"'Sheet1'!$L$16"}</definedName>
    <definedName name="Ranhxay" localSheetId="2" hidden="1">{"'Sheet1'!$L$16"}</definedName>
    <definedName name="rbsr" localSheetId="2" hidden="1">{"'Sheet1'!$L$16"}</definedName>
    <definedName name="rdetgéhýdy" localSheetId="2" hidden="1">{#N/A,#N/A,FALSE,"Chi tiÆt"}</definedName>
    <definedName name="reawrew" localSheetId="2" hidden="1">{"'Sheet1'!$L$16"}</definedName>
    <definedName name="reay" localSheetId="2" hidden="1">{"'Sheet1'!$L$16"}</definedName>
    <definedName name="Ref" localSheetId="2" hidden="1">{"'Sheet1'!$L$16"}</definedName>
    <definedName name="Regional" localSheetId="2" hidden="1">{#N/A,#N/A,FALSE,"mgtsum.XLS";#N/A,#N/A,FALSE,"CAPONE";#N/A,#N/A,FALSE,"CAPTWO";#N/A,#N/A,FALSE,"CAPTHREE"}</definedName>
    <definedName name="report1" localSheetId="2" hidden="1">{#N/A,#N/A,FALSE,"特殊室（ＢＱ表）"}</definedName>
    <definedName name="report2" localSheetId="2" hidden="1">{#N/A,#N/A,FALSE,"特殊室（ＢＱ表）"}</definedName>
    <definedName name="reprort" localSheetId="2" hidden="1">{#N/A,#N/A,FALSE,"MARCH"}</definedName>
    <definedName name="Result21" localSheetId="2" hidden="1">{"'Sheet1'!$L$16"}</definedName>
    <definedName name="reuse" localSheetId="2" hidden="1">{#N/A,#N/A,FALSE,"mgtsum.XLS";#N/A,#N/A,FALSE,"CAPONE";#N/A,#N/A,FALSE,"CAPTWO";#N/A,#N/A,FALSE,"CAPTHREE"}</definedName>
    <definedName name="reûtht" localSheetId="2" hidden="1">{"'Sheet1'!$L$16"}</definedName>
    <definedName name="rewgwegn" localSheetId="2" hidden="1">{"'Sheet1'!$L$16"}</definedName>
    <definedName name="rewr" localSheetId="2" hidden="1">{"'Sheet1'!$L$16"}</definedName>
    <definedName name="rewrer" localSheetId="2" hidden="1">{"'Sheet1'!$L$16"}</definedName>
    <definedName name="rewrewr" localSheetId="2" hidden="1">{"'Sheet1'!$L$16"}</definedName>
    <definedName name="rêreeyre" localSheetId="2" hidden="1">{"'Sheet1'!$L$16"}</definedName>
    <definedName name="RF" localSheetId="2" hidden="1">{#N/A,#N/A,FALSE,"CCTV"}</definedName>
    <definedName name="rferfg" localSheetId="2" hidden="1">{"'Sheet1'!$L$16"}</definedName>
    <definedName name="rfwetet" localSheetId="2" hidden="1">{"'Sheet1'!$L$16"}</definedName>
    <definedName name="rgdf" localSheetId="2" hidden="1">{"'Sheet1'!$L$16"}</definedName>
    <definedName name="rggsg" localSheetId="2" hidden="1">{"'Sheet1'!$L$16"}</definedName>
    <definedName name="rgwerg" localSheetId="2" hidden="1">{#N/A,#N/A,FALSE,"Chi tiÆt"}</definedName>
    <definedName name="RH" localSheetId="2" hidden="1">{#N/A,#N/A,FALSE,"주간공정";#N/A,#N/A,FALSE,"주간보고";#N/A,#N/A,FALSE,"주간공정표"}</definedName>
    <definedName name="rhgrs" localSheetId="2" hidden="1">{"'Sheet1'!$L$16"}</definedName>
    <definedName name="RHODIA" localSheetId="2" hidden="1">{"'DocTypeCode'!$A$142:$A$226"}</definedName>
    <definedName name="rhq" localSheetId="2">{"Book1"}</definedName>
    <definedName name="RJJRJR" localSheetId="2" hidden="1">{#N/A,#N/A,FALSE,"주간공정";#N/A,#N/A,FALSE,"주간보고";#N/A,#N/A,FALSE,"주간공정표"}</definedName>
    <definedName name="rkd" localSheetId="2" hidden="1">{#N/A,#N/A,FALSE,"CCTV"}</definedName>
    <definedName name="rkdkd" localSheetId="2" hidden="1">{#N/A,#N/A,FALSE,"2~8번"}</definedName>
    <definedName name="RKDLKS" localSheetId="2" hidden="1">{#N/A,#N/A,TRUE,"1";#N/A,#N/A,TRUE,"2";#N/A,#N/A,TRUE,"3";#N/A,#N/A,TRUE,"4";#N/A,#N/A,TRUE,"5";#N/A,#N/A,TRUE,"6";#N/A,#N/A,TRUE,"7"}</definedName>
    <definedName name="RKRKRKRK" localSheetId="2" hidden="1">{#N/A,#N/A,FALSE,"주간공정";#N/A,#N/A,FALSE,"주간보고";#N/A,#N/A,FALSE,"주간공정표"}</definedName>
    <definedName name="Road" localSheetId="2" hidden="1">{"'Sheet1'!$L$16"}</definedName>
    <definedName name="RPLA" localSheetId="2" hidden="1">{"'Sheet1'!$L$16"}</definedName>
    <definedName name="rr" localSheetId="2" hidden="1">{#N/A,#N/A,FALSE,"단가표지"}</definedName>
    <definedName name="rrr" localSheetId="2" hidden="1">{"'Sheet1'!$L$16"}</definedName>
    <definedName name="rrrr" localSheetId="2" hidden="1">{"'Sheet1'!$L$16"}</definedName>
    <definedName name="rrrrr" localSheetId="2" hidden="1">{"'장비'!$A$3:$M$12"}</definedName>
    <definedName name="rrrrrrrr" localSheetId="2" hidden="1">{"'장비'!$A$3:$M$12"}</definedName>
    <definedName name="rrrrrrrrrr" localSheetId="2" hidden="1">{"'Sheet1'!$L$16"}</definedName>
    <definedName name="rrttt" localSheetId="2" hidden="1">{#N/A,#N/A,FALSE,"Chi tiÆt"}</definedName>
    <definedName name="rsls" localSheetId="2" hidden="1">{"'Sheet1'!$L$16"}</definedName>
    <definedName name="RTJR" localSheetId="2" hidden="1">{"'Sheet1'!$L$16"}</definedName>
    <definedName name="RTWR" localSheetId="2" hidden="1">{"'Sheet1'!$L$16"}</definedName>
    <definedName name="rty" localSheetId="2" hidden="1">{"'용역비'!$A$4:$C$8"}</definedName>
    <definedName name="RTYE" localSheetId="2" hidden="1">{"'장비'!$A$3:$M$12"}</definedName>
    <definedName name="rtyreyey" localSheetId="2" hidden="1">{"'Sheet1'!$L$16"}</definedName>
    <definedName name="rth" localSheetId="2" hidden="1">{"'용역비'!$A$4:$C$8"}</definedName>
    <definedName name="rtrđhjkl" localSheetId="2" hidden="1">{#N/A,#N/A,FALSE,"Chi tiÆt"}</definedName>
    <definedName name="rtrt" localSheetId="2" hidden="1">{"'Sheet1'!$L$16"}</definedName>
    <definedName name="rưerew" localSheetId="2" hidden="1">{"'Sheet1'!$L$16"}</definedName>
    <definedName name="RƯET" localSheetId="2" hidden="1">{"'Sheet1'!$L$16"}</definedName>
    <definedName name="RƯT4WTW" localSheetId="2" hidden="1">{"'Sheet1'!$L$16"}</definedName>
    <definedName name="rweqrwe" localSheetId="2" hidden="1">{"'Sheet1'!$L$16"}</definedName>
    <definedName name="ryuk" localSheetId="2" hidden="1">{"'용역비'!$A$4:$C$8"}</definedName>
    <definedName name="s" localSheetId="2" hidden="1">{"'Sheet1'!$L$16"}</definedName>
    <definedName name="sa" localSheetId="2" hidden="1">{"'Sheet1'!$L$16"}</definedName>
    <definedName name="saa" localSheetId="2" hidden="1">{#N/A,#N/A,FALSE,"Sheet2";#N/A,#N/A,FALSE,"Sheet4";#N/A,#N/A,FALSE,"Sheet6"}</definedName>
    <definedName name="saada" localSheetId="2" hidden="1">{#N/A,#N/A,FALSE,"特殊室（ＢＱ表）"}</definedName>
    <definedName name="SADASC" localSheetId="2" hidden="1">{"'Sheet1'!$L$16"}</definedName>
    <definedName name="sadcs" localSheetId="2" hidden="1">{"'Sheet1'!$L$16"}</definedName>
    <definedName name="sadf¸a" localSheetId="2" hidden="1">{"'Sheet1'!$L$16"}</definedName>
    <definedName name="sadSa" localSheetId="2" hidden="1">{#N/A,#N/A,FALSE,"Chi tiÆt"}</definedName>
    <definedName name="safd" localSheetId="2" hidden="1">{#N/A,#N/A,FALSE,"MARCH"}</definedName>
    <definedName name="safEF" localSheetId="2" hidden="1">{#N/A,#N/A,FALSE,"MARCH"}</definedName>
    <definedName name="sailech" localSheetId="2" hidden="1">{"Offgrid",#N/A,FALSE,"OFFGRID";"Region",#N/A,FALSE,"REGION";"Offgrid -2",#N/A,FALSE,"OFFGRID";"WTP",#N/A,FALSE,"WTP";"WTP -2",#N/A,FALSE,"WTP";"Project",#N/A,FALSE,"PROJECT";"Summary -2",#N/A,FALSE,"SUMMARY"}</definedName>
    <definedName name="san" localSheetId="2" hidden="1">{"'Sheet1'!$L$16"}</definedName>
    <definedName name="sang" localSheetId="2" hidden="1">{"'Sheet1'!$L$16"}</definedName>
    <definedName name="sasa" localSheetId="2" hidden="1">{#N/A,#N/A,FALSE,"Sheet1";#N/A,#N/A,FALSE,"Sheet3";#N/A,#N/A,FALSE,"Sheet5"}</definedName>
    <definedName name="SAVDSVVAV" localSheetId="2" hidden="1">{"'Sheet1'!$L$16"}</definedName>
    <definedName name="SBSDGBRS" localSheetId="2" hidden="1">{"'Sheet1'!$L$16"}</definedName>
    <definedName name="sc" localSheetId="2" hidden="1">{"'ELEC'!$A$2:$H$216","'ELEC'!$C$2:$D$2"}</definedName>
    <definedName name="Scaffolding" localSheetId="2" hidden="1">{"'Break down'!$A$4"}</definedName>
    <definedName name="scẪ" localSheetId="2" hidden="1">{"'Sheet1'!$L$16"}</definedName>
    <definedName name="scÂC" localSheetId="2" hidden="1">{"'Sheet1'!$L$16"}</definedName>
    <definedName name="sCol" localSheetId="2" hidden="1">zIsDgiaCTiet_Gia.VTu*2+3</definedName>
    <definedName name="sctcn" localSheetId="2" hidden="1">{"'Sheet1'!$L$16"}</definedName>
    <definedName name="SCTX" localSheetId="2" hidden="1">{"'Sheet1'!$L$16"}</definedName>
    <definedName name="scxca" localSheetId="2" hidden="1">{"'Sheet1'!$L$16"}</definedName>
    <definedName name="schedule" localSheetId="2" hidden="1">{"'Sheet1'!$L$16"}</definedName>
    <definedName name="sd" localSheetId="2" hidden="1">{"'Sheet1'!$L$16"}</definedName>
    <definedName name="sdad" localSheetId="2" hidden="1">{"'Sheet1'!$L$16"}</definedName>
    <definedName name="sdaf" localSheetId="2" hidden="1">{"'Sheet1'!$L$16"}</definedName>
    <definedName name="sdasa" localSheetId="2" hidden="1">{#N/A,#N/A,TRUE,"SUM";#N/A,#N/A,TRUE,"EE";#N/A,#N/A,TRUE,"AC";#N/A,#N/A,TRUE,"SN"}</definedName>
    <definedName name="sdbv" localSheetId="2" hidden="1">{"'Sheet1'!$L$16"}</definedName>
    <definedName name="sdcsd" localSheetId="2" hidden="1">{"'Sheet1'!$L$16"}</definedName>
    <definedName name="sdd" localSheetId="2" hidden="1">{"'Sheet1'!$L$16"}</definedName>
    <definedName name="sddsd" localSheetId="2" hidden="1">{"'Break down'!$A$4"}</definedName>
    <definedName name="sdf" localSheetId="2" hidden="1">{"'Sheet1'!$L$16"}</definedName>
    <definedName name="sdfas" localSheetId="2" hidden="1">{"'Sheet1'!$L$16"}</definedName>
    <definedName name="SDFASFSA" localSheetId="2" hidden="1">{"'Sheet1'!$L$16"}</definedName>
    <definedName name="sdfda" localSheetId="2" hidden="1">{"'Sheet1'!$L$16"}</definedName>
    <definedName name="SDFDS" localSheetId="2" hidden="1">{"'Sheet1'!$L$16"}</definedName>
    <definedName name="sdfdsfdsf" localSheetId="2" hidden="1">{"'Sheet1'!$L$16"}</definedName>
    <definedName name="SDFSDFS" localSheetId="2" hidden="1">{"'Sheet1'!$L$16"}</definedName>
    <definedName name="sdfsdfsd" localSheetId="2" hidden="1">{"'Sheet1'!$L$16"}</definedName>
    <definedName name="SDFSDGD" localSheetId="2" hidden="1">{"'Sheet1'!$L$16"}</definedName>
    <definedName name="SDFSDGF" localSheetId="2" hidden="1">{"'Sheet1'!$L$16"}</definedName>
    <definedName name="SDFSE" localSheetId="2" hidden="1">{"'Sheet1'!$L$16"}</definedName>
    <definedName name="sdfsfd" localSheetId="2" hidden="1">{"'Sheet1'!$L$16"}</definedName>
    <definedName name="SDGSDG" localSheetId="2" hidden="1">{"'Sheet1'!$L$16"}</definedName>
    <definedName name="SDGSDHET" localSheetId="2" hidden="1">{"'Sheet1'!$L$16"}</definedName>
    <definedName name="SDGWRSRWG" localSheetId="2" hidden="1">{"'Sheet1'!$L$16"}</definedName>
    <definedName name="sdryhj" localSheetId="2" hidden="1">{"'용역비'!$A$4:$C$8"}</definedName>
    <definedName name="SDS" localSheetId="2" hidden="1">{#N/A,#N/A,FALSE,"Sheet1";#N/A,#N/A,FALSE,"Sheet3";#N/A,#N/A,FALSE,"Sheet5"}</definedName>
    <definedName name="SDSD" localSheetId="2" hidden="1">{#N/A,#N/A,FALSE,"Sheet1";#N/A,#N/A,FALSE,"Sheet3";#N/A,#N/A,FALSE,"Sheet5"}</definedName>
    <definedName name="sdz" localSheetId="2" hidden="1">{"'Sheet1'!$L$16"}</definedName>
    <definedName name="sđ" localSheetId="2" hidden="1">{"'Sheet1'!$L$16"}</definedName>
    <definedName name="SE" localSheetId="2" hidden="1">{"'용역비'!$A$4:$C$8"}</definedName>
    <definedName name="sen" localSheetId="2" hidden="1">{"'Sheet1'!$L$16"}</definedName>
    <definedName name="SERVICE" localSheetId="2" hidden="1">{#N/A,#N/A,FALSE,"이태원철근"}</definedName>
    <definedName name="SFBAS" localSheetId="2" hidden="1">{"'Sheet1'!$L$16"}</definedName>
    <definedName name="sfdgn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2" hidden="1">{"'Sheet1'!$L$16"}</definedName>
    <definedName name="sfg" localSheetId="2" hidden="1">{"'Sheet1'!$L$16"}</definedName>
    <definedName name="sfsafsfds" localSheetId="2" hidden="1">{"'Sheet1'!$L$16"}</definedName>
    <definedName name="sfsd" localSheetId="2" hidden="1">{"'Sheet1'!$L$16"}</definedName>
    <definedName name="sfsdg" localSheetId="2" hidden="1">{"'Sheet1'!$L$16"}</definedName>
    <definedName name="SFSFS" localSheetId="2" hidden="1">{"'Sheet1'!$L$16"}</definedName>
    <definedName name="sfsfsfas" localSheetId="2" hidden="1">{"'Sheet1'!$L$16"}</definedName>
    <definedName name="sgfdgdf" localSheetId="2" hidden="1">{"'Sheet1'!$L$16"}</definedName>
    <definedName name="sgfhsdhe" localSheetId="2" hidden="1">{"'Sheet1'!$L$16"}</definedName>
    <definedName name="SGG" localSheetId="2" hidden="1">{"'Sheet1'!$L$16"}</definedName>
    <definedName name="sgjhk" localSheetId="2" hidden="1">{"'Sheet1'!$L$16"}</definedName>
    <definedName name="sgjyti" localSheetId="2" hidden="1">{"'Sheet1'!$L$16"}</definedName>
    <definedName name="sgs" localSheetId="2" hidden="1">{"'Sheet1'!$L$16"}</definedName>
    <definedName name="sgsdg" localSheetId="2" hidden="1">{"'Sheet1'!$L$16"}</definedName>
    <definedName name="sgsr" localSheetId="2" hidden="1">{"'Sheet1'!$L$16"}</definedName>
    <definedName name="shee12" localSheetId="2" hidden="1">{"'Sheet1'!$L$16"}</definedName>
    <definedName name="sheet" localSheetId="2" hidden="1">{"'Sheet1'!$L$16"}</definedName>
    <definedName name="sheet1" localSheetId="2" hidden="1">{#N/A,#N/A,FALSE,"CCTV"}</definedName>
    <definedName name="Sheet2" localSheetId="2" hidden="1">{#N/A,#N/A,FALSE,"Sheet1"}</definedName>
    <definedName name="sheet3" localSheetId="2" hidden="1">{"NGUYEN QUI THIEP - Personal View",#N/A,FALSE,"XDCB.HT.FUR."}</definedName>
    <definedName name="sheet4" localSheetId="2" hidden="1">{"NGUYEN QUI THIEP - Personal View",#N/A,FALSE,"XDCB.HT.FUR."}</definedName>
    <definedName name="sheet5" localSheetId="2" hidden="1">{"'Sheet1'!$L$16"}</definedName>
    <definedName name="shsrhtr" localSheetId="2" hidden="1">{"'Sheet1'!$L$16"}</definedName>
    <definedName name="sHsVlNcCm" localSheetId="2" hidden="1">VALUE(IF(LEFT(OFFSET(Acell,0,-4),1)="A",dTHKP_HsVl,IF(LEFT(OFFSET(Acell,0,-4),1)="B",dTHKP_HsNc,dTHKP_HsCm)))</definedName>
    <definedName name="silo4" localSheetId="2" hidden="1">{"'ELEC'!$A$2:$H$216","'ELEC'!$C$2:$D$2"}</definedName>
    <definedName name="skskksksks" localSheetId="2" hidden="1">{#N/A,#N/A,FALSE,"주간공정";#N/A,#N/A,FALSE,"주간보고";#N/A,#N/A,FALSE,"주간공정표"}</definedName>
    <definedName name="sMh" localSheetId="2" hidden="1">IF(LEFT(OFFSET(Acell,0,-6),1)="1",dVTu_Mh,IF(LEFT(OFFSET(Acell,0,-6),1)="2",dNCong_Mh,dCMay_Mh))</definedName>
    <definedName name="sName" localSheetId="2" hidden="1">IF(LEFT(OFFSET(Acell,0,-6),1)="1",dVTu_Name,IF(LEFT(OFFSET(Acell,0,-6),1)="2",dNCong_Name,dCMay_Name))</definedName>
    <definedName name="sodu" localSheetId="2" hidden="1">{"'Sheet1'!$L$16"}</definedName>
    <definedName name="solver_rhs5" localSheetId="2" hidden="1">binary</definedName>
    <definedName name="SON" localSheetId="2" hidden="1">{#N/A,#N/A,FALSE,"CCTV"}</definedName>
    <definedName name="Sosanh2" localSheetId="2" hidden="1">{"'Sheet1'!$L$16"}</definedName>
    <definedName name="Spample" localSheetId="2" hidden="1">{"'Sheet1'!$L$16"}</definedName>
    <definedName name="sRng" localSheetId="2" hidden="1">IF(LEFT(OFFSET(Acell,0,-6),1)="1",dVTu_Rng,IF(LEFT(OFFSET(Acell,0,-6),1)="2",dNCong_Rng,dCMay_Rng))</definedName>
    <definedName name="SRTWER" localSheetId="2" hidden="1">{"'Sheet1'!$L$16"}</definedName>
    <definedName name="srth" localSheetId="2" hidden="1">{"'용역비'!$A$4:$C$8"}</definedName>
    <definedName name="sscsd" localSheetId="2" hidden="1">{"'Sheet1'!$L$16"}</definedName>
    <definedName name="sss" localSheetId="2" hidden="1">{#N/A,#N/A,FALSE,"전력간선"}</definedName>
    <definedName name="ssss_1" localSheetId="2" hidden="1">{"ECA Qtrs C",#N/A,TRUE,"ECA_Qtrs_C";"ECA Qtrs D",#N/A,TRUE,"ECA_Qtrs_D";"ECA Qtrs F",#N/A,TRUE,"ECA_Qtrs_F";"ECA Qtrs G",#N/A,TRUE,"ECA_Qtrs_G";"ECA SisterApt",#N/A,TRUE,"ECA_SisterApt";"ECA Nurses",#N/A,TRUE,"ECA_NursesHostel"}</definedName>
    <definedName name="ssssssss" localSheetId="2" hidden="1">{"Offgrid",#N/A,FALSE,"OFFGRID";"Region",#N/A,FALSE,"REGION";"Offgrid -2",#N/A,FALSE,"OFFGRID";"WTP",#N/A,FALSE,"WTP";"WTP -2",#N/A,FALSE,"WTP";"Project",#N/A,FALSE,"PROJECT";"Summary -2",#N/A,FALSE,"SUMMARY"}</definedName>
    <definedName name="sssssssss" localSheetId="2" hidden="1">{#N/A,#N/A,FALSE,"Chi tiÆt"}</definedName>
    <definedName name="STJST" localSheetId="2" hidden="1">{"'Sheet1'!$L$16"}</definedName>
    <definedName name="STS" localSheetId="2" hidden="1">{"'용역비'!$A$4:$C$8"}</definedName>
    <definedName name="sualoixm" localSheetId="2" hidden="1">{"Offgrid",#N/A,FALSE,"OFFGRID";"Region",#N/A,FALSE,"REGION";"Offgrid -2",#N/A,FALSE,"OFFGRID";"WTP",#N/A,FALSE,"WTP";"WTP -2",#N/A,FALSE,"WTP";"Project",#N/A,FALSE,"PROJECT";"Summary -2",#N/A,FALSE,"SUMMARY"}</definedName>
    <definedName name="suki" localSheetId="2" hidden="1">{#N/A,#N/A,TRUE,"Cover Memo";"Complete Sys. Estimate",#N/A,TRUE,"Change Summary";"Complete Sys. Estimate",#N/A,TRUE,"Estimate Summary";"Complete Sys. Estimate",#N/A,TRUE,"Dept. Summary";"Complete Sys. Estimate",#N/A,TRUE,"DOW Detail"}</definedName>
    <definedName name="sumimasenn" localSheetId="2" hidden="1">{"'Sheet1'!$L$16"}</definedName>
    <definedName name="summar" localSheetId="2" hidden="1">{#N/A,#N/A,TRUE,"SUM";#N/A,#N/A,TRUE,"EE";#N/A,#N/A,TRUE,"AC";#N/A,#N/A,TRUE,"SN"}</definedName>
    <definedName name="SUMMARYQ" localSheetId="2">{"Thuxm2.xls","Sheet1"}</definedName>
    <definedName name="SUOIDOI2" localSheetId="2" hidden="1">{"'Sheet1'!$L$16"}</definedName>
    <definedName name="SWw" localSheetId="2" hidden="1">{#N/A,#N/A,TRUE,"SUM";#N/A,#N/A,TRUE,"EE";#N/A,#N/A,TRUE,"AC";#N/A,#N/A,TRUE,"SN"}</definedName>
    <definedName name="swㅗ" localSheetId="2" hidden="1">{#N/A,#N/A,FALSE,"집계표"}</definedName>
    <definedName name="sxcsac" localSheetId="2" hidden="1">{"'Sheet1'!$L$16"}</definedName>
    <definedName name="sxcxc" localSheetId="2" hidden="1">{"'Sheet1'!$L$16"}</definedName>
    <definedName name="szdasda" localSheetId="2" hidden="1">{#N/A,#N/A,FALSE,"Chi tiÆt"}</definedName>
    <definedName name="T.3" localSheetId="2" hidden="1">{"'Sheet1'!$L$16"}</definedName>
    <definedName name="T1PC" localSheetId="2" hidden="1">{"'Sheet1'!$L$16"}</definedName>
    <definedName name="TamdanTB" localSheetId="2" hidden="1">{"'Sheet1'!$L$16"}</definedName>
    <definedName name="tamm" localSheetId="2" hidden="1">{"'Sheet1'!$L$16"}</definedName>
    <definedName name="tammm" localSheetId="2" hidden="1">{"'Sheet1'!$L$16"}</definedName>
    <definedName name="tammmm" localSheetId="2" hidden="1">{#N/A,#N/A,FALSE,"Chi tiÆt"}</definedName>
    <definedName name="tan" localSheetId="2" hidden="1">{"'Sheet1'!$L$16"}</definedName>
    <definedName name="tªtrt" localSheetId="2" hidden="1">{"'Sheet1'!$L$16"}</definedName>
    <definedName name="taun" localSheetId="2" hidden="1">{"'Sheet1'!$L$16"}</definedName>
    <definedName name="tbao" localSheetId="2" hidden="1">{"'Sheet1'!$L$16"}</definedName>
    <definedName name="tdrutru" localSheetId="2" hidden="1">{#N/A,#N/A,FALSE,"Sheet6"}</definedName>
    <definedName name="tecco" localSheetId="2" hidden="1">{"'Sheet1'!$L$16"}</definedName>
    <definedName name="tem" localSheetId="2" hidden="1">{"'Sheet1'!$L$16"}</definedName>
    <definedName name="temporary" localSheetId="2" hidden="1">{#N/A,#N/A,FALSE,"CCTV"}</definedName>
    <definedName name="test2" localSheetId="2" hidden="1">{"IASTrail",#N/A,FALSE,"IAS"}</definedName>
    <definedName name="test3" localSheetId="2" hidden="1">{#N/A,#N/A,FALSE,"FA_1";#N/A,#N/A,FALSE,"Dep'n SE";#N/A,#N/A,FALSE,"Dep'n FC"}</definedName>
    <definedName name="tet" localSheetId="2" hidden="1">{0,#NULL!,0,FALSE;0,0,0,0;0,0,0,7.29290327383173E-304;0,0,0,0;0,0,0,0;0,0,0,0;0,0,0,0}</definedName>
    <definedName name="tểt" localSheetId="2" hidden="1">{"'Sheet1'!$L$16"}</definedName>
    <definedName name="tfrefefewfrefe" localSheetId="2" hidden="1">{#N/A,#N/A,FALSE,"Chi tiÆt"}</definedName>
    <definedName name="TFUI" localSheetId="2" hidden="1">{"'용역비'!$A$4:$C$8"}</definedName>
    <definedName name="tghy" localSheetId="2" hidden="1">{"'Break down'!$A$4"}</definedName>
    <definedName name="tgưgz" localSheetId="2" hidden="1">{"'Sheet1'!$L$16"}</definedName>
    <definedName name="tg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2" hidden="1">{"'Sheet1'!$L$16"}</definedName>
    <definedName name="TINH" localSheetId="2" hidden="1">{#N/A,#N/A,FALSE,"CCTV"}</definedName>
    <definedName name="tirirn" localSheetId="2" hidden="1">{"'Sheet1'!$L$16"}</definedName>
    <definedName name="tit" localSheetId="2" hidden="1">{"'Sheet1'!$L$16"}</definedName>
    <definedName name="tjhtrjntrsjnsr" localSheetId="2" hidden="1">{"'Sheet1'!$L$16"}</definedName>
    <definedName name="TL" localSheetId="2" hidden="1">{#N/A,#N/A,FALSE,"Chi tiÆt"}</definedName>
    <definedName name="tlc" localSheetId="2" hidden="1">{"'Sheet1'!$L$16"}</definedName>
    <definedName name="TLP" localSheetId="2" hidden="1">{#N/A,#N/A,FALSE,"Chi tiÆt"}</definedName>
    <definedName name="TLPMG" localSheetId="2" hidden="1">{"'Sheet1'!$L$16"}</definedName>
    <definedName name="tmp" localSheetId="2" hidden="1">{"'Break down'!$A$4"}</definedName>
    <definedName name="tn" localSheetId="2" hidden="1">{"'Sheet1'!$L$16"}</definedName>
    <definedName name="tntn" localSheetId="2" hidden="1">{"'Sheet1'!$L$16"}</definedName>
    <definedName name="toan" localSheetId="2" hidden="1">{"'Sheet1'!$L$16"}</definedName>
    <definedName name="toilet" localSheetId="2" hidden="1">{"'Sheet1'!$L$16"}</definedName>
    <definedName name="tol" localSheetId="2" hidden="1">{"'Sheet1'!$L$16"}</definedName>
    <definedName name="tÓtrte" localSheetId="2" hidden="1">{"'Sheet1'!$L$16"}</definedName>
    <definedName name="tt" localSheetId="2" hidden="1">{"'Sheet1'!$L$16"}</definedName>
    <definedName name="ttoan" localSheetId="2" hidden="1">{"'Sheet1'!$L$16"}</definedName>
    <definedName name="tttskldf" localSheetId="2" hidden="1">{0}</definedName>
    <definedName name="tttt" localSheetId="2" hidden="1">{"'Sheet1'!$L$16"}</definedName>
    <definedName name="ｔｔｔｔｔ" localSheetId="2" hidden="1">{"'Sheet1'!$L$16"}</definedName>
    <definedName name="tttttt" localSheetId="2" hidden="1">{#N/A,#N/A,FALSE,"Chi tiÆt"}</definedName>
    <definedName name="tthkprtn" localSheetId="2" hidden="1">{"'Sheet1'!$L$16"}</definedName>
    <definedName name="TTHU" localSheetId="2" hidden="1">{"'Sheet1'!$L$16"}</definedName>
    <definedName name="ttr" localSheetId="2" hidden="1">{#N/A,#N/A,FALSE,"Sheet6"}</definedName>
    <definedName name="TU" localSheetId="2" hidden="1">{"'Sheet1'!$L$16"}</definedName>
    <definedName name="tuam" localSheetId="2" hidden="1">{"'Sheet1'!$L$16"}</definedName>
    <definedName name="Tuan" localSheetId="2" hidden="1">{"'Sheet1'!$L$16"}</definedName>
    <definedName name="tuan03" localSheetId="2" hidden="1">{"'Sheet1'!$L$16"}</definedName>
    <definedName name="tuan123456" localSheetId="2" hidden="1">{"'Sheet1'!$L$16"}</definedName>
    <definedName name="tuan2" localSheetId="2" hidden="1">{"'Sheet1'!$L$16"}</definedName>
    <definedName name="TUANKHANHTUYET45" localSheetId="2" hidden="1">{0}</definedName>
    <definedName name="tuannn" localSheetId="2" hidden="1">{"'Sheet1'!$L$16"}</definedName>
    <definedName name="tuilol" localSheetId="2" hidden="1">{"'용역비'!$A$4:$C$8"}</definedName>
    <definedName name="TUKHKJT" localSheetId="2" hidden="1">{"'Sheet1'!$L$16"}</definedName>
    <definedName name="tuurtur" localSheetId="2" hidden="1">{"'Sheet1'!$L$16"}</definedName>
    <definedName name="tuy" localSheetId="2" hidden="1">{"'Sheet1'!$L$16"}</definedName>
    <definedName name="tuyennhanh" localSheetId="2" hidden="1">{"'Sheet1'!$L$16"}</definedName>
    <definedName name="tuyet" localSheetId="2" hidden="1">{"'Sheet1'!$L$16"}</definedName>
    <definedName name="tv" localSheetId="2" hidden="1">{"'Sheet1'!$L$16"}</definedName>
    <definedName name="twerjh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2" hidden="1">{#N/A,#N/A,FALSE,"Sheet6"}</definedName>
    <definedName name="TYJ" localSheetId="2" hidden="1">{"'용역비'!$A$4:$C$8"}</definedName>
    <definedName name="tyje" localSheetId="2" hidden="1">{"'용역비'!$A$4:$C$8"}</definedName>
    <definedName name="tyjet" localSheetId="2" hidden="1">{"'용역비'!$A$4:$C$8"}</definedName>
    <definedName name="TYJTJMMHJM" localSheetId="2" hidden="1">{"'Sheet1'!$L$16"}</definedName>
    <definedName name="tyt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2" hidden="1">{"'Sheet1'!$L$16"}</definedName>
    <definedName name="TH" localSheetId="2" hidden="1">{#N/A,#N/A,FALSE,"Chi tiÆt"}</definedName>
    <definedName name="th.xls" localSheetId="2" hidden="1">{"'Sheet1'!$L$16"}</definedName>
    <definedName name="thµ" localSheetId="2" hidden="1">{"'Sheet1'!$L$16"}</definedName>
    <definedName name="tha" localSheetId="2" hidden="1">{"'Sheet1'!$L$16"}</definedName>
    <definedName name="thai" localSheetId="2" hidden="1">{"'Sheet1'!$L$16"}</definedName>
    <definedName name="thang" localSheetId="2" hidden="1">{"'Sheet1'!$L$16"}</definedName>
    <definedName name="thang_1" localSheetId="2" hidden="1">{"'Sheet1'!$L$16"}</definedName>
    <definedName name="Thang1" localSheetId="2" hidden="1">{"'Sheet1'!$L$16"}</definedName>
    <definedName name="thang10" localSheetId="2" hidden="1">{"'Sheet1'!$L$16"}</definedName>
    <definedName name="Thang12" localSheetId="2" hidden="1">{"'Sheet1'!$L$16"}</definedName>
    <definedName name="thang13" localSheetId="2" hidden="1">{"'Sheet1'!$L$16"}</definedName>
    <definedName name="thang2" localSheetId="2" hidden="1">{"'Sheet1'!$L$16"}</definedName>
    <definedName name="THANH" localSheetId="2" hidden="1">{"'Sheet1'!$L$16"}</definedName>
    <definedName name="THANH_1" localSheetId="2" hidden="1">{"'Sheet1'!$L$16"}</definedName>
    <definedName name="thanhtoankl" localSheetId="2" hidden="1">{"'Sheet1'!$L$16"}</definedName>
    <definedName name="thao1" localSheetId="2" hidden="1">{"'Sheet1'!$L$16"}</definedName>
    <definedName name="thao2" localSheetId="2" hidden="1">{"'Sheet1'!$L$16"}</definedName>
    <definedName name="THC" localSheetId="2" hidden="1">{"'Sheet1'!$L$16"}</definedName>
    <definedName name="THDT" localSheetId="2" hidden="1">{"'Sheet1'!$L$16"}</definedName>
    <definedName name="Thepsan" localSheetId="2" hidden="1">{"'Sheet1'!$L$16"}</definedName>
    <definedName name="thepsan2" localSheetId="2" hidden="1">{"'Sheet1'!$L$16"}</definedName>
    <definedName name="THG" localSheetId="2" hidden="1">{"'Sheet1'!$L$16"}</definedName>
    <definedName name="THGT" localSheetId="2" hidden="1">{"'Sheet1'!$L$16"}</definedName>
    <definedName name="THHD" localSheetId="2" hidden="1">{"'Sheet1'!$L$16"}</definedName>
    <definedName name="THHVT" localSheetId="2" hidden="1">{"'Sheet1'!$L$16"}</definedName>
    <definedName name="Thietbi" localSheetId="2" hidden="1">{"'Sheet1'!$L$16"}</definedName>
    <definedName name="THKLDD" localSheetId="2" hidden="1">{"'Sheet1'!$L$16"}</definedName>
    <definedName name="thkp5" localSheetId="2" hidden="1">{"'Sheet1'!$L$16"}</definedName>
    <definedName name="thkp6" localSheetId="2" hidden="1">{"'Sheet1'!$L$16"}</definedName>
    <definedName name="thkp7" localSheetId="2" hidden="1">{"'Sheet1'!$L$16"}</definedName>
    <definedName name="THKP7YT" localSheetId="2" hidden="1">{"'Sheet1'!$L$16"}</definedName>
    <definedName name="thkpdnt" localSheetId="2" hidden="1">{"'Sheet1'!$L$16"}</definedName>
    <definedName name="THKPM8" localSheetId="2" hidden="1">{"'Sheet1'!$L$16"}</definedName>
    <definedName name="thkprtn" localSheetId="2" hidden="1">{"'Sheet1'!$L$16"}</definedName>
    <definedName name="THLeloi" localSheetId="2" hidden="1">{"'Sheet1'!$L$16"}</definedName>
    <definedName name="thng" localSheetId="2" hidden="1">{#N/A,#N/A,FALSE,"Chi tiÆt"}</definedName>
    <definedName name="THNgHue" localSheetId="2" hidden="1">{"'Sheet1'!$L$16"}</definedName>
    <definedName name="THNgThHoc" localSheetId="2" hidden="1">{"'Sheet1'!$L$16"}</definedName>
    <definedName name="THOAT" localSheetId="2" hidden="1">{"'Sheet1'!$L$16"}</definedName>
    <definedName name="thopsohoc" localSheetId="2" hidden="1">{"Offgrid",#N/A,FALSE,"OFFGRID";"Region",#N/A,FALSE,"REGION";"Offgrid -2",#N/A,FALSE,"OFFGRID";"WTP",#N/A,FALSE,"WTP";"WTP -2",#N/A,FALSE,"WTP";"Project",#N/A,FALSE,"PROJECT";"Summary -2",#N/A,FALSE,"SUMMARY"}</definedName>
    <definedName name="THQT" localSheetId="2" hidden="1">{#N/A,#N/A,FALSE,"Chi tiÆt"}</definedName>
    <definedName name="thqtpsg" localSheetId="2" hidden="1">{"'Sheet1'!$L$16"}</definedName>
    <definedName name="THQuiCapChan" localSheetId="2" hidden="1">{"'Sheet1'!$L$16"}</definedName>
    <definedName name="thQuicaple" localSheetId="2" hidden="1">{"'Sheet1'!$L$16"}</definedName>
    <definedName name="tht" localSheetId="2" hidden="1">{"'Sheet1'!$L$16"}</definedName>
    <definedName name="THTranPhu" localSheetId="2" hidden="1">{"'Sheet1'!$L$16"}</definedName>
    <definedName name="thu" localSheetId="2" hidden="1">{"'Sheet1'!$L$16"}</definedName>
    <definedName name="THUAN" localSheetId="2" hidden="1">{#N/A,#N/A,FALSE,"CCTV"}</definedName>
    <definedName name="thuat" localSheetId="2" hidden="1">{"'Sheet1'!$L$16"}</definedName>
    <definedName name="Thuong" localSheetId="2" hidden="1">{"'Sheet1'!$L$16"}</definedName>
    <definedName name="thuy" localSheetId="2" hidden="1">{"'Sheet1'!$L$16"}</definedName>
    <definedName name="thvlmoi" localSheetId="2" hidden="1">{"'Sheet1'!$L$16"}</definedName>
    <definedName name="thvlmoimoi" localSheetId="2" hidden="1">{"'Sheet1'!$L$16"}</definedName>
    <definedName name="THVT" localSheetId="2" hidden="1">{"'ELEC'!$A$2:$H$216","'ELEC'!$C$2:$D$2"}</definedName>
    <definedName name="Tram" localSheetId="2" hidden="1">{"'Sheet1'!$L$16"}</definedName>
    <definedName name="tran" localSheetId="2" hidden="1">{"'现金流量表（全部投资）'!$B$4:$P$23"}</definedName>
    <definedName name="tre" localSheetId="2" hidden="1">{#N/A,#N/A,FALSE,"Chi tiÆt"}</definedName>
    <definedName name="TRHEE" localSheetId="2" hidden="1">{#N/A,#N/A,FALSE,"Sheet6"}</definedName>
    <definedName name="TRHEH" localSheetId="2" hidden="1">{"'Sheet1'!$L$16"}</definedName>
    <definedName name="trhr" localSheetId="2" hidden="1">{#N/A,#N/A,FALSE,"Sheet6"}</definedName>
    <definedName name="trieu" localSheetId="2" hidden="1">{"'Sheet1'!$L$16"}</definedName>
    <definedName name="trong" localSheetId="2" hidden="1">{"'Sheet1'!$L$16"}</definedName>
    <definedName name="trr" localSheetId="2" hidden="1">{"Offgrid",#N/A,FALSE,"OFFGRID";"Region",#N/A,FALSE,"REGION";"Offgrid -2",#N/A,FALSE,"OFFGRID";"WTP",#N/A,FALSE,"WTP";"WTP -2",#N/A,FALSE,"WTP";"Project",#N/A,FALSE,"PROJECT";"Summary -2",#N/A,FALSE,"SUMMARY"}</definedName>
    <definedName name="trrh" localSheetId="2" hidden="1">{"'Sheet1'!$L$16"}</definedName>
    <definedName name="TRUNGNGUYEN" localSheetId="2" hidden="1">{#N/A,#N/A,FALSE,"Chi tiÆt"}</definedName>
    <definedName name="trutriutit" localSheetId="2" hidden="1">{#N/A,#N/A,FALSE,"속도"}</definedName>
    <definedName name="u" localSheetId="2" hidden="1">{#N/A,#N/A,FALSE,"récap";#N/A,#N/A,FALSE,"hypothèses";#N/A,#N/A,FALSE,"Serv Génér";#N/A,#N/A,FALSE,"A-R paroi";#N/A,#N/A,FALSE,"paroi moulée";#N/A,#N/A,FALSE,"préfondés";#N/A,#N/A,FALSE,"A-R injection";#N/A,#N/A,FALSE,"forages";#N/A,#N/A,FALSE,"injection";#N/A,#N/A,FALSE,"pompage";#N/A,#N/A,FALSE,"comparatif";#N/A,#N/A,FALSE,"échéancier"}</definedName>
    <definedName name="u5u6" localSheetId="2" hidden="1">{"'Sheet1'!$L$16"}</definedName>
    <definedName name="uassw_sh" localSheetId="2" hidden="1">{"'Sheet1'!$L$16"}</definedName>
    <definedName name="uchihashi" localSheetId="2" hidden="1">{#N/A,#N/A,FALSE,"特殊室（ＢＱ表）"}</definedName>
    <definedName name="uip" localSheetId="2" hidden="1">{"'Sheet1'!$L$16"}</definedName>
    <definedName name="ujdffdf" localSheetId="2" hidden="1">{#N/A,#N/A,FALSE,"단가표지"}</definedName>
    <definedName name="ukj" localSheetId="2" hidden="1">{#N/A,#N/A,FALSE,"전력간선"}</definedName>
    <definedName name="ukluy" localSheetId="2" hidden="1">{"'Sheet1'!$L$16"}</definedName>
    <definedName name="UL" localSheetId="2" hidden="1">{"'Sheet1'!$L$16"}</definedName>
    <definedName name="ulo" localSheetId="2" hidden="1">{"'용역비'!$A$4:$C$8"}</definedName>
    <definedName name="ủnt" localSheetId="2" hidden="1">{"'Sheet1'!$L$16"}</definedName>
    <definedName name="urreur" localSheetId="2" hidden="1">{#N/A,#N/A,FALSE,"사업총괄";#N/A,#N/A,FALSE,"장비사업";#N/A,#N/A,FALSE,"철구사업";#N/A,#N/A,FALSE,"준설사업"}</definedName>
    <definedName name="urtureu" localSheetId="2" hidden="1">{#N/A,#N/A,FALSE,"전력간선"}</definedName>
    <definedName name="urtureuer" localSheetId="2" hidden="1">{#N/A,#N/A,FALSE,"구조2"}</definedName>
    <definedName name="uru4u4urur" localSheetId="2" hidden="1">{#N/A,#N/A,FALSE,"배수1"}</definedName>
    <definedName name="ututut" localSheetId="2" hidden="1">{"'Sheet1'!$L$16"}</definedName>
    <definedName name="UTWER" localSheetId="2" hidden="1">{"'Sheet1'!$L$16"}</definedName>
    <definedName name="utyutru"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2" hidden="1">{#N/A,#N/A,FALSE,"배수2"}</definedName>
    <definedName name="uu" localSheetId="2" hidden="1">{"'용역비'!$A$4:$C$8"}</definedName>
    <definedName name="uuuu" localSheetId="2" hidden="1">{#N/A,#N/A,FALSE,"단가표지"}</definedName>
    <definedName name="uyi" localSheetId="2" hidden="1">{"'Sheet1'!$L$16"}</definedName>
    <definedName name="ủytỉt" localSheetId="2" hidden="1">{"'Sheet1'!$L$16"}</definedName>
    <definedName name="uytjhtdjtj" localSheetId="2" hidden="1">{"'Sheet1'!$L$16"}</definedName>
    <definedName name="ưegweg" localSheetId="2" hidden="1">{"'Sheet1'!$L$16"}</definedName>
    <definedName name="ưergwrgn" localSheetId="2" hidden="1">{"'Sheet1'!$L$16"}</definedName>
    <definedName name="ƯERWER" localSheetId="2" hidden="1">{"'Sheet1'!$L$16"}</definedName>
    <definedName name="V.clvl3" localSheetId="2" hidden="1">{"'Sheet1'!$L$16"}</definedName>
    <definedName name="V_a_b__t_ng_M200____1x2" localSheetId="2">ptdg</definedName>
    <definedName name="V8.Refresh" localSheetId="2" hidden="1">{"NGUYEN QUI THIEP - Personal View",#N/A,FALSE,"XDCB.HT.FUR."}</definedName>
    <definedName name="vadvsa" localSheetId="2" hidden="1">{"'Sheet1'!$L$16"}</definedName>
    <definedName name="Valve" localSheetId="2" hidden="1">{"'Sheet1'!$L$16"}</definedName>
    <definedName name="Valve_1" localSheetId="2" hidden="1">{"'Sheet1'!$L$16"}</definedName>
    <definedName name="VATM" localSheetId="2" hidden="1">{"'Sheet1'!$L$16"}</definedName>
    <definedName name="vb" localSheetId="2" hidden="1">{"'Sheet1'!$L$16"}</definedName>
    <definedName name="VBN" localSheetId="2" hidden="1">{#N/A,#N/A,FALSE,"이태원철근"}</definedName>
    <definedName name="vbnhj" localSheetId="2" hidden="1">{#N/A,#N/A,FALSE,"Sheet6"}</definedName>
    <definedName name="vcbo1" localSheetId="2" hidden="1">{"'Sheet1'!$L$16"}</definedName>
    <definedName name="vcc" localSheetId="2" hidden="1">{#N/A,#N/A,FALSE,"구조1"}</definedName>
    <definedName name="vcoto" localSheetId="2" hidden="1">{"'Sheet1'!$L$16"}</definedName>
    <definedName name="vcvc" localSheetId="2" hidden="1">{"'Sheet1'!$L$16"}</definedName>
    <definedName name="vd" localSheetId="2" hidden="1">{"'Sheet1'!$L$16"}</definedName>
    <definedName name="vdbdb" localSheetId="2" hidden="1">{"'Sheet1'!$L$16"}</definedName>
    <definedName name="vdfgdfg" localSheetId="2" hidden="1">{"'Sheet1'!$L$16"}</definedName>
    <definedName name="VEN" localSheetId="2" hidden="1">{#N/A,#N/A,TRUE,"SUM";#N/A,#N/A,TRUE,"EE";#N/A,#N/A,TRUE,"AC";#N/A,#N/A,TRUE,"SN"}</definedName>
    <definedName name="vetbun" localSheetId="2" hidden="1">{"'Sheet1'!$L$16"}</definedName>
    <definedName name="VF" localSheetId="2" hidden="1">{#N/A,#N/A,FALSE,"Sheet2";#N/A,#N/A,FALSE,"Sheet4";#N/A,#N/A,FALSE,"Sheet6"}</definedName>
    <definedName name="vgb" localSheetId="2" hidden="1">{"'Sheet1'!$L$16"}</definedName>
    <definedName name="vghn" localSheetId="2" hidden="1">{"'Sheet1'!$L$16"}</definedName>
    <definedName name="vgho" localSheetId="2" hidden="1">{"'Sheet1'!$L$16"}</definedName>
    <definedName name="vgjh" localSheetId="2" hidden="1">{#N/A,#N/A,FALSE,"特殊室（ＢＱ表）"}</definedName>
    <definedName name="vi" localSheetId="2" hidden="1">{"'Sheet1'!$L$16"}</definedName>
    <definedName name="Viet" localSheetId="2" hidden="1">{"'Sheet1'!$L$16"}</definedName>
    <definedName name="Viets" localSheetId="2" hidden="1">{"'Sheet1'!$L$16"}</definedName>
    <definedName name="vinod" localSheetId="2" hidden="1">{#N/A,#N/A,FALSE,"估價單  (3)"}</definedName>
    <definedName name="vl" localSheetId="2" hidden="1">{"'Sheet1'!$L$16"}</definedName>
    <definedName name="vlct" localSheetId="2" hidden="1">{"'Sheet1'!$L$16"}</definedName>
    <definedName name="vnd_list" localSheetId="2" hidden="1">{"một";"hai";"ba";"bốn";"năm";"sáu";"bảy";"tám";"chín";"mười";"mươi";"mốt";"lăm";"trăm";"nghìn";"triệu";"tỷ";"lẻ";"không trăm";"Bằng chử : "}</definedName>
    <definedName name="vnvnvn" localSheetId="2" hidden="1">{"'Sheet1'!$L$16"}</definedName>
    <definedName name="vo" localSheetId="2" hidden="1">{"'CPA Sum'!$A$1:$X$30","'CPA'!$A$1:$K$187","'Infra Cost'!$A$1:$Q$30","'Dev't Cost'!$A$1:$AH$40","'Cashflow'!$A$1:$DG$82"}</definedName>
    <definedName name="VOLTAGE" localSheetId="2" hidden="1">{#N/A,#N/A,FALSE,"Sheet1";#N/A,#N/A,FALSE,"Sheet3";#N/A,#N/A,FALSE,"Sheet5"}</definedName>
    <definedName name="vsvs" localSheetId="2" hidden="1">{"'Sheet1'!$L$16"}</definedName>
    <definedName name="vttc2" localSheetId="2" hidden="1">{#N/A,#N/A,FALSE,"Sheet1";#N/A,#N/A,FALSE,"Sheet1";#N/A,#N/A,FALSE,"Sheet1"}</definedName>
    <definedName name="VTuphu" localSheetId="2" hidden="1">{"'Sheet1'!$L$16"}</definedName>
    <definedName name="VU" localSheetId="2" hidden="1">{"'Sheet1'!$L$16"}</definedName>
    <definedName name="VUNGTB" localSheetId="2" hidden="1">{"'Sheet1'!$L$16"}</definedName>
    <definedName name="vut" localSheetId="2" hidden="1">{#N/A,#N/A,FALSE,"Chi tiÆt"}</definedName>
    <definedName name="vv" localSheetId="2" hidden="1">{"'Sheet1'!$L$16"}</definedName>
    <definedName name="vvv" localSheetId="2" hidden="1">{"'Sheet1'!$L$16"}</definedName>
    <definedName name="ｖｖｖｖｖ" localSheetId="2" hidden="1">{"'Sheet1'!$L$16"}</definedName>
    <definedName name="VVVVVV" localSheetId="2" hidden="1">{"'Sheet1'!$L$16"}</definedName>
    <definedName name="vvvvvvv" localSheetId="2" hidden="1">{#N/A,#N/A,FALSE,"Chi tiÆt"}</definedName>
    <definedName name="vxcgs" localSheetId="2" hidden="1">{"'Sheet1'!$L$16"}</definedName>
    <definedName name="VXVZX" localSheetId="2" hidden="1">{"'Sheet1'!$L$16"}</definedName>
    <definedName name="vyu" localSheetId="2" hidden="1">{"'Sheet1'!$L$16"}</definedName>
    <definedName name="VZDVA" localSheetId="2" hidden="1">{"'Sheet1'!$L$16"}</definedName>
    <definedName name="VZVZD" localSheetId="2" hidden="1">{"'Sheet1'!$L$16"}</definedName>
    <definedName name="VZVZXCZ" localSheetId="2" hidden="1">{"'Sheet1'!$L$16"}</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2" hidden="1">{#N/A,#N/A,FALSE,"Chi tiÆt"}</definedName>
    <definedName name="wafef" localSheetId="2" hidden="1">{"'Sheet1'!$L$16"}</definedName>
    <definedName name="walkway" localSheetId="2" hidden="1">{"'Sheet1'!$L$16"}</definedName>
    <definedName name="wdd" localSheetId="2" hidden="1">{"'Sheet1'!$L$16"}</definedName>
    <definedName name="WE" localSheetId="2" hidden="1">{#N/A,#N/A,FALSE,"CCTV"}</definedName>
    <definedName name="wefwgfwegf" localSheetId="2" hidden="1">{"'Sheet1'!$L$16"}</definedName>
    <definedName name="weq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2" hidden="1">{0,0,0,0}</definedName>
    <definedName name="werar" localSheetId="2" hidden="1">{"'Sheet1'!$L$16"}</definedName>
    <definedName name="wererr" localSheetId="2" hidden="1">{#N/A,#N/A,FALSE,"운반시간"}</definedName>
    <definedName name="werewr" localSheetId="2" hidden="1">{#N/A,#N/A,FALSE,"골재소요량";#N/A,#N/A,FALSE,"골재소요량"}</definedName>
    <definedName name="werwe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2" hidden="1">{"'Sheet1'!$L$16"}</definedName>
    <definedName name="window" localSheetId="2" hidden="1">{"ECA Qtrs C",#N/A,TRUE,"ECA_Qtrs_C";"ECA Qtrs D",#N/A,TRUE,"ECA_Qtrs_D";"ECA Qtrs F",#N/A,TRUE,"ECA_Qtrs_F";"ECA Qtrs G",#N/A,TRUE,"ECA_Qtrs_G";"ECA SisterApt",#N/A,TRUE,"ECA_SisterApt";"ECA Nurses",#N/A,TRUE,"ECA_NursesHostel"}</definedName>
    <definedName name="window_1" localSheetId="2" hidden="1">{"ECA Qtrs C",#N/A,TRUE,"ECA_Qtrs_C";"ECA Qtrs D",#N/A,TRUE,"ECA_Qtrs_D";"ECA Qtrs F",#N/A,TRUE,"ECA_Qtrs_F";"ECA Qtrs G",#N/A,TRUE,"ECA_Qtrs_G";"ECA SisterApt",#N/A,TRUE,"ECA_SisterApt";"ECA Nurses",#N/A,TRUE,"ECA_NursesHostel"}</definedName>
    <definedName name="WK" localSheetId="2" hidden="1">{#N/A,#N/A,FALSE,"견적대비-2"}</definedName>
    <definedName name="WLQ" localSheetId="2" hidden="1">{#N/A,#N/A,FALSE,"명세표"}</definedName>
    <definedName name="wm.조골재1" localSheetId="2" hidden="1">{#N/A,#N/A,FALSE,"조골재"}</definedName>
    <definedName name="WPWPPW" localSheetId="2" hidden="1">{#N/A,#N/A,FALSE,"주간공정";#N/A,#N/A,FALSE,"주간보고";#N/A,#N/A,FALSE,"주간공정표"}</definedName>
    <definedName name="wqe" localSheetId="2" hidden="1">{"'ELEC'!$A$2:$H$216","'ELEC'!$C$2:$D$2"}</definedName>
    <definedName name="wqweqr" localSheetId="2" hidden="1">{"'Sheet1'!$L$16"}</definedName>
    <definedName name="WRITE" localSheetId="2" hidden="1">{#N/A,#N/A,FALSE,"CCTV"}</definedName>
    <definedName name="WRN" localSheetId="2"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2" hidden="1">{#N/A,#N/A,FALSE,"TOTAL"}</definedName>
    <definedName name="wrn.2번." localSheetId="2"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97." localSheetId="2" hidden="1">{#N/A,#N/A,FALSE,"지침";#N/A,#N/A,FALSE,"환경분석";#N/A,#N/A,FALSE,"Sheet16"}</definedName>
    <definedName name="wrn.97년._.사업계획._.및._.예산지침." localSheetId="2" hidden="1">{#N/A,#N/A,TRUE,"1";#N/A,#N/A,TRUE,"2";#N/A,#N/A,TRUE,"3";#N/A,#N/A,TRUE,"4";#N/A,#N/A,TRUE,"5";#N/A,#N/A,TRUE,"6";#N/A,#N/A,TRUE,"7"}</definedName>
    <definedName name="WRN.98." localSheetId="2" hidden="1">{#N/A,#N/A,FALSE,"지침";#N/A,#N/A,FALSE,"환경분석";#N/A,#N/A,FALSE,"Sheet16"}</definedName>
    <definedName name="wrn.A." localSheetId="2" hidden="1">{#N/A,#N/A,TRUE,"SUM";#N/A,#N/A,TRUE,"EE";#N/A,#N/A,TRUE,"AC";#N/A,#N/A,TRUE,"SN"}</definedName>
    <definedName name="wrn.aaa." localSheetId="2" hidden="1">{#N/A,#N/A,FALSE,"Sheet1";#N/A,#N/A,FALSE,"Sheet1";#N/A,#N/A,FALSE,"Sheet1"}</definedName>
    <definedName name="wrn.aaa.1" localSheetId="2" hidden="1">{#N/A,#N/A,FALSE,"Sheet1";#N/A,#N/A,FALSE,"Sheet1";#N/A,#N/A,FALSE,"Sheet1"}</definedName>
    <definedName name="wrn.abc." localSheetId="2" hidden="1">{#N/A,#N/A,TRUE,"천상그린44PY"}</definedName>
    <definedName name="wrn.ac30prn." localSheetId="2" hidden="1">{#N/A,#N/A,FALSE,"별표20 ";#N/A,#N/A,FALSE,"부표";#N/A,#N/A,FALSE,"품셈내역";#N/A,#N/A,FALSE,"품셈집계";#N/A,#N/A,FALSE,"내역서";#N/A,#N/A,FALSE,"집계표";#N/A,#N/A,FALSE,"표지";#N/A,#N/A,FALSE,"별표총괄표"}</definedName>
    <definedName name="wrn.Aging._.and._.Trend._.Analysis." localSheetId="2" hidden="1">{#N/A,#N/A,FALSE,"Aging Summary";#N/A,#N/A,FALSE,"Ratio Analysis";#N/A,#N/A,FALSE,"Test 120 Day Accts";#N/A,#N/A,FALSE,"Tickmarks"}</definedName>
    <definedName name="wrn.ALL." localSheetId="2" hidden="1">{#N/A,#N/A,FALSE,"Engr Data";#N/A,#N/A,FALSE,"Engr Cur";#N/A,#N/A,FALSE,"DsnDraft";#N/A,#N/A,FALSE,"DsnDftCur";#N/A,#N/A,FALSE,"Supports";#N/A,#N/A,FALSE,"SptCur";#N/A,#N/A,FALSE,"Total";#N/A,#N/A,FALSE,"TotCur";#N/A,#N/A,FALSE,"Client";#N/A,#N/A,FALSE,"Instructions"}</definedName>
    <definedName name="wrn.Bang._.ke._.nhan._.hang." localSheetId="2" hidden="1">{#N/A,#N/A,FALSE,"Ke khai NH"}</definedName>
    <definedName name="wrn.BAOCAO." localSheetId="2" hidden="1">{#N/A,#N/A,FALSE,"sum";#N/A,#N/A,FALSE,"MARTV";#N/A,#N/A,FALSE,"APRTV"}</definedName>
    <definedName name="wrn.bbb." localSheetId="2" hidden="1">{#N/A,#N/A,FALSE,"Sheet1";#N/A,#N/A,FALSE,"Sheet1";#N/A,#N/A,FALSE,"Sheet1"}</definedName>
    <definedName name="wrn.BIDSUM." localSheetId="2" hidden="1">{#N/A,#N/A,TRUE,"SUMMARY";#N/A,#N/A,TRUE,"ISBL";#N/A,#N/A,TRUE,"OSBL";#N/A,#N/A,TRUE,"OFFSITE";#N/A,#N/A,TRUE,"STEAM"}</definedName>
    <definedName name="wrn.BILLS._.OF._.QUANTITY." localSheetId="2" hidden="1">{#N/A,#N/A,TRUE,"Str.";#N/A,#N/A,TRUE,"Steel &amp; Roof";#N/A,#N/A,TRUE,"Arc.";#N/A,#N/A,TRUE,"Preliminary";#N/A,#N/A,TRUE,"Sum_Prelim"}</definedName>
    <definedName name="wrn.BM" localSheetId="2" hidden="1">{#N/A,#N/A,FALSE,"CCTV"}</definedName>
    <definedName name="wrn.BM." localSheetId="2" hidden="1">{#N/A,#N/A,FALSE,"CCTV"}</definedName>
    <definedName name="wrn.Boq_summary." localSheetId="2" hidden="1">{#N/A,#N/A,FALSE,"Sum_BOQ";#N/A,#N/A,FALSE,"Preliminary";#N/A,#N/A,FALSE,"Sum_Prelim";#N/A,#N/A,FALSE,"Prime Cost&amp;Prov_sum"}</definedName>
    <definedName name="wrn.clntrpt." localSheetId="2" hidden="1">{#N/A,#N/A,FALSE,"CLIENT HOPSR";#N/A,#N/A,FALSE,"JEG GRAPH";#N/A,#N/A,FALSE,"PROCESS";#N/A,#N/A,FALSE,"CIVIL";#N/A,#N/A,FALSE,"ELECTRICAL";#N/A,#N/A,FALSE,"CNTRL SYS";#N/A,#N/A,FALSE,"MECH";#N/A,#N/A,FALSE,"PIPE"}</definedName>
    <definedName name="wrn.Coded._.IAS._.FS." localSheetId="2" hidden="1">{"IASTrail",#N/A,FALSE,"IAS"}</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2" hidden="1">{#N/A,#N/A,TRUE,"Cover Memo";"Complete Sys. Estimate",#N/A,TRUE,"Change Summary";"Complete Sys. Estimate",#N/A,TRUE,"Estimate Summary";"Complete Sys. Estimate",#N/A,TRUE,"Dept. Summary";"Complete Sys. Estimate",#N/A,TRUE,"DOW Detail"}</definedName>
    <definedName name="wrn.cong." localSheetId="2" hidden="1">{#N/A,#N/A,FALSE,"Sheet1"}</definedName>
    <definedName name="wrn.Cost._.Summary." localSheetId="2" hidden="1">{"Cost Summary",#N/A,FALSE,"B";"Cost Detail 1",#N/A,FALSE,"C";"Cost Detail 2",#N/A,FALSE,"C"}</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2" hidden="1">{#N/A,#N/A,FALSE,"MARCH"}</definedName>
    <definedName name="wrn.Charts." localSheetId="2" hidden="1">{"Chart 1",#N/A,TRUE,"Charts";"Chart 2",#N/A,TRUE,"Charts"}</definedName>
    <definedName name="wrn.Che._.do._.duoc._.huong." localSheetId="2" hidden="1">{#N/A,#N/A,FALSE,"BN (2)"}</definedName>
    <definedName name="wrn.chi._.tiÆt." localSheetId="2" hidden="1">{#N/A,#N/A,FALSE,"Chi tiÆt"}</definedName>
    <definedName name="wrn.dcf." localSheetId="2" hidden="1">{"mgmt forecast",#N/A,FALSE,"Mgmt Forecast";"dcf table",#N/A,FALSE,"Mgmt Forecast";"sensitivity",#N/A,FALSE,"Mgmt Forecast";"table inputs",#N/A,FALSE,"Mgmt Forecast";"calculations",#N/A,FALSE,"Mgmt Forecast"}</definedName>
    <definedName name="wrn.Detail." localSheetId="2" hidden="1">{"Detail",#N/A,FALSE,"Assump";"Detail",#N/A,FALSE,"Muni";"Detail",#N/A,FALSE,"Proj";"Detail",#N/A,FALSE,"Calc";"Present",#N/A,FALSE,"Cover"}</definedName>
    <definedName name="wrn.DIRLABR." localSheetId="2" hidden="1">{#N/A,#N/A,TRUE,"CS&amp;SS(AG)";#N/A,#N/A,TRUE,"CS(UG)";#N/A,#N/A,TRUE,"CSCL(UG)";#N/A,#N/A,TRUE,"KYNAR";#N/A,#N/A,TRUE,"ALLOY904";#N/A,#N/A,TRUE,"TITANIUM";#N/A,#N/A,TRUE,"STMTRACE"}</definedName>
    <definedName name="wrn.étude._.de._.coût." localSheetId="2"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2" hidden="1">{"excavation",#N/A,FALSE,"DETAIL.XLS"}</definedName>
    <definedName name="wrn.Exterior._.Wall." localSheetId="2" hidden="1">{#N/A,#N/A,FALSE,"Paramters";"print range",#N/A,FALSE,"GSF.XLS";"exterior wall",#N/A,FALSE,"DETAIL.XLS"}</definedName>
    <definedName name="wrn.Facility._.Estimate." localSheetId="2" hidden="1">{#N/A,#N/A,TRUE,"Cover Memo";"Facility Estimate",#N/A,TRUE,"Change Summary";"Facility Estimate",#N/A,TRUE,"Estimate Summary";"Facility Estimate",#N/A,TRUE,"Dept. Summary";"Facility Estimate",#N/A,TRUE,"DOW Detail"}</definedName>
    <definedName name="wrn.Fixed._.Assets._.Note._.and._.Depreciation." localSheetId="2" hidden="1">{#N/A,#N/A,FALSE,"FA_1";#N/A,#N/A,FALSE,"Dep'n SE";#N/A,#N/A,FALSE,"Dep'n FC"}</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_.IAS._.STATEMENTS." localSheetId="2" hidden="1">{"IASBS",#N/A,FALSE,"IAS";"IASPL",#N/A,FALSE,"IAS";#N/A,#N/A,FALSE,"CF DIR";"IASNotes",#N/A,FALSE,"IAS";#N/A,#N/A,FALSE,"FA_1";#N/A,#N/A,FALSE,"Dep'n FC";#N/A,#N/A,FALSE,"Dep'n SE";#N/A,#N/A,FALSE,"Inv_1";#N/A,#N/A,FALSE,"NMG";#N/A,#N/A,FALSE,"Recon";#N/A,#N/A,FALSE,"EPS"}</definedName>
    <definedName name="wrn.Full._.TRAIL." localSheetId="2" hidden="1">{"IAS Mapping",#N/A,FALSE,"RSA_FS";#N/A,#N/A,FALSE,"CHECK!";#N/A,#N/A,FALSE,"Recon";#N/A,#N/A,FALSE,"NMG";#N/A,#N/A,FALSE,"Journals";"AnalRSA",#N/A,FALSE,"PL-Anal";"AnalIAS",#N/A,FALSE,"PL-Anal";#N/A,#N/A,FALSE,"COS"}</definedName>
    <definedName name="wrn.GENSERV." localSheetId="2" hidden="1">{#N/A,#N/A,FALSE,"VISTAF"}</definedName>
    <definedName name="wrn.GRAPHS." localSheetId="2"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2" hidden="1">{#N/A,#N/A,FALSE,"BN"}</definedName>
    <definedName name="wrn.Help." localSheetId="2" hidden="1">{#N/A,#N/A,TRUE,"MAP";#N/A,#N/A,TRUE,"STEPS";#N/A,#N/A,TRUE,"RULES"}</definedName>
    <definedName name="wrn.IAS._.BS._.PL._.CF._.and._.Notes." localSheetId="2" hidden="1">{"IASBS",#N/A,TRUE,"IAS";"IASPL",#N/A,TRUE,"IAS";"IASNotes",#N/A,TRUE,"IAS";"CFDir - expanded",#N/A,TRUE,"CF DIR"}</definedName>
    <definedName name="wrn.IAS._.FS._.ZOOMED._.IN._.Forms." localSheetId="2" hidden="1">{"IAS_ShortView_1",#N/A,FALSE,"IAS";"IAS_ShortView_2",#N/A,FALSE,"IAS";"IAS_ShortView_3",#N/A,FALSE,"IAS";"IAS_ShortView_4",#N/A,FALSE,"IAS";"IAS_ShortView_5",#N/A,FALSE,"IAS";"IAS_ShortView_6",#N/A,FALSE,"IAS";"IAS_ShortView_7",#N/A,FALSE,"IAS";"CFDir - Zoomed In",#N/A,FALSE,"CF DIR"}</definedName>
    <definedName name="wrn.IAS._.Mapping." localSheetId="2" hidden="1">{"IAS Mapping",#N/A,TRUE,"RSA_FS"}</definedName>
    <definedName name="wrn.INDIRCOS." localSheetId="2" hidden="1">{#N/A,#N/A,TRUE,"FIELDOFF";#N/A,#N/A,TRUE,"SCAFF";#N/A,#N/A,TRUE,"CONSTEQP";#N/A,#N/A,TRUE,"FUELUBE";#N/A,#N/A,TRUE,"CONSUME";#N/A,#N/A,TRUE,"FIELDEXP";#N/A,#N/A,TRUE,"MANPLAN";#N/A,#N/A,TRUE,"EQPLAN"}</definedName>
    <definedName name="wrn.Inflation._.factors._.used." localSheetId="2" hidden="1">{#N/A,#N/A,FALSE,"Infl_fact"}</definedName>
    <definedName name="wrn.Interior._.finishes." localSheetId="2" hidden="1">{"interior finishes",#N/A,FALSE,"DETAIL.XLS"}</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mai._.khanh." localSheetId="2" hidden="1">{"NGUYEN QUI THIEP - Personal View",#N/A,FALSE,"XDCB.HT.FUR."}</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2" hidden="1">{#N/A,#N/A,FALSE,"VISTAF"}</definedName>
    <definedName name="wrn.mhrfcst." localSheetId="2" hidden="1">{#N/A,#N/A,FALSE,"MANHR FCST-BASE"}</definedName>
    <definedName name="wrn.Monthly._.Statement." localSheetId="2" hidden="1">{#N/A,#N/A,FALSE,"Tabelle2";#N/A,#N/A,FALSE,"Tabelle1"}</definedName>
    <definedName name="wrn.MTD1." localSheetId="2" hidden="1">{#N/A,#N/A,FALSE,"Sheet1";#N/A,#N/A,FALSE,"Sheet3";#N/A,#N/A,FALSE,"Sheet5"}</definedName>
    <definedName name="wrn.MTD2." localSheetId="2" hidden="1">{#N/A,#N/A,FALSE,"Sheet2";#N/A,#N/A,FALSE,"Sheet4";#N/A,#N/A,FALSE,"Sheet6"}</definedName>
    <definedName name="wrn.Output." localSheetId="2" hidden="1">{#N/A,#N/A,TRUE,"Summary";#N/A,#N/A,TRUE,"Assumptions";#N/A,#N/A,TRUE,"Stack";#N/A,#N/A,TRUE,"Budget";#N/A,#N/A,TRUE,"Condo Summary";#N/A,#N/A,TRUE,"Condo Sellout Summary"}</definedName>
    <definedName name="wrn.output1a" localSheetId="2" hidden="1">{#N/A,#N/A,TRUE,"Summary";#N/A,#N/A,TRUE,"Assumptions";#N/A,#N/A,TRUE,"Stack";#N/A,#N/A,TRUE,"Budget";#N/A,#N/A,TRUE,"Condo Summary";#N/A,#N/A,TRUE,"Condo Sellout Summary"}</definedName>
    <definedName name="wrn.output2" localSheetId="2" hidden="1">{#N/A,#N/A,TRUE,"Summary";#N/A,#N/A,TRUE,"Assumptions";#N/A,#N/A,TRUE,"Stack";#N/A,#N/A,TRUE,"Budget";#N/A,#N/A,TRUE,"Condo Summary";#N/A,#N/A,TRUE,"Condo Sellout Summary"}</definedName>
    <definedName name="wrn.output3" localSheetId="2" hidden="1">{#N/A,#N/A,TRUE,"Summary";#N/A,#N/A,TRUE,"Assumptions";#N/A,#N/A,TRUE,"Stack";#N/A,#N/A,TRUE,"Budget";#N/A,#N/A,TRUE,"Condo Summary";#N/A,#N/A,TRUE,"Condo Sellout Summary"}</definedName>
    <definedName name="wrn.output4" localSheetId="2" hidden="1">{#N/A,#N/A,TRUE,"Summary";#N/A,#N/A,TRUE,"Assumptions";#N/A,#N/A,TRUE,"Stack";#N/A,#N/A,TRUE,"Budget";#N/A,#N/A,TRUE,"Condo Summary";#N/A,#N/A,TRUE,"Condo Sellout Summary"}</definedName>
    <definedName name="wrn.output4a" localSheetId="2" hidden="1">{#N/A,#N/A,TRUE,"Summary";#N/A,#N/A,TRUE,"Assumptions";#N/A,#N/A,TRUE,"Stack";#N/A,#N/A,TRUE,"Budget";#N/A,#N/A,TRUE,"Condo Summary";#N/A,#N/A,TRUE,"Condo Sellout Summary"}</definedName>
    <definedName name="wrn.output4b" localSheetId="2" hidden="1">{#N/A,#N/A,TRUE,"Summary";#N/A,#N/A,TRUE,"Assumptions";#N/A,#N/A,TRUE,"Stack";#N/A,#N/A,TRUE,"Budget";#N/A,#N/A,TRUE,"Condo Summary";#N/A,#N/A,TRUE,"Condo Sellout Summary"}</definedName>
    <definedName name="wrn.P854._.ADDENDUM." localSheetId="2" hidden="1">{#N/A,#N/A,FALSE,"mgtsum.XLS";#N/A,#N/A,FALSE,"CAPONE";#N/A,#N/A,FALSE,"CAPTWO";#N/A,#N/A,FALSE,"CAPTHREE"}</definedName>
    <definedName name="wrn.p854._.addendum2" localSheetId="2" hidden="1">{#N/A,#N/A,FALSE,"mgtsum.XLS";#N/A,#N/A,FALSE,"CAPONE";#N/A,#N/A,FALSE,"CAPTWO";#N/A,#N/A,FALSE,"CAPTHREE"}</definedName>
    <definedName name="wrn.p854._.addendum3" localSheetId="2" hidden="1">{#N/A,#N/A,FALSE,"mgtsum.XLS";#N/A,#N/A,FALSE,"CAPONE";#N/A,#N/A,FALSE,"CAPTWO";#N/A,#N/A,FALSE,"CAPTHREE"}</definedName>
    <definedName name="wrn.PL._.Analysis." localSheetId="2" hidden="1">{"AnalRSA",#N/A,TRUE,"PL-Anal";"AnalIAS",#N/A,TRUE,"PL-Anal"}</definedName>
    <definedName name="wrn.Present." localSheetId="2" hidden="1">{"Present",#N/A,FALSE,"Assump";"Present",#N/A,FALSE,"Calc";"Present",#N/A,FALSE,"Cover"}</definedName>
    <definedName name="wrn.Print._.All." localSheetId="2"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2" hidden="1">{#N/A,#N/A,FALSE,"OUTPUT SHEET "}</definedName>
    <definedName name="wrn.Profile." localSheetId="2" hidden="1">{"View 1",#N/A,FALSE,"Profile";"View 2",#N/A,FALSE,"Profile";"View 3",#N/A,FALSE,"Profile"}</definedName>
    <definedName name="wrn.re_xoa2" localSheetId="2"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1." localSheetId="2" hidden="1">{#N/A,#N/A,FALSE,"特殊室（ＢＱ表）"}</definedName>
    <definedName name="wrn.reports." localSheetId="2" hidden="1">{#N/A,#N/A,FALSE,"Project Summary";#N/A,#N/A,FALSE,"Parameter Summary";#N/A,#N/A,FALSE,"Budget Control Report";#N/A,#N/A,FALSE,"DETAIL.XLS"}</definedName>
    <definedName name="wrn.Residential." localSheetId="2" hidden="1">{"ECA Qtrs C",#N/A,TRUE,"ECA_Qtrs_C";"ECA Qtrs D",#N/A,TRUE,"ECA_Qtrs_D";"ECA Qtrs F",#N/A,TRUE,"ECA_Qtrs_F";"ECA Qtrs G",#N/A,TRUE,"ECA_Qtrs_G";"ECA SisterApt",#N/A,TRUE,"ECA_SisterApt";"ECA Nurses",#N/A,TRUE,"ECA_NursesHostel"}</definedName>
    <definedName name="wrn.Residential._1" localSheetId="2" hidden="1">{"ECA Qtrs C",#N/A,TRUE,"ECA_Qtrs_C";"ECA Qtrs D",#N/A,TRUE,"ECA_Qtrs_D";"ECA Qtrs F",#N/A,TRUE,"ECA_Qtrs_F";"ECA Qtrs G",#N/A,TRUE,"ECA_Qtrs_G";"ECA SisterApt",#N/A,TRUE,"ECA_SisterApt";"ECA Nurses",#N/A,TRUE,"ECA_NursesHostel"}</definedName>
    <definedName name="wrn.Ride._.Estimate." localSheetId="2" hidden="1">{#N/A,#N/A,TRUE,"Cover Memo";"Ride Estimate",#N/A,TRUE,"Change Summary";"Ride Estimate",#N/A,TRUE,"Estimate Summary";"Ride Estimate",#N/A,TRUE,"Dept. Summary";"Ride Estimate",#N/A,TRUE,"DOW Detail"}</definedName>
    <definedName name="wrn.RSA._.BS._.and._.PL." localSheetId="2" hidden="1">{"BS1",#N/A,TRUE,"RSA_FS";"BS2",#N/A,TRUE,"RSA_FS";"BS3",#N/A,TRUE,"RSA_FS"}</definedName>
    <definedName name="wrn.SCHEDULE." localSheetId="2" hidden="1">{"SCHEDULE",#N/A,FALSE,"Fin_sched"}</definedName>
    <definedName name="wrn.SE." localSheetId="2" hidden="1">{#N/A,#N/A,FALSE,"GAZ_CP500ML";#N/A,#N/A,FALSE,"VARI_SE_CP900ML";#N/A,#N/A,FALSE,"VARI_SE_CP70ML";#N/A,#N/A,FALSE,"ALS_CP70ML";#N/A,#N/A,FALSE,"AMB_CP70ML";#N/A,#N/A,FALSE,"MAK_CP250ML";#N/A,#N/A,FALSE,"ATT_CP70ML";#N/A,#N/A,FALSE,"DAL_CP70ML";#N/A,#N/A,FALSE,"VARI_SE_CP330ML_E";#N/A,#N/A,FALSE,"AMB_CP250ML"}</definedName>
    <definedName name="wrn.Show._.Estimate." localSheetId="2" hidden="1">{#N/A,#N/A,TRUE,"Cover Memo";"Show Estimate",#N/A,TRUE,"Change Summary";"Show Estimate",#N/A,TRUE,"Estimate Summary";"Show Estimate",#N/A,TRUE,"Dept. Summary";"Show Estimate",#N/A,TRUE,"DOW Detail"}</definedName>
    <definedName name="wrn.Site._.expenses." localSheetId="2" hidden="1">{#N/A,#N/A,FALSE,"Expenses";#N/A,#N/A,FALSE,"Expenses"}</definedName>
    <definedName name="wrn.STANDARD._.RACKS." localSheetId="2" hidden="1">{"IMRAK42x8x8",#N/A,TRUE,"IMRAK 1400 42U 800X800";"IMRAK32x6x6",#N/A,TRUE,"IMRAK 1400 32U 600x600";"IMRAK42x12x8",#N/A,TRUE,"IMRAK 1400 42U 1200x800";"IMRAK15x6x4",#N/A,TRUE,"IMRAK 400 15U FRONT SECTION"}</definedName>
    <definedName name="wrn.Structural._.Frame." localSheetId="2" hidden="1">{"structural",#N/A,FALSE,"DETAIL.XLS"}</definedName>
    <definedName name="wrn.SUMMARY." localSheetId="2" hidden="1">{"SUMMARY",#N/A,FALSE,"Fin_sched"}</definedName>
    <definedName name="wrn.TEST." localSheetId="2" hidden="1">{#N/A,#N/A,FALSE,"估價單  (3)"}</definedName>
    <definedName name="wrn.test1." localSheetId="2" hidden="1">{#N/A,#N/A,FALSE,"명세표"}</definedName>
    <definedName name="wrn.TOTALE." localSheetId="2" hidden="1">{"sintesi",#N/A,FALSE,"contrib_unit";"dett_materiali",#N/A,FALSE,"contrib_unit";"dett_lav.ne",#N/A,FALSE,"contrib_unit";"dett_altre_ind.li",#N/A,FALSE,"contrib_unit";"dett_commerciali",#N/A,FALSE,"contrib_unit"}</definedName>
    <definedName name="wrn.tou구매." localSheetId="2" hidden="1">{#N/A,#N/A,FALSE,"견적대비-2"}</definedName>
    <definedName name="wrn.vd." localSheetId="2" hidden="1">{#N/A,#N/A,TRUE,"BT M200 da 10x20"}</definedName>
    <definedName name="WRN.VOLTAGE." localSheetId="2" hidden="1">{#N/A,#N/A,FALSE,"Sheet2";#N/A,#N/A,FALSE,"Sheet4";#N/A,#N/A,FALSE,"Sheet6"}</definedName>
    <definedName name="wrn.Warrington._.Widnes._.QS._.Costs." localSheetId="2" hidden="1">{#N/A,#N/A,TRUE,"Cover";#N/A,#N/A,TRUE,"Conts";#N/A,#N/A,TRUE,"VOS";#N/A,#N/A,TRUE,"Warrington";#N/A,#N/A,TRUE,"Widnes"}</definedName>
    <definedName name="wrn.Общая._.спецификация." localSheetId="2"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2" hidden="1">{#N/A,#N/A,FALSE,"buildings"}</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 hidden="1">{#N/A,#N/A,FALSE,"사업총괄";#N/A,#N/A,FALSE,"장비사업";#N/A,#N/A,FALSE,"철구사업";#N/A,#N/A,FALSE,"준설사업"}</definedName>
    <definedName name="wrn.견적." localSheetId="2" hidden="1">{#N/A,#N/A,FALSE,"Sheet1";#N/A,#N/A,FALSE,"Sheet2";#N/A,#N/A,FALSE,"TAB96-1"}</definedName>
    <definedName name="wrn.고희석." localSheetId="2" hidden="1">{#N/A,#N/A,FALSE,"교리2"}</definedName>
    <definedName name="wrn.골재소요량." localSheetId="2" hidden="1">{#N/A,#N/A,FALSE,"골재소요량";#N/A,#N/A,FALSE,"골재소요량"}</definedName>
    <definedName name="wrn.교육청." localSheetId="2" hidden="1">{#N/A,#N/A,FALSE,"전력간선"}</definedName>
    <definedName name="wrn.교육청.1" localSheetId="2" hidden="1">{#N/A,#N/A,FALSE,"전력간선"}</definedName>
    <definedName name="wrn.구조2." localSheetId="2" hidden="1">{#N/A,#N/A,FALSE,"구조2"}</definedName>
    <definedName name="wrn.기성." localSheetId="2" hidden="1">{#N/A,#N/A,FALSE,"신청통보";#N/A,#N/A,FALSE,"기성확인서";#N/A,#N/A,FALSE,"기성내역서"}</definedName>
    <definedName name="wrn.기초." localSheetId="2" hidden="1">{#N/A,#N/A,FALSE,"터빈집계";#N/A,#N/A,FALSE,"터빈내역";#N/A,#N/A,FALSE,"보일러집계";#N/A,#N/A,FALSE,"보일러내역"}</definedName>
    <definedName name="wrn.단가표지." localSheetId="2" hidden="1">{#N/A,#N/A,FALSE,"단가표지"}</definedName>
    <definedName name="wrn.담배인삼공사._.실행품의." localSheetId="2" hidden="1">{#N/A,#N/A,FALSE,"품의서";#N/A,#N/A,FALSE,"견적실행대비분석표";#N/A,#N/A,FALSE,"공종별도급대비견적실행";#N/A,#N/A,FALSE,"외주공사 추정금액";#N/A,#N/A,FALSE,"공종별도급대비계약현황";#N/A,#N/A,FALSE,"공종별도급대비견적현황"}</definedName>
    <definedName name="wrn.리스현황." localSheetId="2" hidden="1">{#N/A,#N/A,FALSE,"집계표"}</definedName>
    <definedName name="wrn.배수1." localSheetId="2" hidden="1">{#N/A,#N/A,FALSE,"배수1"}</definedName>
    <definedName name="wrn.배수2." localSheetId="2" hidden="1">{#N/A,#N/A,FALSE,"배수2"}</definedName>
    <definedName name="wrn.변경예산." localSheetId="2" hidden="1">{#N/A,#N/A,FALSE,"변경관리예산";#N/A,#N/A,FALSE,"변경장비예산";#N/A,#N/A,FALSE,"변경준설예산";#N/A,#N/A,FALSE,"변경철구예산"}</definedName>
    <definedName name="wrn.보일러마감." localSheetId="2" hidden="1">{#N/A,#N/A,FALSE,"물가변동 (2)";#N/A,#N/A,FALSE,"공사비";#N/A,#N/A,FALSE,"사급";#N/A,#N/A,FALSE,"도급집계";#N/A,#N/A,FALSE,"재료비";#N/A,#N/A,FALSE,"노무비";#N/A,#N/A,FALSE,"경비"}</definedName>
    <definedName name="wrn.부대1." localSheetId="2" hidden="1">{#N/A,#N/A,FALSE,"부대1"}</definedName>
    <definedName name="wrn.부대2." localSheetId="2" hidden="1">{#N/A,#N/A,FALSE,"부대2"}</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2" hidden="1">{#N/A,#N/A,FALSE,"도급대비시행율";#N/A,#N/A,FALSE,"결의서";#N/A,#N/A,FALSE,"내역서";#N/A,#N/A,FALSE,"도급예상"}</definedName>
    <definedName name="wrn.신용찬." localSheetId="2"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예상손익." localSheetId="2" hidden="1">{#N/A,#N/A,FALSE,"예상손익";#N/A,#N/A,FALSE,"관리분석";#N/A,#N/A,FALSE,"장비분석";#N/A,#N/A,FALSE,"준설분석";#N/A,#N/A,FALSE,"철구분석"}</definedName>
    <definedName name="wrn.외주기성." localSheetId="2" hidden="1">{#N/A,#N/A,FALSE,"신청통보";#N/A,#N/A,FALSE,"기성확인서";#N/A,#N/A,FALSE,"기성내역서"}</definedName>
    <definedName name="wrn.운반시간." localSheetId="2" hidden="1">{#N/A,#N/A,FALSE,"운반시간"}</definedName>
    <definedName name="wrn.이정표." localSheetId="2" hidden="1">{#N/A,#N/A,FALSE,"이정표"}</definedName>
    <definedName name="wrn.이태원._.철근." localSheetId="2" hidden="1">{#N/A,#N/A,FALSE,"이태원철근"}</definedName>
    <definedName name="wrn.전열선출서." localSheetId="2" hidden="1">{#N/A,#N/A,FALSE,"전열산출서"}</definedName>
    <definedName name="wrn.조골재." localSheetId="2" hidden="1">{#N/A,#N/A,FALSE,"조골재"}</definedName>
    <definedName name="wrn.종점1" localSheetId="2" hidden="1">{#N/A,#N/A,FALSE,"이정표"}</definedName>
    <definedName name="wrn.주간보고." localSheetId="2" hidden="1">{#N/A,#N/A,FALSE,"주간공정";#N/A,#N/A,FALSE,"주간보고";#N/A,#N/A,FALSE,"주간공정표"}</definedName>
    <definedName name="wrn.중공업군포견적서." localSheetId="2" hidden="1">{#N/A,#N/A,FALSE,"견적갑지";#N/A,#N/A,FALSE,"총괄표";#N/A,#N/A,FALSE,"철골공사";#N/A,#N/A,FALSE,"토목공사";#N/A,#N/A,FALSE,"판넬전기공사"}</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2" hidden="1">{#N/A,#N/A,FALSE,"품의서";#N/A,#N/A,FALSE,"견적실행대비분석표";#N/A,#N/A,FALSE,"공종별도급대비견적실행";#N/A,#N/A,FALSE,"외주공사 추정금액";#N/A,#N/A,FALSE,"공종별도급대비계약현황"}</definedName>
    <definedName name="wrn.집기비품보고서._.품목별._.및._.현장별._.집계표." localSheetId="2" hidden="1">{#N/A,#N/A,FALSE,"Sheet6"}</definedName>
    <definedName name="wrn.철골집계표._.5칸." localSheetId="2" hidden="1">{#N/A,#N/A,FALSE,"Sheet1"}</definedName>
    <definedName name="wrn.토공1." localSheetId="2" hidden="1">{#N/A,#N/A,FALSE,"구조1"}</definedName>
    <definedName name="wrn.토공2." localSheetId="2" hidden="1">{#N/A,#N/A,FALSE,"토공2"}</definedName>
    <definedName name="wrn.통신지." localSheetId="2" hidden="1">{#N/A,#N/A,FALSE,"기안지";#N/A,#N/A,FALSE,"통신지"}</definedName>
    <definedName name="wrn.포장1." localSheetId="2" hidden="1">{#N/A,#N/A,FALSE,"포장1";#N/A,#N/A,FALSE,"포장1"}</definedName>
    <definedName name="wrn.포장2." localSheetId="2" hidden="1">{#N/A,#N/A,FALSE,"포장2"}</definedName>
    <definedName name="wrn.포장단가." localSheetId="2" hidden="1">{#N/A,#N/A,FALSE,"포장단가"}</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2" hidden="1">{#N/A,#N/A,FALSE,"표지"}</definedName>
    <definedName name="wrn.표지목차." localSheetId="2" hidden="1">{#N/A,#N/A,FALSE,"표지목차"}</definedName>
    <definedName name="wrn.현장._.NCR._.분석." localSheetId="2" hidden="1">{#N/A,#N/A,FALSE,"현장 NCR 분석";#N/A,#N/A,FALSE,"현장품질감사";#N/A,#N/A,FALSE,"현장품질감사"}</definedName>
    <definedName name="wrn.혼합골재." localSheetId="2" hidden="1">{#N/A,#N/A,FALSE,"혼합골재"}</definedName>
    <definedName name="wrn_xoa2" localSheetId="2" hidden="1">{#N/A,#N/A,FALSE,"Chi tiÆt"}</definedName>
    <definedName name="WRNE.CHARTS" localSheetId="2" hidden="1">{"Chart 1",#N/A,TRUE,"Charts";"Chart 2",#N/A,TRUE,"Charts"}</definedName>
    <definedName name="wrnf.report" localSheetId="2" hidden="1">{"Offgrid",#N/A,FALSE,"OFFGRID";"Region",#N/A,FALSE,"REGION";"Offgrid -2",#N/A,FALSE,"OFFGRID";"WTP",#N/A,FALSE,"WTP";"WTP -2",#N/A,FALSE,"WTP";"Project",#N/A,FALSE,"PROJECT";"Summary -2",#N/A,FALSE,"SUMMARY"}</definedName>
    <definedName name="wrnf_xoa2" localSheetId="2" hidden="1">{"Offgrid",#N/A,FALSE,"OFFGRID";"Region",#N/A,FALSE,"REGION";"Offgrid -2",#N/A,FALSE,"OFFGRID";"WTP",#N/A,FALSE,"WTP";"WTP -2",#N/A,FALSE,"WTP";"Project",#N/A,FALSE,"PROJECT";"Summary -2",#N/A,FALSE,"SUMMARY"}</definedName>
    <definedName name="WRS" localSheetId="2" hidden="1">{"'장비'!$A$3:$M$12"}</definedName>
    <definedName name="WRTWE" localSheetId="2" hidden="1">{"'Sheet1'!$L$16"}</definedName>
    <definedName name="wrty" localSheetId="2" hidden="1">{"'용역비'!$A$4:$C$8"}</definedName>
    <definedName name="wrtyrtyrt" localSheetId="2" hidden="1">{"'용역비'!$A$4:$C$8"}</definedName>
    <definedName name="wrtywrtywr" localSheetId="2" hidden="1">{"'용역비'!$A$4:$C$8"}</definedName>
    <definedName name="wuy" localSheetId="2" hidden="1">{"'용역비'!$A$4:$C$8"}</definedName>
    <definedName name="wvu.박경희."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2" hidden="1">{"'Sheet1'!$L$16"}</definedName>
    <definedName name="WWF" localSheetId="2" hidden="1">{"'Sheet1'!$L$16"}</definedName>
    <definedName name="wwhwhwrh" localSheetId="2" hidden="1">{"'Sheet1'!$L$16"}</definedName>
    <definedName name="www" localSheetId="2" hidden="1">{"ECA Qtrs C",#N/A,TRUE,"ECA_Qtrs_C";"ECA Qtrs D",#N/A,TRUE,"ECA_Qtrs_D";"ECA Qtrs F",#N/A,TRUE,"ECA_Qtrs_F";"ECA Qtrs G",#N/A,TRUE,"ECA_Qtrs_G";"ECA SisterApt",#N/A,TRUE,"ECA_SisterApt";"ECA Nurses",#N/A,TRUE,"ECA_NursesHostel"}</definedName>
    <definedName name="www_1" localSheetId="2" hidden="1">{"ECA Qtrs C",#N/A,TRUE,"ECA_Qtrs_C";"ECA Qtrs D",#N/A,TRUE,"ECA_Qtrs_D";"ECA Qtrs F",#N/A,TRUE,"ECA_Qtrs_F";"ECA Qtrs G",#N/A,TRUE,"ECA_Qtrs_G";"ECA SisterApt",#N/A,TRUE,"ECA_SisterApt";"ECA Nurses",#N/A,TRUE,"ECA_NursesHostel"}</definedName>
    <definedName name="wwwrwee" localSheetId="2" hidden="1">{"'Sheet1'!$L$16"}</definedName>
    <definedName name="WWWW" localSheetId="2" hidden="1">{"'Sheet1'!$L$16"}</definedName>
    <definedName name="wwwwwww" localSheetId="2" hidden="1">{"Offgrid",#N/A,FALSE,"OFFGRID";"Region",#N/A,FALSE,"REGION";"Offgrid -2",#N/A,FALSE,"OFFGRID";"WTP",#N/A,FALSE,"WTP";"WTP -2",#N/A,FALSE,"WTP";"Project",#N/A,FALSE,"PROJECT";"Summary -2",#N/A,FALSE,"SUMMARY"}</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2" hidden="1">{"'Sheet1'!$L$16"}</definedName>
    <definedName name="XDKT" localSheetId="2" hidden="1">{"NGUYEN QUI THIEP - Personal View",#N/A,FALSE,"XDCB.HT.FUR."}</definedName>
    <definedName name="xf" localSheetId="2" hidden="1">{#N/A,#N/A,FALSE,"Sheet6"}</definedName>
    <definedName name="XFBDSBSB" localSheetId="2" hidden="1">{"'Sheet1'!$L$16"}</definedName>
    <definedName name="XFHGHTD" localSheetId="2" hidden="1">{"'Sheet1'!$L$16"}</definedName>
    <definedName name="xls." localSheetId="2" hidden="1">{"'Break down'!$A$4"}</definedName>
    <definedName name="xlttbninh" localSheetId="2" hidden="1">{"'Sheet1'!$L$16"}</definedName>
    <definedName name="XN908nam2003" localSheetId="2" hidden="1">{"'Sheet1'!$L$16"}</definedName>
    <definedName name="xoa1" localSheetId="2" hidden="1">{"'Sheet1'!$L$16"}</definedName>
    <definedName name="xoa1_1" localSheetId="2" hidden="1">{"'Sheet1'!$L$16"}</definedName>
    <definedName name="xoa2" localSheetId="2" hidden="1">{#N/A,#N/A,FALSE,"Chi tiÆt"}</definedName>
    <definedName name="xoa3" localSheetId="2" hidden="1">{"Offgrid",#N/A,FALSE,"OFFGRID";"Region",#N/A,FALSE,"REGION";"Offgrid -2",#N/A,FALSE,"OFFGRID";"WTP",#N/A,FALSE,"WTP";"WTP -2",#N/A,FALSE,"WTP";"Project",#N/A,FALSE,"PROJECT";"Summary -2",#N/A,FALSE,"SUMMARY"}</definedName>
    <definedName name="xoa4" localSheetId="2" hidden="1">{"Offgrid",#N/A,FALSE,"OFFGRID";"Region",#N/A,FALSE,"REGION";"Offgrid -2",#N/A,FALSE,"OFFGRID";"WTP",#N/A,FALSE,"WTP";"WTP -2",#N/A,FALSE,"WTP";"Project",#N/A,FALSE,"PROJECT";"Summary -2",#N/A,FALSE,"SUMMARY"}</definedName>
    <definedName name="xscxz" localSheetId="2" hidden="1">{"'Sheet1'!$L$16"}</definedName>
    <definedName name="xu" localSheetId="2" hidden="1">{#N/A,#N/A,FALSE,"Chi tiÆt"}</definedName>
    <definedName name="XuÊt8" localSheetId="2" hidden="1">{"'Sheet1'!$L$16"}</definedName>
    <definedName name="xvxcvxc" localSheetId="2" hidden="1">{"'Sheet1'!$L$16"}</definedName>
    <definedName name="XVXZ" localSheetId="2" hidden="1">{"'Sheet1'!$L$16"}</definedName>
    <definedName name="xxx" localSheetId="2" hidden="1">{"'Sheet1'!$L$16"}</definedName>
    <definedName name="XXXAAAA" localSheetId="2" hidden="1">{"'Sheet1'!$L$16"}</definedName>
    <definedName name="XXXAAAA_1" localSheetId="2" hidden="1">{"'Sheet1'!$L$16"}</definedName>
    <definedName name="ｘｘｘｘ" localSheetId="2" hidden="1">{"'Sheet1'!$L$16"}</definedName>
    <definedName name="ｘｘｘｘｘ" localSheetId="2" hidden="1">{"'Sheet1'!$L$16"}</definedName>
    <definedName name="xxxxxxx" localSheetId="2" hidden="1">{#N/A,#N/A,FALSE,"MARCH"}</definedName>
    <definedName name="y" localSheetId="2" hidden="1">{#N/A,#N/A,FALSE,"Chi tiÆt"}</definedName>
    <definedName name="ỵ" localSheetId="2" hidden="1">{"'Sheet1'!$L$16"}</definedName>
    <definedName name="y5ey3y33y3" localSheetId="2" hidden="1">{#N/A,#N/A,FALSE,"Chi tiÆt"}</definedName>
    <definedName name="Y5T45" localSheetId="2" hidden="1">{"'Sheet1'!$L$16"}</definedName>
    <definedName name="ỳdhgg" localSheetId="2" hidden="1">{"'Sheet1'!$L$16"}</definedName>
    <definedName name="ýenda" localSheetId="2" hidden="1">{"'Sheet1'!$L$16"}</definedName>
    <definedName name="yeryewy3" localSheetId="2" hidden="1">{#N/A,#N/A,TRUE,"1";#N/A,#N/A,TRUE,"2";#N/A,#N/A,TRUE,"3";#N/A,#N/A,TRUE,"4";#N/A,#N/A,TRUE,"5";#N/A,#N/A,TRUE,"6";#N/A,#N/A,TRUE,"7"}</definedName>
    <definedName name="YFU" localSheetId="2" hidden="1">{"'용역비'!$A$4:$C$8"}</definedName>
    <definedName name="yhetyt"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2" hidden="1">{"'Sheet1'!$L$16"}</definedName>
    <definedName name="yidti" localSheetId="2" hidden="1">{"'Sheet1'!$L$16"}</definedName>
    <definedName name="YSY" localSheetId="2" hidden="1">{#N/A,#N/A,FALSE,"Sheet2";#N/A,#N/A,FALSE,"Sheet4";#N/A,#N/A,FALSE,"Sheet6"}</definedName>
    <definedName name="yteye5y" localSheetId="2" hidden="1">{"'Sheet1'!$L$16"}</definedName>
    <definedName name="YTJTY" localSheetId="2" hidden="1">{0,0,0,0}</definedName>
    <definedName name="YTYT" localSheetId="2" hidden="1">{"'Sheet1'!$L$16"}</definedName>
    <definedName name="yu" localSheetId="2" hidden="1">{#N/A,#N/A,FALSE,"Sheet6"}</definedName>
    <definedName name="ỵu" localSheetId="2" hidden="1">{"'Sheet1'!$L$16"}</definedName>
    <definedName name="yuj" localSheetId="2" hidden="1">{#N/A,#N/A,TRUE,"1";#N/A,#N/A,TRUE,"2";#N/A,#N/A,TRUE,"3";#N/A,#N/A,TRUE,"4";#N/A,#N/A,TRUE,"5";#N/A,#N/A,TRUE,"6";#N/A,#N/A,TRUE,"7"}</definedName>
    <definedName name="YUK" localSheetId="2" hidden="1">{"'용역비'!$A$4:$C$8"}</definedName>
    <definedName name="YUTY" localSheetId="2" hidden="1">{#N/A,#N/A,FALSE,"Sheet6"}</definedName>
    <definedName name="yy" localSheetId="2" hidden="1">{"'장비'!$A$3:$M$12"}</definedName>
    <definedName name="yyiiyff" localSheetId="2" hidden="1">{#N/A,#N/A,FALSE,"Chi tiÆt"}</definedName>
    <definedName name="yyjy_ukyu" localSheetId="2" hidden="1">{"'Sheet1'!$L$16"}</definedName>
    <definedName name="ｙｙｙ" localSheetId="2" hidden="1">{"'Sheet1'!$L$16"}</definedName>
    <definedName name="yyyyy" localSheetId="2" hidden="1">{#N/A,#N/A,FALSE,"이정표"}</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2" hidden="1">{"'용역비'!$A$4:$C$8"}</definedName>
    <definedName name="ZCZXC" localSheetId="2" hidden="1">{"'Sheet1'!$L$16"}</definedName>
    <definedName name="zKm2" localSheetId="2" hidden="1">{"'Sheet1'!$L$16"}</definedName>
    <definedName name="zscsxz" localSheetId="2" hidden="1">{"'Sheet1'!$L$16"}</definedName>
    <definedName name="ZXC" localSheetId="2" hidden="1">{#N/A,#N/A,FALSE,"이태원철근"}</definedName>
    <definedName name="ZXzX" localSheetId="2" hidden="1">{"'Sheet1'!$L$16"}</definedName>
    <definedName name="zxzxasasas" localSheetId="2" hidden="1">{#N/A,#N/A,FALSE,"Chi tiÆt"}</definedName>
    <definedName name="ｚｚｚｚｚ" localSheetId="2" hidden="1">{"'Sheet1'!$L$16"}</definedName>
    <definedName name="ｚｚｚｚｚｚ" localSheetId="2" hidden="1">{"'Sheet1'!$L$16"}</definedName>
    <definedName name="аореалорпио" localSheetId="2" hidden="1">{#N/A,#N/A,FALSE,"GAZ_CP500ML";#N/A,#N/A,FALSE,"VARI_SE_CP900ML";#N/A,#N/A,FALSE,"VARI_SE_CP70ML";#N/A,#N/A,FALSE,"ALS_CP70ML";#N/A,#N/A,FALSE,"AMB_CP70ML";#N/A,#N/A,FALSE,"MAK_CP250ML";#N/A,#N/A,FALSE,"ATT_CP70ML";#N/A,#N/A,FALSE,"DAL_CP70ML";#N/A,#N/A,FALSE,"VARI_SE_CP330ML_E";#N/A,#N/A,FALSE,"AMB_CP250ML"}</definedName>
    <definedName name="нне" localSheetId="2" hidden="1">{"sintesi",#N/A,FALSE,"contrib_unit";"dett_materiali",#N/A,FALSE,"contrib_unit";"dett_lav.ne",#N/A,FALSE,"contrib_unit";"dett_altre_ind.li",#N/A,FALSE,"contrib_unit";"dett_commerciali",#N/A,FALSE,"contrib_unit"}</definedName>
    <definedName name="あ" localSheetId="2" hidden="1">{"'Sheet1'!$L$16"}</definedName>
    <definedName name="ああ" localSheetId="2" hidden="1">{"'Sheet1'!$L$16"}</definedName>
    <definedName name="あああ" localSheetId="2" hidden="1">{"'Sheet1'!$L$16"}</definedName>
    <definedName name="ああああ" localSheetId="2" hidden="1">{"'Sheet1'!$L$16"}</definedName>
    <definedName name="あああああ" localSheetId="2" hidden="1">{"'Sheet1'!$L$16"}</definedName>
    <definedName name="ううう" localSheetId="2" hidden="1">{"'Sheet1'!$L$16"}</definedName>
    <definedName name="えええ" localSheetId="2" hidden="1">{"'Sheet1'!$L$16"}</definedName>
    <definedName name="んｎ" localSheetId="2" hidden="1">{"'Sheet1'!$L$16"}</definedName>
    <definedName name="んんｎ" localSheetId="2" hidden="1">{"'Sheet1'!$L$16"}</definedName>
    <definedName name="ㄱ" localSheetId="2" hidden="1">{#N/A,#N/A,FALSE,"골재소요량";#N/A,#N/A,FALSE,"골재소요량"}</definedName>
    <definedName name="ㄱㄱ" localSheetId="2" hidden="1">{#N/A,#N/A,FALSE,"전력간선"}</definedName>
    <definedName name="ㄱㄱㄱ" localSheetId="2" hidden="1">{#N/A,#N/A,FALSE,"표지목차"}</definedName>
    <definedName name="ㄱㄱㄱㄱ" localSheetId="2" hidden="1">{#N/A,#N/A,FALSE,"지침";#N/A,#N/A,FALSE,"환경분석";#N/A,#N/A,FALSE,"Sheet16"}</definedName>
    <definedName name="ㄱㄱㄱㄱㄱ" localSheetId="2" hidden="1">{#N/A,#N/A,FALSE,"교리2"}</definedName>
    <definedName name="ㄱㄱㄱㅎ" localSheetId="2" hidden="1">{#N/A,#N/A,FALSE,"Sheet6"}</definedName>
    <definedName name="ㄱㄷㄱ" localSheetId="2" hidden="1">{#N/A,#N/A,FALSE,"Sheet6"}</definedName>
    <definedName name="ㄱㄷㄱㄷㄱㄱㅎㄺㄷ" localSheetId="2" hidden="1">{"'장비'!$A$3:$M$12"}</definedName>
    <definedName name="ㄱㄷㄱㄷㄱ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2" hidden="1">{#N/A,#N/A,FALSE,"Sheet6"}</definedName>
    <definedName name="ㄱㄷㅈㄱㄷㅈㄱㅈㄷ" localSheetId="2" hidden="1">{#N/A,#N/A,FALSE,"혼합골재"}</definedName>
    <definedName name="ㄱㄹ홍ㄱ호" localSheetId="2" hidden="1">{#N/A,#N/A,FALSE,"Sheet6"}</definedName>
    <definedName name="ㄱ서ㅗㅇ" localSheetId="2" hidden="1">{#N/A,#N/A,FALSE,"집계표"}</definedName>
    <definedName name="ㄱ솧" localSheetId="2" hidden="1">{#N/A,#N/A,FALSE,"집계표"}</definedName>
    <definedName name="ㄱ쇽" localSheetId="2" hidden="1">{#N/A,#N/A,FALSE,"Sheet6"}</definedName>
    <definedName name="가" localSheetId="2" hidden="1">{#N/A,#N/A,FALSE,"골재소요량";#N/A,#N/A,FALSE,"골재소요량"}</definedName>
    <definedName name="가설건물면적산정" localSheetId="2" hidden="1">{#N/A,#N/A,FALSE,"사업총괄";#N/A,#N/A,FALSE,"장비사업";#N/A,#N/A,FALSE,"철구사업";#N/A,#N/A,FALSE,"준설사업"}</definedName>
    <definedName name="가설공사" localSheetId="2" hidden="1">{#N/A,#N/A,FALSE,"예상손익";#N/A,#N/A,FALSE,"관리분석";#N/A,#N/A,FALSE,"장비분석";#N/A,#N/A,FALSE,"준설분석";#N/A,#N/A,FALSE,"철구분석"}</definedName>
    <definedName name="가실행1" localSheetId="2" hidden="1">{#N/A,#N/A,FALSE,"배수1"}</definedName>
    <definedName name="가재가시설" localSheetId="2" hidden="1">{#N/A,#N/A,FALSE,"Sheet6"}</definedName>
    <definedName name="간접비" localSheetId="2" hidden="1">{#N/A,#N/A,FALSE,"갑지";#N/A,#N/A,FALSE,"개요";#N/A,#N/A,FALSE,"비목별";#N/A,#N/A,FALSE,"건물별";#N/A,#N/A,FALSE,"기구표";#N/A,#N/A,FALSE,"직원투입"}</definedName>
    <definedName name="간접비1" localSheetId="2" hidden="1">{#N/A,#N/A,FALSE,"갑지";#N/A,#N/A,FALSE,"개요";#N/A,#N/A,FALSE,"비목별";#N/A,#N/A,FALSE,"건물별";#N/A,#N/A,FALSE,"기구표";#N/A,#N/A,FALSE,"직원투입"}</definedName>
    <definedName name="간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2" hidden="1">{#N/A,#N/A,FALSE,"지침";#N/A,#N/A,FALSE,"환경분석";#N/A,#N/A,FALSE,"Sheet16"}</definedName>
    <definedName name="감복만" localSheetId="2" hidden="1">{#N/A,#N/A,FALSE,"교리2"}</definedName>
    <definedName name="감승주" localSheetId="2" hidden="1">{#N/A,#N/A,FALSE,"교리2"}</definedName>
    <definedName name="갑지02" localSheetId="2" hidden="1">{#N/A,#N/A,FALSE,"Sheet6"}</definedName>
    <definedName name="갑지2" localSheetId="2" hidden="1">{#N/A,#N/A,FALSE,"CCTV"}</definedName>
    <definedName name="갑지3" localSheetId="2" hidden="1">{#N/A,#N/A,FALSE,"CCTV"}</definedName>
    <definedName name="갑지외" localSheetId="2" hidden="1">{#N/A,#N/A,FALSE,"CCTV"}</definedName>
    <definedName name="강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2" hidden="1">{#N/A,#N/A,FALSE,"포장2"}</definedName>
    <definedName name="강구조물" localSheetId="2" hidden="1">{#N/A,#N/A,FALSE,"포장1";#N/A,#N/A,FALSE,"포장1"}</definedName>
    <definedName name="강종식"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2" hidden="1">{#N/A,#N/A,FALSE,"예상손익";#N/A,#N/A,FALSE,"관리분석";#N/A,#N/A,FALSE,"장비분석";#N/A,#N/A,FALSE,"준설분석";#N/A,#N/A,FALSE,"철구분석"}</definedName>
    <definedName name="거소" localSheetId="2" hidden="1">{#N/A,#N/A,FALSE,"집계표"}</definedName>
    <definedName name="거추서" localSheetId="2" hidden="1">{#N/A,#N/A,FALSE,"견적갑지";#N/A,#N/A,FALSE,"총괄표";#N/A,#N/A,FALSE,"철골공사";#N/A,#N/A,FALSE,"토목공사";#N/A,#N/A,FALSE,"판넬전기공사"}</definedName>
    <definedName name="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2" hidden="1">{#N/A,#N/A,FALSE,"기안지";#N/A,#N/A,FALSE,"통신지"}</definedName>
    <definedName name="건3" localSheetId="2" hidden="1">{#N/A,#N/A,FALSE,"견적갑지";#N/A,#N/A,FALSE,"총괄표";#N/A,#N/A,FALSE,"철골공사";#N/A,#N/A,FALSE,"토목공사";#N/A,#N/A,FALSE,"판넬전기공사"}</definedName>
    <definedName name="건444" localSheetId="2" hidden="1">{#N/A,#N/A,FALSE,"견적갑지";#N/A,#N/A,FALSE,"총괄표";#N/A,#N/A,FALSE,"철골공사";#N/A,#N/A,FALSE,"토목공사";#N/A,#N/A,FALSE,"판넬전기공사"}</definedName>
    <definedName name="건걱" localSheetId="2" hidden="1">{"'Sheet1'!$A$4:$M$21","'Sheet1'!$J$17:$K$19"}</definedName>
    <definedName name="건검" localSheetId="2" hidden="1">{#N/A,#N/A,FALSE,"견적갑지";#N/A,#N/A,FALSE,"총괄표";#N/A,#N/A,FALSE,"철골공사";#N/A,#N/A,FALSE,"토목공사";#N/A,#N/A,FALSE,"판넬전기공사"}</definedName>
    <definedName name="건적" localSheetId="2" hidden="1">{"'Sheet1'!$A$4:$M$21","'Sheet1'!$J$17:$K$19"}</definedName>
    <definedName name="건추" localSheetId="2" hidden="1">{#N/A,#N/A,FALSE,"견적갑지";#N/A,#N/A,FALSE,"총괄표";#N/A,#N/A,FALSE,"철골공사";#N/A,#N/A,FALSE,"토목공사";#N/A,#N/A,FALSE,"판넬전기공사"}</definedName>
    <definedName name="건축내역2" localSheetId="2" hidden="1">{#N/A,#N/A,FALSE,"기안지";#N/A,#N/A,FALSE,"통신지"}</definedName>
    <definedName name="건축비목집계" localSheetId="2" hidden="1">{#N/A,#N/A,FALSE,"표지"}</definedName>
    <definedName name="건축토공" localSheetId="2" hidden="1">{#N/A,#N/A,FALSE,"기안지";#N/A,#N/A,FALSE,"통신지"}</definedName>
    <definedName name="건축토공2" localSheetId="2" hidden="1">{#N/A,#N/A,FALSE,"기안지";#N/A,#N/A,FALSE,"통신지"}</definedName>
    <definedName name="건축팀별" localSheetId="2" hidden="1">{#N/A,#N/A,FALSE,"지침";#N/A,#N/A,FALSE,"환경분석";#N/A,#N/A,FALSE,"Sheet16"}</definedName>
    <definedName name="견본갑을" localSheetId="2" hidden="1">{#N/A,#N/A,FALSE,"Sheet1"}</definedName>
    <definedName name="견적" localSheetId="2" hidden="1">{#N/A,#N/A,FALSE,"CCTV"}</definedName>
    <definedName name="견적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2" hidden="1">{#N/A,#N/A,FALSE,"CCTV"}</definedName>
    <definedName name="견적3" localSheetId="2" hidden="1">{#N/A,#N/A,FALSE,"Sheet6"}</definedName>
    <definedName name="견적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2" hidden="1">{#N/A,#N/A,FALSE,"CCTV"}</definedName>
    <definedName name="견적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2" hidden="1">{#N/A,#N/A,FALSE,"CCTV"}</definedName>
    <definedName name="견적대비" localSheetId="2" hidden="1">{#N/A,#N/A,FALSE,"포장2"}</definedName>
    <definedName name="견적서" localSheetId="2" hidden="1">{#N/A,#N/A,FALSE,"구조2"}</definedName>
    <definedName name="견적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2" hidden="1">{#N/A,#N/A,FALSE,"CCTV"}</definedName>
    <definedName name="결" localSheetId="2" hidden="1">{#N/A,#N/A,FALSE,"포장2"}</definedName>
    <definedName name="결과" localSheetId="2" hidden="1">{#N/A,#N/A,FALSE,"포장2"}</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2"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 hidden="1">{#N/A,#N/A,FALSE,"조골재"}</definedName>
    <definedName name="곧ㄱ" localSheetId="2" hidden="1">{#N/A,#N/A,FALSE,"Sheet6"}</definedName>
    <definedName name="공" localSheetId="2" hidden="1">{#N/A,#N/A,FALSE,"Sheet1"}</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2" hidden="1">{#N/A,#N/A,FALSE,"Sheet6"}</definedName>
    <definedName name="공동구토공" localSheetId="2" hidden="1">{#N/A,#N/A,FALSE,"기안지";#N/A,#N/A,FALSE,"통신지"}</definedName>
    <definedName name="공동구토공2" localSheetId="2" hidden="1">{#N/A,#N/A,FALSE,"기안지";#N/A,#N/A,FALSE,"통신지"}</definedName>
    <definedName name="공사" localSheetId="2" hidden="1">{#N/A,#N/A,FALSE,"이태원철근"}</definedName>
    <definedName name="공사비" localSheetId="2" hidden="1">{#N/A,#N/A,FALSE,"전력간선"}</definedName>
    <definedName name="공사원가계산서" localSheetId="2" hidden="1">{#N/A,#N/A,TRUE,"토적및재료집계";#N/A,#N/A,TRUE,"토적및재료집계";#N/A,#N/A,TRUE,"단위량"}</definedName>
    <definedName name="공양식" localSheetId="2" hidden="1">{#N/A,#N/A,FALSE,"교리2"}</definedName>
    <definedName name="공정계획" localSheetId="2" hidden="1">{#N/A,#N/A,FALSE,"이태원철근"}</definedName>
    <definedName name="공정표" localSheetId="2" hidden="1">{#N/A,#N/A,FALSE,"사업총괄";#N/A,#N/A,FALSE,"장비사업";#N/A,#N/A,FALSE,"철구사업";#N/A,#N/A,FALSE,"준설사업"}</definedName>
    <definedName name="공종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2" hidden="1">{#N/A,#N/A,FALSE,"포장2"}</definedName>
    <definedName name="관리비2" localSheetId="2" hidden="1">{#N/A,#N/A,FALSE,"갑지";#N/A,#N/A,FALSE,"개요";#N/A,#N/A,FALSE,"비목별";#N/A,#N/A,FALSE,"건물별";#N/A,#N/A,FALSE,"기구표";#N/A,#N/A,FALSE,"직원투입"}</definedName>
    <definedName name="교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2" hidden="1">{#N/A,#N/A,FALSE,"이태원철근"}</definedName>
    <definedName name="교좌" localSheetId="2" hidden="1">{#N/A,#N/A,FALSE,"포장2"}</definedName>
    <definedName name="굗ㄱ" localSheetId="2" hidden="1">{#N/A,#N/A,FALSE,"Sheet6"}</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2" hidden="1">{#N/A,#N/A,FALSE,"부대2"}</definedName>
    <definedName name="구본" localSheetId="2" hidden="1">{#N/A,#N/A,FALSE,"Sheet6"}</definedName>
    <definedName name="구자관" localSheetId="2" hidden="1">{#N/A,#N/A,FALSE,"신청통보";#N/A,#N/A,FALSE,"기성확인서";#N/A,#N/A,FALSE,"기성내역서"}</definedName>
    <definedName name="국보" localSheetId="2" hidden="1">{#N/A,#N/A,FALSE,"Sheet6"}</definedName>
    <definedName name="굼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 hidden="1">{#N/A,#N/A,FALSE,"포장2"}</definedName>
    <definedName name="금액대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2" hidden="1">{#N/A,#N/A,FALSE,"갑지";#N/A,#N/A,FALSE,"개요";#N/A,#N/A,FALSE,"비목별";#N/A,#N/A,FALSE,"건물별";#N/A,#N/A,FALSE,"기구표";#N/A,#N/A,FALSE,"직원투입"}</definedName>
    <definedName name="기계1" localSheetId="2" hidden="1">{#N/A,#N/A,FALSE,"견적갑지";#N/A,#N/A,FALSE,"총괄표";#N/A,#N/A,FALSE,"철골공사";#N/A,#N/A,FALSE,"토목공사";#N/A,#N/A,FALSE,"판넬전기공사"}</definedName>
    <definedName name="기계2" localSheetId="2" hidden="1">{#N/A,#N/A,FALSE,"견적갑지";#N/A,#N/A,FALSE,"총괄표";#N/A,#N/A,FALSE,"철골공사";#N/A,#N/A,FALSE,"토목공사";#N/A,#N/A,FALSE,"판넬전기공사"}</definedName>
    <definedName name="기계4" localSheetId="2" hidden="1">{#N/A,#N/A,FALSE,"견적갑지";#N/A,#N/A,FALSE,"총괄표";#N/A,#N/A,FALSE,"철골공사";#N/A,#N/A,FALSE,"토목공사";#N/A,#N/A,FALSE,"판넬전기공사"}</definedName>
    <definedName name="기계5" localSheetId="2" hidden="1">{#N/A,#N/A,FALSE,"견적갑지";#N/A,#N/A,FALSE,"총괄표";#N/A,#N/A,FALSE,"철골공사";#N/A,#N/A,FALSE,"토목공사";#N/A,#N/A,FALSE,"판넬전기공사"}</definedName>
    <definedName name="기계주차" localSheetId="2" hidden="1">{#N/A,#N/A,FALSE,"CCTV"}</definedName>
    <definedName name="기계집계" localSheetId="2" hidden="1">{#N/A,#N/A,FALSE,"견적갑지";#N/A,#N/A,FALSE,"총괄표";#N/A,#N/A,FALSE,"철골공사";#N/A,#N/A,FALSE,"토목공사";#N/A,#N/A,FALSE,"판넬전기공사"}</definedName>
    <definedName name="기성3" localSheetId="2" hidden="1">{#N/A,#N/A,FALSE,"CCTV"}</definedName>
    <definedName name="기술" localSheetId="2" hidden="1">{#N/A,#N/A,FALSE,"부대1"}</definedName>
    <definedName name="기타경비" localSheetId="2" hidden="1">{#N/A,#N/A,TRUE,"토적및재료집계";#N/A,#N/A,TRUE,"토적및재료집계";#N/A,#N/A,TRUE,"단위량"}</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김0" localSheetId="2" hidden="1">{#N/A,#N/A,FALSE,"2~8번"}</definedName>
    <definedName name="김1" localSheetId="2" hidden="1">{#N/A,#N/A,FALSE,"골재소요량";#N/A,#N/A,FALSE,"골재소요량"}</definedName>
    <definedName name="김5" localSheetId="2" hidden="1">{#N/A,#N/A,FALSE,"운반시간"}</definedName>
    <definedName name="김6" localSheetId="2" hidden="1">{#N/A,#N/A,FALSE,"조골재"}</definedName>
    <definedName name="김병국임" localSheetId="2" hidden="1">{#N/A,#N/A,FALSE,"단가표지"}</definedName>
    <definedName name="김봉만" localSheetId="2" hidden="1">{#N/A,#N/A,FALSE,"교리2"}</definedName>
    <definedName name="김승주" localSheetId="2" hidden="1">{#N/A,#N/A,FALSE,"교리2"}</definedName>
    <definedName name="김영훈" localSheetId="2" hidden="1">{#N/A,#N/A,FALSE,"변경관리예산";#N/A,#N/A,FALSE,"변경장비예산";#N/A,#N/A,FALSE,"변경준설예산";#N/A,#N/A,FALSE,"변경철구예산"}</definedName>
    <definedName name="김중규" localSheetId="2" hidden="1">{#N/A,#N/A,FALSE,"이태원철근"}</definedName>
    <definedName name="ㄳㄳㄳㄳ" localSheetId="2" hidden="1">{"'용역비'!$A$4:$C$8"}</definedName>
    <definedName name="ㄳㄷ" localSheetId="2" hidden="1">{#N/A,#N/A,FALSE,"Sheet6"}</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2" hidden="1">{#N/A,#N/A,FALSE,"집계표"}</definedName>
    <definedName name="ㄴㄴㅎ" localSheetId="2" hidden="1">{#N/A,#N/A,FALSE,"집계표"}</definedName>
    <definedName name="ㄴ너넌ㄱㅎ" localSheetId="2" hidden="1">{#N/A,#N/A,FALSE,"집계표"}</definedName>
    <definedName name="ㄴ눀너노" localSheetId="2" hidden="1">{#N/A,#N/A,FALSE,"집계표"}</definedName>
    <definedName name="ㄴㄶ" localSheetId="2" hidden="1">{#N/A,#N/A,FALSE,"집계표"}</definedName>
    <definedName name="ㄴㄷㄱㅈ" localSheetId="2" hidden="1">{#N/A,#N/A,FALSE,"Sheet6"}</definedName>
    <definedName name="ㄴㄷㄹ" localSheetId="2" hidden="1">{#N/A,#N/A,FALSE,"Sheet1"}</definedName>
    <definedName name="ㄴㄹ" localSheetId="2" hidden="1">{#N/A,#N/A,FALSE,"집계표"}</definedName>
    <definedName name="ㄴㄹㅇㄹㅇㄴ" localSheetId="2" hidden="1">{#N/A,#N/A,FALSE,"Aging Summary";#N/A,#N/A,FALSE,"Ratio Analysis";#N/A,#N/A,FALSE,"Test 120 Day Accts";#N/A,#N/A,FALSE,"Tickmarks"}</definedName>
    <definedName name="ㄴㄹㅇ호" localSheetId="2" hidden="1">{#N/A,#N/A,FALSE,"집계표"}</definedName>
    <definedName name="ㄴㅁㄴㅇㄹ" localSheetId="2" hidden="1">{#N/A,#N/A,FALSE,"집계표"}</definedName>
    <definedName name="ㄴㅁㄹ아ㅣㅏ" localSheetId="2" hidden="1">{#N/A,#N/A,FALSE,"집계표"}</definedName>
    <definedName name="ㄴㅁㅇㄹ" localSheetId="2" hidden="1">{#N/A,#N/A,FALSE,"집계표"}</definedName>
    <definedName name="ㄴㅁㅇ라ㅓ" localSheetId="2" hidden="1">{#N/A,#N/A,FALSE,"집계표"}</definedName>
    <definedName name="ㄴㅁ아겈" localSheetId="2" hidden="1">{#N/A,#N/A,FALSE,"집계표"}</definedName>
    <definedName name="ㄴㅁ아ㅓ린ㅁ" localSheetId="2" hidden="1">{#N/A,#N/A,FALSE,"집계표"}</definedName>
    <definedName name="ㄴ마ㅓㅇㅎ리ㅏㅇㄴ" localSheetId="2" hidden="1">{#N/A,#N/A,FALSE,"집계표"}</definedName>
    <definedName name="ㄴ뫃ㄴ오" localSheetId="2" hidden="1">{#N/A,#N/A,FALSE,"집계표"}</definedName>
    <definedName name="ㄴㅇ다ㅓㅀㅌ" localSheetId="2" hidden="1">{#N/A,#N/A,FALSE,"집계표"}</definedName>
    <definedName name="ㄴㅇ닳ㅌ처" localSheetId="2" hidden="1">{#N/A,#N/A,FALSE,"집계표"}</definedName>
    <definedName name="ㄴㅇㄹㄴ" localSheetId="2" hidden="1">{#N/A,#N/A,FALSE,"사업총괄";#N/A,#N/A,FALSE,"장비사업";#N/A,#N/A,FALSE,"철구사업";#N/A,#N/A,FALSE,"준설사업"}</definedName>
    <definedName name="ㄴㅇㄹ하ㅓ" localSheetId="2" hidden="1">{#N/A,#N/A,FALSE,"집계표"}</definedName>
    <definedName name="ㄴㅇㄹ헤ㅐㅇㅅㄱㄷ" localSheetId="2" hidden="1">{#N/A,#N/A,FALSE,"집계표"}</definedName>
    <definedName name="ㄴㅇㄹ호" localSheetId="2" hidden="1">{#N/A,#N/A,FALSE,"집계표"}</definedName>
    <definedName name="ㄴㅇㄹ히ㅏㅓ" localSheetId="2" hidden="1">{#N/A,#N/A,FALSE,"집계표"}</definedName>
    <definedName name="ㄴㅇㄹ히ㅏㅓㄴㅇㄹ하ㅓ" localSheetId="2" hidden="1">{#N/A,#N/A,FALSE,"집계표"}</definedName>
    <definedName name="ㄴㅇ레ㅔㅔ" localSheetId="2" hidden="1">{#N/A,#N/A,FALSE,"집계표"}</definedName>
    <definedName name="ㄴㅇ로" localSheetId="2" hidden="1">{#N/A,#N/A,FALSE,"집계표"}</definedName>
    <definedName name="ㄴㅇㄻㅇㄴ" localSheetId="2" hidden="1">{#N/A,#N/A,FALSE,"집계표"}</definedName>
    <definedName name="ㄴㅇㅀㄴ" localSheetId="2" hidden="1">{#N/A,#N/A,FALSE,"집계표"}</definedName>
    <definedName name="ㄴㅇㅀㄹ" localSheetId="2" hidden="1">{#N/A,#N/A,FALSE,"집계표"}</definedName>
    <definedName name="ㄴㅇㅀㅇ" localSheetId="2" hidden="1">{#N/A,#N/A,FALSE,"집계표"}</definedName>
    <definedName name="ㄴㅇㅀㅇㄶ" localSheetId="2" hidden="1">{#N/A,#N/A,FALSE,"집계표"}</definedName>
    <definedName name="ㄴㅇㅁㅎ리ㅏㅓㅣ" localSheetId="2" hidden="1">{#N/A,#N/A,FALSE,"집계표"}</definedName>
    <definedName name="ㄴㅇㅅ" localSheetId="2" hidden="1">{#N/A,#N/A,FALSE,"집계표"}</definedName>
    <definedName name="ㄴㅇㅇㄴ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2" hidden="1">{#N/A,#N/A,FALSE,"CCTV"}</definedName>
    <definedName name="ㄴㅇㅎㄹ" localSheetId="2" hidden="1">{#N/A,#N/A,FALSE,"집계표"}</definedName>
    <definedName name="ㄴㅇㅎ리ㅏ" localSheetId="2" hidden="1">{#N/A,#N/A,FALSE,"집계표"}</definedName>
    <definedName name="ㄴㅇㅎ리ㅏㅓㅊㅌ" localSheetId="2" hidden="1">{#N/A,#N/A,FALSE,"집계표"}</definedName>
    <definedName name="ㄴ어" localSheetId="2" hidden="1">{#N/A,#N/A,FALSE,"집계표"}</definedName>
    <definedName name="ㄴ어ㅏ엉ㄹ" localSheetId="2" hidden="1">{#N/A,#N/A,FALSE,"집계표"}</definedName>
    <definedName name="ㄴ옿ㅅㄴㅇ" localSheetId="2" hidden="1">{#N/A,#N/A,FALSE,"집계표"}</definedName>
    <definedName name="ㄴ이라ㅓㅎ" localSheetId="2" hidden="1">{#N/A,#N/A,FALSE,"집계표"}</definedName>
    <definedName name="ㄴ이ㅏ렇" localSheetId="2" hidden="1">{#N/A,#N/A,FALSE,"집계표"}</definedName>
    <definedName name="ㄴ이ㅏㅎ러" localSheetId="2" hidden="1">{#N/A,#N/A,FALSE,"집계표"}</definedName>
    <definedName name="ㄴ이ㅏㅎ러ㅗ" localSheetId="2" hidden="1">{#N/A,#N/A,FALSE,"집계표"}</definedName>
    <definedName name="ㄴ잏라ㅓ" localSheetId="2" hidden="1">{#N/A,#N/A,FALSE,"집계표"}</definedName>
    <definedName name="ㄴ잏라ㅓㅣㅏㅇㄴㅀ" localSheetId="2" hidden="1">{#N/A,#N/A,FALSE,"집계표"}</definedName>
    <definedName name="ㄴㅊㅌㅇㅍ" localSheetId="2" hidden="1">{#N/A,#N/A,FALSE,"집계표"}</definedName>
    <definedName name="ㄴㅗㅎ" localSheetId="2" hidden="1">{#N/A,#N/A,FALSE,"집계표"}</definedName>
    <definedName name="나" localSheetId="2" hidden="1">{#N/A,#N/A,FALSE,"교리2"}</definedName>
    <definedName name="나나너넌너" localSheetId="2" hidden="1">{#N/A,#N/A,FALSE,"집계표"}</definedName>
    <definedName name="나난" localSheetId="2" hidden="1">{#N/A,#N/A,FALSE,"주간공정";#N/A,#N/A,FALSE,"주간보고";#N/A,#N/A,FALSE,"주간공정표"}</definedName>
    <definedName name="나는" localSheetId="2" hidden="1">{#N/A,#N/A,FALSE,"집계표"}</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2" hidden="1">{#N/A,#N/A,FALSE,"집계표"}</definedName>
    <definedName name="난나ㅏㄴ" localSheetId="2" hidden="1">{#N/A,#N/A,FALSE,"집계표"}</definedName>
    <definedName name="난느오늘" localSheetId="2" hidden="1">{#N/A,#N/A,FALSE,"집계표"}</definedName>
    <definedName name="내역" localSheetId="2" hidden="1">{#N/A,#N/A,FALSE,"CCTV"}</definedName>
    <definedName name="내역산출근거" localSheetId="2" hidden="1">{#N/A,#N/A,TRUE,"1";#N/A,#N/A,TRUE,"2";#N/A,#N/A,TRUE,"3";#N/A,#N/A,TRUE,"4";#N/A,#N/A,TRUE,"5";#N/A,#N/A,TRUE,"6";#N/A,#N/A,TRUE,"7"}</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2" hidden="1">{#N/A,#N/A,FALSE,"CCTV"}</definedName>
    <definedName name="너를" localSheetId="2" hidden="1">{#N/A,#N/A,FALSE,"집계표"}</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2" hidden="1">{#N/A,#N/A,FALSE,"Sheet6"}</definedName>
    <definedName name="놓ㄹㅇ" localSheetId="2" hidden="1">{#N/A,#N/A,FALSE,"집계표"}</definedName>
    <definedName name="뇫" localSheetId="2" hidden="1">{#N/A,#N/A,FALSE,"집계표"}</definedName>
    <definedName name="늘푸른쉼나무" localSheetId="2" hidden="1">{#N/A,#N/A,FALSE,"이태원철근"}</definedName>
    <definedName name="니기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2" hidden="1">{#N/A,#N/A,FALSE,"주간공정";#N/A,#N/A,FALSE,"주간보고";#N/A,#N/A,FALSE,"주간공정표"}</definedName>
    <definedName name="ㄶ" localSheetId="2" hidden="1">{#N/A,#N/A,FALSE,"집계표"}</definedName>
    <definedName name="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2" hidden="1">{#N/A,#N/A,FALSE,"Sheet1"}</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2" hidden="1">{#N/A,#N/A,FALSE,"집계표"}</definedName>
    <definedName name="ㄷㅈㄱ" localSheetId="2" hidden="1">{#N/A,#N/A,FALSE,"포장1";#N/A,#N/A,FALSE,"포장1"}</definedName>
    <definedName name="ㄷㅈ거" localSheetId="2" hidden="1">{#N/A,#N/A,FALSE,"집계표"}</definedName>
    <definedName name="ㄷㅈㅂㄷ" localSheetId="2" hidden="1">{"'장비'!$A$3:$M$12"}</definedName>
    <definedName name="다" localSheetId="2" hidden="1">{#N/A,#N/A,FALSE,"표지목차"}</definedName>
    <definedName name="다라" localSheetId="2" hidden="1">{#N/A,#N/A,FALSE,"표지목차"}</definedName>
    <definedName name="단ㄱ" localSheetId="2" hidden="1">{#N/A,#N/A,FALSE,"전력간선"}</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2" hidden="1">{#N/A,#N/A,FALSE,"주간공정";#N/A,#N/A,FALSE,"주간보고";#N/A,#N/A,FALSE,"주간공정표"}</definedName>
    <definedName name="대비3" localSheetId="2" hidden="1">{"'용역비'!$A$4:$C$8"}</definedName>
    <definedName name="대표회의" localSheetId="2" hidden="1">{#N/A,#N/A,FALSE,"현장 NCR 분석";#N/A,#N/A,FALSE,"현장품질감사";#N/A,#N/A,FALSE,"현장품질감사"}</definedName>
    <definedName name="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2" hidden="1">{#N/A,#N/A,FALSE,"포장2"}</definedName>
    <definedName name="덕진" localSheetId="2" hidden="1">{#N/A,#N/A,FALSE,"포장2"}</definedName>
    <definedName name="덕호" localSheetId="2" hidden="1">{#N/A,#N/A,FALSE,"포장2"}</definedName>
    <definedName name="도급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2" hidden="1">{#N/A,#N/A,FALSE,"Sheet1"}</definedName>
    <definedName name="독립기초" localSheetId="2" hidden="1">{#N/A,#N/A,FALSE,"기안지";#N/A,#N/A,FALSE,"통신지"}</definedName>
    <definedName name="독립기초토공수량산출" localSheetId="2" hidden="1">{#N/A,#N/A,FALSE,"기안지";#N/A,#N/A,FALSE,"통신지"}</definedName>
    <definedName name="동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2" hidden="1">{#N/A,#N/A,FALSE,"CCTV"}</definedName>
    <definedName name="동구연숩" localSheetId="2" hidden="1">{#N/A,#N/A,FALSE,"전력간선"}</definedName>
    <definedName name="동력" localSheetId="2" hidden="1">{#N/A,#N/A,FALSE,"CCTV"}</definedName>
    <definedName name="동명공통가설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2" hidden="1">{"'Sheet1'!$A$4:$M$21","'Sheet1'!$J$17:$K$19"}</definedName>
    <definedName name="동별내역" localSheetId="2" hidden="1">{"'Sheet1'!$A$4:$M$21","'Sheet1'!$J$17:$K$19"}</definedName>
    <definedName name="동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2" hidden="1">{#N/A,#N/A,FALSE,"견적갑지";#N/A,#N/A,FALSE,"총괄표";#N/A,#N/A,FALSE,"철골공사";#N/A,#N/A,FALSE,"토목공사";#N/A,#N/A,FALSE,"판넬전기공사"}</definedName>
    <definedName name="ㄹ" localSheetId="2" hidden="1">{#N/A,#N/A,TRUE,"토적및재료집계";#N/A,#N/A,TRUE,"토적및재료집계";#N/A,#N/A,TRUE,"단위량"}</definedName>
    <definedName name="ㄹㄴ머ㅣㅏ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2" hidden="1">{#N/A,#N/A,FALSE,"지침";#N/A,#N/A,FALSE,"환경분석";#N/A,#N/A,FALSE,"Sheet16"}</definedName>
    <definedName name="ㄹㄶㅗ" localSheetId="2" hidden="1">{#N/A,#N/A,FALSE,"집계표"}</definedName>
    <definedName name="ㄹㄹ" localSheetId="2" hidden="1">{#N/A,#N/A,FALSE,"CCTV"}</definedName>
    <definedName name="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2" hidden="1">{#N/A,#N/A,FALSE,"집계표"}</definedName>
    <definedName name="ㄹㅇ" localSheetId="2" hidden="1">{#N/A,#N/A,FALSE,"도급대비시행율";#N/A,#N/A,FALSE,"결의서";#N/A,#N/A,FALSE,"내역서";#N/A,#N/A,FALSE,"도급예상"}</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2" hidden="1">{#N/A,#N/A,TRUE,"1";#N/A,#N/A,TRUE,"2";#N/A,#N/A,TRUE,"3";#N/A,#N/A,TRUE,"4";#N/A,#N/A,TRUE,"5";#N/A,#N/A,TRUE,"6";#N/A,#N/A,TRUE,"7"}</definedName>
    <definedName name="ㄹㅇㄴㅇㄴㅇㄹㅇ" localSheetId="2" hidden="1">{#N/A,#N/A,FALSE,"집계표"}</definedName>
    <definedName name="ㄹㅇ넛교ㅗ" localSheetId="2" hidden="1">{#N/A,#N/A,FALSE,"집계표"}</definedName>
    <definedName name="ㄹㅇ노ㅎ" localSheetId="2" hidden="1">{#N/A,#N/A,FALSE,"집계표"}</definedName>
    <definedName name="ㄹㅇㄶㄴㅅ" localSheetId="2" hidden="1">{#N/A,#N/A,FALSE,"집계표"}</definedName>
    <definedName name="ㄹㅇㄶㅎㅇㄶㅇㅎㄹㅇ" localSheetId="2" hidden="1">{#N/A,#N/A,FALSE,"집계표"}</definedName>
    <definedName name="ㄹㅇㄹㅇㄹㅇ" localSheetId="2" hidden="1">{#N/A,#N/A,FALSE,"CCTV"}</definedName>
    <definedName name="ㄹㅇ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2" hidden="1">{#N/A,#N/A,FALSE,"집계표"}</definedName>
    <definedName name="ㄹㅇ소ㅛ" localSheetId="2" hidden="1">{#N/A,#N/A,FALSE,"집계표"}</definedName>
    <definedName name="ㄹㅇㅇㅇㅇㅇㅇ" localSheetId="2" hidden="1">{#N/A,#N/A,FALSE,"집계표"}</definedName>
    <definedName name="ㄹㅇㅇㅇㅇㅇㅇㅇㅇㅇㅇ" localSheetId="2" hidden="1">{#N/A,#N/A,FALSE,"집계표"}</definedName>
    <definedName name="ㄹㅇ옷" localSheetId="2" hidden="1">{#N/A,#N/A,FALSE,"집계표"}</definedName>
    <definedName name="ㄹㅇㅌㅇㄴㄱㄷ" localSheetId="2" hidden="1">{#N/A,#N/A,FALSE,"포장2"}</definedName>
    <definedName name="ㄹㅇㅌㅎㅎㅎㅎㅎ" localSheetId="2" hidden="1">{#N/A,#N/A,FALSE,"집계표"}</definedName>
    <definedName name="ㄹㅇㅎ" localSheetId="2" hidden="1">{#N/A,#N/A,FALSE,"집계표"}</definedName>
    <definedName name="ㄹㅇㅎㅊㅌㅍㅍ" localSheetId="2" hidden="1">{#N/A,#N/A,FALSE,"집계표"}</definedName>
    <definedName name="ㄹㅇㅎㅎㅎㅎㅎㅎㅎㅎㅎ" localSheetId="2" hidden="1">{#N/A,#N/A,FALSE,"집계표"}</definedName>
    <definedName name="ㄹㅇ허ㅗ" localSheetId="2" hidden="1">{#N/A,#N/A,FALSE,"집계표"}</definedName>
    <definedName name="ㄹㅇ효" localSheetId="2" hidden="1">{#N/A,#N/A,FALSE,"집계표"}</definedName>
    <definedName name="ㄹ어호" localSheetId="2" hidden="1">{#N/A,#N/A,FALSE,"집계표"}</definedName>
    <definedName name="ㄹ오" localSheetId="2" hidden="1">{#N/A,#N/A,FALSE,"집계표"}</definedName>
    <definedName name="ㄹ오ㅛ" localSheetId="2" hidden="1">{#N/A,#N/A,FALSE,"집계표"}</definedName>
    <definedName name="ㄹ옿" localSheetId="2" hidden="1">{#N/A,#N/A,FALSE,"집계표"}</definedName>
    <definedName name="ㄹ옿ㄴㄴㄴ노" localSheetId="2" hidden="1">{#N/A,#N/A,FALSE,"집계표"}</definedName>
    <definedName name="ㄹ옿ㅇㄹ" localSheetId="2" hidden="1">{#N/A,#N/A,FALSE,"집계표"}</definedName>
    <definedName name="ㄹ옿ㅎㅎㅎㅎㅎㅎㅎ" localSheetId="2" hidden="1">{#N/A,#N/A,FALSE,"집계표"}</definedName>
    <definedName name="ㄹ하ㅏㅏㅏㅏㅏ" localSheetId="2" hidden="1">{#N/A,#N/A,FALSE,"집계표"}</definedName>
    <definedName name="ㄹ허ㅗ" localSheetId="2" hidden="1">{#N/A,#N/A,FALSE,"집계표"}</definedName>
    <definedName name="ㄹ허ㅛㅛㅛㅛㅛㅛ" localSheetId="2" hidden="1">{#N/A,#N/A,FALSE,"집계표"}</definedName>
    <definedName name="ㄹ혀퍼ㅜㅠ" localSheetId="2" hidden="1">{#N/A,#N/A,FALSE,"집계표"}</definedName>
    <definedName name="ㄹ호ㅓㅛ" localSheetId="2" hidden="1">{#N/A,#N/A,FALSE,"집계표"}</definedName>
    <definedName name="ㄹ호ㅗㅎ" localSheetId="2" hidden="1">{#N/A,#N/A,FALSE,"집계표"}</definedName>
    <definedName name="ㄹ홀ㅅ" localSheetId="2" hidden="1">{#N/A,#N/A,FALSE,"집계표"}</definedName>
    <definedName name="ㄹ홓ㄹ로ㅗㅗㅗㅗㅗㅗㅗ" localSheetId="2" hidden="1">{#N/A,#N/A,FALSE,"집계표"}</definedName>
    <definedName name="ㄹ효ㅓㅕ" localSheetId="2" hidden="1">{#N/A,#N/A,FALSE,"집계표"}</definedName>
    <definedName name="라" localSheetId="2" hidden="1">{"'Sheet1'!$A$22:$G$23","'Sheet1'!$A$6","'Sheet1'!$E$10","'Sheet1'!$A$1:$F$23","'Sheet1'!$B$10","'Sheet1'!$A$1:$G$22","'Sheet1'!$A$1:$G$51"}</definedName>
    <definedName name="라라라ㅏㄹ" localSheetId="2" hidden="1">{#N/A,#N/A,FALSE,"집계표"}</definedName>
    <definedName name="라ㅏㅏ" localSheetId="2" hidden="1">{#N/A,#N/A,FALSE,"집계표"}</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2" hidden="1">{#N/A,#N/A,FALSE,"집계표"}</definedName>
    <definedName name="래" localSheetId="2" hidden="1">{#N/A,#N/A,FALSE,"변경관리예산";#N/A,#N/A,FALSE,"변경장비예산";#N/A,#N/A,FALSE,"변경준설예산";#N/A,#N/A,FALSE,"변경철구예산"}</definedName>
    <definedName name="래그" localSheetId="2" hidden="1">{#N/A,#N/A,FALSE,"CCTV"}</definedName>
    <definedName name="랴" localSheetId="2" hidden="1">{#N/A,#N/A,FALSE,"예상손익";#N/A,#N/A,FALSE,"관리분석";#N/A,#N/A,FALSE,"장비분석";#N/A,#N/A,FALSE,"준설분석";#N/A,#N/A,FALSE,"철구분석"}</definedName>
    <definedName name="러러럴" localSheetId="2" hidden="1">{#N/A,#N/A,FALSE,"주간공정";#N/A,#N/A,FALSE,"주간보고";#N/A,#N/A,FALSE,"주간공정표"}</definedName>
    <definedName name="러헐" localSheetId="2" hidden="1">{#N/A,#N/A,FALSE,"도급대비시행율";#N/A,#N/A,FALSE,"결의서";#N/A,#N/A,FALSE,"내역서";#N/A,#N/A,FALSE,"도급예상"}</definedName>
    <definedName name="러ㅏㄹ" localSheetId="2" hidden="1">{#N/A,#N/A,FALSE,"주간공정";#N/A,#N/A,FALSE,"주간보고";#N/A,#N/A,FALSE,"주간공정표"}</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2" hidden="1">{#N/A,#N/A,FALSE,"집계표"}</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2" hidden="1">{#N/A,#N/A,FALSE,"변경관리예산";#N/A,#N/A,FALSE,"변경장비예산";#N/A,#N/A,FALSE,"변경준설예산";#N/A,#N/A,FALSE,"변경철구예산"}</definedName>
    <definedName name="로헝ㄱ" localSheetId="2" hidden="1">{#N/A,#N/A,FALSE,"집계표"}</definedName>
    <definedName name="롷ㅎㅎㅎㅎ" localSheetId="2" hidden="1">{#N/A,#N/A,FALSE,"집계표"}</definedName>
    <definedName name="룸" localSheetId="2" hidden="1">{#N/A,#N/A,FALSE,"사업총괄";#N/A,#N/A,FALSE,"장비사업";#N/A,#N/A,FALSE,"철구사업";#N/A,#N/A,FALSE,"준설사업"}</definedName>
    <definedName name="류ㅣㅏ" localSheetId="2" hidden="1">{#N/A,#N/A,FALSE,"집계표"}</definedName>
    <definedName name="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2" hidden="1">{#N/A,#N/A,FALSE,"Aging Summary";#N/A,#N/A,FALSE,"Ratio Analysis";#N/A,#N/A,FALSE,"Test 120 Day Accts";#N/A,#N/A,FALSE,"Tickmarks"}</definedName>
    <definedName name="ㄿ호ㅗㅗ" localSheetId="2" hidden="1">{#N/A,#N/A,FALSE,"집계표"}</definedName>
    <definedName name="ㅀㅅㄱ" localSheetId="2" hidden="1">{#N/A,#N/A,FALSE,"Sheet6"}</definedName>
    <definedName name="ㅀㅇ" localSheetId="2" hidden="1">{#N/A,#N/A,FALSE,"집계표"}</definedName>
    <definedName name="ㅀ오ㅓㅎ롱ㄶㄹㄴ" localSheetId="2" hidden="1">{#N/A,#N/A,FALSE,"2~8번"}</definedName>
    <definedName name="ㅀ허" localSheetId="2" hidden="1">{#N/A,#N/A,FALSE,"CCTV"}</definedName>
    <definedName name="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2" hidden="1">{#N/A,#N/A,FALSE,"집계표"}</definedName>
    <definedName name="ㅁㄴ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2" hidden="1">{#N/A,#N/A,FALSE,"전력간선"}</definedName>
    <definedName name="ㅁㄴ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2" hidden="1">{#N/A,#N/A,FALSE,"집계표"}</definedName>
    <definedName name="ㅁㄴㅇㅁㅌㅋ" localSheetId="2" hidden="1">{#N/A,#N/A,FALSE,"집계표"}</definedName>
    <definedName name="ㅁㄴ아랴" localSheetId="2" hidden="1">{#N/A,#N/A,FALSE,"집계표"}</definedName>
    <definedName name="ㅁㄴ아ㅓㄹ킽" localSheetId="2" hidden="1">{#N/A,#N/A,FALSE,"집계표"}</definedName>
    <definedName name="ㅁㄴ아ㅓㅎ" localSheetId="2" hidden="1">{#N/A,#N/A,FALSE,"집계표"}</definedName>
    <definedName name="ㅁㄴ얼" localSheetId="2" hidden="1">{#N/A,#N/A,FALSE,"집계표"}</definedName>
    <definedName name="ㅁ날어" localSheetId="2" hidden="1">{#N/A,#N/A,FALSE,"집계표"}</definedName>
    <definedName name="ㅁ널머밀ㅇㄴ" localSheetId="2" hidden="1">{#N/A,#N/A,FALSE,"집계표"}</definedName>
    <definedName name="ㅁ널이ㅏㅓㄴ" localSheetId="2" hidden="1">{#N/A,#N/A,FALSE,"집계표"}</definedName>
    <definedName name="ㅁ니ㅏㅎㅋㅇ" localSheetId="2" hidden="1">{#N/A,#N/A,FALSE,"집계표"}</definedName>
    <definedName name="ㅁㄶ리ㅏㅓ" localSheetId="2" hidden="1">{#N/A,#N/A,FALSE,"집계표"}</definedName>
    <definedName name="ㅁㄶㅇ" localSheetId="2" hidden="1">{#N/A,#N/A,FALSE,"집계표"}</definedName>
    <definedName name="ㅁㄷ나ㅓㅇㅇㅌ" localSheetId="2" hidden="1">{#N/A,#N/A,FALSE,"집계표"}</definedName>
    <definedName name="ㅁㄻ" localSheetId="2" hidden="1">{#N/A,#N/A,FALSE,"Sheet1"}</definedName>
    <definedName name="ㅁㅁㅁㅁ" localSheetId="2" hidden="1">{"'Sheet1'!$A$4","'Sheet1'!$A$9:$G$28"}</definedName>
    <definedName name="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2" hidden="1">{#N/A,#N/A,FALSE,"집계표"}</definedName>
    <definedName name="ㅁㅇㄹㅇㅎㄻㅍ" localSheetId="2" hidden="1">{#N/A,#N/A,FALSE,"집계표"}</definedName>
    <definedName name="ㅁㅇㅇ" localSheetId="2" hidden="1">{#N/A,#N/A,FALSE,"Sheet1"}</definedName>
    <definedName name="ㅁㅈㅂㄷㄺㅂ" localSheetId="2" hidden="1">{#N/A,#N/A,FALSE,"집계표"}</definedName>
    <definedName name="ㅁㅈ뱔ㅇ" localSheetId="2" hidden="1">{#N/A,#N/A,FALSE,"집계표"}</definedName>
    <definedName name="ㅁㅋㄴ이ㅏㄹ" localSheetId="2" hidden="1">{#N/A,#N/A,FALSE,"집계표"}</definedName>
    <definedName name="ㅁㅎㅁ" localSheetId="2" hidden="1">{#N/A,#N/A,FALSE,"Sheet1"}</definedName>
    <definedName name="ㅁㅎ이ㅏ" localSheetId="2" hidden="1">{#N/A,#N/A,FALSE,"집계표"}</definedName>
    <definedName name="마널이ㅏ" localSheetId="2" hidden="1">{#N/A,#N/A,FALSE,"집계표"}</definedName>
    <definedName name="만득이" localSheetId="2" hidden="1">{#N/A,#N/A,FALSE,"2~8번"}</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2" hidden="1">{#N/A,#N/A,FALSE,"예상손익";#N/A,#N/A,FALSE,"관리분석";#N/A,#N/A,FALSE,"장비분석";#N/A,#N/A,FALSE,"준설분석";#N/A,#N/A,FALSE,"철구분석"}</definedName>
    <definedName name="맨홀집계표" localSheetId="2" hidden="1">{#N/A,#N/A,FALSE,"포장단가"}</definedName>
    <definedName name="머" localSheetId="2" hidden="1">{#N/A,#N/A,FALSE,"명세표"}</definedName>
    <definedName name="며"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2" hidden="1">{#N/A,#N/A,FALSE,"속도"}</definedName>
    <definedName name="모" localSheetId="2" hidden="1">{#N/A,#N/A,FALSE,"변경관리예산";#N/A,#N/A,FALSE,"변경장비예산";#N/A,#N/A,FALSE,"변경준설예산";#N/A,#N/A,FALSE,"변경철구예산"}</definedName>
    <definedName name="목수장계산" localSheetId="2" hidden="1">{#N/A,#N/A,FALSE,"이태원철근"}</definedName>
    <definedName name="목수장원가계산" localSheetId="2" hidden="1">{#N/A,#N/A,FALSE,"이태원철근"}</definedName>
    <definedName name="목수장원가계산서" localSheetId="2" hidden="1">{#N/A,#N/A,FALSE,"이태원철근"}</definedName>
    <definedName name="목재틀" localSheetId="2" hidden="1">{#N/A,#N/A,FALSE,"CCTV"}</definedName>
    <definedName name="목재틀갑지" localSheetId="2" hidden="1">{#N/A,#N/A,FALSE,"CCTV"}</definedName>
    <definedName name="문서" localSheetId="2" hidden="1">{#N/A,#N/A,FALSE,"현장 NCR 분석";#N/A,#N/A,FALSE,"현장품질감사";#N/A,#N/A,FALSE,"현장품질감사"}</definedName>
    <definedName name="물" localSheetId="2" hidden="1">{#N/A,#N/A,FALSE,"이태원철근"}</definedName>
    <definedName name="물가" localSheetId="2" hidden="1">{#N/A,#N/A,FALSE,"이태원철근"}</definedName>
    <definedName name="물량산출랍" localSheetId="2" hidden="1">{#N/A,#N/A,FALSE,"Sheet1"}</definedName>
    <definedName name="뭐가이태원이야" localSheetId="2" hidden="1">{#N/A,#N/A,FALSE,"이태원철근"}</definedName>
    <definedName name="므ㅓ" localSheetId="2" hidden="1">{#N/A,#N/A,FALSE,"집계표"}</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2" hidden="1">{#N/A,#N/A,FALSE,"Sheet1"}</definedName>
    <definedName name="미ㅣㅁ" localSheetId="2" hidden="1">{#N/A,#N/A,FALSE,"집계표"}</definedName>
    <definedName name="민원관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2" hidden="1">{#N/A,#N/A,FALSE,"변경관리예산";#N/A,#N/A,FALSE,"변경장비예산";#N/A,#N/A,FALSE,"변경준설예산";#N/A,#N/A,FALSE,"변경철구예산"}</definedName>
    <definedName name="ㅂ" localSheetId="2" hidden="1">{#N/A,#N/A,FALSE,"조골재"}</definedName>
    <definedName name="ㅂ2ㅂ2" localSheetId="2" hidden="1">{#N/A,#N/A,FALSE,"배수1"}</definedName>
    <definedName name="ㅂㅂ" localSheetId="2" hidden="1">{#N/A,#N/A,FALSE,"표지"}</definedName>
    <definedName name="ㅂㅂㅂ" localSheetId="2" hidden="1">{#N/A,#N/A,FALSE,"혼합골재"}</definedName>
    <definedName name="ㅂㅂㅂㅂㅂ" localSheetId="2" hidden="1">{"'별표'!$N$220"}</definedName>
    <definedName name="ㅂㅂㅂㅂㅂㅂ" localSheetId="2" hidden="1">{"'용역비'!$A$4:$C$8"}</definedName>
    <definedName name="ㅂㅂㅂㅂㅂㅂㅂ" localSheetId="2" hidden="1">{#N/A,#N/A,FALSE,"명세표"}</definedName>
    <definedName name="ㅂㅈ" localSheetId="2" hidden="1">{#N/A,#N/A,TRUE,"1";#N/A,#N/A,TRUE,"2";#N/A,#N/A,TRUE,"3";#N/A,#N/A,TRUE,"4";#N/A,#N/A,TRUE,"5";#N/A,#N/A,TRUE,"6";#N/A,#N/A,TRUE,"7"}</definedName>
    <definedName name="ㅂㅈㄱㅂㅈㄷㄱ" localSheetId="2" hidden="1">{"'장비'!$A$3:$M$12"}</definedName>
    <definedName name="ㅂㅈㄷ" localSheetId="2" hidden="1">{"'장비'!$A$3:$M$12"}</definedName>
    <definedName name="ㅂㅈㄷㄱ" localSheetId="2" hidden="1">{#N/A,#N/A,FALSE,"지침";#N/A,#N/A,FALSE,"환경분석";#N/A,#N/A,FALSE,"Sheet16"}</definedName>
    <definedName name="ㅂㅈㄷㄷㅂㅈㅈㅂ" localSheetId="2" hidden="1">{"'장비'!$A$3:$M$12"}</definedName>
    <definedName name="ㅂㅈㄷㅂㅈ" localSheetId="2" hidden="1">{"'장비'!$A$3:$M$12"}</definedName>
    <definedName name="ㅂㅈㄷㅂㅈㅈㅂㄷ" localSheetId="2" hidden="1">{"'장비'!$A$3:$M$12"}</definedName>
    <definedName name="ㅂㅈㄷㅈㅂㄷ" localSheetId="2" hidden="1">{"'장비'!$A$3:$M$12"}</definedName>
    <definedName name="ㅂ쟈ㅕㅑㅂ1" localSheetId="2" hidden="1">{#N/A,#N/A,FALSE,"배수1"}</definedName>
    <definedName name="바닥재" localSheetId="2" hidden="1">{#N/A,#N/A,FALSE,"CCTV"}</definedName>
    <definedName name="바닥제외갑지" localSheetId="2" hidden="1">{#N/A,#N/A,FALSE,"CCTV"}</definedName>
    <definedName name="바부" localSheetId="2" hidden="1">{"'용역비'!$A$4:$C$8"}</definedName>
    <definedName name="바붕" localSheetId="2" hidden="1">{#N/A,#N/A,FALSE,"전력간선"}</definedName>
    <definedName name="박" localSheetId="2" hidden="1">{#N/A,#N/A,FALSE,"구조1"}</definedName>
    <definedName name="박경근"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2" hidden="1">{#N/A,#N/A,FALSE,"현장 NCR 분석";#N/A,#N/A,FALSE,"현장품질감사";#N/A,#N/A,FALSE,"현장품질감사"}</definedName>
    <definedName name="배기덕트공사" localSheetId="2" hidden="1">{#N/A,#N/A,FALSE,"CCTV"}</definedName>
    <definedName name="배수공집계_주요자재" localSheetId="2" hidden="1">{#N/A,#N/A,FALSE,"포장단가"}</definedName>
    <definedName name="벙" localSheetId="2" hidden="1">{#N/A,#N/A,FALSE,"Sheet6"}</definedName>
    <definedName name="벽체" localSheetId="2" hidden="1">{#N/A,#N/A,FALSE,"혼합골재"}</definedName>
    <definedName name="변경2"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2" hidden="1">{#N/A,#N/A,FALSE,"집계표"}</definedName>
    <definedName name="보링" localSheetId="2" hidden="1">{#N/A,#N/A,FALSE,"포장2"}</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2" hidden="1">{#N/A,#N/A,FALSE,"이태원철근"}</definedName>
    <definedName name="보활공정" localSheetId="2" hidden="1">{#N/A,#N/A,FALSE,"이태원철근"}</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2" hidden="1">{#N/A,#N/A,FALSE,"골재소요량";#N/A,#N/A,FALSE,"골재소요량"}</definedName>
    <definedName name="부대a" localSheetId="2" hidden="1">{#N/A,#N/A,FALSE,"골재소요량";#N/A,#N/A,FALSE,"골재소요량"}</definedName>
    <definedName name="부대구조" localSheetId="2" hidden="1">{#N/A,#N/A,FALSE,"골재소요량";#N/A,#N/A,FALSE,"골재소요량"}</definedName>
    <definedName name="부대방안" localSheetId="2" hidden="1">{#N/A,#N/A,FALSE,"단가표지"}</definedName>
    <definedName name="부대실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2" hidden="1">{#N/A,#N/A,FALSE,"배수2"}</definedName>
    <definedName name="부대원본" localSheetId="2" hidden="1">{#N/A,#N/A,FALSE,"토공2"}</definedName>
    <definedName name="부대철콘" localSheetId="2" hidden="1">{#N/A,#N/A,FALSE,"배수1"}</definedName>
    <definedName name="부대토공" localSheetId="2" hidden="1">{#N/A,#N/A,FALSE,"구조2"}</definedName>
    <definedName name="부대토공2" localSheetId="2" hidden="1">{#N/A,#N/A,FALSE,"구조2"}</definedName>
    <definedName name="부발" localSheetId="2" hidden="1">{#N/A,#N/A,FALSE,"견적갑지";#N/A,#N/A,FALSE,"총괄표";#N/A,#N/A,FALSE,"철골공사";#N/A,#N/A,FALSE,"토목공사";#N/A,#N/A,FALSE,"판넬전기공사"}</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 hidden="1">{#N/A,#N/A,FALSE,"현장 NCR 분석";#N/A,#N/A,FALSE,"현장품질감사";#N/A,#N/A,FALSE,"현장품질감사"}</definedName>
    <definedName name="부천상동조경" localSheetId="2" hidden="1">{#N/A,#N/A,FALSE,"표지"}</definedName>
    <definedName name="분" localSheetId="2" hidden="1">{#N/A,#N/A,FALSE,"이태원철근"}</definedName>
    <definedName name="분당협조" localSheetId="2" hidden="1">{#N/A,#N/A,FALSE,"이태원철근"}</definedName>
    <definedName name="분석" localSheetId="2" hidden="1">{#N/A,#N/A,FALSE,"예상손익";#N/A,#N/A,FALSE,"관리분석";#N/A,#N/A,FALSE,"장비분석";#N/A,#N/A,FALSE,"준설분석";#N/A,#N/A,FALSE,"철구분석"}</definedName>
    <definedName name="분석변경" localSheetId="2" hidden="1">{#N/A,#N/A,FALSE,"변경관리예산";#N/A,#N/A,FALSE,"변경장비예산";#N/A,#N/A,FALSE,"변경준설예산";#N/A,#N/A,FALSE,"변경철구예산"}</definedName>
    <definedName name="분석표" localSheetId="2" hidden="1">{#N/A,#N/A,FALSE,"사업총괄";#N/A,#N/A,FALSE,"장비사업";#N/A,#N/A,FALSE,"철구사업";#N/A,#N/A,FALSE,"준설사업"}</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2" hidden="1">{#N/A,#N/A,FALSE,"견적갑지";#N/A,#N/A,FALSE,"총괄표";#N/A,#N/A,FALSE,"철골공사";#N/A,#N/A,FALSE,"토목공사";#N/A,#N/A,FALSE,"판넬전기공사"}</definedName>
    <definedName name="빙추" localSheetId="2" hidden="1">{#N/A,#N/A,FALSE,"견적갑지";#N/A,#N/A,FALSE,"총괄표";#N/A,#N/A,FALSE,"철골공사";#N/A,#N/A,FALSE,"토목공사";#N/A,#N/A,FALSE,"판넬전기공사"}</definedName>
    <definedName name="빙축열" localSheetId="2" hidden="1">{#N/A,#N/A,FALSE,"견적갑지";#N/A,#N/A,FALSE,"총괄표";#N/A,#N/A,FALSE,"철골공사";#N/A,#N/A,FALSE,"토목공사";#N/A,#N/A,FALSE,"판넬전기공사"}</definedName>
    <definedName name="빙축열주요자재" localSheetId="2" hidden="1">{#N/A,#N/A,FALSE,"견적갑지";#N/A,#N/A,FALSE,"총괄표";#N/A,#N/A,FALSE,"철골공사";#N/A,#N/A,FALSE,"토목공사";#N/A,#N/A,FALSE,"판넬전기공사"}</definedName>
    <definedName name="ㅅ" localSheetId="2" hidden="1">{#N/A,#N/A,TRUE,"토적및재료집계";#N/A,#N/A,TRUE,"토적및재료집계";#N/A,#N/A,TRUE,"단위량"}</definedName>
    <definedName name="ㅅㄱㄱㄷ" localSheetId="2" hidden="1">{#N/A,#N/A,FALSE,"집계표"}</definedName>
    <definedName name="ㅅㄱㄷㅅㄱㄷ" localSheetId="2" hidden="1">{#N/A,#N/A,FALSE,"구조2"}</definedName>
    <definedName name="ㅅㄱㄷㅅㄷㄱ" localSheetId="2" hidden="1">{#N/A,#N/A,FALSE,"단가표지"}</definedName>
    <definedName name="ㅅㄱㄷㅅㄷㄳ" localSheetId="2" hidden="1">{#N/A,#N/A,FALSE,"골재소요량";#N/A,#N/A,FALSE,"골재소요량"}</definedName>
    <definedName name="ㅅㄱ혿ㄱㅎ" localSheetId="2" hidden="1">{#N/A,#N/A,FALSE,"Sheet6"}</definedName>
    <definedName name="ㅅ굔ㄱㄷ" localSheetId="2" hidden="1">{#N/A,#N/A,FALSE,"Sheet6"}</definedName>
    <definedName name="ㅅ굦ㄷㄱ" localSheetId="2" hidden="1">{#N/A,#N/A,FALSE,"집계표"}</definedName>
    <definedName name="ㅅㅅㅅ" localSheetId="2" hidden="1">{#N/A,#N/A,FALSE,"견적갑지";#N/A,#N/A,FALSE,"총괄표";#N/A,#N/A,FALSE,"철골공사";#N/A,#N/A,FALSE,"토목공사";#N/A,#N/A,FALSE,"판넬전기공사"}</definedName>
    <definedName name="ㅅㅅㅅㅅ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2" hidden="1">{#N/A,#N/A,FALSE,"집계표"}</definedName>
    <definedName name="사1" localSheetId="2" hidden="1">{#N/A,#N/A,FALSE,"지침";#N/A,#N/A,FALSE,"환경분석";#N/A,#N/A,FALSE,"Sheet16"}</definedName>
    <definedName name="사급" localSheetId="2" hidden="1">{#N/A,#N/A,FALSE,"배수2"}</definedName>
    <definedName name="사면녹화공" localSheetId="2" hidden="1">{#N/A,#N/A,FALSE,"CCTV"}</definedName>
    <definedName name="사사삿" localSheetId="2" hidden="1">{#N/A,#N/A,FALSE,"견적갑지";#N/A,#N/A,FALSE,"총괄표";#N/A,#N/A,FALSE,"철골공사";#N/A,#N/A,FALSE,"토목공사";#N/A,#N/A,FALSE,"판넬전기공사"}</definedName>
    <definedName name="산출갑" localSheetId="2" hidden="1">{#N/A,#N/A,FALSE,"구조2"}</definedName>
    <definedName name="산출근거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2" hidden="1">{#N/A,#N/A,FALSE,"배수2"}</definedName>
    <definedName name="삽" localSheetId="2" hidden="1">{#N/A,#N/A,FALSE,"Sheet6"}</definedName>
    <definedName name="상주" localSheetId="2" hidden="1">{#N/A,#N/A,FALSE,"지침";#N/A,#N/A,FALSE,"환경분석";#N/A,#N/A,FALSE,"Sheet16"}</definedName>
    <definedName name="상주감리" localSheetId="2" hidden="1">{#N/A,#N/A,FALSE,"지침";#N/A,#N/A,FALSE,"환경분석";#N/A,#N/A,FALSE,"Sheet16"}</definedName>
    <definedName name="새"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2" hidden="1">{#N/A,#N/A,FALSE,"이태원철근"}</definedName>
    <definedName name="새내역서" localSheetId="2" hidden="1">{#N/A,#N/A,FALSE,"Sheet1"}</definedName>
    <definedName name="샘풀카피" localSheetId="2" hidden="1">{#N/A,#N/A,FALSE,"CCTV"}</definedName>
    <definedName name="샘플카피2" localSheetId="2" hidden="1">{#N/A,#N/A,FALSE,"CCTV"}</definedName>
    <definedName name="샘플카피3" localSheetId="2" hidden="1">{#N/A,#N/A,FALSE,"CCTV"}</definedName>
    <definedName name="서아" localSheetId="2" hidden="1">{#N/A,#N/A,FALSE,"집계표"}</definedName>
    <definedName name="석" localSheetId="2" hidden="1">{#N/A,#N/A,FALSE,"지침";#N/A,#N/A,FALSE,"환경분석";#N/A,#N/A,FALSE,"Sheet16"}</definedName>
    <definedName name="석항" localSheetId="2" hidden="1">{#N/A,#N/A,FALSE,"명세표"}</definedName>
    <definedName name="설명서" localSheetId="2" hidden="1">{#N/A,#N/A,FALSE,"포장1";#N/A,#N/A,FALSE,"포장1"}</definedName>
    <definedName name="설비" localSheetId="2" hidden="1">{#N/A,#N/A,FALSE,"이태원철근"}</definedName>
    <definedName name="설비산출" localSheetId="2" hidden="1">{"'건축내역'!$A$1:$L$413"}</definedName>
    <definedName name="세전익익" localSheetId="2" hidden="1">{#N/A,#N/A,FALSE,"지침";#N/A,#N/A,FALSE,"환경분석";#N/A,#N/A,FALSE,"Sheet16"}</definedName>
    <definedName name="소방자재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2" hidden="1">{#N/A,#N/A,FALSE,"예상손익";#N/A,#N/A,FALSE,"관리분석";#N/A,#N/A,FALSE,"장비분석";#N/A,#N/A,FALSE,"준설분석";#N/A,#N/A,FALSE,"철구분석"}</definedName>
    <definedName name="소포장" localSheetId="2" hidden="1">{#N/A,#N/A,FALSE,"견적갑지";#N/A,#N/A,FALSE,"총괄표";#N/A,#N/A,FALSE,"철골공사";#N/A,#N/A,FALSE,"토목공사";#N/A,#N/A,FALSE,"판넬전기공사"}</definedName>
    <definedName name="소포장설비" localSheetId="2" hidden="1">{#N/A,#N/A,FALSE,"견적갑지";#N/A,#N/A,FALSE,"총괄표";#N/A,#N/A,FALSE,"철골공사";#N/A,#N/A,FALSE,"토목공사";#N/A,#N/A,FALSE,"판넬전기공사"}</definedName>
    <definedName name="소화갑지" localSheetId="2" hidden="1">{#N/A,#N/A,FALSE,"CCTV"}</definedName>
    <definedName name="손익변경" localSheetId="2" hidden="1">{#N/A,#N/A,FALSE,"지침";#N/A,#N/A,FALSE,"환경분석";#N/A,#N/A,FALSE,"Sheet16"}</definedName>
    <definedName name="송용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2" hidden="1">{#N/A,#N/A,FALSE,"Sheet6"}</definedName>
    <definedName name="쇼ㅓㅎㄹ" localSheetId="2" hidden="1">{#N/A,#N/A,FALSE,"집계표"}</definedName>
    <definedName name="쇼ㅗㅎ로" localSheetId="2" hidden="1">{"'장비'!$A$3:$M$12"}</definedName>
    <definedName name="숏교" localSheetId="2" hidden="1">{#N/A,#N/A,FALSE,"Sheet6"}</definedName>
    <definedName name="숑" localSheetId="2" hidden="1">{#N/A,#N/A,FALSE,"도급대비시행율";#N/A,#N/A,FALSE,"결의서";#N/A,#N/A,FALSE,"내역서";#N/A,#N/A,FALSE,"도급예상"}</definedName>
    <definedName name="수량산출근거" localSheetId="2" hidden="1">{#N/A,#N/A,FALSE,"표지"}</definedName>
    <definedName name="수량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2" hidden="1">{#N/A,#N/A,FALSE,"지침";#N/A,#N/A,FALSE,"환경분석";#N/A,#N/A,FALSE,"Sheet16"}</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2" hidden="1">{#N/A,#N/A,FALSE,"견적갑지";#N/A,#N/A,FALSE,"총괄표";#N/A,#N/A,FALSE,"철골공사";#N/A,#N/A,FALSE,"토목공사";#N/A,#N/A,FALSE,"판넬전기공사"}</definedName>
    <definedName name="시행" localSheetId="2" hidden="1">{#N/A,#N/A,FALSE,"이태원철근"}</definedName>
    <definedName name="시험실과식당" localSheetId="2" hidden="1">{#N/A,#N/A,FALSE,"사업총괄";#N/A,#N/A,FALSE,"장비사업";#N/A,#N/A,FALSE,"철구사업";#N/A,#N/A,FALSE,"준설사업"}</definedName>
    <definedName name="신"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2" hidden="1">{#N/A,#N/A,FALSE,"명세표"}</definedName>
    <definedName name="신세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2" hidden="1">{#N/A,#N/A,FALSE,"현장 NCR 분석";#N/A,#N/A,FALSE,"현장품질감사";#N/A,#N/A,FALSE,"현장품질감사"}</definedName>
    <definedName name="신재점" localSheetId="2" hidden="1">{#N/A,#N/A,FALSE,"이태원철근"}</definedName>
    <definedName name="실행금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2" hidden="1">{#N/A,#N/A,FALSE,"집계표"}</definedName>
    <definedName name="ㅇ거" localSheetId="2" hidden="1">{#N/A,#N/A,FALSE,"집계표"}</definedName>
    <definedName name="ㅇㄳㄹ호" localSheetId="2" hidden="1">{#N/A,#N/A,FALSE,"집계표"}</definedName>
    <definedName name="ㅇㄴㄱ숖ㅊ" localSheetId="2" hidden="1">{#N/A,#N/A,FALSE,"집계표"}</definedName>
    <definedName name="ㅇㄴ굫ㅅ" localSheetId="2" hidden="1">{#N/A,#N/A,FALSE,"집계표"}</definedName>
    <definedName name="ㅇㄴㄴㄴㄴㄴㄴㄴㄴ" localSheetId="2" hidden="1">{#N/A,#N/A,FALSE,"집계표"}</definedName>
    <definedName name="ㅇㄴㄹ" localSheetId="2" hidden="1">{#N/A,#N/A,FALSE,"Sheet1"}</definedName>
    <definedName name="ㅇㄴㄹㄴㄹㅇㄹ" localSheetId="2" hidden="1">{#N/A,#N/A,FALSE,"CCTV"}</definedName>
    <definedName name="ㅇㄴㄹㅎ" localSheetId="2" hidden="1">{#N/A,#N/A,FALSE,"집계표"}</definedName>
    <definedName name="ㅇㄴㄹ해" localSheetId="2" hidden="1">{#N/A,#N/A,FALSE,"집계표"}</definedName>
    <definedName name="ㅇㄴㄹ혼" localSheetId="2" hidden="1">{#N/A,#N/A,FALSE,"집계표"}</definedName>
    <definedName name="ㅇㄴㄹ히ㅑㅓ" localSheetId="2" hidden="1">{#N/A,#N/A,FALSE,"집계표"}</definedName>
    <definedName name="ㅇㄴ라ㅔㅐ" localSheetId="2" hidden="1">{#N/A,#N/A,FALSE,"집계표"}</definedName>
    <definedName name="ㅇㄴ로" localSheetId="2" hidden="1">{#N/A,#N/A,FALSE,"집계표"}</definedName>
    <definedName name="ㅇㄴ로ㅗㅗㅗㅗㅗㅗㅗㅗ" localSheetId="2" hidden="1">{#N/A,#N/A,FALSE,"집계표"}</definedName>
    <definedName name="ㅇㄴ롷" localSheetId="2" hidden="1">{#N/A,#N/A,FALSE,"집계표"}</definedName>
    <definedName name="ㅇㄴ롷ㄴ" localSheetId="2" hidden="1">{#N/A,#N/A,FALSE,"집계표"}</definedName>
    <definedName name="ㅇㄴ롷ㅇㄴ롷ㄴ" localSheetId="2" hidden="1">{#N/A,#N/A,FALSE,"집계표"}</definedName>
    <definedName name="ㅇㄴ리ㅏ허ㅣ" localSheetId="2" hidden="1">{#N/A,#N/A,FALSE,"집계표"}</definedName>
    <definedName name="ㅇㄴㄿ" localSheetId="2" hidden="1">{#N/A,#N/A,FALSE,"CCTV"}</definedName>
    <definedName name="ㅇㄴㅀㄴㄿㅊ" localSheetId="2" hidden="1">{#N/A,#N/A,FALSE,"집계표"}</definedName>
    <definedName name="ㅇㄴㅀㄴㅇㄱ" localSheetId="2" hidden="1">{#N/A,#N/A,FALSE,"집계표"}</definedName>
    <definedName name="ㅇㄴㅀㅁㄱㄷㅎ" localSheetId="2" hidden="1">{#N/A,#N/A,FALSE,"집계표"}</definedName>
    <definedName name="ㅇㄴㅀ쇼ㅗㅗㅗㅗㅗ" localSheetId="2" hidden="1">{#N/A,#N/A,FALSE,"집계표"}</definedName>
    <definedName name="ㅇㄴㅀㅇㄴ" localSheetId="2" hidden="1">{#N/A,#N/A,FALSE,"집계표"}</definedName>
    <definedName name="ㅇㄴㅁ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2" hidden="1">{#N/A,#N/A,FALSE,"집계표"}</definedName>
    <definedName name="ㅇ낳리ㅓ" localSheetId="2" hidden="1">{#N/A,#N/A,FALSE,"집계표"}</definedName>
    <definedName name="ㅇ낸에네ㅔ" localSheetId="2" hidden="1">{#N/A,#N/A,FALSE,"집계표"}</definedName>
    <definedName name="ㅇ놓ㄹㄹㄹㄹㄹ" localSheetId="2" hidden="1">{#N/A,#N/A,FALSE,"집계표"}</definedName>
    <definedName name="ㅇ놓로횻ㅅ" localSheetId="2" hidden="1">{#N/A,#N/A,FALSE,"집계표"}</definedName>
    <definedName name="ㅇ니ㅏㅎ러" localSheetId="2" hidden="1">{#N/A,#N/A,FALSE,"집계표"}</definedName>
    <definedName name="ㅇ니ㅏㅓㄹ힝니ㅏㅎㄹ" localSheetId="2" hidden="1">{#N/A,#N/A,FALSE,"집계표"}</definedName>
    <definedName name="ㅇ니ㅏㅓ로히ㅏ" localSheetId="2" hidden="1">{#N/A,#N/A,FALSE,"집계표"}</definedName>
    <definedName name="ㅇ니ㅓㅎ로" localSheetId="2" hidden="1">{#N/A,#N/A,FALSE,"집계표"}</definedName>
    <definedName name="ㅇㄶ" localSheetId="2" hidden="1">{#N/A,#N/A,FALSE,"표지"}</definedName>
    <definedName name="ㅇㄷㄱㅎㄴㅇ" localSheetId="2" hidden="1">{#N/A,#N/A,FALSE,"집계표"}</definedName>
    <definedName name="ㅇ더퍼" localSheetId="2" hidden="1">{#N/A,#N/A,FALSE,"집계표"}</definedName>
    <definedName name="ㅇㄹ" localSheetId="2" hidden="1">{#N/A,#N/A,FALSE,"CCTV"}</definedName>
    <definedName name="ㅇㄹㄴㄹ" localSheetId="2" hidden="1">{#N/A,#N/A,FALSE,"CCTV"}</definedName>
    <definedName name="ㅇㄹㄴ호" localSheetId="2" hidden="1">{#N/A,#N/A,FALSE,"집계표"}</definedName>
    <definedName name="ㅇㄹㄹㅀㅎㅎㅎㅎㅎㅎㅎㅎㅎㅎ" localSheetId="2" hidden="1">{#N/A,#N/A,FALSE,"집계표"}</definedName>
    <definedName name="ㅇㄹㅇㄹㅇ" localSheetId="2" hidden="1">{#N/A,#N/A,FALSE,"CCTV"}</definedName>
    <definedName name="ㅇㄹㅇㄹㅇㄹ" localSheetId="2" hidden="1">{#N/A,#N/A,FALSE,"CCTV"}</definedName>
    <definedName name="ㅇㄹㅎ" localSheetId="2" hidden="1">{#N/A,#N/A,FALSE,"집계표"}</definedName>
    <definedName name="ㅇㄹ허ㅗ" localSheetId="2" hidden="1">{#N/A,#N/A,FALSE,"집계표"}</definedName>
    <definedName name="ㅇㄹ호" localSheetId="2" hidden="1">{#N/A,#N/A,FALSE,"집계표"}</definedName>
    <definedName name="ㅇㄹ호ㄹ옿" localSheetId="2" hidden="1">{#N/A,#N/A,FALSE,"집계표"}</definedName>
    <definedName name="ㅇㄹ호옿ㅎㄹ오" localSheetId="2" hidden="1">{#N/A,#N/A,FALSE,"집계표"}</definedName>
    <definedName name="ㅇㄹ호허ㅗㅓㅓ" localSheetId="2" hidden="1">{#N/A,#N/A,FALSE,"집계표"}</definedName>
    <definedName name="ㅇㄹ호ㅗㅗㅗ" localSheetId="2" hidden="1">{#N/A,#N/A,FALSE,"집계표"}</definedName>
    <definedName name="ㅇㄹㅗㅎ" localSheetId="2" hidden="1">{#N/A,#N/A,FALSE,"집계표"}</definedName>
    <definedName name="ㅇ라ㅓㅎ킥" localSheetId="2" hidden="1">{#N/A,#N/A,FALSE,"집계표"}</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2" hidden="1">{#N/A,#N/A,FALSE,"집계표"}</definedName>
    <definedName name="ㅇ러ㅗㅎ" localSheetId="2" hidden="1">{#N/A,#N/A,FALSE,"집계표"}</definedName>
    <definedName name="ㅇ렇ㅇ" localSheetId="2" hidden="1">{#N/A,#N/A,FALSE,"집계표"}</definedName>
    <definedName name="ㅇ롷" localSheetId="2" hidden="1">{#N/A,#N/A,FALSE,"집계표"}</definedName>
    <definedName name="ㅇㅀㅁ" localSheetId="2" hidden="1">{#N/A,#N/A,FALSE,"집계표"}</definedName>
    <definedName name="ㅇㅀㅇㄱ" localSheetId="2" hidden="1">{#N/A,#N/A,FALSE,"집계표"}</definedName>
    <definedName name="ㅇㅇㄱ" localSheetId="2" hidden="1">{#N/A,#N/A,FALSE,"집계표"}</definedName>
    <definedName name="ㅇㅇㄹㅇㄹ" localSheetId="2" hidden="1">{#N/A,#N/A,FALSE,"집계표"}</definedName>
    <definedName name="ㅇㅇㄹㅇㄹㅇ" localSheetId="2" hidden="1">{#N/A,#N/A,FALSE,"CCTV"}</definedName>
    <definedName name="ㅇㅇㅇ" localSheetId="2" hidden="1">{#N/A,#N/A,FALSE,"주간공정";#N/A,#N/A,FALSE,"주간보고";#N/A,#N/A,FALSE,"주간공정표"}</definedName>
    <definedName name="ㅇㅇㅇㅇㅇ" localSheetId="2" hidden="1">{#N/A,#N/A,FALSE,"주간공정";#N/A,#N/A,FALSE,"주간보고";#N/A,#N/A,FALSE,"주간공정표"}</definedName>
    <definedName name="ㅇㅇㅇㅇㅇㅇ" localSheetId="2" hidden="1">{#N/A,#N/A,FALSE,"지침";#N/A,#N/A,FALSE,"환경분석";#N/A,#N/A,FALSE,"Sheet16"}</definedName>
    <definedName name="ㅇㅇㅎ" localSheetId="2" hidden="1">{#N/A,#N/A,FALSE,"집계표"}</definedName>
    <definedName name="ㅇㅎㄷ" localSheetId="2" hidden="1">{#N/A,#N/A,FALSE,"집계표"}</definedName>
    <definedName name="ㅇㅎ러ㅗㅇ" localSheetId="2" hidden="1">{#N/A,#N/A,FALSE,"집계표"}</definedName>
    <definedName name="ㅇㅎㄻㄴㅇㅁㅎㄴㅀㅁㄴㅇㅎㄴ" localSheetId="2" hidden="1">{#N/A,#N/A,FALSE,"Sheet6"}</definedName>
    <definedName name="아" localSheetId="2" hidden="1">{#N/A,#N/A,FALSE,"주간공정";#N/A,#N/A,FALSE,"주간보고";#N/A,#N/A,FALSE,"주간공정표"}</definedName>
    <definedName name="아니" localSheetId="2" hidden="1">{"'Sheet1'!$A$4:$M$21","'Sheet1'!$J$17:$K$19"}</definedName>
    <definedName name="아름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2" hidden="1">{#N/A,#N/A,FALSE,"배수2"}</definedName>
    <definedName name="아싸" localSheetId="2" hidden="1">{#N/A,#N/A,FALSE,"CCTV"}</definedName>
    <definedName name="아아아앙" localSheetId="2" hidden="1">{#N/A,#N/A,FALSE,"주간공정";#N/A,#N/A,FALSE,"주간보고";#N/A,#N/A,FALSE,"주간공정표"}</definedName>
    <definedName name="아아ㅏ앙" localSheetId="2" hidden="1">{#N/A,#N/A,FALSE,"주간공정";#N/A,#N/A,FALSE,"주간보고";#N/A,#N/A,FALSE,"주간공정표"}</definedName>
    <definedName name="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2" hidden="1">{"'Sheet1'!$A$4:$M$21","'Sheet1'!$J$17:$K$19"}</definedName>
    <definedName name="아파트내역2" localSheetId="2" hidden="1">{"'Sheet1'!$A$4:$M$21","'Sheet1'!$J$17:$K$19"}</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2" hidden="1">{#N/A,#N/A,FALSE,"포장1";#N/A,#N/A,FALSE,"포장1"}</definedName>
    <definedName name="안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2" hidden="1">{#N/A,#N/A,FALSE,"이태원철근"}</definedName>
    <definedName name="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2" hidden="1">{#N/A,#N/A,FALSE,"이태원철근"}</definedName>
    <definedName name="야간" localSheetId="2" hidden="1">{#N/A,#N/A,FALSE,"지침";#N/A,#N/A,FALSE,"환경분석";#N/A,#N/A,FALSE,"Sheet16"}</definedName>
    <definedName name="어어엉" localSheetId="2" hidden="1">{#N/A,#N/A,FALSE,"주간공정";#N/A,#N/A,FALSE,"주간보고";#N/A,#N/A,FALSE,"주간공정표"}</definedName>
    <definedName name="어쭈구리" localSheetId="2" hidden="1">{#N/A,#N/A,FALSE,"교리2"}</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 hidden="1">{#N/A,#N/A,FALSE,"2~8번"}</definedName>
    <definedName name="얼낭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2" hidden="1">{#N/A,#N/A,FALSE,"집계";#N/A,#N/A,FALSE,"표지";#N/A,#N/A,FALSE,"터빈집계";#N/A,#N/A,FALSE,"터빈내역";#N/A,#N/A,FALSE,"주제어집계";#N/A,#N/A,FALSE,"주제어내역";#N/A,#N/A,FALSE,"보일러집계";#N/A,#N/A,FALSE,"보일러내역"}</definedName>
    <definedName name="업종" localSheetId="2" hidden="1">{#N/A,#N/A,FALSE,"포장2"}</definedName>
    <definedName name="업체벼래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2" hidden="1">{#N/A,#N/A,FALSE,"배수2"}</definedName>
    <definedName name="연습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2" hidden="1">{"'용역비'!$A$4:$C$8"}</definedName>
    <definedName name="영암실행" localSheetId="2" hidden="1">{#N/A,#N/A,FALSE,"전력간선"}</definedName>
    <definedName name="영업" localSheetId="2" hidden="1">{#N/A,#N/A,FALSE,"지침";#N/A,#N/A,FALSE,"환경분석";#N/A,#N/A,FALSE,"Sheet16"}</definedName>
    <definedName name="영업현금" localSheetId="2" hidden="1">{#N/A,#N/A,FALSE,"지침";#N/A,#N/A,FALSE,"환경분석";#N/A,#N/A,FALSE,"Sheet16"}</definedName>
    <definedName name="영종" localSheetId="2" hidden="1">{#N/A,#N/A,FALSE,"CCTV"}</definedName>
    <definedName name="예상계획" localSheetId="2" hidden="1">{#N/A,#N/A,FALSE,"집계표"}</definedName>
    <definedName name="예정가" localSheetId="2" hidden="1">{#N/A,#N/A,FALSE,"포장2"}</definedName>
    <definedName name="오됴" localSheetId="2" hidden="1">{#N/A,#N/A,FALSE,"집계표"}</definedName>
    <definedName name="오배수" localSheetId="2" hidden="1">{#N/A,#N/A,TRUE,"천상그린44PY"}</definedName>
    <definedName name="오배수입상" localSheetId="2" hidden="1">{#N/A,#N/A,TRUE,"천상그린44PY"}</definedName>
    <definedName name="오수토공" localSheetId="2" hidden="1">{#N/A,#N/A,FALSE,"기안지";#N/A,#N/A,FALSE,"통신지"}</definedName>
    <definedName name="오오오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 hidden="1">{#N/A,#N/A,FALSE,"이태원철근"}</definedName>
    <definedName name="옥외대비" localSheetId="2" hidden="1">{#N/A,#N/A,FALSE,"이태원철근"}</definedName>
    <definedName name="옥탑층" localSheetId="2" hidden="1">{#N/A,#N/A,FALSE,"Sheet1"}</definedName>
    <definedName name="옹" localSheetId="2" hidden="1">{#N/A,#N/A,FALSE,"골재소요량";#N/A,#N/A,FALSE,"골재소요량"}</definedName>
    <definedName name="옹벽수량집계표" localSheetId="2" hidden="1">{#N/A,#N/A,FALSE,"2~8번"}</definedName>
    <definedName name="옹벽수량집계표총괄" localSheetId="2" hidden="1">{#N/A,#N/A,FALSE,"혼합골재"}</definedName>
    <definedName name="옿" localSheetId="2" hidden="1">{#N/A,#N/A,FALSE,"집계표"}</definedName>
    <definedName name="완도" localSheetId="2" hidden="1">{#N/A,#N/A,FALSE,"포장2"}</definedName>
    <definedName name="용용" localSheetId="2" hidden="1">{#N/A,#N/A,FALSE,"포장2"}</definedName>
    <definedName name="우리" localSheetId="2" hidden="1">{#N/A,#N/A,FALSE,"사업총괄";#N/A,#N/A,FALSE,"장비사업";#N/A,#N/A,FALSE,"철구사업";#N/A,#N/A,FALSE,"준설사업"}</definedName>
    <definedName name="우후" localSheetId="2" hidden="1">{"'별표'!$N$220"}</definedName>
    <definedName name="울트구룡대보2공구" localSheetId="2" hidden="1">{#N/A,#N/A,FALSE,"속도"}</definedName>
    <definedName name="울트라" localSheetId="2" hidden="1">{#N/A,#N/A,FALSE,"구조1"}</definedName>
    <definedName name="울트라구룡2공구" localSheetId="2" hidden="1">{#N/A,#N/A,FALSE,"이정표"}</definedName>
    <definedName name="원가" localSheetId="2" hidden="1">{#N/A,#N/A,FALSE,"운반시간"}</definedName>
    <definedName name="원가12" localSheetId="2" hidden="1">{#N/A,#N/A,FALSE,"운반시간"}</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2" hidden="1">{#N/A,#N/A,FALSE,"이태원철근"}</definedName>
    <definedName name="월별투입" localSheetId="2" hidden="1">{#N/A,#N/A,FALSE,"지침";#N/A,#N/A,FALSE,"환경분석";#N/A,#N/A,FALSE,"Sheet16"}</definedName>
    <definedName name="유가증권" localSheetId="2" hidden="1">{#N/A,#N/A,FALSE,"Aging Summary";#N/A,#N/A,FALSE,"Ratio Analysis";#N/A,#N/A,FALSE,"Test 120 Day Accts";#N/A,#N/A,FALSE,"Tickmarks"}</definedName>
    <definedName name="을" localSheetId="2" hidden="1">{#N/A,#N/A,FALSE,"도급대비시행율";#N/A,#N/A,FALSE,"결의서";#N/A,#N/A,FALSE,"내역서";#N/A,#N/A,FALSE,"도급예상"}</definedName>
    <definedName name="의" localSheetId="2" hidden="1">{#N/A,#N/A,FALSE,"운반시간"}</definedName>
    <definedName name="이"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2" hidden="1">{#N/A,#N/A,FALSE,"구조1"}</definedName>
    <definedName name="이슈" localSheetId="2" hidden="1">{#N/A,#N/A,FALSE,"지침";#N/A,#N/A,FALSE,"환경분석";#N/A,#N/A,FALSE,"Sheet16"}</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 hidden="1">{#N/A,#N/A,FALSE,"이태원철근"}</definedName>
    <definedName name="일정표0124" localSheetId="2" hidden="1">{#N/A,#N/A,FALSE,"이태원철근"}</definedName>
    <definedName name="임시" localSheetId="2" hidden="1">{#N/A,#N/A,FALSE,"현장 NCR 분석";#N/A,#N/A,FALSE,"현장품질감사";#N/A,#N/A,FALSE,"현장품질감사"}</definedName>
    <definedName name="임형" localSheetId="2" hidden="1">{#N/A,#N/A,FALSE,"포장2"}</definedName>
    <definedName name="입찰" localSheetId="2" hidden="1">{#N/A,#N/A,FALSE,"구조2"}</definedName>
    <definedName name="ㅈ" localSheetId="2" hidden="1">{#N/A,#N/A,FALSE,"명세표"}</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2" hidden="1">{#N/A,#N/A,FALSE,"집계표"}</definedName>
    <definedName name="ㅈㄷㄱㄷㄱㄷ" localSheetId="2" hidden="1">{"'용역비'!$A$4:$C$8"}</definedName>
    <definedName name="ㅈㄷㄱㅈ" localSheetId="2" hidden="1">{#N/A,#N/A,FALSE,"Sheet6"}</definedName>
    <definedName name="ㅈㄷㄳㅈㄷ" localSheetId="2" hidden="1">{#N/A,#N/A,FALSE,"Sheet6"}</definedName>
    <definedName name="ㅈㄷㅅ교" localSheetId="2" hidden="1">{#N/A,#N/A,FALSE,"집계표"}</definedName>
    <definedName name="ㅈㄷㅅㅁㅇㄴㄹ" localSheetId="2" hidden="1">{#N/A,#N/A,FALSE,"집계표"}</definedName>
    <definedName name="ㅈㅂㄹㅇㅁㄴㅇㅍㅌㅋㅁㄴㅇㄻㅎㅁ" localSheetId="2" hidden="1">{#N/A,#N/A,FALSE,"집계표"}</definedName>
    <definedName name="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2" hidden="1">{#N/A,#N/A,FALSE,"집계표"}</definedName>
    <definedName name="ㅈㅈㅈ"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2" hidden="1">{#N/A,#N/A,FALSE,"명세표"}</definedName>
    <definedName name="ㅈ자" localSheetId="2" hidden="1">{#N/A,#N/A,FALSE,"CCTV"}</definedName>
    <definedName name="자" localSheetId="2" hidden="1">{"'Sheet1'!$A$4:$M$21","'Sheet1'!$J$17:$K$19"}</definedName>
    <definedName name="자미" localSheetId="2" hidden="1">{#N/A,#N/A,FALSE,"명세표"}</definedName>
    <definedName name="자본금" localSheetId="2" hidden="1">{#N/A,#N/A,FALSE,"Aging Summary";#N/A,#N/A,FALSE,"Ratio Analysis";#N/A,#N/A,FALSE,"Test 120 Day Accts";#N/A,#N/A,FALSE,"Tickmarks"}</definedName>
    <definedName name="자야" localSheetId="2" hidden="1">{#N/A,#N/A,FALSE,"집계표"}</definedName>
    <definedName name="자양" localSheetId="2" hidden="1">{#N/A,#N/A,FALSE,"이태원철근"}</definedName>
    <definedName name="자양공사개요" localSheetId="2" hidden="1">{#N/A,#N/A,FALSE,"이태원철근"}</definedName>
    <definedName name="자재1" localSheetId="2" hidden="1">{#N/A,#N/A,FALSE,"포장2"}</definedName>
    <definedName name="자재2" localSheetId="2" hidden="1">{#N/A,#N/A,FALSE,"구조2"}</definedName>
    <definedName name="자ㅓㅏ" localSheetId="2" hidden="1">{#N/A,#N/A,FALSE,"집계표"}</definedName>
    <definedName name="장" localSheetId="2" hidden="1">{#N/A,#N/A,FALSE,"CCTV"}</definedName>
    <definedName name="장구" localSheetId="2" hidden="1">{#N/A,#N/A,FALSE,"Sheet6"}</definedName>
    <definedName name="장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2" hidden="1">{#N/A,#N/A,FALSE,"견적갑지";#N/A,#N/A,FALSE,"총괄표";#N/A,#N/A,FALSE,"철골공사";#N/A,#N/A,FALSE,"토목공사";#N/A,#N/A,FALSE,"판넬전기공사"}</definedName>
    <definedName name="저온1" localSheetId="2" hidden="1">{#N/A,#N/A,FALSE,"견적갑지";#N/A,#N/A,FALSE,"총괄표";#N/A,#N/A,FALSE,"철골공사";#N/A,#N/A,FALSE,"토목공사";#N/A,#N/A,FALSE,"판넬전기공사"}</definedName>
    <definedName name="저온냉동" localSheetId="2" hidden="1">{#N/A,#N/A,FALSE,"견적갑지";#N/A,#N/A,FALSE,"총괄표";#N/A,#N/A,FALSE,"철골공사";#N/A,#N/A,FALSE,"토목공사";#N/A,#N/A,FALSE,"판넬전기공사"}</definedName>
    <definedName name="저온설비" localSheetId="2" hidden="1">{#N/A,#N/A,FALSE,"견적갑지";#N/A,#N/A,FALSE,"총괄표";#N/A,#N/A,FALSE,"철골공사";#N/A,#N/A,FALSE,"토목공사";#N/A,#N/A,FALSE,"판넬전기공사"}</definedName>
    <definedName name="저온저장고" localSheetId="2" hidden="1">{#N/A,#N/A,FALSE,"견적갑지";#N/A,#N/A,FALSE,"총괄표";#N/A,#N/A,FALSE,"철골공사";#N/A,#N/A,FALSE,"토목공사";#N/A,#N/A,FALSE,"판넬전기공사"}</definedName>
    <definedName name="저온집계" localSheetId="2" hidden="1">{#N/A,#N/A,FALSE,"견적갑지";#N/A,#N/A,FALSE,"총괄표";#N/A,#N/A,FALSE,"철골공사";#N/A,#N/A,FALSE,"토목공사";#N/A,#N/A,FALSE,"판넬전기공사"}</definedName>
    <definedName name="저층부공내역" localSheetId="2" hidden="1">{#N/A,#N/A,FALSE,"估價單  (3)"}</definedName>
    <definedName name="저층부금액" localSheetId="2" hidden="1">{#N/A,#N/A,FALSE,"估價單  (3)"}</definedName>
    <definedName name="저층부금액1" localSheetId="2" hidden="1">{#N/A,#N/A,FALSE,"估價單  (3)"}</definedName>
    <definedName name="전기" localSheetId="2" hidden="1">{"'Sheet1'!$A$1:$E$59"}</definedName>
    <definedName name="전기1" localSheetId="2" hidden="1">{#N/A,#N/A,FALSE,"견적갑지";#N/A,#N/A,FALSE,"총괄표";#N/A,#N/A,FALSE,"철골공사";#N/A,#N/A,FALSE,"토목공사";#N/A,#N/A,FALSE,"판넬전기공사"}</definedName>
    <definedName name="전기3" localSheetId="2" hidden="1">{#N/A,#N/A,FALSE,"견적갑지";#N/A,#N/A,FALSE,"총괄표";#N/A,#N/A,FALSE,"철골공사";#N/A,#N/A,FALSE,"토목공사";#N/A,#N/A,FALSE,"판넬전기공사"}</definedName>
    <definedName name="전기4" localSheetId="2" hidden="1">{#N/A,#N/A,FALSE,"견적갑지";#N/A,#N/A,FALSE,"총괄표";#N/A,#N/A,FALSE,"철골공사";#N/A,#N/A,FALSE,"토목공사";#N/A,#N/A,FALSE,"판넬전기공사"}</definedName>
    <definedName name="전기내역" localSheetId="2" hidden="1">{#N/A,#N/A,FALSE,"CCTV"}</definedName>
    <definedName name="전기특기조건" localSheetId="2" hidden="1">{#N/A,#N/A,FALSE,"현장 NCR 분석";#N/A,#N/A,FALSE,"현장품질감사";#N/A,#N/A,FALSE,"현장품질감사"}</definedName>
    <definedName name="전등설비" localSheetId="2" hidden="1">{#N/A,#N/A,FALSE,"CCTV"}</definedName>
    <definedName name="전열" localSheetId="2" hidden="1">{#N/A,#N/A,FALSE,"CCTV"}</definedName>
    <definedName name="전자CF" localSheetId="2" hidden="1">{#N/A,#N/A,FALSE,"지침";#N/A,#N/A,FALSE,"환경분석";#N/A,#N/A,FALSE,"Sheet16"}</definedName>
    <definedName name="젇주ㅠㅜㅇㄴ" localSheetId="2" hidden="1">{#N/A,#N/A,FALSE,"집계표"}</definedName>
    <definedName name="정리" localSheetId="2" hidden="1">{#N/A,#N/A,FALSE,"CCTV"}</definedName>
    <definedName name="정보통신" localSheetId="2" hidden="1">{"'Firr(선)'!$AS$1:$AY$62","'Firr(사)'!$AS$1:$AY$62","'Firr(회)'!$AS$1:$AY$62","'Firr(선)'!$L$1:$V$62","'Firr(사)'!$L$1:$V$62","'Firr(회)'!$L$1:$V$62"}</definedName>
    <definedName name="정산표" localSheetId="2" hidden="1">{#N/A,#N/A,FALSE,"현장 NCR 분석";#N/A,#N/A,FALSE,"현장품질감사";#N/A,#N/A,FALSE,"현장품질감사"}</definedName>
    <definedName name="제2짱" localSheetId="2" hidden="1">{#N/A,#N/A,FALSE,"운반시간"}</definedName>
    <definedName name="제외공사" localSheetId="2" hidden="1">{#N/A,#N/A,FALSE,"지침";#N/A,#N/A,FALSE,"환경분석";#N/A,#N/A,FALSE,"Sheet16"}</definedName>
    <definedName name="제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2" hidden="1">{#N/A,#N/A,FALSE,"표지"}</definedName>
    <definedName name="조경사본" localSheetId="2" hidden="1">{#N/A,#N/A,FALSE,"표지"}</definedName>
    <definedName name="조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2" hidden="1">{#N/A,#N/A,FALSE,"사업총괄";#N/A,#N/A,FALSE,"장비사업";#N/A,#N/A,FALSE,"철구사업";#N/A,#N/A,FALSE,"준설사업"}</definedName>
    <definedName name="조직4.2" localSheetId="2" hidden="1">{#N/A,#N/A,FALSE,"예상손익";#N/A,#N/A,FALSE,"관리분석";#N/A,#N/A,FALSE,"장비분석";#N/A,#N/A,FALSE,"준설분석";#N/A,#N/A,FALSE,"철구분석"}</definedName>
    <definedName name="조차장" localSheetId="2" hidden="1">{#N/A,#N/A,FALSE,"명세표"}</definedName>
    <definedName name="조창현" localSheetId="2" hidden="1">{#N/A,#N/A,FALSE,"교리2"}</definedName>
    <definedName name="조후" localSheetId="2" hidden="1">{#N/A,#N/A,FALSE,"예상손익";#N/A,#N/A,FALSE,"관리분석";#N/A,#N/A,FALSE,"장비분석";#N/A,#N/A,FALSE,"준설분석";#N/A,#N/A,FALSE,"철구분석"}</definedName>
    <definedName name="종별물량실행" localSheetId="2" hidden="1">{#N/A,#N/A,FALSE,"CCTV"}</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2" hidden="1">{#N/A,#N/A,FALSE,"표지"}</definedName>
    <definedName name="죽전5차" localSheetId="2" hidden="1">{#N/A,#N/A,FALSE,"이태원철근"}</definedName>
    <definedName name="준공검사원" localSheetId="2" hidden="1">{#N/A,#N/A,FALSE,"전력간선"}</definedName>
    <definedName name="지" localSheetId="2" hidden="1">{#N/A,#N/A,FALSE,"배수2"}</definedName>
    <definedName name="지급" localSheetId="2" hidden="1">{#N/A,#N/A,FALSE,"견적갑지";#N/A,#N/A,FALSE,"총괄표";#N/A,#N/A,FALSE,"철골공사";#N/A,#N/A,FALSE,"토목공사";#N/A,#N/A,FALSE,"판넬전기공사"}</definedName>
    <definedName name="지역" localSheetId="2" hidden="1">{#N/A,#N/A,FALSE,"포장2"}</definedName>
    <definedName name="지역업체" localSheetId="2" hidden="1">{#N/A,#N/A,FALSE,"배수2"}</definedName>
    <definedName name="지철" localSheetId="2" hidden="1">{#N/A,#N/A,FALSE,"포장2"}</definedName>
    <definedName name="지철자재" localSheetId="2" hidden="1">{#N/A,#N/A,FALSE,"포장2"}</definedName>
    <definedName name="지토" localSheetId="2" hidden="1">{#N/A,#N/A,FALSE,"포장1";#N/A,#N/A,FALSE,"포장1"}</definedName>
    <definedName name="지토자재" localSheetId="2" hidden="1">{#N/A,#N/A,FALSE,"포장2"}</definedName>
    <definedName name="직매54P" localSheetId="2" hidden="1">{#N/A,#N/A,TRUE,"토적및재료집계";#N/A,#N/A,TRUE,"토적및재료집계";#N/A,#N/A,TRUE,"단위량"}</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2" hidden="1">{#N/A,#N/A,FALSE,"이태원철근"}</definedName>
    <definedName name="집진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2" hidden="1">{#N/A,#N/A,TRUE,"토적및재료집계";#N/A,#N/A,TRUE,"토적및재료집계";#N/A,#N/A,TRUE,"단위량"}</definedName>
    <definedName name="짠"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2" hidden="1">{#N/A,#N/A,FALSE,"변경관리예산";#N/A,#N/A,FALSE,"변경장비예산";#N/A,#N/A,FALSE,"변경준설예산";#N/A,#N/A,FALSE,"변경철구예산"}</definedName>
    <definedName name="ㅊ" localSheetId="2" hidden="1">{#N/A,#N/A,FALSE,"운반시간"}</definedName>
    <definedName name="ㅊㄹㅎ" localSheetId="2" hidden="1">{#N/A,#N/A,FALSE,"집계표"}</definedName>
    <definedName name="ㅊㄹ헝ㅇ" localSheetId="2" hidden="1">{#N/A,#N/A,FALSE,"집계표"}</definedName>
    <definedName name="ㅊㄹ호" localSheetId="2" hidden="1">{#N/A,#N/A,FALSE,"집계표"}</definedName>
    <definedName name="ㅊㅀㅎㅎㅎㅎㅎㅎㅎㅎ" localSheetId="2" hidden="1">{#N/A,#N/A,FALSE,"집계표"}</definedName>
    <definedName name="ㅊㅊㅊㅊ" localSheetId="2" hidden="1">{#N/A,#N/A,FALSE,"단가표지"}</definedName>
    <definedName name="ㅊㅌㅅ" localSheetId="2" hidden="1">{#N/A,#N/A,FALSE,"집계표"}</definedName>
    <definedName name="ㅊㅌ포촣" localSheetId="2" hidden="1">{#N/A,#N/A,FALSE,"집계표"}</definedName>
    <definedName name="ㅊㅌㅎㄹ쇼" localSheetId="2" hidden="1">{#N/A,#N/A,FALSE,"집계표"}</definedName>
    <definedName name="ㅊ튶" localSheetId="2" hidden="1">{#N/A,#N/A,FALSE,"집계표"}</definedName>
    <definedName name="ㅊㅍ허ㅓㅗ효" localSheetId="2" hidden="1">{#N/A,#N/A,FALSE,"집계표"}</definedName>
    <definedName name="ㅊ퍼ㅗㅗㅗㅗㅗ" localSheetId="2" hidden="1">{#N/A,#N/A,FALSE,"집계표"}</definedName>
    <definedName name="ㅊ포ㅓㅊㅊㅊㅊㅊㅊㅊㅊㅊㅊ" localSheetId="2" hidden="1">{#N/A,#N/A,FALSE,"집계표"}</definedName>
    <definedName name="ㅊ포ㅓㅓㅓㅓㅓㅓㅓㅓㅓㅓ" localSheetId="2" hidden="1">{#N/A,#N/A,FALSE,"집계표"}</definedName>
    <definedName name="ㅊ폴" localSheetId="2" hidden="1">{#N/A,#N/A,FALSE,"Sheet6"}</definedName>
    <definedName name="ㅊ푸ㅡ" localSheetId="2" hidden="1">{#N/A,#N/A,FALSE,"집계표"}</definedName>
    <definedName name="ㅊ퓨ㅗ" localSheetId="2" hidden="1">{#N/A,#N/A,FALSE,"집계표"}</definedName>
    <definedName name="ㅊㅎㄹㄹ" localSheetId="2" hidden="1">{#N/A,#N/A,FALSE,"집계표"}</definedName>
    <definedName name="ㅊ허ㅗㅗㅗㅗㅗ" localSheetId="2" hidden="1">{#N/A,#N/A,FALSE,"집계표"}</definedName>
    <definedName name="ㅊ호ㅓㅗ" localSheetId="2" hidden="1">{#N/A,#N/A,FALSE,"집계표"}</definedName>
    <definedName name="차" localSheetId="2" hidden="1">{#N/A,#N/A,FALSE,"견적갑지";#N/A,#N/A,FALSE,"총괄표";#N/A,#N/A,FALSE,"철골공사";#N/A,#N/A,FALSE,"토목공사";#N/A,#N/A,FALSE,"판넬전기공사"}</definedName>
    <definedName name="참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2" hidden="1">{#N/A,#N/A,FALSE,"집계표"}</definedName>
    <definedName name="철2" localSheetId="2" hidden="1">{#N/A,#N/A,FALSE,"혼합골재"}</definedName>
    <definedName name="철거단가" localSheetId="2" hidden="1">{#N/A,#N/A,FALSE,"조골재"}</definedName>
    <definedName name="철골협의" localSheetId="2" hidden="1">{#N/A,#N/A,FALSE,"현장 NCR 분석";#N/A,#N/A,FALSE,"현장품질감사";#N/A,#N/A,FALSE,"현장품질감사"}</definedName>
    <definedName name="철근량" localSheetId="2" hidden="1">{#N/A,#N/A,FALSE,"전력간선"}</definedName>
    <definedName name="철근수정본" localSheetId="2" hidden="1">{"'Sheet1'!$A$4:$M$21","'Sheet1'!$J$17:$K$19"}</definedName>
    <definedName name="철콘부대외" localSheetId="2" hidden="1">{#N/A,#N/A,FALSE,"Sheet1"}</definedName>
    <definedName name="체크아웃시스템" localSheetId="2" hidden="1">{#N/A,#N/A,FALSE,"견적갑지";#N/A,#N/A,FALSE,"총괄표";#N/A,#N/A,FALSE,"철골공사";#N/A,#N/A,FALSE,"토목공사";#N/A,#N/A,FALSE,"판넬전기공사"}</definedName>
    <definedName name="총" localSheetId="2" hidden="1">{#N/A,#N/A,FALSE,"부대1"}</definedName>
    <definedName name="총공" localSheetId="2" hidden="1">{#N/A,#N/A,FALSE,"운반시간"}</definedName>
    <definedName name="총공사비2" localSheetId="2" hidden="1">{#N/A,#N/A,FALSE,"전력간선"}</definedName>
    <definedName name="총괄7"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2" hidden="1">{#N/A,#N/A,FALSE,"집계표"}</definedName>
    <definedName name="추산산서2" localSheetId="2" hidden="1">{#N/A,#N/A,FALSE,"견적갑지";#N/A,#N/A,FALSE,"총괄표";#N/A,#N/A,FALSE,"철골공사";#N/A,#N/A,FALSE,"토목공사";#N/A,#N/A,FALSE,"판넬전기공사"}</definedName>
    <definedName name="추정" localSheetId="2" hidden="1">{#N/A,#N/A,FALSE,"포장2"}</definedName>
    <definedName name="축수산장설비" localSheetId="2" hidden="1">{#N/A,#N/A,FALSE,"견적갑지";#N/A,#N/A,FALSE,"총괄표";#N/A,#N/A,FALSE,"철골공사";#N/A,#N/A,FALSE,"토목공사";#N/A,#N/A,FALSE,"판넬전기공사"}</definedName>
    <definedName name="출판" localSheetId="2" hidden="1">{#N/A,#N/A,FALSE,"지침";#N/A,#N/A,FALSE,"환경분석";#N/A,#N/A,FALSE,"Sheet16"}</definedName>
    <definedName name="충무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2" hidden="1">{#N/A,#N/A,FALSE,"이태원철근"}</definedName>
    <definedName name="취하실적1." localSheetId="2" hidden="1">{#N/A,#N/A,FALSE,"이태원철근"}</definedName>
    <definedName name="츄" localSheetId="2" hidden="1">{#N/A,#N/A,FALSE,"집계표"}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2" hidden="1">{#N/A,#N/A,FALSE,"명세표"}</definedName>
    <definedName name="ㅋㅋ" localSheetId="2" hidden="1">{#N/A,#N/A,FALSE,"명세표"}</definedName>
    <definedName name="ㅋㅋㅋ" localSheetId="2" hidden="1">{#N/A,#N/A,FALSE,"전력간선"}</definedName>
    <definedName name="ㅋㅋㅋㅋ" localSheetId="2" hidden="1">{#N/A,#N/A,FALSE,"Aging Summary";#N/A,#N/A,FALSE,"Ratio Analysis";#N/A,#N/A,FALSE,"Test 120 Day Accts";#N/A,#N/A,FALSE,"Tickmarks"}</definedName>
    <definedName name="ㅋㅌ애ㅑㅓㅎㄹ" localSheetId="2" hidden="1">{#N/A,#N/A,FALSE,"집계표"}</definedName>
    <definedName name="ㅋ타ㅓㄹㅇ" localSheetId="2" hidden="1">{#N/A,#N/A,FALSE,"집계표"}</definedName>
    <definedName name="ㅋ텋리ㅏㄴㅁㄱ" localSheetId="2" hidden="1">{#N/A,#N/A,FALSE,"집계표"}</definedName>
    <definedName name="ㅋ하ㅓㅈㄴㄷㄱㅎ" localSheetId="2" hidden="1">{#N/A,#N/A,FALSE,"집계표"}</definedName>
    <definedName name="캐쉬" localSheetId="2" hidden="1">{#N/A,#N/A,FALSE,"지침";#N/A,#N/A,FALSE,"환경분석";#N/A,#N/A,FALSE,"Sheet16"}</definedName>
    <definedName name="캬ㅓ래ㅑㅣㅏ" localSheetId="2" hidden="1">{#N/A,#N/A,FALSE,"집계표"}</definedName>
    <definedName name="케이블간지" localSheetId="2" hidden="1">{#N/A,#N/A,TRUE,"토적및재료집계";#N/A,#N/A,TRUE,"토적및재료집계";#N/A,#N/A,TRUE,"단위량"}</definedName>
    <definedName name="켐온건축" localSheetId="2" hidden="1">{#N/A,#N/A,FALSE,"CCTV"}</definedName>
    <definedName name="키ㅏㄴ어리ㅑㅁㅈㄷ" localSheetId="2" hidden="1">{#N/A,#N/A,FALSE,"집계표"}</definedName>
    <definedName name="ㅌㄹ요" localSheetId="2" hidden="1">{#N/A,#N/A,FALSE,"집계표"}</definedName>
    <definedName name="ㅌㄹ호" localSheetId="2" hidden="1">{#N/A,#N/A,FALSE,"집계표"}</definedName>
    <definedName name="ㅌ롷" localSheetId="2" hidden="1">{#N/A,#N/A,FALSE,"집계표"}</definedName>
    <definedName name="ㅌㄾㅎ" localSheetId="2" hidden="1">{#N/A,#N/A,FALSE,"집계표"}</definedName>
    <definedName name="ㅌㅅㅊㅌ" localSheetId="2" hidden="1">{#N/A,#N/A,FALSE,"집계표"}</definedName>
    <definedName name="ㅌ쇼ㅏ" localSheetId="2" hidden="1">{#N/A,#N/A,FALSE,"집계표"}</definedName>
    <definedName name="ㅌㅇㄱㄱ" localSheetId="2" hidden="1">{#N/A,#N/A,FALSE,"집계표"}</definedName>
    <definedName name="ㅌㅇ려ㅛㄴㅇㅀ" localSheetId="2" hidden="1">{#N/A,#N/A,FALSE,"집계표"}</definedName>
    <definedName name="ㅌㅇ롷ㄴㄱㄷ" localSheetId="2" hidden="1">{#N/A,#N/A,FALSE,"집계표"}</definedName>
    <definedName name="ㅌㅇ료" localSheetId="2" hidden="1">{#N/A,#N/A,FALSE,"집계표"}</definedName>
    <definedName name="ㅌㅊㄹ오" localSheetId="2" hidden="1">{#N/A,#N/A,FALSE,"집계표"}</definedName>
    <definedName name="ㅌㅊㄹ호" localSheetId="2" hidden="1">{#N/A,#N/A,FALSE,"집계표"}</definedName>
    <definedName name="ㅌㅊ룟" localSheetId="2" hidden="1">{#N/A,#N/A,FALSE,"집계표"}</definedName>
    <definedName name="ㅌ처히ㅏㅓㄹㅇ하" localSheetId="2" hidden="1">{#N/A,#N/A,FALSE,"집계표"}</definedName>
    <definedName name="ㅌㅋㅀ" localSheetId="2" hidden="1">{#N/A,#N/A,FALSE,"집계표"}</definedName>
    <definedName name="ㅌㅋ퍼ㅣㅏㄴㅇ" localSheetId="2" hidden="1">{#N/A,#N/A,FALSE,"집계표"}</definedName>
    <definedName name="ㅌ카ㅓ낭렇" localSheetId="2" hidden="1">{#N/A,#N/A,FALSE,"집계표"}</definedName>
    <definedName name="ㅌㅌ" localSheetId="2" hidden="1">{#N/A,#N/A,FALSE,"표지"}</definedName>
    <definedName name="ㅌㅍㅊㅇㅌㅎ" localSheetId="2" hidden="1">{#N/A,#N/A,FALSE,"도급대비시행율";#N/A,#N/A,FALSE,"결의서";#N/A,#N/A,FALSE,"내역서";#N/A,#N/A,FALSE,"도급예상"}</definedName>
    <definedName name="타" localSheetId="2" hidden="1">{#N/A,#N/A,FALSE,"견적갑지";#N/A,#N/A,FALSE,"총괄표";#N/A,#N/A,FALSE,"철골공사";#N/A,#N/A,FALSE,"토목공사";#N/A,#N/A,FALSE,"판넬전기공사"}</definedName>
    <definedName name="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2" hidden="1">{#N/A,#N/A,FALSE,"집계표"}</definedName>
    <definedName name="탈" localSheetId="2" hidden="1">{#N/A,#N/A,FALSE,"CCTV"}</definedName>
    <definedName name="태영지급" localSheetId="2" hidden="1">{#N/A,#N/A,FALSE,"부대1"}</definedName>
    <definedName name="텨러" localSheetId="2" hidden="1">{#N/A,#N/A,FALSE,"집계표"}</definedName>
    <definedName name="토\40" localSheetId="2" hidden="1">{#N/A,#N/A,FALSE,"토공2"}</definedName>
    <definedName name="토1" localSheetId="2" hidden="1">{#N/A,#N/A,FALSE,"이정표"}</definedName>
    <definedName name="토2" localSheetId="2" hidden="1">{#N/A,#N/A,FALSE,"조골재"}</definedName>
    <definedName name="토3" localSheetId="2" hidden="1">{#N/A,#N/A,FALSE,"구조1"}</definedName>
    <definedName name="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2" hidden="1">{#N/A,#N/A,FALSE,"포장2"}</definedName>
    <definedName name="토공2" localSheetId="2" hidden="1">{#N/A,#N/A,FALSE,"2~8번"}</definedName>
    <definedName name="토공전체" localSheetId="2" hidden="1">{#N/A,#N/A,FALSE,"운반시간"}</definedName>
    <definedName name="토목" localSheetId="2" hidden="1">{#N/A,#N/A,FALSE,"CCTV"}</definedName>
    <definedName name="토목공사" localSheetId="2" hidden="1">{#N/A,#N/A,FALSE,"이태원철근"}</definedName>
    <definedName name="토목설계" localSheetId="2" hidden="1">{#N/A,#N/A,FALSE,"골재소요량";#N/A,#N/A,FALSE,"골재소요량"}</definedName>
    <definedName name="토목실견적" localSheetId="2" hidden="1">{#N/A,#N/A,FALSE,"이태원철근"}</definedName>
    <definedName name="투3" localSheetId="2" hidden="1">{#N/A,#N/A,FALSE,"배수2"}</definedName>
    <definedName name="투입대비표갑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2" hidden="1">{#N/A,#N/A,FALSE,"단가표지"}</definedName>
    <definedName name="투찰표" localSheetId="2" hidden="1">{#N/A,#N/A,FALSE,"부대1"}</definedName>
    <definedName name="툿" localSheetId="2" hidden="1">{#N/A,#N/A,FALSE,"사업총괄";#N/A,#N/A,FALSE,"장비사업";#N/A,#N/A,FALSE,"철구사업";#N/A,#N/A,FALSE,"준설사업"}</definedName>
    <definedName name="특수조건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2" hidden="1">{#N/A,#N/A,FALSE,"예상손익";#N/A,#N/A,FALSE,"관리분석";#N/A,#N/A,FALSE,"장비분석";#N/A,#N/A,FALSE,"준설분석";#N/A,#N/A,FALSE,"철구분석"}</definedName>
    <definedName name="ㅍ" localSheetId="2" hidden="1">{#N/A,#N/A,FALSE,"조골재"}</definedName>
    <definedName name="ㅍㄴㅇㄷ" localSheetId="2" hidden="1">{#N/A,#N/A,FALSE,"집계표"}</definedName>
    <definedName name="ㅍㅊㅇㅍㅊ" localSheetId="2" hidden="1">{#N/A,#N/A,FALSE,"집계표"}</definedName>
    <definedName name="ㅍ초ㅓㅓㅓㅓㅓㅓㅓ" localSheetId="2" hidden="1">{#N/A,#N/A,FALSE,"집계표"}</definedName>
    <definedName name="ㅍ츄ㅗ" localSheetId="2" hidden="1">{#N/A,#N/A,FALSE,"집계표"}</definedName>
    <definedName name="ㅍㅌㅋ이ㅏ" localSheetId="2" hidden="1">{#N/A,#N/A,FALSE,"집계표"}</definedName>
    <definedName name="ㅍㅍ" localSheetId="2" hidden="1">{#N/A,#N/A,TRUE,"토적및재료집계";#N/A,#N/A,TRUE,"토적및재료집계";#N/A,#N/A,TRUE,"단위량"}</definedName>
    <definedName name="ㅍㅍㅍㅍㅍㅍ" localSheetId="2" hidden="1">{#N/A,#N/A,FALSE,"CCTV"}</definedName>
    <definedName name="ㅍ햐ㅐㅣㅏ" localSheetId="2" hidden="1">{#N/A,#N/A,FALSE,"집계표"}</definedName>
    <definedName name="ㅍ화ㅓ" localSheetId="2" hidden="1">{#N/A,#N/A,FALSE,"집계표"}</definedName>
    <definedName name="파" localSheetId="2" hidden="1">{#N/A,#N/A,FALSE,"견적갑지";#N/A,#N/A,FALSE,"총괄표";#N/A,#N/A,FALSE,"철골공사";#N/A,#N/A,FALSE,"토목공사";#N/A,#N/A,FALSE,"판넬전기공사"}</definedName>
    <definedName name="파출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2" hidden="1">{#N/A,#N/A,FALSE,"전열산출서"}</definedName>
    <definedName name="페기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2" hidden="1">{#N/A,#N/A,FALSE,"지침";#N/A,#N/A,FALSE,"환경분석";#N/A,#N/A,FALSE,"Sheet16"}</definedName>
    <definedName name="포장ocf" localSheetId="2" hidden="1">{#N/A,#N/A,FALSE,"지침";#N/A,#N/A,FALSE,"환경분석";#N/A,#N/A,FALSE,"Sheet16"}</definedName>
    <definedName name="포지머ㅗㄱㄷㅌ킹1" localSheetId="2" hidden="1">{#N/A,#N/A,FALSE,"표지목차"}</definedName>
    <definedName name="폽장2" localSheetId="2" hidden="1">{#N/A,#N/A,FALSE,"포장1";#N/A,#N/A,FALSE,"포장1"}</definedName>
    <definedName name="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2" hidden="1">{#N/A,#N/A,FALSE,"속도"}</definedName>
    <definedName name="표지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2" hidden="1">{#N/A,#N/A,FALSE,"집계표"}</definedName>
    <definedName name="퓸" localSheetId="2" hidden="1">{#N/A,#N/A,FALSE,"사업총괄";#N/A,#N/A,FALSE,"장비사업";#N/A,#N/A,FALSE,"철구사업";#N/A,#N/A,FALSE,"준설사업"}</definedName>
    <definedName name="피" localSheetId="2" hidden="1">{#N/A,#N/A,FALSE,"견적갑지";#N/A,#N/A,FALSE,"총괄표";#N/A,#N/A,FALSE,"철골공사";#N/A,#N/A,FALSE,"토목공사";#N/A,#N/A,FALSE,"판넬전기공사"}</definedName>
    <definedName name="피로티" localSheetId="2" hidden="1">{#N/A,#N/A,FALSE,"이태원철근"}</definedName>
    <definedName name="피로티1" localSheetId="2" hidden="1">{#N/A,#N/A,FALSE,"이태원철근"}</definedName>
    <definedName name="ㅎ" localSheetId="2" hidden="1">{#N/A,#N/A,FALSE,"이태원철근"}</definedName>
    <definedName name="ㅎㄴㅇㅀㄴ" localSheetId="2" hidden="1">{#N/A,#N/A,FALSE,"집계표"}</definedName>
    <definedName name="ㅎㄹㅇㄴㅇ" localSheetId="2" hidden="1">{#N/A,#N/A,FALSE,"집계표"}</definedName>
    <definedName name="ㅎㄹㅇ솔요" localSheetId="2" hidden="1">{#N/A,#N/A,FALSE,"집계표"}</definedName>
    <definedName name="ㅎㄹ어" localSheetId="2" hidden="1">{#N/A,#N/A,FALSE,"집계표"}</definedName>
    <definedName name="ㅎㄹ오" localSheetId="2" hidden="1">{#N/A,#N/A,FALSE,"집계표"}</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2" hidden="1">{#N/A,#N/A,FALSE,"집계표"}</definedName>
    <definedName name="ㅎ러ㅗㅇ러" localSheetId="2" hidden="1">{#N/A,#N/A,FALSE,"집계표"}</definedName>
    <definedName name="ㅎ러ㅘㅍㅊ" localSheetId="2" hidden="1">{#N/A,#N/A,FALSE,"집계표"}</definedName>
    <definedName name="ㅎ려ㅑㅓㅏㄹ셔ㅛ" localSheetId="2" hidden="1">{#N/A,#N/A,FALSE,"집계표"}</definedName>
    <definedName name="ㅎ로" localSheetId="2" hidden="1">{#N/A,#N/A,FALSE,"집계표"}</definedName>
    <definedName name="ㅎ로낟안" localSheetId="2" hidden="1">{#N/A,#N/A,FALSE,"혼합골재"}</definedName>
    <definedName name="ㅎ로ㅓㅅㄱㄷ" localSheetId="2" hidden="1">{#N/A,#N/A,FALSE,"집계표"}</definedName>
    <definedName name="ㅎ로ㅓㅇ" localSheetId="2" hidden="1">{#N/A,#N/A,FALSE,"집계표"}</definedName>
    <definedName name="ㅎ로ㅓㅓㅓㅓㅓㅓㅓㅓㅓㅓ" localSheetId="2" hidden="1">{#N/A,#N/A,FALSE,"집계표"}</definedName>
    <definedName name="ㅎ롤ㅇㄴㄳㄱ" localSheetId="2" hidden="1">{#N/A,#N/A,FALSE,"집계표"}</definedName>
    <definedName name="ㅎ롯ㅅ" localSheetId="2" hidden="1">{#N/A,#N/A,FALSE,"집계표"}</definedName>
    <definedName name="ㅎㅁ" localSheetId="2" hidden="1">{#N/A,#N/A,FALSE,"집계표"}</definedName>
    <definedName name="ㅎㅇ" localSheetId="2" hidden="1">{#N/A,#N/A,FALSE,"Aging Summary";#N/A,#N/A,FALSE,"Ratio Analysis";#N/A,#N/A,FALSE,"Test 120 Day Accts";#N/A,#N/A,FALSE,"Tickmarks"}</definedName>
    <definedName name="ㅎ처ㅗㅅㄹ요" localSheetId="2" hidden="1">{#N/A,#N/A,FALSE,"집계표"}</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2" hidden="1">{"'장비'!$A$3:$M$12"}</definedName>
    <definedName name="ㅎㅎㅎㅎㅎㅎㅎ" localSheetId="2" hidden="1">{#N/A,#N/A,FALSE,"교리2"}</definedName>
    <definedName name="ㅎㅕㅓ" localSheetId="2" hidden="1">{#N/A,#N/A,FALSE,"집계표"}</definedName>
    <definedName name="하" localSheetId="2" hidden="1">{#N/A,#N/A,FALSE,"지침";#N/A,#N/A,FALSE,"환경분석";#N/A,#N/A,FALSE,"Sheet16"}</definedName>
    <definedName name="하나" localSheetId="2" hidden="1">{#N/A,#N/A,FALSE,"Sheet1"}</definedName>
    <definedName name="하도" localSheetId="2" hidden="1">{#N/A,#N/A,FALSE,"이정표"}</definedName>
    <definedName name="하도급" localSheetId="2" hidden="1">{#N/A,#N/A,FALSE,"사업총괄";#N/A,#N/A,FALSE,"장비사업";#N/A,#N/A,FALSE,"철구사업";#N/A,#N/A,FALSE,"준설사업"}</definedName>
    <definedName name="하도급보증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2" hidden="1">{#N/A,#N/A,FALSE,"골재소요량";#N/A,#N/A,FALSE,"골재소요량"}</definedName>
    <definedName name="하도발주용공내역서" localSheetId="2" hidden="1">{#N/A,#N/A,FALSE,"사업총괄";#N/A,#N/A,FALSE,"장비사업";#N/A,#N/A,FALSE,"철구사업";#N/A,#N/A,FALSE,"준설사업"}</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2" hidden="1">{#N/A,#N/A,FALSE,"포장단가"}</definedName>
    <definedName name="하하하" localSheetId="2" hidden="1">{#N/A,#N/A,FALSE,"명세표"}</definedName>
    <definedName name="하한선" localSheetId="2" hidden="1">{#N/A,#N/A,FALSE,"배수2"}</definedName>
    <definedName name="한동" localSheetId="2" hidden="1">{#N/A,#N/A,FALSE,"단가표지"}</definedName>
    <definedName name="한동1" localSheetId="2" hidden="1">{#N/A,#N/A,FALSE,"단가표지"}</definedName>
    <definedName name="한전수" localSheetId="2" hidden="1">{#N/A,#N/A,FALSE,"명세표"}</definedName>
    <definedName name="햐" localSheetId="2" hidden="1">{#N/A,#N/A,FALSE,"사업총괄";#N/A,#N/A,FALSE,"장비사업";#N/A,#N/A,FALSE,"철구사업";#N/A,#N/A,FALSE,"준설사업"}</definedName>
    <definedName name="햐러" localSheetId="2" hidden="1">{#N/A,#N/A,FALSE,"변경관리예산";#N/A,#N/A,FALSE,"변경장비예산";#N/A,#N/A,FALSE,"변경준설예산";#N/A,#N/A,FALSE,"변경철구예산"}</definedName>
    <definedName name="허" localSheetId="2" hidden="1">{#N/A,#N/A,FALSE,"Sheet6"}</definedName>
    <definedName name="허아ㅏㅇ" localSheetId="2" hidden="1">{#N/A,#N/A,FALSE,"집계표"}</definedName>
    <definedName name="허저터" localSheetId="2" hidden="1">{#N/A,#N/A,FALSE,"집계표"}</definedName>
    <definedName name="허허헣ㅎ" localSheetId="2" hidden="1">{#N/A,#N/A,FALSE,"집계표"}</definedName>
    <definedName name="허헣" localSheetId="2" hidden="1">{#N/A,#N/A,FALSE,"집계표"}</definedName>
    <definedName name="허ㅗㅅ됴" localSheetId="2" hidden="1">{#N/A,#N/A,FALSE,"집계표"}</definedName>
    <definedName name="허ㅚㅎ" localSheetId="2" hidden="1">{#N/A,#N/A,FALSE,"집계표"}</definedName>
    <definedName name="현금등가물" localSheetId="2"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흐름" localSheetId="2" hidden="1">{#N/A,#N/A,FALSE,"Aging Summary";#N/A,#N/A,FALSE,"Ratio Analysis";#N/A,#N/A,FALSE,"Test 120 Day Accts";#N/A,#N/A,FALSE,"Tickmarks"}</definedName>
    <definedName name="현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2" hidden="1">{#N/A,#N/A,FALSE,"CCTV"}</definedName>
    <definedName name="현장자재外" localSheetId="2" hidden="1">{"'Sheet1'!$A$4:$M$21","'Sheet1'!$J$17:$K$19"}</definedName>
    <definedName name="협" localSheetId="2" hidden="1">{#N/A,#N/A,FALSE,"배수2"}</definedName>
    <definedName name="협력" localSheetId="2" hidden="1">{#N/A,#N/A,FALSE,"포장2"}</definedName>
    <definedName name="협력업체" localSheetId="2" hidden="1">{#N/A,#N/A,FALSE,"포장2"}</definedName>
    <definedName name="협철" localSheetId="2" hidden="1">{#N/A,#N/A,FALSE,"포장2"}</definedName>
    <definedName name="협토" localSheetId="2" hidden="1">{#N/A,#N/A,FALSE,"포장1";#N/A,#N/A,FALSE,"포장1"}</definedName>
    <definedName name="협토1" localSheetId="2" hidden="1">{#N/A,#N/A,FALSE,"포장2"}</definedName>
    <definedName name="협토자재" localSheetId="2" hidden="1">{#N/A,#N/A,FALSE,"포장2"}</definedName>
    <definedName name="형제" localSheetId="2" hidden="1">{#N/A,#N/A,FALSE,"포장2"}</definedName>
    <definedName name="호러ㅓㅓㅓㅓㅓㅓㅓ" localSheetId="2" hidden="1">{#N/A,#N/A,FALSE,"집계표"}</definedName>
    <definedName name="호하ㅓ" localSheetId="2" hidden="1">{#N/A,#N/A,FALSE,"집계표"}</definedName>
    <definedName name="호호" localSheetId="2" hidden="1">{#N/A,#N/A,FALSE,"포장1";#N/A,#N/A,FALSE,"포장1"}</definedName>
    <definedName name="호호호" localSheetId="2" hidden="1">{#N/A,#N/A,FALSE,"명세표"}</definedName>
    <definedName name="호ㅓ" localSheetId="2" hidden="1">{#N/A,#N/A,FALSE,"집계표"}</definedName>
    <definedName name="호ㅓㅏ" localSheetId="2" hidden="1">{#N/A,#N/A,FALSE,"집계표"}</definedName>
    <definedName name="홇" localSheetId="2" hidden="1">{#N/A,#N/A,FALSE,"Sheet6"}</definedName>
    <definedName name="홋ㄱ" localSheetId="2" hidden="1">{#N/A,#N/A,FALSE,"Sheet6"}</definedName>
    <definedName name="홍범표" localSheetId="2" hidden="1">{#N/A,#N/A,FALSE,"이태원철근"}</definedName>
    <definedName name="회ㅓㅗ허" localSheetId="2" hidden="1">{#N/A,#N/A,FALSE,"집계표"}</definedName>
    <definedName name="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2" hidden="1">{#N/A,#N/A,FALSE,"예상손익";#N/A,#N/A,FALSE,"관리분석";#N/A,#N/A,FALSE,"장비분석";#N/A,#N/A,FALSE,"준설분석";#N/A,#N/A,FALSE,"철구분석"}</definedName>
    <definedName name="히" localSheetId="2" hidden="1">{#N/A,#N/A,FALSE,"집계표"}</definedName>
    <definedName name="힙"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2" hidden="1">{#N/A,#N/A,FALSE,"이태원철근"}</definedName>
    <definedName name="ㅏㄱㄷ" localSheetId="2" hidden="1">{#N/A,#N/A,FALSE,"집계표"}</definedName>
    <definedName name="ㅏㅅ" localSheetId="2" hidden="1">{#N/A,#N/A,FALSE,"견적갑지";#N/A,#N/A,FALSE,"총괄표";#N/A,#N/A,FALSE,"철골공사";#N/A,#N/A,FALSE,"토목공사";#N/A,#N/A,FALSE,"판넬전기공사"}</definedName>
    <definedName name="ㅏ이이ㅏ리" localSheetId="2" hidden="1">{#N/A,#N/A,FALSE,"주간공정";#N/A,#N/A,FALSE,"주간보고";#N/A,#N/A,FALSE,"주간공정표"}</definedName>
    <definedName name="ㅏㅏㅏ" localSheetId="2" hidden="1">{#N/A,#N/A,FALSE,"주간공정";#N/A,#N/A,FALSE,"주간보고";#N/A,#N/A,FALSE,"주간공정표"}</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2" hidden="1">{#N/A,#N/A,FALSE,"CCTV"}</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2" hidden="1">{#N/A,#N/A,FALSE,"집계표"}</definedName>
    <definedName name="ㅏㅓㅏ" localSheetId="2" hidden="1">{#N/A,#N/A,FALSE,"물가변동 (2)";#N/A,#N/A,FALSE,"공사비";#N/A,#N/A,FALSE,"사급";#N/A,#N/A,FALSE,"도급집계";#N/A,#N/A,FALSE,"재료비";#N/A,#N/A,FALSE,"노무비";#N/A,#N/A,FALSE,"경비"}</definedName>
    <definedName name="ㅏㅓㅏㅓㅏㅓ" localSheetId="2" hidden="1">{#N/A,#N/A,FALSE,"집계표"}</definedName>
    <definedName name="ㅏㅗ" localSheetId="2" hidden="1">{#N/A,#N/A,FALSE,"집계표"}</definedName>
    <definedName name="ㅐ" localSheetId="2" hidden="1">{#N/A,#N/A,FALSE,"이태원철근"}</definedName>
    <definedName name="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2" hidden="1">{#N/A,#N/A,FALSE,"Sheet6"}</definedName>
    <definedName name="ㅑㅕㅛㅐ" localSheetId="2" hidden="1">{#N/A,#N/A,FALSE,"집계표"}</definedName>
    <definedName name="ㅓ" localSheetId="2" hidden="1">{#N/A,#N/A,FALSE,"이태원철근"}</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2" hidden="1">{#N/A,#N/A,FALSE,"집계표"}</definedName>
    <definedName name="ㅓㅇ" localSheetId="2" hidden="1">{#N/A,#N/A,FALSE,"집계표"}</definedName>
    <definedName name="ㅓㅇㄹ" localSheetId="2" hidden="1">{#N/A,#N/A,FALSE,"집계표"}</definedName>
    <definedName name="ㅓ치ㅏ헐ㅇ" localSheetId="2" hidden="1">{#N/A,#N/A,FALSE,"집계표"}</definedName>
    <definedName name="ㅓㅎㄹㅇ" localSheetId="2" hidden="1">{#N/A,#N/A,FALSE,"집계표"}</definedName>
    <definedName name="ㅓ호" localSheetId="2" hidden="1">{#N/A,#N/A,FALSE,"집계표"}</definedName>
    <definedName name="ㅓ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2" hidden="1">{#N/A,#N/A,FALSE,"Sheet6"}</definedName>
    <definedName name="ㅓㅗ" localSheetId="2" hidden="1">{#N/A,#N/A,FALSE,"집계표"}</definedName>
    <definedName name="ㅓㅗㄹ허" localSheetId="2" hidden="1">{#N/A,#N/A,FALSE,"집계표"}</definedName>
    <definedName name="ㅓㅗㅎㄹㅇㅇ" localSheetId="2" hidden="1">{#N/A,#N/A,FALSE,"집계표"}</definedName>
    <definedName name="ㅓㅗㅎㅍ" localSheetId="2" hidden="1">{#N/A,#N/A,FALSE,"집계표"}</definedName>
    <definedName name="ㅓㅗ하ㅗㅎ" localSheetId="2" hidden="1">{#N/A,#N/A,FALSE,"집계표"}</definedName>
    <definedName name="ㅓㅘㅎ" localSheetId="2" hidden="1">{#N/A,#N/A,FALSE,"집계표"}</definedName>
    <definedName name="ㅓㅣㅏㅗ" localSheetId="2" hidden="1">{#N/A,#N/A,FALSE,"집계표"}</definedName>
    <definedName name="ㅔ" localSheetId="2" hidden="1">{#N/A,#N/A,FALSE,"이태원철근"}</definedName>
    <definedName name="ㅔㅐㄴ애ㅔㅐ" localSheetId="2" hidden="1">{#N/A,#N/A,FALSE,"집계표"}</definedName>
    <definedName name="ㅕ겨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2" hidden="1">{#N/A,#N/A,FALSE,"Sheet6"}</definedName>
    <definedName name="ㅕㅏㅛㅕㅏ" localSheetId="2" hidden="1">{#N/A,#N/A,FALSE,"Sheet6"}</definedName>
    <definedName name="ㅕㅑㅐ" localSheetId="2" hidden="1">{#N/A,#N/A,FALSE,"Sheet6"}</definedName>
    <definedName name="ㅕ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 hidden="1">{#N/A,#N/A,FALSE,"이태원철근"}</definedName>
    <definedName name="ㅗㄴㅇ" localSheetId="2" hidden="1">{#N/A,#N/A,FALSE,"집계표"}</definedName>
    <definedName name="ㅗㄹㅇ오" localSheetId="2" hidden="1">{#N/A,#N/A,FALSE,"집계표"}</definedName>
    <definedName name="ㅗㄹㅇㅎ" localSheetId="2" hidden="1">{#N/A,#N/A,FALSE,"집계표"}</definedName>
    <definedName name="ㅗㄹㅎ라ㅗ" localSheetId="2" hidden="1">{#N/A,#N/A,FALSE,"집계표"}</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2" hidden="1">{#N/A,#N/A,FALSE,"집계표"}</definedName>
    <definedName name="ㅗㅎㄹ" localSheetId="2" hidden="1">{#N/A,#N/A,FALSE,"집계표"}</definedName>
    <definedName name="ㅗㅎ렇ㄹㅊㅇㅇ" localSheetId="2" hidden="1">{#N/A,#N/A,FALSE,"집계표"}</definedName>
    <definedName name="ㅗㅎㅇㄹ" localSheetId="2" hidden="1">{#N/A,#N/A,FALSE,"집계표"}</definedName>
    <definedName name="ㅗㅎㅈ" localSheetId="2" hidden="1">{#N/A,#N/A,FALSE,"집계표"}</definedName>
    <definedName name="ㅗㅎㅊㅌㅎ" localSheetId="2" hidden="1">{#N/A,#N/A,FALSE,"집계표"}</definedName>
    <definedName name="ㅗ하ㅓ" localSheetId="2" hidden="1">{#N/A,#N/A,FALSE,"집계표"}</definedName>
    <definedName name="ㅗ허" localSheetId="2" hidden="1">{#N/A,#N/A,FALSE,"집계표"}</definedName>
    <definedName name="ㅗ혀ㅏㄹ" localSheetId="2" hidden="1">{#N/A,#N/A,FALSE,"집계표"}</definedName>
    <definedName name="ㅗ홓ㅎ로" localSheetId="2" hidden="1">{"'장비'!$A$3:$M$12"}</definedName>
    <definedName name="ㅗㅓㅀㅅ" localSheetId="2" hidden="1">{#N/A,#N/A,FALSE,"집계표"}</definedName>
    <definedName name="ㅗㅓㅕㅑㅕ" localSheetId="2" hidden="1">{#N/A,#N/A,FALSE,"Sheet6"}</definedName>
    <definedName name="ㅗㅓㅛㅎ" localSheetId="2" hidden="1">{#N/A,#N/A,FALSE,"Sheet6"}</definedName>
    <definedName name="ㅗㅗ" localSheetId="2" hidden="1">{#N/A,#N/A,FALSE,"명세표"}</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2" hidden="1">{"'장비'!$A$3:$M$12"}</definedName>
    <definedName name="ㅗㅠ" localSheetId="2" hidden="1">{#N/A,#N/A,FALSE,"집계표"}</definedName>
    <definedName name="ㅛ" localSheetId="2" hidden="1">{#N/A,#N/A,FALSE,"이태원철근"}</definedName>
    <definedName name="ㅛㅅ겨ㅑㅛㅅ" localSheetId="2" hidden="1">{#N/A,#N/A,FALSE,"집계표"}</definedName>
    <definedName name="ㅛ셔쇼ㅕ" localSheetId="2" hidden="1">{#N/A,#N/A,FALSE,"Sheet6"}</definedName>
    <definedName name="ㅛㅓ쇼" localSheetId="2" hidden="1">{#N/A,#N/A,FALSE,"Sheet6"}</definedName>
    <definedName name="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2" hidden="1">{#N/A,#N/A,FALSE,"CCTV"}</definedName>
    <definedName name="ㅜ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2" hidden="1">{#N/A,#N/A,FALSE,"이태원철근"}</definedName>
    <definedName name="ㅠㅍㅎ" localSheetId="2" hidden="1">{#N/A,#N/A,FALSE,"집계표"}</definedName>
    <definedName name="ㅠ포ㅓㅓㅓㅓㅓㅓ" localSheetId="2" hidden="1">{#N/A,#N/A,FALSE,"집계표"}</definedName>
    <definedName name="ㅠㅎㅇㄴ" localSheetId="2" hidden="1">{#N/A,#N/A,FALSE,"지침";#N/A,#N/A,FALSE,"환경분석";#N/A,#N/A,FALSE,"Sheet16"}</definedName>
    <definedName name="ㅠㅜㅛ" localSheetId="2" hidden="1">{#N/A,#N/A,FALSE,"Sheet6"}</definedName>
    <definedName name="ㅡ" localSheetId="2" hidden="1">{#N/A,#N/A,FALSE,"이태원철근"}</definedName>
    <definedName name="ㅡ므" localSheetId="2" hidden="1">{#N/A,#N/A,FALSE,"집계표"}</definedName>
    <definedName name="ㅡㅡ" localSheetId="2" hidden="1">{#N/A,#N/A,FALSE,"명세표"}</definedName>
    <definedName name="ㅣㄴ아ㅓㄹ" localSheetId="2" hidden="1">{#N/A,#N/A,FALSE,"집계표"}</definedName>
    <definedName name="ㅣㅁㄴ" localSheetId="2" hidden="1">{#N/A,#N/A,FALSE,"집계표"}</definedName>
    <definedName name="ㅣㅁㄴ러ㅑㄱ" localSheetId="2" hidden="1">{#N/A,#N/A,FALSE,"집계표"}</definedName>
    <definedName name="ㅣㅏㄴ아ㅓ리ㅏ허" localSheetId="2" hidden="1">{#N/A,#N/A,FALSE,"집계표"}</definedName>
    <definedName name="ㅣㅏ넝리ㅏㅓㅎ" localSheetId="2" hidden="1">{#N/A,#N/A,FALSE,"집계표"}</definedName>
    <definedName name="ㅣㅏㅇ널" localSheetId="2" hidden="1">{#N/A,#N/A,FALSE,"집계표"}</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2" hidden="1">{#N/A,#N/A,FALSE,"집계표"}</definedName>
    <definedName name="ㅣ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2" hidden="1">{#N/A,#N/A,FALSE,"단가표지"}</definedName>
    <definedName name="ㅣㅣ" localSheetId="2" hidden="1">{#N/A,#N/A,FALSE,"물가변동 (2)";#N/A,#N/A,FALSE,"공사비";#N/A,#N/A,FALSE,"사급";#N/A,#N/A,FALSE,"도급집계";#N/A,#N/A,FALSE,"재료비";#N/A,#N/A,FALSE,"노무비";#N/A,#N/A,FALSE,"경비"}</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2" hidden="1">{#N/A,#N/A,FALSE,"주간공정";#N/A,#N/A,FALSE,"주간보고";#N/A,#N/A,FALSE,"주간공정표"}</definedName>
    <definedName name="估價單" localSheetId="2" hidden="1">{#N/A,#N/A,FALSE,"估價單  (3)"}</definedName>
    <definedName name="取费" localSheetId="2" hidden="1">{"'现金流量表（全部投资）'!$B$4:$P$23"}</definedName>
    <definedName name="地基处理" localSheetId="2" hidden="1">{"'现金流量表（全部投资）'!$B$4:$P$23"}</definedName>
    <definedName name="士大夫" localSheetId="2" hidden="1">{#N/A,#N/A,TRUE,"Cover Memo";"Complete Sys. Estimate",#N/A,TRUE,"Change Summary";"Complete Sys. Estimate",#N/A,TRUE,"Estimate Summary";"Complete Sys. Estimate",#N/A,TRUE,"Dept. Summary";"Complete Sys. Estimate",#N/A,TRUE,"DOW Detail"}</definedName>
    <definedName name="実行" localSheetId="2" hidden="1">{"'Sheet1'!$L$16"}</definedName>
    <definedName name="岡田" localSheetId="2" hidden="1">{#N/A,#N/A,TRUE,"SUM";#N/A,#N/A,TRUE,"EE";#N/A,#N/A,TRUE,"AC";#N/A,#N/A,TRUE,"SN"}</definedName>
    <definedName name="影响力" localSheetId="2" hidden="1">{"'现金流量表（全部投资）'!$B$4:$P$23"}</definedName>
    <definedName name="招商局广场面积统计" localSheetId="2" hidden="1">{#N/A,#N/A,TRUE,"Cover Memo";"Complete Sys. Estimate",#N/A,TRUE,"Change Summary";"Complete Sys. Estimate",#N/A,TRUE,"Estimate Summary";"Complete Sys. Estimate",#N/A,TRUE,"Dept. Summary";"Complete Sys. Estimate",#N/A,TRUE,"DOW Detail"}</definedName>
    <definedName name="新封" localSheetId="2" hidden="1">{"'现金流量表（全部投资）'!$B$4:$P$23"}</definedName>
    <definedName name="是打发斯蒂芬" localSheetId="2" hidden="1">{#N/A,#N/A,TRUE,"Cover Memo";"Complete Sys. Estimate",#N/A,TRUE,"Change Summary";"Complete Sys. Estimate",#N/A,TRUE,"Estimate Summary";"Complete Sys. Estimate",#N/A,TRUE,"Dept. Summary";"Complete Sys. Estimate",#N/A,TRUE,"DOW Detail"}</definedName>
    <definedName name="汇总" localSheetId="2" hidden="1">{#N/A,#N/A,FALSE,"估價單  (3)"}</definedName>
    <definedName name="汇总表" localSheetId="2" hidden="1">{#N/A,#N/A,FALSE,"估價單  (3)"}</definedName>
    <definedName name="脱硫表二" localSheetId="2" hidden="1">{"'现金流量表（全部投资）'!$B$4:$P$23"}</definedName>
    <definedName name="酒店精装修" localSheetId="2" hidden="1">{#N/A,#N/A,TRUE,"Cover Memo";"Complete Sys. Estimate",#N/A,TRUE,"Change Summary";"Complete Sys. Estimate",#N/A,TRUE,"Estimate Summary";"Complete Sys. Estimate",#N/A,TRUE,"Dept. Summary";"Complete Sys. Estimate",#N/A,TRUE,"DOW Detail"}</definedName>
    <definedName name="面积表" localSheetId="2" hidden="1">{#N/A,#N/A,TRUE,"Cover Memo";"Complete Sys. Estimate",#N/A,TRUE,"Change Summary";"Complete Sys. Estimate",#N/A,TRUE,"Estimate Summary";"Complete Sys. Estimate",#N/A,TRUE,"Dept. Summary";"Complete Sys. Estimate",#N/A,TRUE,"DOW Detail"}</definedName>
    <definedName name="_xlnm._FilterDatabase" localSheetId="2"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73">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
      <name val="Times New Roman"/>
      <b val="1"/>
      <color rgb="00002060"/>
      <sz val="11"/>
    </font>
    <font>
      <name val="Times New Roman"/>
      <sz val="10"/>
    </font>
    <font>
      <name val="Times New Roman"/>
      <b val="1"/>
      <sz val="10"/>
    </font>
    <font>
      <name val="Times New Roman"/>
      <b val="1"/>
      <color rgb="00002060"/>
      <sz val="16"/>
    </font>
    <font>
      <name val="Times New Roman"/>
      <b val="1"/>
      <color rgb="00FFFFFF"/>
      <sz val="10"/>
    </font>
    <font>
      <name val="Times New Roman"/>
      <b val="1"/>
      <color rgb="00002060"/>
      <sz val="10"/>
    </font>
    <font>
      <name val="Times New Roman"/>
      <b val="1"/>
      <color rgb="00FF0000"/>
      <sz val="11"/>
    </font>
  </fonts>
  <fills count="11">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
      <patternFill patternType="solid">
        <fgColor rgb="00D9E1F2"/>
      </patternFill>
    </fill>
  </fills>
  <borders count="29">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40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0" fontId="66" fillId="0" borderId="0" pivotButton="0" quotePrefix="0" xfId="0"/>
    <xf numFmtId="0" fontId="67" fillId="0" borderId="0" pivotButton="0" quotePrefix="0" xfId="0"/>
    <xf numFmtId="0" fontId="68" fillId="0" borderId="0" pivotButton="0" quotePrefix="0" xfId="0"/>
    <xf numFmtId="0" fontId="69" fillId="0" borderId="0" applyAlignment="1" pivotButton="0" quotePrefix="0" xfId="0">
      <alignment horizontal="center" vertical="center"/>
    </xf>
    <xf numFmtId="0" fontId="70" fillId="9" borderId="28" applyAlignment="1" pivotButton="0" quotePrefix="0" xfId="0">
      <alignment horizontal="center" vertical="center" wrapText="1"/>
    </xf>
    <xf numFmtId="0" fontId="0" fillId="10" borderId="27" pivotButton="0" quotePrefix="0" xfId="0"/>
    <xf numFmtId="0" fontId="71" fillId="10" borderId="27" pivotButton="0" quotePrefix="0" xfId="0"/>
    <xf numFmtId="0" fontId="67" fillId="0" borderId="27" applyAlignment="1" pivotButton="0" quotePrefix="0" xfId="0">
      <alignment horizontal="center" vertical="center" wrapText="1"/>
    </xf>
    <xf numFmtId="0" fontId="67" fillId="0" borderId="27" applyAlignment="1" pivotButton="0" quotePrefix="0" xfId="0">
      <alignment horizontal="left" vertical="center" wrapText="1"/>
    </xf>
    <xf numFmtId="3" fontId="67" fillId="0" borderId="27" applyAlignment="1" pivotButton="0" quotePrefix="0" xfId="0">
      <alignment horizontal="right" vertical="center"/>
    </xf>
    <xf numFmtId="2" fontId="67" fillId="0" borderId="27" applyAlignment="1" pivotButton="0" quotePrefix="0" xfId="0">
      <alignment horizontal="center" vertical="center" wrapText="1"/>
    </xf>
    <xf numFmtId="0" fontId="72" fillId="0" borderId="0" pivotButton="0" quotePrefix="0" xfId="0"/>
    <xf numFmtId="3" fontId="72" fillId="0" borderId="0" pivotButton="0" quotePrefix="0" xfId="0"/>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dxfs count="1">
    <dxf>
      <fill>
        <patternFill patternType="solid">
          <fgColor rgb="00FFC7CE"/>
          <bgColor rgb="00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1: VAN MFD ĐƠN CÁNH - ĐỘNG CƠ BELIMO FSLF24V)</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625</v>
      </c>
      <c r="I22" s="384" t="n">
        <v>4</v>
      </c>
      <c r="J22" s="384" t="n">
        <v>200</v>
      </c>
      <c r="K22" s="387" t="n">
        <v>0.75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c r="H24" s="384" t="n"/>
      <c r="I24" s="384" t="n"/>
      <c r="J24" s="384" t="n">
        <v>200</v>
      </c>
      <c r="K24" s="387" t="n">
        <v>1.15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SWIND-1.02-MFD-EI90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ROUND(('00_TONG_HOP_BAO_GIA'!Q12-7400000)*0.770651+7400000, 0)</f>
        <v/>
      </c>
      <c r="O25" s="386">
        <f>N25*M25</f>
        <v/>
      </c>
      <c r="P25" s="385" t="inlineStr">
        <is>
          <t>- Van chống cháy động cơ - Tiêu chuẩn EI 90
- 2 đầu bích TDC - Gắn kèm động cơ ON-OFF 3.5Nm, 24V (Type: đóng mở nhanh) BELIMO - Model: FSLF24V US
- Sản xuất theo BCTN số 4752/VLXD-TBMT
- Chia 2 modul khi sản xuất</t>
        </is>
      </c>
    </row>
    <row r="26">
      <c r="A26" s="384" t="n">
        <v>12</v>
      </c>
      <c r="B26" s="385" t="inlineStr">
        <is>
          <t>Van ngăn cháy MFD 1700x600 (EI60)</t>
        </is>
      </c>
      <c r="C26" s="384" t="inlineStr">
        <is>
          <t>SWIND-1.02-MFD-EI90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ROUND(('00_TONG_HOP_BAO_GIA'!Q13-7400000)*0.780970+7400000, 0)</f>
        <v/>
      </c>
      <c r="O26" s="386">
        <f>N26*M26</f>
        <v/>
      </c>
      <c r="P26" s="385" t="inlineStr">
        <is>
          <t>- Van chống cháy động cơ - Tiêu chuẩn EI 90
- 2 đầu bích TDC - Gắn kèm động cơ ON-OFF 3.5Nm, 24V (Type: đóng mở nhanh) BELIMO - Model: FSLF24V US
- Sản xuất theo BCTN số 4752/VLXD-TBMT
- Chia 2 modul khi sản xuất</t>
        </is>
      </c>
    </row>
    <row r="27">
      <c r="A27" s="384" t="n">
        <v>13</v>
      </c>
      <c r="B27" s="385" t="inlineStr">
        <is>
          <t>Van ngăn cháy MFD 1200x350 (EI60)</t>
        </is>
      </c>
      <c r="C27" s="384" t="inlineStr">
        <is>
          <t>SWIND-1.02-MFD-EI90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ROUND(('00_TONG_HOP_BAO_GIA'!Q14-3700000)*0.823298+3700000, 0)</f>
        <v/>
      </c>
      <c r="O27" s="386">
        <f>N27*M27</f>
        <v/>
      </c>
      <c r="P27" s="385" t="inlineStr">
        <is>
          <t>- Van chống cháy động cơ - Tiêu chuẩn EI 90
- 2 đầu bích TDC - Gắn kèm động cơ ON-OFF 3.5Nm, 24V (Type: đóng mở nhanh) BELIMO - Model: FSLF24V US
- Sản xuất theo BCTN số 4752/VLXD-TBMT</t>
        </is>
      </c>
    </row>
    <row r="28">
      <c r="A28" s="384" t="n">
        <v>14</v>
      </c>
      <c r="B28" s="385" t="inlineStr">
        <is>
          <t>Van ngăn cháy MFD 950x400 (EI30)</t>
        </is>
      </c>
      <c r="C28" s="384" t="inlineStr">
        <is>
          <t>SWIND-1.02-MFD-EI90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ROUND(('00_TONG_HOP_BAO_GIA'!Q15-3700000)*0.801955+3700000, 0)</f>
        <v/>
      </c>
      <c r="O28" s="386">
        <f>N28*M28</f>
        <v/>
      </c>
      <c r="P28" s="385" t="inlineStr">
        <is>
          <t>- Van chống cháy động cơ - Tiêu chuẩn EI 90
- 2 đầu bích TDC - Gắn kèm động cơ ON-OFF 3.5Nm, 24V (Type: đóng mở nhanh) BELIMO - Model: FSLF24V US
- Sản xuất theo BCTN số 4752/VLXD-TBMT</t>
        </is>
      </c>
    </row>
    <row r="29">
      <c r="A29" s="384" t="n">
        <v>15</v>
      </c>
      <c r="B29" s="385" t="inlineStr">
        <is>
          <t>Van ngăn cháy MFD 950x500 (EI30)</t>
        </is>
      </c>
      <c r="C29" s="384" t="inlineStr">
        <is>
          <t>SWIND-1.02-MFD-EI90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ROUND(('00_TONG_HOP_BAO_GIA'!Q16-3700000)*0.796512+3700000, 0)</f>
        <v/>
      </c>
      <c r="O29" s="386">
        <f>N29*M29</f>
        <v/>
      </c>
      <c r="P29" s="385" t="inlineStr">
        <is>
          <t>- Van chống cháy động cơ - Tiêu chuẩn EI 90
- 2 đầu bích TDC - Gắn kèm động cơ ON-OFF 3.5Nm, 24V (Type: đóng mở nhanh) BELIMO - Model: FSLF24V US
- Sản xuất theo BCTN số 4752/VLXD-TBMT</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chống cháy động cơ - Tiêu chuẩn EI 90
- 2 đầu bích TDC - Gắn kèm động cơ ON-OFF 3.5Nm, 24V (Type: đóng mở nhanh) BELIMO - Model: FSLF24V US
- Sản xuất theo BCTN số 4752/VLXD-TBMT</t>
        </is>
      </c>
    </row>
    <row r="31">
      <c r="A31" s="384" t="n">
        <v>17</v>
      </c>
      <c r="B31" s="385" t="inlineStr">
        <is>
          <t>Van ngăn cháy MFD 950x300 (EI30)</t>
        </is>
      </c>
      <c r="C31" s="384" t="inlineStr">
        <is>
          <t>SWIND-1.02-MFD-EI90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ROUND(('00_TONG_HOP_BAO_GIA'!Q18-3700000)*0.832492+3700000, 0)</f>
        <v/>
      </c>
      <c r="O31" s="386">
        <f>N31*M31</f>
        <v/>
      </c>
      <c r="P31" s="385" t="inlineStr">
        <is>
          <t>- Van chống cháy động cơ - Tiêu chuẩn EI 90
- 2 đầu bích TDC - Gắn kèm động cơ ON-OFF 3.5Nm, 24V (Type: đóng mở nhanh) BELIMO - Model: FSLF24V US
- Sản xuất theo BCTN số 4752/VLXD-TBMT</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ECG+O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sọt trứng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chống cháy động cơ - Tiêu chuẩn EI 90
- 2 đầu bích TDC - Gắn kèm động cơ ON-OFF 3.5Nm, 24V (Type: đóng mở nhanh) BELIMO - Model: FSLF24V US
- Sản xuất theo BCTN số 4752/VLXD-TBMT</t>
        </is>
      </c>
    </row>
    <row r="69">
      <c r="A69" s="384" t="n">
        <v>53</v>
      </c>
      <c r="B69" s="385" t="inlineStr">
        <is>
          <t>Van ngăn cháy MFD 700x500 (EI60)</t>
        </is>
      </c>
      <c r="C69" s="384" t="inlineStr">
        <is>
          <t>SWIND-1.02-MFD-EI90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ROUND(('00_TONG_HOP_BAO_GIA'!Q54-3700000)*0.804100+3700000, 0)</f>
        <v/>
      </c>
      <c r="O69" s="386">
        <f>N69*M69</f>
        <v/>
      </c>
      <c r="P69" s="385" t="inlineStr">
        <is>
          <t>- Van chống cháy động cơ - Tiêu chuẩn EI 90
- 2 đầu bích TDC - Gắn kèm động cơ ON-OFF 3.5Nm, 24V (Type: đóng mở nhanh) BELIMO - Model: FSLF24V US
- Sản xuất theo BCTN số 4752/VLXD-TBMT</t>
        </is>
      </c>
    </row>
    <row r="70">
      <c r="A70" s="384" t="n">
        <v>54</v>
      </c>
      <c r="B70" s="385" t="inlineStr">
        <is>
          <t>Van ngăn cháy MFD 700x800 (EI60)</t>
        </is>
      </c>
      <c r="C70" s="384" t="inlineStr">
        <is>
          <t>SWIND-1.02-MFD-EI90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ROUND(('00_TONG_HOP_BAO_GIA'!Q55-3700000)*0.773694+3700000, 0)</f>
        <v/>
      </c>
      <c r="O70" s="386">
        <f>N70*M70</f>
        <v/>
      </c>
      <c r="P70" s="385" t="inlineStr">
        <is>
          <t>- Van chống cháy động cơ - Tiêu chuẩn EI 90
- 2 đầu bích TDC - Gắn kèm động cơ ON-OFF 3.5Nm, 24V (Type: đóng mở nhanh) BELIMO - Model: FSLF24V US
- Sản xuất theo BCTN số 4752/VLXD-TBMT</t>
        </is>
      </c>
    </row>
    <row r="71">
      <c r="A71" s="384" t="n">
        <v>55</v>
      </c>
      <c r="B71" s="385" t="inlineStr">
        <is>
          <t>Van ngăn cháy MFD 1200x600 (EI60)</t>
        </is>
      </c>
      <c r="C71" s="384" t="inlineStr">
        <is>
          <t>SWIND-1.02-MFD-EI90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ROUND(('00_TONG_HOP_BAO_GIA'!Q56-3700000)*0.772255+3700000, 0)</f>
        <v/>
      </c>
      <c r="O71" s="386">
        <f>N71*M71</f>
        <v/>
      </c>
      <c r="P71" s="385" t="inlineStr">
        <is>
          <t>- Van chống cháy động cơ - Tiêu chuẩn EI 90
- 2 đầu bích TDC - Gắn kèm động cơ ON-OFF 3.5Nm, 24V (Type: đóng mở nhanh) BELIMO - Model: FSLF24V US
- Sản xuất theo BCTN số 4752/VLXD-TBMT</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chống cháy động cơ - Tiêu chuẩn EI 90
- 2 đầu bích TDC - Gắn kèm động cơ ON-OFF 3.5Nm, 24V (Type: đóng mở nhanh) BELIMO - Model: FSLF24V US
- Sản xuất theo BCTN số 4752/VLXD-TBMT</t>
        </is>
      </c>
    </row>
    <row r="73">
      <c r="A73" s="384" t="n">
        <v>57</v>
      </c>
      <c r="B73" s="385" t="inlineStr">
        <is>
          <t>Van ngăn cháy MFD 900x400 (EI60)</t>
        </is>
      </c>
      <c r="C73" s="384" t="inlineStr">
        <is>
          <t>SWIND-1.02-MFD-EI90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ROUND(('00_TONG_HOP_BAO_GIA'!Q58-3700000)*0.802951+3700000, 0)</f>
        <v/>
      </c>
      <c r="O73" s="386">
        <f>N73*M73</f>
        <v/>
      </c>
      <c r="P73" s="385" t="inlineStr">
        <is>
          <t>- Van chống cháy động cơ - Tiêu chuẩn EI 90
- 2 đầu bích TDC - Gắn kèm động cơ ON-OFF 3.5Nm, 24V (Type: đóng mở nhanh) BELIMO - Model: FSLF24V US
- Sản xuất theo BCTN số 4752/VLXD-TBMT</t>
        </is>
      </c>
    </row>
    <row r="74">
      <c r="A74" s="384" t="n">
        <v>58</v>
      </c>
      <c r="B74" s="385" t="inlineStr">
        <is>
          <t>Van ngăn cháy MFD 900x400 (EI120)</t>
        </is>
      </c>
      <c r="C74" s="384" t="inlineStr">
        <is>
          <t>SWIND-1.02-MFD-EI90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ROUND(('00_TONG_HOP_BAO_GIA'!Q59-3700000)*0.802951+3700000, 0)</f>
        <v/>
      </c>
      <c r="O74" s="386">
        <f>N74*M74</f>
        <v/>
      </c>
      <c r="P74" s="385" t="inlineStr">
        <is>
          <t>- Van chống cháy động cơ - Tiêu chuẩn EI 90
- 2 đầu bích TDC - Gắn kèm động cơ ON-OFF 3.5Nm, 24V (Type: đóng mở nhanh) BELIMO - Model: FSLF24V US
- Sản xuất theo BCTN số 4752/VLXD-TBMT</t>
        </is>
      </c>
    </row>
    <row r="75">
      <c r="A75" s="384" t="n">
        <v>59</v>
      </c>
      <c r="B75" s="385" t="inlineStr">
        <is>
          <t>Van ngăn cháy MFD 300x300 (EI60)</t>
        </is>
      </c>
      <c r="C75" s="384" t="inlineStr">
        <is>
          <t>SWIND-1.02-MFD-EI90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ROUND(('00_TONG_HOP_BAO_GIA'!Q60-3700000)*0.850557+3700000, 0)</f>
        <v/>
      </c>
      <c r="O75" s="386">
        <f>N75*M75</f>
        <v/>
      </c>
      <c r="P75" s="385" t="inlineStr">
        <is>
          <t>- Van chống cháy động cơ - Tiêu chuẩn EI 90
- 2 đầu bích TDC - Gắn kèm động cơ ON-OFF 3.5Nm, 24V (Type: đóng mở nhanh) BELIMO - Model: FSLF24V US
- Sản xuất theo BCTN số 4752/VLXD-TBMT</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chống cháy động cơ - Tiêu chuẩn EI 90
- 2 đầu bích TDC - Gắn kèm động cơ ON-OFF 3.5Nm, 24V (Type: đóng mở nhanh) BELIMO - Model: FSLF24V US
- Sản xuất theo BCTN số 4752/VLXD-TBMT</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chống cháy động cơ - Tiêu chuẩn EI 90
- 2 đầu bích TDC - Gắn kèm động cơ ON-OFF 3.5Nm, 24V (Type: đóng mở nhanh) BELIMO - Model: FSLF24V US
- Sản xuất theo BCTN số 4752/VLXD-TBMT</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chống cháy động cơ - Tiêu chuẩn EI 90
- 2 đầu bích TDC - Gắn kèm động cơ ON-OFF 3.5Nm, 24V (Type: đóng mở nhanh) BELIMO - Model: FSLF24V US
- Sản xuất theo BCTN số 4752/VLXD-TBMT</t>
        </is>
      </c>
    </row>
    <row r="79">
      <c r="A79" s="384" t="n">
        <v>63</v>
      </c>
      <c r="B79" s="385" t="inlineStr">
        <is>
          <t>Van ngăn cháy MFD 1000x300 (EI60)</t>
        </is>
      </c>
      <c r="C79" s="384" t="inlineStr">
        <is>
          <t>SWIND-1.02-MFD-EI90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ROUND(('00_TONG_HOP_BAO_GIA'!Q64-3700000)*0.831901+3700000, 0)</f>
        <v/>
      </c>
      <c r="O79" s="386">
        <f>N79*M79</f>
        <v/>
      </c>
      <c r="P79" s="385" t="inlineStr">
        <is>
          <t>- Van chống cháy động cơ - Tiêu chuẩn EI 90
- 2 đầu bích TDC - Gắn kèm động cơ ON-OFF 3.5Nm, 24V (Type: đóng mở nhanh) BELIMO - Model: FSLF24V US
- Sản xuất theo BCTN số 4752/VLXD-TBMT</t>
        </is>
      </c>
    </row>
    <row r="80">
      <c r="A80" s="384" t="n">
        <v>64</v>
      </c>
      <c r="B80" s="385" t="inlineStr">
        <is>
          <t>Van ngăn cháy MFD 850x300 (EI60)</t>
        </is>
      </c>
      <c r="C80" s="384" t="inlineStr">
        <is>
          <t>SWIND-1.02-MFD-EI90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ROUND(('00_TONG_HOP_BAO_GIA'!Q65-3700000)*0.833841+3700000, 0)</f>
        <v/>
      </c>
      <c r="O80" s="386">
        <f>N80*M80</f>
        <v/>
      </c>
      <c r="P80" s="385" t="inlineStr">
        <is>
          <t>- Van chống cháy động cơ - Tiêu chuẩn EI 90
- 2 đầu bích TDC - Gắn kèm động cơ ON-OFF 3.5Nm, 24V (Type: đóng mở nhanh) BELIMO - Model: FSLF24V US
- Sản xuất theo BCTN số 4752/VLXD-TBMT</t>
        </is>
      </c>
    </row>
    <row r="81">
      <c r="A81" s="384" t="n">
        <v>65</v>
      </c>
      <c r="B81" s="385" t="inlineStr">
        <is>
          <t>Van ngăn cháy MFD 800x350 (EI60)</t>
        </is>
      </c>
      <c r="C81" s="384" t="inlineStr">
        <is>
          <t>SWIND-1.02-MFD-EI90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ROUND(('00_TONG_HOP_BAO_GIA'!Q66-3700000)*0.829302+3700000, 0)</f>
        <v/>
      </c>
      <c r="O81" s="386">
        <f>N81*M81</f>
        <v/>
      </c>
      <c r="P81" s="385" t="inlineStr">
        <is>
          <t>- Van chống cháy động cơ - Tiêu chuẩn EI 90
- 2 đầu bích TDC - Gắn kèm động cơ ON-OFF 3.5Nm, 24V (Type: đóng mở nhanh) BELIMO - Model: FSLF24V US
- Sản xuất theo BCTN số 4752/VLXD-TBMT</t>
        </is>
      </c>
    </row>
    <row r="82">
      <c r="A82" s="384" t="n">
        <v>66</v>
      </c>
      <c r="B82" s="385" t="inlineStr">
        <is>
          <t>Van ngăn cháy MFD 2000x650 (EI120)</t>
        </is>
      </c>
      <c r="C82" s="384" t="inlineStr">
        <is>
          <t>SWIND-1.02-MFD-EI90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ROUND(('00_TONG_HOP_BAO_GIA'!Q67-7400000)*0.775567+7400000, 0)</f>
        <v/>
      </c>
      <c r="O82" s="386">
        <f>N82*M82</f>
        <v/>
      </c>
      <c r="P82" s="385" t="inlineStr">
        <is>
          <t>- Van chống cháy động cơ - Tiêu chuẩn EI 90
- 2 đầu bích TDC - Gắn kèm động cơ ON-OFF 3.5Nm, 24V (Type: đóng mở nhanh) BELIMO - Model: FSLF24V US
- Sản xuất theo BCTN số 4752/VLXD-TBMT
- Chia 2 modul khi sản xuất</t>
        </is>
      </c>
    </row>
    <row r="83">
      <c r="A83" s="384" t="n">
        <v>67</v>
      </c>
      <c r="B83" s="385" t="inlineStr">
        <is>
          <t>Van ngăn cháy MFD 1000x350 (EI120)</t>
        </is>
      </c>
      <c r="C83" s="384" t="inlineStr">
        <is>
          <t>SWIND-1.02-MFD-EI90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ROUND(('00_TONG_HOP_BAO_GIA'!Q68-3700000)*0.825808+3700000, 0)</f>
        <v/>
      </c>
      <c r="O83" s="386">
        <f>N83*M83</f>
        <v/>
      </c>
      <c r="P83" s="385" t="inlineStr">
        <is>
          <t>- Van chống cháy động cơ - Tiêu chuẩn EI 90
- 2 đầu bích TDC - Gắn kèm động cơ ON-OFF 3.5Nm, 24V (Type: đóng mở nhanh) BELIMO - Model: FSLF24V US
- Sản xuất theo BCTN số 4752/VLXD-TBMT</t>
        </is>
      </c>
    </row>
    <row r="84">
      <c r="A84" s="384" t="n">
        <v>68</v>
      </c>
      <c r="B84" s="385" t="inlineStr">
        <is>
          <t>Van ngăn cháy MFD 1200x350 (EI120)</t>
        </is>
      </c>
      <c r="C84" s="384" t="inlineStr">
        <is>
          <t>SWIND-1.02-MFD-EI90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ROUND(('00_TONG_HOP_BAO_GIA'!Q69-3700000)*0.823298+3700000, 0)</f>
        <v/>
      </c>
      <c r="O84" s="386">
        <f>N84*M84</f>
        <v/>
      </c>
      <c r="P84" s="385" t="inlineStr">
        <is>
          <t>- Van chống cháy động cơ - Tiêu chuẩn EI 90
- 2 đầu bích TDC - Gắn kèm động cơ ON-OFF 3.5Nm, 24V (Type: đóng mở nhanh) BELIMO - Model: FSLF24V US
- Sản xuất theo BCTN số 4752/VLXD-TBMT</t>
        </is>
      </c>
    </row>
    <row r="85">
      <c r="A85" s="384" t="n">
        <v>69</v>
      </c>
      <c r="B85" s="385" t="inlineStr">
        <is>
          <t>Van ngăn cháy MFD 1100x350 (EI120)</t>
        </is>
      </c>
      <c r="C85" s="384" t="inlineStr">
        <is>
          <t>SWIND-1.02-MFD-EI90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ROUND(('00_TONG_HOP_BAO_GIA'!Q70-3700000)*0.824458+3700000, 0)</f>
        <v/>
      </c>
      <c r="O85" s="386">
        <f>N85*M85</f>
        <v/>
      </c>
      <c r="P85" s="385" t="inlineStr">
        <is>
          <t>- Van chống cháy động cơ - Tiêu chuẩn EI 90
- 2 đầu bích TDC - Gắn kèm động cơ ON-OFF 3.5Nm, 24V (Type: đóng mở nhanh) BELIMO - Model: FSLF24V US
- Sản xuất theo BCTN số 4752/VLXD-TBMT</t>
        </is>
      </c>
    </row>
    <row r="86">
      <c r="A86" s="384" t="n">
        <v>70</v>
      </c>
      <c r="B86" s="385" t="inlineStr">
        <is>
          <t>Van ngăn cháy MFD 1200x300 (EI60)</t>
        </is>
      </c>
      <c r="C86" s="384" t="inlineStr">
        <is>
          <t>SWIND-1.02-MFD-EI90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ROUND(('00_TONG_HOP_BAO_GIA'!Q71-3700000)*0.829953+3700000, 0)</f>
        <v/>
      </c>
      <c r="O86" s="386">
        <f>N86*M86</f>
        <v/>
      </c>
      <c r="P86" s="385" t="inlineStr">
        <is>
          <t>- Van chống cháy động cơ - Tiêu chuẩn EI 90
- 2 đầu bích TDC - Gắn kèm động cơ ON-OFF 3.5Nm, 24V (Type: đóng mở nhanh) BELIMO - Model: FSLF24V US
- Sản xuất theo BCTN số 4752/VLXD-TBMT</t>
        </is>
      </c>
    </row>
    <row r="87">
      <c r="A87" s="384" t="n">
        <v>71</v>
      </c>
      <c r="B87" s="385" t="inlineStr">
        <is>
          <t>Van ngăn cháy MFD 1200x300 (EI120)</t>
        </is>
      </c>
      <c r="C87" s="384" t="inlineStr">
        <is>
          <t>SWIND-1.02-MFD-EI90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ROUND(('00_TONG_HOP_BAO_GIA'!Q72-3700000)*0.829953+3700000, 0)</f>
        <v/>
      </c>
      <c r="O87" s="386">
        <f>N87*M87</f>
        <v/>
      </c>
      <c r="P87" s="385" t="inlineStr">
        <is>
          <t>- Van chống cháy động cơ - Tiêu chuẩn EI 90
- 2 đầu bích TDC - Gắn kèm động cơ ON-OFF 3.5Nm, 24V (Type: đóng mở nhanh) BELIMO - Model: FSLF24V US
- Sản xuất theo BCTN số 4752/VLXD-TBMT</t>
        </is>
      </c>
    </row>
    <row r="88">
      <c r="A88" s="384" t="n">
        <v>72</v>
      </c>
      <c r="B88" s="385" t="inlineStr">
        <is>
          <t>Van ngăn cháy MFD 900x350 (EI120)</t>
        </is>
      </c>
      <c r="C88" s="384" t="inlineStr">
        <is>
          <t>SWIND-1.02-MFD-EI90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ROUND(('00_TONG_HOP_BAO_GIA'!Q73-3700000)*0.827399+3700000, 0)</f>
        <v/>
      </c>
      <c r="O88" s="386">
        <f>N88*M88</f>
        <v/>
      </c>
      <c r="P88" s="385" t="inlineStr">
        <is>
          <t>- Van chống cháy động cơ - Tiêu chuẩn EI 90
- 2 đầu bích TDC - Gắn kèm động cơ ON-OFF 3.5Nm, 24V (Type: đóng mở nhanh) BELIMO - Model: FSLF24V US
- Sản xuất theo BCTN số 4752/VLXD-TBMT</t>
        </is>
      </c>
    </row>
    <row r="89">
      <c r="A89" s="384" t="n">
        <v>73</v>
      </c>
      <c r="B89" s="385" t="inlineStr">
        <is>
          <t>Van ngăn cháy MFD 1150x350 (EI120)</t>
        </is>
      </c>
      <c r="C89" s="384" t="inlineStr">
        <is>
          <t>SWIND-1.02-MFD-EI90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ROUND(('00_TONG_HOP_BAO_GIA'!Q74-3700000)*0.823857+3700000, 0)</f>
        <v/>
      </c>
      <c r="O89" s="386">
        <f>N89*M89</f>
        <v/>
      </c>
      <c r="P89" s="385" t="inlineStr">
        <is>
          <t>- Van chống cháy động cơ - Tiêu chuẩn EI 90
- 2 đầu bích TDC - Gắn kèm động cơ ON-OFF 3.5Nm, 24V (Type: đóng mở nhanh) BELIMO - Model: FSLF24V US
- Sản xuất theo BCTN số 4752/VLXD-TBMT</t>
        </is>
      </c>
    </row>
    <row r="90">
      <c r="A90" s="384" t="n">
        <v>74</v>
      </c>
      <c r="B90" s="385" t="inlineStr">
        <is>
          <t>Van ngăn cháy MFD 1200x450 (EI120)</t>
        </is>
      </c>
      <c r="C90" s="384" t="inlineStr">
        <is>
          <t>SWIND-1.02-MFD-EI90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ROUND(('00_TONG_HOP_BAO_GIA'!Q75-3700000)*0.794588+3700000, 0)</f>
        <v/>
      </c>
      <c r="O90" s="386">
        <f>N90*M90</f>
        <v/>
      </c>
      <c r="P90" s="385" t="inlineStr">
        <is>
          <t>- Van chống cháy động cơ - Tiêu chuẩn EI 90
- 2 đầu bích TDC - Gắn kèm động cơ ON-OFF 3.5Nm, 24V (Type: đóng mở nhanh) BELIMO - Model: FSLF24V US
- Sản xuất theo BCTN số 4752/VLXD-TBMT</t>
        </is>
      </c>
    </row>
    <row r="91">
      <c r="A91" s="384" t="n">
        <v>75</v>
      </c>
      <c r="B91" s="385" t="inlineStr">
        <is>
          <t>Van ngăn cháy MFD 350x600 (EI120)</t>
        </is>
      </c>
      <c r="C91" s="384" t="inlineStr">
        <is>
          <t>SWIND-1.02-MFD-EI90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ROUND(('00_TONG_HOP_BAO_GIA'!Q76-3700000)*0.811804+3700000, 0)</f>
        <v/>
      </c>
      <c r="O91" s="386">
        <f>N91*M91</f>
        <v/>
      </c>
      <c r="P91" s="385" t="inlineStr">
        <is>
          <t>- Van chống cháy động cơ - Tiêu chuẩn EI 90
- 2 đầu bích TDC - Gắn kèm động cơ ON-OFF 3.5Nm, 24V (Type: đóng mở nhanh) BELIMO - Model: FSLF24V US
- Sản xuất theo BCTN số 4752/VLXD-TBMT</t>
        </is>
      </c>
    </row>
    <row r="92">
      <c r="A92" s="384" t="n">
        <v>76</v>
      </c>
      <c r="B92" s="385" t="inlineStr">
        <is>
          <t>Van ngăn cháy MFD 1100x350 (EI120)</t>
        </is>
      </c>
      <c r="C92" s="384" t="inlineStr">
        <is>
          <t>SWIND-1.02-MFD-EI90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ROUND(('00_TONG_HOP_BAO_GIA'!Q77-3700000)*0.824458+3700000, 0)</f>
        <v/>
      </c>
      <c r="O92" s="386">
        <f>N92*M92</f>
        <v/>
      </c>
      <c r="P92" s="385" t="inlineStr">
        <is>
          <t>- Van chống cháy động cơ - Tiêu chuẩn EI 90
- 2 đầu bích TDC - Gắn kèm động cơ ON-OFF 3.5Nm, 24V (Type: đóng mở nhanh) BELIMO - Model: FSLF24V US
- Sản xuất theo BCTN số 4752/VLXD-TBMT</t>
        </is>
      </c>
    </row>
    <row r="93">
      <c r="A93" s="384" t="n">
        <v>77</v>
      </c>
      <c r="B93" s="385" t="inlineStr">
        <is>
          <t>Van ngăn cháy MFD 1000x350 (EI120)</t>
        </is>
      </c>
      <c r="C93" s="384" t="inlineStr">
        <is>
          <t>SWIND-1.02-MFD-EI90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ROUND(('00_TONG_HOP_BAO_GIA'!Q78-3700000)*0.825808+3700000, 0)</f>
        <v/>
      </c>
      <c r="O93" s="386">
        <f>N93*M93</f>
        <v/>
      </c>
      <c r="P93" s="385" t="inlineStr">
        <is>
          <t>- Van chống cháy động cơ - Tiêu chuẩn EI 90
- 2 đầu bích TDC - Gắn kèm động cơ ON-OFF 3.5Nm, 24V (Type: đóng mở nhanh) BELIMO - Model: FSLF24V US
- Sản xuất theo BCTN số 4752/VLXD-TBMT</t>
        </is>
      </c>
    </row>
    <row r="94">
      <c r="A94" s="384" t="n">
        <v>78</v>
      </c>
      <c r="B94" s="385" t="inlineStr">
        <is>
          <t>Van ngăn cháy MFD 800x300 (EI120)</t>
        </is>
      </c>
      <c r="C94" s="384" t="inlineStr">
        <is>
          <t>SWIND-1.02-MFD-EI90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ROUND(('00_TONG_HOP_BAO_GIA'!Q79-3700000)*0.834614+3700000, 0)</f>
        <v/>
      </c>
      <c r="O94" s="386">
        <f>N94*M94</f>
        <v/>
      </c>
      <c r="P94" s="385" t="inlineStr">
        <is>
          <t>- Van chống cháy động cơ - Tiêu chuẩn EI 90
- 2 đầu bích TDC - Gắn kèm động cơ ON-OFF 3.5Nm, 24V (Type: đóng mở nhanh) BELIMO - Model: FSLF24V US
- Sản xuất theo BCTN số 4752/VLXD-TBMT</t>
        </is>
      </c>
    </row>
    <row r="95">
      <c r="A95" s="384" t="n">
        <v>79</v>
      </c>
      <c r="B95" s="385" t="inlineStr">
        <is>
          <t>Van ngăn cháy MFD 650x400</t>
        </is>
      </c>
      <c r="C95" s="384" t="inlineStr">
        <is>
          <t>SWIND-1.02-MFD-EI90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ROUND(('00_TONG_HOP_BAO_GIA'!Q80-3700000)*0.809647+3700000, 0)</f>
        <v/>
      </c>
      <c r="O95" s="386">
        <f>N95*M95</f>
        <v/>
      </c>
      <c r="P95" s="385" t="inlineStr">
        <is>
          <t>- Van chống cháy động cơ - Tiêu chuẩn EI 90
- 2 đầu bích TDC - Gắn kèm động cơ ON-OFF 3.5Nm, 24V (Type: đóng mở nhanh) BELIMO - Model: FSLF24V US
- Sản xuất theo BCTN số 4752/VLXD-TBMT</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625</v>
      </c>
      <c r="I125" s="384" t="n">
        <v>4</v>
      </c>
      <c r="J125" s="384" t="n">
        <v>200</v>
      </c>
      <c r="K125" s="387" t="n">
        <v>0.75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SWIND-1.02-MFD-EI90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ROUND(('00_TONG_HOP_BAO_GIA'!Q112-7400000)*0.768961+7400000, 0)</f>
        <v/>
      </c>
      <c r="O129" s="386">
        <f>N129*M129</f>
        <v/>
      </c>
      <c r="P129" s="385" t="inlineStr">
        <is>
          <t>- Van chống cháy động cơ - Tiêu chuẩn EI 90
- 2 đầu bích TDC - Gắn kèm động cơ ON-OFF 3.5Nm, 24V (Type: đóng mở nhanh) BELIMO - Model: FSLF24V US
- Sản xuất theo BCTN số 4752/VLXD-TBMT
- Chia 2 modul khi sản xuất</t>
        </is>
      </c>
    </row>
    <row r="130">
      <c r="A130" s="384" t="n">
        <v>112</v>
      </c>
      <c r="B130" s="385" t="inlineStr">
        <is>
          <t>Van ngăn cháy MFD 1250x600 (EI60)</t>
        </is>
      </c>
      <c r="C130" s="384" t="inlineStr">
        <is>
          <t>SWIND-1.02-MFD-EI90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ROUND(('00_TONG_HOP_BAO_GIA'!Q113-3700000)*0.771348+3700000, 0)</f>
        <v/>
      </c>
      <c r="O130" s="386">
        <f>N130*M130</f>
        <v/>
      </c>
      <c r="P130" s="385" t="inlineStr">
        <is>
          <t>- Van chống cháy động cơ - Tiêu chuẩn EI 90
- 2 đầu bích TDC - Gắn kèm động cơ ON-OFF 3.5Nm, 24V (Type: đóng mở nhanh) BELIMO - Model: FSLF24V US
- Sản xuất theo BCTN số 4752/VLXD-TBMT</t>
        </is>
      </c>
    </row>
    <row r="131">
      <c r="A131" s="384" t="n">
        <v>113</v>
      </c>
      <c r="B131" s="385" t="inlineStr">
        <is>
          <t>Van ngăn cháy MFD 1050x350 (EI120)</t>
        </is>
      </c>
      <c r="C131" s="384" t="inlineStr">
        <is>
          <t>SWIND-1.02-MFD-EI90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ROUND(('00_TONG_HOP_BAO_GIA'!Q114-3700000)*0.825107+3700000, 0)</f>
        <v/>
      </c>
      <c r="O131" s="386">
        <f>N131*M131</f>
        <v/>
      </c>
      <c r="P131" s="385" t="inlineStr">
        <is>
          <t>- Van chống cháy động cơ - Tiêu chuẩn EI 90
- 2 đầu bích TDC - Gắn kèm động cơ ON-OFF 3.5Nm, 24V (Type: đóng mở nhanh) BELIMO - Model: FSLF24V US
- Sản xuất theo BCTN số 4752/VLXD-TBMT</t>
        </is>
      </c>
    </row>
    <row r="132">
      <c r="A132" s="384" t="n">
        <v>114</v>
      </c>
      <c r="B132" s="385" t="inlineStr">
        <is>
          <t>Van ngăn cháy MFD 800x350 (EI30)</t>
        </is>
      </c>
      <c r="C132" s="384" t="inlineStr">
        <is>
          <t>SWIND-1.02-MFD-EI90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ROUND(('00_TONG_HOP_BAO_GIA'!Q115-3700000)*0.829302+3700000, 0)</f>
        <v/>
      </c>
      <c r="O132" s="386">
        <f>N132*M132</f>
        <v/>
      </c>
      <c r="P132" s="385" t="inlineStr">
        <is>
          <t>- Van chống cháy động cơ - Tiêu chuẩn EI 90
- 2 đầu bích TDC - Gắn kèm động cơ ON-OFF 3.5Nm, 24V (Type: đóng mở nhanh) BELIMO - Model: FSLF24V US
- Sản xuất theo BCTN số 4752/VLXD-TBMT</t>
        </is>
      </c>
    </row>
    <row r="133">
      <c r="A133" s="384" t="n">
        <v>115</v>
      </c>
      <c r="B133" s="385" t="inlineStr">
        <is>
          <t>Van ngăn cháy MFD 900x350 (EI120)</t>
        </is>
      </c>
      <c r="C133" s="384" t="inlineStr">
        <is>
          <t>SWIND-1.02-MFD-EI90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ROUND(('00_TONG_HOP_BAO_GIA'!Q116-3700000)*0.827399+3700000, 0)</f>
        <v/>
      </c>
      <c r="O133" s="386">
        <f>N133*M133</f>
        <v/>
      </c>
      <c r="P133" s="385" t="inlineStr">
        <is>
          <t>- Van chống cháy động cơ - Tiêu chuẩn EI 90
- 2 đầu bích TDC - Gắn kèm động cơ ON-OFF 3.5Nm, 24V (Type: đóng mở nhanh) BELIMO - Model: FSLF24V US
- Sản xuất theo BCTN số 4752/VLXD-TBMT</t>
        </is>
      </c>
    </row>
    <row r="134">
      <c r="A134" s="384" t="n">
        <v>116</v>
      </c>
      <c r="B134" s="385" t="inlineStr">
        <is>
          <t>Van ngăn cháy MFD 900x350 (EI30)</t>
        </is>
      </c>
      <c r="C134" s="384" t="inlineStr">
        <is>
          <t>SWIND-1.02-MFD-EI90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ROUND(('00_TONG_HOP_BAO_GIA'!Q117-3700000)*0.827399+3700000, 0)</f>
        <v/>
      </c>
      <c r="O134" s="386">
        <f>N134*M134</f>
        <v/>
      </c>
      <c r="P134" s="385" t="inlineStr">
        <is>
          <t>- Van chống cháy động cơ - Tiêu chuẩn EI 90
- 2 đầu bích TDC - Gắn kèm động cơ ON-OFF 3.5Nm, 24V (Type: đóng mở nhanh) BELIMO - Model: FSLF24V US
- Sản xuất theo BCTN số 4752/VLXD-TBMT</t>
        </is>
      </c>
    </row>
    <row r="135">
      <c r="A135" s="384" t="n">
        <v>117</v>
      </c>
      <c r="B135" s="385" t="inlineStr">
        <is>
          <t>Van ngăn cháy MFD 110x350 (EI30)</t>
        </is>
      </c>
      <c r="C135" s="384" t="inlineStr">
        <is>
          <t>SWIND-1.02-MFD-EI90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ROUND(('00_TONG_HOP_BAO_GIA'!Q118-3700000)*0.866704+3700000, 0)</f>
        <v/>
      </c>
      <c r="O135" s="386">
        <f>N135*M135</f>
        <v/>
      </c>
      <c r="P135" s="385" t="inlineStr">
        <is>
          <t>- Van chống cháy động cơ - Tiêu chuẩn EI 90
- 2 đầu bích TDC - Gắn kèm động cơ ON-OFF 3.5Nm, 24V (Type: đóng mở nhanh) BELIMO - Model: FSLF24V US
- Sản xuất theo BCTN số 4752/VLXD-TBMT
- Van thu côn 2 đầu</t>
        </is>
      </c>
    </row>
    <row r="136">
      <c r="A136" s="384" t="n">
        <v>118</v>
      </c>
      <c r="B136" s="385" t="inlineStr">
        <is>
          <t>Van ngăn cháy MFD 1100x350 (EI120)</t>
        </is>
      </c>
      <c r="C136" s="384" t="inlineStr">
        <is>
          <t>SWIND-1.02-MFD-EI90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ROUND(('00_TONG_HOP_BAO_GIA'!Q119-3700000)*0.824458+3700000, 0)</f>
        <v/>
      </c>
      <c r="O136" s="386">
        <f>N136*M136</f>
        <v/>
      </c>
      <c r="P136" s="385" t="inlineStr">
        <is>
          <t>- Van chống cháy động cơ - Tiêu chuẩn EI 90
- 2 đầu bích TDC - Gắn kèm động cơ ON-OFF 3.5Nm, 24V (Type: đóng mở nhanh) BELIMO - Model: FSLF24V US
- Sản xuất theo BCTN số 4752/VLXD-TBMT</t>
        </is>
      </c>
    </row>
    <row r="137">
      <c r="A137" s="384" t="n">
        <v>119</v>
      </c>
      <c r="B137" s="385" t="inlineStr">
        <is>
          <t>Van ngăn cháy MFD 800x300 (EI120)</t>
        </is>
      </c>
      <c r="C137" s="384" t="inlineStr">
        <is>
          <t>SWIND-1.02-MFD-EI90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ROUND(('00_TONG_HOP_BAO_GIA'!Q120-3700000)*0.834614+3700000, 0)</f>
        <v/>
      </c>
      <c r="O137" s="386">
        <f>N137*M137</f>
        <v/>
      </c>
      <c r="P137" s="385" t="inlineStr">
        <is>
          <t>- Van chống cháy động cơ - Tiêu chuẩn EI 90
- 2 đầu bích TDC - Gắn kèm động cơ ON-OFF 3.5Nm, 24V (Type: đóng mở nhanh) BELIMO - Model: FSLF24V US
- Sản xuất theo BCTN số 4752/VLXD-TBMT</t>
        </is>
      </c>
    </row>
    <row r="138">
      <c r="A138" s="384" t="n">
        <v>120</v>
      </c>
      <c r="B138" s="385" t="inlineStr">
        <is>
          <t>Van ngăn cháy MFD 900x350 (E120)</t>
        </is>
      </c>
      <c r="C138" s="384" t="inlineStr">
        <is>
          <t>SWIND-1.02-MFD-EI90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ROUND(('00_TONG_HOP_BAO_GIA'!Q121-3700000)*0.827399+3700000, 0)</f>
        <v/>
      </c>
      <c r="O138" s="386">
        <f>N138*M138</f>
        <v/>
      </c>
      <c r="P138" s="385" t="inlineStr">
        <is>
          <t>- Van chống cháy động cơ - Tiêu chuẩn EI 90
- 2 đầu bích TDC - Gắn kèm động cơ ON-OFF 3.5Nm, 24V (Type: đóng mở nhanh) BELIMO - Model: FSLF24V US
- Sản xuất theo BCTN số 4752/VLXD-TBMT</t>
        </is>
      </c>
    </row>
    <row r="139">
      <c r="A139" s="384" t="n">
        <v>121</v>
      </c>
      <c r="B139" s="385" t="inlineStr">
        <is>
          <t>Van ngăn cháy MFD1400x350 (EI45)</t>
        </is>
      </c>
      <c r="C139" s="384" t="inlineStr">
        <is>
          <t>SWIND-1.02-MFD-EI90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ROUND(('00_TONG_HOP_BAO_GIA'!Q122-3700000)*0.821408+3700000, 0)</f>
        <v/>
      </c>
      <c r="O139" s="386">
        <f>N139*M139</f>
        <v/>
      </c>
      <c r="P139" s="385" t="inlineStr">
        <is>
          <t>- Van chống cháy động cơ - Tiêu chuẩn EI 90
- 2 đầu bích TDC - Gắn kèm động cơ ON-OFF 3.5Nm, 24V (Type: đóng mở nhanh) BELIMO - Model: FSLF24V US
- Sản xuất theo BCTN số 4752/VLXD-TBMT</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t>
        </is>
      </c>
    </row>
    <row r="142">
      <c r="A142" s="384" t="n">
        <v>124</v>
      </c>
      <c r="B142" s="385" t="inlineStr">
        <is>
          <t>Van ngăn cháy MFD 450x300</t>
        </is>
      </c>
      <c r="C142" s="384" t="inlineStr">
        <is>
          <t>SWIND-1.02-MFD-EI90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ROUND(('00_TONG_HOP_BAO_GIA'!Q125-3700000)*0.843270+3700000, 0)</f>
        <v/>
      </c>
      <c r="O142" s="386">
        <f>N142*M142</f>
        <v/>
      </c>
      <c r="P142" s="385" t="inlineStr">
        <is>
          <t>- Van chống cháy động cơ - Tiêu chuẩn EI 90
- 2 đầu bích TDC - Gắn kèm động cơ ON-OFF 3.5Nm, 24V (Type: đóng mở nhanh) BELIMO - Model: FSLF24V US
- Sản xuất theo BCTN số 4752/VLXD-TBMT</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SDG+O</t>
        </is>
      </c>
      <c r="D156" s="384" t="inlineStr">
        <is>
          <t>SWIND</t>
        </is>
      </c>
      <c r="E156" s="384" t="n">
        <v>600</v>
      </c>
      <c r="F156" s="384" t="n">
        <v>600</v>
      </c>
      <c r="G156" s="384" t="n">
        <v>550</v>
      </c>
      <c r="H156" s="384" t="n">
        <v>550</v>
      </c>
      <c r="I156" s="384" t="n"/>
      <c r="J156" s="384" t="n"/>
      <c r="K156" s="384" t="n"/>
      <c r="L156" s="384" t="inlineStr">
        <is>
          <t>Cái</t>
        </is>
      </c>
      <c r="M156" s="386" t="n">
        <v>48</v>
      </c>
      <c r="N156" s="386">
        <f>ROUND('00_TONG_HOP_BAO_GIA'!Q139, 0)</f>
        <v/>
      </c>
      <c r="O156" s="386">
        <f>N156*M156</f>
        <v/>
      </c>
      <c r="P156" s="385" t="inlineStr">
        <is>
          <t>Cửa nan bầu dục 1 lớp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MFD + Louver</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ROUND(('00_TONG_HOP_BAO_GIA'!Q146-7400000)*0.823739+7400000, 0)</f>
        <v/>
      </c>
      <c r="O163" s="386">
        <f>N163*M163</f>
        <v/>
      </c>
      <c r="P163" s="385" t="inlineStr">
        <is>
          <t>- Van chống cháy động cơ - Tiêu chuẩn EI 90
- 2 đầu bích TDC - Gắn kèm động cơ ON-OFF 3.5Nm, 24V (Type: đóng mở nhanh) BELIMO - Model: FSLF24V US
- Sản xuất theo BCTN số 4752/VLXD-TBMT
- Chia 2 modul khi sản xuất
- Kết hợp cửa Louver nan Z ngoài trời + LCCT</t>
        </is>
      </c>
    </row>
    <row r="164">
      <c r="A164" s="384" t="n">
        <v>146</v>
      </c>
      <c r="B164" s="385" t="inlineStr">
        <is>
          <t>Cửa sổ cấp bù gió khi có cháy 0.8m2</t>
        </is>
      </c>
      <c r="C164" s="384" t="inlineStr">
        <is>
          <t>MFD + Louver</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ROUND(('00_TONG_HOP_BAO_GIA'!Q147-3700000)*0.806346+3700000, 0)</f>
        <v/>
      </c>
      <c r="O164" s="386">
        <f>N164*M164</f>
        <v/>
      </c>
      <c r="P164" s="385" t="inlineStr">
        <is>
          <t>- Van chống cháy động cơ - Tiêu chuẩn EI 90
- 2 đầu bích TDC - Gắn kèm động cơ ON-OFF 3.5Nm, 24V (Type: đóng mở nhanh) BELIMO - Model: FSLF24V US
- Sản xuất theo BCTN số 4752/VLXD-TBMT
- Kết hợp cửa Louver nan Z ngoài trời + LCCT</t>
        </is>
      </c>
    </row>
    <row r="165">
      <c r="A165" s="384" t="n">
        <v>147</v>
      </c>
      <c r="B165" s="385" t="inlineStr">
        <is>
          <t>Cửa sổ cấp bù gió khi có cháy 0.75m2</t>
        </is>
      </c>
      <c r="C165" s="384" t="inlineStr">
        <is>
          <t>MFD + Louver</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ROUND(('00_TONG_HOP_BAO_GIA'!Q148-3700000)*0.806292+3700000, 0)</f>
        <v/>
      </c>
      <c r="O165" s="386">
        <f>N165*M165</f>
        <v/>
      </c>
      <c r="P165" s="385" t="inlineStr">
        <is>
          <t>- Van chống cháy động cơ - Tiêu chuẩn EI 90
- 2 đầu bích TDC - Gắn kèm động cơ ON-OFF 3.5Nm, 24V (Type: đóng mở nhanh) BELIMO - Model: FSLF24V US
- Sản xuất theo BCTN số 4752/VLXD-TBMT
- Kết hợp cửa Louver nan Z ngoài trời + LCCT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SWIND-1.02-MFD-EI90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ROUND(('00_TONG_HOP_BAO_GIA'!Q182-3700000)*0.822777+3700000, 0)</f>
        <v/>
      </c>
      <c r="O201" s="386">
        <f>N201*M201</f>
        <v/>
      </c>
      <c r="P201" s="385" t="inlineStr">
        <is>
          <t>- Van chống cháy động cơ - Tiêu chuẩn EI 90
- 2 đầu bích TDC - Gắn kèm động cơ ON-OFF 3.5Nm, 24V (Type: đóng mở nhanh) BELIMO - Model: FSLF24V US
- Sản xuất theo BCTN số 4752/VLXD-TBMT</t>
        </is>
      </c>
    </row>
    <row r="202">
      <c r="A202" s="384" t="n">
        <v>182</v>
      </c>
      <c r="B202" s="385" t="inlineStr">
        <is>
          <t>Van MFD 1000x550</t>
        </is>
      </c>
      <c r="C202" s="384" t="inlineStr">
        <is>
          <t>SWIND-1.02-MFD-EI90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ROUND(('00_TONG_HOP_BAO_GIA'!Q183-3700000)*0.777808+3700000, 0)</f>
        <v/>
      </c>
      <c r="O202" s="386">
        <f>N202*M202</f>
        <v/>
      </c>
      <c r="P202" s="385" t="inlineStr">
        <is>
          <t>- Van chống cháy động cơ - Tiêu chuẩn EI 90
- 2 đầu bích TDC - Gắn kèm động cơ ON-OFF 3.5Nm, 24V (Type: đóng mở nhanh) BELIMO - Model: FSLF24V US
- Sản xuất theo BCTN số 4752/VLXD-TBMT</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chống cháy động cơ - Tiêu chuẩn EI 90
- 2 đầu bích TDC - Gắn kèm động cơ ON-OFF 3.5Nm, 24V (Type: đóng mở nhanh) BELIMO - Model: FSLF24V US
- Sản xuất theo BCTN số 4752/VLXD-TBMT</t>
        </is>
      </c>
    </row>
    <row r="204">
      <c r="A204" s="384" t="n">
        <v>184</v>
      </c>
      <c r="B204" s="385" t="inlineStr">
        <is>
          <t>Van MFD 800x300</t>
        </is>
      </c>
      <c r="C204" s="384" t="inlineStr">
        <is>
          <t>SWIND-1.02-MFD-EI90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ROUND(('00_TONG_HOP_BAO_GIA'!Q185-3700000)*0.834614+3700000, 0)</f>
        <v/>
      </c>
      <c r="O204" s="386">
        <f>N204*M204</f>
        <v/>
      </c>
      <c r="P204" s="385" t="inlineStr">
        <is>
          <t>- Van chống cháy động cơ - Tiêu chuẩn EI 90
- 2 đầu bích TDC - Gắn kèm động cơ ON-OFF 3.5Nm, 24V (Type: đóng mở nhanh) BELIMO - Model: FSLF24V US
- Sản xuất theo BCTN số 4752/VLXD-TBMT</t>
        </is>
      </c>
    </row>
    <row r="205">
      <c r="A205" s="384" t="n">
        <v>185</v>
      </c>
      <c r="B205" s="385" t="inlineStr">
        <is>
          <t>Van MFD 1200x650</t>
        </is>
      </c>
      <c r="C205" s="384" t="inlineStr">
        <is>
          <t>SWIND-1.02-MFD-EI90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ROUND(('00_TONG_HOP_BAO_GIA'!Q186-3700000)*0.770950+3700000, 0)</f>
        <v/>
      </c>
      <c r="O205" s="386">
        <f>N205*M205</f>
        <v/>
      </c>
      <c r="P205" s="385" t="inlineStr">
        <is>
          <t>- Van chống cháy động cơ - Tiêu chuẩn EI 90
- 2 đầu bích TDC - Gắn kèm động cơ ON-OFF 3.5Nm, 24V (Type: đóng mở nhanh) BELIMO - Model: FSLF24V US
- Sản xuất theo BCTN số 4752/VLXD-TBMT</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2: VAN MFD ĐA CÁNH - ĐỘNG CƠ BELIMO BFN24)</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625</v>
      </c>
      <c r="I22" s="384" t="n">
        <v>4</v>
      </c>
      <c r="J22" s="384" t="n">
        <v>200</v>
      </c>
      <c r="K22" s="387" t="n">
        <v>0.75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c r="H24" s="384" t="n"/>
      <c r="I24" s="384" t="n"/>
      <c r="J24" s="384" t="n">
        <v>200</v>
      </c>
      <c r="K24" s="387" t="n">
        <v>1.15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SWIND-1.05- MFD-EI120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 0)</f>
        <v/>
      </c>
      <c r="O25" s="386">
        <f>N25*M25</f>
        <v/>
      </c>
      <c r="P25" s="385" t="inlineStr">
        <is>
          <t>- Van động cơ SWIND-MFD - Tiêu chuẩn EI 120
- 2 đầu bích TDC - Gắn kèm động cơ ON-OFF 9Nm, 24V BELIMO - Model: BFN 24
- Sản xuất theo BCTN số 2390/VLXD-TBMT
- Van chia đa cánh
- Chia 2 modul khi sản xuất</t>
        </is>
      </c>
    </row>
    <row r="26">
      <c r="A26" s="384" t="n">
        <v>12</v>
      </c>
      <c r="B26" s="385" t="inlineStr">
        <is>
          <t>Van ngăn cháy MFD 1700x600 (EI60)</t>
        </is>
      </c>
      <c r="C26" s="384" t="inlineStr">
        <is>
          <t>SWIND-1.05- MFD-EI120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 0)</f>
        <v/>
      </c>
      <c r="O26" s="386">
        <f>N26*M26</f>
        <v/>
      </c>
      <c r="P26" s="385" t="inlineStr">
        <is>
          <t>- Van động cơ SWIND-MFD - Tiêu chuẩn EI 120
- 2 đầu bích TDC - Gắn kèm động cơ ON-OFF 9Nm, 24V BELIMO - Model: BFN 24
- Sản xuất theo BCTN số 2390/VLXD-TBMT
- Van chia đa cánh
- Chia 2 modul khi sản xuất</t>
        </is>
      </c>
    </row>
    <row r="27">
      <c r="A27" s="384" t="n">
        <v>13</v>
      </c>
      <c r="B27" s="385" t="inlineStr">
        <is>
          <t>Van ngăn cháy MFD 1200x350 (EI60)</t>
        </is>
      </c>
      <c r="C27" s="384" t="inlineStr">
        <is>
          <t>SWIND-1.05- MFD-EI120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 0)</f>
        <v/>
      </c>
      <c r="O27" s="386">
        <f>N27*M27</f>
        <v/>
      </c>
      <c r="P27" s="385" t="inlineStr">
        <is>
          <t>- Van động cơ SWIND-MFD - Tiêu chuẩn EI 120
- 2 đầu bích TDC - Gắn kèm động cơ ON-OFF 9Nm, 24V BELIMO - Model: BFN 24
- Sản xuất theo BCTN số 2390/VLXD-TBMT
- Van chia đa cánh</t>
        </is>
      </c>
    </row>
    <row r="28">
      <c r="A28" s="384" t="n">
        <v>14</v>
      </c>
      <c r="B28" s="385" t="inlineStr">
        <is>
          <t>Van ngăn cháy MFD 950x400 (EI30)</t>
        </is>
      </c>
      <c r="C28" s="384" t="inlineStr">
        <is>
          <t>SWIND-1.05- MFD-EI120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 0)</f>
        <v/>
      </c>
      <c r="O28" s="386">
        <f>N28*M28</f>
        <v/>
      </c>
      <c r="P28" s="385" t="inlineStr">
        <is>
          <t>- Van động cơ SWIND-MFD - Tiêu chuẩn EI 120
- 2 đầu bích TDC - Gắn kèm động cơ ON-OFF 9Nm, 24V BELIMO - Model: BFN 24
- Sản xuất theo BCTN số 2390/VLXD-TBMT
- Van chia đa cánh</t>
        </is>
      </c>
    </row>
    <row r="29">
      <c r="A29" s="384" t="n">
        <v>15</v>
      </c>
      <c r="B29" s="385" t="inlineStr">
        <is>
          <t>Van ngăn cháy MFD 950x500 (EI30)</t>
        </is>
      </c>
      <c r="C29" s="384" t="inlineStr">
        <is>
          <t>SWIND-1.05- MFD-EI120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 0)</f>
        <v/>
      </c>
      <c r="O29" s="386">
        <f>N29*M29</f>
        <v/>
      </c>
      <c r="P29" s="385" t="inlineStr">
        <is>
          <t>- Van động cơ SWIND-MFD - Tiêu chuẩn EI 120
- 2 đầu bích TDC - Gắn kèm động cơ ON-OFF 9Nm, 24V BELIMO - Model: BFN 24
- Sản xuất theo BCTN số 2390/VLXD-TBMT
- Van chia đa cánh</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chống cháy động cơ - Tiêu chuẩn EI 90
- 2 đầu bích TDC - Gắn kèm động cơ ON-OFF 3.5Nm, 24V (Type: đóng mở nhanh) BELIMO - Model: FSLF24V US
- Sản xuất theo BCTN số 4752/VLXD-TBMT
- Van 1 cánh</t>
        </is>
      </c>
    </row>
    <row r="31">
      <c r="A31" s="384" t="n">
        <v>17</v>
      </c>
      <c r="B31" s="385" t="inlineStr">
        <is>
          <t>Van ngăn cháy MFD 950x300 (EI30)</t>
        </is>
      </c>
      <c r="C31" s="384" t="inlineStr">
        <is>
          <t>SWIND-1.05- MFD-EI120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 0)</f>
        <v/>
      </c>
      <c r="O31" s="386">
        <f>N31*M31</f>
        <v/>
      </c>
      <c r="P31" s="385" t="inlineStr">
        <is>
          <t>- Van động cơ SWIND-MFD - Tiêu chuẩn EI 120
- 2 đầu bích TDC - Gắn kèm động cơ ON-OFF 9Nm, 24V BELIMO - Model: BFN 24
- Sản xuất theo BCTN số 2390/VLXD-TBMT
- Van chia đa cánh</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ECG+O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sọt trứng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chống cháy động cơ - Tiêu chuẩn EI 90
- 2 đầu bích TDC - Gắn kèm động cơ ON-OFF 3.5Nm, 24V (Type: đóng mở nhanh) BELIMO - Model: FSLF24V US
- Sản xuất theo BCTN số 4752/VLXD-TBMT
- Van 1 cánh</t>
        </is>
      </c>
    </row>
    <row r="69">
      <c r="A69" s="384" t="n">
        <v>53</v>
      </c>
      <c r="B69" s="385" t="inlineStr">
        <is>
          <t>Van ngăn cháy MFD 700x500 (EI60)</t>
        </is>
      </c>
      <c r="C69" s="384" t="inlineStr">
        <is>
          <t>SWIND-1.05- MFD-EI120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 0)</f>
        <v/>
      </c>
      <c r="O69" s="386">
        <f>N69*M69</f>
        <v/>
      </c>
      <c r="P69" s="385" t="inlineStr">
        <is>
          <t>- Van động cơ SWIND-MFD - Tiêu chuẩn EI 120
- 2 đầu bích TDC - Gắn kèm động cơ ON-OFF 9Nm, 24V BELIMO - Model: BFN 24
- Sản xuất theo BCTN số 2390/VLXD-TBMT
- Van chia đa cánh</t>
        </is>
      </c>
    </row>
    <row r="70">
      <c r="A70" s="384" t="n">
        <v>54</v>
      </c>
      <c r="B70" s="385" t="inlineStr">
        <is>
          <t>Van ngăn cháy MFD 700x800 (EI60)</t>
        </is>
      </c>
      <c r="C70" s="384" t="inlineStr">
        <is>
          <t>SWIND-1.05- MFD-EI120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 0)</f>
        <v/>
      </c>
      <c r="O70" s="386">
        <f>N70*M70</f>
        <v/>
      </c>
      <c r="P70" s="385" t="inlineStr">
        <is>
          <t>- Van động cơ SWIND-MFD - Tiêu chuẩn EI 120
- 2 đầu bích TDC - Gắn kèm động cơ ON-OFF 9Nm, 24V BELIMO - Model: BFN 24
- Sản xuất theo BCTN số 2390/VLXD-TBMT
- Van chia đa cánh</t>
        </is>
      </c>
    </row>
    <row r="71">
      <c r="A71" s="384" t="n">
        <v>55</v>
      </c>
      <c r="B71" s="385" t="inlineStr">
        <is>
          <t>Van ngăn cháy MFD 1200x600 (EI60)</t>
        </is>
      </c>
      <c r="C71" s="384" t="inlineStr">
        <is>
          <t>SWIND-1.05- MFD-EI120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 0)</f>
        <v/>
      </c>
      <c r="O71" s="386">
        <f>N71*M71</f>
        <v/>
      </c>
      <c r="P71" s="385" t="inlineStr">
        <is>
          <t>- Van động cơ SWIND-MFD - Tiêu chuẩn EI 120
- 2 đầu bích TDC - Gắn kèm động cơ ON-OFF 9Nm, 24V BELIMO - Model: BFN 24
- Sản xuất theo BCTN số 2390/VLXD-TBMT
- Van chia đa cánh</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chống cháy động cơ - Tiêu chuẩn EI 90
- 2 đầu bích TDC - Gắn kèm động cơ ON-OFF 3.5Nm, 24V (Type: đóng mở nhanh) BELIMO - Model: FSLF24V US
- Sản xuất theo BCTN số 4752/VLXD-TBMT
- Van 1 cánh</t>
        </is>
      </c>
    </row>
    <row r="73">
      <c r="A73" s="384" t="n">
        <v>57</v>
      </c>
      <c r="B73" s="385" t="inlineStr">
        <is>
          <t>Van ngăn cháy MFD 900x400 (EI60)</t>
        </is>
      </c>
      <c r="C73" s="384" t="inlineStr">
        <is>
          <t>SWIND-1.05- MFD-EI120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 0)</f>
        <v/>
      </c>
      <c r="O73" s="386">
        <f>N73*M73</f>
        <v/>
      </c>
      <c r="P73" s="385" t="inlineStr">
        <is>
          <t>- Van động cơ SWIND-MFD - Tiêu chuẩn EI 120
- 2 đầu bích TDC - Gắn kèm động cơ ON-OFF 9Nm, 24V BELIMO - Model: BFN 24
- Sản xuất theo BCTN số 2390/VLXD-TBMT
- Van chia đa cánh</t>
        </is>
      </c>
    </row>
    <row r="74">
      <c r="A74" s="384" t="n">
        <v>58</v>
      </c>
      <c r="B74" s="385" t="inlineStr">
        <is>
          <t>Van ngăn cháy MFD 900x400 (EI120)</t>
        </is>
      </c>
      <c r="C74" s="384" t="inlineStr">
        <is>
          <t>SWIND-1.05- MFD-EI120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 0)</f>
        <v/>
      </c>
      <c r="O74" s="386">
        <f>N74*M74</f>
        <v/>
      </c>
      <c r="P74" s="385" t="inlineStr">
        <is>
          <t>- Van động cơ SWIND-MFD - Tiêu chuẩn EI 120
- 2 đầu bích TDC - Gắn kèm động cơ ON-OFF 9Nm, 24V BELIMO - Model: BFN 24
- Sản xuất theo BCTN số 2390/VLXD-TBMT
- Van chia đa cánh</t>
        </is>
      </c>
    </row>
    <row r="75">
      <c r="A75" s="384" t="n">
        <v>59</v>
      </c>
      <c r="B75" s="385" t="inlineStr">
        <is>
          <t>Van ngăn cháy MFD 300x300 (EI60)</t>
        </is>
      </c>
      <c r="C75" s="384" t="inlineStr">
        <is>
          <t>SWIND-1.05- MFD-EI120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 0)</f>
        <v/>
      </c>
      <c r="O75" s="386">
        <f>N75*M75</f>
        <v/>
      </c>
      <c r="P75" s="385" t="inlineStr">
        <is>
          <t>- Van động cơ SWIND-MFD - Tiêu chuẩn EI 120
- 2 đầu bích TDC - Gắn kèm động cơ ON-OFF 9Nm, 24V BELIMO - Model: BFN 24
- Sản xuất theo BCTN số 2390/VLXD-TBMT
- Van chia đa cánh</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chống cháy động cơ - Tiêu chuẩn EI 90
- 2 đầu bích TDC - Gắn kèm động cơ ON-OFF 3.5Nm, 24V (Type: đóng mở nhanh) BELIMO - Model: FSLF24V US
- Sản xuất theo BCTN số 4752/VLXD-TBMT
- Van 1 cánh</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chống cháy động cơ - Tiêu chuẩn EI 90
- 2 đầu bích TDC - Gắn kèm động cơ ON-OFF 3.5Nm, 24V (Type: đóng mở nhanh) BELIMO - Model: FSLF24V US
- Sản xuất theo BCTN số 4752/VLXD-TBMT
- Van 1 cánh</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chống cháy động cơ - Tiêu chuẩn EI 90
- 2 đầu bích TDC - Gắn kèm động cơ ON-OFF 3.5Nm, 24V (Type: đóng mở nhanh) BELIMO - Model: FSLF24V US
- Sản xuất theo BCTN số 4752/VLXD-TBMT
- Van 1 cánh</t>
        </is>
      </c>
    </row>
    <row r="79">
      <c r="A79" s="384" t="n">
        <v>63</v>
      </c>
      <c r="B79" s="385" t="inlineStr">
        <is>
          <t>Van ngăn cháy MFD 1000x300 (EI60)</t>
        </is>
      </c>
      <c r="C79" s="384" t="inlineStr">
        <is>
          <t>SWIND-1.05- MFD-EI120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 0)</f>
        <v/>
      </c>
      <c r="O79" s="386">
        <f>N79*M79</f>
        <v/>
      </c>
      <c r="P79" s="385" t="inlineStr">
        <is>
          <t>- Van động cơ SWIND-MFD - Tiêu chuẩn EI 120
- 2 đầu bích TDC - Gắn kèm động cơ ON-OFF 9Nm, 24V BELIMO - Model: BFN 24
- Sản xuất theo BCTN số 2390/VLXD-TBMT
- Van chia đa cánh</t>
        </is>
      </c>
    </row>
    <row r="80">
      <c r="A80" s="384" t="n">
        <v>64</v>
      </c>
      <c r="B80" s="385" t="inlineStr">
        <is>
          <t>Van ngăn cháy MFD 850x300 (EI60)</t>
        </is>
      </c>
      <c r="C80" s="384" t="inlineStr">
        <is>
          <t>SWIND-1.05- MFD-EI120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 0)</f>
        <v/>
      </c>
      <c r="O80" s="386">
        <f>N80*M80</f>
        <v/>
      </c>
      <c r="P80" s="385" t="inlineStr">
        <is>
          <t>- Van động cơ SWIND-MFD - Tiêu chuẩn EI 120
- 2 đầu bích TDC - Gắn kèm động cơ ON-OFF 9Nm, 24V BELIMO - Model: BFN 24
- Sản xuất theo BCTN số 2390/VLXD-TBMT
- Van chia đa cánh</t>
        </is>
      </c>
    </row>
    <row r="81">
      <c r="A81" s="384" t="n">
        <v>65</v>
      </c>
      <c r="B81" s="385" t="inlineStr">
        <is>
          <t>Van ngăn cháy MFD 800x350 (EI60)</t>
        </is>
      </c>
      <c r="C81" s="384" t="inlineStr">
        <is>
          <t>SWIND-1.05- MFD-EI120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 0)</f>
        <v/>
      </c>
      <c r="O81" s="386">
        <f>N81*M81</f>
        <v/>
      </c>
      <c r="P81" s="385" t="inlineStr">
        <is>
          <t>- Van động cơ SWIND-MFD - Tiêu chuẩn EI 120
- 2 đầu bích TDC - Gắn kèm động cơ ON-OFF 9Nm, 24V BELIMO - Model: BFN 24
- Sản xuất theo BCTN số 2390/VLXD-TBMT
- Van chia đa cánh</t>
        </is>
      </c>
    </row>
    <row r="82">
      <c r="A82" s="384" t="n">
        <v>66</v>
      </c>
      <c r="B82" s="385" t="inlineStr">
        <is>
          <t>Van ngăn cháy MFD 2000x650 (EI120)</t>
        </is>
      </c>
      <c r="C82" s="384" t="inlineStr">
        <is>
          <t>SWIND-1.05- MFD-EI120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 0)</f>
        <v/>
      </c>
      <c r="O82" s="386">
        <f>N82*M82</f>
        <v/>
      </c>
      <c r="P82" s="385" t="inlineStr">
        <is>
          <t>- Van động cơ SWIND-MFD - Tiêu chuẩn EI 120
- 2 đầu bích TDC - Gắn kèm động cơ ON-OFF 9Nm, 24V BELIMO - Model: BFN 24
- Sản xuất theo BCTN số 2390/VLXD-TBMT
- Van chia đa cánh
- Chia 2 modul khi sản xuất</t>
        </is>
      </c>
    </row>
    <row r="83">
      <c r="A83" s="384" t="n">
        <v>67</v>
      </c>
      <c r="B83" s="385" t="inlineStr">
        <is>
          <t>Van ngăn cháy MFD 1000x350 (EI120)</t>
        </is>
      </c>
      <c r="C83" s="384" t="inlineStr">
        <is>
          <t>SWIND-1.05- MFD-EI120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 0)</f>
        <v/>
      </c>
      <c r="O83" s="386">
        <f>N83*M83</f>
        <v/>
      </c>
      <c r="P83" s="385" t="inlineStr">
        <is>
          <t>- Van động cơ SWIND-MFD - Tiêu chuẩn EI 120
- 2 đầu bích TDC - Gắn kèm động cơ ON-OFF 9Nm, 24V BELIMO - Model: BFN 24
- Sản xuất theo BCTN số 2390/VLXD-TBMT
- Van chia đa cánh</t>
        </is>
      </c>
    </row>
    <row r="84">
      <c r="A84" s="384" t="n">
        <v>68</v>
      </c>
      <c r="B84" s="385" t="inlineStr">
        <is>
          <t>Van ngăn cháy MFD 1200x350 (EI120)</t>
        </is>
      </c>
      <c r="C84" s="384" t="inlineStr">
        <is>
          <t>SWIND-1.05- MFD-EI120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 0)</f>
        <v/>
      </c>
      <c r="O84" s="386">
        <f>N84*M84</f>
        <v/>
      </c>
      <c r="P84" s="385" t="inlineStr">
        <is>
          <t>- Van động cơ SWIND-MFD - Tiêu chuẩn EI 120
- 2 đầu bích TDC - Gắn kèm động cơ ON-OFF 9Nm, 24V BELIMO - Model: BFN 24
- Sản xuất theo BCTN số 2390/VLXD-TBMT
- Van chia đa cánh</t>
        </is>
      </c>
    </row>
    <row r="85">
      <c r="A85" s="384" t="n">
        <v>69</v>
      </c>
      <c r="B85" s="385" t="inlineStr">
        <is>
          <t>Van ngăn cháy MFD 1100x350 (EI120)</t>
        </is>
      </c>
      <c r="C85" s="384" t="inlineStr">
        <is>
          <t>SWIND-1.05- MFD-EI120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 0)</f>
        <v/>
      </c>
      <c r="O85" s="386">
        <f>N85*M85</f>
        <v/>
      </c>
      <c r="P85" s="385" t="inlineStr">
        <is>
          <t>- Van động cơ SWIND-MFD - Tiêu chuẩn EI 120
- 2 đầu bích TDC - Gắn kèm động cơ ON-OFF 9Nm, 24V BELIMO - Model: BFN 24
- Sản xuất theo BCTN số 2390/VLXD-TBMT
- Van chia đa cánh</t>
        </is>
      </c>
    </row>
    <row r="86">
      <c r="A86" s="384" t="n">
        <v>70</v>
      </c>
      <c r="B86" s="385" t="inlineStr">
        <is>
          <t>Van ngăn cháy MFD 1200x300 (EI60)</t>
        </is>
      </c>
      <c r="C86" s="384" t="inlineStr">
        <is>
          <t>SWIND-1.05- MFD-EI120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 0)</f>
        <v/>
      </c>
      <c r="O86" s="386">
        <f>N86*M86</f>
        <v/>
      </c>
      <c r="P86" s="385" t="inlineStr">
        <is>
          <t>- Van động cơ SWIND-MFD - Tiêu chuẩn EI 120
- 2 đầu bích TDC - Gắn kèm động cơ ON-OFF 9Nm, 24V BELIMO - Model: BFN 24
- Sản xuất theo BCTN số 2390/VLXD-TBMT
- Van chia đa cánh</t>
        </is>
      </c>
    </row>
    <row r="87">
      <c r="A87" s="384" t="n">
        <v>71</v>
      </c>
      <c r="B87" s="385" t="inlineStr">
        <is>
          <t>Van ngăn cháy MFD 1200x300 (EI120)</t>
        </is>
      </c>
      <c r="C87" s="384" t="inlineStr">
        <is>
          <t>SWIND-1.05- MFD-EI120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 0)</f>
        <v/>
      </c>
      <c r="O87" s="386">
        <f>N87*M87</f>
        <v/>
      </c>
      <c r="P87" s="385" t="inlineStr">
        <is>
          <t>- Van động cơ SWIND-MFD - Tiêu chuẩn EI 120
- 2 đầu bích TDC - Gắn kèm động cơ ON-OFF 9Nm, 24V BELIMO - Model: BFN 24
- Sản xuất theo BCTN số 2390/VLXD-TBMT
- Van chia đa cánh</t>
        </is>
      </c>
    </row>
    <row r="88">
      <c r="A88" s="384" t="n">
        <v>72</v>
      </c>
      <c r="B88" s="385" t="inlineStr">
        <is>
          <t>Van ngăn cháy MFD 900x350 (EI120)</t>
        </is>
      </c>
      <c r="C88" s="384" t="inlineStr">
        <is>
          <t>SWIND-1.05- MFD-EI120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 0)</f>
        <v/>
      </c>
      <c r="O88" s="386">
        <f>N88*M88</f>
        <v/>
      </c>
      <c r="P88" s="385" t="inlineStr">
        <is>
          <t>- Van động cơ SWIND-MFD - Tiêu chuẩn EI 120
- 2 đầu bích TDC - Gắn kèm động cơ ON-OFF 9Nm, 24V BELIMO - Model: BFN 24
- Sản xuất theo BCTN số 2390/VLXD-TBMT
- Van chia đa cánh</t>
        </is>
      </c>
    </row>
    <row r="89">
      <c r="A89" s="384" t="n">
        <v>73</v>
      </c>
      <c r="B89" s="385" t="inlineStr">
        <is>
          <t>Van ngăn cháy MFD 1150x350 (EI120)</t>
        </is>
      </c>
      <c r="C89" s="384" t="inlineStr">
        <is>
          <t>SWIND-1.05- MFD-EI120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 0)</f>
        <v/>
      </c>
      <c r="O89" s="386">
        <f>N89*M89</f>
        <v/>
      </c>
      <c r="P89" s="385" t="inlineStr">
        <is>
          <t>- Van động cơ SWIND-MFD - Tiêu chuẩn EI 120
- 2 đầu bích TDC - Gắn kèm động cơ ON-OFF 9Nm, 24V BELIMO - Model: BFN 24
- Sản xuất theo BCTN số 2390/VLXD-TBMT
- Van chia đa cánh</t>
        </is>
      </c>
    </row>
    <row r="90">
      <c r="A90" s="384" t="n">
        <v>74</v>
      </c>
      <c r="B90" s="385" t="inlineStr">
        <is>
          <t>Van ngăn cháy MFD 1200x450 (EI120)</t>
        </is>
      </c>
      <c r="C90" s="384" t="inlineStr">
        <is>
          <t>SWIND-1.05- MFD-EI120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 0)</f>
        <v/>
      </c>
      <c r="O90" s="386">
        <f>N90*M90</f>
        <v/>
      </c>
      <c r="P90" s="385" t="inlineStr">
        <is>
          <t>- Van động cơ SWIND-MFD - Tiêu chuẩn EI 120
- 2 đầu bích TDC - Gắn kèm động cơ ON-OFF 9Nm, 24V BELIMO - Model: BFN 24
- Sản xuất theo BCTN số 2390/VLXD-TBMT
- Van chia đa cánh</t>
        </is>
      </c>
    </row>
    <row r="91">
      <c r="A91" s="384" t="n">
        <v>75</v>
      </c>
      <c r="B91" s="385" t="inlineStr">
        <is>
          <t>Van ngăn cháy MFD 350x600 (EI120)</t>
        </is>
      </c>
      <c r="C91" s="384" t="inlineStr">
        <is>
          <t>SWIND-1.05- MFD-EI120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 0)</f>
        <v/>
      </c>
      <c r="O91" s="386">
        <f>N91*M91</f>
        <v/>
      </c>
      <c r="P91" s="385" t="inlineStr">
        <is>
          <t>- Van động cơ SWIND-MFD - Tiêu chuẩn EI 120
- 2 đầu bích TDC - Gắn kèm động cơ ON-OFF 9Nm, 24V BELIMO - Model: BFN 24
- Sản xuất theo BCTN số 2390/VLXD-TBMT
- Van chia đa cánh</t>
        </is>
      </c>
    </row>
    <row r="92">
      <c r="A92" s="384" t="n">
        <v>76</v>
      </c>
      <c r="B92" s="385" t="inlineStr">
        <is>
          <t>Van ngăn cháy MFD 1100x350 (EI120)</t>
        </is>
      </c>
      <c r="C92" s="384" t="inlineStr">
        <is>
          <t>SWIND-1.05- MFD-EI120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 0)</f>
        <v/>
      </c>
      <c r="O92" s="386">
        <f>N92*M92</f>
        <v/>
      </c>
      <c r="P92" s="385" t="inlineStr">
        <is>
          <t>- Van động cơ SWIND-MFD - Tiêu chuẩn EI 120
- 2 đầu bích TDC - Gắn kèm động cơ ON-OFF 9Nm, 24V BELIMO - Model: BFN 24
- Sản xuất theo BCTN số 2390/VLXD-TBMT
- Van chia đa cánh</t>
        </is>
      </c>
    </row>
    <row r="93">
      <c r="A93" s="384" t="n">
        <v>77</v>
      </c>
      <c r="B93" s="385" t="inlineStr">
        <is>
          <t>Van ngăn cháy MFD 1000x350 (EI120)</t>
        </is>
      </c>
      <c r="C93" s="384" t="inlineStr">
        <is>
          <t>SWIND-1.05- MFD-EI120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 0)</f>
        <v/>
      </c>
      <c r="O93" s="386">
        <f>N93*M93</f>
        <v/>
      </c>
      <c r="P93" s="385" t="inlineStr">
        <is>
          <t>- Van động cơ SWIND-MFD - Tiêu chuẩn EI 120
- 2 đầu bích TDC - Gắn kèm động cơ ON-OFF 9Nm, 24V BELIMO - Model: BFN 24
- Sản xuất theo BCTN số 2390/VLXD-TBMT
- Van chia đa cánh</t>
        </is>
      </c>
    </row>
    <row r="94">
      <c r="A94" s="384" t="n">
        <v>78</v>
      </c>
      <c r="B94" s="385" t="inlineStr">
        <is>
          <t>Van ngăn cháy MFD 800x300 (EI120)</t>
        </is>
      </c>
      <c r="C94" s="384" t="inlineStr">
        <is>
          <t>SWIND-1.05- MFD-EI120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 0)</f>
        <v/>
      </c>
      <c r="O94" s="386">
        <f>N94*M94</f>
        <v/>
      </c>
      <c r="P94" s="385" t="inlineStr">
        <is>
          <t>- Van động cơ SWIND-MFD - Tiêu chuẩn EI 120
- 2 đầu bích TDC - Gắn kèm động cơ ON-OFF 9Nm, 24V BELIMO - Model: BFN 24
- Sản xuất theo BCTN số 2390/VLXD-TBMT
- Van chia đa cánh</t>
        </is>
      </c>
    </row>
    <row r="95">
      <c r="A95" s="384" t="n">
        <v>79</v>
      </c>
      <c r="B95" s="385" t="inlineStr">
        <is>
          <t>Van ngăn cháy MFD 650x400</t>
        </is>
      </c>
      <c r="C95" s="384" t="inlineStr">
        <is>
          <t>SWIND-1.05- MFD-EI120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 0)</f>
        <v/>
      </c>
      <c r="O95" s="386">
        <f>N95*M95</f>
        <v/>
      </c>
      <c r="P95" s="385" t="inlineStr">
        <is>
          <t>- Van động cơ SWIND-MFD - Tiêu chuẩn EI 120
- 2 đầu bích TDC - Gắn kèm động cơ ON-OFF 9Nm, 24V BELIMO - Model: BFN 24
- Sản xuất theo BCTN số 2390/VLXD-TBMT
- Van chia đa cánh</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625</v>
      </c>
      <c r="I125" s="384" t="n">
        <v>4</v>
      </c>
      <c r="J125" s="384" t="n">
        <v>200</v>
      </c>
      <c r="K125" s="387" t="n">
        <v>0.75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SWIND-1.05- MFD-EI120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 0)</f>
        <v/>
      </c>
      <c r="O129" s="386">
        <f>N129*M129</f>
        <v/>
      </c>
      <c r="P129" s="385" t="inlineStr">
        <is>
          <t>- Van động cơ SWIND-MFD - Tiêu chuẩn EI 120
- 2 đầu bích TDC - Gắn kèm động cơ ON-OFF 9Nm, 24V BELIMO - Model: BFN 24
- Sản xuất theo BCTN số 2390/VLXD-TBMT
- Van chia đa cánh
- Chia 2 modul khi sản xuất</t>
        </is>
      </c>
    </row>
    <row r="130">
      <c r="A130" s="384" t="n">
        <v>112</v>
      </c>
      <c r="B130" s="385" t="inlineStr">
        <is>
          <t>Van ngăn cháy MFD 1250x600 (EI60)</t>
        </is>
      </c>
      <c r="C130" s="384" t="inlineStr">
        <is>
          <t>SWIND-1.05- MFD-EI120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 0)</f>
        <v/>
      </c>
      <c r="O130" s="386">
        <f>N130*M130</f>
        <v/>
      </c>
      <c r="P130" s="385" t="inlineStr">
        <is>
          <t>- Van động cơ SWIND-MFD - Tiêu chuẩn EI 120
- 2 đầu bích TDC - Gắn kèm động cơ ON-OFF 9Nm, 24V BELIMO - Model: BFN 24
- Sản xuất theo BCTN số 2390/VLXD-TBMT
- Van chia đa cánh</t>
        </is>
      </c>
    </row>
    <row r="131">
      <c r="A131" s="384" t="n">
        <v>113</v>
      </c>
      <c r="B131" s="385" t="inlineStr">
        <is>
          <t>Van ngăn cháy MFD 1050x350 (EI120)</t>
        </is>
      </c>
      <c r="C131" s="384" t="inlineStr">
        <is>
          <t>SWIND-1.05- MFD-EI120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 0)</f>
        <v/>
      </c>
      <c r="O131" s="386">
        <f>N131*M131</f>
        <v/>
      </c>
      <c r="P131" s="385" t="inlineStr">
        <is>
          <t>- Van động cơ SWIND-MFD - Tiêu chuẩn EI 120
- 2 đầu bích TDC - Gắn kèm động cơ ON-OFF 9Nm, 24V BELIMO - Model: BFN 24
- Sản xuất theo BCTN số 2390/VLXD-TBMT
- Van chia đa cánh</t>
        </is>
      </c>
    </row>
    <row r="132">
      <c r="A132" s="384" t="n">
        <v>114</v>
      </c>
      <c r="B132" s="385" t="inlineStr">
        <is>
          <t>Van ngăn cháy MFD 800x350 (EI30)</t>
        </is>
      </c>
      <c r="C132" s="384" t="inlineStr">
        <is>
          <t>SWIND-1.05- MFD-EI120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 0)</f>
        <v/>
      </c>
      <c r="O132" s="386">
        <f>N132*M132</f>
        <v/>
      </c>
      <c r="P132" s="385" t="inlineStr">
        <is>
          <t>- Van động cơ SWIND-MFD - Tiêu chuẩn EI 120
- 2 đầu bích TDC - Gắn kèm động cơ ON-OFF 9Nm, 24V BELIMO - Model: BFN 24
- Sản xuất theo BCTN số 2390/VLXD-TBMT
- Van chia đa cánh</t>
        </is>
      </c>
    </row>
    <row r="133">
      <c r="A133" s="384" t="n">
        <v>115</v>
      </c>
      <c r="B133" s="385" t="inlineStr">
        <is>
          <t>Van ngăn cháy MFD 900x350 (EI120)</t>
        </is>
      </c>
      <c r="C133" s="384" t="inlineStr">
        <is>
          <t>SWIND-1.05- MFD-EI120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 0)</f>
        <v/>
      </c>
      <c r="O133" s="386">
        <f>N133*M133</f>
        <v/>
      </c>
      <c r="P133" s="385" t="inlineStr">
        <is>
          <t>- Van động cơ SWIND-MFD - Tiêu chuẩn EI 120
- 2 đầu bích TDC - Gắn kèm động cơ ON-OFF 9Nm, 24V BELIMO - Model: BFN 24
- Sản xuất theo BCTN số 2390/VLXD-TBMT
- Van chia đa cánh</t>
        </is>
      </c>
    </row>
    <row r="134">
      <c r="A134" s="384" t="n">
        <v>116</v>
      </c>
      <c r="B134" s="385" t="inlineStr">
        <is>
          <t>Van ngăn cháy MFD 900x350 (EI30)</t>
        </is>
      </c>
      <c r="C134" s="384" t="inlineStr">
        <is>
          <t>SWIND-1.05- MFD-EI120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 0)</f>
        <v/>
      </c>
      <c r="O134" s="386">
        <f>N134*M134</f>
        <v/>
      </c>
      <c r="P134" s="385" t="inlineStr">
        <is>
          <t>- Van động cơ SWIND-MFD - Tiêu chuẩn EI 120
- 2 đầu bích TDC - Gắn kèm động cơ ON-OFF 9Nm, 24V BELIMO - Model: BFN 24
- Sản xuất theo BCTN số 2390/VLXD-TBMT
- Van chia đa cánh</t>
        </is>
      </c>
    </row>
    <row r="135">
      <c r="A135" s="384" t="n">
        <v>117</v>
      </c>
      <c r="B135" s="385" t="inlineStr">
        <is>
          <t>Van ngăn cháy MFD 110x350 (EI30)</t>
        </is>
      </c>
      <c r="C135" s="384" t="inlineStr">
        <is>
          <t>SWIND-1.05- MFD-EI120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 0)</f>
        <v/>
      </c>
      <c r="O135" s="386">
        <f>N135*M135</f>
        <v/>
      </c>
      <c r="P135" s="385" t="inlineStr">
        <is>
          <t>- Van động cơ SWIND-MFD - Tiêu chuẩn EI 120
- 2 đầu bích TDC - Gắn kèm động cơ ON-OFF 9Nm, 24V BELIMO - Model: BFN 24
- Sản xuất theo BCTN số 2390/VLXD-TBMT
- Van chia đa cánh
- Van thu côn 2 đầu</t>
        </is>
      </c>
    </row>
    <row r="136">
      <c r="A136" s="384" t="n">
        <v>118</v>
      </c>
      <c r="B136" s="385" t="inlineStr">
        <is>
          <t>Van ngăn cháy MFD 1100x350 (EI120)</t>
        </is>
      </c>
      <c r="C136" s="384" t="inlineStr">
        <is>
          <t>SWIND-1.05- MFD-EI120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 0)</f>
        <v/>
      </c>
      <c r="O136" s="386">
        <f>N136*M136</f>
        <v/>
      </c>
      <c r="P136" s="385" t="inlineStr">
        <is>
          <t>- Van động cơ SWIND-MFD - Tiêu chuẩn EI 120
- 2 đầu bích TDC - Gắn kèm động cơ ON-OFF 9Nm, 24V BELIMO - Model: BFN 24
- Sản xuất theo BCTN số 2390/VLXD-TBMT
- Van chia đa cánh</t>
        </is>
      </c>
    </row>
    <row r="137">
      <c r="A137" s="384" t="n">
        <v>119</v>
      </c>
      <c r="B137" s="385" t="inlineStr">
        <is>
          <t>Van ngăn cháy MFD 800x300 (EI120)</t>
        </is>
      </c>
      <c r="C137" s="384" t="inlineStr">
        <is>
          <t>SWIND-1.05- MFD-EI120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 0)</f>
        <v/>
      </c>
      <c r="O137" s="386">
        <f>N137*M137</f>
        <v/>
      </c>
      <c r="P137" s="385" t="inlineStr">
        <is>
          <t>- Van động cơ SWIND-MFD - Tiêu chuẩn EI 120
- 2 đầu bích TDC - Gắn kèm động cơ ON-OFF 9Nm, 24V BELIMO - Model: BFN 24
- Sản xuất theo BCTN số 2390/VLXD-TBMT
- Van chia đa cánh</t>
        </is>
      </c>
    </row>
    <row r="138">
      <c r="A138" s="384" t="n">
        <v>120</v>
      </c>
      <c r="B138" s="385" t="inlineStr">
        <is>
          <t>Van ngăn cháy MFD 900x350 (E120)</t>
        </is>
      </c>
      <c r="C138" s="384" t="inlineStr">
        <is>
          <t>SWIND-1.05- MFD-EI120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 0)</f>
        <v/>
      </c>
      <c r="O138" s="386">
        <f>N138*M138</f>
        <v/>
      </c>
      <c r="P138" s="385" t="inlineStr">
        <is>
          <t>- Van động cơ SWIND-MFD - Tiêu chuẩn EI 120
- 2 đầu bích TDC - Gắn kèm động cơ ON-OFF 9Nm, 24V BELIMO - Model: BFN 24
- Sản xuất theo BCTN số 2390/VLXD-TBMT
- Van chia đa cánh</t>
        </is>
      </c>
    </row>
    <row r="139">
      <c r="A139" s="384" t="n">
        <v>121</v>
      </c>
      <c r="B139" s="385" t="inlineStr">
        <is>
          <t>Van ngăn cháy MFD1400x350 (EI45)</t>
        </is>
      </c>
      <c r="C139" s="384" t="inlineStr">
        <is>
          <t>SWIND-1.05- MFD-EI120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 0)</f>
        <v/>
      </c>
      <c r="O139" s="386">
        <f>N139*M139</f>
        <v/>
      </c>
      <c r="P139" s="385" t="inlineStr">
        <is>
          <t>- Van động cơ SWIND-MFD - Tiêu chuẩn EI 120
- 2 đầu bích TDC - Gắn kèm động cơ ON-OFF 9Nm, 24V BELIMO - Model: BFN 24
- Sản xuất theo BCTN số 2390/VLXD-TBMT
- Van chia đa cánh</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
- Van 1 cánh</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
- Van 1 cánh</t>
        </is>
      </c>
    </row>
    <row r="142">
      <c r="A142" s="384" t="n">
        <v>124</v>
      </c>
      <c r="B142" s="385" t="inlineStr">
        <is>
          <t>Van ngăn cháy MFD 450x300</t>
        </is>
      </c>
      <c r="C142" s="384" t="inlineStr">
        <is>
          <t>SWIND-1.05- MFD-EI120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 0)</f>
        <v/>
      </c>
      <c r="O142" s="386">
        <f>N142*M142</f>
        <v/>
      </c>
      <c r="P142" s="385" t="inlineStr">
        <is>
          <t>- Van động cơ SWIND-MFD - Tiêu chuẩn EI 120
- 2 đầu bích TDC - Gắn kèm động cơ ON-OFF 9Nm, 24V BELIMO - Model: BFN 24
- Sản xuất theo BCTN số 2390/VLXD-TBMT
- Van chia đa cánh</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SDG+O</t>
        </is>
      </c>
      <c r="D156" s="384" t="inlineStr">
        <is>
          <t>SWIND</t>
        </is>
      </c>
      <c r="E156" s="384" t="n">
        <v>600</v>
      </c>
      <c r="F156" s="384" t="n">
        <v>600</v>
      </c>
      <c r="G156" s="384" t="n">
        <v>550</v>
      </c>
      <c r="H156" s="384" t="n">
        <v>550</v>
      </c>
      <c r="I156" s="384" t="n"/>
      <c r="J156" s="384" t="n"/>
      <c r="K156" s="384" t="n"/>
      <c r="L156" s="384" t="inlineStr">
        <is>
          <t>Cái</t>
        </is>
      </c>
      <c r="M156" s="386" t="n">
        <v>48</v>
      </c>
      <c r="N156" s="386">
        <f>ROUND('00_TONG_HOP_BAO_GIA'!Q139, 0)</f>
        <v/>
      </c>
      <c r="O156" s="386">
        <f>N156*M156</f>
        <v/>
      </c>
      <c r="P156" s="385" t="inlineStr">
        <is>
          <t>Cửa nan bầu dục 1 lớp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MFD + Louver</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 0)</f>
        <v/>
      </c>
      <c r="O163" s="386">
        <f>N163*M163</f>
        <v/>
      </c>
      <c r="P163" s="385" t="inlineStr">
        <is>
          <t>- Van động cơ SWIND-MFD - Tiêu chuẩn EI 120
- 2 đầu bích TDC - Gắn kèm động cơ ON-OFF 9Nm, 24V BELIMO - Model: BFN 24
- Sản xuất theo BCTN số 2390/VLXD-TBMT
- Van chia đa cánh
- Chia 2 modul khi sản xuất
- Kết hợp cửa Louver nan Z ngoài trời + LCCT</t>
        </is>
      </c>
    </row>
    <row r="164">
      <c r="A164" s="384" t="n">
        <v>146</v>
      </c>
      <c r="B164" s="385" t="inlineStr">
        <is>
          <t>Cửa sổ cấp bù gió khi có cháy 0.8m2</t>
        </is>
      </c>
      <c r="C164" s="384" t="inlineStr">
        <is>
          <t>MFD + Louver</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 0)</f>
        <v/>
      </c>
      <c r="O164" s="386">
        <f>N164*M164</f>
        <v/>
      </c>
      <c r="P164" s="385" t="inlineStr">
        <is>
          <t>- Van động cơ SWIND-MFD - Tiêu chuẩn EI 120
- 2 đầu bích TDC - Gắn kèm động cơ ON-OFF 9Nm, 24V BELIMO - Model: BFN 24
- Sản xuất theo BCTN số 2390/VLXD-TBMT
- Van chia đa cánh
- Kết hợp cửa Louver nan Z ngoài trời + LCCT</t>
        </is>
      </c>
    </row>
    <row r="165">
      <c r="A165" s="384" t="n">
        <v>147</v>
      </c>
      <c r="B165" s="385" t="inlineStr">
        <is>
          <t>Cửa sổ cấp bù gió khi có cháy 0.75m2</t>
        </is>
      </c>
      <c r="C165" s="384" t="inlineStr">
        <is>
          <t>MFD + Louver</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 0)</f>
        <v/>
      </c>
      <c r="O165" s="386">
        <f>N165*M165</f>
        <v/>
      </c>
      <c r="P165" s="385" t="inlineStr">
        <is>
          <t>- Van động cơ SWIND-MFD - Tiêu chuẩn EI 120
- 2 đầu bích TDC - Gắn kèm động cơ ON-OFF 9Nm, 24V BELIMO - Model: BFN 24
- Sản xuất theo BCTN số 2390/VLXD-TBMT
- Van chia đa cánh
- Kết hợp cửa Louver nan Z ngoài trời + LCCT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SWIND-1.05- MFD-EI120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 0)</f>
        <v/>
      </c>
      <c r="O201" s="386">
        <f>N201*M201</f>
        <v/>
      </c>
      <c r="P201" s="385" t="inlineStr">
        <is>
          <t>- Van động cơ SWIND-MFD - Tiêu chuẩn EI 120
- 2 đầu bích TDC - Gắn kèm động cơ ON-OFF 9Nm, 24V BELIMO - Model: BFN 24
- Sản xuất theo BCTN số 2390/VLXD-TBMT
- Van chia đa cánh</t>
        </is>
      </c>
    </row>
    <row r="202">
      <c r="A202" s="384" t="n">
        <v>182</v>
      </c>
      <c r="B202" s="385" t="inlineStr">
        <is>
          <t>Van MFD 1000x550</t>
        </is>
      </c>
      <c r="C202" s="384" t="inlineStr">
        <is>
          <t>SWIND-1.05- MFD-EI120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 0)</f>
        <v/>
      </c>
      <c r="O202" s="386">
        <f>N202*M202</f>
        <v/>
      </c>
      <c r="P202" s="385" t="inlineStr">
        <is>
          <t>- Van động cơ SWIND-MFD - Tiêu chuẩn EI 120
- 2 đầu bích TDC - Gắn kèm động cơ ON-OFF 9Nm, 24V BELIMO - Model: BFN 24
- Sản xuất theo BCTN số 2390/VLXD-TBMT
- Van chia đa cánh</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chống cháy động cơ - Tiêu chuẩn EI 90
- 2 đầu bích TDC - Gắn kèm động cơ ON-OFF 3.5Nm, 24V (Type: đóng mở nhanh) BELIMO - Model: FSLF24V US
- Sản xuất theo BCTN số 4752/VLXD-TBMT
- Van 1 cánh</t>
        </is>
      </c>
    </row>
    <row r="204">
      <c r="A204" s="384" t="n">
        <v>184</v>
      </c>
      <c r="B204" s="385" t="inlineStr">
        <is>
          <t>Van MFD 800x300</t>
        </is>
      </c>
      <c r="C204" s="384" t="inlineStr">
        <is>
          <t>SWIND-1.05- MFD-EI120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 0)</f>
        <v/>
      </c>
      <c r="O204" s="386">
        <f>N204*M204</f>
        <v/>
      </c>
      <c r="P204" s="385" t="inlineStr">
        <is>
          <t>- Van động cơ SWIND-MFD - Tiêu chuẩn EI 120
- 2 đầu bích TDC - Gắn kèm động cơ ON-OFF 9Nm, 24V BELIMO - Model: BFN 24
- Sản xuất theo BCTN số 2390/VLXD-TBMT
- Van chia đa cánh</t>
        </is>
      </c>
    </row>
    <row r="205">
      <c r="A205" s="384" t="n">
        <v>185</v>
      </c>
      <c r="B205" s="385" t="inlineStr">
        <is>
          <t>Van MFD 1200x650</t>
        </is>
      </c>
      <c r="C205" s="384" t="inlineStr">
        <is>
          <t>SWIND-1.05- MFD-EI120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 0)</f>
        <v/>
      </c>
      <c r="O205" s="386">
        <f>N205*M205</f>
        <v/>
      </c>
      <c r="P205" s="385" t="inlineStr">
        <is>
          <t>- Van động cơ SWIND-MFD - Tiêu chuẩn EI 120
- 2 đầu bích TDC - Gắn kèm động cơ ON-OFF 9Nm, 24V BELIMO - Model: BFN 24
- Sản xuất theo BCTN số 2390/VLXD-TBMT
- Van chia đa cánh</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3.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90">
      <c r="A2" s="391" t="n"/>
      <c r="C2" s="392" t="n"/>
      <c r="D2" s="392" t="n"/>
      <c r="F2" s="393" t="n"/>
      <c r="G2" s="394"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95"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96"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96"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96"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96"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96"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96"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96"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96"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96"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96"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96"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96"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96"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96"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96"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96"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97"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Điểm dị thường (Giá = 0). Cần tra soát Master Data!",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97"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Điểm dị thường (Giá = 0). Cần tra soát Master Data!",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97"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Điểm dị thường (Giá = 0). Cần tra soát Master Data!",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97"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Điểm dị thường (Giá = 0). Cần tra soát Master Data!",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97"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Điểm dị thường (Giá = 0). Cần tra soát Master Data!",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97"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Điểm dị thường (Giá = 0). Cần tra soát Master Data!",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97"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Điểm dị thường (Giá = 0). Cần tra soát Master Data!",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96"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96"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Điểm dị thường (Giá = 0). Cần tra soát Master Data!",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96"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Điểm dị thường (Giá = 0). Cần tra soát Master Data!",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96"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Điểm dị thường (Giá = 0). Cần tra soát Master Data!",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96"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Điểm dị thường (Giá = 0). Cần tra soát Master Data!",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96"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Điểm dị thường (Giá = 0). Cần tra soát Master Data!",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96"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Điểm dị thường (Giá = 0). Cần tra soát Master Data!",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96"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Điểm dị thường (Giá = 0). Cần tra soát Master Data!",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96"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Điểm dị thường (Giá = 0). Cần tra soát Master Data!",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96"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Điểm dị thường (Giá = 0). Cần tra soát Master Data!",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96"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Điểm dị thường (Giá = 0). Cần tra soát Master Data!",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96"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Điểm dị thường (Giá = 0). Cần tra soát Master Data!",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96"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Điểm dị thường (Giá = 0). Cần tra soát Master Data!",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96"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Điểm dị thường (Giá = 0). Cần tra soát Master Data!",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96"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Điểm dị thường (Giá = 0). Cần tra soát Master Data!",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96"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Điểm dị thường (Giá = 0). Cần tra soát Master Data!",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96"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Điểm dị thường (Giá = 0). Cần tra soát Master Data!",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96"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Điểm dị thường (Giá = 0). Cần tra soát Master Data!",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96"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Điểm dị thường (Giá = 0). Cần tra soát Master Data!",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96"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Điểm dị thường (Giá = 0). Cần tra soát Master Data!",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96"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Điểm dị thường (Giá = 0). Cần tra soát Master Data!",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96"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Điểm dị thường (Giá = 0). Cần tra soát Master Data!",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96"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Điểm dị thường (Giá = 0). Cần tra soát Master Data!",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96"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Điểm dị thường (Giá = 0). Cần tra soát Master Data!",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96"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Điểm dị thường (Giá = 0). Cần tra soát Master Data!",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96"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Điểm dị thường (Giá = 0). Cần tra soát Master Data!",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96"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Điểm dị thường (Giá = 0). Cần tra soát Master Data!",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96"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Điểm dị thường (Giá = 0). Cần tra soát Master Data!", '00_TONG_HOP_BAO_GIA'!S35)</f>
        <v/>
      </c>
    </row>
    <row r="56" outlineLevel="1">
      <c r="A56" s="141">
        <f>SUBTOTAL(3,$G$7:G56)</f>
        <v/>
      </c>
      <c r="B56" s="139" t="inlineStr">
        <is>
          <t>Vật tư phụ, phụ kiện</t>
        </is>
      </c>
      <c r="C56" s="134" t="n"/>
      <c r="D56" s="134" t="n"/>
      <c r="E56" s="134" t="n"/>
      <c r="F56" s="329" t="inlineStr">
        <is>
          <t>VTP</t>
        </is>
      </c>
      <c r="G56" s="396"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Điểm dị thường (Giá = 0). Cần tra soát Master Data!", '00_TONG_HOP_BAO_GIA'!S36)</f>
        <v/>
      </c>
    </row>
    <row r="57" outlineLevel="1" ht="15.6" customHeight="1">
      <c r="A57" s="141" t="n"/>
      <c r="B57" s="140" t="inlineStr">
        <is>
          <t>Ống thông gió và phụ kiện, box miệng gió</t>
        </is>
      </c>
      <c r="C57" s="134" t="n"/>
      <c r="D57" s="134" t="n"/>
      <c r="E57" s="134" t="n"/>
      <c r="F57" s="329" t="inlineStr">
        <is>
          <t>M</t>
        </is>
      </c>
      <c r="G57" s="396"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96"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Điểm dị thường (Giá = 0). Cần tra soát Master Data!",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96"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Điểm dị thường (Giá = 0). Cần tra soát Master Data!",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96"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Điểm dị thường (Giá = 0). Cần tra soát Master Data!",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96"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Điểm dị thường (Giá = 0). Cần tra soát Master Data!", '00_TONG_HOP_BAO_GIA'!S40)</f>
        <v/>
      </c>
    </row>
    <row r="62" outlineLevel="1">
      <c r="A62" s="141">
        <f>SUBTOTAL(3,$G$7:G62)</f>
        <v/>
      </c>
      <c r="B62" s="139" t="inlineStr">
        <is>
          <t>Lưới bảo vệ</t>
        </is>
      </c>
      <c r="C62" s="142" t="n"/>
      <c r="D62" s="134" t="n"/>
      <c r="E62" s="134" t="n"/>
      <c r="F62" s="329" t="n"/>
      <c r="G62" s="396"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Điểm dị thường (Giá = 0). Cần tra soát Master Data!",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96"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Điểm dị thường (Giá = 0). Cần tra soát Master Data!",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96"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Điểm dị thường (Giá = 0). Cần tra soát Master Data!", '00_TONG_HOP_BAO_GIA'!S43)</f>
        <v/>
      </c>
    </row>
    <row r="65" outlineLevel="1">
      <c r="A65" s="141">
        <f>SUBTOTAL(3,$G$7:G65)</f>
        <v/>
      </c>
      <c r="B65" s="139" t="inlineStr">
        <is>
          <t>Vật tư phụ, phụ kiện</t>
        </is>
      </c>
      <c r="C65" s="134" t="n"/>
      <c r="D65" s="134" t="n"/>
      <c r="E65" s="134" t="n"/>
      <c r="F65" s="329" t="n"/>
      <c r="G65" s="396"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Điểm dị thường (Giá = 0). Cần tra soát Master Data!", '00_TONG_HOP_BAO_GIA'!S44)</f>
        <v/>
      </c>
    </row>
    <row r="66" outlineLevel="1">
      <c r="A66" s="132" t="inlineStr">
        <is>
          <t>A2</t>
        </is>
      </c>
      <c r="B66" s="140" t="inlineStr">
        <is>
          <t>HỆ THỐNG TẠO ÁP</t>
        </is>
      </c>
      <c r="C66" s="134" t="n"/>
      <c r="D66" s="134" t="n"/>
      <c r="E66" s="134" t="n"/>
      <c r="F66" s="329" t="inlineStr">
        <is>
          <t>M</t>
        </is>
      </c>
      <c r="G66" s="396"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96"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96"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96"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96"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96"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96"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96"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96"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96"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96"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96"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96"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96"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96"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96"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96"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96"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96"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96"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96"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96"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96"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96"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96"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96"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96"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96"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96"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96"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Điểm dị thường (Giá = 0). Cần tra soát Master Data!",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96"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Điểm dị thường (Giá = 0). Cần tra soát Master Data!",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96"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Điểm dị thường (Giá = 0). Cần tra soát Master Data!",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96"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Điểm dị thường (Giá = 0). Cần tra soát Master Data!",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96"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Điểm dị thường (Giá = 0). Cần tra soát Master Data!",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96"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Điểm dị thường (Giá = 0). Cần tra soát Master Data!",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96"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Điểm dị thường (Giá = 0). Cần tra soát Master Data!",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96"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Điểm dị thường (Giá = 0). Cần tra soát Master Data!",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96"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Điểm dị thường (Giá = 0). Cần tra soát Master Data!",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96"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Điểm dị thường (Giá = 0). Cần tra soát Master Data!",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96"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Điểm dị thường (Giá = 0). Cần tra soát Master Data!",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96"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Điểm dị thường (Giá = 0). Cần tra soát Master Data!",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96"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Điểm dị thường (Giá = 0). Cần tra soát Master Data!",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96"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Điểm dị thường (Giá = 0). Cần tra soát Master Data!",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96"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Điểm dị thường (Giá = 0). Cần tra soát Master Data!",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96"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Điểm dị thường (Giá = 0). Cần tra soát Master Data!",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96"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Điểm dị thường (Giá = 0). Cần tra soát Master Data!",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96"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Điểm dị thường (Giá = 0). Cần tra soát Master Data!",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96"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Điểm dị thường (Giá = 0). Cần tra soát Master Data!",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96"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Điểm dị thường (Giá = 0). Cần tra soát Master Data!",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96"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Điểm dị thường (Giá = 0). Cần tra soát Master Data!",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96"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Điểm dị thường (Giá = 0). Cần tra soát Master Data!",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96"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Điểm dị thường (Giá = 0). Cần tra soát Master Data!",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96"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Điểm dị thường (Giá = 0). Cần tra soát Master Data!",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96"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Điểm dị thường (Giá = 0). Cần tra soát Master Data!",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96"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Điểm dị thường (Giá = 0). Cần tra soát Master Data!",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96"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Điểm dị thường (Giá = 0). Cần tra soát Master Data!",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96"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Điểm dị thường (Giá = 0). Cần tra soát Master Data!",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96"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Điểm dị thường (Giá = 0). Cần tra soát Master Data!",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96"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Điểm dị thường (Giá = 0). Cần tra soát Master Data!",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96"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Điểm dị thường (Giá = 0). Cần tra soát Master Data!",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96"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Điểm dị thường (Giá = 0). Cần tra soát Master Data!",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96"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Điểm dị thường (Giá = 0). Cần tra soát Master Data!",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96"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Điểm dị thường (Giá = 0). Cần tra soát Master Data!",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96"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Điểm dị thường (Giá = 0). Cần tra soát Master Data!",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96"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Điểm dị thường (Giá = 0). Cần tra soát Master Data!", '00_TONG_HOP_BAO_GIA'!S80)</f>
        <v/>
      </c>
    </row>
    <row r="131" outlineLevel="1">
      <c r="A131" s="141">
        <f>SUBTOTAL(3,$G$7:G131)</f>
        <v/>
      </c>
      <c r="B131" s="139" t="inlineStr">
        <is>
          <t>Van xả áp</t>
        </is>
      </c>
      <c r="C131" s="134" t="n"/>
      <c r="D131" s="134" t="inlineStr">
        <is>
          <t>NSCA, Evegreen, Swind, tđ</t>
        </is>
      </c>
      <c r="E131" s="134" t="n"/>
      <c r="F131" s="329" t="n"/>
      <c r="G131" s="396"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Điểm dị thường (Giá = 0). Cần tra soát Master Data!",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96"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Điểm dị thường (Giá = 0). Cần tra soát Master Data!", '00_TONG_HOP_BAO_GIA'!S82)</f>
        <v/>
      </c>
    </row>
    <row r="133" outlineLevel="1">
      <c r="A133" s="141">
        <f>SUBTOTAL(3,$G$7:G133)</f>
        <v/>
      </c>
      <c r="B133" s="139" t="inlineStr">
        <is>
          <t>Miệng gió tạo áp PAG 900x400+OBD</t>
        </is>
      </c>
      <c r="C133" s="134" t="n"/>
      <c r="D133" s="134" t="inlineStr">
        <is>
          <t>NSCA, Evegreen, Swind, tđ</t>
        </is>
      </c>
      <c r="E133" s="134" t="n"/>
      <c r="F133" s="329" t="n"/>
      <c r="G133" s="396"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Điểm dị thường (Giá = 0). Cần tra soát Master Data!", '00_TONG_HOP_BAO_GIA'!S83)</f>
        <v/>
      </c>
    </row>
    <row r="134" outlineLevel="1">
      <c r="A134" s="141">
        <f>SUBTOTAL(3,$G$7:G134)</f>
        <v/>
      </c>
      <c r="B134" s="139" t="inlineStr">
        <is>
          <t>Miệng gió tạo áp PAG 300x300+OBD</t>
        </is>
      </c>
      <c r="C134" s="134" t="n"/>
      <c r="D134" s="134" t="inlineStr">
        <is>
          <t>NSCA, Evegreen, Swind, tđ</t>
        </is>
      </c>
      <c r="E134" s="134" t="n"/>
      <c r="F134" s="329" t="n"/>
      <c r="G134" s="396"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Điểm dị thường (Giá = 0). Cần tra soát Master Data!",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96"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Điểm dị thường (Giá = 0). Cần tra soát Master Data!",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96"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Điểm dị thường (Giá = 0). Cần tra soát Master Data!",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96"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Điểm dị thường (Giá = 0). Cần tra soát Master Data!", '00_TONG_HOP_BAO_GIA'!S87)</f>
        <v/>
      </c>
    </row>
    <row r="138" outlineLevel="1">
      <c r="A138" s="141">
        <f>SUBTOTAL(3,$G$7:G138)</f>
        <v/>
      </c>
      <c r="B138" s="139" t="inlineStr">
        <is>
          <t>Miệng gió tạo áp PAG 300x300+OBD</t>
        </is>
      </c>
      <c r="C138" s="134" t="n"/>
      <c r="D138" s="134" t="inlineStr">
        <is>
          <t>NSCA, Evegreen, Swind, tđ</t>
        </is>
      </c>
      <c r="E138" s="134" t="n"/>
      <c r="F138" s="329" t="n"/>
      <c r="G138" s="396"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Điểm dị thường (Giá = 0). Cần tra soát Master Data!", '00_TONG_HOP_BAO_GIA'!S88)</f>
        <v/>
      </c>
    </row>
    <row r="139" outlineLevel="1">
      <c r="A139" s="141">
        <f>SUBTOTAL(3,$G$7:G139)</f>
        <v/>
      </c>
      <c r="B139" s="139" t="inlineStr">
        <is>
          <t>Miệng gió tạo áp PAG 500x200+OBD</t>
        </is>
      </c>
      <c r="C139" s="134" t="n"/>
      <c r="D139" s="134" t="inlineStr">
        <is>
          <t>NSCA, Evegreen, Swind, tđ</t>
        </is>
      </c>
      <c r="E139" s="134" t="n"/>
      <c r="F139" s="329" t="n"/>
      <c r="G139" s="396"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Điểm dị thường (Giá = 0). Cần tra soát Master Data!", '00_TONG_HOP_BAO_GIA'!S89)</f>
        <v/>
      </c>
    </row>
    <row r="140" outlineLevel="1">
      <c r="A140" s="141">
        <f>SUBTOTAL(3,$G$7:G140)</f>
        <v/>
      </c>
      <c r="B140" s="139" t="inlineStr">
        <is>
          <t>Miệng gió tạo áp PAG1400x800+OBD</t>
        </is>
      </c>
      <c r="C140" s="134" t="n"/>
      <c r="D140" s="134" t="inlineStr">
        <is>
          <t>NSCA, Evegreen, Swind, tđ</t>
        </is>
      </c>
      <c r="E140" s="134" t="n"/>
      <c r="F140" s="329" t="n"/>
      <c r="G140" s="396"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Điểm dị thường (Giá = 0). Cần tra soát Master Data!", '00_TONG_HOP_BAO_GIA'!S90)</f>
        <v/>
      </c>
    </row>
    <row r="141" outlineLevel="1">
      <c r="A141" s="141">
        <f>SUBTOTAL(3,$G$7:G141)</f>
        <v/>
      </c>
      <c r="B141" s="139" t="inlineStr">
        <is>
          <t>Miệng gió tạo áp PAG 900x350+OBD</t>
        </is>
      </c>
      <c r="C141" s="134" t="n"/>
      <c r="D141" s="134" t="inlineStr">
        <is>
          <t>NSCA, Evegreen, Swind, tđ</t>
        </is>
      </c>
      <c r="E141" s="134" t="n"/>
      <c r="F141" s="329" t="n"/>
      <c r="G141" s="396"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Điểm dị thường (Giá = 0). Cần tra soát Master Data!", '00_TONG_HOP_BAO_GIA'!S91)</f>
        <v/>
      </c>
    </row>
    <row r="142" outlineLevel="1">
      <c r="A142" s="141">
        <f>SUBTOTAL(3,$G$7:G142)</f>
        <v/>
      </c>
      <c r="B142" s="139" t="inlineStr">
        <is>
          <t>Miệng gió tạo áp PAG 350x600+OBD</t>
        </is>
      </c>
      <c r="C142" s="134" t="n"/>
      <c r="D142" s="134" t="inlineStr">
        <is>
          <t>NSCA, Evegreen, Swind, tđ</t>
        </is>
      </c>
      <c r="E142" s="134" t="n"/>
      <c r="F142" s="329" t="n"/>
      <c r="G142" s="396"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Điểm dị thường (Giá = 0). Cần tra soát Master Data!",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96"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Điểm dị thường (Giá = 0). Cần tra soát Master Data!",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96"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Điểm dị thường (Giá = 0). Cần tra soát Master Data!", '00_TONG_HOP_BAO_GIA'!S94)</f>
        <v/>
      </c>
    </row>
    <row r="145" outlineLevel="1">
      <c r="A145" s="141">
        <f>SUBTOTAL(3,$G$7:G145)</f>
        <v/>
      </c>
      <c r="B145" s="139" t="inlineStr">
        <is>
          <t>Louver 1750x500+IS</t>
        </is>
      </c>
      <c r="C145" s="134" t="n"/>
      <c r="D145" s="134" t="inlineStr">
        <is>
          <t>NSCA, Evegreen, Swind, tđ</t>
        </is>
      </c>
      <c r="E145" s="134" t="n"/>
      <c r="F145" s="329" t="n"/>
      <c r="G145" s="396"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Điểm dị thường (Giá = 0). Cần tra soát Master Data!", '00_TONG_HOP_BAO_GIA'!S95)</f>
        <v/>
      </c>
    </row>
    <row r="146" outlineLevel="1">
      <c r="A146" s="141">
        <f>SUBTOTAL(3,$G$7:G146)</f>
        <v/>
      </c>
      <c r="B146" s="139" t="inlineStr">
        <is>
          <t>Louver 1500x1000+IS</t>
        </is>
      </c>
      <c r="C146" s="134" t="n"/>
      <c r="D146" s="134" t="inlineStr">
        <is>
          <t>NSCA, Evegreen, Swind, tđ</t>
        </is>
      </c>
      <c r="E146" s="134" t="n"/>
      <c r="F146" s="329" t="n"/>
      <c r="G146" s="396"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Điểm dị thường (Giá = 0). Cần tra soát Master Data!", '00_TONG_HOP_BAO_GIA'!S96)</f>
        <v/>
      </c>
    </row>
    <row r="147" outlineLevel="1">
      <c r="A147" s="141">
        <f>SUBTOTAL(3,$G$7:G147)</f>
        <v/>
      </c>
      <c r="B147" s="139" t="inlineStr">
        <is>
          <t>Louver 3500x1000+IS</t>
        </is>
      </c>
      <c r="C147" s="134" t="n"/>
      <c r="D147" s="134" t="inlineStr">
        <is>
          <t>NSCA, Evegreen, Swind, tđ</t>
        </is>
      </c>
      <c r="E147" s="134" t="n"/>
      <c r="F147" s="329" t="n"/>
      <c r="G147" s="396"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Điểm dị thường (Giá = 0). Cần tra soát Master Data!", '00_TONG_HOP_BAO_GIA'!S97)</f>
        <v/>
      </c>
    </row>
    <row r="148" outlineLevel="1">
      <c r="A148" s="141">
        <f>SUBTOTAL(3,$G$7:G148)</f>
        <v/>
      </c>
      <c r="B148" s="139" t="inlineStr">
        <is>
          <t>Vật tư phụ, phụ kiện</t>
        </is>
      </c>
      <c r="C148" s="134" t="n"/>
      <c r="D148" s="134" t="n"/>
      <c r="E148" s="134" t="n"/>
      <c r="F148" s="329" t="n"/>
      <c r="G148" s="396"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Điểm dị thường (Giá = 0). Cần tra soát Master Data!", '00_TONG_HOP_BAO_GIA'!S98)</f>
        <v/>
      </c>
    </row>
    <row r="149" outlineLevel="1">
      <c r="A149" s="141" t="n"/>
      <c r="B149" s="140" t="inlineStr">
        <is>
          <t>Hệ thống ống thông gió tạo áp, box miệng gió…</t>
        </is>
      </c>
      <c r="C149" s="134" t="n"/>
      <c r="D149" s="134" t="n"/>
      <c r="E149" s="134" t="n"/>
      <c r="F149" s="329" t="inlineStr">
        <is>
          <t>M</t>
        </is>
      </c>
      <c r="G149" s="396"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96"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Điểm dị thường (Giá = 0). Cần tra soát Master Data!",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96"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Điểm dị thường (Giá = 0). Cần tra soát Master Data!",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96"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Điểm dị thường (Giá = 0). Cần tra soát Master Data!",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96"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Điểm dị thường (Giá = 0). Cần tra soát Master Data!", '00_TONG_HOP_BAO_GIA'!S102)</f>
        <v/>
      </c>
    </row>
    <row r="154" outlineLevel="1">
      <c r="A154" s="141">
        <f>SUBTOTAL(3,$G$7:G154)</f>
        <v/>
      </c>
      <c r="B154" s="139" t="inlineStr">
        <is>
          <t>Lưới bảo vệ</t>
        </is>
      </c>
      <c r="C154" s="134" t="n"/>
      <c r="D154" s="134" t="n"/>
      <c r="E154" s="134" t="n"/>
      <c r="F154" s="329" t="n"/>
      <c r="G154" s="396"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Điểm dị thường (Giá = 0). Cần tra soát Master Data!",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96"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Điểm dị thường (Giá = 0). Cần tra soát Master Data!",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96"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Điểm dị thường (Giá = 0). Cần tra soát Master Data!", '00_TONG_HOP_BAO_GIA'!S105)</f>
        <v/>
      </c>
    </row>
    <row r="157" outlineLevel="1">
      <c r="A157" s="141">
        <f>SUBTOTAL(3,$G$7:G157)</f>
        <v/>
      </c>
      <c r="B157" s="139" t="inlineStr">
        <is>
          <t>Vật tư phụ, phụ kiện</t>
        </is>
      </c>
      <c r="C157" s="134" t="n"/>
      <c r="D157" s="134" t="n"/>
      <c r="E157" s="134" t="n"/>
      <c r="F157" s="329" t="n"/>
      <c r="G157" s="396"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Điểm dị thường (Giá = 0). Cần tra soát Master Data!",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96"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96"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96"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96"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96"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96"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96"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96"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96"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96"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96"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96"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96"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96"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96"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96"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96"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96"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96"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96"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96"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96"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96"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96"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96"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96"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96"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96"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96"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96"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96"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96"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96"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96"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96"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96"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96"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96"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96"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96"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96"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96"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96"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96"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96"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96"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96"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96"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96"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96"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96"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96"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96"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96"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96"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96"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96"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96"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96"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96"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Điểm dị thường (Giá = 0). Cần tra soát Master Data!",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96"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Điểm dị thường (Giá = 0). Cần tra soát Master Data!",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96"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Điểm dị thường (Giá = 0). Cần tra soát Master Data!",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96"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Điểm dị thường (Giá = 0). Cần tra soát Master Data!",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96"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Điểm dị thường (Giá = 0). Cần tra soát Master Data!",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96"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Điểm dị thường (Giá = 0). Cần tra soát Master Data!",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96"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Điểm dị thường (Giá = 0). Cần tra soát Master Data!",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96"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Điểm dị thường (Giá = 0). Cần tra soát Master Data!",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96"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Điểm dị thường (Giá = 0). Cần tra soát Master Data!",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96"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Điểm dị thường (Giá = 0). Cần tra soát Master Data!",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96"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Điểm dị thường (Giá = 0). Cần tra soát Master Data!",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96"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Điểm dị thường (Giá = 0). Cần tra soát Master Data!",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96"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Điểm dị thường (Giá = 0). Cần tra soát Master Data!",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96"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Điểm dị thường (Giá = 0). Cần tra soát Master Data!",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96"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Điểm dị thường (Giá = 0). Cần tra soát Master Data!",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96"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Điểm dị thường (Giá = 0). Cần tra soát Master Data!",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96"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Điểm dị thường (Giá = 0). Cần tra soát Master Data!",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96"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Điểm dị thường (Giá = 0). Cần tra soát Master Data!",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96"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Điểm dị thường (Giá = 0). Cần tra soát Master Data!", '00_TONG_HOP_BAO_GIA'!S125)</f>
        <v/>
      </c>
    </row>
    <row r="236" outlineLevel="1">
      <c r="A236" s="141">
        <f>SUBTOTAL(3,$G$7:G236)</f>
        <v/>
      </c>
      <c r="B236" s="139" t="inlineStr">
        <is>
          <t>Van ngăn cháy FD800x250</t>
        </is>
      </c>
      <c r="C236" s="134" t="n"/>
      <c r="D236" s="134" t="inlineStr">
        <is>
          <t>NSCA, Evegreen, Swind, tđ</t>
        </is>
      </c>
      <c r="E236" s="134" t="n"/>
      <c r="F236" s="329" t="n"/>
      <c r="G236" s="396"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Điểm dị thường (Giá = 0). Cần tra soát Master Data!", '00_TONG_HOP_BAO_GIA'!S126)</f>
        <v/>
      </c>
    </row>
    <row r="237" outlineLevel="1">
      <c r="A237" s="141">
        <f>SUBTOTAL(3,$G$7:G237)</f>
        <v/>
      </c>
      <c r="B237" s="139" t="inlineStr">
        <is>
          <t>Van ngăn cháy FD300x200</t>
        </is>
      </c>
      <c r="C237" s="134" t="n"/>
      <c r="D237" s="134" t="inlineStr">
        <is>
          <t>NSCA, Evegreen, Swind, tđ</t>
        </is>
      </c>
      <c r="E237" s="134" t="n"/>
      <c r="F237" s="329" t="n"/>
      <c r="G237" s="396"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Điểm dị thường (Giá = 0). Cần tra soát Master Data!", '00_TONG_HOP_BAO_GIA'!S127)</f>
        <v/>
      </c>
    </row>
    <row r="238" outlineLevel="1">
      <c r="A238" s="141">
        <f>SUBTOTAL(3,$G$7:G238)</f>
        <v/>
      </c>
      <c r="B238" s="139" t="inlineStr">
        <is>
          <t>Van ngăn cháy FD200x200</t>
        </is>
      </c>
      <c r="C238" s="134" t="n"/>
      <c r="D238" s="134" t="inlineStr">
        <is>
          <t>NSCA, Evegreen, Swind, tđ</t>
        </is>
      </c>
      <c r="E238" s="134" t="n"/>
      <c r="F238" s="329" t="n"/>
      <c r="G238" s="396"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Điểm dị thường (Giá = 0). Cần tra soát Master Data!", '00_TONG_HOP_BAO_GIA'!S128)</f>
        <v/>
      </c>
    </row>
    <row r="239" outlineLevel="1">
      <c r="A239" s="141">
        <f>SUBTOTAL(3,$G$7:G239)</f>
        <v/>
      </c>
      <c r="B239" s="139" t="inlineStr">
        <is>
          <t>Van ngăn cháy FD350x200</t>
        </is>
      </c>
      <c r="C239" s="134" t="n"/>
      <c r="D239" s="134" t="inlineStr">
        <is>
          <t>NSCA, Evegreen, Swind, tđ</t>
        </is>
      </c>
      <c r="E239" s="134" t="n"/>
      <c r="F239" s="329" t="n"/>
      <c r="G239" s="396"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Điểm dị thường (Giá = 0). Cần tra soát Master Data!", '00_TONG_HOP_BAO_GIA'!S129)</f>
        <v/>
      </c>
    </row>
    <row r="240" outlineLevel="1">
      <c r="A240" s="141">
        <f>SUBTOTAL(3,$G$7:G240)</f>
        <v/>
      </c>
      <c r="B240" s="139" t="inlineStr">
        <is>
          <t>Van ngăn cháy FD450x200</t>
        </is>
      </c>
      <c r="C240" s="134" t="n"/>
      <c r="D240" s="134" t="inlineStr">
        <is>
          <t>NSCA, Evegreen, Swind, tđ</t>
        </is>
      </c>
      <c r="E240" s="134" t="n"/>
      <c r="F240" s="329" t="n"/>
      <c r="G240" s="396"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Điểm dị thường (Giá = 0). Cần tra soát Master Data!",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96"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Điểm dị thường (Giá = 0). Cần tra soát Master Data!",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96"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Điểm dị thường (Giá = 0). Cần tra soát Master Data!",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96"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Điểm dị thường (Giá = 0). Cần tra soát Master Data!",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96"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Điểm dị thường (Giá = 0). Cần tra soát Master Data!",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96"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Điểm dị thường (Giá = 0). Cần tra soát Master Data!",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96"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Điểm dị thường (Giá = 0). Cần tra soát Master Data!", '00_TONG_HOP_BAO_GIA'!S136)</f>
        <v/>
      </c>
    </row>
    <row r="247" outlineLevel="1">
      <c r="A247" s="141">
        <f>SUBTOTAL(3,$G$7:G247)</f>
        <v/>
      </c>
      <c r="B247" s="139" t="inlineStr">
        <is>
          <t>Miệng gió OAG 1000x600+OBD</t>
        </is>
      </c>
      <c r="C247" s="134" t="n"/>
      <c r="D247" s="134" t="inlineStr">
        <is>
          <t>NSCA, Evegreen, Swind, tđ</t>
        </is>
      </c>
      <c r="E247" s="134" t="n"/>
      <c r="F247" s="329" t="n"/>
      <c r="G247" s="396"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Điểm dị thường (Giá = 0). Cần tra soát Master Data!", '00_TONG_HOP_BAO_GIA'!S137)</f>
        <v/>
      </c>
    </row>
    <row r="248" outlineLevel="1">
      <c r="A248" s="141">
        <f>SUBTOTAL(3,$G$7:G248)</f>
        <v/>
      </c>
      <c r="B248" s="139" t="inlineStr">
        <is>
          <t>Miệng gió OAG 1200x600+OBD</t>
        </is>
      </c>
      <c r="C248" s="134" t="n"/>
      <c r="D248" s="134" t="inlineStr">
        <is>
          <t>NSCA, Evegreen, Swind, tđ</t>
        </is>
      </c>
      <c r="E248" s="134" t="n"/>
      <c r="F248" s="329" t="n"/>
      <c r="G248" s="396"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Điểm dị thường (Giá = 0). Cần tra soát Master Data!", '00_TONG_HOP_BAO_GIA'!S138)</f>
        <v/>
      </c>
    </row>
    <row r="249" outlineLevel="1">
      <c r="A249" s="141">
        <f>SUBTOTAL(3,$G$7:G249)</f>
        <v/>
      </c>
      <c r="B249" s="139" t="inlineStr">
        <is>
          <t>Miệng gió OAG 600x600+OBD</t>
        </is>
      </c>
      <c r="C249" s="134" t="n"/>
      <c r="D249" s="134" t="inlineStr">
        <is>
          <t>NSCA, Evegreen, Swind, tđ</t>
        </is>
      </c>
      <c r="E249" s="134" t="n"/>
      <c r="F249" s="329" t="n"/>
      <c r="G249" s="396"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Điểm dị thường (Giá = 0). Cần tra soát Master Data!", '00_TONG_HOP_BAO_GIA'!S139)</f>
        <v/>
      </c>
    </row>
    <row r="250" outlineLevel="1">
      <c r="A250" s="141">
        <f>SUBTOTAL(3,$G$7:G250)</f>
        <v/>
      </c>
      <c r="B250" s="139" t="inlineStr">
        <is>
          <t>Miệng gió OAG 900x600+OBD</t>
        </is>
      </c>
      <c r="C250" s="134" t="n"/>
      <c r="D250" s="134" t="inlineStr">
        <is>
          <t>NSCA, Evegreen, Swind, tđ</t>
        </is>
      </c>
      <c r="E250" s="134" t="n"/>
      <c r="F250" s="329" t="n"/>
      <c r="G250" s="396"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Điểm dị thường (Giá = 0). Cần tra soát Master Data!", '00_TONG_HOP_BAO_GIA'!S140)</f>
        <v/>
      </c>
    </row>
    <row r="251" outlineLevel="1">
      <c r="A251" s="141">
        <f>SUBTOTAL(3,$G$7:G251)</f>
        <v/>
      </c>
      <c r="B251" s="139" t="inlineStr">
        <is>
          <t>Miệng gió MAG 850x850+OBD</t>
        </is>
      </c>
      <c r="C251" s="134" t="n"/>
      <c r="D251" s="134" t="inlineStr">
        <is>
          <t>NSCA, Evegreen, Swind, tđ</t>
        </is>
      </c>
      <c r="E251" s="134" t="n"/>
      <c r="F251" s="329" t="n"/>
      <c r="G251" s="396"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Điểm dị thường (Giá = 0). Cần tra soát Master Data!", '00_TONG_HOP_BAO_GIA'!S141)</f>
        <v/>
      </c>
    </row>
    <row r="252" outlineLevel="1">
      <c r="A252" s="141">
        <f>SUBTOTAL(3,$G$7:G252)</f>
        <v/>
      </c>
      <c r="B252" s="139" t="inlineStr">
        <is>
          <t>Miệng gió MAG 1050x800+OBD</t>
        </is>
      </c>
      <c r="C252" s="134" t="n"/>
      <c r="D252" s="134" t="inlineStr">
        <is>
          <t>NSCA, Evegreen, Swind, tđ</t>
        </is>
      </c>
      <c r="E252" s="134" t="n"/>
      <c r="F252" s="329" t="n"/>
      <c r="G252" s="396"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Điểm dị thường (Giá = 0). Cần tra soát Master Data!", '00_TONG_HOP_BAO_GIA'!S142)</f>
        <v/>
      </c>
    </row>
    <row r="253" outlineLevel="1">
      <c r="A253" s="141">
        <f>SUBTOTAL(3,$G$7:G253)</f>
        <v/>
      </c>
      <c r="B253" s="139" t="inlineStr">
        <is>
          <t>Miệng gió MAG 850x850+OBD</t>
        </is>
      </c>
      <c r="C253" s="134" t="n"/>
      <c r="D253" s="134" t="inlineStr">
        <is>
          <t>NSCA, Evegreen, Swind, tđ</t>
        </is>
      </c>
      <c r="E253" s="134" t="n"/>
      <c r="F253" s="329" t="n"/>
      <c r="G253" s="396"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Điểm dị thường (Giá = 0). Cần tra soát Master Data!", '00_TONG_HOP_BAO_GIA'!S143)</f>
        <v/>
      </c>
    </row>
    <row r="254" outlineLevel="1">
      <c r="A254" s="141">
        <f>SUBTOTAL(3,$G$7:G254)</f>
        <v/>
      </c>
      <c r="B254" s="139" t="inlineStr">
        <is>
          <t>Miệng gió MAG 850x850+OBD</t>
        </is>
      </c>
      <c r="C254" s="134" t="n"/>
      <c r="D254" s="134" t="inlineStr">
        <is>
          <t>NSCA, Evegreen, Swind, tđ</t>
        </is>
      </c>
      <c r="E254" s="134" t="n"/>
      <c r="F254" s="329" t="n"/>
      <c r="G254" s="396"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Điểm dị thường (Giá = 0). Cần tra soát Master Data!", '00_TONG_HOP_BAO_GIA'!S144)</f>
        <v/>
      </c>
    </row>
    <row r="255" outlineLevel="1">
      <c r="A255" s="141">
        <f>SUBTOTAL(3,$G$7:G255)</f>
        <v/>
      </c>
      <c r="B255" s="139" t="inlineStr">
        <is>
          <t>Miệng gió MAG 250x250+OBD</t>
        </is>
      </c>
      <c r="C255" s="134" t="n"/>
      <c r="D255" s="134" t="inlineStr">
        <is>
          <t>NSCA, Evegreen, Swind, tđ</t>
        </is>
      </c>
      <c r="E255" s="134" t="n"/>
      <c r="F255" s="329" t="n"/>
      <c r="G255" s="396"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Điểm dị thường (Giá = 0). Cần tra soát Master Data!",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96"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Điểm dị thường (Giá = 0). Cần tra soát Master Data!",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96"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Điểm dị thường (Giá = 0). Cần tra soát Master Data!",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96"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Điểm dị thường (Giá = 0). Cần tra soát Master Data!", '00_TONG_HOP_BAO_GIA'!S148)</f>
        <v/>
      </c>
    </row>
    <row r="259" outlineLevel="1">
      <c r="A259" s="141">
        <f>SUBTOTAL(3,$G$7:G259)</f>
        <v/>
      </c>
      <c r="B259" s="139" t="inlineStr">
        <is>
          <t>Louver FAL 300x300 + IS + Filter</t>
        </is>
      </c>
      <c r="C259" s="134" t="n"/>
      <c r="D259" s="134" t="inlineStr">
        <is>
          <t>NSCA, Evegreen, Swind, tđ</t>
        </is>
      </c>
      <c r="E259" s="134" t="n"/>
      <c r="F259" s="329" t="n"/>
      <c r="G259" s="396"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Điểm dị thường (Giá = 0). Cần tra soát Master Data!", '00_TONG_HOP_BAO_GIA'!S149)</f>
        <v/>
      </c>
    </row>
    <row r="260" outlineLevel="1">
      <c r="A260" s="141">
        <f>SUBTOTAL(3,$G$7:G260)</f>
        <v/>
      </c>
      <c r="B260" s="139" t="inlineStr">
        <is>
          <t>Louver FAL 400x300 + IS + Filter</t>
        </is>
      </c>
      <c r="C260" s="134" t="n"/>
      <c r="D260" s="134" t="inlineStr">
        <is>
          <t>NSCA, Evegreen, Swind, tđ</t>
        </is>
      </c>
      <c r="E260" s="134" t="n"/>
      <c r="F260" s="329" t="n"/>
      <c r="G260" s="396"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Điểm dị thường (Giá = 0). Cần tra soát Master Data!", '00_TONG_HOP_BAO_GIA'!S150)</f>
        <v/>
      </c>
    </row>
    <row r="261" outlineLevel="1">
      <c r="A261" s="141">
        <f>SUBTOTAL(3,$G$7:G261)</f>
        <v/>
      </c>
      <c r="B261" s="139" t="inlineStr">
        <is>
          <t>Louver FAL 500x300 + IS + Filter</t>
        </is>
      </c>
      <c r="C261" s="134" t="n"/>
      <c r="D261" s="134" t="inlineStr">
        <is>
          <t>NSCA, Evegreen, Swind, tđ</t>
        </is>
      </c>
      <c r="E261" s="134" t="n"/>
      <c r="F261" s="329" t="n"/>
      <c r="G261" s="396"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Điểm dị thường (Giá = 0). Cần tra soát Master Data!", '00_TONG_HOP_BAO_GIA'!S151)</f>
        <v/>
      </c>
    </row>
    <row r="262" outlineLevel="1">
      <c r="A262" s="141">
        <f>SUBTOTAL(3,$G$7:G262)</f>
        <v/>
      </c>
      <c r="B262" s="139" t="inlineStr">
        <is>
          <t>Louver FAL 600x400 + IS + Filter</t>
        </is>
      </c>
      <c r="C262" s="134" t="n"/>
      <c r="D262" s="134" t="inlineStr">
        <is>
          <t>NSCA, Evegreen, Swind, tđ</t>
        </is>
      </c>
      <c r="E262" s="134" t="n"/>
      <c r="F262" s="329" t="n"/>
      <c r="G262" s="396"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Điểm dị thường (Giá = 0). Cần tra soát Master Data!", '00_TONG_HOP_BAO_GIA'!S152)</f>
        <v/>
      </c>
    </row>
    <row r="263" outlineLevel="1">
      <c r="A263" s="141">
        <f>SUBTOTAL(3,$G$7:G263)</f>
        <v/>
      </c>
      <c r="B263" s="139" t="inlineStr">
        <is>
          <t>Louver FAL 600x600 + IS + Filter</t>
        </is>
      </c>
      <c r="C263" s="134" t="n"/>
      <c r="D263" s="134" t="inlineStr">
        <is>
          <t>NSCA, Evegreen, Swind, tđ</t>
        </is>
      </c>
      <c r="E263" s="134" t="n"/>
      <c r="F263" s="329" t="n"/>
      <c r="G263" s="396"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Điểm dị thường (Giá = 0). Cần tra soát Master Data!", '00_TONG_HOP_BAO_GIA'!S153)</f>
        <v/>
      </c>
    </row>
    <row r="264" outlineLevel="1">
      <c r="A264" s="141">
        <f>SUBTOTAL(3,$G$7:G264)</f>
        <v/>
      </c>
      <c r="B264" s="139" t="inlineStr">
        <is>
          <t>Louver FAL 900x600 + IS + Filter</t>
        </is>
      </c>
      <c r="C264" s="134" t="n"/>
      <c r="D264" s="134" t="inlineStr">
        <is>
          <t>NSCA, Evegreen, Swind, tđ</t>
        </is>
      </c>
      <c r="E264" s="134" t="n"/>
      <c r="F264" s="329" t="n"/>
      <c r="G264" s="396"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Điểm dị thường (Giá = 0). Cần tra soát Master Data!", '00_TONG_HOP_BAO_GIA'!S154)</f>
        <v/>
      </c>
    </row>
    <row r="265" outlineLevel="1">
      <c r="A265" s="141">
        <f>SUBTOTAL(3,$G$7:G265)</f>
        <v/>
      </c>
      <c r="B265" s="139" t="inlineStr">
        <is>
          <t>Louver 2500x500+IS</t>
        </is>
      </c>
      <c r="C265" s="134" t="n"/>
      <c r="D265" s="134" t="inlineStr">
        <is>
          <t>NSCA, Evegreen, Swind, tđ</t>
        </is>
      </c>
      <c r="E265" s="134" t="n"/>
      <c r="F265" s="329" t="n"/>
      <c r="G265" s="396"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Điểm dị thường (Giá = 0). Cần tra soát Master Data!", '00_TONG_HOP_BAO_GIA'!S155)</f>
        <v/>
      </c>
    </row>
    <row r="266" outlineLevel="1">
      <c r="A266" s="141">
        <f>SUBTOTAL(3,$G$7:G266)</f>
        <v/>
      </c>
      <c r="B266" s="139" t="inlineStr">
        <is>
          <t>Louver 1750x500+IS</t>
        </is>
      </c>
      <c r="C266" s="134" t="n"/>
      <c r="D266" s="134" t="inlineStr">
        <is>
          <t>NSCA, Evegreen, Swind, tđ</t>
        </is>
      </c>
      <c r="E266" s="134" t="n"/>
      <c r="F266" s="329" t="n"/>
      <c r="G266" s="396"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Điểm dị thường (Giá = 0). Cần tra soát Master Data!", '00_TONG_HOP_BAO_GIA'!S156)</f>
        <v/>
      </c>
    </row>
    <row r="267" outlineLevel="1">
      <c r="A267" s="141">
        <f>SUBTOTAL(3,$G$7:G267)</f>
        <v/>
      </c>
      <c r="B267" s="139" t="inlineStr">
        <is>
          <t>Louver 2500x500+IS</t>
        </is>
      </c>
      <c r="C267" s="134" t="n"/>
      <c r="D267" s="134" t="inlineStr">
        <is>
          <t>NSCA, Evegreen, Swind, tđ</t>
        </is>
      </c>
      <c r="E267" s="134" t="n"/>
      <c r="F267" s="329" t="n"/>
      <c r="G267" s="396"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Điểm dị thường (Giá = 0). Cần tra soát Master Data!", '00_TONG_HOP_BAO_GIA'!S157)</f>
        <v/>
      </c>
    </row>
    <row r="268" outlineLevel="1">
      <c r="A268" s="141">
        <f>SUBTOTAL(3,$G$7:G268)</f>
        <v/>
      </c>
      <c r="B268" s="139" t="inlineStr">
        <is>
          <t>Louver 3000x500+IS</t>
        </is>
      </c>
      <c r="C268" s="134" t="n"/>
      <c r="D268" s="134" t="inlineStr">
        <is>
          <t>NSCA, Evegreen, Swind, tđ</t>
        </is>
      </c>
      <c r="E268" s="134" t="n"/>
      <c r="F268" s="329" t="n"/>
      <c r="G268" s="396"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Điểm dị thường (Giá = 0). Cần tra soát Master Data!",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96"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96"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Điểm dị thường (Giá = 0). Cần tra soát Master Data!",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96"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Điểm dị thường (Giá = 0). Cần tra soát Master Data!",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96"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Điểm dị thường (Giá = 0). Cần tra soát Master Data!",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96"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Điểm dị thường (Giá = 0). Cần tra soát Master Data!",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96"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Điểm dị thường (Giá = 0). Cần tra soát Master Data!",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96"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Điểm dị thường (Giá = 0). Cần tra soát Master Data!",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96"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Điểm dị thường (Giá = 0). Cần tra soát Master Data!",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96"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Điểm dị thường (Giá = 0). Cần tra soát Master Data!", '00_TONG_HOP_BAO_GIA'!S166)</f>
        <v/>
      </c>
    </row>
    <row r="278" outlineLevel="1">
      <c r="A278" s="141">
        <f>SUBTOTAL(3,$G$7:G278)</f>
        <v/>
      </c>
      <c r="B278" s="139" t="inlineStr">
        <is>
          <t>Vật tư phụ, phụ kiện</t>
        </is>
      </c>
      <c r="C278" s="134" t="n"/>
      <c r="D278" s="134" t="n"/>
      <c r="E278" s="134" t="n"/>
      <c r="F278" s="329" t="n"/>
      <c r="G278" s="396"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Điểm dị thường (Giá = 0). Cần tra soát Master Data!", '00_TONG_HOP_BAO_GIA'!S167)</f>
        <v/>
      </c>
    </row>
    <row r="279" outlineLevel="1">
      <c r="A279" s="132" t="inlineStr">
        <is>
          <t>A4</t>
        </is>
      </c>
      <c r="B279" s="140" t="inlineStr">
        <is>
          <t>Hệ thống hút gió thải, hút gió bếp</t>
        </is>
      </c>
      <c r="C279" s="134" t="n"/>
      <c r="D279" s="134" t="n"/>
      <c r="E279" s="134" t="n"/>
      <c r="F279" s="329" t="inlineStr">
        <is>
          <t>M</t>
        </is>
      </c>
      <c r="G279" s="398"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96"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96"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96"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96"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96"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96"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96"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96"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96"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96"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96"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96"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96"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96"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96"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96"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96"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96"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96"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96"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96"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96"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96"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96"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96"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96"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96"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96"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96"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96"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96"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96"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96"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96"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96"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96"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Điểm dị thường (Giá = 0). Cần tra soát Master Data!", '00_TONG_HOP_BAO_GIA'!S168)</f>
        <v/>
      </c>
    </row>
    <row r="316" outlineLevel="1">
      <c r="A316" s="141">
        <f>SUBTOTAL(3,$G$7:G316)</f>
        <v/>
      </c>
      <c r="B316" s="139" t="inlineStr">
        <is>
          <t>Van FD 400x150</t>
        </is>
      </c>
      <c r="C316" s="134" t="n"/>
      <c r="D316" s="134" t="inlineStr">
        <is>
          <t>NSCA, Evegreen, Swind, tđ</t>
        </is>
      </c>
      <c r="E316" s="134" t="n"/>
      <c r="F316" s="329" t="n"/>
      <c r="G316" s="396"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Điểm dị thường (Giá = 0). Cần tra soát Master Data!", '00_TONG_HOP_BAO_GIA'!S169)</f>
        <v/>
      </c>
    </row>
    <row r="317" outlineLevel="1">
      <c r="A317" s="141">
        <f>SUBTOTAL(3,$G$7:G317)</f>
        <v/>
      </c>
      <c r="B317" s="139" t="inlineStr">
        <is>
          <t>Van FD 400x200</t>
        </is>
      </c>
      <c r="C317" s="134" t="n"/>
      <c r="D317" s="134" t="inlineStr">
        <is>
          <t>NSCA, Evegreen, Swind, tđ</t>
        </is>
      </c>
      <c r="E317" s="134" t="n"/>
      <c r="F317" s="329" t="n"/>
      <c r="G317" s="396"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Điểm dị thường (Giá = 0). Cần tra soát Master Data!", '00_TONG_HOP_BAO_GIA'!S170)</f>
        <v/>
      </c>
    </row>
    <row r="318" outlineLevel="1">
      <c r="A318" s="141">
        <f>SUBTOTAL(3,$G$7:G318)</f>
        <v/>
      </c>
      <c r="B318" s="139" t="inlineStr">
        <is>
          <t>Van FD 300x150</t>
        </is>
      </c>
      <c r="C318" s="134" t="n"/>
      <c r="D318" s="134" t="inlineStr">
        <is>
          <t>NSCA, Evegreen, Swind, tđ</t>
        </is>
      </c>
      <c r="E318" s="134" t="n"/>
      <c r="F318" s="329" t="n"/>
      <c r="G318" s="396"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Điểm dị thường (Giá = 0). Cần tra soát Master Data!", '00_TONG_HOP_BAO_GIA'!S171)</f>
        <v/>
      </c>
    </row>
    <row r="319" outlineLevel="1">
      <c r="A319" s="141">
        <f>SUBTOTAL(3,$G$7:G319)</f>
        <v/>
      </c>
      <c r="B319" s="139" t="inlineStr">
        <is>
          <t>Van FD 300x200</t>
        </is>
      </c>
      <c r="C319" s="134" t="n"/>
      <c r="D319" s="134" t="inlineStr">
        <is>
          <t>NSCA, Evegreen, Swind, tđ</t>
        </is>
      </c>
      <c r="E319" s="134" t="n"/>
      <c r="F319" s="329" t="n"/>
      <c r="G319" s="396"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Điểm dị thường (Giá = 0). Cần tra soát Master Data!", '00_TONG_HOP_BAO_GIA'!S172)</f>
        <v/>
      </c>
    </row>
    <row r="320" outlineLevel="1">
      <c r="A320" s="141">
        <f>SUBTOTAL(3,$G$7:G320)</f>
        <v/>
      </c>
      <c r="B320" s="139" t="inlineStr">
        <is>
          <t>Van FD 400x150</t>
        </is>
      </c>
      <c r="C320" s="134" t="n"/>
      <c r="D320" s="134" t="inlineStr">
        <is>
          <t>NSCA, Evegreen, Swind, tđ</t>
        </is>
      </c>
      <c r="E320" s="134" t="n"/>
      <c r="F320" s="329" t="n"/>
      <c r="G320" s="396"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Điểm dị thường (Giá = 0). Cần tra soát Master Data!", '00_TONG_HOP_BAO_GIA'!S173)</f>
        <v/>
      </c>
    </row>
    <row r="321" outlineLevel="1">
      <c r="A321" s="141">
        <f>SUBTOTAL(3,$G$7:G321)</f>
        <v/>
      </c>
      <c r="B321" s="139" t="inlineStr">
        <is>
          <t>Van FD 800x250</t>
        </is>
      </c>
      <c r="C321" s="134" t="n"/>
      <c r="D321" s="134" t="inlineStr">
        <is>
          <t>NSCA, Evegreen, Swind, tđ</t>
        </is>
      </c>
      <c r="E321" s="134" t="n"/>
      <c r="F321" s="329" t="n"/>
      <c r="G321" s="396"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Điểm dị thường (Giá = 0). Cần tra soát Master Data!", '00_TONG_HOP_BAO_GIA'!S174)</f>
        <v/>
      </c>
    </row>
    <row r="322" outlineLevel="1">
      <c r="A322" s="141">
        <f>SUBTOTAL(3,$G$7:G322)</f>
        <v/>
      </c>
      <c r="B322" s="139" t="inlineStr">
        <is>
          <t>Van FD 1200x350</t>
        </is>
      </c>
      <c r="C322" s="134" t="n"/>
      <c r="D322" s="134" t="inlineStr">
        <is>
          <t>NSCA, Evegreen, Swind, tđ</t>
        </is>
      </c>
      <c r="E322" s="134" t="n"/>
      <c r="F322" s="329" t="n"/>
      <c r="G322" s="396"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Điểm dị thường (Giá = 0). Cần tra soát Master Data!", '00_TONG_HOP_BAO_GIA'!S175)</f>
        <v/>
      </c>
    </row>
    <row r="323" outlineLevel="1">
      <c r="A323" s="141">
        <f>SUBTOTAL(3,$G$7:G323)</f>
        <v/>
      </c>
      <c r="B323" s="139" t="inlineStr">
        <is>
          <t>Van FD 1000x300</t>
        </is>
      </c>
      <c r="C323" s="134" t="n"/>
      <c r="D323" s="134" t="inlineStr">
        <is>
          <t>NSCA, Evegreen, Swind, tđ</t>
        </is>
      </c>
      <c r="E323" s="134" t="n"/>
      <c r="F323" s="329" t="n"/>
      <c r="G323" s="396"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Điểm dị thường (Giá = 0). Cần tra soát Master Data!", '00_TONG_HOP_BAO_GIA'!S176)</f>
        <v/>
      </c>
    </row>
    <row r="324" outlineLevel="1">
      <c r="A324" s="141">
        <f>SUBTOTAL(3,$G$7:G324)</f>
        <v/>
      </c>
      <c r="B324" s="139" t="inlineStr">
        <is>
          <t>Van FD 600x300</t>
        </is>
      </c>
      <c r="C324" s="134" t="n"/>
      <c r="D324" s="134" t="inlineStr">
        <is>
          <t>NSCA, Evegreen, Swind, tđ</t>
        </is>
      </c>
      <c r="E324" s="134" t="n"/>
      <c r="F324" s="329" t="n"/>
      <c r="G324" s="396"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Điểm dị thường (Giá = 0). Cần tra soát Master Data!", '00_TONG_HOP_BAO_GIA'!S177)</f>
        <v/>
      </c>
    </row>
    <row r="325" outlineLevel="1">
      <c r="A325" s="141">
        <f>SUBTOTAL(3,$G$7:G325)</f>
        <v/>
      </c>
      <c r="B325" s="139" t="inlineStr">
        <is>
          <t>Van FD 400x200</t>
        </is>
      </c>
      <c r="C325" s="134" t="n"/>
      <c r="D325" s="134" t="inlineStr">
        <is>
          <t>NSCA, Evegreen, Swind, tđ</t>
        </is>
      </c>
      <c r="E325" s="134" t="n"/>
      <c r="F325" s="329" t="n"/>
      <c r="G325" s="396"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Điểm dị thường (Giá = 0). Cần tra soát Master Data!", '00_TONG_HOP_BAO_GIA'!S178)</f>
        <v/>
      </c>
    </row>
    <row r="326" outlineLevel="1">
      <c r="A326" s="141">
        <f>SUBTOTAL(3,$G$7:G326)</f>
        <v/>
      </c>
      <c r="B326" s="139" t="inlineStr">
        <is>
          <t>Van FD 300x200</t>
        </is>
      </c>
      <c r="C326" s="134" t="n"/>
      <c r="D326" s="134" t="inlineStr">
        <is>
          <t>NSCA, Evegreen, Swind, tđ</t>
        </is>
      </c>
      <c r="E326" s="134" t="n"/>
      <c r="F326" s="329" t="n"/>
      <c r="G326" s="396"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Điểm dị thường (Giá = 0). Cần tra soát Master Data!", '00_TONG_HOP_BAO_GIA'!S179)</f>
        <v/>
      </c>
    </row>
    <row r="327" outlineLevel="1">
      <c r="A327" s="141">
        <f>SUBTOTAL(3,$G$7:G327)</f>
        <v/>
      </c>
      <c r="B327" s="139" t="inlineStr">
        <is>
          <t>Van FD 350x200</t>
        </is>
      </c>
      <c r="C327" s="134" t="n"/>
      <c r="D327" s="134" t="inlineStr">
        <is>
          <t>NSCA, Evegreen, Swind, tđ</t>
        </is>
      </c>
      <c r="E327" s="134" t="n"/>
      <c r="F327" s="329" t="n"/>
      <c r="G327" s="396"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Điểm dị thường (Giá = 0). Cần tra soát Master Data!", '00_TONG_HOP_BAO_GIA'!S180)</f>
        <v/>
      </c>
    </row>
    <row r="328" outlineLevel="1">
      <c r="A328" s="141">
        <f>SUBTOTAL(3,$G$7:G328)</f>
        <v/>
      </c>
      <c r="B328" s="139" t="inlineStr">
        <is>
          <t>Van FD 500x200</t>
        </is>
      </c>
      <c r="C328" s="134" t="n"/>
      <c r="D328" s="134" t="inlineStr">
        <is>
          <t>NSCA, Evegreen, Swind, tđ</t>
        </is>
      </c>
      <c r="E328" s="134" t="n"/>
      <c r="F328" s="329" t="n"/>
      <c r="G328" s="396"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Điểm dị thường (Giá = 0). Cần tra soát Master Data!",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96"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Điểm dị thường (Giá = 0). Cần tra soát Master Data!",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96"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Điểm dị thường (Giá = 0). Cần tra soát Master Data!",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96"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Điểm dị thường (Giá = 0). Cần tra soát Master Data!",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96"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Điểm dị thường (Giá = 0). Cần tra soát Master Data!",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96"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Điểm dị thường (Giá = 0). Cần tra soát Master Data!",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96"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Điểm dị thường (Giá = 0). Cần tra soát Master Data!",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96"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Điểm dị thường (Giá = 0). Cần tra soát Master Data!", '00_TONG_HOP_BAO_GIA'!S188)</f>
        <v/>
      </c>
    </row>
    <row r="336" outlineLevel="1">
      <c r="A336" s="141">
        <f>SUBTOTAL(3,$G$7:G336)</f>
        <v/>
      </c>
      <c r="B336" s="139" t="inlineStr">
        <is>
          <t>Van động cơ MD 300x150</t>
        </is>
      </c>
      <c r="C336" s="134" t="n"/>
      <c r="D336" s="134" t="inlineStr">
        <is>
          <t>NSCA, Evegreen, Swind, tđ</t>
        </is>
      </c>
      <c r="E336" s="134" t="n"/>
      <c r="F336" s="329" t="n"/>
      <c r="G336" s="396"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Điểm dị thường (Giá = 0). Cần tra soát Master Data!",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96"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Điểm dị thường (Giá = 0). Cần tra soát Master Data!",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96"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Điểm dị thường (Giá = 0). Cần tra soát Master Data!",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96"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Điểm dị thường (Giá = 0). Cần tra soát Master Data!",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96"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Điểm dị thường (Giá = 0). Cần tra soát Master Data!",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96"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Điểm dị thường (Giá = 0). Cần tra soát Master Data!",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96"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Điểm dị thường (Giá = 0). Cần tra soát Master Data!",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96"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Điểm dị thường (Giá = 0). Cần tra soát Master Data!",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96"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Điểm dị thường (Giá = 0). Cần tra soát Master Data!",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96"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Điểm dị thường (Giá = 0). Cần tra soát Master Data!",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96"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Điểm dị thường (Giá = 0). Cần tra soát Master Data!",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96"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Điểm dị thường (Giá = 0). Cần tra soát Master Data!",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96"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Điểm dị thường (Giá = 0). Cần tra soát Master Data!",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96"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Điểm dị thường (Giá = 0). Cần tra soát Master Data!",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96"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Điểm dị thường (Giá = 0). Cần tra soát Master Data!",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96"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Điểm dị thường (Giá = 0). Cần tra soát Master Data!", '00_TONG_HOP_BAO_GIA'!S204)</f>
        <v/>
      </c>
    </row>
    <row r="352" outlineLevel="1">
      <c r="A352" s="141">
        <f>SUBTOTAL(3,$G$7:G352)</f>
        <v/>
      </c>
      <c r="B352" s="139" t="inlineStr">
        <is>
          <t>Louver 300x150 + IS</t>
        </is>
      </c>
      <c r="C352" s="134" t="n"/>
      <c r="D352" s="134" t="inlineStr">
        <is>
          <t>NSCA, Evegreen, Swind, tđ</t>
        </is>
      </c>
      <c r="E352" s="134" t="n"/>
      <c r="F352" s="329" t="n"/>
      <c r="G352" s="396"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Điểm dị thường (Giá = 0). Cần tra soát Master Data!", '00_TONG_HOP_BAO_GIA'!S205)</f>
        <v/>
      </c>
    </row>
    <row r="353" outlineLevel="1">
      <c r="A353" s="141">
        <f>SUBTOTAL(3,$G$7:G353)</f>
        <v/>
      </c>
      <c r="B353" s="139" t="inlineStr">
        <is>
          <t>Louver 400x150 + IS</t>
        </is>
      </c>
      <c r="C353" s="134" t="n"/>
      <c r="D353" s="134" t="inlineStr">
        <is>
          <t>NSCA, Evegreen, Swind, tđ</t>
        </is>
      </c>
      <c r="E353" s="134" t="n"/>
      <c r="F353" s="329" t="n"/>
      <c r="G353" s="396"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Điểm dị thường (Giá = 0). Cần tra soát Master Data!", '00_TONG_HOP_BAO_GIA'!S206)</f>
        <v/>
      </c>
    </row>
    <row r="354" outlineLevel="1">
      <c r="A354" s="141">
        <f>SUBTOTAL(3,$G$7:G354)</f>
        <v/>
      </c>
      <c r="B354" s="139" t="inlineStr">
        <is>
          <t>Louver 800x250 + IS</t>
        </is>
      </c>
      <c r="C354" s="134" t="n"/>
      <c r="D354" s="134" t="inlineStr">
        <is>
          <t>NSCA, Evegreen, Swind, tđ</t>
        </is>
      </c>
      <c r="E354" s="134" t="n"/>
      <c r="F354" s="329" t="n"/>
      <c r="G354" s="396"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Điểm dị thường (Giá = 0). Cần tra soát Master Data!", '00_TONG_HOP_BAO_GIA'!S207)</f>
        <v/>
      </c>
    </row>
    <row r="355" outlineLevel="1">
      <c r="A355" s="141">
        <f>SUBTOTAL(3,$G$7:G355)</f>
        <v/>
      </c>
      <c r="B355" s="139" t="inlineStr">
        <is>
          <t>Louver 1200x350 + IS</t>
        </is>
      </c>
      <c r="C355" s="134" t="n"/>
      <c r="D355" s="134" t="inlineStr">
        <is>
          <t>NSCA, Evegreen, Swind, tđ</t>
        </is>
      </c>
      <c r="E355" s="134" t="n"/>
      <c r="F355" s="329" t="n"/>
      <c r="G355" s="396"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Điểm dị thường (Giá = 0). Cần tra soát Master Data!", '00_TONG_HOP_BAO_GIA'!S208)</f>
        <v/>
      </c>
    </row>
    <row r="356" outlineLevel="1">
      <c r="A356" s="141">
        <f>SUBTOTAL(3,$G$7:G356)</f>
        <v/>
      </c>
      <c r="B356" s="139" t="inlineStr">
        <is>
          <t>Louver 1000x300 + IS</t>
        </is>
      </c>
      <c r="C356" s="134" t="n"/>
      <c r="D356" s="134" t="inlineStr">
        <is>
          <t>NSCA, Evegreen, Swind, tđ</t>
        </is>
      </c>
      <c r="E356" s="134" t="n"/>
      <c r="F356" s="329" t="n"/>
      <c r="G356" s="396"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Điểm dị thường (Giá = 0). Cần tra soát Master Data!", '00_TONG_HOP_BAO_GIA'!S209)</f>
        <v/>
      </c>
    </row>
    <row r="357" outlineLevel="1">
      <c r="A357" s="141">
        <f>SUBTOTAL(3,$G$7:G357)</f>
        <v/>
      </c>
      <c r="B357" s="139" t="inlineStr">
        <is>
          <t>Louver 800x300 + IS</t>
        </is>
      </c>
      <c r="C357" s="134" t="n"/>
      <c r="D357" s="134" t="inlineStr">
        <is>
          <t>NSCA, Evegreen, Swind, tđ</t>
        </is>
      </c>
      <c r="E357" s="134" t="n"/>
      <c r="F357" s="329" t="n"/>
      <c r="G357" s="396"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Điểm dị thường (Giá = 0). Cần tra soát Master Data!", '00_TONG_HOP_BAO_GIA'!S210)</f>
        <v/>
      </c>
    </row>
    <row r="358" outlineLevel="1">
      <c r="A358" s="141">
        <f>SUBTOTAL(3,$G$7:G358)</f>
        <v/>
      </c>
      <c r="B358" s="139" t="inlineStr">
        <is>
          <t>Louver 400x200 + IS</t>
        </is>
      </c>
      <c r="C358" s="134" t="n"/>
      <c r="D358" s="134" t="inlineStr">
        <is>
          <t>NSCA, Evegreen, Swind, tđ</t>
        </is>
      </c>
      <c r="E358" s="134" t="n"/>
      <c r="F358" s="329" t="n"/>
      <c r="G358" s="396"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Điểm dị thường (Giá = 0). Cần tra soát Master Data!", '00_TONG_HOP_BAO_GIA'!S211)</f>
        <v/>
      </c>
    </row>
    <row r="359" outlineLevel="1">
      <c r="A359" s="141">
        <f>SUBTOTAL(3,$G$7:G359)</f>
        <v/>
      </c>
      <c r="B359" s="139" t="inlineStr">
        <is>
          <t>Louver 300x200 + IS</t>
        </is>
      </c>
      <c r="C359" s="134" t="n"/>
      <c r="D359" s="134" t="inlineStr">
        <is>
          <t>NSCA, Evegreen, Swind, tđ</t>
        </is>
      </c>
      <c r="E359" s="134" t="n"/>
      <c r="F359" s="329" t="n"/>
      <c r="G359" s="396"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Điểm dị thường (Giá = 0). Cần tra soát Master Data!", '00_TONG_HOP_BAO_GIA'!S212)</f>
        <v/>
      </c>
    </row>
    <row r="360" outlineLevel="1">
      <c r="A360" s="141">
        <f>SUBTOTAL(3,$G$7:G360)</f>
        <v/>
      </c>
      <c r="B360" s="139" t="inlineStr">
        <is>
          <t>Louver 1200x650 + IS</t>
        </is>
      </c>
      <c r="C360" s="134" t="n"/>
      <c r="D360" s="134" t="inlineStr">
        <is>
          <t>NSCA, Evegreen, Swind, tđ</t>
        </is>
      </c>
      <c r="E360" s="134" t="n"/>
      <c r="F360" s="329" t="n"/>
      <c r="G360" s="396"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Điểm dị thường (Giá = 0). Cần tra soát Master Data!", '00_TONG_HOP_BAO_GIA'!S213)</f>
        <v/>
      </c>
    </row>
    <row r="361" outlineLevel="1">
      <c r="A361" s="132" t="n"/>
      <c r="B361" s="140" t="inlineStr">
        <is>
          <t>Hệ thống ống thông gió hút gió thải</t>
        </is>
      </c>
      <c r="C361" s="134" t="n"/>
      <c r="D361" s="134" t="n"/>
      <c r="E361" s="134" t="n"/>
      <c r="F361" s="329" t="inlineStr">
        <is>
          <t>M</t>
        </is>
      </c>
      <c r="G361" s="396"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96"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Điểm dị thường (Giá = 0). Cần tra soát Master Data!",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96"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Điểm dị thường (Giá = 0). Cần tra soát Master Data!",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96"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Điểm dị thường (Giá = 0). Cần tra soát Master Data!",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96"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Điểm dị thường (Giá = 0). Cần tra soát Master Data!",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96"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Điểm dị thường (Giá = 0). Cần tra soát Master Data!",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96"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96"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Điểm dị thường (Giá = 0). Cần tra soát Master Data!", '00_TONG_HOP_BAO_GIA'!S219)</f>
        <v/>
      </c>
    </row>
    <row r="369" outlineLevel="1">
      <c r="A369" s="141" t="n"/>
      <c r="B369" s="140" t="inlineStr">
        <is>
          <t>Hệ thống ống thông gió hút bếp</t>
        </is>
      </c>
      <c r="C369" s="134" t="n"/>
      <c r="D369" s="134" t="n"/>
      <c r="E369" s="134" t="n"/>
      <c r="F369" s="329" t="inlineStr">
        <is>
          <t>M</t>
        </is>
      </c>
      <c r="G369" s="396"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96"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Điểm dị thường (Giá = 0). Cần tra soát Master Data!",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96"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Điểm dị thường (Giá = 0). Cần tra soát Master Data!",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96"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Điểm dị thường (Giá = 0). Cần tra soát Master Data!",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96"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Điểm dị thường (Giá = 0). Cần tra soát Master Data!", '00_TONG_HOP_BAO_GIA'!S223)</f>
        <v/>
      </c>
    </row>
    <row r="374" outlineLevel="1">
      <c r="A374" s="141">
        <f>SUBTOTAL(3,$G$7:G374)</f>
        <v/>
      </c>
      <c r="B374" s="139" t="inlineStr">
        <is>
          <t>Vật tư phụ, phụ kiện</t>
        </is>
      </c>
      <c r="C374" s="134" t="n"/>
      <c r="D374" s="134" t="n"/>
      <c r="E374" s="134" t="n"/>
      <c r="F374" s="329" t="n"/>
      <c r="G374" s="396"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Điểm dị thường (Giá = 0). Cần tra soát Master Data!", '00_TONG_HOP_BAO_GIA'!S224)</f>
        <v/>
      </c>
    </row>
    <row r="375" outlineLevel="1">
      <c r="A375" s="132" t="inlineStr">
        <is>
          <t>A5</t>
        </is>
      </c>
      <c r="B375" s="140" t="inlineStr">
        <is>
          <t>Phần chung</t>
        </is>
      </c>
      <c r="C375" s="134" t="n"/>
      <c r="D375" s="134" t="n"/>
      <c r="E375" s="134" t="n"/>
      <c r="F375" s="329" t="inlineStr">
        <is>
          <t>M</t>
        </is>
      </c>
      <c r="G375" s="396"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96"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96"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96"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96"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96"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96"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96"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96"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98"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98"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96"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96"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96"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96"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96"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96"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96"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96"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96"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96"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96"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96"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96"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96"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96"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96"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96"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96"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96"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96"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96"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96"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96"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96"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96"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96"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96"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96"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96"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96"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96"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96"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96"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96"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96"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96"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96"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96"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96"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96"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96"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96"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96"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96"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96"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96"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96"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96"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96"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96"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96"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96"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96"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96"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96"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96"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96"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96"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96"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96"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96"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96"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96"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96"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96"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96"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96"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96"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96"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96"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96"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96"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96"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96"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96"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96"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96"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96"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96"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96"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96"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96"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96"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96"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96"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96"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96"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96"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96"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96"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96"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96"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96"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96"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96"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96"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96"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96"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96"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96"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96"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96"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96"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96"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96"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96"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96"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96"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96"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96"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96"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96"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96"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96"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96"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96"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96"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96"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Điểm dị thường (Giá = 0). Cần tra soát Master Data!",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96"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Điểm dị thường (Giá = 0). Cần tra soát Master Data!",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96"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Điểm dị thường (Giá = 0). Cần tra soát Master Data!",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96"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Điểm dị thường (Giá = 0). Cần tra soát Master Data!",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96"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Điểm dị thường (Giá = 0). Cần tra soát Master Data!",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96"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Điểm dị thường (Giá = 0). Cần tra soát Master Data!",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96"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Điểm dị thường (Giá = 0). Cần tra soát Master Data!",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96"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Điểm dị thường (Giá = 0). Cần tra soát Master Data!", '00_TONG_HOP_BAO_GIA'!S232)</f>
        <v/>
      </c>
    </row>
    <row r="511" outlineLevel="1" ht="24.6" customFormat="1" customHeight="1" s="146">
      <c r="A511" s="141">
        <f>SUBTOTAL(3,$G$7:G511)</f>
        <v/>
      </c>
      <c r="B511" s="139" t="inlineStr">
        <is>
          <t>Vật tư phụ, phụ kiện</t>
        </is>
      </c>
      <c r="C511" s="134" t="n"/>
      <c r="D511" s="134" t="n"/>
      <c r="E511" s="134" t="n"/>
      <c r="F511" s="329" t="n"/>
      <c r="G511" s="396"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Điểm dị thường (Giá = 0). Cần tra soát Master Data!", '00_TONG_HOP_BAO_GIA'!S233)</f>
        <v/>
      </c>
    </row>
    <row r="512" outlineLevel="1" ht="24" customFormat="1" customHeight="1" s="146">
      <c r="A512" s="141" t="n"/>
      <c r="B512" s="140" t="inlineStr">
        <is>
          <t>ỐNG GIÓ LẠNH</t>
        </is>
      </c>
      <c r="C512" s="134" t="n"/>
      <c r="D512" s="134" t="n"/>
      <c r="E512" s="134" t="n"/>
      <c r="F512" s="329" t="inlineStr">
        <is>
          <t>M</t>
        </is>
      </c>
      <c r="G512" s="396"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96"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Điểm dị thường (Giá = 0). Cần tra soát Master Data!",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96"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99"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Điểm dị thường (Giá = 0). Cần tra soát Master Data!",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96"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Điểm dị thường (Giá = 0). Cần tra soát Master Data!",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96"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Điểm dị thường (Giá = 0). Cần tra soát Master Data!",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96"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Điểm dị thường (Giá = 0). Cần tra soát Master Data!",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96"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Điểm dị thường (Giá = 0). Cần tra soát Master Data!",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96"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Điểm dị thường (Giá = 0). Cần tra soát Master Data!",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96"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Điểm dị thường (Giá = 0). Cần tra soát Master Data!",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96"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Điểm dị thường (Giá = 0). Cần tra soát Master Data!",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96"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Điểm dị thường (Giá = 0). Cần tra soát Master Data!", '00_TONG_HOP_BAO_GIA'!S243)</f>
        <v/>
      </c>
    </row>
    <row r="524" outlineLevel="1" ht="24.6" customFormat="1" customHeight="1" s="146">
      <c r="A524" s="141">
        <f>SUBTOTAL(3,$G$7:G524)</f>
        <v/>
      </c>
      <c r="B524" s="139" t="inlineStr">
        <is>
          <t>Vật tư phụ, phụ kiện</t>
        </is>
      </c>
      <c r="C524" s="134" t="n"/>
      <c r="D524" s="134" t="n"/>
      <c r="E524" s="134" t="n"/>
      <c r="F524" s="329" t="n"/>
      <c r="G524" s="396"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Điểm dị thường (Giá = 0). Cần tra soát Master Data!", '00_TONG_HOP_BAO_GIA'!S244)</f>
        <v/>
      </c>
    </row>
    <row r="525" outlineLevel="1">
      <c r="A525" s="141" t="n"/>
      <c r="B525" s="140" t="inlineStr">
        <is>
          <t>ỐNG ĐỒNG, BẢO ÔN</t>
        </is>
      </c>
      <c r="C525" s="134" t="n"/>
      <c r="D525" s="134" t="n"/>
      <c r="E525" s="134" t="n"/>
      <c r="F525" s="329" t="inlineStr">
        <is>
          <t>M</t>
        </is>
      </c>
      <c r="G525" s="396"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96"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96"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96"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96"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96"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96"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96"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96"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96"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96"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96"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96"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96"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96"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96"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96"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96"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Điểm dị thường (Giá = 0). Cần tra soát Master Data!", '00_TONG_HOP_BAO_GIA'!S245)</f>
        <v/>
      </c>
    </row>
    <row r="543" hidden="1" outlineLevel="1">
      <c r="A543" s="141" t="n"/>
      <c r="B543" s="140" t="inlineStr">
        <is>
          <t>NƯỚC NGƯNG</t>
        </is>
      </c>
      <c r="C543" s="134" t="n"/>
      <c r="D543" s="134" t="n"/>
      <c r="E543" s="134" t="n"/>
      <c r="F543" s="329" t="inlineStr">
        <is>
          <t>NN</t>
        </is>
      </c>
      <c r="G543" s="396"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96"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96"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96"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96"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96"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96"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96"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96"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96"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96"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96"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Điểm dị thường (Giá = 0). Cần tra soát Master Data!",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96"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Điểm dị thường (Giá = 0). Cần tra soát Master Data!",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96"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Điểm dị thường (Giá = 0). Cần tra soát Master Data!",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96"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Điểm dị thường (Giá = 0). Cần tra soát Master Data!",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96"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Điểm dị thường (Giá = 0). Cần tra soát Master Data!",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96"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Điểm dị thường (Giá = 0). Cần tra soát Master Data!",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96"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Điểm dị thường (Giá = 0). Cần tra soát Master Data!",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96"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Điểm dị thường (Giá = 0). Cần tra soát Master Data!",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96"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Điểm dị thường (Giá = 0). Cần tra soát Master Data!",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96"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Điểm dị thường (Giá = 0). Cần tra soát Master Data!",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96"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Điểm dị thường (Giá = 0). Cần tra soát Master Data!",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96"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Điểm dị thường (Giá = 0). Cần tra soát Master Data!",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96"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Điểm dị thường (Giá = 0). Cần tra soát Master Data!",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96"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Điểm dị thường (Giá = 0). Cần tra soát Master Data!",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96"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Điểm dị thường (Giá = 0). Cần tra soát Master Data!", '00_TONG_HOP_BAO_GIA'!S260)</f>
        <v/>
      </c>
    </row>
    <row r="569" outlineLevel="1">
      <c r="A569" s="141">
        <f>SUBTOTAL(3,$G$7:G569)</f>
        <v/>
      </c>
      <c r="B569" s="139" t="inlineStr">
        <is>
          <t>Vật tư phụ, phụ kiện</t>
        </is>
      </c>
      <c r="C569" s="134" t="n"/>
      <c r="D569" s="134" t="n"/>
      <c r="E569" s="134" t="n"/>
      <c r="F569" s="329" t="inlineStr">
        <is>
          <t>TRUNKING</t>
        </is>
      </c>
      <c r="G569" s="396"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Điểm dị thường (Giá = 0). Cần tra soát Master Data!", '00_TONG_HOP_BAO_GIA'!S261)</f>
        <v/>
      </c>
    </row>
    <row r="570" outlineLevel="1">
      <c r="A570" s="132" t="inlineStr">
        <is>
          <t>B.1.2</t>
        </is>
      </c>
      <c r="B570" s="140" t="inlineStr">
        <is>
          <t>KHU VỰC CĂN HỘ</t>
        </is>
      </c>
      <c r="C570" s="134" t="n"/>
      <c r="D570" s="134" t="n"/>
      <c r="E570" s="134" t="n"/>
      <c r="F570" s="332" t="inlineStr">
        <is>
          <t>M - CĂN HỘ</t>
        </is>
      </c>
      <c r="G570" s="396"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98"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98"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96"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96"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96"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96"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96"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96"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96"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96"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96"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96"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96"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96"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96"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96"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96"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96"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96"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96"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96"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96"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96"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96"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96"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96"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96"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96"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96"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96"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96"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96"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96"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96"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96"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96"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96"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96"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96"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96"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96"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96"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96"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96"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96"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96"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96"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96"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96"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96"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96"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96"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96"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96"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96"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96"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96"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96"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96"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96"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96"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96"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96"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96"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96"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96"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96"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96"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96"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96"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96"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96"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96"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96"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96"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96"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96"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96"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96"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96"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96"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96"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96"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96"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96"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96"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96"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96"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96"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96"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96"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96"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96"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96"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96"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Điểm dị thường (Giá = 0). Cần tra soát Master Data!",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96"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Điểm dị thường (Giá = 0). Cần tra soát Master Data!",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96"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Điểm dị thường (Giá = 0). Cần tra soát Master Data!",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96"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Điểm dị thường (Giá = 0). Cần tra soát Master Data!",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96"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Điểm dị thường (Giá = 0). Cần tra soát Master Data!",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96"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Điểm dị thường (Giá = 0). Cần tra soát Master Data!",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96"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Điểm dị thường (Giá = 0). Cần tra soát Master Data!", '00_TONG_HOP_BAO_GIA'!S268)</f>
        <v/>
      </c>
    </row>
    <row r="672" outlineLevel="1" ht="66" customHeight="1">
      <c r="A672" s="141" t="n"/>
      <c r="B672" s="139" t="inlineStr">
        <is>
          <t>Miệng gió cấp,hồi cho máy lạnh</t>
        </is>
      </c>
      <c r="C672" s="134" t="n"/>
      <c r="D672" s="134" t="n"/>
      <c r="E672" s="134" t="n"/>
      <c r="F672" s="329" t="inlineStr">
        <is>
          <t>M</t>
        </is>
      </c>
      <c r="G672" s="396"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96"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Điểm dị thường (Giá = 0). Cần tra soát Master Data!",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96"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Điểm dị thường (Giá = 0). Cần tra soát Master Data!",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96"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Điểm dị thường (Giá = 0). Cần tra soát Master Data!",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96"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Điểm dị thường (Giá = 0). Cần tra soát Master Data!",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96"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Điểm dị thường (Giá = 0). Cần tra soát Master Data!",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96"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Điểm dị thường (Giá = 0). Cần tra soát Master Data!",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96"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Điểm dị thường (Giá = 0). Cần tra soát Master Data!",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96"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Điểm dị thường (Giá = 0). Cần tra soát Master Data!",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96"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Điểm dị thường (Giá = 0). Cần tra soát Master Data!", '00_TONG_HOP_BAO_GIA'!S277)</f>
        <v/>
      </c>
    </row>
    <row r="682" outlineLevel="1" ht="24.6" customFormat="1" customHeight="1" s="146">
      <c r="A682" s="141">
        <f>SUBTOTAL(3,$G$7:G682)</f>
        <v/>
      </c>
      <c r="B682" s="139" t="inlineStr">
        <is>
          <t>Vật tư phụ, phụ kiện</t>
        </is>
      </c>
      <c r="C682" s="134" t="n"/>
      <c r="D682" s="134" t="n"/>
      <c r="E682" s="134" t="n"/>
      <c r="F682" s="329" t="n"/>
      <c r="G682" s="396"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Điểm dị thường (Giá = 0). Cần tra soát Master Data!", '00_TONG_HOP_BAO_GIA'!S278)</f>
        <v/>
      </c>
    </row>
    <row r="683" outlineLevel="1" ht="24" customFormat="1" customHeight="1" s="146">
      <c r="A683" s="141" t="n"/>
      <c r="B683" s="140" t="inlineStr">
        <is>
          <t>ỐNG GIÓ LẠNH, BOX MIỆNG GIÓ</t>
        </is>
      </c>
      <c r="C683" s="134" t="n"/>
      <c r="D683" s="134" t="n"/>
      <c r="E683" s="134" t="n"/>
      <c r="F683" s="329" t="inlineStr">
        <is>
          <t>M</t>
        </is>
      </c>
      <c r="G683" s="396"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96"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Điểm dị thường (Giá = 0). Cần tra soát Master Data!",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96"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96"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Điểm dị thường (Giá = 0). Cần tra soát Master Data!",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96"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Điểm dị thường (Giá = 0). Cần tra soát Master Data!",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96"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Điểm dị thường (Giá = 0). Cần tra soát Master Data!",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96"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Điểm dị thường (Giá = 0). Cần tra soát Master Data!",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96"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Điểm dị thường (Giá = 0). Cần tra soát Master Data!", '00_TONG_HOP_BAO_GIA'!S284)</f>
        <v/>
      </c>
    </row>
    <row r="691" outlineLevel="1">
      <c r="A691" s="141" t="n"/>
      <c r="B691" s="140" t="inlineStr">
        <is>
          <t>ỐNG ĐỒNG</t>
        </is>
      </c>
      <c r="C691" s="134" t="n"/>
      <c r="D691" s="134" t="n"/>
      <c r="E691" s="134" t="n"/>
      <c r="F691" s="329" t="inlineStr">
        <is>
          <t>M</t>
        </is>
      </c>
      <c r="G691" s="396"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96"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96"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96"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96"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96"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96"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96"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96"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96"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96"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96"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96"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96"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Điểm dị thường (Giá = 0). Cần tra soát Master Data!", '00_TONG_HOP_BAO_GIA'!S285)</f>
        <v/>
      </c>
    </row>
    <row r="705" hidden="1" outlineLevel="1">
      <c r="A705" s="141" t="n"/>
      <c r="B705" s="140" t="inlineStr">
        <is>
          <t>NƯỚC NGƯNG</t>
        </is>
      </c>
      <c r="C705" s="134" t="n"/>
      <c r="D705" s="134" t="n"/>
      <c r="E705" s="134" t="n"/>
      <c r="F705" s="329" t="inlineStr">
        <is>
          <t>NN</t>
        </is>
      </c>
      <c r="G705" s="396"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96"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96"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96"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96"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96"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96"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96"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96"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96"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Điểm dị thường (Giá = 0). Cần tra soát Master Data!", '00_TONG_HOP_BAO_GIA'!S286)</f>
        <v/>
      </c>
    </row>
    <row r="715" outlineLevel="1">
      <c r="A715" s="141">
        <f>SUBTOTAL(3,$G$8:G715)</f>
        <v/>
      </c>
      <c r="B715" s="139" t="inlineStr">
        <is>
          <t>Chi phí cắt đục, đóng lưới trám trét tường</t>
        </is>
      </c>
      <c r="C715" s="134" t="n"/>
      <c r="D715" s="134" t="n"/>
      <c r="E715" s="134" t="n"/>
      <c r="F715" s="329" t="n"/>
      <c r="G715" s="396"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Điểm dị thường (Giá = 0). Cần tra soát Master Data!", '00_TONG_HOP_BAO_GIA'!S287)</f>
        <v/>
      </c>
    </row>
    <row r="716" outlineLevel="1">
      <c r="A716" s="141">
        <f>SUBTOTAL(3,$G$8:G716)</f>
        <v/>
      </c>
      <c r="B716" s="139" t="inlineStr">
        <is>
          <t>Chi phí chống cháy lan</t>
        </is>
      </c>
      <c r="C716" s="134" t="n"/>
      <c r="D716" s="134" t="n"/>
      <c r="E716" s="134" t="n"/>
      <c r="F716" s="329" t="n"/>
      <c r="G716" s="396"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Điểm dị thường (Giá = 0). Cần tra soát Master Data!", '00_TONG_HOP_BAO_GIA'!S288)</f>
        <v/>
      </c>
    </row>
    <row r="717">
      <c r="A717" s="132" t="inlineStr">
        <is>
          <t>D</t>
        </is>
      </c>
      <c r="B717" s="133" t="inlineStr">
        <is>
          <t>CÔNG TÁC KHÁC BỔ SUNG BỞI NHÀ THẦU</t>
        </is>
      </c>
      <c r="C717" s="134" t="n"/>
      <c r="D717" s="134" t="n"/>
      <c r="E717" s="134" t="n"/>
      <c r="F717" s="329" t="inlineStr">
        <is>
          <t>M</t>
        </is>
      </c>
      <c r="G717" s="396"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96"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96"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K722" s="400" t="inlineStr">
        <is>
          <t>TỔNG DỰ TOÁN:</t>
        </is>
      </c>
      <c r="L722" s="400">
        <f>SUBTOTAL(9,L12:L720)</f>
        <v/>
      </c>
      <c r="M722" s="400">
        <f>SUBTOTAL(9,M12:M720)</f>
        <v/>
      </c>
      <c r="N722" s="400">
        <f>SUBTOTAL(9,N12:N720)</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conditionalFormatting sqref="K12:K720">
    <cfRule type="expression" priority="1" dxfId="0" stopIfTrue="1">
      <formula>AND(NOT(ISBLANK($K12)), $K12=0)</formula>
    </cfRule>
  </conditionalFormatting>
  <pageMargins left="0.5" right="0.5" top="0.75" bottom="0.75" header="0.3" footer="0.3"/>
  <pageSetup orientation="portrait" paperSize="9" scale="42" fitToHeight="0"/>
</worksheet>
</file>

<file path=xl/worksheets/sheet4.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401" t="inlineStr">
        <is>
          <t>STT</t>
        </is>
      </c>
      <c r="B1" s="401" t="inlineStr">
        <is>
          <t>ITEM_ID</t>
        </is>
      </c>
      <c r="C1" s="401" t="inlineStr">
        <is>
          <t>PHÂN NHÓM</t>
        </is>
      </c>
      <c r="D1" s="401" t="inlineStr">
        <is>
          <t>TÊN SẢN PHẨM</t>
        </is>
      </c>
      <c r="E1" s="401" t="inlineStr">
        <is>
          <t>QUY CÁCH (WxH)</t>
        </is>
      </c>
      <c r="F1" s="401" t="inlineStr">
        <is>
          <t>ĐVT</t>
        </is>
      </c>
      <c r="G1" s="401" t="inlineStr">
        <is>
          <t>SỐ LƯỢNG</t>
        </is>
      </c>
      <c r="H1" s="401" t="inlineStr">
        <is>
          <t>CP VẬT TƯ ỐNG</t>
        </is>
      </c>
      <c r="I1" s="401" t="inlineStr">
        <is>
          <t>CP VẬT TƯ CỬA</t>
        </is>
      </c>
      <c r="J1" s="401" t="inlineStr">
        <is>
          <t>CP VẬT TƯ VAN</t>
        </is>
      </c>
      <c r="K1" s="401" t="inlineStr">
        <is>
          <t>TỔNG CP VẬT TƯ</t>
        </is>
      </c>
      <c r="L1" s="401" t="inlineStr">
        <is>
          <t>NHÂN CÔNG (25%)</t>
        </is>
      </c>
      <c r="M1" s="401" t="inlineStr">
        <is>
          <t>CP XƯỞNG (10%)</t>
        </is>
      </c>
      <c r="N1" s="401" t="inlineStr">
        <is>
          <t>TỔNG GIÁ VỐN</t>
        </is>
      </c>
      <c r="O1" s="401" t="inlineStr">
        <is>
          <t>GIÁ VỐN / ĐVT</t>
        </is>
      </c>
      <c r="P1" s="401" t="inlineStr">
        <is>
          <t>MARGIN (%)</t>
        </is>
      </c>
      <c r="Q1" s="401" t="inlineStr">
        <is>
          <t>ĐƠN GIÁ BÁN</t>
        </is>
      </c>
      <c r="R1" s="401" t="inlineStr">
        <is>
          <t>THÀNH TIỀN (VNĐ)</t>
        </is>
      </c>
      <c r="S1" s="401"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402" t="n">
        <v>15</v>
      </c>
      <c r="H2" s="402">
        <f>SUMIF('01_BOC_TACH_ONG'!B:B, B2, '01_BOC_TACH_ONG'!K:K)</f>
        <v/>
      </c>
      <c r="I2" s="402">
        <f>SUMIF('02_BOC_TACH_CUA'!B:B, B2, '02_BOC_TACH_CUA'!K:K)</f>
        <v/>
      </c>
      <c r="J2" s="402">
        <f>SUMIF('03_BOC_TACH_VAN'!B:B, B2, '03_BOC_TACH_VAN'!K:K)</f>
        <v/>
      </c>
      <c r="K2" s="402">
        <f>SUM(H2:J2)</f>
        <v/>
      </c>
      <c r="L2" s="402">
        <f>(K2-SUMIFS('03_BOC_TACH_VAN'!K:K, '03_BOC_TACH_VAN'!B:B, B2, '03_BOC_TACH_VAN'!D:D, "ĐỘNG_CƠ_VÀ_CẢM_BIẾN"))*0.25</f>
        <v/>
      </c>
      <c r="M2" s="402">
        <f>(K2-SUMIFS('03_BOC_TACH_VAN'!K:K, '03_BOC_TACH_VAN'!B:B, B2, '03_BOC_TACH_VAN'!D:D, "ĐỘNG_CƠ_VÀ_CẢM_BIẾN"))*0.10</f>
        <v/>
      </c>
      <c r="N2" s="402">
        <f>K2+L2+M2</f>
        <v/>
      </c>
      <c r="O2" s="402">
        <f>IF(G2&gt;0, N2/G2, 0)</f>
        <v/>
      </c>
      <c r="P2" s="403" t="n">
        <v>0.18</v>
      </c>
      <c r="Q2" s="402">
        <f>IF(G2&gt;0, ((N2-SUMIFS('03_BOC_TACH_VAN'!K:K, '03_BOC_TACH_VAN'!B:B, B2, '03_BOC_TACH_VAN'!D:D, "ĐỘNG_CƠ_VÀ_CẢM_BIẾN"))*(1+P2)+SUMIFS('03_BOC_TACH_VAN'!K:K, '03_BOC_TACH_VAN'!B:B, B2, '03_BOC_TACH_VAN'!D:D, "ĐỘNG_CƠ_VÀ_CẢM_BIẾN"))/G2, 0)</f>
        <v/>
      </c>
      <c r="R2" s="402">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402" t="n">
        <v>40</v>
      </c>
      <c r="H3" s="402">
        <f>SUMIF('01_BOC_TACH_ONG'!B:B, B3, '01_BOC_TACH_ONG'!K:K)</f>
        <v/>
      </c>
      <c r="I3" s="402">
        <f>SUMIF('02_BOC_TACH_CUA'!B:B, B3, '02_BOC_TACH_CUA'!K:K)</f>
        <v/>
      </c>
      <c r="J3" s="402">
        <f>SUMIF('03_BOC_TACH_VAN'!B:B, B3, '03_BOC_TACH_VAN'!K:K)</f>
        <v/>
      </c>
      <c r="K3" s="402">
        <f>SUM(H3:J3)</f>
        <v/>
      </c>
      <c r="L3" s="402">
        <f>(K3-SUMIFS('03_BOC_TACH_VAN'!K:K, '03_BOC_TACH_VAN'!B:B, B3, '03_BOC_TACH_VAN'!D:D, "ĐỘNG_CƠ_VÀ_CẢM_BIẾN"))*0.25</f>
        <v/>
      </c>
      <c r="M3" s="402">
        <f>(K3-SUMIFS('03_BOC_TACH_VAN'!K:K, '03_BOC_TACH_VAN'!B:B, B3, '03_BOC_TACH_VAN'!D:D, "ĐỘNG_CƠ_VÀ_CẢM_BIẾN"))*0.10</f>
        <v/>
      </c>
      <c r="N3" s="402">
        <f>K3+L3+M3</f>
        <v/>
      </c>
      <c r="O3" s="402">
        <f>IF(G3&gt;0, N3/G3, 0)</f>
        <v/>
      </c>
      <c r="P3" s="403" t="n">
        <v>0.18</v>
      </c>
      <c r="Q3" s="402">
        <f>IF(G3&gt;0, ((N3-SUMIFS('03_BOC_TACH_VAN'!K:K, '03_BOC_TACH_VAN'!B:B, B3, '03_BOC_TACH_VAN'!D:D, "ĐỘNG_CƠ_VÀ_CẢM_BIẾN"))*(1+P3)+SUMIFS('03_BOC_TACH_VAN'!K:K, '03_BOC_TACH_VAN'!B:B, B3, '03_BOC_TACH_VAN'!D:D, "ĐỘNG_CƠ_VÀ_CẢM_BIẾN"))/G3, 0)</f>
        <v/>
      </c>
      <c r="R3" s="402">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402" t="n">
        <v>40</v>
      </c>
      <c r="H4" s="402">
        <f>SUMIF('01_BOC_TACH_ONG'!B:B, B4, '01_BOC_TACH_ONG'!K:K)</f>
        <v/>
      </c>
      <c r="I4" s="402">
        <f>SUMIF('02_BOC_TACH_CUA'!B:B, B4, '02_BOC_TACH_CUA'!K:K)</f>
        <v/>
      </c>
      <c r="J4" s="402">
        <f>SUMIF('03_BOC_TACH_VAN'!B:B, B4, '03_BOC_TACH_VAN'!K:K)</f>
        <v/>
      </c>
      <c r="K4" s="402">
        <f>SUM(H4:J4)</f>
        <v/>
      </c>
      <c r="L4" s="402">
        <f>(K4-SUMIFS('03_BOC_TACH_VAN'!K:K, '03_BOC_TACH_VAN'!B:B, B4, '03_BOC_TACH_VAN'!D:D, "ĐỘNG_CƠ_VÀ_CẢM_BIẾN"))*0.25</f>
        <v/>
      </c>
      <c r="M4" s="402">
        <f>(K4-SUMIFS('03_BOC_TACH_VAN'!K:K, '03_BOC_TACH_VAN'!B:B, B4, '03_BOC_TACH_VAN'!D:D, "ĐỘNG_CƠ_VÀ_CẢM_BIẾN"))*0.10</f>
        <v/>
      </c>
      <c r="N4" s="402">
        <f>K4+L4+M4</f>
        <v/>
      </c>
      <c r="O4" s="402">
        <f>IF(G4&gt;0, N4/G4, 0)</f>
        <v/>
      </c>
      <c r="P4" s="403" t="n">
        <v>0.18</v>
      </c>
      <c r="Q4" s="402">
        <f>IF(G4&gt;0, ((N4-SUMIFS('03_BOC_TACH_VAN'!K:K, '03_BOC_TACH_VAN'!B:B, B4, '03_BOC_TACH_VAN'!D:D, "ĐỘNG_CƠ_VÀ_CẢM_BIẾN"))*(1+P4)+SUMIFS('03_BOC_TACH_VAN'!K:K, '03_BOC_TACH_VAN'!B:B, B4, '03_BOC_TACH_VAN'!D:D, "ĐỘNG_CƠ_VÀ_CẢM_BIẾN"))/G4, 0)</f>
        <v/>
      </c>
      <c r="R4" s="402">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402" t="n">
        <v>16</v>
      </c>
      <c r="H5" s="402">
        <f>SUMIF('01_BOC_TACH_ONG'!B:B, B5, '01_BOC_TACH_ONG'!K:K)</f>
        <v/>
      </c>
      <c r="I5" s="402">
        <f>SUMIF('02_BOC_TACH_CUA'!B:B, B5, '02_BOC_TACH_CUA'!K:K)</f>
        <v/>
      </c>
      <c r="J5" s="402">
        <f>SUMIF('03_BOC_TACH_VAN'!B:B, B5, '03_BOC_TACH_VAN'!K:K)</f>
        <v/>
      </c>
      <c r="K5" s="402">
        <f>SUM(H5:J5)</f>
        <v/>
      </c>
      <c r="L5" s="402">
        <f>(K5-SUMIFS('03_BOC_TACH_VAN'!K:K, '03_BOC_TACH_VAN'!B:B, B5, '03_BOC_TACH_VAN'!D:D, "ĐỘNG_CƠ_VÀ_CẢM_BIẾN"))*0.25</f>
        <v/>
      </c>
      <c r="M5" s="402">
        <f>(K5-SUMIFS('03_BOC_TACH_VAN'!K:K, '03_BOC_TACH_VAN'!B:B, B5, '03_BOC_TACH_VAN'!D:D, "ĐỘNG_CƠ_VÀ_CẢM_BIẾN"))*0.10</f>
        <v/>
      </c>
      <c r="N5" s="402">
        <f>K5+L5+M5</f>
        <v/>
      </c>
      <c r="O5" s="402">
        <f>IF(G5&gt;0, N5/G5, 0)</f>
        <v/>
      </c>
      <c r="P5" s="403" t="n">
        <v>0.18</v>
      </c>
      <c r="Q5" s="402">
        <f>IF(G5&gt;0, ((N5-SUMIFS('03_BOC_TACH_VAN'!K:K, '03_BOC_TACH_VAN'!B:B, B5, '03_BOC_TACH_VAN'!D:D, "ĐỘNG_CƠ_VÀ_CẢM_BIẾN"))*(1+P5)+SUMIFS('03_BOC_TACH_VAN'!K:K, '03_BOC_TACH_VAN'!B:B, B5, '03_BOC_TACH_VAN'!D:D, "ĐỘNG_CƠ_VÀ_CẢM_BIẾN"))/G5, 0)</f>
        <v/>
      </c>
      <c r="R5" s="402">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402" t="n">
        <v>16</v>
      </c>
      <c r="H6" s="402">
        <f>SUMIF('01_BOC_TACH_ONG'!B:B, B6, '01_BOC_TACH_ONG'!K:K)</f>
        <v/>
      </c>
      <c r="I6" s="402">
        <f>SUMIF('02_BOC_TACH_CUA'!B:B, B6, '02_BOC_TACH_CUA'!K:K)</f>
        <v/>
      </c>
      <c r="J6" s="402">
        <f>SUMIF('03_BOC_TACH_VAN'!B:B, B6, '03_BOC_TACH_VAN'!K:K)</f>
        <v/>
      </c>
      <c r="K6" s="402">
        <f>SUM(H6:J6)</f>
        <v/>
      </c>
      <c r="L6" s="402">
        <f>(K6-SUMIFS('03_BOC_TACH_VAN'!K:K, '03_BOC_TACH_VAN'!B:B, B6, '03_BOC_TACH_VAN'!D:D, "ĐỘNG_CƠ_VÀ_CẢM_BIẾN"))*0.25</f>
        <v/>
      </c>
      <c r="M6" s="402">
        <f>(K6-SUMIFS('03_BOC_TACH_VAN'!K:K, '03_BOC_TACH_VAN'!B:B, B6, '03_BOC_TACH_VAN'!D:D, "ĐỘNG_CƠ_VÀ_CẢM_BIẾN"))*0.10</f>
        <v/>
      </c>
      <c r="N6" s="402">
        <f>K6+L6+M6</f>
        <v/>
      </c>
      <c r="O6" s="402">
        <f>IF(G6&gt;0, N6/G6, 0)</f>
        <v/>
      </c>
      <c r="P6" s="403" t="n">
        <v>0.18</v>
      </c>
      <c r="Q6" s="402">
        <f>IF(G6&gt;0, ((N6-SUMIFS('03_BOC_TACH_VAN'!K:K, '03_BOC_TACH_VAN'!B:B, B6, '03_BOC_TACH_VAN'!D:D, "ĐỘNG_CƠ_VÀ_CẢM_BIẾN"))*(1+P6)+SUMIFS('03_BOC_TACH_VAN'!K:K, '03_BOC_TACH_VAN'!B:B, B6, '03_BOC_TACH_VAN'!D:D, "ĐỘNG_CƠ_VÀ_CẢM_BIẾN"))/G6, 0)</f>
        <v/>
      </c>
      <c r="R6" s="402">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402" t="n">
        <v>32</v>
      </c>
      <c r="H7" s="402">
        <f>SUMIF('01_BOC_TACH_ONG'!B:B, B7, '01_BOC_TACH_ONG'!K:K)</f>
        <v/>
      </c>
      <c r="I7" s="402">
        <f>SUMIF('02_BOC_TACH_CUA'!B:B, B7, '02_BOC_TACH_CUA'!K:K)</f>
        <v/>
      </c>
      <c r="J7" s="402">
        <f>SUMIF('03_BOC_TACH_VAN'!B:B, B7, '03_BOC_TACH_VAN'!K:K)</f>
        <v/>
      </c>
      <c r="K7" s="402">
        <f>SUM(H7:J7)</f>
        <v/>
      </c>
      <c r="L7" s="402">
        <f>(K7-SUMIFS('03_BOC_TACH_VAN'!K:K, '03_BOC_TACH_VAN'!B:B, B7, '03_BOC_TACH_VAN'!D:D, "ĐỘNG_CƠ_VÀ_CẢM_BIẾN"))*0.25</f>
        <v/>
      </c>
      <c r="M7" s="402">
        <f>(K7-SUMIFS('03_BOC_TACH_VAN'!K:K, '03_BOC_TACH_VAN'!B:B, B7, '03_BOC_TACH_VAN'!D:D, "ĐỘNG_CƠ_VÀ_CẢM_BIẾN"))*0.10</f>
        <v/>
      </c>
      <c r="N7" s="402">
        <f>K7+L7+M7</f>
        <v/>
      </c>
      <c r="O7" s="402">
        <f>IF(G7&gt;0, N7/G7, 0)</f>
        <v/>
      </c>
      <c r="P7" s="403" t="n">
        <v>0.18</v>
      </c>
      <c r="Q7" s="402">
        <f>IF(G7&gt;0, ((N7-SUMIFS('03_BOC_TACH_VAN'!K:K, '03_BOC_TACH_VAN'!B:B, B7, '03_BOC_TACH_VAN'!D:D, "ĐỘNG_CƠ_VÀ_CẢM_BIẾN"))*(1+P7)+SUMIFS('03_BOC_TACH_VAN'!K:K, '03_BOC_TACH_VAN'!B:B, B7, '03_BOC_TACH_VAN'!D:D, "ĐỘNG_CƠ_VÀ_CẢM_BIẾN"))/G7, 0)</f>
        <v/>
      </c>
      <c r="R7" s="402">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402" t="n">
        <v>24</v>
      </c>
      <c r="H8" s="402">
        <f>SUMIF('01_BOC_TACH_ONG'!B:B, B8, '01_BOC_TACH_ONG'!K:K)</f>
        <v/>
      </c>
      <c r="I8" s="402">
        <f>SUMIF('02_BOC_TACH_CUA'!B:B, B8, '02_BOC_TACH_CUA'!K:K)</f>
        <v/>
      </c>
      <c r="J8" s="402">
        <f>SUMIF('03_BOC_TACH_VAN'!B:B, B8, '03_BOC_TACH_VAN'!K:K)</f>
        <v/>
      </c>
      <c r="K8" s="402">
        <f>SUM(H8:J8)</f>
        <v/>
      </c>
      <c r="L8" s="402">
        <f>(K8-SUMIFS('03_BOC_TACH_VAN'!K:K, '03_BOC_TACH_VAN'!B:B, B8, '03_BOC_TACH_VAN'!D:D, "ĐỘNG_CƠ_VÀ_CẢM_BIẾN"))*0.25</f>
        <v/>
      </c>
      <c r="M8" s="402">
        <f>(K8-SUMIFS('03_BOC_TACH_VAN'!K:K, '03_BOC_TACH_VAN'!B:B, B8, '03_BOC_TACH_VAN'!D:D, "ĐỘNG_CƠ_VÀ_CẢM_BIẾN"))*0.10</f>
        <v/>
      </c>
      <c r="N8" s="402">
        <f>K8+L8+M8</f>
        <v/>
      </c>
      <c r="O8" s="402">
        <f>IF(G8&gt;0, N8/G8, 0)</f>
        <v/>
      </c>
      <c r="P8" s="403" t="n">
        <v>0.18</v>
      </c>
      <c r="Q8" s="402">
        <f>IF(G8&gt;0, ((N8-SUMIFS('03_BOC_TACH_VAN'!K:K, '03_BOC_TACH_VAN'!B:B, B8, '03_BOC_TACH_VAN'!D:D, "ĐỘNG_CƠ_VÀ_CẢM_BIẾN"))*(1+P8)+SUMIFS('03_BOC_TACH_VAN'!K:K, '03_BOC_TACH_VAN'!B:B, B8, '03_BOC_TACH_VAN'!D:D, "ĐỘNG_CƠ_VÀ_CẢM_BIẾN"))/G8, 0)</f>
        <v/>
      </c>
      <c r="R8" s="402">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402" t="n">
        <v>6</v>
      </c>
      <c r="H9" s="402">
        <f>SUMIF('01_BOC_TACH_ONG'!B:B, B9, '01_BOC_TACH_ONG'!K:K)</f>
        <v/>
      </c>
      <c r="I9" s="402">
        <f>SUMIF('02_BOC_TACH_CUA'!B:B, B9, '02_BOC_TACH_CUA'!K:K)</f>
        <v/>
      </c>
      <c r="J9" s="402">
        <f>SUMIF('03_BOC_TACH_VAN'!B:B, B9, '03_BOC_TACH_VAN'!K:K)</f>
        <v/>
      </c>
      <c r="K9" s="402">
        <f>SUM(H9:J9)</f>
        <v/>
      </c>
      <c r="L9" s="402">
        <f>(K9-SUMIFS('03_BOC_TACH_VAN'!K:K, '03_BOC_TACH_VAN'!B:B, B9, '03_BOC_TACH_VAN'!D:D, "ĐỘNG_CƠ_VÀ_CẢM_BIẾN"))*0.25</f>
        <v/>
      </c>
      <c r="M9" s="402">
        <f>(K9-SUMIFS('03_BOC_TACH_VAN'!K:K, '03_BOC_TACH_VAN'!B:B, B9, '03_BOC_TACH_VAN'!D:D, "ĐỘNG_CƠ_VÀ_CẢM_BIẾN"))*0.10</f>
        <v/>
      </c>
      <c r="N9" s="402">
        <f>K9+L9+M9</f>
        <v/>
      </c>
      <c r="O9" s="402">
        <f>IF(G9&gt;0, N9/G9, 0)</f>
        <v/>
      </c>
      <c r="P9" s="403" t="n">
        <v>0.18</v>
      </c>
      <c r="Q9" s="402">
        <f>IF(G9&gt;0, ((N9-SUMIFS('03_BOC_TACH_VAN'!K:K, '03_BOC_TACH_VAN'!B:B, B9, '03_BOC_TACH_VAN'!D:D, "ĐỘNG_CƠ_VÀ_CẢM_BIẾN"))*(1+P9)+SUMIFS('03_BOC_TACH_VAN'!K:K, '03_BOC_TACH_VAN'!B:B, B9, '03_BOC_TACH_VAN'!D:D, "ĐỘNG_CƠ_VÀ_CẢM_BIẾN"))/G9, 0)</f>
        <v/>
      </c>
      <c r="R9" s="402">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402" t="n">
        <v>2</v>
      </c>
      <c r="H10" s="402">
        <f>SUMIF('01_BOC_TACH_ONG'!B:B, B10, '01_BOC_TACH_ONG'!K:K)</f>
        <v/>
      </c>
      <c r="I10" s="402">
        <f>SUMIF('02_BOC_TACH_CUA'!B:B, B10, '02_BOC_TACH_CUA'!K:K)</f>
        <v/>
      </c>
      <c r="J10" s="402">
        <f>SUMIF('03_BOC_TACH_VAN'!B:B, B10, '03_BOC_TACH_VAN'!K:K)</f>
        <v/>
      </c>
      <c r="K10" s="402">
        <f>SUM(H10:J10)</f>
        <v/>
      </c>
      <c r="L10" s="402">
        <f>(K10-SUMIFS('03_BOC_TACH_VAN'!K:K, '03_BOC_TACH_VAN'!B:B, B10, '03_BOC_TACH_VAN'!D:D, "ĐỘNG_CƠ_VÀ_CẢM_BIẾN"))*0.25</f>
        <v/>
      </c>
      <c r="M10" s="402">
        <f>(K10-SUMIFS('03_BOC_TACH_VAN'!K:K, '03_BOC_TACH_VAN'!B:B, B10, '03_BOC_TACH_VAN'!D:D, "ĐỘNG_CƠ_VÀ_CẢM_BIẾN"))*0.10</f>
        <v/>
      </c>
      <c r="N10" s="402">
        <f>K10+L10+M10</f>
        <v/>
      </c>
      <c r="O10" s="402">
        <f>IF(G10&gt;0, N10/G10, 0)</f>
        <v/>
      </c>
      <c r="P10" s="403" t="n">
        <v>0.18</v>
      </c>
      <c r="Q10" s="402">
        <f>IF(G10&gt;0, ((N10-SUMIFS('03_BOC_TACH_VAN'!K:K, '03_BOC_TACH_VAN'!B:B, B10, '03_BOC_TACH_VAN'!D:D, "ĐỘNG_CƠ_VÀ_CẢM_BIẾN"))*(1+P10)+SUMIFS('03_BOC_TACH_VAN'!K:K, '03_BOC_TACH_VAN'!B:B, B10, '03_BOC_TACH_VAN'!D:D, "ĐỘNG_CƠ_VÀ_CẢM_BIẾN"))/G10, 0)</f>
        <v/>
      </c>
      <c r="R10" s="402">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402" t="n">
        <v>1</v>
      </c>
      <c r="H11" s="402">
        <f>SUMIF('01_BOC_TACH_ONG'!B:B, B11, '01_BOC_TACH_ONG'!K:K)</f>
        <v/>
      </c>
      <c r="I11" s="402">
        <f>SUMIF('02_BOC_TACH_CUA'!B:B, B11, '02_BOC_TACH_CUA'!K:K)</f>
        <v/>
      </c>
      <c r="J11" s="402">
        <f>SUMIF('03_BOC_TACH_VAN'!B:B, B11, '03_BOC_TACH_VAN'!K:K)</f>
        <v/>
      </c>
      <c r="K11" s="402">
        <f>SUM(H11:J11)</f>
        <v/>
      </c>
      <c r="L11" s="402">
        <f>(K11-SUMIFS('03_BOC_TACH_VAN'!K:K, '03_BOC_TACH_VAN'!B:B, B11, '03_BOC_TACH_VAN'!D:D, "ĐỘNG_CƠ_VÀ_CẢM_BIẾN"))*0.25</f>
        <v/>
      </c>
      <c r="M11" s="402">
        <f>(K11-SUMIFS('03_BOC_TACH_VAN'!K:K, '03_BOC_TACH_VAN'!B:B, B11, '03_BOC_TACH_VAN'!D:D, "ĐỘNG_CƠ_VÀ_CẢM_BIẾN"))*0.10</f>
        <v/>
      </c>
      <c r="N11" s="402">
        <f>K11+L11+M11</f>
        <v/>
      </c>
      <c r="O11" s="402">
        <f>IF(G11&gt;0, N11/G11, 0)</f>
        <v/>
      </c>
      <c r="P11" s="403" t="n">
        <v>0.18</v>
      </c>
      <c r="Q11" s="402">
        <f>IF(G11&gt;0, ((N11-SUMIFS('03_BOC_TACH_VAN'!K:K, '03_BOC_TACH_VAN'!B:B, B11, '03_BOC_TACH_VAN'!D:D, "ĐỘNG_CƠ_VÀ_CẢM_BIẾN"))*(1+P11)+SUMIFS('03_BOC_TACH_VAN'!K:K, '03_BOC_TACH_VAN'!B:B, B11, '03_BOC_TACH_VAN'!D:D, "ĐỘNG_CƠ_VÀ_CẢM_BIẾN"))/G11, 0)</f>
        <v/>
      </c>
      <c r="R11" s="402">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402" t="n">
        <v>6</v>
      </c>
      <c r="H12" s="402">
        <f>SUMIF('01_BOC_TACH_ONG'!B:B, B12, '01_BOC_TACH_ONG'!K:K)</f>
        <v/>
      </c>
      <c r="I12" s="402">
        <f>SUMIF('02_BOC_TACH_CUA'!B:B, B12, '02_BOC_TACH_CUA'!K:K)</f>
        <v/>
      </c>
      <c r="J12" s="402">
        <f>SUMIF('03_BOC_TACH_VAN'!B:B, B12, '03_BOC_TACH_VAN'!K:K)</f>
        <v/>
      </c>
      <c r="K12" s="402">
        <f>SUM(H12:J12)</f>
        <v/>
      </c>
      <c r="L12" s="402">
        <f>(K12-SUMIFS('03_BOC_TACH_VAN'!K:K, '03_BOC_TACH_VAN'!B:B, B12, '03_BOC_TACH_VAN'!D:D, "ĐỘNG_CƠ_VÀ_CẢM_BIẾN"))*0.25</f>
        <v/>
      </c>
      <c r="M12" s="402">
        <f>(K12-SUMIFS('03_BOC_TACH_VAN'!K:K, '03_BOC_TACH_VAN'!B:B, B12, '03_BOC_TACH_VAN'!D:D, "ĐỘNG_CƠ_VÀ_CẢM_BIẾN"))*0.10</f>
        <v/>
      </c>
      <c r="N12" s="402">
        <f>K12+L12+M12</f>
        <v/>
      </c>
      <c r="O12" s="402">
        <f>IF(G12&gt;0, N12/G12, 0)</f>
        <v/>
      </c>
      <c r="P12" s="403" t="n">
        <v>0.18</v>
      </c>
      <c r="Q12" s="402">
        <f>IF(G12&gt;0, ((N12-SUMIFS('03_BOC_TACH_VAN'!K:K, '03_BOC_TACH_VAN'!B:B, B12, '03_BOC_TACH_VAN'!D:D, "ĐỘNG_CƠ_VÀ_CẢM_BIẾN"))*(1+P12)+SUMIFS('03_BOC_TACH_VAN'!K:K, '03_BOC_TACH_VAN'!B:B, B12, '03_BOC_TACH_VAN'!D:D, "ĐỘNG_CƠ_VÀ_CẢM_BIẾN"))/G12, 0)</f>
        <v/>
      </c>
      <c r="R12" s="402">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402" t="n">
        <v>2</v>
      </c>
      <c r="H13" s="402">
        <f>SUMIF('01_BOC_TACH_ONG'!B:B, B13, '01_BOC_TACH_ONG'!K:K)</f>
        <v/>
      </c>
      <c r="I13" s="402">
        <f>SUMIF('02_BOC_TACH_CUA'!B:B, B13, '02_BOC_TACH_CUA'!K:K)</f>
        <v/>
      </c>
      <c r="J13" s="402">
        <f>SUMIF('03_BOC_TACH_VAN'!B:B, B13, '03_BOC_TACH_VAN'!K:K)</f>
        <v/>
      </c>
      <c r="K13" s="402">
        <f>SUM(H13:J13)</f>
        <v/>
      </c>
      <c r="L13" s="402">
        <f>(K13-SUMIFS('03_BOC_TACH_VAN'!K:K, '03_BOC_TACH_VAN'!B:B, B13, '03_BOC_TACH_VAN'!D:D, "ĐỘNG_CƠ_VÀ_CẢM_BIẾN"))*0.25</f>
        <v/>
      </c>
      <c r="M13" s="402">
        <f>(K13-SUMIFS('03_BOC_TACH_VAN'!K:K, '03_BOC_TACH_VAN'!B:B, B13, '03_BOC_TACH_VAN'!D:D, "ĐỘNG_CƠ_VÀ_CẢM_BIẾN"))*0.10</f>
        <v/>
      </c>
      <c r="N13" s="402">
        <f>K13+L13+M13</f>
        <v/>
      </c>
      <c r="O13" s="402">
        <f>IF(G13&gt;0, N13/G13, 0)</f>
        <v/>
      </c>
      <c r="P13" s="403" t="n">
        <v>0.18</v>
      </c>
      <c r="Q13" s="402">
        <f>IF(G13&gt;0, ((N13-SUMIFS('03_BOC_TACH_VAN'!K:K, '03_BOC_TACH_VAN'!B:B, B13, '03_BOC_TACH_VAN'!D:D, "ĐỘNG_CƠ_VÀ_CẢM_BIẾN"))*(1+P13)+SUMIFS('03_BOC_TACH_VAN'!K:K, '03_BOC_TACH_VAN'!B:B, B13, '03_BOC_TACH_VAN'!D:D, "ĐỘNG_CƠ_VÀ_CẢM_BIẾN"))/G13, 0)</f>
        <v/>
      </c>
      <c r="R13" s="402">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402" t="n">
        <v>1</v>
      </c>
      <c r="H14" s="402">
        <f>SUMIF('01_BOC_TACH_ONG'!B:B, B14, '01_BOC_TACH_ONG'!K:K)</f>
        <v/>
      </c>
      <c r="I14" s="402">
        <f>SUMIF('02_BOC_TACH_CUA'!B:B, B14, '02_BOC_TACH_CUA'!K:K)</f>
        <v/>
      </c>
      <c r="J14" s="402">
        <f>SUMIF('03_BOC_TACH_VAN'!B:B, B14, '03_BOC_TACH_VAN'!K:K)</f>
        <v/>
      </c>
      <c r="K14" s="402">
        <f>SUM(H14:J14)</f>
        <v/>
      </c>
      <c r="L14" s="402">
        <f>(K14-SUMIFS('03_BOC_TACH_VAN'!K:K, '03_BOC_TACH_VAN'!B:B, B14, '03_BOC_TACH_VAN'!D:D, "ĐỘNG_CƠ_VÀ_CẢM_BIẾN"))*0.25</f>
        <v/>
      </c>
      <c r="M14" s="402">
        <f>(K14-SUMIFS('03_BOC_TACH_VAN'!K:K, '03_BOC_TACH_VAN'!B:B, B14, '03_BOC_TACH_VAN'!D:D, "ĐỘNG_CƠ_VÀ_CẢM_BIẾN"))*0.10</f>
        <v/>
      </c>
      <c r="N14" s="402">
        <f>K14+L14+M14</f>
        <v/>
      </c>
      <c r="O14" s="402">
        <f>IF(G14&gt;0, N14/G14, 0)</f>
        <v/>
      </c>
      <c r="P14" s="403" t="n">
        <v>0.18</v>
      </c>
      <c r="Q14" s="402">
        <f>IF(G14&gt;0, ((N14-SUMIFS('03_BOC_TACH_VAN'!K:K, '03_BOC_TACH_VAN'!B:B, B14, '03_BOC_TACH_VAN'!D:D, "ĐỘNG_CƠ_VÀ_CẢM_BIẾN"))*(1+P14)+SUMIFS('03_BOC_TACH_VAN'!K:K, '03_BOC_TACH_VAN'!B:B, B14, '03_BOC_TACH_VAN'!D:D, "ĐỘNG_CƠ_VÀ_CẢM_BIẾN"))/G14, 0)</f>
        <v/>
      </c>
      <c r="R14" s="402">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402" t="n">
        <v>3</v>
      </c>
      <c r="H15" s="402">
        <f>SUMIF('01_BOC_TACH_ONG'!B:B, B15, '01_BOC_TACH_ONG'!K:K)</f>
        <v/>
      </c>
      <c r="I15" s="402">
        <f>SUMIF('02_BOC_TACH_CUA'!B:B, B15, '02_BOC_TACH_CUA'!K:K)</f>
        <v/>
      </c>
      <c r="J15" s="402">
        <f>SUMIF('03_BOC_TACH_VAN'!B:B, B15, '03_BOC_TACH_VAN'!K:K)</f>
        <v/>
      </c>
      <c r="K15" s="402">
        <f>SUM(H15:J15)</f>
        <v/>
      </c>
      <c r="L15" s="402">
        <f>(K15-SUMIFS('03_BOC_TACH_VAN'!K:K, '03_BOC_TACH_VAN'!B:B, B15, '03_BOC_TACH_VAN'!D:D, "ĐỘNG_CƠ_VÀ_CẢM_BIẾN"))*0.25</f>
        <v/>
      </c>
      <c r="M15" s="402">
        <f>(K15-SUMIFS('03_BOC_TACH_VAN'!K:K, '03_BOC_TACH_VAN'!B:B, B15, '03_BOC_TACH_VAN'!D:D, "ĐỘNG_CƠ_VÀ_CẢM_BIẾN"))*0.10</f>
        <v/>
      </c>
      <c r="N15" s="402">
        <f>K15+L15+M15</f>
        <v/>
      </c>
      <c r="O15" s="402">
        <f>IF(G15&gt;0, N15/G15, 0)</f>
        <v/>
      </c>
      <c r="P15" s="403" t="n">
        <v>0.18</v>
      </c>
      <c r="Q15" s="402">
        <f>IF(G15&gt;0, ((N15-SUMIFS('03_BOC_TACH_VAN'!K:K, '03_BOC_TACH_VAN'!B:B, B15, '03_BOC_TACH_VAN'!D:D, "ĐỘNG_CƠ_VÀ_CẢM_BIẾN"))*(1+P15)+SUMIFS('03_BOC_TACH_VAN'!K:K, '03_BOC_TACH_VAN'!B:B, B15, '03_BOC_TACH_VAN'!D:D, "ĐỘNG_CƠ_VÀ_CẢM_BIẾN"))/G15, 0)</f>
        <v/>
      </c>
      <c r="R15" s="402">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402" t="n">
        <v>6</v>
      </c>
      <c r="H16" s="402">
        <f>SUMIF('01_BOC_TACH_ONG'!B:B, B16, '01_BOC_TACH_ONG'!K:K)</f>
        <v/>
      </c>
      <c r="I16" s="402">
        <f>SUMIF('02_BOC_TACH_CUA'!B:B, B16, '02_BOC_TACH_CUA'!K:K)</f>
        <v/>
      </c>
      <c r="J16" s="402">
        <f>SUMIF('03_BOC_TACH_VAN'!B:B, B16, '03_BOC_TACH_VAN'!K:K)</f>
        <v/>
      </c>
      <c r="K16" s="402">
        <f>SUM(H16:J16)</f>
        <v/>
      </c>
      <c r="L16" s="402">
        <f>(K16-SUMIFS('03_BOC_TACH_VAN'!K:K, '03_BOC_TACH_VAN'!B:B, B16, '03_BOC_TACH_VAN'!D:D, "ĐỘNG_CƠ_VÀ_CẢM_BIẾN"))*0.25</f>
        <v/>
      </c>
      <c r="M16" s="402">
        <f>(K16-SUMIFS('03_BOC_TACH_VAN'!K:K, '03_BOC_TACH_VAN'!B:B, B16, '03_BOC_TACH_VAN'!D:D, "ĐỘNG_CƠ_VÀ_CẢM_BIẾN"))*0.10</f>
        <v/>
      </c>
      <c r="N16" s="402">
        <f>K16+L16+M16</f>
        <v/>
      </c>
      <c r="O16" s="402">
        <f>IF(G16&gt;0, N16/G16, 0)</f>
        <v/>
      </c>
      <c r="P16" s="403" t="n">
        <v>0.18</v>
      </c>
      <c r="Q16" s="402">
        <f>IF(G16&gt;0, ((N16-SUMIFS('03_BOC_TACH_VAN'!K:K, '03_BOC_TACH_VAN'!B:B, B16, '03_BOC_TACH_VAN'!D:D, "ĐỘNG_CƠ_VÀ_CẢM_BIẾN"))*(1+P16)+SUMIFS('03_BOC_TACH_VAN'!K:K, '03_BOC_TACH_VAN'!B:B, B16, '03_BOC_TACH_VAN'!D:D, "ĐỘNG_CƠ_VÀ_CẢM_BIẾN"))/G16, 0)</f>
        <v/>
      </c>
      <c r="R16" s="402">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402" t="n">
        <v>9</v>
      </c>
      <c r="H17" s="402">
        <f>SUMIF('01_BOC_TACH_ONG'!B:B, B17, '01_BOC_TACH_ONG'!K:K)</f>
        <v/>
      </c>
      <c r="I17" s="402">
        <f>SUMIF('02_BOC_TACH_CUA'!B:B, B17, '02_BOC_TACH_CUA'!K:K)</f>
        <v/>
      </c>
      <c r="J17" s="402">
        <f>SUMIF('03_BOC_TACH_VAN'!B:B, B17, '03_BOC_TACH_VAN'!K:K)</f>
        <v/>
      </c>
      <c r="K17" s="402">
        <f>SUM(H17:J17)</f>
        <v/>
      </c>
      <c r="L17" s="402">
        <f>(K17-SUMIFS('03_BOC_TACH_VAN'!K:K, '03_BOC_TACH_VAN'!B:B, B17, '03_BOC_TACH_VAN'!D:D, "ĐỘNG_CƠ_VÀ_CẢM_BIẾN"))*0.25</f>
        <v/>
      </c>
      <c r="M17" s="402">
        <f>(K17-SUMIFS('03_BOC_TACH_VAN'!K:K, '03_BOC_TACH_VAN'!B:B, B17, '03_BOC_TACH_VAN'!D:D, "ĐỘNG_CƠ_VÀ_CẢM_BIẾN"))*0.10</f>
        <v/>
      </c>
      <c r="N17" s="402">
        <f>K17+L17+M17</f>
        <v/>
      </c>
      <c r="O17" s="402">
        <f>IF(G17&gt;0, N17/G17, 0)</f>
        <v/>
      </c>
      <c r="P17" s="403" t="n">
        <v>0.18</v>
      </c>
      <c r="Q17" s="402">
        <f>IF(G17&gt;0, ((N17-SUMIFS('03_BOC_TACH_VAN'!K:K, '03_BOC_TACH_VAN'!B:B, B17, '03_BOC_TACH_VAN'!D:D, "ĐỘNG_CƠ_VÀ_CẢM_BIẾN"))*(1+P17)+SUMIFS('03_BOC_TACH_VAN'!K:K, '03_BOC_TACH_VAN'!B:B, B17, '03_BOC_TACH_VAN'!D:D, "ĐỘNG_CƠ_VÀ_CẢM_BIẾN"))/G17, 0)</f>
        <v/>
      </c>
      <c r="R17" s="402">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402" t="n">
        <v>12</v>
      </c>
      <c r="H18" s="402">
        <f>SUMIF('01_BOC_TACH_ONG'!B:B, B18, '01_BOC_TACH_ONG'!K:K)</f>
        <v/>
      </c>
      <c r="I18" s="402">
        <f>SUMIF('02_BOC_TACH_CUA'!B:B, B18, '02_BOC_TACH_CUA'!K:K)</f>
        <v/>
      </c>
      <c r="J18" s="402">
        <f>SUMIF('03_BOC_TACH_VAN'!B:B, B18, '03_BOC_TACH_VAN'!K:K)</f>
        <v/>
      </c>
      <c r="K18" s="402">
        <f>SUM(H18:J18)</f>
        <v/>
      </c>
      <c r="L18" s="402">
        <f>(K18-SUMIFS('03_BOC_TACH_VAN'!K:K, '03_BOC_TACH_VAN'!B:B, B18, '03_BOC_TACH_VAN'!D:D, "ĐỘNG_CƠ_VÀ_CẢM_BIẾN"))*0.25</f>
        <v/>
      </c>
      <c r="M18" s="402">
        <f>(K18-SUMIFS('03_BOC_TACH_VAN'!K:K, '03_BOC_TACH_VAN'!B:B, B18, '03_BOC_TACH_VAN'!D:D, "ĐỘNG_CƠ_VÀ_CẢM_BIẾN"))*0.10</f>
        <v/>
      </c>
      <c r="N18" s="402">
        <f>K18+L18+M18</f>
        <v/>
      </c>
      <c r="O18" s="402">
        <f>IF(G18&gt;0, N18/G18, 0)</f>
        <v/>
      </c>
      <c r="P18" s="403" t="n">
        <v>0.18</v>
      </c>
      <c r="Q18" s="402">
        <f>IF(G18&gt;0, ((N18-SUMIFS('03_BOC_TACH_VAN'!K:K, '03_BOC_TACH_VAN'!B:B, B18, '03_BOC_TACH_VAN'!D:D, "ĐỘNG_CƠ_VÀ_CẢM_BIẾN"))*(1+P18)+SUMIFS('03_BOC_TACH_VAN'!K:K, '03_BOC_TACH_VAN'!B:B, B18, '03_BOC_TACH_VAN'!D:D, "ĐỘNG_CƠ_VÀ_CẢM_BIẾN"))/G18, 0)</f>
        <v/>
      </c>
      <c r="R18" s="402">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402" t="n">
        <v>1</v>
      </c>
      <c r="H19" s="402">
        <f>SUMIF('01_BOC_TACH_ONG'!B:B, B19, '01_BOC_TACH_ONG'!K:K)</f>
        <v/>
      </c>
      <c r="I19" s="402">
        <f>SUMIF('02_BOC_TACH_CUA'!B:B, B19, '02_BOC_TACH_CUA'!K:K)</f>
        <v/>
      </c>
      <c r="J19" s="402">
        <f>SUMIF('03_BOC_TACH_VAN'!B:B, B19, '03_BOC_TACH_VAN'!K:K)</f>
        <v/>
      </c>
      <c r="K19" s="402">
        <f>SUM(H19:J19)</f>
        <v/>
      </c>
      <c r="L19" s="402">
        <f>(K19-SUMIFS('03_BOC_TACH_VAN'!K:K, '03_BOC_TACH_VAN'!B:B, B19, '03_BOC_TACH_VAN'!D:D, "ĐỘNG_CƠ_VÀ_CẢM_BIẾN"))*0.25</f>
        <v/>
      </c>
      <c r="M19" s="402">
        <f>(K19-SUMIFS('03_BOC_TACH_VAN'!K:K, '03_BOC_TACH_VAN'!B:B, B19, '03_BOC_TACH_VAN'!D:D, "ĐỘNG_CƠ_VÀ_CẢM_BIẾN"))*0.10</f>
        <v/>
      </c>
      <c r="N19" s="402">
        <f>K19+L19+M19</f>
        <v/>
      </c>
      <c r="O19" s="402">
        <f>IF(G19&gt;0, N19/G19, 0)</f>
        <v/>
      </c>
      <c r="P19" s="403" t="n">
        <v>0.18</v>
      </c>
      <c r="Q19" s="402">
        <f>IF(G19&gt;0, ((N19-SUMIFS('03_BOC_TACH_VAN'!K:K, '03_BOC_TACH_VAN'!B:B, B19, '03_BOC_TACH_VAN'!D:D, "ĐỘNG_CƠ_VÀ_CẢM_BIẾN"))*(1+P19)+SUMIFS('03_BOC_TACH_VAN'!K:K, '03_BOC_TACH_VAN'!B:B, B19, '03_BOC_TACH_VAN'!D:D, "ĐỘNG_CƠ_VÀ_CẢM_BIẾN"))/G19, 0)</f>
        <v/>
      </c>
      <c r="R19" s="402">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402" t="n">
        <v>2</v>
      </c>
      <c r="H20" s="402">
        <f>SUMIF('01_BOC_TACH_ONG'!B:B, B20, '01_BOC_TACH_ONG'!K:K)</f>
        <v/>
      </c>
      <c r="I20" s="402">
        <f>SUMIF('02_BOC_TACH_CUA'!B:B, B20, '02_BOC_TACH_CUA'!K:K)</f>
        <v/>
      </c>
      <c r="J20" s="402">
        <f>SUMIF('03_BOC_TACH_VAN'!B:B, B20, '03_BOC_TACH_VAN'!K:K)</f>
        <v/>
      </c>
      <c r="K20" s="402">
        <f>SUM(H20:J20)</f>
        <v/>
      </c>
      <c r="L20" s="402">
        <f>(K20-SUMIFS('03_BOC_TACH_VAN'!K:K, '03_BOC_TACH_VAN'!B:B, B20, '03_BOC_TACH_VAN'!D:D, "ĐỘNG_CƠ_VÀ_CẢM_BIẾN"))*0.25</f>
        <v/>
      </c>
      <c r="M20" s="402">
        <f>(K20-SUMIFS('03_BOC_TACH_VAN'!K:K, '03_BOC_TACH_VAN'!B:B, B20, '03_BOC_TACH_VAN'!D:D, "ĐỘNG_CƠ_VÀ_CẢM_BIẾN"))*0.10</f>
        <v/>
      </c>
      <c r="N20" s="402">
        <f>K20+L20+M20</f>
        <v/>
      </c>
      <c r="O20" s="402">
        <f>IF(G20&gt;0, N20/G20, 0)</f>
        <v/>
      </c>
      <c r="P20" s="403" t="n">
        <v>0.18</v>
      </c>
      <c r="Q20" s="402">
        <f>IF(G20&gt;0, ((N20-SUMIFS('03_BOC_TACH_VAN'!K:K, '03_BOC_TACH_VAN'!B:B, B20, '03_BOC_TACH_VAN'!D:D, "ĐỘNG_CƠ_VÀ_CẢM_BIẾN"))*(1+P20)+SUMIFS('03_BOC_TACH_VAN'!K:K, '03_BOC_TACH_VAN'!B:B, B20, '03_BOC_TACH_VAN'!D:D, "ĐỘNG_CƠ_VÀ_CẢM_BIẾN"))/G20, 0)</f>
        <v/>
      </c>
      <c r="R20" s="402">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402" t="n">
        <v>1</v>
      </c>
      <c r="H21" s="402">
        <f>SUMIF('01_BOC_TACH_ONG'!B:B, B21, '01_BOC_TACH_ONG'!K:K)</f>
        <v/>
      </c>
      <c r="I21" s="402">
        <f>SUMIF('02_BOC_TACH_CUA'!B:B, B21, '02_BOC_TACH_CUA'!K:K)</f>
        <v/>
      </c>
      <c r="J21" s="402">
        <f>SUMIF('03_BOC_TACH_VAN'!B:B, B21, '03_BOC_TACH_VAN'!K:K)</f>
        <v/>
      </c>
      <c r="K21" s="402">
        <f>SUM(H21:J21)</f>
        <v/>
      </c>
      <c r="L21" s="402">
        <f>(K21-SUMIFS('03_BOC_TACH_VAN'!K:K, '03_BOC_TACH_VAN'!B:B, B21, '03_BOC_TACH_VAN'!D:D, "ĐỘNG_CƠ_VÀ_CẢM_BIẾN"))*0.25</f>
        <v/>
      </c>
      <c r="M21" s="402">
        <f>(K21-SUMIFS('03_BOC_TACH_VAN'!K:K, '03_BOC_TACH_VAN'!B:B, B21, '03_BOC_TACH_VAN'!D:D, "ĐỘNG_CƠ_VÀ_CẢM_BIẾN"))*0.10</f>
        <v/>
      </c>
      <c r="N21" s="402">
        <f>K21+L21+M21</f>
        <v/>
      </c>
      <c r="O21" s="402">
        <f>IF(G21&gt;0, N21/G21, 0)</f>
        <v/>
      </c>
      <c r="P21" s="403" t="n">
        <v>0.18</v>
      </c>
      <c r="Q21" s="402">
        <f>IF(G21&gt;0, ((N21-SUMIFS('03_BOC_TACH_VAN'!K:K, '03_BOC_TACH_VAN'!B:B, B21, '03_BOC_TACH_VAN'!D:D, "ĐỘNG_CƠ_VÀ_CẢM_BIẾN"))*(1+P21)+SUMIFS('03_BOC_TACH_VAN'!K:K, '03_BOC_TACH_VAN'!B:B, B21, '03_BOC_TACH_VAN'!D:D, "ĐỘNG_CƠ_VÀ_CẢM_BIẾN"))/G21, 0)</f>
        <v/>
      </c>
      <c r="R21" s="402">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402" t="n">
        <v>1</v>
      </c>
      <c r="H22" s="402">
        <f>SUMIF('01_BOC_TACH_ONG'!B:B, B22, '01_BOC_TACH_ONG'!K:K)</f>
        <v/>
      </c>
      <c r="I22" s="402">
        <f>SUMIF('02_BOC_TACH_CUA'!B:B, B22, '02_BOC_TACH_CUA'!K:K)</f>
        <v/>
      </c>
      <c r="J22" s="402">
        <f>SUMIF('03_BOC_TACH_VAN'!B:B, B22, '03_BOC_TACH_VAN'!K:K)</f>
        <v/>
      </c>
      <c r="K22" s="402">
        <f>SUM(H22:J22)</f>
        <v/>
      </c>
      <c r="L22" s="402">
        <f>(K22-SUMIFS('03_BOC_TACH_VAN'!K:K, '03_BOC_TACH_VAN'!B:B, B22, '03_BOC_TACH_VAN'!D:D, "ĐỘNG_CƠ_VÀ_CẢM_BIẾN"))*0.25</f>
        <v/>
      </c>
      <c r="M22" s="402">
        <f>(K22-SUMIFS('03_BOC_TACH_VAN'!K:K, '03_BOC_TACH_VAN'!B:B, B22, '03_BOC_TACH_VAN'!D:D, "ĐỘNG_CƠ_VÀ_CẢM_BIẾN"))*0.10</f>
        <v/>
      </c>
      <c r="N22" s="402">
        <f>K22+L22+M22</f>
        <v/>
      </c>
      <c r="O22" s="402">
        <f>IF(G22&gt;0, N22/G22, 0)</f>
        <v/>
      </c>
      <c r="P22" s="403" t="n">
        <v>0.18</v>
      </c>
      <c r="Q22" s="402">
        <f>IF(G22&gt;0, ((N22-SUMIFS('03_BOC_TACH_VAN'!K:K, '03_BOC_TACH_VAN'!B:B, B22, '03_BOC_TACH_VAN'!D:D, "ĐỘNG_CƠ_VÀ_CẢM_BIẾN"))*(1+P22)+SUMIFS('03_BOC_TACH_VAN'!K:K, '03_BOC_TACH_VAN'!B:B, B22, '03_BOC_TACH_VAN'!D:D, "ĐỘNG_CƠ_VÀ_CẢM_BIẾN"))/G22, 0)</f>
        <v/>
      </c>
      <c r="R22" s="402">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402" t="n">
        <v>5</v>
      </c>
      <c r="H23" s="402">
        <f>SUMIF('01_BOC_TACH_ONG'!B:B, B23, '01_BOC_TACH_ONG'!K:K)</f>
        <v/>
      </c>
      <c r="I23" s="402">
        <f>SUMIF('02_BOC_TACH_CUA'!B:B, B23, '02_BOC_TACH_CUA'!K:K)</f>
        <v/>
      </c>
      <c r="J23" s="402">
        <f>SUMIF('03_BOC_TACH_VAN'!B:B, B23, '03_BOC_TACH_VAN'!K:K)</f>
        <v/>
      </c>
      <c r="K23" s="402">
        <f>SUM(H23:J23)</f>
        <v/>
      </c>
      <c r="L23" s="402">
        <f>(K23-SUMIFS('03_BOC_TACH_VAN'!K:K, '03_BOC_TACH_VAN'!B:B, B23, '03_BOC_TACH_VAN'!D:D, "ĐỘNG_CƠ_VÀ_CẢM_BIẾN"))*0.25</f>
        <v/>
      </c>
      <c r="M23" s="402">
        <f>(K23-SUMIFS('03_BOC_TACH_VAN'!K:K, '03_BOC_TACH_VAN'!B:B, B23, '03_BOC_TACH_VAN'!D:D, "ĐỘNG_CƠ_VÀ_CẢM_BIẾN"))*0.10</f>
        <v/>
      </c>
      <c r="N23" s="402">
        <f>K23+L23+M23</f>
        <v/>
      </c>
      <c r="O23" s="402">
        <f>IF(G23&gt;0, N23/G23, 0)</f>
        <v/>
      </c>
      <c r="P23" s="403" t="n">
        <v>0.18</v>
      </c>
      <c r="Q23" s="402">
        <f>IF(G23&gt;0, ((N23-SUMIFS('03_BOC_TACH_VAN'!K:K, '03_BOC_TACH_VAN'!B:B, B23, '03_BOC_TACH_VAN'!D:D, "ĐỘNG_CƠ_VÀ_CẢM_BIẾN"))*(1+P23)+SUMIFS('03_BOC_TACH_VAN'!K:K, '03_BOC_TACH_VAN'!B:B, B23, '03_BOC_TACH_VAN'!D:D, "ĐỘNG_CƠ_VÀ_CẢM_BIẾN"))/G23, 0)</f>
        <v/>
      </c>
      <c r="R23" s="402">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402" t="n">
        <v>1</v>
      </c>
      <c r="H24" s="402">
        <f>SUMIF('01_BOC_TACH_ONG'!B:B, B24, '01_BOC_TACH_ONG'!K:K)</f>
        <v/>
      </c>
      <c r="I24" s="402">
        <f>SUMIF('02_BOC_TACH_CUA'!B:B, B24, '02_BOC_TACH_CUA'!K:K)</f>
        <v/>
      </c>
      <c r="J24" s="402">
        <f>SUMIF('03_BOC_TACH_VAN'!B:B, B24, '03_BOC_TACH_VAN'!K:K)</f>
        <v/>
      </c>
      <c r="K24" s="402">
        <f>SUM(H24:J24)</f>
        <v/>
      </c>
      <c r="L24" s="402">
        <f>(K24-SUMIFS('03_BOC_TACH_VAN'!K:K, '03_BOC_TACH_VAN'!B:B, B24, '03_BOC_TACH_VAN'!D:D, "ĐỘNG_CƠ_VÀ_CẢM_BIẾN"))*0.25</f>
        <v/>
      </c>
      <c r="M24" s="402">
        <f>(K24-SUMIFS('03_BOC_TACH_VAN'!K:K, '03_BOC_TACH_VAN'!B:B, B24, '03_BOC_TACH_VAN'!D:D, "ĐỘNG_CƠ_VÀ_CẢM_BIẾN"))*0.10</f>
        <v/>
      </c>
      <c r="N24" s="402">
        <f>K24+L24+M24</f>
        <v/>
      </c>
      <c r="O24" s="402">
        <f>IF(G24&gt;0, N24/G24, 0)</f>
        <v/>
      </c>
      <c r="P24" s="403" t="n">
        <v>0.18</v>
      </c>
      <c r="Q24" s="402">
        <f>IF(G24&gt;0, ((N24-SUMIFS('03_BOC_TACH_VAN'!K:K, '03_BOC_TACH_VAN'!B:B, B24, '03_BOC_TACH_VAN'!D:D, "ĐỘNG_CƠ_VÀ_CẢM_BIẾN"))*(1+P24)+SUMIFS('03_BOC_TACH_VAN'!K:K, '03_BOC_TACH_VAN'!B:B, B24, '03_BOC_TACH_VAN'!D:D, "ĐỘNG_CƠ_VÀ_CẢM_BIẾN"))/G24, 0)</f>
        <v/>
      </c>
      <c r="R24" s="402">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402" t="n">
        <v>112</v>
      </c>
      <c r="H25" s="402">
        <f>SUMIF('01_BOC_TACH_ONG'!B:B, B25, '01_BOC_TACH_ONG'!K:K)</f>
        <v/>
      </c>
      <c r="I25" s="402">
        <f>SUMIF('02_BOC_TACH_CUA'!B:B, B25, '02_BOC_TACH_CUA'!K:K)</f>
        <v/>
      </c>
      <c r="J25" s="402">
        <f>SUMIF('03_BOC_TACH_VAN'!B:B, B25, '03_BOC_TACH_VAN'!K:K)</f>
        <v/>
      </c>
      <c r="K25" s="402">
        <f>SUM(H25:J25)</f>
        <v/>
      </c>
      <c r="L25" s="402">
        <f>(K25-SUMIFS('03_BOC_TACH_VAN'!K:K, '03_BOC_TACH_VAN'!B:B, B25, '03_BOC_TACH_VAN'!D:D, "ĐỘNG_CƠ_VÀ_CẢM_BIẾN"))*0.25</f>
        <v/>
      </c>
      <c r="M25" s="402">
        <f>(K25-SUMIFS('03_BOC_TACH_VAN'!K:K, '03_BOC_TACH_VAN'!B:B, B25, '03_BOC_TACH_VAN'!D:D, "ĐỘNG_CƠ_VÀ_CẢM_BIẾN"))*0.10</f>
        <v/>
      </c>
      <c r="N25" s="402">
        <f>K25+L25+M25</f>
        <v/>
      </c>
      <c r="O25" s="402">
        <f>IF(G25&gt;0, N25/G25, 0)</f>
        <v/>
      </c>
      <c r="P25" s="403" t="n">
        <v>0.18</v>
      </c>
      <c r="Q25" s="402">
        <f>IF(G25&gt;0, ((N25-SUMIFS('03_BOC_TACH_VAN'!K:K, '03_BOC_TACH_VAN'!B:B, B25, '03_BOC_TACH_VAN'!D:D, "ĐỘNG_CƠ_VÀ_CẢM_BIẾN"))*(1+P25)+SUMIFS('03_BOC_TACH_VAN'!K:K, '03_BOC_TACH_VAN'!B:B, B25, '03_BOC_TACH_VAN'!D:D, "ĐỘNG_CƠ_VÀ_CẢM_BIẾN"))/G25, 0)</f>
        <v/>
      </c>
      <c r="R25" s="402">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402" t="n">
        <v>2</v>
      </c>
      <c r="H26" s="402">
        <f>SUMIF('01_BOC_TACH_ONG'!B:B, B26, '01_BOC_TACH_ONG'!K:K)</f>
        <v/>
      </c>
      <c r="I26" s="402">
        <f>SUMIF('02_BOC_TACH_CUA'!B:B, B26, '02_BOC_TACH_CUA'!K:K)</f>
        <v/>
      </c>
      <c r="J26" s="402">
        <f>SUMIF('03_BOC_TACH_VAN'!B:B, B26, '03_BOC_TACH_VAN'!K:K)</f>
        <v/>
      </c>
      <c r="K26" s="402">
        <f>SUM(H26:J26)</f>
        <v/>
      </c>
      <c r="L26" s="402">
        <f>(K26-SUMIFS('03_BOC_TACH_VAN'!K:K, '03_BOC_TACH_VAN'!B:B, B26, '03_BOC_TACH_VAN'!D:D, "ĐỘNG_CƠ_VÀ_CẢM_BIẾN"))*0.25</f>
        <v/>
      </c>
      <c r="M26" s="402">
        <f>(K26-SUMIFS('03_BOC_TACH_VAN'!K:K, '03_BOC_TACH_VAN'!B:B, B26, '03_BOC_TACH_VAN'!D:D, "ĐỘNG_CƠ_VÀ_CẢM_BIẾN"))*0.10</f>
        <v/>
      </c>
      <c r="N26" s="402">
        <f>K26+L26+M26</f>
        <v/>
      </c>
      <c r="O26" s="402">
        <f>IF(G26&gt;0, N26/G26, 0)</f>
        <v/>
      </c>
      <c r="P26" s="403" t="n">
        <v>0.18</v>
      </c>
      <c r="Q26" s="402">
        <f>IF(G26&gt;0, ((N26-SUMIFS('03_BOC_TACH_VAN'!K:K, '03_BOC_TACH_VAN'!B:B, B26, '03_BOC_TACH_VAN'!D:D, "ĐỘNG_CƠ_VÀ_CẢM_BIẾN"))*(1+P26)+SUMIFS('03_BOC_TACH_VAN'!K:K, '03_BOC_TACH_VAN'!B:B, B26, '03_BOC_TACH_VAN'!D:D, "ĐỘNG_CƠ_VÀ_CẢM_BIẾN"))/G26, 0)</f>
        <v/>
      </c>
      <c r="R26" s="402">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402" t="n">
        <v>52</v>
      </c>
      <c r="H27" s="402">
        <f>SUMIF('01_BOC_TACH_ONG'!B:B, B27, '01_BOC_TACH_ONG'!K:K)</f>
        <v/>
      </c>
      <c r="I27" s="402">
        <f>SUMIF('02_BOC_TACH_CUA'!B:B, B27, '02_BOC_TACH_CUA'!K:K)</f>
        <v/>
      </c>
      <c r="J27" s="402">
        <f>SUMIF('03_BOC_TACH_VAN'!B:B, B27, '03_BOC_TACH_VAN'!K:K)</f>
        <v/>
      </c>
      <c r="K27" s="402">
        <f>SUM(H27:J27)</f>
        <v/>
      </c>
      <c r="L27" s="402">
        <f>(K27-SUMIFS('03_BOC_TACH_VAN'!K:K, '03_BOC_TACH_VAN'!B:B, B27, '03_BOC_TACH_VAN'!D:D, "ĐỘNG_CƠ_VÀ_CẢM_BIẾN"))*0.25</f>
        <v/>
      </c>
      <c r="M27" s="402">
        <f>(K27-SUMIFS('03_BOC_TACH_VAN'!K:K, '03_BOC_TACH_VAN'!B:B, B27, '03_BOC_TACH_VAN'!D:D, "ĐỘNG_CƠ_VÀ_CẢM_BIẾN"))*0.10</f>
        <v/>
      </c>
      <c r="N27" s="402">
        <f>K27+L27+M27</f>
        <v/>
      </c>
      <c r="O27" s="402">
        <f>IF(G27&gt;0, N27/G27, 0)</f>
        <v/>
      </c>
      <c r="P27" s="403" t="n">
        <v>0.18</v>
      </c>
      <c r="Q27" s="402">
        <f>IF(G27&gt;0, ((N27-SUMIFS('03_BOC_TACH_VAN'!K:K, '03_BOC_TACH_VAN'!B:B, B27, '03_BOC_TACH_VAN'!D:D, "ĐỘNG_CƠ_VÀ_CẢM_BIẾN"))*(1+P27)+SUMIFS('03_BOC_TACH_VAN'!K:K, '03_BOC_TACH_VAN'!B:B, B27, '03_BOC_TACH_VAN'!D:D, "ĐỘNG_CƠ_VÀ_CẢM_BIẾN"))/G27, 0)</f>
        <v/>
      </c>
      <c r="R27" s="402">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402" t="n">
        <v>1</v>
      </c>
      <c r="H28" s="402">
        <f>SUMIF('01_BOC_TACH_ONG'!B:B, B28, '01_BOC_TACH_ONG'!K:K)</f>
        <v/>
      </c>
      <c r="I28" s="402">
        <f>SUMIF('02_BOC_TACH_CUA'!B:B, B28, '02_BOC_TACH_CUA'!K:K)</f>
        <v/>
      </c>
      <c r="J28" s="402">
        <f>SUMIF('03_BOC_TACH_VAN'!B:B, B28, '03_BOC_TACH_VAN'!K:K)</f>
        <v/>
      </c>
      <c r="K28" s="402">
        <f>SUM(H28:J28)</f>
        <v/>
      </c>
      <c r="L28" s="402">
        <f>(K28-SUMIFS('03_BOC_TACH_VAN'!K:K, '03_BOC_TACH_VAN'!B:B, B28, '03_BOC_TACH_VAN'!D:D, "ĐỘNG_CƠ_VÀ_CẢM_BIẾN"))*0.25</f>
        <v/>
      </c>
      <c r="M28" s="402">
        <f>(K28-SUMIFS('03_BOC_TACH_VAN'!K:K, '03_BOC_TACH_VAN'!B:B, B28, '03_BOC_TACH_VAN'!D:D, "ĐỘNG_CƠ_VÀ_CẢM_BIẾN"))*0.10</f>
        <v/>
      </c>
      <c r="N28" s="402">
        <f>K28+L28+M28</f>
        <v/>
      </c>
      <c r="O28" s="402">
        <f>IF(G28&gt;0, N28/G28, 0)</f>
        <v/>
      </c>
      <c r="P28" s="403" t="n">
        <v>0.18</v>
      </c>
      <c r="Q28" s="402">
        <f>IF(G28&gt;0, ((N28-SUMIFS('03_BOC_TACH_VAN'!K:K, '03_BOC_TACH_VAN'!B:B, B28, '03_BOC_TACH_VAN'!D:D, "ĐỘNG_CƠ_VÀ_CẢM_BIẾN"))*(1+P28)+SUMIFS('03_BOC_TACH_VAN'!K:K, '03_BOC_TACH_VAN'!B:B, B28, '03_BOC_TACH_VAN'!D:D, "ĐỘNG_CƠ_VÀ_CẢM_BIẾN"))/G28, 0)</f>
        <v/>
      </c>
      <c r="R28" s="402">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402" t="n">
        <v>4</v>
      </c>
      <c r="H29" s="402">
        <f>SUMIF('01_BOC_TACH_ONG'!B:B, B29, '01_BOC_TACH_ONG'!K:K)</f>
        <v/>
      </c>
      <c r="I29" s="402">
        <f>SUMIF('02_BOC_TACH_CUA'!B:B, B29, '02_BOC_TACH_CUA'!K:K)</f>
        <v/>
      </c>
      <c r="J29" s="402">
        <f>SUMIF('03_BOC_TACH_VAN'!B:B, B29, '03_BOC_TACH_VAN'!K:K)</f>
        <v/>
      </c>
      <c r="K29" s="402">
        <f>SUM(H29:J29)</f>
        <v/>
      </c>
      <c r="L29" s="402">
        <f>(K29-SUMIFS('03_BOC_TACH_VAN'!K:K, '03_BOC_TACH_VAN'!B:B, B29, '03_BOC_TACH_VAN'!D:D, "ĐỘNG_CƠ_VÀ_CẢM_BIẾN"))*0.25</f>
        <v/>
      </c>
      <c r="M29" s="402">
        <f>(K29-SUMIFS('03_BOC_TACH_VAN'!K:K, '03_BOC_TACH_VAN'!B:B, B29, '03_BOC_TACH_VAN'!D:D, "ĐỘNG_CƠ_VÀ_CẢM_BIẾN"))*0.10</f>
        <v/>
      </c>
      <c r="N29" s="402">
        <f>K29+L29+M29</f>
        <v/>
      </c>
      <c r="O29" s="402">
        <f>IF(G29&gt;0, N29/G29, 0)</f>
        <v/>
      </c>
      <c r="P29" s="403" t="n">
        <v>0.18</v>
      </c>
      <c r="Q29" s="402">
        <f>IF(G29&gt;0, ((N29-SUMIFS('03_BOC_TACH_VAN'!K:K, '03_BOC_TACH_VAN'!B:B, B29, '03_BOC_TACH_VAN'!D:D, "ĐỘNG_CƠ_VÀ_CẢM_BIẾN"))*(1+P29)+SUMIFS('03_BOC_TACH_VAN'!K:K, '03_BOC_TACH_VAN'!B:B, B29, '03_BOC_TACH_VAN'!D:D, "ĐỘNG_CƠ_VÀ_CẢM_BIẾN"))/G29, 0)</f>
        <v/>
      </c>
      <c r="R29" s="402">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402" t="n">
        <v>4</v>
      </c>
      <c r="H30" s="402">
        <f>SUMIF('01_BOC_TACH_ONG'!B:B, B30, '01_BOC_TACH_ONG'!K:K)</f>
        <v/>
      </c>
      <c r="I30" s="402">
        <f>SUMIF('02_BOC_TACH_CUA'!B:B, B30, '02_BOC_TACH_CUA'!K:K)</f>
        <v/>
      </c>
      <c r="J30" s="402">
        <f>SUMIF('03_BOC_TACH_VAN'!B:B, B30, '03_BOC_TACH_VAN'!K:K)</f>
        <v/>
      </c>
      <c r="K30" s="402">
        <f>SUM(H30:J30)</f>
        <v/>
      </c>
      <c r="L30" s="402">
        <f>(K30-SUMIFS('03_BOC_TACH_VAN'!K:K, '03_BOC_TACH_VAN'!B:B, B30, '03_BOC_TACH_VAN'!D:D, "ĐỘNG_CƠ_VÀ_CẢM_BIẾN"))*0.25</f>
        <v/>
      </c>
      <c r="M30" s="402">
        <f>(K30-SUMIFS('03_BOC_TACH_VAN'!K:K, '03_BOC_TACH_VAN'!B:B, B30, '03_BOC_TACH_VAN'!D:D, "ĐỘNG_CƠ_VÀ_CẢM_BIẾN"))*0.10</f>
        <v/>
      </c>
      <c r="N30" s="402">
        <f>K30+L30+M30</f>
        <v/>
      </c>
      <c r="O30" s="402">
        <f>IF(G30&gt;0, N30/G30, 0)</f>
        <v/>
      </c>
      <c r="P30" s="403" t="n">
        <v>0.18</v>
      </c>
      <c r="Q30" s="402">
        <f>IF(G30&gt;0, ((N30-SUMIFS('03_BOC_TACH_VAN'!K:K, '03_BOC_TACH_VAN'!B:B, B30, '03_BOC_TACH_VAN'!D:D, "ĐỘNG_CƠ_VÀ_CẢM_BIẾN"))*(1+P30)+SUMIFS('03_BOC_TACH_VAN'!K:K, '03_BOC_TACH_VAN'!B:B, B30, '03_BOC_TACH_VAN'!D:D, "ĐỘNG_CƠ_VÀ_CẢM_BIẾN"))/G30, 0)</f>
        <v/>
      </c>
      <c r="R30" s="402">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402" t="n">
        <v>1</v>
      </c>
      <c r="H31" s="402">
        <f>SUMIF('01_BOC_TACH_ONG'!B:B, B31, '01_BOC_TACH_ONG'!K:K)</f>
        <v/>
      </c>
      <c r="I31" s="402">
        <f>SUMIF('02_BOC_TACH_CUA'!B:B, B31, '02_BOC_TACH_CUA'!K:K)</f>
        <v/>
      </c>
      <c r="J31" s="402">
        <f>SUMIF('03_BOC_TACH_VAN'!B:B, B31, '03_BOC_TACH_VAN'!K:K)</f>
        <v/>
      </c>
      <c r="K31" s="402">
        <f>SUM(H31:J31)</f>
        <v/>
      </c>
      <c r="L31" s="402">
        <f>(K31-SUMIFS('03_BOC_TACH_VAN'!K:K, '03_BOC_TACH_VAN'!B:B, B31, '03_BOC_TACH_VAN'!D:D, "ĐỘNG_CƠ_VÀ_CẢM_BIẾN"))*0.25</f>
        <v/>
      </c>
      <c r="M31" s="402">
        <f>(K31-SUMIFS('03_BOC_TACH_VAN'!K:K, '03_BOC_TACH_VAN'!B:B, B31, '03_BOC_TACH_VAN'!D:D, "ĐỘNG_CƠ_VÀ_CẢM_BIẾN"))*0.10</f>
        <v/>
      </c>
      <c r="N31" s="402">
        <f>K31+L31+M31</f>
        <v/>
      </c>
      <c r="O31" s="402">
        <f>IF(G31&gt;0, N31/G31, 0)</f>
        <v/>
      </c>
      <c r="P31" s="403" t="n">
        <v>0.18</v>
      </c>
      <c r="Q31" s="402">
        <f>IF(G31&gt;0, ((N31-SUMIFS('03_BOC_TACH_VAN'!K:K, '03_BOC_TACH_VAN'!B:B, B31, '03_BOC_TACH_VAN'!D:D, "ĐỘNG_CƠ_VÀ_CẢM_BIẾN"))*(1+P31)+SUMIFS('03_BOC_TACH_VAN'!K:K, '03_BOC_TACH_VAN'!B:B, B31, '03_BOC_TACH_VAN'!D:D, "ĐỘNG_CƠ_VÀ_CẢM_BIẾN"))/G31, 0)</f>
        <v/>
      </c>
      <c r="R31" s="402">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402" t="n">
        <v>2</v>
      </c>
      <c r="H32" s="402">
        <f>SUMIF('01_BOC_TACH_ONG'!B:B, B32, '01_BOC_TACH_ONG'!K:K)</f>
        <v/>
      </c>
      <c r="I32" s="402">
        <f>SUMIF('02_BOC_TACH_CUA'!B:B, B32, '02_BOC_TACH_CUA'!K:K)</f>
        <v/>
      </c>
      <c r="J32" s="402">
        <f>SUMIF('03_BOC_TACH_VAN'!B:B, B32, '03_BOC_TACH_VAN'!K:K)</f>
        <v/>
      </c>
      <c r="K32" s="402">
        <f>SUM(H32:J32)</f>
        <v/>
      </c>
      <c r="L32" s="402">
        <f>(K32-SUMIFS('03_BOC_TACH_VAN'!K:K, '03_BOC_TACH_VAN'!B:B, B32, '03_BOC_TACH_VAN'!D:D, "ĐỘNG_CƠ_VÀ_CẢM_BIẾN"))*0.25</f>
        <v/>
      </c>
      <c r="M32" s="402">
        <f>(K32-SUMIFS('03_BOC_TACH_VAN'!K:K, '03_BOC_TACH_VAN'!B:B, B32, '03_BOC_TACH_VAN'!D:D, "ĐỘNG_CƠ_VÀ_CẢM_BIẾN"))*0.10</f>
        <v/>
      </c>
      <c r="N32" s="402">
        <f>K32+L32+M32</f>
        <v/>
      </c>
      <c r="O32" s="402">
        <f>IF(G32&gt;0, N32/G32, 0)</f>
        <v/>
      </c>
      <c r="P32" s="403" t="n">
        <v>0.18</v>
      </c>
      <c r="Q32" s="402">
        <f>IF(G32&gt;0, ((N32-SUMIFS('03_BOC_TACH_VAN'!K:K, '03_BOC_TACH_VAN'!B:B, B32, '03_BOC_TACH_VAN'!D:D, "ĐỘNG_CƠ_VÀ_CẢM_BIẾN"))*(1+P32)+SUMIFS('03_BOC_TACH_VAN'!K:K, '03_BOC_TACH_VAN'!B:B, B32, '03_BOC_TACH_VAN'!D:D, "ĐỘNG_CƠ_VÀ_CẢM_BIẾN"))/G32, 0)</f>
        <v/>
      </c>
      <c r="R32" s="402">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402" t="n">
        <v>112</v>
      </c>
      <c r="H33" s="402">
        <f>SUMIF('01_BOC_TACH_ONG'!B:B, B33, '01_BOC_TACH_ONG'!K:K)</f>
        <v/>
      </c>
      <c r="I33" s="402">
        <f>SUMIF('02_BOC_TACH_CUA'!B:B, B33, '02_BOC_TACH_CUA'!K:K)</f>
        <v/>
      </c>
      <c r="J33" s="402">
        <f>SUMIF('03_BOC_TACH_VAN'!B:B, B33, '03_BOC_TACH_VAN'!K:K)</f>
        <v/>
      </c>
      <c r="K33" s="402">
        <f>SUM(H33:J33)</f>
        <v/>
      </c>
      <c r="L33" s="402">
        <f>(K33-SUMIFS('03_BOC_TACH_VAN'!K:K, '03_BOC_TACH_VAN'!B:B, B33, '03_BOC_TACH_VAN'!D:D, "ĐỘNG_CƠ_VÀ_CẢM_BIẾN"))*0.25</f>
        <v/>
      </c>
      <c r="M33" s="402">
        <f>(K33-SUMIFS('03_BOC_TACH_VAN'!K:K, '03_BOC_TACH_VAN'!B:B, B33, '03_BOC_TACH_VAN'!D:D, "ĐỘNG_CƠ_VÀ_CẢM_BIẾN"))*0.10</f>
        <v/>
      </c>
      <c r="N33" s="402">
        <f>K33+L33+M33</f>
        <v/>
      </c>
      <c r="O33" s="402">
        <f>IF(G33&gt;0, N33/G33, 0)</f>
        <v/>
      </c>
      <c r="P33" s="403" t="n">
        <v>0.18</v>
      </c>
      <c r="Q33" s="402">
        <f>IF(G33&gt;0, ((N33-SUMIFS('03_BOC_TACH_VAN'!K:K, '03_BOC_TACH_VAN'!B:B, B33, '03_BOC_TACH_VAN'!D:D, "ĐỘNG_CƠ_VÀ_CẢM_BIẾN"))*(1+P33)+SUMIFS('03_BOC_TACH_VAN'!K:K, '03_BOC_TACH_VAN'!B:B, B33, '03_BOC_TACH_VAN'!D:D, "ĐỘNG_CƠ_VÀ_CẢM_BIẾN"))/G33, 0)</f>
        <v/>
      </c>
      <c r="R33" s="402">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402" t="n">
        <v>2</v>
      </c>
      <c r="H34" s="402">
        <f>SUMIF('01_BOC_TACH_ONG'!B:B, B34, '01_BOC_TACH_ONG'!K:K)</f>
        <v/>
      </c>
      <c r="I34" s="402">
        <f>SUMIF('02_BOC_TACH_CUA'!B:B, B34, '02_BOC_TACH_CUA'!K:K)</f>
        <v/>
      </c>
      <c r="J34" s="402">
        <f>SUMIF('03_BOC_TACH_VAN'!B:B, B34, '03_BOC_TACH_VAN'!K:K)</f>
        <v/>
      </c>
      <c r="K34" s="402">
        <f>SUM(H34:J34)</f>
        <v/>
      </c>
      <c r="L34" s="402">
        <f>(K34-SUMIFS('03_BOC_TACH_VAN'!K:K, '03_BOC_TACH_VAN'!B:B, B34, '03_BOC_TACH_VAN'!D:D, "ĐỘNG_CƠ_VÀ_CẢM_BIẾN"))*0.25</f>
        <v/>
      </c>
      <c r="M34" s="402">
        <f>(K34-SUMIFS('03_BOC_TACH_VAN'!K:K, '03_BOC_TACH_VAN'!B:B, B34, '03_BOC_TACH_VAN'!D:D, "ĐỘNG_CƠ_VÀ_CẢM_BIẾN"))*0.10</f>
        <v/>
      </c>
      <c r="N34" s="402">
        <f>K34+L34+M34</f>
        <v/>
      </c>
      <c r="O34" s="402">
        <f>IF(G34&gt;0, N34/G34, 0)</f>
        <v/>
      </c>
      <c r="P34" s="403" t="n">
        <v>0.18</v>
      </c>
      <c r="Q34" s="402">
        <f>IF(G34&gt;0, ((N34-SUMIFS('03_BOC_TACH_VAN'!K:K, '03_BOC_TACH_VAN'!B:B, B34, '03_BOC_TACH_VAN'!D:D, "ĐỘNG_CƠ_VÀ_CẢM_BIẾN"))*(1+P34)+SUMIFS('03_BOC_TACH_VAN'!K:K, '03_BOC_TACH_VAN'!B:B, B34, '03_BOC_TACH_VAN'!D:D, "ĐỘNG_CƠ_VÀ_CẢM_BIẾN"))/G34, 0)</f>
        <v/>
      </c>
      <c r="R34" s="402">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402" t="n">
        <v>52</v>
      </c>
      <c r="H35" s="402">
        <f>SUMIF('01_BOC_TACH_ONG'!B:B, B35, '01_BOC_TACH_ONG'!K:K)</f>
        <v/>
      </c>
      <c r="I35" s="402">
        <f>SUMIF('02_BOC_TACH_CUA'!B:B, B35, '02_BOC_TACH_CUA'!K:K)</f>
        <v/>
      </c>
      <c r="J35" s="402">
        <f>SUMIF('03_BOC_TACH_VAN'!B:B, B35, '03_BOC_TACH_VAN'!K:K)</f>
        <v/>
      </c>
      <c r="K35" s="402">
        <f>SUM(H35:J35)</f>
        <v/>
      </c>
      <c r="L35" s="402">
        <f>(K35-SUMIFS('03_BOC_TACH_VAN'!K:K, '03_BOC_TACH_VAN'!B:B, B35, '03_BOC_TACH_VAN'!D:D, "ĐỘNG_CƠ_VÀ_CẢM_BIẾN"))*0.25</f>
        <v/>
      </c>
      <c r="M35" s="402">
        <f>(K35-SUMIFS('03_BOC_TACH_VAN'!K:K, '03_BOC_TACH_VAN'!B:B, B35, '03_BOC_TACH_VAN'!D:D, "ĐỘNG_CƠ_VÀ_CẢM_BIẾN"))*0.10</f>
        <v/>
      </c>
      <c r="N35" s="402">
        <f>K35+L35+M35</f>
        <v/>
      </c>
      <c r="O35" s="402">
        <f>IF(G35&gt;0, N35/G35, 0)</f>
        <v/>
      </c>
      <c r="P35" s="403" t="n">
        <v>0.18</v>
      </c>
      <c r="Q35" s="402">
        <f>IF(G35&gt;0, ((N35-SUMIFS('03_BOC_TACH_VAN'!K:K, '03_BOC_TACH_VAN'!B:B, B35, '03_BOC_TACH_VAN'!D:D, "ĐỘNG_CƠ_VÀ_CẢM_BIẾN"))*(1+P35)+SUMIFS('03_BOC_TACH_VAN'!K:K, '03_BOC_TACH_VAN'!B:B, B35, '03_BOC_TACH_VAN'!D:D, "ĐỘNG_CƠ_VÀ_CẢM_BIẾN"))/G35, 0)</f>
        <v/>
      </c>
      <c r="R35" s="402">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402" t="n">
        <v>1</v>
      </c>
      <c r="H36" s="402">
        <f>SUMIF('01_BOC_TACH_ONG'!B:B, B36, '01_BOC_TACH_ONG'!K:K)</f>
        <v/>
      </c>
      <c r="I36" s="402">
        <f>SUMIF('02_BOC_TACH_CUA'!B:B, B36, '02_BOC_TACH_CUA'!K:K)</f>
        <v/>
      </c>
      <c r="J36" s="402">
        <f>SUMIF('03_BOC_TACH_VAN'!B:B, B36, '03_BOC_TACH_VAN'!K:K)</f>
        <v/>
      </c>
      <c r="K36" s="402">
        <f>SUM(H36:J36)</f>
        <v/>
      </c>
      <c r="L36" s="402">
        <f>(K36-SUMIFS('03_BOC_TACH_VAN'!K:K, '03_BOC_TACH_VAN'!B:B, B36, '03_BOC_TACH_VAN'!D:D, "ĐỘNG_CƠ_VÀ_CẢM_BIẾN"))*0.00</f>
        <v/>
      </c>
      <c r="M36" s="402">
        <f>(K36-SUMIFS('03_BOC_TACH_VAN'!K:K, '03_BOC_TACH_VAN'!B:B, B36, '03_BOC_TACH_VAN'!D:D, "ĐỘNG_CƠ_VÀ_CẢM_BIẾN"))*0.02</f>
        <v/>
      </c>
      <c r="N36" s="402">
        <f>K36+L36+M36</f>
        <v/>
      </c>
      <c r="O36" s="402">
        <f>IF(G36&gt;0, N36/G36, 0)</f>
        <v/>
      </c>
      <c r="P36" s="403" t="n">
        <v>0.1</v>
      </c>
      <c r="Q36" s="402">
        <f>IF(G36&gt;0, ((N36-SUMIFS('03_BOC_TACH_VAN'!K:K, '03_BOC_TACH_VAN'!B:B, B36, '03_BOC_TACH_VAN'!D:D, "ĐỘNG_CƠ_VÀ_CẢM_BIẾN"))*(1+P36)+SUMIFS('03_BOC_TACH_VAN'!K:K, '03_BOC_TACH_VAN'!B:B, B36, '03_BOC_TACH_VAN'!D:D, "ĐỘNG_CƠ_VÀ_CẢM_BIẾN"))/G36, 0)</f>
        <v/>
      </c>
      <c r="R36" s="402">
        <f>G36*Q36</f>
        <v/>
      </c>
      <c r="S36" t="inlineStr">
        <is>
          <t>Hàng thương mại (Lấy nguyên giá BOQ)</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402" t="n">
        <v>2633.4</v>
      </c>
      <c r="H37" s="402">
        <f>SUMIF('01_BOC_TACH_ONG'!B:B, B37, '01_BOC_TACH_ONG'!K:K)</f>
        <v/>
      </c>
      <c r="I37" s="402">
        <f>SUMIF('02_BOC_TACH_CUA'!B:B, B37, '02_BOC_TACH_CUA'!K:K)</f>
        <v/>
      </c>
      <c r="J37" s="402">
        <f>SUMIF('03_BOC_TACH_VAN'!B:B, B37, '03_BOC_TACH_VAN'!K:K)</f>
        <v/>
      </c>
      <c r="K37" s="402">
        <f>SUM(H37:J37)</f>
        <v/>
      </c>
      <c r="L37" s="402">
        <f>(K37-SUMIFS('03_BOC_TACH_VAN'!K:K, '03_BOC_TACH_VAN'!B:B, B37, '03_BOC_TACH_VAN'!D:D, "ĐỘNG_CƠ_VÀ_CẢM_BIẾN"))*0.25</f>
        <v/>
      </c>
      <c r="M37" s="402">
        <f>(K37-SUMIFS('03_BOC_TACH_VAN'!K:K, '03_BOC_TACH_VAN'!B:B, B37, '03_BOC_TACH_VAN'!D:D, "ĐỘNG_CƠ_VÀ_CẢM_BIẾN"))*0.10</f>
        <v/>
      </c>
      <c r="N37" s="402">
        <f>K37+L37+M37</f>
        <v/>
      </c>
      <c r="O37" s="402">
        <f>IF(G37&gt;0, N37/G37, 0)</f>
        <v/>
      </c>
      <c r="P37" s="403" t="n">
        <v>0.18</v>
      </c>
      <c r="Q37" s="402">
        <f>IF(G37&gt;0, ((N37-SUMIFS('03_BOC_TACH_VAN'!K:K, '03_BOC_TACH_VAN'!B:B, B37, '03_BOC_TACH_VAN'!D:D, "ĐỘNG_CƠ_VÀ_CẢM_BIẾN"))*(1+P37)+SUMIFS('03_BOC_TACH_VAN'!K:K, '03_BOC_TACH_VAN'!B:B, B37, '03_BOC_TACH_VAN'!D:D, "ĐỘNG_CƠ_VÀ_CẢM_BIẾN"))/G37, 0)</f>
        <v/>
      </c>
      <c r="R37" s="402">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402" t="n">
        <v>1291.1</v>
      </c>
      <c r="H38" s="402">
        <f>SUMIF('01_BOC_TACH_ONG'!B:B, B38, '01_BOC_TACH_ONG'!K:K)</f>
        <v/>
      </c>
      <c r="I38" s="402">
        <f>SUMIF('02_BOC_TACH_CUA'!B:B, B38, '02_BOC_TACH_CUA'!K:K)</f>
        <v/>
      </c>
      <c r="J38" s="402">
        <f>SUMIF('03_BOC_TACH_VAN'!B:B, B38, '03_BOC_TACH_VAN'!K:K)</f>
        <v/>
      </c>
      <c r="K38" s="402">
        <f>SUM(H38:J38)</f>
        <v/>
      </c>
      <c r="L38" s="402">
        <f>(K38-SUMIFS('03_BOC_TACH_VAN'!K:K, '03_BOC_TACH_VAN'!B:B, B38, '03_BOC_TACH_VAN'!D:D, "ĐỘNG_CƠ_VÀ_CẢM_BIẾN"))*0.25</f>
        <v/>
      </c>
      <c r="M38" s="402">
        <f>(K38-SUMIFS('03_BOC_TACH_VAN'!K:K, '03_BOC_TACH_VAN'!B:B, B38, '03_BOC_TACH_VAN'!D:D, "ĐỘNG_CƠ_VÀ_CẢM_BIẾN"))*0.10</f>
        <v/>
      </c>
      <c r="N38" s="402">
        <f>K38+L38+M38</f>
        <v/>
      </c>
      <c r="O38" s="402">
        <f>IF(G38&gt;0, N38/G38, 0)</f>
        <v/>
      </c>
      <c r="P38" s="403" t="n">
        <v>0.18</v>
      </c>
      <c r="Q38" s="402">
        <f>IF(G38&gt;0, ((N38-SUMIFS('03_BOC_TACH_VAN'!K:K, '03_BOC_TACH_VAN'!B:B, B38, '03_BOC_TACH_VAN'!D:D, "ĐỘNG_CƠ_VÀ_CẢM_BIẾN"))*(1+P38)+SUMIFS('03_BOC_TACH_VAN'!K:K, '03_BOC_TACH_VAN'!B:B, B38, '03_BOC_TACH_VAN'!D:D, "ĐỘNG_CƠ_VÀ_CẢM_BIẾN"))/G38, 0)</f>
        <v/>
      </c>
      <c r="R38" s="402">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402" t="n">
        <v>3070.55</v>
      </c>
      <c r="H39" s="402">
        <f>SUMIF('01_BOC_TACH_ONG'!B:B, B39, '01_BOC_TACH_ONG'!K:K)</f>
        <v/>
      </c>
      <c r="I39" s="402">
        <f>SUMIF('02_BOC_TACH_CUA'!B:B, B39, '02_BOC_TACH_CUA'!K:K)</f>
        <v/>
      </c>
      <c r="J39" s="402">
        <f>SUMIF('03_BOC_TACH_VAN'!B:B, B39, '03_BOC_TACH_VAN'!K:K)</f>
        <v/>
      </c>
      <c r="K39" s="402">
        <f>SUM(H39:J39)</f>
        <v/>
      </c>
      <c r="L39" s="402">
        <f>(K39-SUMIFS('03_BOC_TACH_VAN'!K:K, '03_BOC_TACH_VAN'!B:B, B39, '03_BOC_TACH_VAN'!D:D, "ĐỘNG_CƠ_VÀ_CẢM_BIẾN"))*0.25</f>
        <v/>
      </c>
      <c r="M39" s="402">
        <f>(K39-SUMIFS('03_BOC_TACH_VAN'!K:K, '03_BOC_TACH_VAN'!B:B, B39, '03_BOC_TACH_VAN'!D:D, "ĐỘNG_CƠ_VÀ_CẢM_BIẾN"))*0.10</f>
        <v/>
      </c>
      <c r="N39" s="402">
        <f>K39+L39+M39</f>
        <v/>
      </c>
      <c r="O39" s="402">
        <f>IF(G39&gt;0, N39/G39, 0)</f>
        <v/>
      </c>
      <c r="P39" s="403" t="n">
        <v>0.18</v>
      </c>
      <c r="Q39" s="402">
        <f>IF(G39&gt;0, ((N39-SUMIFS('03_BOC_TACH_VAN'!K:K, '03_BOC_TACH_VAN'!B:B, B39, '03_BOC_TACH_VAN'!D:D, "ĐỘNG_CƠ_VÀ_CẢM_BIẾN"))*(1+P39)+SUMIFS('03_BOC_TACH_VAN'!K:K, '03_BOC_TACH_VAN'!B:B, B39, '03_BOC_TACH_VAN'!D:D, "ĐỘNG_CƠ_VÀ_CẢM_BIẾN"))/G39, 0)</f>
        <v/>
      </c>
      <c r="R39" s="402">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402" t="n">
        <v>138</v>
      </c>
      <c r="H40" s="402">
        <f>SUMIF('01_BOC_TACH_ONG'!B:B, B40, '01_BOC_TACH_ONG'!K:K)</f>
        <v/>
      </c>
      <c r="I40" s="402">
        <f>SUMIF('02_BOC_TACH_CUA'!B:B, B40, '02_BOC_TACH_CUA'!K:K)</f>
        <v/>
      </c>
      <c r="J40" s="402">
        <f>SUMIF('03_BOC_TACH_VAN'!B:B, B40, '03_BOC_TACH_VAN'!K:K)</f>
        <v/>
      </c>
      <c r="K40" s="402">
        <f>SUM(H40:J40)</f>
        <v/>
      </c>
      <c r="L40" s="402">
        <f>(K40-SUMIFS('03_BOC_TACH_VAN'!K:K, '03_BOC_TACH_VAN'!B:B, B40, '03_BOC_TACH_VAN'!D:D, "ĐỘNG_CƠ_VÀ_CẢM_BIẾN"))*0.25</f>
        <v/>
      </c>
      <c r="M40" s="402">
        <f>(K40-SUMIFS('03_BOC_TACH_VAN'!K:K, '03_BOC_TACH_VAN'!B:B, B40, '03_BOC_TACH_VAN'!D:D, "ĐỘNG_CƠ_VÀ_CẢM_BIẾN"))*0.10</f>
        <v/>
      </c>
      <c r="N40" s="402">
        <f>K40+L40+M40</f>
        <v/>
      </c>
      <c r="O40" s="402">
        <f>IF(G40&gt;0, N40/G40, 0)</f>
        <v/>
      </c>
      <c r="P40" s="403" t="n">
        <v>0.18</v>
      </c>
      <c r="Q40" s="402">
        <f>IF(G40&gt;0, ((N40-SUMIFS('03_BOC_TACH_VAN'!K:K, '03_BOC_TACH_VAN'!B:B, B40, '03_BOC_TACH_VAN'!D:D, "ĐỘNG_CƠ_VÀ_CẢM_BIẾN"))*(1+P40)+SUMIFS('03_BOC_TACH_VAN'!K:K, '03_BOC_TACH_VAN'!B:B, B40, '03_BOC_TACH_VAN'!D:D, "ĐỘNG_CƠ_VÀ_CẢM_BIẾN"))/G40, 0)</f>
        <v/>
      </c>
      <c r="R40" s="402">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402" t="n">
        <v>3</v>
      </c>
      <c r="H41" s="402">
        <f>SUMIF('01_BOC_TACH_ONG'!B:B, B41, '01_BOC_TACH_ONG'!K:K)</f>
        <v/>
      </c>
      <c r="I41" s="402">
        <f>SUMIF('02_BOC_TACH_CUA'!B:B, B41, '02_BOC_TACH_CUA'!K:K)</f>
        <v/>
      </c>
      <c r="J41" s="402">
        <f>SUMIF('03_BOC_TACH_VAN'!B:B, B41, '03_BOC_TACH_VAN'!K:K)</f>
        <v/>
      </c>
      <c r="K41" s="402">
        <f>SUM(H41:J41)</f>
        <v/>
      </c>
      <c r="L41" s="402">
        <f>(K41-SUMIFS('03_BOC_TACH_VAN'!K:K, '03_BOC_TACH_VAN'!B:B, B41, '03_BOC_TACH_VAN'!D:D, "ĐỘNG_CƠ_VÀ_CẢM_BIẾN"))*0.00</f>
        <v/>
      </c>
      <c r="M41" s="402">
        <f>(K41-SUMIFS('03_BOC_TACH_VAN'!K:K, '03_BOC_TACH_VAN'!B:B, B41, '03_BOC_TACH_VAN'!D:D, "ĐỘNG_CƠ_VÀ_CẢM_BIẾN"))*0.02</f>
        <v/>
      </c>
      <c r="N41" s="402">
        <f>K41+L41+M41</f>
        <v/>
      </c>
      <c r="O41" s="402">
        <f>IF(G41&gt;0, N41/G41, 0)</f>
        <v/>
      </c>
      <c r="P41" s="403" t="n">
        <v>0.1</v>
      </c>
      <c r="Q41" s="402">
        <f>IF(G41&gt;0, ((N41-SUMIFS('03_BOC_TACH_VAN'!K:K, '03_BOC_TACH_VAN'!B:B, B41, '03_BOC_TACH_VAN'!D:D, "ĐỘNG_CƠ_VÀ_CẢM_BIẾN"))*(1+P41)+SUMIFS('03_BOC_TACH_VAN'!K:K, '03_BOC_TACH_VAN'!B:B, B41, '03_BOC_TACH_VAN'!D:D, "ĐỘNG_CƠ_VÀ_CẢM_BIẾN"))/G41, 0)</f>
        <v/>
      </c>
      <c r="R41" s="402">
        <f>G41*Q41</f>
        <v/>
      </c>
      <c r="S41" t="inlineStr">
        <is>
          <t>Hàng thương mại (Lấy nguyên giá BOQ)</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402" t="n">
        <v>3621.25</v>
      </c>
      <c r="H42" s="402">
        <f>SUMIF('01_BOC_TACH_ONG'!B:B, B42, '01_BOC_TACH_ONG'!K:K)</f>
        <v/>
      </c>
      <c r="I42" s="402">
        <f>SUMIF('02_BOC_TACH_CUA'!B:B, B42, '02_BOC_TACH_CUA'!K:K)</f>
        <v/>
      </c>
      <c r="J42" s="402">
        <f>SUMIF('03_BOC_TACH_VAN'!B:B, B42, '03_BOC_TACH_VAN'!K:K)</f>
        <v/>
      </c>
      <c r="K42" s="402">
        <f>SUM(H42:J42)</f>
        <v/>
      </c>
      <c r="L42" s="402">
        <f>(K42-SUMIFS('03_BOC_TACH_VAN'!K:K, '03_BOC_TACH_VAN'!B:B, B42, '03_BOC_TACH_VAN'!D:D, "ĐỘNG_CƠ_VÀ_CẢM_BIẾN"))*0.00</f>
        <v/>
      </c>
      <c r="M42" s="402">
        <f>(K42-SUMIFS('03_BOC_TACH_VAN'!K:K, '03_BOC_TACH_VAN'!B:B, B42, '03_BOC_TACH_VAN'!D:D, "ĐỘNG_CƠ_VÀ_CẢM_BIẾN"))*0.02</f>
        <v/>
      </c>
      <c r="N42" s="402">
        <f>K42+L42+M42</f>
        <v/>
      </c>
      <c r="O42" s="402">
        <f>IF(G42&gt;0, N42/G42, 0)</f>
        <v/>
      </c>
      <c r="P42" s="403" t="n">
        <v>0.1</v>
      </c>
      <c r="Q42" s="402">
        <f>IF(G42&gt;0, ((N42-SUMIFS('03_BOC_TACH_VAN'!K:K, '03_BOC_TACH_VAN'!B:B, B42, '03_BOC_TACH_VAN'!D:D, "ĐỘNG_CƠ_VÀ_CẢM_BIẾN"))*(1+P42)+SUMIFS('03_BOC_TACH_VAN'!K:K, '03_BOC_TACH_VAN'!B:B, B42, '03_BOC_TACH_VAN'!D:D, "ĐỘNG_CƠ_VÀ_CẢM_BIẾN"))/G42, 0)</f>
        <v/>
      </c>
      <c r="R42" s="402">
        <f>G42*Q42</f>
        <v/>
      </c>
      <c r="S42" t="inlineStr">
        <is>
          <t>Hàng thương mại (Lấy nguyên giá BOQ)</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402" t="n">
        <v>2821</v>
      </c>
      <c r="H43" s="402">
        <f>SUMIF('01_BOC_TACH_ONG'!B:B, B43, '01_BOC_TACH_ONG'!K:K)</f>
        <v/>
      </c>
      <c r="I43" s="402">
        <f>SUMIF('02_BOC_TACH_CUA'!B:B, B43, '02_BOC_TACH_CUA'!K:K)</f>
        <v/>
      </c>
      <c r="J43" s="402">
        <f>SUMIF('03_BOC_TACH_VAN'!B:B, B43, '03_BOC_TACH_VAN'!K:K)</f>
        <v/>
      </c>
      <c r="K43" s="402">
        <f>SUM(H43:J43)</f>
        <v/>
      </c>
      <c r="L43" s="402">
        <f>(K43-SUMIFS('03_BOC_TACH_VAN'!K:K, '03_BOC_TACH_VAN'!B:B, B43, '03_BOC_TACH_VAN'!D:D, "ĐỘNG_CƠ_VÀ_CẢM_BIẾN"))*0.00</f>
        <v/>
      </c>
      <c r="M43" s="402">
        <f>(K43-SUMIFS('03_BOC_TACH_VAN'!K:K, '03_BOC_TACH_VAN'!B:B, B43, '03_BOC_TACH_VAN'!D:D, "ĐỘNG_CƠ_VÀ_CẢM_BIẾN"))*0.02</f>
        <v/>
      </c>
      <c r="N43" s="402">
        <f>K43+L43+M43</f>
        <v/>
      </c>
      <c r="O43" s="402">
        <f>IF(G43&gt;0, N43/G43, 0)</f>
        <v/>
      </c>
      <c r="P43" s="403" t="n">
        <v>0.1</v>
      </c>
      <c r="Q43" s="402">
        <f>IF(G43&gt;0, ((N43-SUMIFS('03_BOC_TACH_VAN'!K:K, '03_BOC_TACH_VAN'!B:B, B43, '03_BOC_TACH_VAN'!D:D, "ĐỘNG_CƠ_VÀ_CẢM_BIẾN"))*(1+P43)+SUMIFS('03_BOC_TACH_VAN'!K:K, '03_BOC_TACH_VAN'!B:B, B43, '03_BOC_TACH_VAN'!D:D, "ĐỘNG_CƠ_VÀ_CẢM_BIẾN"))/G43, 0)</f>
        <v/>
      </c>
      <c r="R43" s="402">
        <f>G43*Q43</f>
        <v/>
      </c>
      <c r="S43" t="inlineStr">
        <is>
          <t>Hàng thương mại (Lấy nguyên giá BOQ)</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402" t="n">
        <v>1</v>
      </c>
      <c r="H44" s="402">
        <f>SUMIF('01_BOC_TACH_ONG'!B:B, B44, '01_BOC_TACH_ONG'!K:K)</f>
        <v/>
      </c>
      <c r="I44" s="402">
        <f>SUMIF('02_BOC_TACH_CUA'!B:B, B44, '02_BOC_TACH_CUA'!K:K)</f>
        <v/>
      </c>
      <c r="J44" s="402">
        <f>SUMIF('03_BOC_TACH_VAN'!B:B, B44, '03_BOC_TACH_VAN'!K:K)</f>
        <v/>
      </c>
      <c r="K44" s="402">
        <f>SUM(H44:J44)</f>
        <v/>
      </c>
      <c r="L44" s="402">
        <f>(K44-SUMIFS('03_BOC_TACH_VAN'!K:K, '03_BOC_TACH_VAN'!B:B, B44, '03_BOC_TACH_VAN'!D:D, "ĐỘNG_CƠ_VÀ_CẢM_BIẾN"))*0.00</f>
        <v/>
      </c>
      <c r="M44" s="402">
        <f>(K44-SUMIFS('03_BOC_TACH_VAN'!K:K, '03_BOC_TACH_VAN'!B:B, B44, '03_BOC_TACH_VAN'!D:D, "ĐỘNG_CƠ_VÀ_CẢM_BIẾN"))*0.02</f>
        <v/>
      </c>
      <c r="N44" s="402">
        <f>K44+L44+M44</f>
        <v/>
      </c>
      <c r="O44" s="402">
        <f>IF(G44&gt;0, N44/G44, 0)</f>
        <v/>
      </c>
      <c r="P44" s="403" t="n">
        <v>0.1</v>
      </c>
      <c r="Q44" s="402">
        <f>IF(G44&gt;0, ((N44-SUMIFS('03_BOC_TACH_VAN'!K:K, '03_BOC_TACH_VAN'!B:B, B44, '03_BOC_TACH_VAN'!D:D, "ĐỘNG_CƠ_VÀ_CẢM_BIẾN"))*(1+P44)+SUMIFS('03_BOC_TACH_VAN'!K:K, '03_BOC_TACH_VAN'!B:B, B44, '03_BOC_TACH_VAN'!D:D, "ĐỘNG_CƠ_VÀ_CẢM_BIẾN"))/G44, 0)</f>
        <v/>
      </c>
      <c r="R44" s="402">
        <f>G44*Q44</f>
        <v/>
      </c>
      <c r="S44" t="inlineStr">
        <is>
          <t>Hàng thương mại (Lấy nguyên giá BOQ)</t>
        </is>
      </c>
    </row>
    <row r="45">
      <c r="A45" t="n">
        <v>44</v>
      </c>
      <c r="B45" t="inlineStr">
        <is>
          <t>SW-DAMPER-044</t>
        </is>
      </c>
      <c r="C45" t="inlineStr">
        <is>
          <t>VAN GIÓ</t>
        </is>
      </c>
      <c r="D45" t="inlineStr">
        <is>
          <t>HỆ THỐNG TẠO ÁP Van 1 chiều NRD 300x200 (EI60)</t>
        </is>
      </c>
      <c r="E45" t="inlineStr">
        <is>
          <t>300x200</t>
        </is>
      </c>
      <c r="F45" t="inlineStr">
        <is>
          <t>Cái</t>
        </is>
      </c>
      <c r="G45" s="402" t="n">
        <v>1</v>
      </c>
      <c r="H45" s="402">
        <f>SUMIF('01_BOC_TACH_ONG'!B:B, B45, '01_BOC_TACH_ONG'!K:K)</f>
        <v/>
      </c>
      <c r="I45" s="402">
        <f>SUMIF('02_BOC_TACH_CUA'!B:B, B45, '02_BOC_TACH_CUA'!K:K)</f>
        <v/>
      </c>
      <c r="J45" s="402">
        <f>SUMIF('03_BOC_TACH_VAN'!B:B, B45, '03_BOC_TACH_VAN'!K:K)</f>
        <v/>
      </c>
      <c r="K45" s="402">
        <f>SUM(H45:J45)</f>
        <v/>
      </c>
      <c r="L45" s="402">
        <f>(K45-SUMIFS('03_BOC_TACH_VAN'!K:K, '03_BOC_TACH_VAN'!B:B, B45, '03_BOC_TACH_VAN'!D:D, "ĐỘNG_CƠ_VÀ_CẢM_BIẾN"))*0.25</f>
        <v/>
      </c>
      <c r="M45" s="402">
        <f>(K45-SUMIFS('03_BOC_TACH_VAN'!K:K, '03_BOC_TACH_VAN'!B:B, B45, '03_BOC_TACH_VAN'!D:D, "ĐỘNG_CƠ_VÀ_CẢM_BIẾN"))*0.10</f>
        <v/>
      </c>
      <c r="N45" s="402">
        <f>K45+L45+M45</f>
        <v/>
      </c>
      <c r="O45" s="402">
        <f>IF(G45&gt;0, N45/G45, 0)</f>
        <v/>
      </c>
      <c r="P45" s="403" t="n">
        <v>0.18</v>
      </c>
      <c r="Q45" s="402">
        <f>IF(G45&gt;0, ((N45-SUMIFS('03_BOC_TACH_VAN'!K:K, '03_BOC_TACH_VAN'!B:B, B45, '03_BOC_TACH_VAN'!D:D, "ĐỘNG_CƠ_VÀ_CẢM_BIẾN"))*(1+P45)+SUMIFS('03_BOC_TACH_VAN'!K:K, '03_BOC_TACH_VAN'!B:B, B45, '03_BOC_TACH_VAN'!D:D, "ĐỘNG_CƠ_VÀ_CẢM_BIẾN"))/G45, 0)</f>
        <v/>
      </c>
      <c r="R45" s="402">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402" t="n">
        <v>2</v>
      </c>
      <c r="H46" s="402">
        <f>SUMIF('01_BOC_TACH_ONG'!B:B, B46, '01_BOC_TACH_ONG'!K:K)</f>
        <v/>
      </c>
      <c r="I46" s="402">
        <f>SUMIF('02_BOC_TACH_CUA'!B:B, B46, '02_BOC_TACH_CUA'!K:K)</f>
        <v/>
      </c>
      <c r="J46" s="402">
        <f>SUMIF('03_BOC_TACH_VAN'!B:B, B46, '03_BOC_TACH_VAN'!K:K)</f>
        <v/>
      </c>
      <c r="K46" s="402">
        <f>SUM(H46:J46)</f>
        <v/>
      </c>
      <c r="L46" s="402">
        <f>(K46-SUMIFS('03_BOC_TACH_VAN'!K:K, '03_BOC_TACH_VAN'!B:B, B46, '03_BOC_TACH_VAN'!D:D, "ĐỘNG_CƠ_VÀ_CẢM_BIẾN"))*0.25</f>
        <v/>
      </c>
      <c r="M46" s="402">
        <f>(K46-SUMIFS('03_BOC_TACH_VAN'!K:K, '03_BOC_TACH_VAN'!B:B, B46, '03_BOC_TACH_VAN'!D:D, "ĐỘNG_CƠ_VÀ_CẢM_BIẾN"))*0.10</f>
        <v/>
      </c>
      <c r="N46" s="402">
        <f>K46+L46+M46</f>
        <v/>
      </c>
      <c r="O46" s="402">
        <f>IF(G46&gt;0, N46/G46, 0)</f>
        <v/>
      </c>
      <c r="P46" s="403" t="n">
        <v>0.18</v>
      </c>
      <c r="Q46" s="402">
        <f>IF(G46&gt;0, ((N46-SUMIFS('03_BOC_TACH_VAN'!K:K, '03_BOC_TACH_VAN'!B:B, B46, '03_BOC_TACH_VAN'!D:D, "ĐỘNG_CƠ_VÀ_CẢM_BIẾN"))*(1+P46)+SUMIFS('03_BOC_TACH_VAN'!K:K, '03_BOC_TACH_VAN'!B:B, B46, '03_BOC_TACH_VAN'!D:D, "ĐỘNG_CƠ_VÀ_CẢM_BIẾN"))/G46, 0)</f>
        <v/>
      </c>
      <c r="R46" s="402">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402" t="n">
        <v>2</v>
      </c>
      <c r="H47" s="402">
        <f>SUMIF('01_BOC_TACH_ONG'!B:B, B47, '01_BOC_TACH_ONG'!K:K)</f>
        <v/>
      </c>
      <c r="I47" s="402">
        <f>SUMIF('02_BOC_TACH_CUA'!B:B, B47, '02_BOC_TACH_CUA'!K:K)</f>
        <v/>
      </c>
      <c r="J47" s="402">
        <f>SUMIF('03_BOC_TACH_VAN'!B:B, B47, '03_BOC_TACH_VAN'!K:K)</f>
        <v/>
      </c>
      <c r="K47" s="402">
        <f>SUM(H47:J47)</f>
        <v/>
      </c>
      <c r="L47" s="402">
        <f>(K47-SUMIFS('03_BOC_TACH_VAN'!K:K, '03_BOC_TACH_VAN'!B:B, B47, '03_BOC_TACH_VAN'!D:D, "ĐỘNG_CƠ_VÀ_CẢM_BIẾN"))*0.25</f>
        <v/>
      </c>
      <c r="M47" s="402">
        <f>(K47-SUMIFS('03_BOC_TACH_VAN'!K:K, '03_BOC_TACH_VAN'!B:B, B47, '03_BOC_TACH_VAN'!D:D, "ĐỘNG_CƠ_VÀ_CẢM_BIẾN"))*0.10</f>
        <v/>
      </c>
      <c r="N47" s="402">
        <f>K47+L47+M47</f>
        <v/>
      </c>
      <c r="O47" s="402">
        <f>IF(G47&gt;0, N47/G47, 0)</f>
        <v/>
      </c>
      <c r="P47" s="403" t="n">
        <v>0.18</v>
      </c>
      <c r="Q47" s="402">
        <f>IF(G47&gt;0, ((N47-SUMIFS('03_BOC_TACH_VAN'!K:K, '03_BOC_TACH_VAN'!B:B, B47, '03_BOC_TACH_VAN'!D:D, "ĐỘNG_CƠ_VÀ_CẢM_BIẾN"))*(1+P47)+SUMIFS('03_BOC_TACH_VAN'!K:K, '03_BOC_TACH_VAN'!B:B, B47, '03_BOC_TACH_VAN'!D:D, "ĐỘNG_CƠ_VÀ_CẢM_BIẾN"))/G47, 0)</f>
        <v/>
      </c>
      <c r="R47" s="402">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402" t="n">
        <v>1</v>
      </c>
      <c r="H48" s="402">
        <f>SUMIF('01_BOC_TACH_ONG'!B:B, B48, '01_BOC_TACH_ONG'!K:K)</f>
        <v/>
      </c>
      <c r="I48" s="402">
        <f>SUMIF('02_BOC_TACH_CUA'!B:B, B48, '02_BOC_TACH_CUA'!K:K)</f>
        <v/>
      </c>
      <c r="J48" s="402">
        <f>SUMIF('03_BOC_TACH_VAN'!B:B, B48, '03_BOC_TACH_VAN'!K:K)</f>
        <v/>
      </c>
      <c r="K48" s="402">
        <f>SUM(H48:J48)</f>
        <v/>
      </c>
      <c r="L48" s="402">
        <f>(K48-SUMIFS('03_BOC_TACH_VAN'!K:K, '03_BOC_TACH_VAN'!B:B, B48, '03_BOC_TACH_VAN'!D:D, "ĐỘNG_CƠ_VÀ_CẢM_BIẾN"))*0.25</f>
        <v/>
      </c>
      <c r="M48" s="402">
        <f>(K48-SUMIFS('03_BOC_TACH_VAN'!K:K, '03_BOC_TACH_VAN'!B:B, B48, '03_BOC_TACH_VAN'!D:D, "ĐỘNG_CƠ_VÀ_CẢM_BIẾN"))*0.10</f>
        <v/>
      </c>
      <c r="N48" s="402">
        <f>K48+L48+M48</f>
        <v/>
      </c>
      <c r="O48" s="402">
        <f>IF(G48&gt;0, N48/G48, 0)</f>
        <v/>
      </c>
      <c r="P48" s="403" t="n">
        <v>0.18</v>
      </c>
      <c r="Q48" s="402">
        <f>IF(G48&gt;0, ((N48-SUMIFS('03_BOC_TACH_VAN'!K:K, '03_BOC_TACH_VAN'!B:B, B48, '03_BOC_TACH_VAN'!D:D, "ĐỘNG_CƠ_VÀ_CẢM_BIẾN"))*(1+P48)+SUMIFS('03_BOC_TACH_VAN'!K:K, '03_BOC_TACH_VAN'!B:B, B48, '03_BOC_TACH_VAN'!D:D, "ĐỘNG_CƠ_VÀ_CẢM_BIẾN"))/G48, 0)</f>
        <v/>
      </c>
      <c r="R48" s="402">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402" t="n">
        <v>2</v>
      </c>
      <c r="H49" s="402">
        <f>SUMIF('01_BOC_TACH_ONG'!B:B, B49, '01_BOC_TACH_ONG'!K:K)</f>
        <v/>
      </c>
      <c r="I49" s="402">
        <f>SUMIF('02_BOC_TACH_CUA'!B:B, B49, '02_BOC_TACH_CUA'!K:K)</f>
        <v/>
      </c>
      <c r="J49" s="402">
        <f>SUMIF('03_BOC_TACH_VAN'!B:B, B49, '03_BOC_TACH_VAN'!K:K)</f>
        <v/>
      </c>
      <c r="K49" s="402">
        <f>SUM(H49:J49)</f>
        <v/>
      </c>
      <c r="L49" s="402">
        <f>(K49-SUMIFS('03_BOC_TACH_VAN'!K:K, '03_BOC_TACH_VAN'!B:B, B49, '03_BOC_TACH_VAN'!D:D, "ĐỘNG_CƠ_VÀ_CẢM_BIẾN"))*0.25</f>
        <v/>
      </c>
      <c r="M49" s="402">
        <f>(K49-SUMIFS('03_BOC_TACH_VAN'!K:K, '03_BOC_TACH_VAN'!B:B, B49, '03_BOC_TACH_VAN'!D:D, "ĐỘNG_CƠ_VÀ_CẢM_BIẾN"))*0.10</f>
        <v/>
      </c>
      <c r="N49" s="402">
        <f>K49+L49+M49</f>
        <v/>
      </c>
      <c r="O49" s="402">
        <f>IF(G49&gt;0, N49/G49, 0)</f>
        <v/>
      </c>
      <c r="P49" s="403" t="n">
        <v>0.18</v>
      </c>
      <c r="Q49" s="402">
        <f>IF(G49&gt;0, ((N49-SUMIFS('03_BOC_TACH_VAN'!K:K, '03_BOC_TACH_VAN'!B:B, B49, '03_BOC_TACH_VAN'!D:D, "ĐỘNG_CƠ_VÀ_CẢM_BIẾN"))*(1+P49)+SUMIFS('03_BOC_TACH_VAN'!K:K, '03_BOC_TACH_VAN'!B:B, B49, '03_BOC_TACH_VAN'!D:D, "ĐỘNG_CƠ_VÀ_CẢM_BIẾN"))/G49, 0)</f>
        <v/>
      </c>
      <c r="R49" s="402">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402" t="n">
        <v>1</v>
      </c>
      <c r="H50" s="402">
        <f>SUMIF('01_BOC_TACH_ONG'!B:B, B50, '01_BOC_TACH_ONG'!K:K)</f>
        <v/>
      </c>
      <c r="I50" s="402">
        <f>SUMIF('02_BOC_TACH_CUA'!B:B, B50, '02_BOC_TACH_CUA'!K:K)</f>
        <v/>
      </c>
      <c r="J50" s="402">
        <f>SUMIF('03_BOC_TACH_VAN'!B:B, B50, '03_BOC_TACH_VAN'!K:K)</f>
        <v/>
      </c>
      <c r="K50" s="402">
        <f>SUM(H50:J50)</f>
        <v/>
      </c>
      <c r="L50" s="402">
        <f>(K50-SUMIFS('03_BOC_TACH_VAN'!K:K, '03_BOC_TACH_VAN'!B:B, B50, '03_BOC_TACH_VAN'!D:D, "ĐỘNG_CƠ_VÀ_CẢM_BIẾN"))*0.25</f>
        <v/>
      </c>
      <c r="M50" s="402">
        <f>(K50-SUMIFS('03_BOC_TACH_VAN'!K:K, '03_BOC_TACH_VAN'!B:B, B50, '03_BOC_TACH_VAN'!D:D, "ĐỘNG_CƠ_VÀ_CẢM_BIẾN"))*0.10</f>
        <v/>
      </c>
      <c r="N50" s="402">
        <f>K50+L50+M50</f>
        <v/>
      </c>
      <c r="O50" s="402">
        <f>IF(G50&gt;0, N50/G50, 0)</f>
        <v/>
      </c>
      <c r="P50" s="403" t="n">
        <v>0.18</v>
      </c>
      <c r="Q50" s="402">
        <f>IF(G50&gt;0, ((N50-SUMIFS('03_BOC_TACH_VAN'!K:K, '03_BOC_TACH_VAN'!B:B, B50, '03_BOC_TACH_VAN'!D:D, "ĐỘNG_CƠ_VÀ_CẢM_BIẾN"))*(1+P50)+SUMIFS('03_BOC_TACH_VAN'!K:K, '03_BOC_TACH_VAN'!B:B, B50, '03_BOC_TACH_VAN'!D:D, "ĐỘNG_CƠ_VÀ_CẢM_BIẾN"))/G50, 0)</f>
        <v/>
      </c>
      <c r="R50" s="402">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402" t="n">
        <v>1</v>
      </c>
      <c r="H51" s="402">
        <f>SUMIF('01_BOC_TACH_ONG'!B:B, B51, '01_BOC_TACH_ONG'!K:K)</f>
        <v/>
      </c>
      <c r="I51" s="402">
        <f>SUMIF('02_BOC_TACH_CUA'!B:B, B51, '02_BOC_TACH_CUA'!K:K)</f>
        <v/>
      </c>
      <c r="J51" s="402">
        <f>SUMIF('03_BOC_TACH_VAN'!B:B, B51, '03_BOC_TACH_VAN'!K:K)</f>
        <v/>
      </c>
      <c r="K51" s="402">
        <f>SUM(H51:J51)</f>
        <v/>
      </c>
      <c r="L51" s="402">
        <f>(K51-SUMIFS('03_BOC_TACH_VAN'!K:K, '03_BOC_TACH_VAN'!B:B, B51, '03_BOC_TACH_VAN'!D:D, "ĐỘNG_CƠ_VÀ_CẢM_BIẾN"))*0.25</f>
        <v/>
      </c>
      <c r="M51" s="402">
        <f>(K51-SUMIFS('03_BOC_TACH_VAN'!K:K, '03_BOC_TACH_VAN'!B:B, B51, '03_BOC_TACH_VAN'!D:D, "ĐỘNG_CƠ_VÀ_CẢM_BIẾN"))*0.10</f>
        <v/>
      </c>
      <c r="N51" s="402">
        <f>K51+L51+M51</f>
        <v/>
      </c>
      <c r="O51" s="402">
        <f>IF(G51&gt;0, N51/G51, 0)</f>
        <v/>
      </c>
      <c r="P51" s="403" t="n">
        <v>0.18</v>
      </c>
      <c r="Q51" s="402">
        <f>IF(G51&gt;0, ((N51-SUMIFS('03_BOC_TACH_VAN'!K:K, '03_BOC_TACH_VAN'!B:B, B51, '03_BOC_TACH_VAN'!D:D, "ĐỘNG_CƠ_VÀ_CẢM_BIẾN"))*(1+P51)+SUMIFS('03_BOC_TACH_VAN'!K:K, '03_BOC_TACH_VAN'!B:B, B51, '03_BOC_TACH_VAN'!D:D, "ĐỘNG_CƠ_VÀ_CẢM_BIẾN"))/G51, 0)</f>
        <v/>
      </c>
      <c r="R51" s="402">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402" t="n">
        <v>1</v>
      </c>
      <c r="H52" s="402">
        <f>SUMIF('01_BOC_TACH_ONG'!B:B, B52, '01_BOC_TACH_ONG'!K:K)</f>
        <v/>
      </c>
      <c r="I52" s="402">
        <f>SUMIF('02_BOC_TACH_CUA'!B:B, B52, '02_BOC_TACH_CUA'!K:K)</f>
        <v/>
      </c>
      <c r="J52" s="402">
        <f>SUMIF('03_BOC_TACH_VAN'!B:B, B52, '03_BOC_TACH_VAN'!K:K)</f>
        <v/>
      </c>
      <c r="K52" s="402">
        <f>SUM(H52:J52)</f>
        <v/>
      </c>
      <c r="L52" s="402">
        <f>(K52-SUMIFS('03_BOC_TACH_VAN'!K:K, '03_BOC_TACH_VAN'!B:B, B52, '03_BOC_TACH_VAN'!D:D, "ĐỘNG_CƠ_VÀ_CẢM_BIẾN"))*0.25</f>
        <v/>
      </c>
      <c r="M52" s="402">
        <f>(K52-SUMIFS('03_BOC_TACH_VAN'!K:K, '03_BOC_TACH_VAN'!B:B, B52, '03_BOC_TACH_VAN'!D:D, "ĐỘNG_CƠ_VÀ_CẢM_BIẾN"))*0.10</f>
        <v/>
      </c>
      <c r="N52" s="402">
        <f>K52+L52+M52</f>
        <v/>
      </c>
      <c r="O52" s="402">
        <f>IF(G52&gt;0, N52/G52, 0)</f>
        <v/>
      </c>
      <c r="P52" s="403" t="n">
        <v>0.18</v>
      </c>
      <c r="Q52" s="402">
        <f>IF(G52&gt;0, ((N52-SUMIFS('03_BOC_TACH_VAN'!K:K, '03_BOC_TACH_VAN'!B:B, B52, '03_BOC_TACH_VAN'!D:D, "ĐỘNG_CƠ_VÀ_CẢM_BIẾN"))*(1+P52)+SUMIFS('03_BOC_TACH_VAN'!K:K, '03_BOC_TACH_VAN'!B:B, B52, '03_BOC_TACH_VAN'!D:D, "ĐỘNG_CƠ_VÀ_CẢM_BIẾN"))/G52, 0)</f>
        <v/>
      </c>
      <c r="R52" s="402">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402" t="n">
        <v>1</v>
      </c>
      <c r="H53" s="402">
        <f>SUMIF('01_BOC_TACH_ONG'!B:B, B53, '01_BOC_TACH_ONG'!K:K)</f>
        <v/>
      </c>
      <c r="I53" s="402">
        <f>SUMIF('02_BOC_TACH_CUA'!B:B, B53, '02_BOC_TACH_CUA'!K:K)</f>
        <v/>
      </c>
      <c r="J53" s="402">
        <f>SUMIF('03_BOC_TACH_VAN'!B:B, B53, '03_BOC_TACH_VAN'!K:K)</f>
        <v/>
      </c>
      <c r="K53" s="402">
        <f>SUM(H53:J53)</f>
        <v/>
      </c>
      <c r="L53" s="402">
        <f>(K53-SUMIFS('03_BOC_TACH_VAN'!K:K, '03_BOC_TACH_VAN'!B:B, B53, '03_BOC_TACH_VAN'!D:D, "ĐỘNG_CƠ_VÀ_CẢM_BIẾN"))*0.25</f>
        <v/>
      </c>
      <c r="M53" s="402">
        <f>(K53-SUMIFS('03_BOC_TACH_VAN'!K:K, '03_BOC_TACH_VAN'!B:B, B53, '03_BOC_TACH_VAN'!D:D, "ĐỘNG_CƠ_VÀ_CẢM_BIẾN"))*0.10</f>
        <v/>
      </c>
      <c r="N53" s="402">
        <f>K53+L53+M53</f>
        <v/>
      </c>
      <c r="O53" s="402">
        <f>IF(G53&gt;0, N53/G53, 0)</f>
        <v/>
      </c>
      <c r="P53" s="403" t="n">
        <v>0.18</v>
      </c>
      <c r="Q53" s="402">
        <f>IF(G53&gt;0, ((N53-SUMIFS('03_BOC_TACH_VAN'!K:K, '03_BOC_TACH_VAN'!B:B, B53, '03_BOC_TACH_VAN'!D:D, "ĐỘNG_CƠ_VÀ_CẢM_BIẾN"))*(1+P53)+SUMIFS('03_BOC_TACH_VAN'!K:K, '03_BOC_TACH_VAN'!B:B, B53, '03_BOC_TACH_VAN'!D:D, "ĐỘNG_CƠ_VÀ_CẢM_BIẾN"))/G53, 0)</f>
        <v/>
      </c>
      <c r="R53" s="402">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402" t="n">
        <v>2</v>
      </c>
      <c r="H54" s="402">
        <f>SUMIF('01_BOC_TACH_ONG'!B:B, B54, '01_BOC_TACH_ONG'!K:K)</f>
        <v/>
      </c>
      <c r="I54" s="402">
        <f>SUMIF('02_BOC_TACH_CUA'!B:B, B54, '02_BOC_TACH_CUA'!K:K)</f>
        <v/>
      </c>
      <c r="J54" s="402">
        <f>SUMIF('03_BOC_TACH_VAN'!B:B, B54, '03_BOC_TACH_VAN'!K:K)</f>
        <v/>
      </c>
      <c r="K54" s="402">
        <f>SUM(H54:J54)</f>
        <v/>
      </c>
      <c r="L54" s="402">
        <f>(K54-SUMIFS('03_BOC_TACH_VAN'!K:K, '03_BOC_TACH_VAN'!B:B, B54, '03_BOC_TACH_VAN'!D:D, "ĐỘNG_CƠ_VÀ_CẢM_BIẾN"))*0.25</f>
        <v/>
      </c>
      <c r="M54" s="402">
        <f>(K54-SUMIFS('03_BOC_TACH_VAN'!K:K, '03_BOC_TACH_VAN'!B:B, B54, '03_BOC_TACH_VAN'!D:D, "ĐỘNG_CƠ_VÀ_CẢM_BIẾN"))*0.10</f>
        <v/>
      </c>
      <c r="N54" s="402">
        <f>K54+L54+M54</f>
        <v/>
      </c>
      <c r="O54" s="402">
        <f>IF(G54&gt;0, N54/G54, 0)</f>
        <v/>
      </c>
      <c r="P54" s="403" t="n">
        <v>0.18</v>
      </c>
      <c r="Q54" s="402">
        <f>IF(G54&gt;0, ((N54-SUMIFS('03_BOC_TACH_VAN'!K:K, '03_BOC_TACH_VAN'!B:B, B54, '03_BOC_TACH_VAN'!D:D, "ĐỘNG_CƠ_VÀ_CẢM_BIẾN"))*(1+P54)+SUMIFS('03_BOC_TACH_VAN'!K:K, '03_BOC_TACH_VAN'!B:B, B54, '03_BOC_TACH_VAN'!D:D, "ĐỘNG_CƠ_VÀ_CẢM_BIẾN"))/G54, 0)</f>
        <v/>
      </c>
      <c r="R54" s="402">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402" t="n">
        <v>2</v>
      </c>
      <c r="H55" s="402">
        <f>SUMIF('01_BOC_TACH_ONG'!B:B, B55, '01_BOC_TACH_ONG'!K:K)</f>
        <v/>
      </c>
      <c r="I55" s="402">
        <f>SUMIF('02_BOC_TACH_CUA'!B:B, B55, '02_BOC_TACH_CUA'!K:K)</f>
        <v/>
      </c>
      <c r="J55" s="402">
        <f>SUMIF('03_BOC_TACH_VAN'!B:B, B55, '03_BOC_TACH_VAN'!K:K)</f>
        <v/>
      </c>
      <c r="K55" s="402">
        <f>SUM(H55:J55)</f>
        <v/>
      </c>
      <c r="L55" s="402">
        <f>(K55-SUMIFS('03_BOC_TACH_VAN'!K:K, '03_BOC_TACH_VAN'!B:B, B55, '03_BOC_TACH_VAN'!D:D, "ĐỘNG_CƠ_VÀ_CẢM_BIẾN"))*0.25</f>
        <v/>
      </c>
      <c r="M55" s="402">
        <f>(K55-SUMIFS('03_BOC_TACH_VAN'!K:K, '03_BOC_TACH_VAN'!B:B, B55, '03_BOC_TACH_VAN'!D:D, "ĐỘNG_CƠ_VÀ_CẢM_BIẾN"))*0.10</f>
        <v/>
      </c>
      <c r="N55" s="402">
        <f>K55+L55+M55</f>
        <v/>
      </c>
      <c r="O55" s="402">
        <f>IF(G55&gt;0, N55/G55, 0)</f>
        <v/>
      </c>
      <c r="P55" s="403" t="n">
        <v>0.18</v>
      </c>
      <c r="Q55" s="402">
        <f>IF(G55&gt;0, ((N55-SUMIFS('03_BOC_TACH_VAN'!K:K, '03_BOC_TACH_VAN'!B:B, B55, '03_BOC_TACH_VAN'!D:D, "ĐỘNG_CƠ_VÀ_CẢM_BIẾN"))*(1+P55)+SUMIFS('03_BOC_TACH_VAN'!K:K, '03_BOC_TACH_VAN'!B:B, B55, '03_BOC_TACH_VAN'!D:D, "ĐỘNG_CƠ_VÀ_CẢM_BIẾN"))/G55, 0)</f>
        <v/>
      </c>
      <c r="R55" s="402">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402" t="n">
        <v>2</v>
      </c>
      <c r="H56" s="402">
        <f>SUMIF('01_BOC_TACH_ONG'!B:B, B56, '01_BOC_TACH_ONG'!K:K)</f>
        <v/>
      </c>
      <c r="I56" s="402">
        <f>SUMIF('02_BOC_TACH_CUA'!B:B, B56, '02_BOC_TACH_CUA'!K:K)</f>
        <v/>
      </c>
      <c r="J56" s="402">
        <f>SUMIF('03_BOC_TACH_VAN'!B:B, B56, '03_BOC_TACH_VAN'!K:K)</f>
        <v/>
      </c>
      <c r="K56" s="402">
        <f>SUM(H56:J56)</f>
        <v/>
      </c>
      <c r="L56" s="402">
        <f>(K56-SUMIFS('03_BOC_TACH_VAN'!K:K, '03_BOC_TACH_VAN'!B:B, B56, '03_BOC_TACH_VAN'!D:D, "ĐỘNG_CƠ_VÀ_CẢM_BIẾN"))*0.25</f>
        <v/>
      </c>
      <c r="M56" s="402">
        <f>(K56-SUMIFS('03_BOC_TACH_VAN'!K:K, '03_BOC_TACH_VAN'!B:B, B56, '03_BOC_TACH_VAN'!D:D, "ĐỘNG_CƠ_VÀ_CẢM_BIẾN"))*0.10</f>
        <v/>
      </c>
      <c r="N56" s="402">
        <f>K56+L56+M56</f>
        <v/>
      </c>
      <c r="O56" s="402">
        <f>IF(G56&gt;0, N56/G56, 0)</f>
        <v/>
      </c>
      <c r="P56" s="403" t="n">
        <v>0.18</v>
      </c>
      <c r="Q56" s="402">
        <f>IF(G56&gt;0, ((N56-SUMIFS('03_BOC_TACH_VAN'!K:K, '03_BOC_TACH_VAN'!B:B, B56, '03_BOC_TACH_VAN'!D:D, "ĐỘNG_CƠ_VÀ_CẢM_BIẾN"))*(1+P56)+SUMIFS('03_BOC_TACH_VAN'!K:K, '03_BOC_TACH_VAN'!B:B, B56, '03_BOC_TACH_VAN'!D:D, "ĐỘNG_CƠ_VÀ_CẢM_BIẾN"))/G56, 0)</f>
        <v/>
      </c>
      <c r="R56" s="402">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402" t="n">
        <v>2</v>
      </c>
      <c r="H57" s="402">
        <f>SUMIF('01_BOC_TACH_ONG'!B:B, B57, '01_BOC_TACH_ONG'!K:K)</f>
        <v/>
      </c>
      <c r="I57" s="402">
        <f>SUMIF('02_BOC_TACH_CUA'!B:B, B57, '02_BOC_TACH_CUA'!K:K)</f>
        <v/>
      </c>
      <c r="J57" s="402">
        <f>SUMIF('03_BOC_TACH_VAN'!B:B, B57, '03_BOC_TACH_VAN'!K:K)</f>
        <v/>
      </c>
      <c r="K57" s="402">
        <f>SUM(H57:J57)</f>
        <v/>
      </c>
      <c r="L57" s="402">
        <f>(K57-SUMIFS('03_BOC_TACH_VAN'!K:K, '03_BOC_TACH_VAN'!B:B, B57, '03_BOC_TACH_VAN'!D:D, "ĐỘNG_CƠ_VÀ_CẢM_BIẾN"))*0.25</f>
        <v/>
      </c>
      <c r="M57" s="402">
        <f>(K57-SUMIFS('03_BOC_TACH_VAN'!K:K, '03_BOC_TACH_VAN'!B:B, B57, '03_BOC_TACH_VAN'!D:D, "ĐỘNG_CƠ_VÀ_CẢM_BIẾN"))*0.10</f>
        <v/>
      </c>
      <c r="N57" s="402">
        <f>K57+L57+M57</f>
        <v/>
      </c>
      <c r="O57" s="402">
        <f>IF(G57&gt;0, N57/G57, 0)</f>
        <v/>
      </c>
      <c r="P57" s="403" t="n">
        <v>0.18</v>
      </c>
      <c r="Q57" s="402">
        <f>IF(G57&gt;0, ((N57-SUMIFS('03_BOC_TACH_VAN'!K:K, '03_BOC_TACH_VAN'!B:B, B57, '03_BOC_TACH_VAN'!D:D, "ĐỘNG_CƠ_VÀ_CẢM_BIẾN"))*(1+P57)+SUMIFS('03_BOC_TACH_VAN'!K:K, '03_BOC_TACH_VAN'!B:B, B57, '03_BOC_TACH_VAN'!D:D, "ĐỘNG_CƠ_VÀ_CẢM_BIẾN"))/G57, 0)</f>
        <v/>
      </c>
      <c r="R57" s="402">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402" t="n">
        <v>5</v>
      </c>
      <c r="H58" s="402">
        <f>SUMIF('01_BOC_TACH_ONG'!B:B, B58, '01_BOC_TACH_ONG'!K:K)</f>
        <v/>
      </c>
      <c r="I58" s="402">
        <f>SUMIF('02_BOC_TACH_CUA'!B:B, B58, '02_BOC_TACH_CUA'!K:K)</f>
        <v/>
      </c>
      <c r="J58" s="402">
        <f>SUMIF('03_BOC_TACH_VAN'!B:B, B58, '03_BOC_TACH_VAN'!K:K)</f>
        <v/>
      </c>
      <c r="K58" s="402">
        <f>SUM(H58:J58)</f>
        <v/>
      </c>
      <c r="L58" s="402">
        <f>(K58-SUMIFS('03_BOC_TACH_VAN'!K:K, '03_BOC_TACH_VAN'!B:B, B58, '03_BOC_TACH_VAN'!D:D, "ĐỘNG_CƠ_VÀ_CẢM_BIẾN"))*0.25</f>
        <v/>
      </c>
      <c r="M58" s="402">
        <f>(K58-SUMIFS('03_BOC_TACH_VAN'!K:K, '03_BOC_TACH_VAN'!B:B, B58, '03_BOC_TACH_VAN'!D:D, "ĐỘNG_CƠ_VÀ_CẢM_BIẾN"))*0.10</f>
        <v/>
      </c>
      <c r="N58" s="402">
        <f>K58+L58+M58</f>
        <v/>
      </c>
      <c r="O58" s="402">
        <f>IF(G58&gt;0, N58/G58, 0)</f>
        <v/>
      </c>
      <c r="P58" s="403" t="n">
        <v>0.18</v>
      </c>
      <c r="Q58" s="402">
        <f>IF(G58&gt;0, ((N58-SUMIFS('03_BOC_TACH_VAN'!K:K, '03_BOC_TACH_VAN'!B:B, B58, '03_BOC_TACH_VAN'!D:D, "ĐỘNG_CƠ_VÀ_CẢM_BIẾN"))*(1+P58)+SUMIFS('03_BOC_TACH_VAN'!K:K, '03_BOC_TACH_VAN'!B:B, B58, '03_BOC_TACH_VAN'!D:D, "ĐỘNG_CƠ_VÀ_CẢM_BIẾN"))/G58, 0)</f>
        <v/>
      </c>
      <c r="R58" s="402">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402" t="n">
        <v>5</v>
      </c>
      <c r="H59" s="402">
        <f>SUMIF('01_BOC_TACH_ONG'!B:B, B59, '01_BOC_TACH_ONG'!K:K)</f>
        <v/>
      </c>
      <c r="I59" s="402">
        <f>SUMIF('02_BOC_TACH_CUA'!B:B, B59, '02_BOC_TACH_CUA'!K:K)</f>
        <v/>
      </c>
      <c r="J59" s="402">
        <f>SUMIF('03_BOC_TACH_VAN'!B:B, B59, '03_BOC_TACH_VAN'!K:K)</f>
        <v/>
      </c>
      <c r="K59" s="402">
        <f>SUM(H59:J59)</f>
        <v/>
      </c>
      <c r="L59" s="402">
        <f>(K59-SUMIFS('03_BOC_TACH_VAN'!K:K, '03_BOC_TACH_VAN'!B:B, B59, '03_BOC_TACH_VAN'!D:D, "ĐỘNG_CƠ_VÀ_CẢM_BIẾN"))*0.25</f>
        <v/>
      </c>
      <c r="M59" s="402">
        <f>(K59-SUMIFS('03_BOC_TACH_VAN'!K:K, '03_BOC_TACH_VAN'!B:B, B59, '03_BOC_TACH_VAN'!D:D, "ĐỘNG_CƠ_VÀ_CẢM_BIẾN"))*0.10</f>
        <v/>
      </c>
      <c r="N59" s="402">
        <f>K59+L59+M59</f>
        <v/>
      </c>
      <c r="O59" s="402">
        <f>IF(G59&gt;0, N59/G59, 0)</f>
        <v/>
      </c>
      <c r="P59" s="403" t="n">
        <v>0.18</v>
      </c>
      <c r="Q59" s="402">
        <f>IF(G59&gt;0, ((N59-SUMIFS('03_BOC_TACH_VAN'!K:K, '03_BOC_TACH_VAN'!B:B, B59, '03_BOC_TACH_VAN'!D:D, "ĐỘNG_CƠ_VÀ_CẢM_BIẾN"))*(1+P59)+SUMIFS('03_BOC_TACH_VAN'!K:K, '03_BOC_TACH_VAN'!B:B, B59, '03_BOC_TACH_VAN'!D:D, "ĐỘNG_CƠ_VÀ_CẢM_BIẾN"))/G59, 0)</f>
        <v/>
      </c>
      <c r="R59" s="402">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402" t="n">
        <v>6</v>
      </c>
      <c r="H60" s="402">
        <f>SUMIF('01_BOC_TACH_ONG'!B:B, B60, '01_BOC_TACH_ONG'!K:K)</f>
        <v/>
      </c>
      <c r="I60" s="402">
        <f>SUMIF('02_BOC_TACH_CUA'!B:B, B60, '02_BOC_TACH_CUA'!K:K)</f>
        <v/>
      </c>
      <c r="J60" s="402">
        <f>SUMIF('03_BOC_TACH_VAN'!B:B, B60, '03_BOC_TACH_VAN'!K:K)</f>
        <v/>
      </c>
      <c r="K60" s="402">
        <f>SUM(H60:J60)</f>
        <v/>
      </c>
      <c r="L60" s="402">
        <f>(K60-SUMIFS('03_BOC_TACH_VAN'!K:K, '03_BOC_TACH_VAN'!B:B, B60, '03_BOC_TACH_VAN'!D:D, "ĐỘNG_CƠ_VÀ_CẢM_BIẾN"))*0.25</f>
        <v/>
      </c>
      <c r="M60" s="402">
        <f>(K60-SUMIFS('03_BOC_TACH_VAN'!K:K, '03_BOC_TACH_VAN'!B:B, B60, '03_BOC_TACH_VAN'!D:D, "ĐỘNG_CƠ_VÀ_CẢM_BIẾN"))*0.10</f>
        <v/>
      </c>
      <c r="N60" s="402">
        <f>K60+L60+M60</f>
        <v/>
      </c>
      <c r="O60" s="402">
        <f>IF(G60&gt;0, N60/G60, 0)</f>
        <v/>
      </c>
      <c r="P60" s="403" t="n">
        <v>0.18</v>
      </c>
      <c r="Q60" s="402">
        <f>IF(G60&gt;0, ((N60-SUMIFS('03_BOC_TACH_VAN'!K:K, '03_BOC_TACH_VAN'!B:B, B60, '03_BOC_TACH_VAN'!D:D, "ĐỘNG_CƠ_VÀ_CẢM_BIẾN"))*(1+P60)+SUMIFS('03_BOC_TACH_VAN'!K:K, '03_BOC_TACH_VAN'!B:B, B60, '03_BOC_TACH_VAN'!D:D, "ĐỘNG_CƠ_VÀ_CẢM_BIẾN"))/G60, 0)</f>
        <v/>
      </c>
      <c r="R60" s="402">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402" t="n">
        <v>1</v>
      </c>
      <c r="H61" s="402">
        <f>SUMIF('01_BOC_TACH_ONG'!B:B, B61, '01_BOC_TACH_ONG'!K:K)</f>
        <v/>
      </c>
      <c r="I61" s="402">
        <f>SUMIF('02_BOC_TACH_CUA'!B:B, B61, '02_BOC_TACH_CUA'!K:K)</f>
        <v/>
      </c>
      <c r="J61" s="402">
        <f>SUMIF('03_BOC_TACH_VAN'!B:B, B61, '03_BOC_TACH_VAN'!K:K)</f>
        <v/>
      </c>
      <c r="K61" s="402">
        <f>SUM(H61:J61)</f>
        <v/>
      </c>
      <c r="L61" s="402">
        <f>(K61-SUMIFS('03_BOC_TACH_VAN'!K:K, '03_BOC_TACH_VAN'!B:B, B61, '03_BOC_TACH_VAN'!D:D, "ĐỘNG_CƠ_VÀ_CẢM_BIẾN"))*0.25</f>
        <v/>
      </c>
      <c r="M61" s="402">
        <f>(K61-SUMIFS('03_BOC_TACH_VAN'!K:K, '03_BOC_TACH_VAN'!B:B, B61, '03_BOC_TACH_VAN'!D:D, "ĐỘNG_CƠ_VÀ_CẢM_BIẾN"))*0.10</f>
        <v/>
      </c>
      <c r="N61" s="402">
        <f>K61+L61+M61</f>
        <v/>
      </c>
      <c r="O61" s="402">
        <f>IF(G61&gt;0, N61/G61, 0)</f>
        <v/>
      </c>
      <c r="P61" s="403" t="n">
        <v>0.18</v>
      </c>
      <c r="Q61" s="402">
        <f>IF(G61&gt;0, ((N61-SUMIFS('03_BOC_TACH_VAN'!K:K, '03_BOC_TACH_VAN'!B:B, B61, '03_BOC_TACH_VAN'!D:D, "ĐỘNG_CƠ_VÀ_CẢM_BIẾN"))*(1+P61)+SUMIFS('03_BOC_TACH_VAN'!K:K, '03_BOC_TACH_VAN'!B:B, B61, '03_BOC_TACH_VAN'!D:D, "ĐỘNG_CƠ_VÀ_CẢM_BIẾN"))/G61, 0)</f>
        <v/>
      </c>
      <c r="R61" s="402">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402" t="n">
        <v>1</v>
      </c>
      <c r="H62" s="402">
        <f>SUMIF('01_BOC_TACH_ONG'!B:B, B62, '01_BOC_TACH_ONG'!K:K)</f>
        <v/>
      </c>
      <c r="I62" s="402">
        <f>SUMIF('02_BOC_TACH_CUA'!B:B, B62, '02_BOC_TACH_CUA'!K:K)</f>
        <v/>
      </c>
      <c r="J62" s="402">
        <f>SUMIF('03_BOC_TACH_VAN'!B:B, B62, '03_BOC_TACH_VAN'!K:K)</f>
        <v/>
      </c>
      <c r="K62" s="402">
        <f>SUM(H62:J62)</f>
        <v/>
      </c>
      <c r="L62" s="402">
        <f>(K62-SUMIFS('03_BOC_TACH_VAN'!K:K, '03_BOC_TACH_VAN'!B:B, B62, '03_BOC_TACH_VAN'!D:D, "ĐỘNG_CƠ_VÀ_CẢM_BIẾN"))*0.25</f>
        <v/>
      </c>
      <c r="M62" s="402">
        <f>(K62-SUMIFS('03_BOC_TACH_VAN'!K:K, '03_BOC_TACH_VAN'!B:B, B62, '03_BOC_TACH_VAN'!D:D, "ĐỘNG_CƠ_VÀ_CẢM_BIẾN"))*0.10</f>
        <v/>
      </c>
      <c r="N62" s="402">
        <f>K62+L62+M62</f>
        <v/>
      </c>
      <c r="O62" s="402">
        <f>IF(G62&gt;0, N62/G62, 0)</f>
        <v/>
      </c>
      <c r="P62" s="403" t="n">
        <v>0.18</v>
      </c>
      <c r="Q62" s="402">
        <f>IF(G62&gt;0, ((N62-SUMIFS('03_BOC_TACH_VAN'!K:K, '03_BOC_TACH_VAN'!B:B, B62, '03_BOC_TACH_VAN'!D:D, "ĐỘNG_CƠ_VÀ_CẢM_BIẾN"))*(1+P62)+SUMIFS('03_BOC_TACH_VAN'!K:K, '03_BOC_TACH_VAN'!B:B, B62, '03_BOC_TACH_VAN'!D:D, "ĐỘNG_CƠ_VÀ_CẢM_BIẾN"))/G62, 0)</f>
        <v/>
      </c>
      <c r="R62" s="402">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402" t="n">
        <v>3</v>
      </c>
      <c r="H63" s="402">
        <f>SUMIF('01_BOC_TACH_ONG'!B:B, B63, '01_BOC_TACH_ONG'!K:K)</f>
        <v/>
      </c>
      <c r="I63" s="402">
        <f>SUMIF('02_BOC_TACH_CUA'!B:B, B63, '02_BOC_TACH_CUA'!K:K)</f>
        <v/>
      </c>
      <c r="J63" s="402">
        <f>SUMIF('03_BOC_TACH_VAN'!B:B, B63, '03_BOC_TACH_VAN'!K:K)</f>
        <v/>
      </c>
      <c r="K63" s="402">
        <f>SUM(H63:J63)</f>
        <v/>
      </c>
      <c r="L63" s="402">
        <f>(K63-SUMIFS('03_BOC_TACH_VAN'!K:K, '03_BOC_TACH_VAN'!B:B, B63, '03_BOC_TACH_VAN'!D:D, "ĐỘNG_CƠ_VÀ_CẢM_BIẾN"))*0.25</f>
        <v/>
      </c>
      <c r="M63" s="402">
        <f>(K63-SUMIFS('03_BOC_TACH_VAN'!K:K, '03_BOC_TACH_VAN'!B:B, B63, '03_BOC_TACH_VAN'!D:D, "ĐỘNG_CƠ_VÀ_CẢM_BIẾN"))*0.10</f>
        <v/>
      </c>
      <c r="N63" s="402">
        <f>K63+L63+M63</f>
        <v/>
      </c>
      <c r="O63" s="402">
        <f>IF(G63&gt;0, N63/G63, 0)</f>
        <v/>
      </c>
      <c r="P63" s="403" t="n">
        <v>0.18</v>
      </c>
      <c r="Q63" s="402">
        <f>IF(G63&gt;0, ((N63-SUMIFS('03_BOC_TACH_VAN'!K:K, '03_BOC_TACH_VAN'!B:B, B63, '03_BOC_TACH_VAN'!D:D, "ĐỘNG_CƠ_VÀ_CẢM_BIẾN"))*(1+P63)+SUMIFS('03_BOC_TACH_VAN'!K:K, '03_BOC_TACH_VAN'!B:B, B63, '03_BOC_TACH_VAN'!D:D, "ĐỘNG_CƠ_VÀ_CẢM_BIẾN"))/G63, 0)</f>
        <v/>
      </c>
      <c r="R63" s="402">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402" t="n">
        <v>2</v>
      </c>
      <c r="H64" s="402">
        <f>SUMIF('01_BOC_TACH_ONG'!B:B, B64, '01_BOC_TACH_ONG'!K:K)</f>
        <v/>
      </c>
      <c r="I64" s="402">
        <f>SUMIF('02_BOC_TACH_CUA'!B:B, B64, '02_BOC_TACH_CUA'!K:K)</f>
        <v/>
      </c>
      <c r="J64" s="402">
        <f>SUMIF('03_BOC_TACH_VAN'!B:B, B64, '03_BOC_TACH_VAN'!K:K)</f>
        <v/>
      </c>
      <c r="K64" s="402">
        <f>SUM(H64:J64)</f>
        <v/>
      </c>
      <c r="L64" s="402">
        <f>(K64-SUMIFS('03_BOC_TACH_VAN'!K:K, '03_BOC_TACH_VAN'!B:B, B64, '03_BOC_TACH_VAN'!D:D, "ĐỘNG_CƠ_VÀ_CẢM_BIẾN"))*0.25</f>
        <v/>
      </c>
      <c r="M64" s="402">
        <f>(K64-SUMIFS('03_BOC_TACH_VAN'!K:K, '03_BOC_TACH_VAN'!B:B, B64, '03_BOC_TACH_VAN'!D:D, "ĐỘNG_CƠ_VÀ_CẢM_BIẾN"))*0.10</f>
        <v/>
      </c>
      <c r="N64" s="402">
        <f>K64+L64+M64</f>
        <v/>
      </c>
      <c r="O64" s="402">
        <f>IF(G64&gt;0, N64/G64, 0)</f>
        <v/>
      </c>
      <c r="P64" s="403" t="n">
        <v>0.18</v>
      </c>
      <c r="Q64" s="402">
        <f>IF(G64&gt;0, ((N64-SUMIFS('03_BOC_TACH_VAN'!K:K, '03_BOC_TACH_VAN'!B:B, B64, '03_BOC_TACH_VAN'!D:D, "ĐỘNG_CƠ_VÀ_CẢM_BIẾN"))*(1+P64)+SUMIFS('03_BOC_TACH_VAN'!K:K, '03_BOC_TACH_VAN'!B:B, B64, '03_BOC_TACH_VAN'!D:D, "ĐỘNG_CƠ_VÀ_CẢM_BIẾN"))/G64, 0)</f>
        <v/>
      </c>
      <c r="R64" s="402">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402" t="n">
        <v>2</v>
      </c>
      <c r="H65" s="402">
        <f>SUMIF('01_BOC_TACH_ONG'!B:B, B65, '01_BOC_TACH_ONG'!K:K)</f>
        <v/>
      </c>
      <c r="I65" s="402">
        <f>SUMIF('02_BOC_TACH_CUA'!B:B, B65, '02_BOC_TACH_CUA'!K:K)</f>
        <v/>
      </c>
      <c r="J65" s="402">
        <f>SUMIF('03_BOC_TACH_VAN'!B:B, B65, '03_BOC_TACH_VAN'!K:K)</f>
        <v/>
      </c>
      <c r="K65" s="402">
        <f>SUM(H65:J65)</f>
        <v/>
      </c>
      <c r="L65" s="402">
        <f>(K65-SUMIFS('03_BOC_TACH_VAN'!K:K, '03_BOC_TACH_VAN'!B:B, B65, '03_BOC_TACH_VAN'!D:D, "ĐỘNG_CƠ_VÀ_CẢM_BIẾN"))*0.25</f>
        <v/>
      </c>
      <c r="M65" s="402">
        <f>(K65-SUMIFS('03_BOC_TACH_VAN'!K:K, '03_BOC_TACH_VAN'!B:B, B65, '03_BOC_TACH_VAN'!D:D, "ĐỘNG_CƠ_VÀ_CẢM_BIẾN"))*0.10</f>
        <v/>
      </c>
      <c r="N65" s="402">
        <f>K65+L65+M65</f>
        <v/>
      </c>
      <c r="O65" s="402">
        <f>IF(G65&gt;0, N65/G65, 0)</f>
        <v/>
      </c>
      <c r="P65" s="403" t="n">
        <v>0.18</v>
      </c>
      <c r="Q65" s="402">
        <f>IF(G65&gt;0, ((N65-SUMIFS('03_BOC_TACH_VAN'!K:K, '03_BOC_TACH_VAN'!B:B, B65, '03_BOC_TACH_VAN'!D:D, "ĐỘNG_CƠ_VÀ_CẢM_BIẾN"))*(1+P65)+SUMIFS('03_BOC_TACH_VAN'!K:K, '03_BOC_TACH_VAN'!B:B, B65, '03_BOC_TACH_VAN'!D:D, "ĐỘNG_CƠ_VÀ_CẢM_BIẾN"))/G65, 0)</f>
        <v/>
      </c>
      <c r="R65" s="402">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402" t="n">
        <v>3</v>
      </c>
      <c r="H66" s="402">
        <f>SUMIF('01_BOC_TACH_ONG'!B:B, B66, '01_BOC_TACH_ONG'!K:K)</f>
        <v/>
      </c>
      <c r="I66" s="402">
        <f>SUMIF('02_BOC_TACH_CUA'!B:B, B66, '02_BOC_TACH_CUA'!K:K)</f>
        <v/>
      </c>
      <c r="J66" s="402">
        <f>SUMIF('03_BOC_TACH_VAN'!B:B, B66, '03_BOC_TACH_VAN'!K:K)</f>
        <v/>
      </c>
      <c r="K66" s="402">
        <f>SUM(H66:J66)</f>
        <v/>
      </c>
      <c r="L66" s="402">
        <f>(K66-SUMIFS('03_BOC_TACH_VAN'!K:K, '03_BOC_TACH_VAN'!B:B, B66, '03_BOC_TACH_VAN'!D:D, "ĐỘNG_CƠ_VÀ_CẢM_BIẾN"))*0.25</f>
        <v/>
      </c>
      <c r="M66" s="402">
        <f>(K66-SUMIFS('03_BOC_TACH_VAN'!K:K, '03_BOC_TACH_VAN'!B:B, B66, '03_BOC_TACH_VAN'!D:D, "ĐỘNG_CƠ_VÀ_CẢM_BIẾN"))*0.10</f>
        <v/>
      </c>
      <c r="N66" s="402">
        <f>K66+L66+M66</f>
        <v/>
      </c>
      <c r="O66" s="402">
        <f>IF(G66&gt;0, N66/G66, 0)</f>
        <v/>
      </c>
      <c r="P66" s="403" t="n">
        <v>0.18</v>
      </c>
      <c r="Q66" s="402">
        <f>IF(G66&gt;0, ((N66-SUMIFS('03_BOC_TACH_VAN'!K:K, '03_BOC_TACH_VAN'!B:B, B66, '03_BOC_TACH_VAN'!D:D, "ĐỘNG_CƠ_VÀ_CẢM_BIẾN"))*(1+P66)+SUMIFS('03_BOC_TACH_VAN'!K:K, '03_BOC_TACH_VAN'!B:B, B66, '03_BOC_TACH_VAN'!D:D, "ĐỘNG_CƠ_VÀ_CẢM_BIẾN"))/G66, 0)</f>
        <v/>
      </c>
      <c r="R66" s="402">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402" t="n">
        <v>1</v>
      </c>
      <c r="H67" s="402">
        <f>SUMIF('01_BOC_TACH_ONG'!B:B, B67, '01_BOC_TACH_ONG'!K:K)</f>
        <v/>
      </c>
      <c r="I67" s="402">
        <f>SUMIF('02_BOC_TACH_CUA'!B:B, B67, '02_BOC_TACH_CUA'!K:K)</f>
        <v/>
      </c>
      <c r="J67" s="402">
        <f>SUMIF('03_BOC_TACH_VAN'!B:B, B67, '03_BOC_TACH_VAN'!K:K)</f>
        <v/>
      </c>
      <c r="K67" s="402">
        <f>SUM(H67:J67)</f>
        <v/>
      </c>
      <c r="L67" s="402">
        <f>(K67-SUMIFS('03_BOC_TACH_VAN'!K:K, '03_BOC_TACH_VAN'!B:B, B67, '03_BOC_TACH_VAN'!D:D, "ĐỘNG_CƠ_VÀ_CẢM_BIẾN"))*0.25</f>
        <v/>
      </c>
      <c r="M67" s="402">
        <f>(K67-SUMIFS('03_BOC_TACH_VAN'!K:K, '03_BOC_TACH_VAN'!B:B, B67, '03_BOC_TACH_VAN'!D:D, "ĐỘNG_CƠ_VÀ_CẢM_BIẾN"))*0.10</f>
        <v/>
      </c>
      <c r="N67" s="402">
        <f>K67+L67+M67</f>
        <v/>
      </c>
      <c r="O67" s="402">
        <f>IF(G67&gt;0, N67/G67, 0)</f>
        <v/>
      </c>
      <c r="P67" s="403" t="n">
        <v>0.18</v>
      </c>
      <c r="Q67" s="402">
        <f>IF(G67&gt;0, ((N67-SUMIFS('03_BOC_TACH_VAN'!K:K, '03_BOC_TACH_VAN'!B:B, B67, '03_BOC_TACH_VAN'!D:D, "ĐỘNG_CƠ_VÀ_CẢM_BIẾN"))*(1+P67)+SUMIFS('03_BOC_TACH_VAN'!K:K, '03_BOC_TACH_VAN'!B:B, B67, '03_BOC_TACH_VAN'!D:D, "ĐỘNG_CƠ_VÀ_CẢM_BIẾN"))/G67, 0)</f>
        <v/>
      </c>
      <c r="R67" s="402">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402" t="n">
        <v>2</v>
      </c>
      <c r="H68" s="402">
        <f>SUMIF('01_BOC_TACH_ONG'!B:B, B68, '01_BOC_TACH_ONG'!K:K)</f>
        <v/>
      </c>
      <c r="I68" s="402">
        <f>SUMIF('02_BOC_TACH_CUA'!B:B, B68, '02_BOC_TACH_CUA'!K:K)</f>
        <v/>
      </c>
      <c r="J68" s="402">
        <f>SUMIF('03_BOC_TACH_VAN'!B:B, B68, '03_BOC_TACH_VAN'!K:K)</f>
        <v/>
      </c>
      <c r="K68" s="402">
        <f>SUM(H68:J68)</f>
        <v/>
      </c>
      <c r="L68" s="402">
        <f>(K68-SUMIFS('03_BOC_TACH_VAN'!K:K, '03_BOC_TACH_VAN'!B:B, B68, '03_BOC_TACH_VAN'!D:D, "ĐỘNG_CƠ_VÀ_CẢM_BIẾN"))*0.25</f>
        <v/>
      </c>
      <c r="M68" s="402">
        <f>(K68-SUMIFS('03_BOC_TACH_VAN'!K:K, '03_BOC_TACH_VAN'!B:B, B68, '03_BOC_TACH_VAN'!D:D, "ĐỘNG_CƠ_VÀ_CẢM_BIẾN"))*0.10</f>
        <v/>
      </c>
      <c r="N68" s="402">
        <f>K68+L68+M68</f>
        <v/>
      </c>
      <c r="O68" s="402">
        <f>IF(G68&gt;0, N68/G68, 0)</f>
        <v/>
      </c>
      <c r="P68" s="403" t="n">
        <v>0.18</v>
      </c>
      <c r="Q68" s="402">
        <f>IF(G68&gt;0, ((N68-SUMIFS('03_BOC_TACH_VAN'!K:K, '03_BOC_TACH_VAN'!B:B, B68, '03_BOC_TACH_VAN'!D:D, "ĐỘNG_CƠ_VÀ_CẢM_BIẾN"))*(1+P68)+SUMIFS('03_BOC_TACH_VAN'!K:K, '03_BOC_TACH_VAN'!B:B, B68, '03_BOC_TACH_VAN'!D:D, "ĐỘNG_CƠ_VÀ_CẢM_BIẾN"))/G68, 0)</f>
        <v/>
      </c>
      <c r="R68" s="402">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402" t="n">
        <v>2</v>
      </c>
      <c r="H69" s="402">
        <f>SUMIF('01_BOC_TACH_ONG'!B:B, B69, '01_BOC_TACH_ONG'!K:K)</f>
        <v/>
      </c>
      <c r="I69" s="402">
        <f>SUMIF('02_BOC_TACH_CUA'!B:B, B69, '02_BOC_TACH_CUA'!K:K)</f>
        <v/>
      </c>
      <c r="J69" s="402">
        <f>SUMIF('03_BOC_TACH_VAN'!B:B, B69, '03_BOC_TACH_VAN'!K:K)</f>
        <v/>
      </c>
      <c r="K69" s="402">
        <f>SUM(H69:J69)</f>
        <v/>
      </c>
      <c r="L69" s="402">
        <f>(K69-SUMIFS('03_BOC_TACH_VAN'!K:K, '03_BOC_TACH_VAN'!B:B, B69, '03_BOC_TACH_VAN'!D:D, "ĐỘNG_CƠ_VÀ_CẢM_BIẾN"))*0.25</f>
        <v/>
      </c>
      <c r="M69" s="402">
        <f>(K69-SUMIFS('03_BOC_TACH_VAN'!K:K, '03_BOC_TACH_VAN'!B:B, B69, '03_BOC_TACH_VAN'!D:D, "ĐỘNG_CƠ_VÀ_CẢM_BIẾN"))*0.10</f>
        <v/>
      </c>
      <c r="N69" s="402">
        <f>K69+L69+M69</f>
        <v/>
      </c>
      <c r="O69" s="402">
        <f>IF(G69&gt;0, N69/G69, 0)</f>
        <v/>
      </c>
      <c r="P69" s="403" t="n">
        <v>0.18</v>
      </c>
      <c r="Q69" s="402">
        <f>IF(G69&gt;0, ((N69-SUMIFS('03_BOC_TACH_VAN'!K:K, '03_BOC_TACH_VAN'!B:B, B69, '03_BOC_TACH_VAN'!D:D, "ĐỘNG_CƠ_VÀ_CẢM_BIẾN"))*(1+P69)+SUMIFS('03_BOC_TACH_VAN'!K:K, '03_BOC_TACH_VAN'!B:B, B69, '03_BOC_TACH_VAN'!D:D, "ĐỘNG_CƠ_VÀ_CẢM_BIẾN"))/G69, 0)</f>
        <v/>
      </c>
      <c r="R69" s="402">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402" t="n">
        <v>1</v>
      </c>
      <c r="H70" s="402">
        <f>SUMIF('01_BOC_TACH_ONG'!B:B, B70, '01_BOC_TACH_ONG'!K:K)</f>
        <v/>
      </c>
      <c r="I70" s="402">
        <f>SUMIF('02_BOC_TACH_CUA'!B:B, B70, '02_BOC_TACH_CUA'!K:K)</f>
        <v/>
      </c>
      <c r="J70" s="402">
        <f>SUMIF('03_BOC_TACH_VAN'!B:B, B70, '03_BOC_TACH_VAN'!K:K)</f>
        <v/>
      </c>
      <c r="K70" s="402">
        <f>SUM(H70:J70)</f>
        <v/>
      </c>
      <c r="L70" s="402">
        <f>(K70-SUMIFS('03_BOC_TACH_VAN'!K:K, '03_BOC_TACH_VAN'!B:B, B70, '03_BOC_TACH_VAN'!D:D, "ĐỘNG_CƠ_VÀ_CẢM_BIẾN"))*0.25</f>
        <v/>
      </c>
      <c r="M70" s="402">
        <f>(K70-SUMIFS('03_BOC_TACH_VAN'!K:K, '03_BOC_TACH_VAN'!B:B, B70, '03_BOC_TACH_VAN'!D:D, "ĐỘNG_CƠ_VÀ_CẢM_BIẾN"))*0.10</f>
        <v/>
      </c>
      <c r="N70" s="402">
        <f>K70+L70+M70</f>
        <v/>
      </c>
      <c r="O70" s="402">
        <f>IF(G70&gt;0, N70/G70, 0)</f>
        <v/>
      </c>
      <c r="P70" s="403" t="n">
        <v>0.18</v>
      </c>
      <c r="Q70" s="402">
        <f>IF(G70&gt;0, ((N70-SUMIFS('03_BOC_TACH_VAN'!K:K, '03_BOC_TACH_VAN'!B:B, B70, '03_BOC_TACH_VAN'!D:D, "ĐỘNG_CƠ_VÀ_CẢM_BIẾN"))*(1+P70)+SUMIFS('03_BOC_TACH_VAN'!K:K, '03_BOC_TACH_VAN'!B:B, B70, '03_BOC_TACH_VAN'!D:D, "ĐỘNG_CƠ_VÀ_CẢM_BIẾN"))/G70, 0)</f>
        <v/>
      </c>
      <c r="R70" s="402">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402" t="n">
        <v>9</v>
      </c>
      <c r="H71" s="402">
        <f>SUMIF('01_BOC_TACH_ONG'!B:B, B71, '01_BOC_TACH_ONG'!K:K)</f>
        <v/>
      </c>
      <c r="I71" s="402">
        <f>SUMIF('02_BOC_TACH_CUA'!B:B, B71, '02_BOC_TACH_CUA'!K:K)</f>
        <v/>
      </c>
      <c r="J71" s="402">
        <f>SUMIF('03_BOC_TACH_VAN'!B:B, B71, '03_BOC_TACH_VAN'!K:K)</f>
        <v/>
      </c>
      <c r="K71" s="402">
        <f>SUM(H71:J71)</f>
        <v/>
      </c>
      <c r="L71" s="402">
        <f>(K71-SUMIFS('03_BOC_TACH_VAN'!K:K, '03_BOC_TACH_VAN'!B:B, B71, '03_BOC_TACH_VAN'!D:D, "ĐỘNG_CƠ_VÀ_CẢM_BIẾN"))*0.25</f>
        <v/>
      </c>
      <c r="M71" s="402">
        <f>(K71-SUMIFS('03_BOC_TACH_VAN'!K:K, '03_BOC_TACH_VAN'!B:B, B71, '03_BOC_TACH_VAN'!D:D, "ĐỘNG_CƠ_VÀ_CẢM_BIẾN"))*0.10</f>
        <v/>
      </c>
      <c r="N71" s="402">
        <f>K71+L71+M71</f>
        <v/>
      </c>
      <c r="O71" s="402">
        <f>IF(G71&gt;0, N71/G71, 0)</f>
        <v/>
      </c>
      <c r="P71" s="403" t="n">
        <v>0.18</v>
      </c>
      <c r="Q71" s="402">
        <f>IF(G71&gt;0, ((N71-SUMIFS('03_BOC_TACH_VAN'!K:K, '03_BOC_TACH_VAN'!B:B, B71, '03_BOC_TACH_VAN'!D:D, "ĐỘNG_CƠ_VÀ_CẢM_BIẾN"))*(1+P71)+SUMIFS('03_BOC_TACH_VAN'!K:K, '03_BOC_TACH_VAN'!B:B, B71, '03_BOC_TACH_VAN'!D:D, "ĐỘNG_CƠ_VÀ_CẢM_BIẾN"))/G71, 0)</f>
        <v/>
      </c>
      <c r="R71" s="402">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402" t="n">
        <v>1</v>
      </c>
      <c r="H72" s="402">
        <f>SUMIF('01_BOC_TACH_ONG'!B:B, B72, '01_BOC_TACH_ONG'!K:K)</f>
        <v/>
      </c>
      <c r="I72" s="402">
        <f>SUMIF('02_BOC_TACH_CUA'!B:B, B72, '02_BOC_TACH_CUA'!K:K)</f>
        <v/>
      </c>
      <c r="J72" s="402">
        <f>SUMIF('03_BOC_TACH_VAN'!B:B, B72, '03_BOC_TACH_VAN'!K:K)</f>
        <v/>
      </c>
      <c r="K72" s="402">
        <f>SUM(H72:J72)</f>
        <v/>
      </c>
      <c r="L72" s="402">
        <f>(K72-SUMIFS('03_BOC_TACH_VAN'!K:K, '03_BOC_TACH_VAN'!B:B, B72, '03_BOC_TACH_VAN'!D:D, "ĐỘNG_CƠ_VÀ_CẢM_BIẾN"))*0.25</f>
        <v/>
      </c>
      <c r="M72" s="402">
        <f>(K72-SUMIFS('03_BOC_TACH_VAN'!K:K, '03_BOC_TACH_VAN'!B:B, B72, '03_BOC_TACH_VAN'!D:D, "ĐỘNG_CƠ_VÀ_CẢM_BIẾN"))*0.10</f>
        <v/>
      </c>
      <c r="N72" s="402">
        <f>K72+L72+M72</f>
        <v/>
      </c>
      <c r="O72" s="402">
        <f>IF(G72&gt;0, N72/G72, 0)</f>
        <v/>
      </c>
      <c r="P72" s="403" t="n">
        <v>0.18</v>
      </c>
      <c r="Q72" s="402">
        <f>IF(G72&gt;0, ((N72-SUMIFS('03_BOC_TACH_VAN'!K:K, '03_BOC_TACH_VAN'!B:B, B72, '03_BOC_TACH_VAN'!D:D, "ĐỘNG_CƠ_VÀ_CẢM_BIẾN"))*(1+P72)+SUMIFS('03_BOC_TACH_VAN'!K:K, '03_BOC_TACH_VAN'!B:B, B72, '03_BOC_TACH_VAN'!D:D, "ĐỘNG_CƠ_VÀ_CẢM_BIẾN"))/G72, 0)</f>
        <v/>
      </c>
      <c r="R72" s="402">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402" t="n">
        <v>13</v>
      </c>
      <c r="H73" s="402">
        <f>SUMIF('01_BOC_TACH_ONG'!B:B, B73, '01_BOC_TACH_ONG'!K:K)</f>
        <v/>
      </c>
      <c r="I73" s="402">
        <f>SUMIF('02_BOC_TACH_CUA'!B:B, B73, '02_BOC_TACH_CUA'!K:K)</f>
        <v/>
      </c>
      <c r="J73" s="402">
        <f>SUMIF('03_BOC_TACH_VAN'!B:B, B73, '03_BOC_TACH_VAN'!K:K)</f>
        <v/>
      </c>
      <c r="K73" s="402">
        <f>SUM(H73:J73)</f>
        <v/>
      </c>
      <c r="L73" s="402">
        <f>(K73-SUMIFS('03_BOC_TACH_VAN'!K:K, '03_BOC_TACH_VAN'!B:B, B73, '03_BOC_TACH_VAN'!D:D, "ĐỘNG_CƠ_VÀ_CẢM_BIẾN"))*0.25</f>
        <v/>
      </c>
      <c r="M73" s="402">
        <f>(K73-SUMIFS('03_BOC_TACH_VAN'!K:K, '03_BOC_TACH_VAN'!B:B, B73, '03_BOC_TACH_VAN'!D:D, "ĐỘNG_CƠ_VÀ_CẢM_BIẾN"))*0.10</f>
        <v/>
      </c>
      <c r="N73" s="402">
        <f>K73+L73+M73</f>
        <v/>
      </c>
      <c r="O73" s="402">
        <f>IF(G73&gt;0, N73/G73, 0)</f>
        <v/>
      </c>
      <c r="P73" s="403" t="n">
        <v>0.18</v>
      </c>
      <c r="Q73" s="402">
        <f>IF(G73&gt;0, ((N73-SUMIFS('03_BOC_TACH_VAN'!K:K, '03_BOC_TACH_VAN'!B:B, B73, '03_BOC_TACH_VAN'!D:D, "ĐỘNG_CƠ_VÀ_CẢM_BIẾN"))*(1+P73)+SUMIFS('03_BOC_TACH_VAN'!K:K, '03_BOC_TACH_VAN'!B:B, B73, '03_BOC_TACH_VAN'!D:D, "ĐỘNG_CƠ_VÀ_CẢM_BIẾN"))/G73, 0)</f>
        <v/>
      </c>
      <c r="R73" s="402">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402" t="n">
        <v>12</v>
      </c>
      <c r="H74" s="402">
        <f>SUMIF('01_BOC_TACH_ONG'!B:B, B74, '01_BOC_TACH_ONG'!K:K)</f>
        <v/>
      </c>
      <c r="I74" s="402">
        <f>SUMIF('02_BOC_TACH_CUA'!B:B, B74, '02_BOC_TACH_CUA'!K:K)</f>
        <v/>
      </c>
      <c r="J74" s="402">
        <f>SUMIF('03_BOC_TACH_VAN'!B:B, B74, '03_BOC_TACH_VAN'!K:K)</f>
        <v/>
      </c>
      <c r="K74" s="402">
        <f>SUM(H74:J74)</f>
        <v/>
      </c>
      <c r="L74" s="402">
        <f>(K74-SUMIFS('03_BOC_TACH_VAN'!K:K, '03_BOC_TACH_VAN'!B:B, B74, '03_BOC_TACH_VAN'!D:D, "ĐỘNG_CƠ_VÀ_CẢM_BIẾN"))*0.25</f>
        <v/>
      </c>
      <c r="M74" s="402">
        <f>(K74-SUMIFS('03_BOC_TACH_VAN'!K:K, '03_BOC_TACH_VAN'!B:B, B74, '03_BOC_TACH_VAN'!D:D, "ĐỘNG_CƠ_VÀ_CẢM_BIẾN"))*0.10</f>
        <v/>
      </c>
      <c r="N74" s="402">
        <f>K74+L74+M74</f>
        <v/>
      </c>
      <c r="O74" s="402">
        <f>IF(G74&gt;0, N74/G74, 0)</f>
        <v/>
      </c>
      <c r="P74" s="403" t="n">
        <v>0.18</v>
      </c>
      <c r="Q74" s="402">
        <f>IF(G74&gt;0, ((N74-SUMIFS('03_BOC_TACH_VAN'!K:K, '03_BOC_TACH_VAN'!B:B, B74, '03_BOC_TACH_VAN'!D:D, "ĐỘNG_CƠ_VÀ_CẢM_BIẾN"))*(1+P74)+SUMIFS('03_BOC_TACH_VAN'!K:K, '03_BOC_TACH_VAN'!B:B, B74, '03_BOC_TACH_VAN'!D:D, "ĐỘNG_CƠ_VÀ_CẢM_BIẾN"))/G74, 0)</f>
        <v/>
      </c>
      <c r="R74" s="402">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402" t="n">
        <v>1</v>
      </c>
      <c r="H75" s="402">
        <f>SUMIF('01_BOC_TACH_ONG'!B:B, B75, '01_BOC_TACH_ONG'!K:K)</f>
        <v/>
      </c>
      <c r="I75" s="402">
        <f>SUMIF('02_BOC_TACH_CUA'!B:B, B75, '02_BOC_TACH_CUA'!K:K)</f>
        <v/>
      </c>
      <c r="J75" s="402">
        <f>SUMIF('03_BOC_TACH_VAN'!B:B, B75, '03_BOC_TACH_VAN'!K:K)</f>
        <v/>
      </c>
      <c r="K75" s="402">
        <f>SUM(H75:J75)</f>
        <v/>
      </c>
      <c r="L75" s="402">
        <f>(K75-SUMIFS('03_BOC_TACH_VAN'!K:K, '03_BOC_TACH_VAN'!B:B, B75, '03_BOC_TACH_VAN'!D:D, "ĐỘNG_CƠ_VÀ_CẢM_BIẾN"))*0.25</f>
        <v/>
      </c>
      <c r="M75" s="402">
        <f>(K75-SUMIFS('03_BOC_TACH_VAN'!K:K, '03_BOC_TACH_VAN'!B:B, B75, '03_BOC_TACH_VAN'!D:D, "ĐỘNG_CƠ_VÀ_CẢM_BIẾN"))*0.10</f>
        <v/>
      </c>
      <c r="N75" s="402">
        <f>K75+L75+M75</f>
        <v/>
      </c>
      <c r="O75" s="402">
        <f>IF(G75&gt;0, N75/G75, 0)</f>
        <v/>
      </c>
      <c r="P75" s="403" t="n">
        <v>0.18</v>
      </c>
      <c r="Q75" s="402">
        <f>IF(G75&gt;0, ((N75-SUMIFS('03_BOC_TACH_VAN'!K:K, '03_BOC_TACH_VAN'!B:B, B75, '03_BOC_TACH_VAN'!D:D, "ĐỘNG_CƠ_VÀ_CẢM_BIẾN"))*(1+P75)+SUMIFS('03_BOC_TACH_VAN'!K:K, '03_BOC_TACH_VAN'!B:B, B75, '03_BOC_TACH_VAN'!D:D, "ĐỘNG_CƠ_VÀ_CẢM_BIẾN"))/G75, 0)</f>
        <v/>
      </c>
      <c r="R75" s="402">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402" t="n">
        <v>10</v>
      </c>
      <c r="H76" s="402">
        <f>SUMIF('01_BOC_TACH_ONG'!B:B, B76, '01_BOC_TACH_ONG'!K:K)</f>
        <v/>
      </c>
      <c r="I76" s="402">
        <f>SUMIF('02_BOC_TACH_CUA'!B:B, B76, '02_BOC_TACH_CUA'!K:K)</f>
        <v/>
      </c>
      <c r="J76" s="402">
        <f>SUMIF('03_BOC_TACH_VAN'!B:B, B76, '03_BOC_TACH_VAN'!K:K)</f>
        <v/>
      </c>
      <c r="K76" s="402">
        <f>SUM(H76:J76)</f>
        <v/>
      </c>
      <c r="L76" s="402">
        <f>(K76-SUMIFS('03_BOC_TACH_VAN'!K:K, '03_BOC_TACH_VAN'!B:B, B76, '03_BOC_TACH_VAN'!D:D, "ĐỘNG_CƠ_VÀ_CẢM_BIẾN"))*0.25</f>
        <v/>
      </c>
      <c r="M76" s="402">
        <f>(K76-SUMIFS('03_BOC_TACH_VAN'!K:K, '03_BOC_TACH_VAN'!B:B, B76, '03_BOC_TACH_VAN'!D:D, "ĐỘNG_CƠ_VÀ_CẢM_BIẾN"))*0.10</f>
        <v/>
      </c>
      <c r="N76" s="402">
        <f>K76+L76+M76</f>
        <v/>
      </c>
      <c r="O76" s="402">
        <f>IF(G76&gt;0, N76/G76, 0)</f>
        <v/>
      </c>
      <c r="P76" s="403" t="n">
        <v>0.18</v>
      </c>
      <c r="Q76" s="402">
        <f>IF(G76&gt;0, ((N76-SUMIFS('03_BOC_TACH_VAN'!K:K, '03_BOC_TACH_VAN'!B:B, B76, '03_BOC_TACH_VAN'!D:D, "ĐỘNG_CƠ_VÀ_CẢM_BIẾN"))*(1+P76)+SUMIFS('03_BOC_TACH_VAN'!K:K, '03_BOC_TACH_VAN'!B:B, B76, '03_BOC_TACH_VAN'!D:D, "ĐỘNG_CƠ_VÀ_CẢM_BIẾN"))/G76, 0)</f>
        <v/>
      </c>
      <c r="R76" s="402">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402" t="n">
        <v>6</v>
      </c>
      <c r="H77" s="402">
        <f>SUMIF('01_BOC_TACH_ONG'!B:B, B77, '01_BOC_TACH_ONG'!K:K)</f>
        <v/>
      </c>
      <c r="I77" s="402">
        <f>SUMIF('02_BOC_TACH_CUA'!B:B, B77, '02_BOC_TACH_CUA'!K:K)</f>
        <v/>
      </c>
      <c r="J77" s="402">
        <f>SUMIF('03_BOC_TACH_VAN'!B:B, B77, '03_BOC_TACH_VAN'!K:K)</f>
        <v/>
      </c>
      <c r="K77" s="402">
        <f>SUM(H77:J77)</f>
        <v/>
      </c>
      <c r="L77" s="402">
        <f>(K77-SUMIFS('03_BOC_TACH_VAN'!K:K, '03_BOC_TACH_VAN'!B:B, B77, '03_BOC_TACH_VAN'!D:D, "ĐỘNG_CƠ_VÀ_CẢM_BIẾN"))*0.25</f>
        <v/>
      </c>
      <c r="M77" s="402">
        <f>(K77-SUMIFS('03_BOC_TACH_VAN'!K:K, '03_BOC_TACH_VAN'!B:B, B77, '03_BOC_TACH_VAN'!D:D, "ĐỘNG_CƠ_VÀ_CẢM_BIẾN"))*0.10</f>
        <v/>
      </c>
      <c r="N77" s="402">
        <f>K77+L77+M77</f>
        <v/>
      </c>
      <c r="O77" s="402">
        <f>IF(G77&gt;0, N77/G77, 0)</f>
        <v/>
      </c>
      <c r="P77" s="403" t="n">
        <v>0.18</v>
      </c>
      <c r="Q77" s="402">
        <f>IF(G77&gt;0, ((N77-SUMIFS('03_BOC_TACH_VAN'!K:K, '03_BOC_TACH_VAN'!B:B, B77, '03_BOC_TACH_VAN'!D:D, "ĐỘNG_CƠ_VÀ_CẢM_BIẾN"))*(1+P77)+SUMIFS('03_BOC_TACH_VAN'!K:K, '03_BOC_TACH_VAN'!B:B, B77, '03_BOC_TACH_VAN'!D:D, "ĐỘNG_CƠ_VÀ_CẢM_BIẾN"))/G77, 0)</f>
        <v/>
      </c>
      <c r="R77" s="402">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402" t="n">
        <v>6</v>
      </c>
      <c r="H78" s="402">
        <f>SUMIF('01_BOC_TACH_ONG'!B:B, B78, '01_BOC_TACH_ONG'!K:K)</f>
        <v/>
      </c>
      <c r="I78" s="402">
        <f>SUMIF('02_BOC_TACH_CUA'!B:B, B78, '02_BOC_TACH_CUA'!K:K)</f>
        <v/>
      </c>
      <c r="J78" s="402">
        <f>SUMIF('03_BOC_TACH_VAN'!B:B, B78, '03_BOC_TACH_VAN'!K:K)</f>
        <v/>
      </c>
      <c r="K78" s="402">
        <f>SUM(H78:J78)</f>
        <v/>
      </c>
      <c r="L78" s="402">
        <f>(K78-SUMIFS('03_BOC_TACH_VAN'!K:K, '03_BOC_TACH_VAN'!B:B, B78, '03_BOC_TACH_VAN'!D:D, "ĐỘNG_CƠ_VÀ_CẢM_BIẾN"))*0.25</f>
        <v/>
      </c>
      <c r="M78" s="402">
        <f>(K78-SUMIFS('03_BOC_TACH_VAN'!K:K, '03_BOC_TACH_VAN'!B:B, B78, '03_BOC_TACH_VAN'!D:D, "ĐỘNG_CƠ_VÀ_CẢM_BIẾN"))*0.10</f>
        <v/>
      </c>
      <c r="N78" s="402">
        <f>K78+L78+M78</f>
        <v/>
      </c>
      <c r="O78" s="402">
        <f>IF(G78&gt;0, N78/G78, 0)</f>
        <v/>
      </c>
      <c r="P78" s="403" t="n">
        <v>0.18</v>
      </c>
      <c r="Q78" s="402">
        <f>IF(G78&gt;0, ((N78-SUMIFS('03_BOC_TACH_VAN'!K:K, '03_BOC_TACH_VAN'!B:B, B78, '03_BOC_TACH_VAN'!D:D, "ĐỘNG_CƠ_VÀ_CẢM_BIẾN"))*(1+P78)+SUMIFS('03_BOC_TACH_VAN'!K:K, '03_BOC_TACH_VAN'!B:B, B78, '03_BOC_TACH_VAN'!D:D, "ĐỘNG_CƠ_VÀ_CẢM_BIẾN"))/G78, 0)</f>
        <v/>
      </c>
      <c r="R78" s="402">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402" t="n">
        <v>8</v>
      </c>
      <c r="H79" s="402">
        <f>SUMIF('01_BOC_TACH_ONG'!B:B, B79, '01_BOC_TACH_ONG'!K:K)</f>
        <v/>
      </c>
      <c r="I79" s="402">
        <f>SUMIF('02_BOC_TACH_CUA'!B:B, B79, '02_BOC_TACH_CUA'!K:K)</f>
        <v/>
      </c>
      <c r="J79" s="402">
        <f>SUMIF('03_BOC_TACH_VAN'!B:B, B79, '03_BOC_TACH_VAN'!K:K)</f>
        <v/>
      </c>
      <c r="K79" s="402">
        <f>SUM(H79:J79)</f>
        <v/>
      </c>
      <c r="L79" s="402">
        <f>(K79-SUMIFS('03_BOC_TACH_VAN'!K:K, '03_BOC_TACH_VAN'!B:B, B79, '03_BOC_TACH_VAN'!D:D, "ĐỘNG_CƠ_VÀ_CẢM_BIẾN"))*0.25</f>
        <v/>
      </c>
      <c r="M79" s="402">
        <f>(K79-SUMIFS('03_BOC_TACH_VAN'!K:K, '03_BOC_TACH_VAN'!B:B, B79, '03_BOC_TACH_VAN'!D:D, "ĐỘNG_CƠ_VÀ_CẢM_BIẾN"))*0.10</f>
        <v/>
      </c>
      <c r="N79" s="402">
        <f>K79+L79+M79</f>
        <v/>
      </c>
      <c r="O79" s="402">
        <f>IF(G79&gt;0, N79/G79, 0)</f>
        <v/>
      </c>
      <c r="P79" s="403" t="n">
        <v>0.18</v>
      </c>
      <c r="Q79" s="402">
        <f>IF(G79&gt;0, ((N79-SUMIFS('03_BOC_TACH_VAN'!K:K, '03_BOC_TACH_VAN'!B:B, B79, '03_BOC_TACH_VAN'!D:D, "ĐỘNG_CƠ_VÀ_CẢM_BIẾN"))*(1+P79)+SUMIFS('03_BOC_TACH_VAN'!K:K, '03_BOC_TACH_VAN'!B:B, B79, '03_BOC_TACH_VAN'!D:D, "ĐỘNG_CƠ_VÀ_CẢM_BIẾN"))/G79, 0)</f>
        <v/>
      </c>
      <c r="R79" s="402">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402" t="n">
        <v>6</v>
      </c>
      <c r="H80" s="402">
        <f>SUMIF('01_BOC_TACH_ONG'!B:B, B80, '01_BOC_TACH_ONG'!K:K)</f>
        <v/>
      </c>
      <c r="I80" s="402">
        <f>SUMIF('02_BOC_TACH_CUA'!B:B, B80, '02_BOC_TACH_CUA'!K:K)</f>
        <v/>
      </c>
      <c r="J80" s="402">
        <f>SUMIF('03_BOC_TACH_VAN'!B:B, B80, '03_BOC_TACH_VAN'!K:K)</f>
        <v/>
      </c>
      <c r="K80" s="402">
        <f>SUM(H80:J80)</f>
        <v/>
      </c>
      <c r="L80" s="402">
        <f>(K80-SUMIFS('03_BOC_TACH_VAN'!K:K, '03_BOC_TACH_VAN'!B:B, B80, '03_BOC_TACH_VAN'!D:D, "ĐỘNG_CƠ_VÀ_CẢM_BIẾN"))*0.25</f>
        <v/>
      </c>
      <c r="M80" s="402">
        <f>(K80-SUMIFS('03_BOC_TACH_VAN'!K:K, '03_BOC_TACH_VAN'!B:B, B80, '03_BOC_TACH_VAN'!D:D, "ĐỘNG_CƠ_VÀ_CẢM_BIẾN"))*0.10</f>
        <v/>
      </c>
      <c r="N80" s="402">
        <f>K80+L80+M80</f>
        <v/>
      </c>
      <c r="O80" s="402">
        <f>IF(G80&gt;0, N80/G80, 0)</f>
        <v/>
      </c>
      <c r="P80" s="403" t="n">
        <v>0.18</v>
      </c>
      <c r="Q80" s="402">
        <f>IF(G80&gt;0, ((N80-SUMIFS('03_BOC_TACH_VAN'!K:K, '03_BOC_TACH_VAN'!B:B, B80, '03_BOC_TACH_VAN'!D:D, "ĐỘNG_CƠ_VÀ_CẢM_BIẾN"))*(1+P80)+SUMIFS('03_BOC_TACH_VAN'!K:K, '03_BOC_TACH_VAN'!B:B, B80, '03_BOC_TACH_VAN'!D:D, "ĐỘNG_CƠ_VÀ_CẢM_BIẾN"))/G80, 0)</f>
        <v/>
      </c>
      <c r="R80" s="402">
        <f>G80*Q80</f>
        <v/>
      </c>
      <c r="S80" t="inlineStr"/>
    </row>
    <row r="81">
      <c r="A81" t="n">
        <v>80</v>
      </c>
      <c r="B81" t="inlineStr">
        <is>
          <t>SW-DAMPER-080</t>
        </is>
      </c>
      <c r="C81" t="inlineStr">
        <is>
          <t>VAN GIÓ</t>
        </is>
      </c>
      <c r="D81" t="inlineStr">
        <is>
          <t>HỆ THỐNG TẠO ÁP Van xả áp</t>
        </is>
      </c>
      <c r="E81" t="inlineStr">
        <is>
          <t>-</t>
        </is>
      </c>
      <c r="F81" t="inlineStr">
        <is>
          <t>Cái</t>
        </is>
      </c>
      <c r="G81" s="402" t="n">
        <v>6</v>
      </c>
      <c r="H81" s="402">
        <f>SUMIF('01_BOC_TACH_ONG'!B:B, B81, '01_BOC_TACH_ONG'!K:K)</f>
        <v/>
      </c>
      <c r="I81" s="402">
        <f>SUMIF('02_BOC_TACH_CUA'!B:B, B81, '02_BOC_TACH_CUA'!K:K)</f>
        <v/>
      </c>
      <c r="J81" s="402">
        <f>SUMIF('03_BOC_TACH_VAN'!B:B, B81, '03_BOC_TACH_VAN'!K:K)</f>
        <v/>
      </c>
      <c r="K81" s="402">
        <f>SUM(H81:J81)</f>
        <v/>
      </c>
      <c r="L81" s="402">
        <f>(K81-SUMIFS('03_BOC_TACH_VAN'!K:K, '03_BOC_TACH_VAN'!B:B, B81, '03_BOC_TACH_VAN'!D:D, "ĐỘNG_CƠ_VÀ_CẢM_BIẾN"))*0.25</f>
        <v/>
      </c>
      <c r="M81" s="402">
        <f>(K81-SUMIFS('03_BOC_TACH_VAN'!K:K, '03_BOC_TACH_VAN'!B:B, B81, '03_BOC_TACH_VAN'!D:D, "ĐỘNG_CƠ_VÀ_CẢM_BIẾN"))*0.10</f>
        <v/>
      </c>
      <c r="N81" s="402">
        <f>K81+L81+M81</f>
        <v/>
      </c>
      <c r="O81" s="402">
        <f>IF(G81&gt;0, N81/G81, 0)</f>
        <v/>
      </c>
      <c r="P81" s="403" t="n">
        <v>0.18</v>
      </c>
      <c r="Q81" s="402">
        <f>IF(G81&gt;0, ((N81-SUMIFS('03_BOC_TACH_VAN'!K:K, '03_BOC_TACH_VAN'!B:B, B81, '03_BOC_TACH_VAN'!D:D, "ĐỘNG_CƠ_VÀ_CẢM_BIẾN"))*(1+P81)+SUMIFS('03_BOC_TACH_VAN'!K:K, '03_BOC_TACH_VAN'!B:B, B81, '03_BOC_TACH_VAN'!D:D, "ĐỘNG_CƠ_VÀ_CẢM_BIẾN"))/G81, 0)</f>
        <v/>
      </c>
      <c r="R81" s="402">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402" t="n">
        <v>1</v>
      </c>
      <c r="H82" s="402">
        <f>SUMIF('01_BOC_TACH_ONG'!B:B, B82, '01_BOC_TACH_ONG'!K:K)</f>
        <v/>
      </c>
      <c r="I82" s="402">
        <f>SUMIF('02_BOC_TACH_CUA'!B:B, B82, '02_BOC_TACH_CUA'!K:K)</f>
        <v/>
      </c>
      <c r="J82" s="402">
        <f>SUMIF('03_BOC_TACH_VAN'!B:B, B82, '03_BOC_TACH_VAN'!K:K)</f>
        <v/>
      </c>
      <c r="K82" s="402">
        <f>SUM(H82:J82)</f>
        <v/>
      </c>
      <c r="L82" s="402">
        <f>(K82-SUMIFS('03_BOC_TACH_VAN'!K:K, '03_BOC_TACH_VAN'!B:B, B82, '03_BOC_TACH_VAN'!D:D, "ĐỘNG_CƠ_VÀ_CẢM_BIẾN"))*0.25</f>
        <v/>
      </c>
      <c r="M82" s="402">
        <f>(K82-SUMIFS('03_BOC_TACH_VAN'!K:K, '03_BOC_TACH_VAN'!B:B, B82, '03_BOC_TACH_VAN'!D:D, "ĐỘNG_CƠ_VÀ_CẢM_BIẾN"))*0.10</f>
        <v/>
      </c>
      <c r="N82" s="402">
        <f>K82+L82+M82</f>
        <v/>
      </c>
      <c r="O82" s="402">
        <f>IF(G82&gt;0, N82/G82, 0)</f>
        <v/>
      </c>
      <c r="P82" s="403" t="n">
        <v>0.18</v>
      </c>
      <c r="Q82" s="402">
        <f>IF(G82&gt;0, ((N82-SUMIFS('03_BOC_TACH_VAN'!K:K, '03_BOC_TACH_VAN'!B:B, B82, '03_BOC_TACH_VAN'!D:D, "ĐỘNG_CƠ_VÀ_CẢM_BIẾN"))*(1+P82)+SUMIFS('03_BOC_TACH_VAN'!K:K, '03_BOC_TACH_VAN'!B:B, B82, '03_BOC_TACH_VAN'!D:D, "ĐỘNG_CƠ_VÀ_CẢM_BIẾN"))/G82, 0)</f>
        <v/>
      </c>
      <c r="R82" s="402">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402" t="n">
        <v>2</v>
      </c>
      <c r="H83" s="402">
        <f>SUMIF('01_BOC_TACH_ONG'!B:B, B83, '01_BOC_TACH_ONG'!K:K)</f>
        <v/>
      </c>
      <c r="I83" s="402">
        <f>SUMIF('02_BOC_TACH_CUA'!B:B, B83, '02_BOC_TACH_CUA'!K:K)</f>
        <v/>
      </c>
      <c r="J83" s="402">
        <f>SUMIF('03_BOC_TACH_VAN'!B:B, B83, '03_BOC_TACH_VAN'!K:K)</f>
        <v/>
      </c>
      <c r="K83" s="402">
        <f>SUM(H83:J83)</f>
        <v/>
      </c>
      <c r="L83" s="402">
        <f>(K83-SUMIFS('03_BOC_TACH_VAN'!K:K, '03_BOC_TACH_VAN'!B:B, B83, '03_BOC_TACH_VAN'!D:D, "ĐỘNG_CƠ_VÀ_CẢM_BIẾN"))*0.25</f>
        <v/>
      </c>
      <c r="M83" s="402">
        <f>(K83-SUMIFS('03_BOC_TACH_VAN'!K:K, '03_BOC_TACH_VAN'!B:B, B83, '03_BOC_TACH_VAN'!D:D, "ĐỘNG_CƠ_VÀ_CẢM_BIẾN"))*0.10</f>
        <v/>
      </c>
      <c r="N83" s="402">
        <f>K83+L83+M83</f>
        <v/>
      </c>
      <c r="O83" s="402">
        <f>IF(G83&gt;0, N83/G83, 0)</f>
        <v/>
      </c>
      <c r="P83" s="403" t="n">
        <v>0.18</v>
      </c>
      <c r="Q83" s="402">
        <f>IF(G83&gt;0, ((N83-SUMIFS('03_BOC_TACH_VAN'!K:K, '03_BOC_TACH_VAN'!B:B, B83, '03_BOC_TACH_VAN'!D:D, "ĐỘNG_CƠ_VÀ_CẢM_BIẾN"))*(1+P83)+SUMIFS('03_BOC_TACH_VAN'!K:K, '03_BOC_TACH_VAN'!B:B, B83, '03_BOC_TACH_VAN'!D:D, "ĐỘNG_CƠ_VÀ_CẢM_BIẾN"))/G83, 0)</f>
        <v/>
      </c>
      <c r="R83" s="402">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402" t="n">
        <v>1</v>
      </c>
      <c r="H84" s="402">
        <f>SUMIF('01_BOC_TACH_ONG'!B:B, B84, '01_BOC_TACH_ONG'!K:K)</f>
        <v/>
      </c>
      <c r="I84" s="402">
        <f>SUMIF('02_BOC_TACH_CUA'!B:B, B84, '02_BOC_TACH_CUA'!K:K)</f>
        <v/>
      </c>
      <c r="J84" s="402">
        <f>SUMIF('03_BOC_TACH_VAN'!B:B, B84, '03_BOC_TACH_VAN'!K:K)</f>
        <v/>
      </c>
      <c r="K84" s="402">
        <f>SUM(H84:J84)</f>
        <v/>
      </c>
      <c r="L84" s="402">
        <f>(K84-SUMIFS('03_BOC_TACH_VAN'!K:K, '03_BOC_TACH_VAN'!B:B, B84, '03_BOC_TACH_VAN'!D:D, "ĐỘNG_CƠ_VÀ_CẢM_BIẾN"))*0.25</f>
        <v/>
      </c>
      <c r="M84" s="402">
        <f>(K84-SUMIFS('03_BOC_TACH_VAN'!K:K, '03_BOC_TACH_VAN'!B:B, B84, '03_BOC_TACH_VAN'!D:D, "ĐỘNG_CƠ_VÀ_CẢM_BIẾN"))*0.10</f>
        <v/>
      </c>
      <c r="N84" s="402">
        <f>K84+L84+M84</f>
        <v/>
      </c>
      <c r="O84" s="402">
        <f>IF(G84&gt;0, N84/G84, 0)</f>
        <v/>
      </c>
      <c r="P84" s="403" t="n">
        <v>0.18</v>
      </c>
      <c r="Q84" s="402">
        <f>IF(G84&gt;0, ((N84-SUMIFS('03_BOC_TACH_VAN'!K:K, '03_BOC_TACH_VAN'!B:B, B84, '03_BOC_TACH_VAN'!D:D, "ĐỘNG_CƠ_VÀ_CẢM_BIẾN"))*(1+P84)+SUMIFS('03_BOC_TACH_VAN'!K:K, '03_BOC_TACH_VAN'!B:B, B84, '03_BOC_TACH_VAN'!D:D, "ĐỘNG_CƠ_VÀ_CẢM_BIẾN"))/G84, 0)</f>
        <v/>
      </c>
      <c r="R84" s="402">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402" t="n">
        <v>2</v>
      </c>
      <c r="H85" s="402">
        <f>SUMIF('01_BOC_TACH_ONG'!B:B, B85, '01_BOC_TACH_ONG'!K:K)</f>
        <v/>
      </c>
      <c r="I85" s="402">
        <f>SUMIF('02_BOC_TACH_CUA'!B:B, B85, '02_BOC_TACH_CUA'!K:K)</f>
        <v/>
      </c>
      <c r="J85" s="402">
        <f>SUMIF('03_BOC_TACH_VAN'!B:B, B85, '03_BOC_TACH_VAN'!K:K)</f>
        <v/>
      </c>
      <c r="K85" s="402">
        <f>SUM(H85:J85)</f>
        <v/>
      </c>
      <c r="L85" s="402">
        <f>(K85-SUMIFS('03_BOC_TACH_VAN'!K:K, '03_BOC_TACH_VAN'!B:B, B85, '03_BOC_TACH_VAN'!D:D, "ĐỘNG_CƠ_VÀ_CẢM_BIẾN"))*0.25</f>
        <v/>
      </c>
      <c r="M85" s="402">
        <f>(K85-SUMIFS('03_BOC_TACH_VAN'!K:K, '03_BOC_TACH_VAN'!B:B, B85, '03_BOC_TACH_VAN'!D:D, "ĐỘNG_CƠ_VÀ_CẢM_BIẾN"))*0.10</f>
        <v/>
      </c>
      <c r="N85" s="402">
        <f>K85+L85+M85</f>
        <v/>
      </c>
      <c r="O85" s="402">
        <f>IF(G85&gt;0, N85/G85, 0)</f>
        <v/>
      </c>
      <c r="P85" s="403" t="n">
        <v>0.18</v>
      </c>
      <c r="Q85" s="402">
        <f>IF(G85&gt;0, ((N85-SUMIFS('03_BOC_TACH_VAN'!K:K, '03_BOC_TACH_VAN'!B:B, B85, '03_BOC_TACH_VAN'!D:D, "ĐỘNG_CƠ_VÀ_CẢM_BIẾN"))*(1+P85)+SUMIFS('03_BOC_TACH_VAN'!K:K, '03_BOC_TACH_VAN'!B:B, B85, '03_BOC_TACH_VAN'!D:D, "ĐỘNG_CƠ_VÀ_CẢM_BIẾN"))/G85, 0)</f>
        <v/>
      </c>
      <c r="R85" s="402">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402" t="n">
        <v>10</v>
      </c>
      <c r="H86" s="402">
        <f>SUMIF('01_BOC_TACH_ONG'!B:B, B86, '01_BOC_TACH_ONG'!K:K)</f>
        <v/>
      </c>
      <c r="I86" s="402">
        <f>SUMIF('02_BOC_TACH_CUA'!B:B, B86, '02_BOC_TACH_CUA'!K:K)</f>
        <v/>
      </c>
      <c r="J86" s="402">
        <f>SUMIF('03_BOC_TACH_VAN'!B:B, B86, '03_BOC_TACH_VAN'!K:K)</f>
        <v/>
      </c>
      <c r="K86" s="402">
        <f>SUM(H86:J86)</f>
        <v/>
      </c>
      <c r="L86" s="402">
        <f>(K86-SUMIFS('03_BOC_TACH_VAN'!K:K, '03_BOC_TACH_VAN'!B:B, B86, '03_BOC_TACH_VAN'!D:D, "ĐỘNG_CƠ_VÀ_CẢM_BIẾN"))*0.25</f>
        <v/>
      </c>
      <c r="M86" s="402">
        <f>(K86-SUMIFS('03_BOC_TACH_VAN'!K:K, '03_BOC_TACH_VAN'!B:B, B86, '03_BOC_TACH_VAN'!D:D, "ĐỘNG_CƠ_VÀ_CẢM_BIẾN"))*0.10</f>
        <v/>
      </c>
      <c r="N86" s="402">
        <f>K86+L86+M86</f>
        <v/>
      </c>
      <c r="O86" s="402">
        <f>IF(G86&gt;0, N86/G86, 0)</f>
        <v/>
      </c>
      <c r="P86" s="403" t="n">
        <v>0.18</v>
      </c>
      <c r="Q86" s="402">
        <f>IF(G86&gt;0, ((N86-SUMIFS('03_BOC_TACH_VAN'!K:K, '03_BOC_TACH_VAN'!B:B, B86, '03_BOC_TACH_VAN'!D:D, "ĐỘNG_CƠ_VÀ_CẢM_BIẾN"))*(1+P86)+SUMIFS('03_BOC_TACH_VAN'!K:K, '03_BOC_TACH_VAN'!B:B, B86, '03_BOC_TACH_VAN'!D:D, "ĐỘNG_CƠ_VÀ_CẢM_BIẾN"))/G86, 0)</f>
        <v/>
      </c>
      <c r="R86" s="402">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402" t="n">
        <v>2</v>
      </c>
      <c r="H87" s="402">
        <f>SUMIF('01_BOC_TACH_ONG'!B:B, B87, '01_BOC_TACH_ONG'!K:K)</f>
        <v/>
      </c>
      <c r="I87" s="402">
        <f>SUMIF('02_BOC_TACH_CUA'!B:B, B87, '02_BOC_TACH_CUA'!K:K)</f>
        <v/>
      </c>
      <c r="J87" s="402">
        <f>SUMIF('03_BOC_TACH_VAN'!B:B, B87, '03_BOC_TACH_VAN'!K:K)</f>
        <v/>
      </c>
      <c r="K87" s="402">
        <f>SUM(H87:J87)</f>
        <v/>
      </c>
      <c r="L87" s="402">
        <f>(K87-SUMIFS('03_BOC_TACH_VAN'!K:K, '03_BOC_TACH_VAN'!B:B, B87, '03_BOC_TACH_VAN'!D:D, "ĐỘNG_CƠ_VÀ_CẢM_BIẾN"))*0.25</f>
        <v/>
      </c>
      <c r="M87" s="402">
        <f>(K87-SUMIFS('03_BOC_TACH_VAN'!K:K, '03_BOC_TACH_VAN'!B:B, B87, '03_BOC_TACH_VAN'!D:D, "ĐỘNG_CƠ_VÀ_CẢM_BIẾN"))*0.10</f>
        <v/>
      </c>
      <c r="N87" s="402">
        <f>K87+L87+M87</f>
        <v/>
      </c>
      <c r="O87" s="402">
        <f>IF(G87&gt;0, N87/G87, 0)</f>
        <v/>
      </c>
      <c r="P87" s="403" t="n">
        <v>0.18</v>
      </c>
      <c r="Q87" s="402">
        <f>IF(G87&gt;0, ((N87-SUMIFS('03_BOC_TACH_VAN'!K:K, '03_BOC_TACH_VAN'!B:B, B87, '03_BOC_TACH_VAN'!D:D, "ĐỘNG_CƠ_VÀ_CẢM_BIẾN"))*(1+P87)+SUMIFS('03_BOC_TACH_VAN'!K:K, '03_BOC_TACH_VAN'!B:B, B87, '03_BOC_TACH_VAN'!D:D, "ĐỘNG_CƠ_VÀ_CẢM_BIẾN"))/G87, 0)</f>
        <v/>
      </c>
      <c r="R87" s="402">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402" t="n">
        <v>8</v>
      </c>
      <c r="H88" s="402">
        <f>SUMIF('01_BOC_TACH_ONG'!B:B, B88, '01_BOC_TACH_ONG'!K:K)</f>
        <v/>
      </c>
      <c r="I88" s="402">
        <f>SUMIF('02_BOC_TACH_CUA'!B:B, B88, '02_BOC_TACH_CUA'!K:K)</f>
        <v/>
      </c>
      <c r="J88" s="402">
        <f>SUMIF('03_BOC_TACH_VAN'!B:B, B88, '03_BOC_TACH_VAN'!K:K)</f>
        <v/>
      </c>
      <c r="K88" s="402">
        <f>SUM(H88:J88)</f>
        <v/>
      </c>
      <c r="L88" s="402">
        <f>(K88-SUMIFS('03_BOC_TACH_VAN'!K:K, '03_BOC_TACH_VAN'!B:B, B88, '03_BOC_TACH_VAN'!D:D, "ĐỘNG_CƠ_VÀ_CẢM_BIẾN"))*0.25</f>
        <v/>
      </c>
      <c r="M88" s="402">
        <f>(K88-SUMIFS('03_BOC_TACH_VAN'!K:K, '03_BOC_TACH_VAN'!B:B, B88, '03_BOC_TACH_VAN'!D:D, "ĐỘNG_CƠ_VÀ_CẢM_BIẾN"))*0.10</f>
        <v/>
      </c>
      <c r="N88" s="402">
        <f>K88+L88+M88</f>
        <v/>
      </c>
      <c r="O88" s="402">
        <f>IF(G88&gt;0, N88/G88, 0)</f>
        <v/>
      </c>
      <c r="P88" s="403" t="n">
        <v>0.18</v>
      </c>
      <c r="Q88" s="402">
        <f>IF(G88&gt;0, ((N88-SUMIFS('03_BOC_TACH_VAN'!K:K, '03_BOC_TACH_VAN'!B:B, B88, '03_BOC_TACH_VAN'!D:D, "ĐỘNG_CƠ_VÀ_CẢM_BIẾN"))*(1+P88)+SUMIFS('03_BOC_TACH_VAN'!K:K, '03_BOC_TACH_VAN'!B:B, B88, '03_BOC_TACH_VAN'!D:D, "ĐỘNG_CƠ_VÀ_CẢM_BIẾN"))/G88, 0)</f>
        <v/>
      </c>
      <c r="R88" s="402">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402" t="n">
        <v>3</v>
      </c>
      <c r="H89" s="402">
        <f>SUMIF('01_BOC_TACH_ONG'!B:B, B89, '01_BOC_TACH_ONG'!K:K)</f>
        <v/>
      </c>
      <c r="I89" s="402">
        <f>SUMIF('02_BOC_TACH_CUA'!B:B, B89, '02_BOC_TACH_CUA'!K:K)</f>
        <v/>
      </c>
      <c r="J89" s="402">
        <f>SUMIF('03_BOC_TACH_VAN'!B:B, B89, '03_BOC_TACH_VAN'!K:K)</f>
        <v/>
      </c>
      <c r="K89" s="402">
        <f>SUM(H89:J89)</f>
        <v/>
      </c>
      <c r="L89" s="402">
        <f>(K89-SUMIFS('03_BOC_TACH_VAN'!K:K, '03_BOC_TACH_VAN'!B:B, B89, '03_BOC_TACH_VAN'!D:D, "ĐỘNG_CƠ_VÀ_CẢM_BIẾN"))*0.25</f>
        <v/>
      </c>
      <c r="M89" s="402">
        <f>(K89-SUMIFS('03_BOC_TACH_VAN'!K:K, '03_BOC_TACH_VAN'!B:B, B89, '03_BOC_TACH_VAN'!D:D, "ĐỘNG_CƠ_VÀ_CẢM_BIẾN"))*0.10</f>
        <v/>
      </c>
      <c r="N89" s="402">
        <f>K89+L89+M89</f>
        <v/>
      </c>
      <c r="O89" s="402">
        <f>IF(G89&gt;0, N89/G89, 0)</f>
        <v/>
      </c>
      <c r="P89" s="403" t="n">
        <v>0.18</v>
      </c>
      <c r="Q89" s="402">
        <f>IF(G89&gt;0, ((N89-SUMIFS('03_BOC_TACH_VAN'!K:K, '03_BOC_TACH_VAN'!B:B, B89, '03_BOC_TACH_VAN'!D:D, "ĐỘNG_CƠ_VÀ_CẢM_BIẾN"))*(1+P89)+SUMIFS('03_BOC_TACH_VAN'!K:K, '03_BOC_TACH_VAN'!B:B, B89, '03_BOC_TACH_VAN'!D:D, "ĐỘNG_CƠ_VÀ_CẢM_BIẾN"))/G89, 0)</f>
        <v/>
      </c>
      <c r="R89" s="402">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402" t="n">
        <v>49</v>
      </c>
      <c r="H90" s="402">
        <f>SUMIF('01_BOC_TACH_ONG'!B:B, B90, '01_BOC_TACH_ONG'!K:K)</f>
        <v/>
      </c>
      <c r="I90" s="402">
        <f>SUMIF('02_BOC_TACH_CUA'!B:B, B90, '02_BOC_TACH_CUA'!K:K)</f>
        <v/>
      </c>
      <c r="J90" s="402">
        <f>SUMIF('03_BOC_TACH_VAN'!B:B, B90, '03_BOC_TACH_VAN'!K:K)</f>
        <v/>
      </c>
      <c r="K90" s="402">
        <f>SUM(H90:J90)</f>
        <v/>
      </c>
      <c r="L90" s="402">
        <f>(K90-SUMIFS('03_BOC_TACH_VAN'!K:K, '03_BOC_TACH_VAN'!B:B, B90, '03_BOC_TACH_VAN'!D:D, "ĐỘNG_CƠ_VÀ_CẢM_BIẾN"))*0.25</f>
        <v/>
      </c>
      <c r="M90" s="402">
        <f>(K90-SUMIFS('03_BOC_TACH_VAN'!K:K, '03_BOC_TACH_VAN'!B:B, B90, '03_BOC_TACH_VAN'!D:D, "ĐỘNG_CƠ_VÀ_CẢM_BIẾN"))*0.10</f>
        <v/>
      </c>
      <c r="N90" s="402">
        <f>K90+L90+M90</f>
        <v/>
      </c>
      <c r="O90" s="402">
        <f>IF(G90&gt;0, N90/G90, 0)</f>
        <v/>
      </c>
      <c r="P90" s="403" t="n">
        <v>0.18</v>
      </c>
      <c r="Q90" s="402">
        <f>IF(G90&gt;0, ((N90-SUMIFS('03_BOC_TACH_VAN'!K:K, '03_BOC_TACH_VAN'!B:B, B90, '03_BOC_TACH_VAN'!D:D, "ĐỘNG_CƠ_VÀ_CẢM_BIẾN"))*(1+P90)+SUMIFS('03_BOC_TACH_VAN'!K:K, '03_BOC_TACH_VAN'!B:B, B90, '03_BOC_TACH_VAN'!D:D, "ĐỘNG_CƠ_VÀ_CẢM_BIẾN"))/G90, 0)</f>
        <v/>
      </c>
      <c r="R90" s="402">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402" t="n">
        <v>18</v>
      </c>
      <c r="H91" s="402">
        <f>SUMIF('01_BOC_TACH_ONG'!B:B, B91, '01_BOC_TACH_ONG'!K:K)</f>
        <v/>
      </c>
      <c r="I91" s="402">
        <f>SUMIF('02_BOC_TACH_CUA'!B:B, B91, '02_BOC_TACH_CUA'!K:K)</f>
        <v/>
      </c>
      <c r="J91" s="402">
        <f>SUMIF('03_BOC_TACH_VAN'!B:B, B91, '03_BOC_TACH_VAN'!K:K)</f>
        <v/>
      </c>
      <c r="K91" s="402">
        <f>SUM(H91:J91)</f>
        <v/>
      </c>
      <c r="L91" s="402">
        <f>(K91-SUMIFS('03_BOC_TACH_VAN'!K:K, '03_BOC_TACH_VAN'!B:B, B91, '03_BOC_TACH_VAN'!D:D, "ĐỘNG_CƠ_VÀ_CẢM_BIẾN"))*0.25</f>
        <v/>
      </c>
      <c r="M91" s="402">
        <f>(K91-SUMIFS('03_BOC_TACH_VAN'!K:K, '03_BOC_TACH_VAN'!B:B, B91, '03_BOC_TACH_VAN'!D:D, "ĐỘNG_CƠ_VÀ_CẢM_BIẾN"))*0.10</f>
        <v/>
      </c>
      <c r="N91" s="402">
        <f>K91+L91+M91</f>
        <v/>
      </c>
      <c r="O91" s="402">
        <f>IF(G91&gt;0, N91/G91, 0)</f>
        <v/>
      </c>
      <c r="P91" s="403" t="n">
        <v>0.18</v>
      </c>
      <c r="Q91" s="402">
        <f>IF(G91&gt;0, ((N91-SUMIFS('03_BOC_TACH_VAN'!K:K, '03_BOC_TACH_VAN'!B:B, B91, '03_BOC_TACH_VAN'!D:D, "ĐỘNG_CƠ_VÀ_CẢM_BIẾN"))*(1+P91)+SUMIFS('03_BOC_TACH_VAN'!K:K, '03_BOC_TACH_VAN'!B:B, B91, '03_BOC_TACH_VAN'!D:D, "ĐỘNG_CƠ_VÀ_CẢM_BIẾN"))/G91, 0)</f>
        <v/>
      </c>
      <c r="R91" s="402">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402" t="n">
        <v>13</v>
      </c>
      <c r="H92" s="402">
        <f>SUMIF('01_BOC_TACH_ONG'!B:B, B92, '01_BOC_TACH_ONG'!K:K)</f>
        <v/>
      </c>
      <c r="I92" s="402">
        <f>SUMIF('02_BOC_TACH_CUA'!B:B, B92, '02_BOC_TACH_CUA'!K:K)</f>
        <v/>
      </c>
      <c r="J92" s="402">
        <f>SUMIF('03_BOC_TACH_VAN'!B:B, B92, '03_BOC_TACH_VAN'!K:K)</f>
        <v/>
      </c>
      <c r="K92" s="402">
        <f>SUM(H92:J92)</f>
        <v/>
      </c>
      <c r="L92" s="402">
        <f>(K92-SUMIFS('03_BOC_TACH_VAN'!K:K, '03_BOC_TACH_VAN'!B:B, B92, '03_BOC_TACH_VAN'!D:D, "ĐỘNG_CƠ_VÀ_CẢM_BIẾN"))*0.25</f>
        <v/>
      </c>
      <c r="M92" s="402">
        <f>(K92-SUMIFS('03_BOC_TACH_VAN'!K:K, '03_BOC_TACH_VAN'!B:B, B92, '03_BOC_TACH_VAN'!D:D, "ĐỘNG_CƠ_VÀ_CẢM_BIẾN"))*0.10</f>
        <v/>
      </c>
      <c r="N92" s="402">
        <f>K92+L92+M92</f>
        <v/>
      </c>
      <c r="O92" s="402">
        <f>IF(G92&gt;0, N92/G92, 0)</f>
        <v/>
      </c>
      <c r="P92" s="403" t="n">
        <v>0.18</v>
      </c>
      <c r="Q92" s="402">
        <f>IF(G92&gt;0, ((N92-SUMIFS('03_BOC_TACH_VAN'!K:K, '03_BOC_TACH_VAN'!B:B, B92, '03_BOC_TACH_VAN'!D:D, "ĐỘNG_CƠ_VÀ_CẢM_BIẾN"))*(1+P92)+SUMIFS('03_BOC_TACH_VAN'!K:K, '03_BOC_TACH_VAN'!B:B, B92, '03_BOC_TACH_VAN'!D:D, "ĐỘNG_CƠ_VÀ_CẢM_BIẾN"))/G92, 0)</f>
        <v/>
      </c>
      <c r="R92" s="402">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402" t="n">
        <v>7</v>
      </c>
      <c r="H93" s="402">
        <f>SUMIF('01_BOC_TACH_ONG'!B:B, B93, '01_BOC_TACH_ONG'!K:K)</f>
        <v/>
      </c>
      <c r="I93" s="402">
        <f>SUMIF('02_BOC_TACH_CUA'!B:B, B93, '02_BOC_TACH_CUA'!K:K)</f>
        <v/>
      </c>
      <c r="J93" s="402">
        <f>SUMIF('03_BOC_TACH_VAN'!B:B, B93, '03_BOC_TACH_VAN'!K:K)</f>
        <v/>
      </c>
      <c r="K93" s="402">
        <f>SUM(H93:J93)</f>
        <v/>
      </c>
      <c r="L93" s="402">
        <f>(K93-SUMIFS('03_BOC_TACH_VAN'!K:K, '03_BOC_TACH_VAN'!B:B, B93, '03_BOC_TACH_VAN'!D:D, "ĐỘNG_CƠ_VÀ_CẢM_BIẾN"))*0.25</f>
        <v/>
      </c>
      <c r="M93" s="402">
        <f>(K93-SUMIFS('03_BOC_TACH_VAN'!K:K, '03_BOC_TACH_VAN'!B:B, B93, '03_BOC_TACH_VAN'!D:D, "ĐỘNG_CƠ_VÀ_CẢM_BIẾN"))*0.10</f>
        <v/>
      </c>
      <c r="N93" s="402">
        <f>K93+L93+M93</f>
        <v/>
      </c>
      <c r="O93" s="402">
        <f>IF(G93&gt;0, N93/G93, 0)</f>
        <v/>
      </c>
      <c r="P93" s="403" t="n">
        <v>0.18</v>
      </c>
      <c r="Q93" s="402">
        <f>IF(G93&gt;0, ((N93-SUMIFS('03_BOC_TACH_VAN'!K:K, '03_BOC_TACH_VAN'!B:B, B93, '03_BOC_TACH_VAN'!D:D, "ĐỘNG_CƠ_VÀ_CẢM_BIẾN"))*(1+P93)+SUMIFS('03_BOC_TACH_VAN'!K:K, '03_BOC_TACH_VAN'!B:B, B93, '03_BOC_TACH_VAN'!D:D, "ĐỘNG_CƠ_VÀ_CẢM_BIẾN"))/G93, 0)</f>
        <v/>
      </c>
      <c r="R93" s="402">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402" t="n">
        <v>17</v>
      </c>
      <c r="H94" s="402">
        <f>SUMIF('01_BOC_TACH_ONG'!B:B, B94, '01_BOC_TACH_ONG'!K:K)</f>
        <v/>
      </c>
      <c r="I94" s="402">
        <f>SUMIF('02_BOC_TACH_CUA'!B:B, B94, '02_BOC_TACH_CUA'!K:K)</f>
        <v/>
      </c>
      <c r="J94" s="402">
        <f>SUMIF('03_BOC_TACH_VAN'!B:B, B94, '03_BOC_TACH_VAN'!K:K)</f>
        <v/>
      </c>
      <c r="K94" s="402">
        <f>SUM(H94:J94)</f>
        <v/>
      </c>
      <c r="L94" s="402">
        <f>(K94-SUMIFS('03_BOC_TACH_VAN'!K:K, '03_BOC_TACH_VAN'!B:B, B94, '03_BOC_TACH_VAN'!D:D, "ĐỘNG_CƠ_VÀ_CẢM_BIẾN"))*0.25</f>
        <v/>
      </c>
      <c r="M94" s="402">
        <f>(K94-SUMIFS('03_BOC_TACH_VAN'!K:K, '03_BOC_TACH_VAN'!B:B, B94, '03_BOC_TACH_VAN'!D:D, "ĐỘNG_CƠ_VÀ_CẢM_BIẾN"))*0.10</f>
        <v/>
      </c>
      <c r="N94" s="402">
        <f>K94+L94+M94</f>
        <v/>
      </c>
      <c r="O94" s="402">
        <f>IF(G94&gt;0, N94/G94, 0)</f>
        <v/>
      </c>
      <c r="P94" s="403" t="n">
        <v>0.18</v>
      </c>
      <c r="Q94" s="402">
        <f>IF(G94&gt;0, ((N94-SUMIFS('03_BOC_TACH_VAN'!K:K, '03_BOC_TACH_VAN'!B:B, B94, '03_BOC_TACH_VAN'!D:D, "ĐỘNG_CƠ_VÀ_CẢM_BIẾN"))*(1+P94)+SUMIFS('03_BOC_TACH_VAN'!K:K, '03_BOC_TACH_VAN'!B:B, B94, '03_BOC_TACH_VAN'!D:D, "ĐỘNG_CƠ_VÀ_CẢM_BIẾN"))/G94, 0)</f>
        <v/>
      </c>
      <c r="R94" s="402">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402" t="n">
        <v>3</v>
      </c>
      <c r="H95" s="402">
        <f>SUMIF('01_BOC_TACH_ONG'!B:B, B95, '01_BOC_TACH_ONG'!K:K)</f>
        <v/>
      </c>
      <c r="I95" s="402">
        <f>SUMIF('02_BOC_TACH_CUA'!B:B, B95, '02_BOC_TACH_CUA'!K:K)</f>
        <v/>
      </c>
      <c r="J95" s="402">
        <f>SUMIF('03_BOC_TACH_VAN'!B:B, B95, '03_BOC_TACH_VAN'!K:K)</f>
        <v/>
      </c>
      <c r="K95" s="402">
        <f>SUM(H95:J95)</f>
        <v/>
      </c>
      <c r="L95" s="402">
        <f>(K95-SUMIFS('03_BOC_TACH_VAN'!K:K, '03_BOC_TACH_VAN'!B:B, B95, '03_BOC_TACH_VAN'!D:D, "ĐỘNG_CƠ_VÀ_CẢM_BIẾN"))*0.25</f>
        <v/>
      </c>
      <c r="M95" s="402">
        <f>(K95-SUMIFS('03_BOC_TACH_VAN'!K:K, '03_BOC_TACH_VAN'!B:B, B95, '03_BOC_TACH_VAN'!D:D, "ĐỘNG_CƠ_VÀ_CẢM_BIẾN"))*0.10</f>
        <v/>
      </c>
      <c r="N95" s="402">
        <f>K95+L95+M95</f>
        <v/>
      </c>
      <c r="O95" s="402">
        <f>IF(G95&gt;0, N95/G95, 0)</f>
        <v/>
      </c>
      <c r="P95" s="403" t="n">
        <v>0.18</v>
      </c>
      <c r="Q95" s="402">
        <f>IF(G95&gt;0, ((N95-SUMIFS('03_BOC_TACH_VAN'!K:K, '03_BOC_TACH_VAN'!B:B, B95, '03_BOC_TACH_VAN'!D:D, "ĐỘNG_CƠ_VÀ_CẢM_BIẾN"))*(1+P95)+SUMIFS('03_BOC_TACH_VAN'!K:K, '03_BOC_TACH_VAN'!B:B, B95, '03_BOC_TACH_VAN'!D:D, "ĐỘNG_CƠ_VÀ_CẢM_BIẾN"))/G95, 0)</f>
        <v/>
      </c>
      <c r="R95" s="402">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402" t="n">
        <v>2</v>
      </c>
      <c r="H96" s="402">
        <f>SUMIF('01_BOC_TACH_ONG'!B:B, B96, '01_BOC_TACH_ONG'!K:K)</f>
        <v/>
      </c>
      <c r="I96" s="402">
        <f>SUMIF('02_BOC_TACH_CUA'!B:B, B96, '02_BOC_TACH_CUA'!K:K)</f>
        <v/>
      </c>
      <c r="J96" s="402">
        <f>SUMIF('03_BOC_TACH_VAN'!B:B, B96, '03_BOC_TACH_VAN'!K:K)</f>
        <v/>
      </c>
      <c r="K96" s="402">
        <f>SUM(H96:J96)</f>
        <v/>
      </c>
      <c r="L96" s="402">
        <f>(K96-SUMIFS('03_BOC_TACH_VAN'!K:K, '03_BOC_TACH_VAN'!B:B, B96, '03_BOC_TACH_VAN'!D:D, "ĐỘNG_CƠ_VÀ_CẢM_BIẾN"))*0.25</f>
        <v/>
      </c>
      <c r="M96" s="402">
        <f>(K96-SUMIFS('03_BOC_TACH_VAN'!K:K, '03_BOC_TACH_VAN'!B:B, B96, '03_BOC_TACH_VAN'!D:D, "ĐỘNG_CƠ_VÀ_CẢM_BIẾN"))*0.10</f>
        <v/>
      </c>
      <c r="N96" s="402">
        <f>K96+L96+M96</f>
        <v/>
      </c>
      <c r="O96" s="402">
        <f>IF(G96&gt;0, N96/G96, 0)</f>
        <v/>
      </c>
      <c r="P96" s="403" t="n">
        <v>0.18</v>
      </c>
      <c r="Q96" s="402">
        <f>IF(G96&gt;0, ((N96-SUMIFS('03_BOC_TACH_VAN'!K:K, '03_BOC_TACH_VAN'!B:B, B96, '03_BOC_TACH_VAN'!D:D, "ĐỘNG_CƠ_VÀ_CẢM_BIẾN"))*(1+P96)+SUMIFS('03_BOC_TACH_VAN'!K:K, '03_BOC_TACH_VAN'!B:B, B96, '03_BOC_TACH_VAN'!D:D, "ĐỘNG_CƠ_VÀ_CẢM_BIẾN"))/G96, 0)</f>
        <v/>
      </c>
      <c r="R96" s="402">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402" t="n">
        <v>1</v>
      </c>
      <c r="H97" s="402">
        <f>SUMIF('01_BOC_TACH_ONG'!B:B, B97, '01_BOC_TACH_ONG'!K:K)</f>
        <v/>
      </c>
      <c r="I97" s="402">
        <f>SUMIF('02_BOC_TACH_CUA'!B:B, B97, '02_BOC_TACH_CUA'!K:K)</f>
        <v/>
      </c>
      <c r="J97" s="402">
        <f>SUMIF('03_BOC_TACH_VAN'!B:B, B97, '03_BOC_TACH_VAN'!K:K)</f>
        <v/>
      </c>
      <c r="K97" s="402">
        <f>SUM(H97:J97)</f>
        <v/>
      </c>
      <c r="L97" s="402">
        <f>(K97-SUMIFS('03_BOC_TACH_VAN'!K:K, '03_BOC_TACH_VAN'!B:B, B97, '03_BOC_TACH_VAN'!D:D, "ĐỘNG_CƠ_VÀ_CẢM_BIẾN"))*0.25</f>
        <v/>
      </c>
      <c r="M97" s="402">
        <f>(K97-SUMIFS('03_BOC_TACH_VAN'!K:K, '03_BOC_TACH_VAN'!B:B, B97, '03_BOC_TACH_VAN'!D:D, "ĐỘNG_CƠ_VÀ_CẢM_BIẾN"))*0.10</f>
        <v/>
      </c>
      <c r="N97" s="402">
        <f>K97+L97+M97</f>
        <v/>
      </c>
      <c r="O97" s="402">
        <f>IF(G97&gt;0, N97/G97, 0)</f>
        <v/>
      </c>
      <c r="P97" s="403" t="n">
        <v>0.18</v>
      </c>
      <c r="Q97" s="402">
        <f>IF(G97&gt;0, ((N97-SUMIFS('03_BOC_TACH_VAN'!K:K, '03_BOC_TACH_VAN'!B:B, B97, '03_BOC_TACH_VAN'!D:D, "ĐỘNG_CƠ_VÀ_CẢM_BIẾN"))*(1+P97)+SUMIFS('03_BOC_TACH_VAN'!K:K, '03_BOC_TACH_VAN'!B:B, B97, '03_BOC_TACH_VAN'!D:D, "ĐỘNG_CƠ_VÀ_CẢM_BIẾN"))/G97, 0)</f>
        <v/>
      </c>
      <c r="R97" s="402">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402" t="n">
        <v>1</v>
      </c>
      <c r="H98" s="402">
        <f>SUMIF('01_BOC_TACH_ONG'!B:B, B98, '01_BOC_TACH_ONG'!K:K)</f>
        <v/>
      </c>
      <c r="I98" s="402">
        <f>SUMIF('02_BOC_TACH_CUA'!B:B, B98, '02_BOC_TACH_CUA'!K:K)</f>
        <v/>
      </c>
      <c r="J98" s="402">
        <f>SUMIF('03_BOC_TACH_VAN'!B:B, B98, '03_BOC_TACH_VAN'!K:K)</f>
        <v/>
      </c>
      <c r="K98" s="402">
        <f>SUM(H98:J98)</f>
        <v/>
      </c>
      <c r="L98" s="402">
        <f>(K98-SUMIFS('03_BOC_TACH_VAN'!K:K, '03_BOC_TACH_VAN'!B:B, B98, '03_BOC_TACH_VAN'!D:D, "ĐỘNG_CƠ_VÀ_CẢM_BIẾN"))*0.00</f>
        <v/>
      </c>
      <c r="M98" s="402">
        <f>(K98-SUMIFS('03_BOC_TACH_VAN'!K:K, '03_BOC_TACH_VAN'!B:B, B98, '03_BOC_TACH_VAN'!D:D, "ĐỘNG_CƠ_VÀ_CẢM_BIẾN"))*0.02</f>
        <v/>
      </c>
      <c r="N98" s="402">
        <f>K98+L98+M98</f>
        <v/>
      </c>
      <c r="O98" s="402">
        <f>IF(G98&gt;0, N98/G98, 0)</f>
        <v/>
      </c>
      <c r="P98" s="403" t="n">
        <v>0.1</v>
      </c>
      <c r="Q98" s="402">
        <f>IF(G98&gt;0, ((N98-SUMIFS('03_BOC_TACH_VAN'!K:K, '03_BOC_TACH_VAN'!B:B, B98, '03_BOC_TACH_VAN'!D:D, "ĐỘNG_CƠ_VÀ_CẢM_BIẾN"))*(1+P98)+SUMIFS('03_BOC_TACH_VAN'!K:K, '03_BOC_TACH_VAN'!B:B, B98, '03_BOC_TACH_VAN'!D:D, "ĐỘNG_CƠ_VÀ_CẢM_BIẾN"))/G98, 0)</f>
        <v/>
      </c>
      <c r="R98" s="402">
        <f>G98*Q98</f>
        <v/>
      </c>
      <c r="S98" t="inlineStr">
        <is>
          <t>Hàng thương mại (Lấy nguyên giá BOQ)</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402" t="n">
        <v>1936.70125</v>
      </c>
      <c r="H99" s="402">
        <f>SUMIF('01_BOC_TACH_ONG'!B:B, B99, '01_BOC_TACH_ONG'!K:K)</f>
        <v/>
      </c>
      <c r="I99" s="402">
        <f>SUMIF('02_BOC_TACH_CUA'!B:B, B99, '02_BOC_TACH_CUA'!K:K)</f>
        <v/>
      </c>
      <c r="J99" s="402">
        <f>SUMIF('03_BOC_TACH_VAN'!B:B, B99, '03_BOC_TACH_VAN'!K:K)</f>
        <v/>
      </c>
      <c r="K99" s="402">
        <f>SUM(H99:J99)</f>
        <v/>
      </c>
      <c r="L99" s="402">
        <f>(K99-SUMIFS('03_BOC_TACH_VAN'!K:K, '03_BOC_TACH_VAN'!B:B, B99, '03_BOC_TACH_VAN'!D:D, "ĐỘNG_CƠ_VÀ_CẢM_BIẾN"))*0.25</f>
        <v/>
      </c>
      <c r="M99" s="402">
        <f>(K99-SUMIFS('03_BOC_TACH_VAN'!K:K, '03_BOC_TACH_VAN'!B:B, B99, '03_BOC_TACH_VAN'!D:D, "ĐỘNG_CƠ_VÀ_CẢM_BIẾN"))*0.10</f>
        <v/>
      </c>
      <c r="N99" s="402">
        <f>K99+L99+M99</f>
        <v/>
      </c>
      <c r="O99" s="402">
        <f>IF(G99&gt;0, N99/G99, 0)</f>
        <v/>
      </c>
      <c r="P99" s="403" t="n">
        <v>0.18</v>
      </c>
      <c r="Q99" s="402">
        <f>IF(G99&gt;0, ((N99-SUMIFS('03_BOC_TACH_VAN'!K:K, '03_BOC_TACH_VAN'!B:B, B99, '03_BOC_TACH_VAN'!D:D, "ĐỘNG_CƠ_VÀ_CẢM_BIẾN"))*(1+P99)+SUMIFS('03_BOC_TACH_VAN'!K:K, '03_BOC_TACH_VAN'!B:B, B99, '03_BOC_TACH_VAN'!D:D, "ĐỘNG_CƠ_VÀ_CẢM_BIẾN"))/G99, 0)</f>
        <v/>
      </c>
      <c r="R99" s="402">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402" t="n">
        <v>1588.05</v>
      </c>
      <c r="H100" s="402">
        <f>SUMIF('01_BOC_TACH_ONG'!B:B, B100, '01_BOC_TACH_ONG'!K:K)</f>
        <v/>
      </c>
      <c r="I100" s="402">
        <f>SUMIF('02_BOC_TACH_CUA'!B:B, B100, '02_BOC_TACH_CUA'!K:K)</f>
        <v/>
      </c>
      <c r="J100" s="402">
        <f>SUMIF('03_BOC_TACH_VAN'!B:B, B100, '03_BOC_TACH_VAN'!K:K)</f>
        <v/>
      </c>
      <c r="K100" s="402">
        <f>SUM(H100:J100)</f>
        <v/>
      </c>
      <c r="L100" s="402">
        <f>(K100-SUMIFS('03_BOC_TACH_VAN'!K:K, '03_BOC_TACH_VAN'!B:B, B100, '03_BOC_TACH_VAN'!D:D, "ĐỘNG_CƠ_VÀ_CẢM_BIẾN"))*0.25</f>
        <v/>
      </c>
      <c r="M100" s="402">
        <f>(K100-SUMIFS('03_BOC_TACH_VAN'!K:K, '03_BOC_TACH_VAN'!B:B, B100, '03_BOC_TACH_VAN'!D:D, "ĐỘNG_CƠ_VÀ_CẢM_BIẾN"))*0.10</f>
        <v/>
      </c>
      <c r="N100" s="402">
        <f>K100+L100+M100</f>
        <v/>
      </c>
      <c r="O100" s="402">
        <f>IF(G100&gt;0, N100/G100, 0)</f>
        <v/>
      </c>
      <c r="P100" s="403" t="n">
        <v>0.18</v>
      </c>
      <c r="Q100" s="402">
        <f>IF(G100&gt;0, ((N100-SUMIFS('03_BOC_TACH_VAN'!K:K, '03_BOC_TACH_VAN'!B:B, B100, '03_BOC_TACH_VAN'!D:D, "ĐỘNG_CƠ_VÀ_CẢM_BIẾN"))*(1+P100)+SUMIFS('03_BOC_TACH_VAN'!K:K, '03_BOC_TACH_VAN'!B:B, B100, '03_BOC_TACH_VAN'!D:D, "ĐỘNG_CƠ_VÀ_CẢM_BIẾN"))/G100, 0)</f>
        <v/>
      </c>
      <c r="R100" s="402">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402" t="n">
        <v>1681</v>
      </c>
      <c r="H101" s="402">
        <f>SUMIF('01_BOC_TACH_ONG'!B:B, B101, '01_BOC_TACH_ONG'!K:K)</f>
        <v/>
      </c>
      <c r="I101" s="402">
        <f>SUMIF('02_BOC_TACH_CUA'!B:B, B101, '02_BOC_TACH_CUA'!K:K)</f>
        <v/>
      </c>
      <c r="J101" s="402">
        <f>SUMIF('03_BOC_TACH_VAN'!B:B, B101, '03_BOC_TACH_VAN'!K:K)</f>
        <v/>
      </c>
      <c r="K101" s="402">
        <f>SUM(H101:J101)</f>
        <v/>
      </c>
      <c r="L101" s="402">
        <f>(K101-SUMIFS('03_BOC_TACH_VAN'!K:K, '03_BOC_TACH_VAN'!B:B, B101, '03_BOC_TACH_VAN'!D:D, "ĐỘNG_CƠ_VÀ_CẢM_BIẾN"))*0.25</f>
        <v/>
      </c>
      <c r="M101" s="402">
        <f>(K101-SUMIFS('03_BOC_TACH_VAN'!K:K, '03_BOC_TACH_VAN'!B:B, B101, '03_BOC_TACH_VAN'!D:D, "ĐỘNG_CƠ_VÀ_CẢM_BIẾN"))*0.10</f>
        <v/>
      </c>
      <c r="N101" s="402">
        <f>K101+L101+M101</f>
        <v/>
      </c>
      <c r="O101" s="402">
        <f>IF(G101&gt;0, N101/G101, 0)</f>
        <v/>
      </c>
      <c r="P101" s="403" t="n">
        <v>0.18</v>
      </c>
      <c r="Q101" s="402">
        <f>IF(G101&gt;0, ((N101-SUMIFS('03_BOC_TACH_VAN'!K:K, '03_BOC_TACH_VAN'!B:B, B101, '03_BOC_TACH_VAN'!D:D, "ĐỘNG_CƠ_VÀ_CẢM_BIẾN"))*(1+P101)+SUMIFS('03_BOC_TACH_VAN'!K:K, '03_BOC_TACH_VAN'!B:B, B101, '03_BOC_TACH_VAN'!D:D, "ĐỘNG_CƠ_VÀ_CẢM_BIẾN"))/G101, 0)</f>
        <v/>
      </c>
      <c r="R101" s="402">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402" t="n">
        <v>380</v>
      </c>
      <c r="H102" s="402">
        <f>SUMIF('01_BOC_TACH_ONG'!B:B, B102, '01_BOC_TACH_ONG'!K:K)</f>
        <v/>
      </c>
      <c r="I102" s="402">
        <f>SUMIF('02_BOC_TACH_CUA'!B:B, B102, '02_BOC_TACH_CUA'!K:K)</f>
        <v/>
      </c>
      <c r="J102" s="402">
        <f>SUMIF('03_BOC_TACH_VAN'!B:B, B102, '03_BOC_TACH_VAN'!K:K)</f>
        <v/>
      </c>
      <c r="K102" s="402">
        <f>SUM(H102:J102)</f>
        <v/>
      </c>
      <c r="L102" s="402">
        <f>(K102-SUMIFS('03_BOC_TACH_VAN'!K:K, '03_BOC_TACH_VAN'!B:B, B102, '03_BOC_TACH_VAN'!D:D, "ĐỘNG_CƠ_VÀ_CẢM_BIẾN"))*0.25</f>
        <v/>
      </c>
      <c r="M102" s="402">
        <f>(K102-SUMIFS('03_BOC_TACH_VAN'!K:K, '03_BOC_TACH_VAN'!B:B, B102, '03_BOC_TACH_VAN'!D:D, "ĐỘNG_CƠ_VÀ_CẢM_BIẾN"))*0.10</f>
        <v/>
      </c>
      <c r="N102" s="402">
        <f>K102+L102+M102</f>
        <v/>
      </c>
      <c r="O102" s="402">
        <f>IF(G102&gt;0, N102/G102, 0)</f>
        <v/>
      </c>
      <c r="P102" s="403" t="n">
        <v>0.18</v>
      </c>
      <c r="Q102" s="402">
        <f>IF(G102&gt;0, ((N102-SUMIFS('03_BOC_TACH_VAN'!K:K, '03_BOC_TACH_VAN'!B:B, B102, '03_BOC_TACH_VAN'!D:D, "ĐỘNG_CƠ_VÀ_CẢM_BIẾN"))*(1+P102)+SUMIFS('03_BOC_TACH_VAN'!K:K, '03_BOC_TACH_VAN'!B:B, B102, '03_BOC_TACH_VAN'!D:D, "ĐỘNG_CƠ_VÀ_CẢM_BIẾN"))/G102, 0)</f>
        <v/>
      </c>
      <c r="R102" s="402">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402" t="n">
        <v>10</v>
      </c>
      <c r="H103" s="402">
        <f>SUMIF('01_BOC_TACH_ONG'!B:B, B103, '01_BOC_TACH_ONG'!K:K)</f>
        <v/>
      </c>
      <c r="I103" s="402">
        <f>SUMIF('02_BOC_TACH_CUA'!B:B, B103, '02_BOC_TACH_CUA'!K:K)</f>
        <v/>
      </c>
      <c r="J103" s="402">
        <f>SUMIF('03_BOC_TACH_VAN'!B:B, B103, '03_BOC_TACH_VAN'!K:K)</f>
        <v/>
      </c>
      <c r="K103" s="402">
        <f>SUM(H103:J103)</f>
        <v/>
      </c>
      <c r="L103" s="402">
        <f>(K103-SUMIFS('03_BOC_TACH_VAN'!K:K, '03_BOC_TACH_VAN'!B:B, B103, '03_BOC_TACH_VAN'!D:D, "ĐỘNG_CƠ_VÀ_CẢM_BIẾN"))*0.00</f>
        <v/>
      </c>
      <c r="M103" s="402">
        <f>(K103-SUMIFS('03_BOC_TACH_VAN'!K:K, '03_BOC_TACH_VAN'!B:B, B103, '03_BOC_TACH_VAN'!D:D, "ĐỘNG_CƠ_VÀ_CẢM_BIẾN"))*0.02</f>
        <v/>
      </c>
      <c r="N103" s="402">
        <f>K103+L103+M103</f>
        <v/>
      </c>
      <c r="O103" s="402">
        <f>IF(G103&gt;0, N103/G103, 0)</f>
        <v/>
      </c>
      <c r="P103" s="403" t="n">
        <v>0.1</v>
      </c>
      <c r="Q103" s="402">
        <f>IF(G103&gt;0, ((N103-SUMIFS('03_BOC_TACH_VAN'!K:K, '03_BOC_TACH_VAN'!B:B, B103, '03_BOC_TACH_VAN'!D:D, "ĐỘNG_CƠ_VÀ_CẢM_BIẾN"))*(1+P103)+SUMIFS('03_BOC_TACH_VAN'!K:K, '03_BOC_TACH_VAN'!B:B, B103, '03_BOC_TACH_VAN'!D:D, "ĐỘNG_CƠ_VÀ_CẢM_BIẾN"))/G103, 0)</f>
        <v/>
      </c>
      <c r="R103" s="402">
        <f>G103*Q103</f>
        <v/>
      </c>
      <c r="S103" t="inlineStr">
        <is>
          <t>Hàng thương mại (Lấy nguyên giá BOQ)</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402" t="n">
        <v>1805.9</v>
      </c>
      <c r="H104" s="402">
        <f>SUMIF('01_BOC_TACH_ONG'!B:B, B104, '01_BOC_TACH_ONG'!K:K)</f>
        <v/>
      </c>
      <c r="I104" s="402">
        <f>SUMIF('02_BOC_TACH_CUA'!B:B, B104, '02_BOC_TACH_CUA'!K:K)</f>
        <v/>
      </c>
      <c r="J104" s="402">
        <f>SUMIF('03_BOC_TACH_VAN'!B:B, B104, '03_BOC_TACH_VAN'!K:K)</f>
        <v/>
      </c>
      <c r="K104" s="402">
        <f>SUM(H104:J104)</f>
        <v/>
      </c>
      <c r="L104" s="402">
        <f>(K104-SUMIFS('03_BOC_TACH_VAN'!K:K, '03_BOC_TACH_VAN'!B:B, B104, '03_BOC_TACH_VAN'!D:D, "ĐỘNG_CƠ_VÀ_CẢM_BIẾN"))*0.00</f>
        <v/>
      </c>
      <c r="M104" s="402">
        <f>(K104-SUMIFS('03_BOC_TACH_VAN'!K:K, '03_BOC_TACH_VAN'!B:B, B104, '03_BOC_TACH_VAN'!D:D, "ĐỘNG_CƠ_VÀ_CẢM_BIẾN"))*0.02</f>
        <v/>
      </c>
      <c r="N104" s="402">
        <f>K104+L104+M104</f>
        <v/>
      </c>
      <c r="O104" s="402">
        <f>IF(G104&gt;0, N104/G104, 0)</f>
        <v/>
      </c>
      <c r="P104" s="403" t="n">
        <v>0.1</v>
      </c>
      <c r="Q104" s="402">
        <f>IF(G104&gt;0, ((N104-SUMIFS('03_BOC_TACH_VAN'!K:K, '03_BOC_TACH_VAN'!B:B, B104, '03_BOC_TACH_VAN'!D:D, "ĐỘNG_CƠ_VÀ_CẢM_BIẾN"))*(1+P104)+SUMIFS('03_BOC_TACH_VAN'!K:K, '03_BOC_TACH_VAN'!B:B, B104, '03_BOC_TACH_VAN'!D:D, "ĐỘNG_CƠ_VÀ_CẢM_BIẾN"))/G104, 0)</f>
        <v/>
      </c>
      <c r="R104" s="402">
        <f>G104*Q104</f>
        <v/>
      </c>
      <c r="S104" t="inlineStr">
        <is>
          <t>Hàng thương mại (Lấy nguyên giá BOQ)</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402" t="n">
        <v>1347.3</v>
      </c>
      <c r="H105" s="402">
        <f>SUMIF('01_BOC_TACH_ONG'!B:B, B105, '01_BOC_TACH_ONG'!K:K)</f>
        <v/>
      </c>
      <c r="I105" s="402">
        <f>SUMIF('02_BOC_TACH_CUA'!B:B, B105, '02_BOC_TACH_CUA'!K:K)</f>
        <v/>
      </c>
      <c r="J105" s="402">
        <f>SUMIF('03_BOC_TACH_VAN'!B:B, B105, '03_BOC_TACH_VAN'!K:K)</f>
        <v/>
      </c>
      <c r="K105" s="402">
        <f>SUM(H105:J105)</f>
        <v/>
      </c>
      <c r="L105" s="402">
        <f>(K105-SUMIFS('03_BOC_TACH_VAN'!K:K, '03_BOC_TACH_VAN'!B:B, B105, '03_BOC_TACH_VAN'!D:D, "ĐỘNG_CƠ_VÀ_CẢM_BIẾN"))*0.00</f>
        <v/>
      </c>
      <c r="M105" s="402">
        <f>(K105-SUMIFS('03_BOC_TACH_VAN'!K:K, '03_BOC_TACH_VAN'!B:B, B105, '03_BOC_TACH_VAN'!D:D, "ĐỘNG_CƠ_VÀ_CẢM_BIẾN"))*0.02</f>
        <v/>
      </c>
      <c r="N105" s="402">
        <f>K105+L105+M105</f>
        <v/>
      </c>
      <c r="O105" s="402">
        <f>IF(G105&gt;0, N105/G105, 0)</f>
        <v/>
      </c>
      <c r="P105" s="403" t="n">
        <v>0.1</v>
      </c>
      <c r="Q105" s="402">
        <f>IF(G105&gt;0, ((N105-SUMIFS('03_BOC_TACH_VAN'!K:K, '03_BOC_TACH_VAN'!B:B, B105, '03_BOC_TACH_VAN'!D:D, "ĐỘNG_CƠ_VÀ_CẢM_BIẾN"))*(1+P105)+SUMIFS('03_BOC_TACH_VAN'!K:K, '03_BOC_TACH_VAN'!B:B, B105, '03_BOC_TACH_VAN'!D:D, "ĐỘNG_CƠ_VÀ_CẢM_BIẾN"))/G105, 0)</f>
        <v/>
      </c>
      <c r="R105" s="402">
        <f>G105*Q105</f>
        <v/>
      </c>
      <c r="S105" t="inlineStr">
        <is>
          <t>Hàng thương mại (Lấy nguyên giá BOQ)</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402" t="n">
        <v>1</v>
      </c>
      <c r="H106" s="402">
        <f>SUMIF('01_BOC_TACH_ONG'!B:B, B106, '01_BOC_TACH_ONG'!K:K)</f>
        <v/>
      </c>
      <c r="I106" s="402">
        <f>SUMIF('02_BOC_TACH_CUA'!B:B, B106, '02_BOC_TACH_CUA'!K:K)</f>
        <v/>
      </c>
      <c r="J106" s="402">
        <f>SUMIF('03_BOC_TACH_VAN'!B:B, B106, '03_BOC_TACH_VAN'!K:K)</f>
        <v/>
      </c>
      <c r="K106" s="402">
        <f>SUM(H106:J106)</f>
        <v/>
      </c>
      <c r="L106" s="402">
        <f>(K106-SUMIFS('03_BOC_TACH_VAN'!K:K, '03_BOC_TACH_VAN'!B:B, B106, '03_BOC_TACH_VAN'!D:D, "ĐỘNG_CƠ_VÀ_CẢM_BIẾN"))*0.00</f>
        <v/>
      </c>
      <c r="M106" s="402">
        <f>(K106-SUMIFS('03_BOC_TACH_VAN'!K:K, '03_BOC_TACH_VAN'!B:B, B106, '03_BOC_TACH_VAN'!D:D, "ĐỘNG_CƠ_VÀ_CẢM_BIẾN"))*0.02</f>
        <v/>
      </c>
      <c r="N106" s="402">
        <f>K106+L106+M106</f>
        <v/>
      </c>
      <c r="O106" s="402">
        <f>IF(G106&gt;0, N106/G106, 0)</f>
        <v/>
      </c>
      <c r="P106" s="403" t="n">
        <v>0.1</v>
      </c>
      <c r="Q106" s="402">
        <f>IF(G106&gt;0, ((N106-SUMIFS('03_BOC_TACH_VAN'!K:K, '03_BOC_TACH_VAN'!B:B, B106, '03_BOC_TACH_VAN'!D:D, "ĐỘNG_CƠ_VÀ_CẢM_BIẾN"))*(1+P106)+SUMIFS('03_BOC_TACH_VAN'!K:K, '03_BOC_TACH_VAN'!B:B, B106, '03_BOC_TACH_VAN'!D:D, "ĐỘNG_CƠ_VÀ_CẢM_BIẾN"))/G106, 0)</f>
        <v/>
      </c>
      <c r="R106" s="402">
        <f>G106*Q106</f>
        <v/>
      </c>
      <c r="S106" t="inlineStr">
        <is>
          <t>Hàng thương mại (Lấy nguyên giá BOQ)</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402" t="n">
        <v>8</v>
      </c>
      <c r="H107" s="402">
        <f>SUMIF('01_BOC_TACH_ONG'!B:B, B107, '01_BOC_TACH_ONG'!K:K)</f>
        <v/>
      </c>
      <c r="I107" s="402">
        <f>SUMIF('02_BOC_TACH_CUA'!B:B, B107, '02_BOC_TACH_CUA'!K:K)</f>
        <v/>
      </c>
      <c r="J107" s="402">
        <f>SUMIF('03_BOC_TACH_VAN'!B:B, B107, '03_BOC_TACH_VAN'!K:K)</f>
        <v/>
      </c>
      <c r="K107" s="402">
        <f>SUM(H107:J107)</f>
        <v/>
      </c>
      <c r="L107" s="402">
        <f>(K107-SUMIFS('03_BOC_TACH_VAN'!K:K, '03_BOC_TACH_VAN'!B:B, B107, '03_BOC_TACH_VAN'!D:D, "ĐỘNG_CƠ_VÀ_CẢM_BIẾN"))*0.25</f>
        <v/>
      </c>
      <c r="M107" s="402">
        <f>(K107-SUMIFS('03_BOC_TACH_VAN'!K:K, '03_BOC_TACH_VAN'!B:B, B107, '03_BOC_TACH_VAN'!D:D, "ĐỘNG_CƠ_VÀ_CẢM_BIẾN"))*0.10</f>
        <v/>
      </c>
      <c r="N107" s="402">
        <f>K107+L107+M107</f>
        <v/>
      </c>
      <c r="O107" s="402">
        <f>IF(G107&gt;0, N107/G107, 0)</f>
        <v/>
      </c>
      <c r="P107" s="403" t="n">
        <v>0.18</v>
      </c>
      <c r="Q107" s="402">
        <f>IF(G107&gt;0, ((N107-SUMIFS('03_BOC_TACH_VAN'!K:K, '03_BOC_TACH_VAN'!B:B, B107, '03_BOC_TACH_VAN'!D:D, "ĐỘNG_CƠ_VÀ_CẢM_BIẾN"))*(1+P107)+SUMIFS('03_BOC_TACH_VAN'!K:K, '03_BOC_TACH_VAN'!B:B, B107, '03_BOC_TACH_VAN'!D:D, "ĐỘNG_CƠ_VÀ_CẢM_BIẾN"))/G107, 0)</f>
        <v/>
      </c>
      <c r="R107" s="402">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402" t="n">
        <v>4</v>
      </c>
      <c r="H108" s="402">
        <f>SUMIF('01_BOC_TACH_ONG'!B:B, B108, '01_BOC_TACH_ONG'!K:K)</f>
        <v/>
      </c>
      <c r="I108" s="402">
        <f>SUMIF('02_BOC_TACH_CUA'!B:B, B108, '02_BOC_TACH_CUA'!K:K)</f>
        <v/>
      </c>
      <c r="J108" s="402">
        <f>SUMIF('03_BOC_TACH_VAN'!B:B, B108, '03_BOC_TACH_VAN'!K:K)</f>
        <v/>
      </c>
      <c r="K108" s="402">
        <f>SUM(H108:J108)</f>
        <v/>
      </c>
      <c r="L108" s="402">
        <f>(K108-SUMIFS('03_BOC_TACH_VAN'!K:K, '03_BOC_TACH_VAN'!B:B, B108, '03_BOC_TACH_VAN'!D:D, "ĐỘNG_CƠ_VÀ_CẢM_BIẾN"))*0.25</f>
        <v/>
      </c>
      <c r="M108" s="402">
        <f>(K108-SUMIFS('03_BOC_TACH_VAN'!K:K, '03_BOC_TACH_VAN'!B:B, B108, '03_BOC_TACH_VAN'!D:D, "ĐỘNG_CƠ_VÀ_CẢM_BIẾN"))*0.10</f>
        <v/>
      </c>
      <c r="N108" s="402">
        <f>K108+L108+M108</f>
        <v/>
      </c>
      <c r="O108" s="402">
        <f>IF(G108&gt;0, N108/G108, 0)</f>
        <v/>
      </c>
      <c r="P108" s="403" t="n">
        <v>0.18</v>
      </c>
      <c r="Q108" s="402">
        <f>IF(G108&gt;0, ((N108-SUMIFS('03_BOC_TACH_VAN'!K:K, '03_BOC_TACH_VAN'!B:B, B108, '03_BOC_TACH_VAN'!D:D, "ĐỘNG_CƠ_VÀ_CẢM_BIẾN"))*(1+P108)+SUMIFS('03_BOC_TACH_VAN'!K:K, '03_BOC_TACH_VAN'!B:B, B108, '03_BOC_TACH_VAN'!D:D, "ĐỘNG_CƠ_VÀ_CẢM_BIẾN"))/G108, 0)</f>
        <v/>
      </c>
      <c r="R108" s="402">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402" t="n">
        <v>4</v>
      </c>
      <c r="H109" s="402">
        <f>SUMIF('01_BOC_TACH_ONG'!B:B, B109, '01_BOC_TACH_ONG'!K:K)</f>
        <v/>
      </c>
      <c r="I109" s="402">
        <f>SUMIF('02_BOC_TACH_CUA'!B:B, B109, '02_BOC_TACH_CUA'!K:K)</f>
        <v/>
      </c>
      <c r="J109" s="402">
        <f>SUMIF('03_BOC_TACH_VAN'!B:B, B109, '03_BOC_TACH_VAN'!K:K)</f>
        <v/>
      </c>
      <c r="K109" s="402">
        <f>SUM(H109:J109)</f>
        <v/>
      </c>
      <c r="L109" s="402">
        <f>(K109-SUMIFS('03_BOC_TACH_VAN'!K:K, '03_BOC_TACH_VAN'!B:B, B109, '03_BOC_TACH_VAN'!D:D, "ĐỘNG_CƠ_VÀ_CẢM_BIẾN"))*0.25</f>
        <v/>
      </c>
      <c r="M109" s="402">
        <f>(K109-SUMIFS('03_BOC_TACH_VAN'!K:K, '03_BOC_TACH_VAN'!B:B, B109, '03_BOC_TACH_VAN'!D:D, "ĐỘNG_CƠ_VÀ_CẢM_BIẾN"))*0.10</f>
        <v/>
      </c>
      <c r="N109" s="402">
        <f>K109+L109+M109</f>
        <v/>
      </c>
      <c r="O109" s="402">
        <f>IF(G109&gt;0, N109/G109, 0)</f>
        <v/>
      </c>
      <c r="P109" s="403" t="n">
        <v>0.18</v>
      </c>
      <c r="Q109" s="402">
        <f>IF(G109&gt;0, ((N109-SUMIFS('03_BOC_TACH_VAN'!K:K, '03_BOC_TACH_VAN'!B:B, B109, '03_BOC_TACH_VAN'!D:D, "ĐỘNG_CƠ_VÀ_CẢM_BIẾN"))*(1+P109)+SUMIFS('03_BOC_TACH_VAN'!K:K, '03_BOC_TACH_VAN'!B:B, B109, '03_BOC_TACH_VAN'!D:D, "ĐỘNG_CƠ_VÀ_CẢM_BIẾN"))/G109, 0)</f>
        <v/>
      </c>
      <c r="R109" s="402">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402" t="n">
        <v>1</v>
      </c>
      <c r="H110" s="402">
        <f>SUMIF('01_BOC_TACH_ONG'!B:B, B110, '01_BOC_TACH_ONG'!K:K)</f>
        <v/>
      </c>
      <c r="I110" s="402">
        <f>SUMIF('02_BOC_TACH_CUA'!B:B, B110, '02_BOC_TACH_CUA'!K:K)</f>
        <v/>
      </c>
      <c r="J110" s="402">
        <f>SUMIF('03_BOC_TACH_VAN'!B:B, B110, '03_BOC_TACH_VAN'!K:K)</f>
        <v/>
      </c>
      <c r="K110" s="402">
        <f>SUM(H110:J110)</f>
        <v/>
      </c>
      <c r="L110" s="402">
        <f>(K110-SUMIFS('03_BOC_TACH_VAN'!K:K, '03_BOC_TACH_VAN'!B:B, B110, '03_BOC_TACH_VAN'!D:D, "ĐỘNG_CƠ_VÀ_CẢM_BIẾN"))*0.25</f>
        <v/>
      </c>
      <c r="M110" s="402">
        <f>(K110-SUMIFS('03_BOC_TACH_VAN'!K:K, '03_BOC_TACH_VAN'!B:B, B110, '03_BOC_TACH_VAN'!D:D, "ĐỘNG_CƠ_VÀ_CẢM_BIẾN"))*0.10</f>
        <v/>
      </c>
      <c r="N110" s="402">
        <f>K110+L110+M110</f>
        <v/>
      </c>
      <c r="O110" s="402">
        <f>IF(G110&gt;0, N110/G110, 0)</f>
        <v/>
      </c>
      <c r="P110" s="403" t="n">
        <v>0.18</v>
      </c>
      <c r="Q110" s="402">
        <f>IF(G110&gt;0, ((N110-SUMIFS('03_BOC_TACH_VAN'!K:K, '03_BOC_TACH_VAN'!B:B, B110, '03_BOC_TACH_VAN'!D:D, "ĐỘNG_CƠ_VÀ_CẢM_BIẾN"))*(1+P110)+SUMIFS('03_BOC_TACH_VAN'!K:K, '03_BOC_TACH_VAN'!B:B, B110, '03_BOC_TACH_VAN'!D:D, "ĐỘNG_CƠ_VÀ_CẢM_BIẾN"))/G110, 0)</f>
        <v/>
      </c>
      <c r="R110" s="402">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402" t="n">
        <v>6</v>
      </c>
      <c r="H111" s="402">
        <f>SUMIF('01_BOC_TACH_ONG'!B:B, B111, '01_BOC_TACH_ONG'!K:K)</f>
        <v/>
      </c>
      <c r="I111" s="402">
        <f>SUMIF('02_BOC_TACH_CUA'!B:B, B111, '02_BOC_TACH_CUA'!K:K)</f>
        <v/>
      </c>
      <c r="J111" s="402">
        <f>SUMIF('03_BOC_TACH_VAN'!B:B, B111, '03_BOC_TACH_VAN'!K:K)</f>
        <v/>
      </c>
      <c r="K111" s="402">
        <f>SUM(H111:J111)</f>
        <v/>
      </c>
      <c r="L111" s="402">
        <f>(K111-SUMIFS('03_BOC_TACH_VAN'!K:K, '03_BOC_TACH_VAN'!B:B, B111, '03_BOC_TACH_VAN'!D:D, "ĐỘNG_CƠ_VÀ_CẢM_BIẾN"))*0.25</f>
        <v/>
      </c>
      <c r="M111" s="402">
        <f>(K111-SUMIFS('03_BOC_TACH_VAN'!K:K, '03_BOC_TACH_VAN'!B:B, B111, '03_BOC_TACH_VAN'!D:D, "ĐỘNG_CƠ_VÀ_CẢM_BIẾN"))*0.10</f>
        <v/>
      </c>
      <c r="N111" s="402">
        <f>K111+L111+M111</f>
        <v/>
      </c>
      <c r="O111" s="402">
        <f>IF(G111&gt;0, N111/G111, 0)</f>
        <v/>
      </c>
      <c r="P111" s="403" t="n">
        <v>0.18</v>
      </c>
      <c r="Q111" s="402">
        <f>IF(G111&gt;0, ((N111-SUMIFS('03_BOC_TACH_VAN'!K:K, '03_BOC_TACH_VAN'!B:B, B111, '03_BOC_TACH_VAN'!D:D, "ĐỘNG_CƠ_VÀ_CẢM_BIẾN"))*(1+P111)+SUMIFS('03_BOC_TACH_VAN'!K:K, '03_BOC_TACH_VAN'!B:B, B111, '03_BOC_TACH_VAN'!D:D, "ĐỘNG_CƠ_VÀ_CẢM_BIẾN"))/G111, 0)</f>
        <v/>
      </c>
      <c r="R111" s="402">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402" t="n">
        <v>4</v>
      </c>
      <c r="H112" s="402">
        <f>SUMIF('01_BOC_TACH_ONG'!B:B, B112, '01_BOC_TACH_ONG'!K:K)</f>
        <v/>
      </c>
      <c r="I112" s="402">
        <f>SUMIF('02_BOC_TACH_CUA'!B:B, B112, '02_BOC_TACH_CUA'!K:K)</f>
        <v/>
      </c>
      <c r="J112" s="402">
        <f>SUMIF('03_BOC_TACH_VAN'!B:B, B112, '03_BOC_TACH_VAN'!K:K)</f>
        <v/>
      </c>
      <c r="K112" s="402">
        <f>SUM(H112:J112)</f>
        <v/>
      </c>
      <c r="L112" s="402">
        <f>(K112-SUMIFS('03_BOC_TACH_VAN'!K:K, '03_BOC_TACH_VAN'!B:B, B112, '03_BOC_TACH_VAN'!D:D, "ĐỘNG_CƠ_VÀ_CẢM_BIẾN"))*0.25</f>
        <v/>
      </c>
      <c r="M112" s="402">
        <f>(K112-SUMIFS('03_BOC_TACH_VAN'!K:K, '03_BOC_TACH_VAN'!B:B, B112, '03_BOC_TACH_VAN'!D:D, "ĐỘNG_CƠ_VÀ_CẢM_BIẾN"))*0.10</f>
        <v/>
      </c>
      <c r="N112" s="402">
        <f>K112+L112+M112</f>
        <v/>
      </c>
      <c r="O112" s="402">
        <f>IF(G112&gt;0, N112/G112, 0)</f>
        <v/>
      </c>
      <c r="P112" s="403" t="n">
        <v>0.18</v>
      </c>
      <c r="Q112" s="402">
        <f>IF(G112&gt;0, ((N112-SUMIFS('03_BOC_TACH_VAN'!K:K, '03_BOC_TACH_VAN'!B:B, B112, '03_BOC_TACH_VAN'!D:D, "ĐỘNG_CƠ_VÀ_CẢM_BIẾN"))*(1+P112)+SUMIFS('03_BOC_TACH_VAN'!K:K, '03_BOC_TACH_VAN'!B:B, B112, '03_BOC_TACH_VAN'!D:D, "ĐỘNG_CƠ_VÀ_CẢM_BIẾN"))/G112, 0)</f>
        <v/>
      </c>
      <c r="R112" s="402">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402" t="n">
        <v>4</v>
      </c>
      <c r="H113" s="402">
        <f>SUMIF('01_BOC_TACH_ONG'!B:B, B113, '01_BOC_TACH_ONG'!K:K)</f>
        <v/>
      </c>
      <c r="I113" s="402">
        <f>SUMIF('02_BOC_TACH_CUA'!B:B, B113, '02_BOC_TACH_CUA'!K:K)</f>
        <v/>
      </c>
      <c r="J113" s="402">
        <f>SUMIF('03_BOC_TACH_VAN'!B:B, B113, '03_BOC_TACH_VAN'!K:K)</f>
        <v/>
      </c>
      <c r="K113" s="402">
        <f>SUM(H113:J113)</f>
        <v/>
      </c>
      <c r="L113" s="402">
        <f>(K113-SUMIFS('03_BOC_TACH_VAN'!K:K, '03_BOC_TACH_VAN'!B:B, B113, '03_BOC_TACH_VAN'!D:D, "ĐỘNG_CƠ_VÀ_CẢM_BIẾN"))*0.25</f>
        <v/>
      </c>
      <c r="M113" s="402">
        <f>(K113-SUMIFS('03_BOC_TACH_VAN'!K:K, '03_BOC_TACH_VAN'!B:B, B113, '03_BOC_TACH_VAN'!D:D, "ĐỘNG_CƠ_VÀ_CẢM_BIẾN"))*0.10</f>
        <v/>
      </c>
      <c r="N113" s="402">
        <f>K113+L113+M113</f>
        <v/>
      </c>
      <c r="O113" s="402">
        <f>IF(G113&gt;0, N113/G113, 0)</f>
        <v/>
      </c>
      <c r="P113" s="403" t="n">
        <v>0.18</v>
      </c>
      <c r="Q113" s="402">
        <f>IF(G113&gt;0, ((N113-SUMIFS('03_BOC_TACH_VAN'!K:K, '03_BOC_TACH_VAN'!B:B, B113, '03_BOC_TACH_VAN'!D:D, "ĐỘNG_CƠ_VÀ_CẢM_BIẾN"))*(1+P113)+SUMIFS('03_BOC_TACH_VAN'!K:K, '03_BOC_TACH_VAN'!B:B, B113, '03_BOC_TACH_VAN'!D:D, "ĐỘNG_CƠ_VÀ_CẢM_BIẾN"))/G113, 0)</f>
        <v/>
      </c>
      <c r="R113" s="402">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402" t="n">
        <v>3</v>
      </c>
      <c r="H114" s="402">
        <f>SUMIF('01_BOC_TACH_ONG'!B:B, B114, '01_BOC_TACH_ONG'!K:K)</f>
        <v/>
      </c>
      <c r="I114" s="402">
        <f>SUMIF('02_BOC_TACH_CUA'!B:B, B114, '02_BOC_TACH_CUA'!K:K)</f>
        <v/>
      </c>
      <c r="J114" s="402">
        <f>SUMIF('03_BOC_TACH_VAN'!B:B, B114, '03_BOC_TACH_VAN'!K:K)</f>
        <v/>
      </c>
      <c r="K114" s="402">
        <f>SUM(H114:J114)</f>
        <v/>
      </c>
      <c r="L114" s="402">
        <f>(K114-SUMIFS('03_BOC_TACH_VAN'!K:K, '03_BOC_TACH_VAN'!B:B, B114, '03_BOC_TACH_VAN'!D:D, "ĐỘNG_CƠ_VÀ_CẢM_BIẾN"))*0.25</f>
        <v/>
      </c>
      <c r="M114" s="402">
        <f>(K114-SUMIFS('03_BOC_TACH_VAN'!K:K, '03_BOC_TACH_VAN'!B:B, B114, '03_BOC_TACH_VAN'!D:D, "ĐỘNG_CƠ_VÀ_CẢM_BIẾN"))*0.10</f>
        <v/>
      </c>
      <c r="N114" s="402">
        <f>K114+L114+M114</f>
        <v/>
      </c>
      <c r="O114" s="402">
        <f>IF(G114&gt;0, N114/G114, 0)</f>
        <v/>
      </c>
      <c r="P114" s="403" t="n">
        <v>0.18</v>
      </c>
      <c r="Q114" s="402">
        <f>IF(G114&gt;0, ((N114-SUMIFS('03_BOC_TACH_VAN'!K:K, '03_BOC_TACH_VAN'!B:B, B114, '03_BOC_TACH_VAN'!D:D, "ĐỘNG_CƠ_VÀ_CẢM_BIẾN"))*(1+P114)+SUMIFS('03_BOC_TACH_VAN'!K:K, '03_BOC_TACH_VAN'!B:B, B114, '03_BOC_TACH_VAN'!D:D, "ĐỘNG_CƠ_VÀ_CẢM_BIẾN"))/G114, 0)</f>
        <v/>
      </c>
      <c r="R114" s="402">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402" t="n">
        <v>7</v>
      </c>
      <c r="H115" s="402">
        <f>SUMIF('01_BOC_TACH_ONG'!B:B, B115, '01_BOC_TACH_ONG'!K:K)</f>
        <v/>
      </c>
      <c r="I115" s="402">
        <f>SUMIF('02_BOC_TACH_CUA'!B:B, B115, '02_BOC_TACH_CUA'!K:K)</f>
        <v/>
      </c>
      <c r="J115" s="402">
        <f>SUMIF('03_BOC_TACH_VAN'!B:B, B115, '03_BOC_TACH_VAN'!K:K)</f>
        <v/>
      </c>
      <c r="K115" s="402">
        <f>SUM(H115:J115)</f>
        <v/>
      </c>
      <c r="L115" s="402">
        <f>(K115-SUMIFS('03_BOC_TACH_VAN'!K:K, '03_BOC_TACH_VAN'!B:B, B115, '03_BOC_TACH_VAN'!D:D, "ĐỘNG_CƠ_VÀ_CẢM_BIẾN"))*0.25</f>
        <v/>
      </c>
      <c r="M115" s="402">
        <f>(K115-SUMIFS('03_BOC_TACH_VAN'!K:K, '03_BOC_TACH_VAN'!B:B, B115, '03_BOC_TACH_VAN'!D:D, "ĐỘNG_CƠ_VÀ_CẢM_BIẾN"))*0.10</f>
        <v/>
      </c>
      <c r="N115" s="402">
        <f>K115+L115+M115</f>
        <v/>
      </c>
      <c r="O115" s="402">
        <f>IF(G115&gt;0, N115/G115, 0)</f>
        <v/>
      </c>
      <c r="P115" s="403" t="n">
        <v>0.18</v>
      </c>
      <c r="Q115" s="402">
        <f>IF(G115&gt;0, ((N115-SUMIFS('03_BOC_TACH_VAN'!K:K, '03_BOC_TACH_VAN'!B:B, B115, '03_BOC_TACH_VAN'!D:D, "ĐỘNG_CƠ_VÀ_CẢM_BIẾN"))*(1+P115)+SUMIFS('03_BOC_TACH_VAN'!K:K, '03_BOC_TACH_VAN'!B:B, B115, '03_BOC_TACH_VAN'!D:D, "ĐỘNG_CƠ_VÀ_CẢM_BIẾN"))/G115, 0)</f>
        <v/>
      </c>
      <c r="R115" s="402">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402" t="n">
        <v>2</v>
      </c>
      <c r="H116" s="402">
        <f>SUMIF('01_BOC_TACH_ONG'!B:B, B116, '01_BOC_TACH_ONG'!K:K)</f>
        <v/>
      </c>
      <c r="I116" s="402">
        <f>SUMIF('02_BOC_TACH_CUA'!B:B, B116, '02_BOC_TACH_CUA'!K:K)</f>
        <v/>
      </c>
      <c r="J116" s="402">
        <f>SUMIF('03_BOC_TACH_VAN'!B:B, B116, '03_BOC_TACH_VAN'!K:K)</f>
        <v/>
      </c>
      <c r="K116" s="402">
        <f>SUM(H116:J116)</f>
        <v/>
      </c>
      <c r="L116" s="402">
        <f>(K116-SUMIFS('03_BOC_TACH_VAN'!K:K, '03_BOC_TACH_VAN'!B:B, B116, '03_BOC_TACH_VAN'!D:D, "ĐỘNG_CƠ_VÀ_CẢM_BIẾN"))*0.25</f>
        <v/>
      </c>
      <c r="M116" s="402">
        <f>(K116-SUMIFS('03_BOC_TACH_VAN'!K:K, '03_BOC_TACH_VAN'!B:B, B116, '03_BOC_TACH_VAN'!D:D, "ĐỘNG_CƠ_VÀ_CẢM_BIẾN"))*0.10</f>
        <v/>
      </c>
      <c r="N116" s="402">
        <f>K116+L116+M116</f>
        <v/>
      </c>
      <c r="O116" s="402">
        <f>IF(G116&gt;0, N116/G116, 0)</f>
        <v/>
      </c>
      <c r="P116" s="403" t="n">
        <v>0.18</v>
      </c>
      <c r="Q116" s="402">
        <f>IF(G116&gt;0, ((N116-SUMIFS('03_BOC_TACH_VAN'!K:K, '03_BOC_TACH_VAN'!B:B, B116, '03_BOC_TACH_VAN'!D:D, "ĐỘNG_CƠ_VÀ_CẢM_BIẾN"))*(1+P116)+SUMIFS('03_BOC_TACH_VAN'!K:K, '03_BOC_TACH_VAN'!B:B, B116, '03_BOC_TACH_VAN'!D:D, "ĐỘNG_CƠ_VÀ_CẢM_BIẾN"))/G116, 0)</f>
        <v/>
      </c>
      <c r="R116" s="402">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402" t="n">
        <v>2</v>
      </c>
      <c r="H117" s="402">
        <f>SUMIF('01_BOC_TACH_ONG'!B:B, B117, '01_BOC_TACH_ONG'!K:K)</f>
        <v/>
      </c>
      <c r="I117" s="402">
        <f>SUMIF('02_BOC_TACH_CUA'!B:B, B117, '02_BOC_TACH_CUA'!K:K)</f>
        <v/>
      </c>
      <c r="J117" s="402">
        <f>SUMIF('03_BOC_TACH_VAN'!B:B, B117, '03_BOC_TACH_VAN'!K:K)</f>
        <v/>
      </c>
      <c r="K117" s="402">
        <f>SUM(H117:J117)</f>
        <v/>
      </c>
      <c r="L117" s="402">
        <f>(K117-SUMIFS('03_BOC_TACH_VAN'!K:K, '03_BOC_TACH_VAN'!B:B, B117, '03_BOC_TACH_VAN'!D:D, "ĐỘNG_CƠ_VÀ_CẢM_BIẾN"))*0.25</f>
        <v/>
      </c>
      <c r="M117" s="402">
        <f>(K117-SUMIFS('03_BOC_TACH_VAN'!K:K, '03_BOC_TACH_VAN'!B:B, B117, '03_BOC_TACH_VAN'!D:D, "ĐỘNG_CƠ_VÀ_CẢM_BIẾN"))*0.10</f>
        <v/>
      </c>
      <c r="N117" s="402">
        <f>K117+L117+M117</f>
        <v/>
      </c>
      <c r="O117" s="402">
        <f>IF(G117&gt;0, N117/G117, 0)</f>
        <v/>
      </c>
      <c r="P117" s="403" t="n">
        <v>0.18</v>
      </c>
      <c r="Q117" s="402">
        <f>IF(G117&gt;0, ((N117-SUMIFS('03_BOC_TACH_VAN'!K:K, '03_BOC_TACH_VAN'!B:B, B117, '03_BOC_TACH_VAN'!D:D, "ĐỘNG_CƠ_VÀ_CẢM_BIẾN"))*(1+P117)+SUMIFS('03_BOC_TACH_VAN'!K:K, '03_BOC_TACH_VAN'!B:B, B117, '03_BOC_TACH_VAN'!D:D, "ĐỘNG_CƠ_VÀ_CẢM_BIẾN"))/G117, 0)</f>
        <v/>
      </c>
      <c r="R117" s="402">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402" t="n">
        <v>1</v>
      </c>
      <c r="H118" s="402">
        <f>SUMIF('01_BOC_TACH_ONG'!B:B, B118, '01_BOC_TACH_ONG'!K:K)</f>
        <v/>
      </c>
      <c r="I118" s="402">
        <f>SUMIF('02_BOC_TACH_CUA'!B:B, B118, '02_BOC_TACH_CUA'!K:K)</f>
        <v/>
      </c>
      <c r="J118" s="402">
        <f>SUMIF('03_BOC_TACH_VAN'!B:B, B118, '03_BOC_TACH_VAN'!K:K)</f>
        <v/>
      </c>
      <c r="K118" s="402">
        <f>SUM(H118:J118)</f>
        <v/>
      </c>
      <c r="L118" s="402">
        <f>(K118-SUMIFS('03_BOC_TACH_VAN'!K:K, '03_BOC_TACH_VAN'!B:B, B118, '03_BOC_TACH_VAN'!D:D, "ĐỘNG_CƠ_VÀ_CẢM_BIẾN"))*0.25</f>
        <v/>
      </c>
      <c r="M118" s="402">
        <f>(K118-SUMIFS('03_BOC_TACH_VAN'!K:K, '03_BOC_TACH_VAN'!B:B, B118, '03_BOC_TACH_VAN'!D:D, "ĐỘNG_CƠ_VÀ_CẢM_BIẾN"))*0.10</f>
        <v/>
      </c>
      <c r="N118" s="402">
        <f>K118+L118+M118</f>
        <v/>
      </c>
      <c r="O118" s="402">
        <f>IF(G118&gt;0, N118/G118, 0)</f>
        <v/>
      </c>
      <c r="P118" s="403" t="n">
        <v>0.18</v>
      </c>
      <c r="Q118" s="402">
        <f>IF(G118&gt;0, ((N118-SUMIFS('03_BOC_TACH_VAN'!K:K, '03_BOC_TACH_VAN'!B:B, B118, '03_BOC_TACH_VAN'!D:D, "ĐỘNG_CƠ_VÀ_CẢM_BIẾN"))*(1+P118)+SUMIFS('03_BOC_TACH_VAN'!K:K, '03_BOC_TACH_VAN'!B:B, B118, '03_BOC_TACH_VAN'!D:D, "ĐỘNG_CƠ_VÀ_CẢM_BIẾN"))/G118, 0)</f>
        <v/>
      </c>
      <c r="R118" s="402">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402" t="n">
        <v>4</v>
      </c>
      <c r="H119" s="402">
        <f>SUMIF('01_BOC_TACH_ONG'!B:B, B119, '01_BOC_TACH_ONG'!K:K)</f>
        <v/>
      </c>
      <c r="I119" s="402">
        <f>SUMIF('02_BOC_TACH_CUA'!B:B, B119, '02_BOC_TACH_CUA'!K:K)</f>
        <v/>
      </c>
      <c r="J119" s="402">
        <f>SUMIF('03_BOC_TACH_VAN'!B:B, B119, '03_BOC_TACH_VAN'!K:K)</f>
        <v/>
      </c>
      <c r="K119" s="402">
        <f>SUM(H119:J119)</f>
        <v/>
      </c>
      <c r="L119" s="402">
        <f>(K119-SUMIFS('03_BOC_TACH_VAN'!K:K, '03_BOC_TACH_VAN'!B:B, B119, '03_BOC_TACH_VAN'!D:D, "ĐỘNG_CƠ_VÀ_CẢM_BIẾN"))*0.25</f>
        <v/>
      </c>
      <c r="M119" s="402">
        <f>(K119-SUMIFS('03_BOC_TACH_VAN'!K:K, '03_BOC_TACH_VAN'!B:B, B119, '03_BOC_TACH_VAN'!D:D, "ĐỘNG_CƠ_VÀ_CẢM_BIẾN"))*0.10</f>
        <v/>
      </c>
      <c r="N119" s="402">
        <f>K119+L119+M119</f>
        <v/>
      </c>
      <c r="O119" s="402">
        <f>IF(G119&gt;0, N119/G119, 0)</f>
        <v/>
      </c>
      <c r="P119" s="403" t="n">
        <v>0.18</v>
      </c>
      <c r="Q119" s="402">
        <f>IF(G119&gt;0, ((N119-SUMIFS('03_BOC_TACH_VAN'!K:K, '03_BOC_TACH_VAN'!B:B, B119, '03_BOC_TACH_VAN'!D:D, "ĐỘNG_CƠ_VÀ_CẢM_BIẾN"))*(1+P119)+SUMIFS('03_BOC_TACH_VAN'!K:K, '03_BOC_TACH_VAN'!B:B, B119, '03_BOC_TACH_VAN'!D:D, "ĐỘNG_CƠ_VÀ_CẢM_BIẾN"))/G119, 0)</f>
        <v/>
      </c>
      <c r="R119" s="402">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402" t="n">
        <v>2</v>
      </c>
      <c r="H120" s="402">
        <f>SUMIF('01_BOC_TACH_ONG'!B:B, B120, '01_BOC_TACH_ONG'!K:K)</f>
        <v/>
      </c>
      <c r="I120" s="402">
        <f>SUMIF('02_BOC_TACH_CUA'!B:B, B120, '02_BOC_TACH_CUA'!K:K)</f>
        <v/>
      </c>
      <c r="J120" s="402">
        <f>SUMIF('03_BOC_TACH_VAN'!B:B, B120, '03_BOC_TACH_VAN'!K:K)</f>
        <v/>
      </c>
      <c r="K120" s="402">
        <f>SUM(H120:J120)</f>
        <v/>
      </c>
      <c r="L120" s="402">
        <f>(K120-SUMIFS('03_BOC_TACH_VAN'!K:K, '03_BOC_TACH_VAN'!B:B, B120, '03_BOC_TACH_VAN'!D:D, "ĐỘNG_CƠ_VÀ_CẢM_BIẾN"))*0.25</f>
        <v/>
      </c>
      <c r="M120" s="402">
        <f>(K120-SUMIFS('03_BOC_TACH_VAN'!K:K, '03_BOC_TACH_VAN'!B:B, B120, '03_BOC_TACH_VAN'!D:D, "ĐỘNG_CƠ_VÀ_CẢM_BIẾN"))*0.10</f>
        <v/>
      </c>
      <c r="N120" s="402">
        <f>K120+L120+M120</f>
        <v/>
      </c>
      <c r="O120" s="402">
        <f>IF(G120&gt;0, N120/G120, 0)</f>
        <v/>
      </c>
      <c r="P120" s="403" t="n">
        <v>0.18</v>
      </c>
      <c r="Q120" s="402">
        <f>IF(G120&gt;0, ((N120-SUMIFS('03_BOC_TACH_VAN'!K:K, '03_BOC_TACH_VAN'!B:B, B120, '03_BOC_TACH_VAN'!D:D, "ĐỘNG_CƠ_VÀ_CẢM_BIẾN"))*(1+P120)+SUMIFS('03_BOC_TACH_VAN'!K:K, '03_BOC_TACH_VAN'!B:B, B120, '03_BOC_TACH_VAN'!D:D, "ĐỘNG_CƠ_VÀ_CẢM_BIẾN"))/G120, 0)</f>
        <v/>
      </c>
      <c r="R120" s="402">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402" t="n">
        <v>1</v>
      </c>
      <c r="H121" s="402">
        <f>SUMIF('01_BOC_TACH_ONG'!B:B, B121, '01_BOC_TACH_ONG'!K:K)</f>
        <v/>
      </c>
      <c r="I121" s="402">
        <f>SUMIF('02_BOC_TACH_CUA'!B:B, B121, '02_BOC_TACH_CUA'!K:K)</f>
        <v/>
      </c>
      <c r="J121" s="402">
        <f>SUMIF('03_BOC_TACH_VAN'!B:B, B121, '03_BOC_TACH_VAN'!K:K)</f>
        <v/>
      </c>
      <c r="K121" s="402">
        <f>SUM(H121:J121)</f>
        <v/>
      </c>
      <c r="L121" s="402">
        <f>(K121-SUMIFS('03_BOC_TACH_VAN'!K:K, '03_BOC_TACH_VAN'!B:B, B121, '03_BOC_TACH_VAN'!D:D, "ĐỘNG_CƠ_VÀ_CẢM_BIẾN"))*0.25</f>
        <v/>
      </c>
      <c r="M121" s="402">
        <f>(K121-SUMIFS('03_BOC_TACH_VAN'!K:K, '03_BOC_TACH_VAN'!B:B, B121, '03_BOC_TACH_VAN'!D:D, "ĐỘNG_CƠ_VÀ_CẢM_BIẾN"))*0.10</f>
        <v/>
      </c>
      <c r="N121" s="402">
        <f>K121+L121+M121</f>
        <v/>
      </c>
      <c r="O121" s="402">
        <f>IF(G121&gt;0, N121/G121, 0)</f>
        <v/>
      </c>
      <c r="P121" s="403" t="n">
        <v>0.18</v>
      </c>
      <c r="Q121" s="402">
        <f>IF(G121&gt;0, ((N121-SUMIFS('03_BOC_TACH_VAN'!K:K, '03_BOC_TACH_VAN'!B:B, B121, '03_BOC_TACH_VAN'!D:D, "ĐỘNG_CƠ_VÀ_CẢM_BIẾN"))*(1+P121)+SUMIFS('03_BOC_TACH_VAN'!K:K, '03_BOC_TACH_VAN'!B:B, B121, '03_BOC_TACH_VAN'!D:D, "ĐỘNG_CƠ_VÀ_CẢM_BIẾN"))/G121, 0)</f>
        <v/>
      </c>
      <c r="R121" s="402">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402" t="n">
        <v>1</v>
      </c>
      <c r="H122" s="402">
        <f>SUMIF('01_BOC_TACH_ONG'!B:B, B122, '01_BOC_TACH_ONG'!K:K)</f>
        <v/>
      </c>
      <c r="I122" s="402">
        <f>SUMIF('02_BOC_TACH_CUA'!B:B, B122, '02_BOC_TACH_CUA'!K:K)</f>
        <v/>
      </c>
      <c r="J122" s="402">
        <f>SUMIF('03_BOC_TACH_VAN'!B:B, B122, '03_BOC_TACH_VAN'!K:K)</f>
        <v/>
      </c>
      <c r="K122" s="402">
        <f>SUM(H122:J122)</f>
        <v/>
      </c>
      <c r="L122" s="402">
        <f>(K122-SUMIFS('03_BOC_TACH_VAN'!K:K, '03_BOC_TACH_VAN'!B:B, B122, '03_BOC_TACH_VAN'!D:D, "ĐỘNG_CƠ_VÀ_CẢM_BIẾN"))*0.25</f>
        <v/>
      </c>
      <c r="M122" s="402">
        <f>(K122-SUMIFS('03_BOC_TACH_VAN'!K:K, '03_BOC_TACH_VAN'!B:B, B122, '03_BOC_TACH_VAN'!D:D, "ĐỘNG_CƠ_VÀ_CẢM_BIẾN"))*0.10</f>
        <v/>
      </c>
      <c r="N122" s="402">
        <f>K122+L122+M122</f>
        <v/>
      </c>
      <c r="O122" s="402">
        <f>IF(G122&gt;0, N122/G122, 0)</f>
        <v/>
      </c>
      <c r="P122" s="403" t="n">
        <v>0.18</v>
      </c>
      <c r="Q122" s="402">
        <f>IF(G122&gt;0, ((N122-SUMIFS('03_BOC_TACH_VAN'!K:K, '03_BOC_TACH_VAN'!B:B, B122, '03_BOC_TACH_VAN'!D:D, "ĐỘNG_CƠ_VÀ_CẢM_BIẾN"))*(1+P122)+SUMIFS('03_BOC_TACH_VAN'!K:K, '03_BOC_TACH_VAN'!B:B, B122, '03_BOC_TACH_VAN'!D:D, "ĐỘNG_CƠ_VÀ_CẢM_BIẾN"))/G122, 0)</f>
        <v/>
      </c>
      <c r="R122" s="402">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402" t="n">
        <v>11</v>
      </c>
      <c r="H123" s="402">
        <f>SUMIF('01_BOC_TACH_ONG'!B:B, B123, '01_BOC_TACH_ONG'!K:K)</f>
        <v/>
      </c>
      <c r="I123" s="402">
        <f>SUMIF('02_BOC_TACH_CUA'!B:B, B123, '02_BOC_TACH_CUA'!K:K)</f>
        <v/>
      </c>
      <c r="J123" s="402">
        <f>SUMIF('03_BOC_TACH_VAN'!B:B, B123, '03_BOC_TACH_VAN'!K:K)</f>
        <v/>
      </c>
      <c r="K123" s="402">
        <f>SUM(H123:J123)</f>
        <v/>
      </c>
      <c r="L123" s="402">
        <f>(K123-SUMIFS('03_BOC_TACH_VAN'!K:K, '03_BOC_TACH_VAN'!B:B, B123, '03_BOC_TACH_VAN'!D:D, "ĐỘNG_CƠ_VÀ_CẢM_BIẾN"))*0.25</f>
        <v/>
      </c>
      <c r="M123" s="402">
        <f>(K123-SUMIFS('03_BOC_TACH_VAN'!K:K, '03_BOC_TACH_VAN'!B:B, B123, '03_BOC_TACH_VAN'!D:D, "ĐỘNG_CƠ_VÀ_CẢM_BIẾN"))*0.10</f>
        <v/>
      </c>
      <c r="N123" s="402">
        <f>K123+L123+M123</f>
        <v/>
      </c>
      <c r="O123" s="402">
        <f>IF(G123&gt;0, N123/G123, 0)</f>
        <v/>
      </c>
      <c r="P123" s="403" t="n">
        <v>0.18</v>
      </c>
      <c r="Q123" s="402">
        <f>IF(G123&gt;0, ((N123-SUMIFS('03_BOC_TACH_VAN'!K:K, '03_BOC_TACH_VAN'!B:B, B123, '03_BOC_TACH_VAN'!D:D, "ĐỘNG_CƠ_VÀ_CẢM_BIẾN"))*(1+P123)+SUMIFS('03_BOC_TACH_VAN'!K:K, '03_BOC_TACH_VAN'!B:B, B123, '03_BOC_TACH_VAN'!D:D, "ĐỘNG_CƠ_VÀ_CẢM_BIẾN"))/G123, 0)</f>
        <v/>
      </c>
      <c r="R123" s="402">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402" t="n">
        <v>9</v>
      </c>
      <c r="H124" s="402">
        <f>SUMIF('01_BOC_TACH_ONG'!B:B, B124, '01_BOC_TACH_ONG'!K:K)</f>
        <v/>
      </c>
      <c r="I124" s="402">
        <f>SUMIF('02_BOC_TACH_CUA'!B:B, B124, '02_BOC_TACH_CUA'!K:K)</f>
        <v/>
      </c>
      <c r="J124" s="402">
        <f>SUMIF('03_BOC_TACH_VAN'!B:B, B124, '03_BOC_TACH_VAN'!K:K)</f>
        <v/>
      </c>
      <c r="K124" s="402">
        <f>SUM(H124:J124)</f>
        <v/>
      </c>
      <c r="L124" s="402">
        <f>(K124-SUMIFS('03_BOC_TACH_VAN'!K:K, '03_BOC_TACH_VAN'!B:B, B124, '03_BOC_TACH_VAN'!D:D, "ĐỘNG_CƠ_VÀ_CẢM_BIẾN"))*0.25</f>
        <v/>
      </c>
      <c r="M124" s="402">
        <f>(K124-SUMIFS('03_BOC_TACH_VAN'!K:K, '03_BOC_TACH_VAN'!B:B, B124, '03_BOC_TACH_VAN'!D:D, "ĐỘNG_CƠ_VÀ_CẢM_BIẾN"))*0.10</f>
        <v/>
      </c>
      <c r="N124" s="402">
        <f>K124+L124+M124</f>
        <v/>
      </c>
      <c r="O124" s="402">
        <f>IF(G124&gt;0, N124/G124, 0)</f>
        <v/>
      </c>
      <c r="P124" s="403" t="n">
        <v>0.18</v>
      </c>
      <c r="Q124" s="402">
        <f>IF(G124&gt;0, ((N124-SUMIFS('03_BOC_TACH_VAN'!K:K, '03_BOC_TACH_VAN'!B:B, B124, '03_BOC_TACH_VAN'!D:D, "ĐỘNG_CƠ_VÀ_CẢM_BIẾN"))*(1+P124)+SUMIFS('03_BOC_TACH_VAN'!K:K, '03_BOC_TACH_VAN'!B:B, B124, '03_BOC_TACH_VAN'!D:D, "ĐỘNG_CƠ_VÀ_CẢM_BIẾN"))/G124, 0)</f>
        <v/>
      </c>
      <c r="R124" s="402">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402" t="n">
        <v>3</v>
      </c>
      <c r="H125" s="402">
        <f>SUMIF('01_BOC_TACH_ONG'!B:B, B125, '01_BOC_TACH_ONG'!K:K)</f>
        <v/>
      </c>
      <c r="I125" s="402">
        <f>SUMIF('02_BOC_TACH_CUA'!B:B, B125, '02_BOC_TACH_CUA'!K:K)</f>
        <v/>
      </c>
      <c r="J125" s="402">
        <f>SUMIF('03_BOC_TACH_VAN'!B:B, B125, '03_BOC_TACH_VAN'!K:K)</f>
        <v/>
      </c>
      <c r="K125" s="402">
        <f>SUM(H125:J125)</f>
        <v/>
      </c>
      <c r="L125" s="402">
        <f>(K125-SUMIFS('03_BOC_TACH_VAN'!K:K, '03_BOC_TACH_VAN'!B:B, B125, '03_BOC_TACH_VAN'!D:D, "ĐỘNG_CƠ_VÀ_CẢM_BIẾN"))*0.25</f>
        <v/>
      </c>
      <c r="M125" s="402">
        <f>(K125-SUMIFS('03_BOC_TACH_VAN'!K:K, '03_BOC_TACH_VAN'!B:B, B125, '03_BOC_TACH_VAN'!D:D, "ĐỘNG_CƠ_VÀ_CẢM_BIẾN"))*0.10</f>
        <v/>
      </c>
      <c r="N125" s="402">
        <f>K125+L125+M125</f>
        <v/>
      </c>
      <c r="O125" s="402">
        <f>IF(G125&gt;0, N125/G125, 0)</f>
        <v/>
      </c>
      <c r="P125" s="403" t="n">
        <v>0.18</v>
      </c>
      <c r="Q125" s="402">
        <f>IF(G125&gt;0, ((N125-SUMIFS('03_BOC_TACH_VAN'!K:K, '03_BOC_TACH_VAN'!B:B, B125, '03_BOC_TACH_VAN'!D:D, "ĐỘNG_CƠ_VÀ_CẢM_BIẾN"))*(1+P125)+SUMIFS('03_BOC_TACH_VAN'!K:K, '03_BOC_TACH_VAN'!B:B, B125, '03_BOC_TACH_VAN'!D:D, "ĐỘNG_CƠ_VÀ_CẢM_BIẾN"))/G125, 0)</f>
        <v/>
      </c>
      <c r="R125" s="402">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402" t="n">
        <v>1</v>
      </c>
      <c r="H126" s="402">
        <f>SUMIF('01_BOC_TACH_ONG'!B:B, B126, '01_BOC_TACH_ONG'!K:K)</f>
        <v/>
      </c>
      <c r="I126" s="402">
        <f>SUMIF('02_BOC_TACH_CUA'!B:B, B126, '02_BOC_TACH_CUA'!K:K)</f>
        <v/>
      </c>
      <c r="J126" s="402">
        <f>SUMIF('03_BOC_TACH_VAN'!B:B, B126, '03_BOC_TACH_VAN'!K:K)</f>
        <v/>
      </c>
      <c r="K126" s="402">
        <f>SUM(H126:J126)</f>
        <v/>
      </c>
      <c r="L126" s="402">
        <f>(K126-SUMIFS('03_BOC_TACH_VAN'!K:K, '03_BOC_TACH_VAN'!B:B, B126, '03_BOC_TACH_VAN'!D:D, "ĐỘNG_CƠ_VÀ_CẢM_BIẾN"))*0.25</f>
        <v/>
      </c>
      <c r="M126" s="402">
        <f>(K126-SUMIFS('03_BOC_TACH_VAN'!K:K, '03_BOC_TACH_VAN'!B:B, B126, '03_BOC_TACH_VAN'!D:D, "ĐỘNG_CƠ_VÀ_CẢM_BIẾN"))*0.10</f>
        <v/>
      </c>
      <c r="N126" s="402">
        <f>K126+L126+M126</f>
        <v/>
      </c>
      <c r="O126" s="402">
        <f>IF(G126&gt;0, N126/G126, 0)</f>
        <v/>
      </c>
      <c r="P126" s="403" t="n">
        <v>0.18</v>
      </c>
      <c r="Q126" s="402">
        <f>IF(G126&gt;0, ((N126-SUMIFS('03_BOC_TACH_VAN'!K:K, '03_BOC_TACH_VAN'!B:B, B126, '03_BOC_TACH_VAN'!D:D, "ĐỘNG_CƠ_VÀ_CẢM_BIẾN"))*(1+P126)+SUMIFS('03_BOC_TACH_VAN'!K:K, '03_BOC_TACH_VAN'!B:B, B126, '03_BOC_TACH_VAN'!D:D, "ĐỘNG_CƠ_VÀ_CẢM_BIẾN"))/G126, 0)</f>
        <v/>
      </c>
      <c r="R126" s="402">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402" t="n">
        <v>6</v>
      </c>
      <c r="H127" s="402">
        <f>SUMIF('01_BOC_TACH_ONG'!B:B, B127, '01_BOC_TACH_ONG'!K:K)</f>
        <v/>
      </c>
      <c r="I127" s="402">
        <f>SUMIF('02_BOC_TACH_CUA'!B:B, B127, '02_BOC_TACH_CUA'!K:K)</f>
        <v/>
      </c>
      <c r="J127" s="402">
        <f>SUMIF('03_BOC_TACH_VAN'!B:B, B127, '03_BOC_TACH_VAN'!K:K)</f>
        <v/>
      </c>
      <c r="K127" s="402">
        <f>SUM(H127:J127)</f>
        <v/>
      </c>
      <c r="L127" s="402">
        <f>(K127-SUMIFS('03_BOC_TACH_VAN'!K:K, '03_BOC_TACH_VAN'!B:B, B127, '03_BOC_TACH_VAN'!D:D, "ĐỘNG_CƠ_VÀ_CẢM_BIẾN"))*0.25</f>
        <v/>
      </c>
      <c r="M127" s="402">
        <f>(K127-SUMIFS('03_BOC_TACH_VAN'!K:K, '03_BOC_TACH_VAN'!B:B, B127, '03_BOC_TACH_VAN'!D:D, "ĐỘNG_CƠ_VÀ_CẢM_BIẾN"))*0.10</f>
        <v/>
      </c>
      <c r="N127" s="402">
        <f>K127+L127+M127</f>
        <v/>
      </c>
      <c r="O127" s="402">
        <f>IF(G127&gt;0, N127/G127, 0)</f>
        <v/>
      </c>
      <c r="P127" s="403" t="n">
        <v>0.18</v>
      </c>
      <c r="Q127" s="402">
        <f>IF(G127&gt;0, ((N127-SUMIFS('03_BOC_TACH_VAN'!K:K, '03_BOC_TACH_VAN'!B:B, B127, '03_BOC_TACH_VAN'!D:D, "ĐỘNG_CƠ_VÀ_CẢM_BIẾN"))*(1+P127)+SUMIFS('03_BOC_TACH_VAN'!K:K, '03_BOC_TACH_VAN'!B:B, B127, '03_BOC_TACH_VAN'!D:D, "ĐỘNG_CƠ_VÀ_CẢM_BIẾN"))/G127, 0)</f>
        <v/>
      </c>
      <c r="R127" s="402">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402" t="n">
        <v>6</v>
      </c>
      <c r="H128" s="402">
        <f>SUMIF('01_BOC_TACH_ONG'!B:B, B128, '01_BOC_TACH_ONG'!K:K)</f>
        <v/>
      </c>
      <c r="I128" s="402">
        <f>SUMIF('02_BOC_TACH_CUA'!B:B, B128, '02_BOC_TACH_CUA'!K:K)</f>
        <v/>
      </c>
      <c r="J128" s="402">
        <f>SUMIF('03_BOC_TACH_VAN'!B:B, B128, '03_BOC_TACH_VAN'!K:K)</f>
        <v/>
      </c>
      <c r="K128" s="402">
        <f>SUM(H128:J128)</f>
        <v/>
      </c>
      <c r="L128" s="402">
        <f>(K128-SUMIFS('03_BOC_TACH_VAN'!K:K, '03_BOC_TACH_VAN'!B:B, B128, '03_BOC_TACH_VAN'!D:D, "ĐỘNG_CƠ_VÀ_CẢM_BIẾN"))*0.25</f>
        <v/>
      </c>
      <c r="M128" s="402">
        <f>(K128-SUMIFS('03_BOC_TACH_VAN'!K:K, '03_BOC_TACH_VAN'!B:B, B128, '03_BOC_TACH_VAN'!D:D, "ĐỘNG_CƠ_VÀ_CẢM_BIẾN"))*0.10</f>
        <v/>
      </c>
      <c r="N128" s="402">
        <f>K128+L128+M128</f>
        <v/>
      </c>
      <c r="O128" s="402">
        <f>IF(G128&gt;0, N128/G128, 0)</f>
        <v/>
      </c>
      <c r="P128" s="403" t="n">
        <v>0.18</v>
      </c>
      <c r="Q128" s="402">
        <f>IF(G128&gt;0, ((N128-SUMIFS('03_BOC_TACH_VAN'!K:K, '03_BOC_TACH_VAN'!B:B, B128, '03_BOC_TACH_VAN'!D:D, "ĐỘNG_CƠ_VÀ_CẢM_BIẾN"))*(1+P128)+SUMIFS('03_BOC_TACH_VAN'!K:K, '03_BOC_TACH_VAN'!B:B, B128, '03_BOC_TACH_VAN'!D:D, "ĐỘNG_CƠ_VÀ_CẢM_BIẾN"))/G128, 0)</f>
        <v/>
      </c>
      <c r="R128" s="402">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402" t="n">
        <v>6</v>
      </c>
      <c r="H129" s="402">
        <f>SUMIF('01_BOC_TACH_ONG'!B:B, B129, '01_BOC_TACH_ONG'!K:K)</f>
        <v/>
      </c>
      <c r="I129" s="402">
        <f>SUMIF('02_BOC_TACH_CUA'!B:B, B129, '02_BOC_TACH_CUA'!K:K)</f>
        <v/>
      </c>
      <c r="J129" s="402">
        <f>SUMIF('03_BOC_TACH_VAN'!B:B, B129, '03_BOC_TACH_VAN'!K:K)</f>
        <v/>
      </c>
      <c r="K129" s="402">
        <f>SUM(H129:J129)</f>
        <v/>
      </c>
      <c r="L129" s="402">
        <f>(K129-SUMIFS('03_BOC_TACH_VAN'!K:K, '03_BOC_TACH_VAN'!B:B, B129, '03_BOC_TACH_VAN'!D:D, "ĐỘNG_CƠ_VÀ_CẢM_BIẾN"))*0.25</f>
        <v/>
      </c>
      <c r="M129" s="402">
        <f>(K129-SUMIFS('03_BOC_TACH_VAN'!K:K, '03_BOC_TACH_VAN'!B:B, B129, '03_BOC_TACH_VAN'!D:D, "ĐỘNG_CƠ_VÀ_CẢM_BIẾN"))*0.10</f>
        <v/>
      </c>
      <c r="N129" s="402">
        <f>K129+L129+M129</f>
        <v/>
      </c>
      <c r="O129" s="402">
        <f>IF(G129&gt;0, N129/G129, 0)</f>
        <v/>
      </c>
      <c r="P129" s="403" t="n">
        <v>0.18</v>
      </c>
      <c r="Q129" s="402">
        <f>IF(G129&gt;0, ((N129-SUMIFS('03_BOC_TACH_VAN'!K:K, '03_BOC_TACH_VAN'!B:B, B129, '03_BOC_TACH_VAN'!D:D, "ĐỘNG_CƠ_VÀ_CẢM_BIẾN"))*(1+P129)+SUMIFS('03_BOC_TACH_VAN'!K:K, '03_BOC_TACH_VAN'!B:B, B129, '03_BOC_TACH_VAN'!D:D, "ĐỘNG_CƠ_VÀ_CẢM_BIẾN"))/G129, 0)</f>
        <v/>
      </c>
      <c r="R129" s="402">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402" t="n">
        <v>14</v>
      </c>
      <c r="H130" s="402">
        <f>SUMIF('01_BOC_TACH_ONG'!B:B, B130, '01_BOC_TACH_ONG'!K:K)</f>
        <v/>
      </c>
      <c r="I130" s="402">
        <f>SUMIF('02_BOC_TACH_CUA'!B:B, B130, '02_BOC_TACH_CUA'!K:K)</f>
        <v/>
      </c>
      <c r="J130" s="402">
        <f>SUMIF('03_BOC_TACH_VAN'!B:B, B130, '03_BOC_TACH_VAN'!K:K)</f>
        <v/>
      </c>
      <c r="K130" s="402">
        <f>SUM(H130:J130)</f>
        <v/>
      </c>
      <c r="L130" s="402">
        <f>(K130-SUMIFS('03_BOC_TACH_VAN'!K:K, '03_BOC_TACH_VAN'!B:B, B130, '03_BOC_TACH_VAN'!D:D, "ĐỘNG_CƠ_VÀ_CẢM_BIẾN"))*0.25</f>
        <v/>
      </c>
      <c r="M130" s="402">
        <f>(K130-SUMIFS('03_BOC_TACH_VAN'!K:K, '03_BOC_TACH_VAN'!B:B, B130, '03_BOC_TACH_VAN'!D:D, "ĐỘNG_CƠ_VÀ_CẢM_BIẾN"))*0.10</f>
        <v/>
      </c>
      <c r="N130" s="402">
        <f>K130+L130+M130</f>
        <v/>
      </c>
      <c r="O130" s="402">
        <f>IF(G130&gt;0, N130/G130, 0)</f>
        <v/>
      </c>
      <c r="P130" s="403" t="n">
        <v>0.18</v>
      </c>
      <c r="Q130" s="402">
        <f>IF(G130&gt;0, ((N130-SUMIFS('03_BOC_TACH_VAN'!K:K, '03_BOC_TACH_VAN'!B:B, B130, '03_BOC_TACH_VAN'!D:D, "ĐỘNG_CƠ_VÀ_CẢM_BIẾN"))*(1+P130)+SUMIFS('03_BOC_TACH_VAN'!K:K, '03_BOC_TACH_VAN'!B:B, B130, '03_BOC_TACH_VAN'!D:D, "ĐỘNG_CƠ_VÀ_CẢM_BIẾN"))/G130, 0)</f>
        <v/>
      </c>
      <c r="R130" s="402">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402" t="n">
        <v>78</v>
      </c>
      <c r="H131" s="402">
        <f>SUMIF('01_BOC_TACH_ONG'!B:B, B131, '01_BOC_TACH_ONG'!K:K)</f>
        <v/>
      </c>
      <c r="I131" s="402">
        <f>SUMIF('02_BOC_TACH_CUA'!B:B, B131, '02_BOC_TACH_CUA'!K:K)</f>
        <v/>
      </c>
      <c r="J131" s="402">
        <f>SUMIF('03_BOC_TACH_VAN'!B:B, B131, '03_BOC_TACH_VAN'!K:K)</f>
        <v/>
      </c>
      <c r="K131" s="402">
        <f>SUM(H131:J131)</f>
        <v/>
      </c>
      <c r="L131" s="402">
        <f>(K131-SUMIFS('03_BOC_TACH_VAN'!K:K, '03_BOC_TACH_VAN'!B:B, B131, '03_BOC_TACH_VAN'!D:D, "ĐỘNG_CƠ_VÀ_CẢM_BIẾN"))*0.25</f>
        <v/>
      </c>
      <c r="M131" s="402">
        <f>(K131-SUMIFS('03_BOC_TACH_VAN'!K:K, '03_BOC_TACH_VAN'!B:B, B131, '03_BOC_TACH_VAN'!D:D, "ĐỘNG_CƠ_VÀ_CẢM_BIẾN"))*0.10</f>
        <v/>
      </c>
      <c r="N131" s="402">
        <f>K131+L131+M131</f>
        <v/>
      </c>
      <c r="O131" s="402">
        <f>IF(G131&gt;0, N131/G131, 0)</f>
        <v/>
      </c>
      <c r="P131" s="403" t="n">
        <v>0.18</v>
      </c>
      <c r="Q131" s="402">
        <f>IF(G131&gt;0, ((N131-SUMIFS('03_BOC_TACH_VAN'!K:K, '03_BOC_TACH_VAN'!B:B, B131, '03_BOC_TACH_VAN'!D:D, "ĐỘNG_CƠ_VÀ_CẢM_BIẾN"))*(1+P131)+SUMIFS('03_BOC_TACH_VAN'!K:K, '03_BOC_TACH_VAN'!B:B, B131, '03_BOC_TACH_VAN'!D:D, "ĐỘNG_CƠ_VÀ_CẢM_BIẾN"))/G131, 0)</f>
        <v/>
      </c>
      <c r="R131" s="402">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402" t="n">
        <v>78</v>
      </c>
      <c r="H132" s="402">
        <f>SUMIF('01_BOC_TACH_ONG'!B:B, B132, '01_BOC_TACH_ONG'!K:K)</f>
        <v/>
      </c>
      <c r="I132" s="402">
        <f>SUMIF('02_BOC_TACH_CUA'!B:B, B132, '02_BOC_TACH_CUA'!K:K)</f>
        <v/>
      </c>
      <c r="J132" s="402">
        <f>SUMIF('03_BOC_TACH_VAN'!B:B, B132, '03_BOC_TACH_VAN'!K:K)</f>
        <v/>
      </c>
      <c r="K132" s="402">
        <f>SUM(H132:J132)</f>
        <v/>
      </c>
      <c r="L132" s="402">
        <f>(K132-SUMIFS('03_BOC_TACH_VAN'!K:K, '03_BOC_TACH_VAN'!B:B, B132, '03_BOC_TACH_VAN'!D:D, "ĐỘNG_CƠ_VÀ_CẢM_BIẾN"))*0.25</f>
        <v/>
      </c>
      <c r="M132" s="402">
        <f>(K132-SUMIFS('03_BOC_TACH_VAN'!K:K, '03_BOC_TACH_VAN'!B:B, B132, '03_BOC_TACH_VAN'!D:D, "ĐỘNG_CƠ_VÀ_CẢM_BIẾN"))*0.10</f>
        <v/>
      </c>
      <c r="N132" s="402">
        <f>K132+L132+M132</f>
        <v/>
      </c>
      <c r="O132" s="402">
        <f>IF(G132&gt;0, N132/G132, 0)</f>
        <v/>
      </c>
      <c r="P132" s="403" t="n">
        <v>0.18</v>
      </c>
      <c r="Q132" s="402">
        <f>IF(G132&gt;0, ((N132-SUMIFS('03_BOC_TACH_VAN'!K:K, '03_BOC_TACH_VAN'!B:B, B132, '03_BOC_TACH_VAN'!D:D, "ĐỘNG_CƠ_VÀ_CẢM_BIẾN"))*(1+P132)+SUMIFS('03_BOC_TACH_VAN'!K:K, '03_BOC_TACH_VAN'!B:B, B132, '03_BOC_TACH_VAN'!D:D, "ĐỘNG_CƠ_VÀ_CẢM_BIẾN"))/G132, 0)</f>
        <v/>
      </c>
      <c r="R132" s="402">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402" t="n">
        <v>26</v>
      </c>
      <c r="H133" s="402">
        <f>SUMIF('01_BOC_TACH_ONG'!B:B, B133, '01_BOC_TACH_ONG'!K:K)</f>
        <v/>
      </c>
      <c r="I133" s="402">
        <f>SUMIF('02_BOC_TACH_CUA'!B:B, B133, '02_BOC_TACH_CUA'!K:K)</f>
        <v/>
      </c>
      <c r="J133" s="402">
        <f>SUMIF('03_BOC_TACH_VAN'!B:B, B133, '03_BOC_TACH_VAN'!K:K)</f>
        <v/>
      </c>
      <c r="K133" s="402">
        <f>SUM(H133:J133)</f>
        <v/>
      </c>
      <c r="L133" s="402">
        <f>(K133-SUMIFS('03_BOC_TACH_VAN'!K:K, '03_BOC_TACH_VAN'!B:B, B133, '03_BOC_TACH_VAN'!D:D, "ĐỘNG_CƠ_VÀ_CẢM_BIẾN"))*0.25</f>
        <v/>
      </c>
      <c r="M133" s="402">
        <f>(K133-SUMIFS('03_BOC_TACH_VAN'!K:K, '03_BOC_TACH_VAN'!B:B, B133, '03_BOC_TACH_VAN'!D:D, "ĐỘNG_CƠ_VÀ_CẢM_BIẾN"))*0.10</f>
        <v/>
      </c>
      <c r="N133" s="402">
        <f>K133+L133+M133</f>
        <v/>
      </c>
      <c r="O133" s="402">
        <f>IF(G133&gt;0, N133/G133, 0)</f>
        <v/>
      </c>
      <c r="P133" s="403" t="n">
        <v>0.18</v>
      </c>
      <c r="Q133" s="402">
        <f>IF(G133&gt;0, ((N133-SUMIFS('03_BOC_TACH_VAN'!K:K, '03_BOC_TACH_VAN'!B:B, B133, '03_BOC_TACH_VAN'!D:D, "ĐỘNG_CƠ_VÀ_CẢM_BIẾN"))*(1+P133)+SUMIFS('03_BOC_TACH_VAN'!K:K, '03_BOC_TACH_VAN'!B:B, B133, '03_BOC_TACH_VAN'!D:D, "ĐỘNG_CƠ_VÀ_CẢM_BIẾN"))/G133, 0)</f>
        <v/>
      </c>
      <c r="R133" s="402">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402" t="n">
        <v>413</v>
      </c>
      <c r="H134" s="402">
        <f>SUMIF('01_BOC_TACH_ONG'!B:B, B134, '01_BOC_TACH_ONG'!K:K)</f>
        <v/>
      </c>
      <c r="I134" s="402">
        <f>SUMIF('02_BOC_TACH_CUA'!B:B, B134, '02_BOC_TACH_CUA'!K:K)</f>
        <v/>
      </c>
      <c r="J134" s="402">
        <f>SUMIF('03_BOC_TACH_VAN'!B:B, B134, '03_BOC_TACH_VAN'!K:K)</f>
        <v/>
      </c>
      <c r="K134" s="402">
        <f>SUM(H134:J134)</f>
        <v/>
      </c>
      <c r="L134" s="402">
        <f>(K134-SUMIFS('03_BOC_TACH_VAN'!K:K, '03_BOC_TACH_VAN'!B:B, B134, '03_BOC_TACH_VAN'!D:D, "ĐỘNG_CƠ_VÀ_CẢM_BIẾN"))*0.25</f>
        <v/>
      </c>
      <c r="M134" s="402">
        <f>(K134-SUMIFS('03_BOC_TACH_VAN'!K:K, '03_BOC_TACH_VAN'!B:B, B134, '03_BOC_TACH_VAN'!D:D, "ĐỘNG_CƠ_VÀ_CẢM_BIẾN"))*0.10</f>
        <v/>
      </c>
      <c r="N134" s="402">
        <f>K134+L134+M134</f>
        <v/>
      </c>
      <c r="O134" s="402">
        <f>IF(G134&gt;0, N134/G134, 0)</f>
        <v/>
      </c>
      <c r="P134" s="403" t="n">
        <v>0.18</v>
      </c>
      <c r="Q134" s="402">
        <f>IF(G134&gt;0, ((N134-SUMIFS('03_BOC_TACH_VAN'!K:K, '03_BOC_TACH_VAN'!B:B, B134, '03_BOC_TACH_VAN'!D:D, "ĐỘNG_CƠ_VÀ_CẢM_BIẾN"))*(1+P134)+SUMIFS('03_BOC_TACH_VAN'!K:K, '03_BOC_TACH_VAN'!B:B, B134, '03_BOC_TACH_VAN'!D:D, "ĐỘNG_CƠ_VÀ_CẢM_BIẾN"))/G134, 0)</f>
        <v/>
      </c>
      <c r="R134" s="402">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402" t="n">
        <v>35</v>
      </c>
      <c r="H135" s="402">
        <f>SUMIF('01_BOC_TACH_ONG'!B:B, B135, '01_BOC_TACH_ONG'!K:K)</f>
        <v/>
      </c>
      <c r="I135" s="402">
        <f>SUMIF('02_BOC_TACH_CUA'!B:B, B135, '02_BOC_TACH_CUA'!K:K)</f>
        <v/>
      </c>
      <c r="J135" s="402">
        <f>SUMIF('03_BOC_TACH_VAN'!B:B, B135, '03_BOC_TACH_VAN'!K:K)</f>
        <v/>
      </c>
      <c r="K135" s="402">
        <f>SUM(H135:J135)</f>
        <v/>
      </c>
      <c r="L135" s="402">
        <f>(K135-SUMIFS('03_BOC_TACH_VAN'!K:K, '03_BOC_TACH_VAN'!B:B, B135, '03_BOC_TACH_VAN'!D:D, "ĐỘNG_CƠ_VÀ_CẢM_BIẾN"))*0.25</f>
        <v/>
      </c>
      <c r="M135" s="402">
        <f>(K135-SUMIFS('03_BOC_TACH_VAN'!K:K, '03_BOC_TACH_VAN'!B:B, B135, '03_BOC_TACH_VAN'!D:D, "ĐỘNG_CƠ_VÀ_CẢM_BIẾN"))*0.10</f>
        <v/>
      </c>
      <c r="N135" s="402">
        <f>K135+L135+M135</f>
        <v/>
      </c>
      <c r="O135" s="402">
        <f>IF(G135&gt;0, N135/G135, 0)</f>
        <v/>
      </c>
      <c r="P135" s="403" t="n">
        <v>0.18</v>
      </c>
      <c r="Q135" s="402">
        <f>IF(G135&gt;0, ((N135-SUMIFS('03_BOC_TACH_VAN'!K:K, '03_BOC_TACH_VAN'!B:B, B135, '03_BOC_TACH_VAN'!D:D, "ĐỘNG_CƠ_VÀ_CẢM_BIẾN"))*(1+P135)+SUMIFS('03_BOC_TACH_VAN'!K:K, '03_BOC_TACH_VAN'!B:B, B135, '03_BOC_TACH_VAN'!D:D, "ĐỘNG_CƠ_VÀ_CẢM_BIẾN"))/G135, 0)</f>
        <v/>
      </c>
      <c r="R135" s="402">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402" t="n">
        <v>70</v>
      </c>
      <c r="H136" s="402">
        <f>SUMIF('01_BOC_TACH_ONG'!B:B, B136, '01_BOC_TACH_ONG'!K:K)</f>
        <v/>
      </c>
      <c r="I136" s="402">
        <f>SUMIF('02_BOC_TACH_CUA'!B:B, B136, '02_BOC_TACH_CUA'!K:K)</f>
        <v/>
      </c>
      <c r="J136" s="402">
        <f>SUMIF('03_BOC_TACH_VAN'!B:B, B136, '03_BOC_TACH_VAN'!K:K)</f>
        <v/>
      </c>
      <c r="K136" s="402">
        <f>SUM(H136:J136)</f>
        <v/>
      </c>
      <c r="L136" s="402">
        <f>(K136-SUMIFS('03_BOC_TACH_VAN'!K:K, '03_BOC_TACH_VAN'!B:B, B136, '03_BOC_TACH_VAN'!D:D, "ĐỘNG_CƠ_VÀ_CẢM_BIẾN"))*0.25</f>
        <v/>
      </c>
      <c r="M136" s="402">
        <f>(K136-SUMIFS('03_BOC_TACH_VAN'!K:K, '03_BOC_TACH_VAN'!B:B, B136, '03_BOC_TACH_VAN'!D:D, "ĐỘNG_CƠ_VÀ_CẢM_BIẾN"))*0.10</f>
        <v/>
      </c>
      <c r="N136" s="402">
        <f>K136+L136+M136</f>
        <v/>
      </c>
      <c r="O136" s="402">
        <f>IF(G136&gt;0, N136/G136, 0)</f>
        <v/>
      </c>
      <c r="P136" s="403" t="n">
        <v>0.18</v>
      </c>
      <c r="Q136" s="402">
        <f>IF(G136&gt;0, ((N136-SUMIFS('03_BOC_TACH_VAN'!K:K, '03_BOC_TACH_VAN'!B:B, B136, '03_BOC_TACH_VAN'!D:D, "ĐỘNG_CƠ_VÀ_CẢM_BIẾN"))*(1+P136)+SUMIFS('03_BOC_TACH_VAN'!K:K, '03_BOC_TACH_VAN'!B:B, B136, '03_BOC_TACH_VAN'!D:D, "ĐỘNG_CƠ_VÀ_CẢM_BIẾN"))/G136, 0)</f>
        <v/>
      </c>
      <c r="R136" s="402">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402" t="n">
        <v>1</v>
      </c>
      <c r="H137" s="402">
        <f>SUMIF('01_BOC_TACH_ONG'!B:B, B137, '01_BOC_TACH_ONG'!K:K)</f>
        <v/>
      </c>
      <c r="I137" s="402">
        <f>SUMIF('02_BOC_TACH_CUA'!B:B, B137, '02_BOC_TACH_CUA'!K:K)</f>
        <v/>
      </c>
      <c r="J137" s="402">
        <f>SUMIF('03_BOC_TACH_VAN'!B:B, B137, '03_BOC_TACH_VAN'!K:K)</f>
        <v/>
      </c>
      <c r="K137" s="402">
        <f>SUM(H137:J137)</f>
        <v/>
      </c>
      <c r="L137" s="402">
        <f>(K137-SUMIFS('03_BOC_TACH_VAN'!K:K, '03_BOC_TACH_VAN'!B:B, B137, '03_BOC_TACH_VAN'!D:D, "ĐỘNG_CƠ_VÀ_CẢM_BIẾN"))*0.25</f>
        <v/>
      </c>
      <c r="M137" s="402">
        <f>(K137-SUMIFS('03_BOC_TACH_VAN'!K:K, '03_BOC_TACH_VAN'!B:B, B137, '03_BOC_TACH_VAN'!D:D, "ĐỘNG_CƠ_VÀ_CẢM_BIẾN"))*0.10</f>
        <v/>
      </c>
      <c r="N137" s="402">
        <f>K137+L137+M137</f>
        <v/>
      </c>
      <c r="O137" s="402">
        <f>IF(G137&gt;0, N137/G137, 0)</f>
        <v/>
      </c>
      <c r="P137" s="403" t="n">
        <v>0.18</v>
      </c>
      <c r="Q137" s="402">
        <f>IF(G137&gt;0, ((N137-SUMIFS('03_BOC_TACH_VAN'!K:K, '03_BOC_TACH_VAN'!B:B, B137, '03_BOC_TACH_VAN'!D:D, "ĐỘNG_CƠ_VÀ_CẢM_BIẾN"))*(1+P137)+SUMIFS('03_BOC_TACH_VAN'!K:K, '03_BOC_TACH_VAN'!B:B, B137, '03_BOC_TACH_VAN'!D:D, "ĐỘNG_CƠ_VÀ_CẢM_BIẾN"))/G137, 0)</f>
        <v/>
      </c>
      <c r="R137" s="402">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402" t="n">
        <v>2</v>
      </c>
      <c r="H138" s="402">
        <f>SUMIF('01_BOC_TACH_ONG'!B:B, B138, '01_BOC_TACH_ONG'!K:K)</f>
        <v/>
      </c>
      <c r="I138" s="402">
        <f>SUMIF('02_BOC_TACH_CUA'!B:B, B138, '02_BOC_TACH_CUA'!K:K)</f>
        <v/>
      </c>
      <c r="J138" s="402">
        <f>SUMIF('03_BOC_TACH_VAN'!B:B, B138, '03_BOC_TACH_VAN'!K:K)</f>
        <v/>
      </c>
      <c r="K138" s="402">
        <f>SUM(H138:J138)</f>
        <v/>
      </c>
      <c r="L138" s="402">
        <f>(K138-SUMIFS('03_BOC_TACH_VAN'!K:K, '03_BOC_TACH_VAN'!B:B, B138, '03_BOC_TACH_VAN'!D:D, "ĐỘNG_CƠ_VÀ_CẢM_BIẾN"))*0.25</f>
        <v/>
      </c>
      <c r="M138" s="402">
        <f>(K138-SUMIFS('03_BOC_TACH_VAN'!K:K, '03_BOC_TACH_VAN'!B:B, B138, '03_BOC_TACH_VAN'!D:D, "ĐỘNG_CƠ_VÀ_CẢM_BIẾN"))*0.10</f>
        <v/>
      </c>
      <c r="N138" s="402">
        <f>K138+L138+M138</f>
        <v/>
      </c>
      <c r="O138" s="402">
        <f>IF(G138&gt;0, N138/G138, 0)</f>
        <v/>
      </c>
      <c r="P138" s="403" t="n">
        <v>0.18</v>
      </c>
      <c r="Q138" s="402">
        <f>IF(G138&gt;0, ((N138-SUMIFS('03_BOC_TACH_VAN'!K:K, '03_BOC_TACH_VAN'!B:B, B138, '03_BOC_TACH_VAN'!D:D, "ĐỘNG_CƠ_VÀ_CẢM_BIẾN"))*(1+P138)+SUMIFS('03_BOC_TACH_VAN'!K:K, '03_BOC_TACH_VAN'!B:B, B138, '03_BOC_TACH_VAN'!D:D, "ĐỘNG_CƠ_VÀ_CẢM_BIẾN"))/G138, 0)</f>
        <v/>
      </c>
      <c r="R138" s="402">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402" t="n">
        <v>48</v>
      </c>
      <c r="H139" s="402">
        <f>SUMIF('01_BOC_TACH_ONG'!B:B, B139, '01_BOC_TACH_ONG'!K:K)</f>
        <v/>
      </c>
      <c r="I139" s="402">
        <f>SUMIF('02_BOC_TACH_CUA'!B:B, B139, '02_BOC_TACH_CUA'!K:K)</f>
        <v/>
      </c>
      <c r="J139" s="402">
        <f>SUMIF('03_BOC_TACH_VAN'!B:B, B139, '03_BOC_TACH_VAN'!K:K)</f>
        <v/>
      </c>
      <c r="K139" s="402">
        <f>SUM(H139:J139)</f>
        <v/>
      </c>
      <c r="L139" s="402">
        <f>(K139-SUMIFS('03_BOC_TACH_VAN'!K:K, '03_BOC_TACH_VAN'!B:B, B139, '03_BOC_TACH_VAN'!D:D, "ĐỘNG_CƠ_VÀ_CẢM_BIẾN"))*0.25</f>
        <v/>
      </c>
      <c r="M139" s="402">
        <f>(K139-SUMIFS('03_BOC_TACH_VAN'!K:K, '03_BOC_TACH_VAN'!B:B, B139, '03_BOC_TACH_VAN'!D:D, "ĐỘNG_CƠ_VÀ_CẢM_BIẾN"))*0.10</f>
        <v/>
      </c>
      <c r="N139" s="402">
        <f>K139+L139+M139</f>
        <v/>
      </c>
      <c r="O139" s="402">
        <f>IF(G139&gt;0, N139/G139, 0)</f>
        <v/>
      </c>
      <c r="P139" s="403" t="n">
        <v>0.18</v>
      </c>
      <c r="Q139" s="402">
        <f>IF(G139&gt;0, ((N139-SUMIFS('03_BOC_TACH_VAN'!K:K, '03_BOC_TACH_VAN'!B:B, B139, '03_BOC_TACH_VAN'!D:D, "ĐỘNG_CƠ_VÀ_CẢM_BIẾN"))*(1+P139)+SUMIFS('03_BOC_TACH_VAN'!K:K, '03_BOC_TACH_VAN'!B:B, B139, '03_BOC_TACH_VAN'!D:D, "ĐỘNG_CƠ_VÀ_CẢM_BIẾN"))/G139, 0)</f>
        <v/>
      </c>
      <c r="R139" s="402">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402" t="n">
        <v>2</v>
      </c>
      <c r="H140" s="402">
        <f>SUMIF('01_BOC_TACH_ONG'!B:B, B140, '01_BOC_TACH_ONG'!K:K)</f>
        <v/>
      </c>
      <c r="I140" s="402">
        <f>SUMIF('02_BOC_TACH_CUA'!B:B, B140, '02_BOC_TACH_CUA'!K:K)</f>
        <v/>
      </c>
      <c r="J140" s="402">
        <f>SUMIF('03_BOC_TACH_VAN'!B:B, B140, '03_BOC_TACH_VAN'!K:K)</f>
        <v/>
      </c>
      <c r="K140" s="402">
        <f>SUM(H140:J140)</f>
        <v/>
      </c>
      <c r="L140" s="402">
        <f>(K140-SUMIFS('03_BOC_TACH_VAN'!K:K, '03_BOC_TACH_VAN'!B:B, B140, '03_BOC_TACH_VAN'!D:D, "ĐỘNG_CƠ_VÀ_CẢM_BIẾN"))*0.25</f>
        <v/>
      </c>
      <c r="M140" s="402">
        <f>(K140-SUMIFS('03_BOC_TACH_VAN'!K:K, '03_BOC_TACH_VAN'!B:B, B140, '03_BOC_TACH_VAN'!D:D, "ĐỘNG_CƠ_VÀ_CẢM_BIẾN"))*0.10</f>
        <v/>
      </c>
      <c r="N140" s="402">
        <f>K140+L140+M140</f>
        <v/>
      </c>
      <c r="O140" s="402">
        <f>IF(G140&gt;0, N140/G140, 0)</f>
        <v/>
      </c>
      <c r="P140" s="403" t="n">
        <v>0.18</v>
      </c>
      <c r="Q140" s="402">
        <f>IF(G140&gt;0, ((N140-SUMIFS('03_BOC_TACH_VAN'!K:K, '03_BOC_TACH_VAN'!B:B, B140, '03_BOC_TACH_VAN'!D:D, "ĐỘNG_CƠ_VÀ_CẢM_BIẾN"))*(1+P140)+SUMIFS('03_BOC_TACH_VAN'!K:K, '03_BOC_TACH_VAN'!B:B, B140, '03_BOC_TACH_VAN'!D:D, "ĐỘNG_CƠ_VÀ_CẢM_BIẾN"))/G140, 0)</f>
        <v/>
      </c>
      <c r="R140" s="402">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402" t="n">
        <v>1</v>
      </c>
      <c r="H141" s="402">
        <f>SUMIF('01_BOC_TACH_ONG'!B:B, B141, '01_BOC_TACH_ONG'!K:K)</f>
        <v/>
      </c>
      <c r="I141" s="402">
        <f>SUMIF('02_BOC_TACH_CUA'!B:B, B141, '02_BOC_TACH_CUA'!K:K)</f>
        <v/>
      </c>
      <c r="J141" s="402">
        <f>SUMIF('03_BOC_TACH_VAN'!B:B, B141, '03_BOC_TACH_VAN'!K:K)</f>
        <v/>
      </c>
      <c r="K141" s="402">
        <f>SUM(H141:J141)</f>
        <v/>
      </c>
      <c r="L141" s="402">
        <f>(K141-SUMIFS('03_BOC_TACH_VAN'!K:K, '03_BOC_TACH_VAN'!B:B, B141, '03_BOC_TACH_VAN'!D:D, "ĐỘNG_CƠ_VÀ_CẢM_BIẾN"))*0.25</f>
        <v/>
      </c>
      <c r="M141" s="402">
        <f>(K141-SUMIFS('03_BOC_TACH_VAN'!K:K, '03_BOC_TACH_VAN'!B:B, B141, '03_BOC_TACH_VAN'!D:D, "ĐỘNG_CƠ_VÀ_CẢM_BIẾN"))*0.10</f>
        <v/>
      </c>
      <c r="N141" s="402">
        <f>K141+L141+M141</f>
        <v/>
      </c>
      <c r="O141" s="402">
        <f>IF(G141&gt;0, N141/G141, 0)</f>
        <v/>
      </c>
      <c r="P141" s="403" t="n">
        <v>0.18</v>
      </c>
      <c r="Q141" s="402">
        <f>IF(G141&gt;0, ((N141-SUMIFS('03_BOC_TACH_VAN'!K:K, '03_BOC_TACH_VAN'!B:B, B141, '03_BOC_TACH_VAN'!D:D, "ĐỘNG_CƠ_VÀ_CẢM_BIẾN"))*(1+P141)+SUMIFS('03_BOC_TACH_VAN'!K:K, '03_BOC_TACH_VAN'!B:B, B141, '03_BOC_TACH_VAN'!D:D, "ĐỘNG_CƠ_VÀ_CẢM_BIẾN"))/G141, 0)</f>
        <v/>
      </c>
      <c r="R141" s="402">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402" t="n">
        <v>2</v>
      </c>
      <c r="H142" s="402">
        <f>SUMIF('01_BOC_TACH_ONG'!B:B, B142, '01_BOC_TACH_ONG'!K:K)</f>
        <v/>
      </c>
      <c r="I142" s="402">
        <f>SUMIF('02_BOC_TACH_CUA'!B:B, B142, '02_BOC_TACH_CUA'!K:K)</f>
        <v/>
      </c>
      <c r="J142" s="402">
        <f>SUMIF('03_BOC_TACH_VAN'!B:B, B142, '03_BOC_TACH_VAN'!K:K)</f>
        <v/>
      </c>
      <c r="K142" s="402">
        <f>SUM(H142:J142)</f>
        <v/>
      </c>
      <c r="L142" s="402">
        <f>(K142-SUMIFS('03_BOC_TACH_VAN'!K:K, '03_BOC_TACH_VAN'!B:B, B142, '03_BOC_TACH_VAN'!D:D, "ĐỘNG_CƠ_VÀ_CẢM_BIẾN"))*0.25</f>
        <v/>
      </c>
      <c r="M142" s="402">
        <f>(K142-SUMIFS('03_BOC_TACH_VAN'!K:K, '03_BOC_TACH_VAN'!B:B, B142, '03_BOC_TACH_VAN'!D:D, "ĐỘNG_CƠ_VÀ_CẢM_BIẾN"))*0.10</f>
        <v/>
      </c>
      <c r="N142" s="402">
        <f>K142+L142+M142</f>
        <v/>
      </c>
      <c r="O142" s="402">
        <f>IF(G142&gt;0, N142/G142, 0)</f>
        <v/>
      </c>
      <c r="P142" s="403" t="n">
        <v>0.18</v>
      </c>
      <c r="Q142" s="402">
        <f>IF(G142&gt;0, ((N142-SUMIFS('03_BOC_TACH_VAN'!K:K, '03_BOC_TACH_VAN'!B:B, B142, '03_BOC_TACH_VAN'!D:D, "ĐỘNG_CƠ_VÀ_CẢM_BIẾN"))*(1+P142)+SUMIFS('03_BOC_TACH_VAN'!K:K, '03_BOC_TACH_VAN'!B:B, B142, '03_BOC_TACH_VAN'!D:D, "ĐỘNG_CƠ_VÀ_CẢM_BIẾN"))/G142, 0)</f>
        <v/>
      </c>
      <c r="R142" s="402">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402" t="n">
        <v>1</v>
      </c>
      <c r="H143" s="402">
        <f>SUMIF('01_BOC_TACH_ONG'!B:B, B143, '01_BOC_TACH_ONG'!K:K)</f>
        <v/>
      </c>
      <c r="I143" s="402">
        <f>SUMIF('02_BOC_TACH_CUA'!B:B, B143, '02_BOC_TACH_CUA'!K:K)</f>
        <v/>
      </c>
      <c r="J143" s="402">
        <f>SUMIF('03_BOC_TACH_VAN'!B:B, B143, '03_BOC_TACH_VAN'!K:K)</f>
        <v/>
      </c>
      <c r="K143" s="402">
        <f>SUM(H143:J143)</f>
        <v/>
      </c>
      <c r="L143" s="402">
        <f>(K143-SUMIFS('03_BOC_TACH_VAN'!K:K, '03_BOC_TACH_VAN'!B:B, B143, '03_BOC_TACH_VAN'!D:D, "ĐỘNG_CƠ_VÀ_CẢM_BIẾN"))*0.25</f>
        <v/>
      </c>
      <c r="M143" s="402">
        <f>(K143-SUMIFS('03_BOC_TACH_VAN'!K:K, '03_BOC_TACH_VAN'!B:B, B143, '03_BOC_TACH_VAN'!D:D, "ĐỘNG_CƠ_VÀ_CẢM_BIẾN"))*0.10</f>
        <v/>
      </c>
      <c r="N143" s="402">
        <f>K143+L143+M143</f>
        <v/>
      </c>
      <c r="O143" s="402">
        <f>IF(G143&gt;0, N143/G143, 0)</f>
        <v/>
      </c>
      <c r="P143" s="403" t="n">
        <v>0.18</v>
      </c>
      <c r="Q143" s="402">
        <f>IF(G143&gt;0, ((N143-SUMIFS('03_BOC_TACH_VAN'!K:K, '03_BOC_TACH_VAN'!B:B, B143, '03_BOC_TACH_VAN'!D:D, "ĐỘNG_CƠ_VÀ_CẢM_BIẾN"))*(1+P143)+SUMIFS('03_BOC_TACH_VAN'!K:K, '03_BOC_TACH_VAN'!B:B, B143, '03_BOC_TACH_VAN'!D:D, "ĐỘNG_CƠ_VÀ_CẢM_BIẾN"))/G143, 0)</f>
        <v/>
      </c>
      <c r="R143" s="402">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402" t="n">
        <v>2</v>
      </c>
      <c r="H144" s="402">
        <f>SUMIF('01_BOC_TACH_ONG'!B:B, B144, '01_BOC_TACH_ONG'!K:K)</f>
        <v/>
      </c>
      <c r="I144" s="402">
        <f>SUMIF('02_BOC_TACH_CUA'!B:B, B144, '02_BOC_TACH_CUA'!K:K)</f>
        <v/>
      </c>
      <c r="J144" s="402">
        <f>SUMIF('03_BOC_TACH_VAN'!B:B, B144, '03_BOC_TACH_VAN'!K:K)</f>
        <v/>
      </c>
      <c r="K144" s="402">
        <f>SUM(H144:J144)</f>
        <v/>
      </c>
      <c r="L144" s="402">
        <f>(K144-SUMIFS('03_BOC_TACH_VAN'!K:K, '03_BOC_TACH_VAN'!B:B, B144, '03_BOC_TACH_VAN'!D:D, "ĐỘNG_CƠ_VÀ_CẢM_BIẾN"))*0.25</f>
        <v/>
      </c>
      <c r="M144" s="402">
        <f>(K144-SUMIFS('03_BOC_TACH_VAN'!K:K, '03_BOC_TACH_VAN'!B:B, B144, '03_BOC_TACH_VAN'!D:D, "ĐỘNG_CƠ_VÀ_CẢM_BIẾN"))*0.10</f>
        <v/>
      </c>
      <c r="N144" s="402">
        <f>K144+L144+M144</f>
        <v/>
      </c>
      <c r="O144" s="402">
        <f>IF(G144&gt;0, N144/G144, 0)</f>
        <v/>
      </c>
      <c r="P144" s="403" t="n">
        <v>0.18</v>
      </c>
      <c r="Q144" s="402">
        <f>IF(G144&gt;0, ((N144-SUMIFS('03_BOC_TACH_VAN'!K:K, '03_BOC_TACH_VAN'!B:B, B144, '03_BOC_TACH_VAN'!D:D, "ĐỘNG_CƠ_VÀ_CẢM_BIẾN"))*(1+P144)+SUMIFS('03_BOC_TACH_VAN'!K:K, '03_BOC_TACH_VAN'!B:B, B144, '03_BOC_TACH_VAN'!D:D, "ĐỘNG_CƠ_VÀ_CẢM_BIẾN"))/G144, 0)</f>
        <v/>
      </c>
      <c r="R144" s="402">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402" t="n">
        <v>35</v>
      </c>
      <c r="H145" s="402">
        <f>SUMIF('01_BOC_TACH_ONG'!B:B, B145, '01_BOC_TACH_ONG'!K:K)</f>
        <v/>
      </c>
      <c r="I145" s="402">
        <f>SUMIF('02_BOC_TACH_CUA'!B:B, B145, '02_BOC_TACH_CUA'!K:K)</f>
        <v/>
      </c>
      <c r="J145" s="402">
        <f>SUMIF('03_BOC_TACH_VAN'!B:B, B145, '03_BOC_TACH_VAN'!K:K)</f>
        <v/>
      </c>
      <c r="K145" s="402">
        <f>SUM(H145:J145)</f>
        <v/>
      </c>
      <c r="L145" s="402">
        <f>(K145-SUMIFS('03_BOC_TACH_VAN'!K:K, '03_BOC_TACH_VAN'!B:B, B145, '03_BOC_TACH_VAN'!D:D, "ĐỘNG_CƠ_VÀ_CẢM_BIẾN"))*0.25</f>
        <v/>
      </c>
      <c r="M145" s="402">
        <f>(K145-SUMIFS('03_BOC_TACH_VAN'!K:K, '03_BOC_TACH_VAN'!B:B, B145, '03_BOC_TACH_VAN'!D:D, "ĐỘNG_CƠ_VÀ_CẢM_BIẾN"))*0.10</f>
        <v/>
      </c>
      <c r="N145" s="402">
        <f>K145+L145+M145</f>
        <v/>
      </c>
      <c r="O145" s="402">
        <f>IF(G145&gt;0, N145/G145, 0)</f>
        <v/>
      </c>
      <c r="P145" s="403" t="n">
        <v>0.18</v>
      </c>
      <c r="Q145" s="402">
        <f>IF(G145&gt;0, ((N145-SUMIFS('03_BOC_TACH_VAN'!K:K, '03_BOC_TACH_VAN'!B:B, B145, '03_BOC_TACH_VAN'!D:D, "ĐỘNG_CƠ_VÀ_CẢM_BIẾN"))*(1+P145)+SUMIFS('03_BOC_TACH_VAN'!K:K, '03_BOC_TACH_VAN'!B:B, B145, '03_BOC_TACH_VAN'!D:D, "ĐỘNG_CƠ_VÀ_CẢM_BIẾN"))/G145, 0)</f>
        <v/>
      </c>
      <c r="R145" s="402">
        <f>G145*Q145</f>
        <v/>
      </c>
      <c r="S145" t="inlineStr"/>
    </row>
    <row r="146">
      <c r="A146" t="n">
        <v>145</v>
      </c>
      <c r="B146" t="inlineStr">
        <is>
          <t>SW-DAMPER-145</t>
        </is>
      </c>
      <c r="C146" t="inlineStr">
        <is>
          <t>VAN GIÓ</t>
        </is>
      </c>
      <c r="D146" t="inlineStr">
        <is>
          <t>HỆ THỐNG CẤP GIÓ TƯƠI, GIÓ BÙ Cửa sổ cấp bù gió khi có cháy 1.5m2</t>
        </is>
      </c>
      <c r="E146" t="inlineStr">
        <is>
          <t>1500x1000</t>
        </is>
      </c>
      <c r="F146" t="inlineStr">
        <is>
          <t>Cái</t>
        </is>
      </c>
      <c r="G146" s="402" t="n">
        <v>3</v>
      </c>
      <c r="H146" s="402">
        <f>SUMIF('01_BOC_TACH_ONG'!B:B, B146, '01_BOC_TACH_ONG'!K:K)</f>
        <v/>
      </c>
      <c r="I146" s="402">
        <f>SUMIF('02_BOC_TACH_CUA'!B:B, B146, '02_BOC_TACH_CUA'!K:K)</f>
        <v/>
      </c>
      <c r="J146" s="402">
        <f>SUMIF('03_BOC_TACH_VAN'!B:B, B146, '03_BOC_TACH_VAN'!K:K)</f>
        <v/>
      </c>
      <c r="K146" s="402">
        <f>SUM(H146:J146)</f>
        <v/>
      </c>
      <c r="L146" s="402">
        <f>(K146-SUMIFS('03_BOC_TACH_VAN'!K:K, '03_BOC_TACH_VAN'!B:B, B146, '03_BOC_TACH_VAN'!D:D, "ĐỘNG_CƠ_VÀ_CẢM_BIẾN"))*0.25</f>
        <v/>
      </c>
      <c r="M146" s="402">
        <f>(K146-SUMIFS('03_BOC_TACH_VAN'!K:K, '03_BOC_TACH_VAN'!B:B, B146, '03_BOC_TACH_VAN'!D:D, "ĐỘNG_CƠ_VÀ_CẢM_BIẾN"))*0.10</f>
        <v/>
      </c>
      <c r="N146" s="402">
        <f>K146+L146+M146</f>
        <v/>
      </c>
      <c r="O146" s="402">
        <f>IF(G146&gt;0, N146/G146, 0)</f>
        <v/>
      </c>
      <c r="P146" s="403" t="n">
        <v>0.18</v>
      </c>
      <c r="Q146" s="402">
        <f>IF(G146&gt;0, ((N146-SUMIFS('03_BOC_TACH_VAN'!K:K, '03_BOC_TACH_VAN'!B:B, B146, '03_BOC_TACH_VAN'!D:D, "ĐỘNG_CƠ_VÀ_CẢM_BIẾN"))*(1+P146)+SUMIFS('03_BOC_TACH_VAN'!K:K, '03_BOC_TACH_VAN'!B:B, B146, '03_BOC_TACH_VAN'!D:D, "ĐỘNG_CƠ_VÀ_CẢM_BIẾN"))/G146, 0)</f>
        <v/>
      </c>
      <c r="R146" s="402">
        <f>G146*Q146</f>
        <v/>
      </c>
      <c r="S146" t="inlineStr"/>
    </row>
    <row r="147">
      <c r="A147" t="n">
        <v>146</v>
      </c>
      <c r="B147" t="inlineStr">
        <is>
          <t>SW-DAMPER-146</t>
        </is>
      </c>
      <c r="C147" t="inlineStr">
        <is>
          <t>VAN GIÓ</t>
        </is>
      </c>
      <c r="D147" t="inlineStr">
        <is>
          <t>HỆ THỐNG CẤP GIÓ TƯƠI, GIÓ BÙ Cửa sổ cấp bù gió khi có cháy 0.8m2</t>
        </is>
      </c>
      <c r="E147" t="inlineStr">
        <is>
          <t>1000x800</t>
        </is>
      </c>
      <c r="F147" t="inlineStr">
        <is>
          <t>Cái</t>
        </is>
      </c>
      <c r="G147" s="402" t="n">
        <v>4</v>
      </c>
      <c r="H147" s="402">
        <f>SUMIF('01_BOC_TACH_ONG'!B:B, B147, '01_BOC_TACH_ONG'!K:K)</f>
        <v/>
      </c>
      <c r="I147" s="402">
        <f>SUMIF('02_BOC_TACH_CUA'!B:B, B147, '02_BOC_TACH_CUA'!K:K)</f>
        <v/>
      </c>
      <c r="J147" s="402">
        <f>SUMIF('03_BOC_TACH_VAN'!B:B, B147, '03_BOC_TACH_VAN'!K:K)</f>
        <v/>
      </c>
      <c r="K147" s="402">
        <f>SUM(H147:J147)</f>
        <v/>
      </c>
      <c r="L147" s="402">
        <f>(K147-SUMIFS('03_BOC_TACH_VAN'!K:K, '03_BOC_TACH_VAN'!B:B, B147, '03_BOC_TACH_VAN'!D:D, "ĐỘNG_CƠ_VÀ_CẢM_BIẾN"))*0.25</f>
        <v/>
      </c>
      <c r="M147" s="402">
        <f>(K147-SUMIFS('03_BOC_TACH_VAN'!K:K, '03_BOC_TACH_VAN'!B:B, B147, '03_BOC_TACH_VAN'!D:D, "ĐỘNG_CƠ_VÀ_CẢM_BIẾN"))*0.10</f>
        <v/>
      </c>
      <c r="N147" s="402">
        <f>K147+L147+M147</f>
        <v/>
      </c>
      <c r="O147" s="402">
        <f>IF(G147&gt;0, N147/G147, 0)</f>
        <v/>
      </c>
      <c r="P147" s="403" t="n">
        <v>0.18</v>
      </c>
      <c r="Q147" s="402">
        <f>IF(G147&gt;0, ((N147-SUMIFS('03_BOC_TACH_VAN'!K:K, '03_BOC_TACH_VAN'!B:B, B147, '03_BOC_TACH_VAN'!D:D, "ĐỘNG_CƠ_VÀ_CẢM_BIẾN"))*(1+P147)+SUMIFS('03_BOC_TACH_VAN'!K:K, '03_BOC_TACH_VAN'!B:B, B147, '03_BOC_TACH_VAN'!D:D, "ĐỘNG_CƠ_VÀ_CẢM_BIẾN"))/G147, 0)</f>
        <v/>
      </c>
      <c r="R147" s="402">
        <f>G147*Q147</f>
        <v/>
      </c>
      <c r="S147" t="inlineStr"/>
    </row>
    <row r="148">
      <c r="A148" t="n">
        <v>147</v>
      </c>
      <c r="B148" t="inlineStr">
        <is>
          <t>SW-DAMPER-147</t>
        </is>
      </c>
      <c r="C148" t="inlineStr">
        <is>
          <t>VAN GIÓ</t>
        </is>
      </c>
      <c r="D148" t="inlineStr">
        <is>
          <t>HỆ THỐNG CẤP GIÓ TƯƠI, GIÓ BÙ Cửa sổ cấp bù gió khi có cháy 0.75m2</t>
        </is>
      </c>
      <c r="E148" t="inlineStr">
        <is>
          <t>1000x750</t>
        </is>
      </c>
      <c r="F148" t="inlineStr">
        <is>
          <t>Cái</t>
        </is>
      </c>
      <c r="G148" s="402" t="n">
        <v>1</v>
      </c>
      <c r="H148" s="402">
        <f>SUMIF('01_BOC_TACH_ONG'!B:B, B148, '01_BOC_TACH_ONG'!K:K)</f>
        <v/>
      </c>
      <c r="I148" s="402">
        <f>SUMIF('02_BOC_TACH_CUA'!B:B, B148, '02_BOC_TACH_CUA'!K:K)</f>
        <v/>
      </c>
      <c r="J148" s="402">
        <f>SUMIF('03_BOC_TACH_VAN'!B:B, B148, '03_BOC_TACH_VAN'!K:K)</f>
        <v/>
      </c>
      <c r="K148" s="402">
        <f>SUM(H148:J148)</f>
        <v/>
      </c>
      <c r="L148" s="402">
        <f>(K148-SUMIFS('03_BOC_TACH_VAN'!K:K, '03_BOC_TACH_VAN'!B:B, B148, '03_BOC_TACH_VAN'!D:D, "ĐỘNG_CƠ_VÀ_CẢM_BIẾN"))*0.25</f>
        <v/>
      </c>
      <c r="M148" s="402">
        <f>(K148-SUMIFS('03_BOC_TACH_VAN'!K:K, '03_BOC_TACH_VAN'!B:B, B148, '03_BOC_TACH_VAN'!D:D, "ĐỘNG_CƠ_VÀ_CẢM_BIẾN"))*0.10</f>
        <v/>
      </c>
      <c r="N148" s="402">
        <f>K148+L148+M148</f>
        <v/>
      </c>
      <c r="O148" s="402">
        <f>IF(G148&gt;0, N148/G148, 0)</f>
        <v/>
      </c>
      <c r="P148" s="403" t="n">
        <v>0.18</v>
      </c>
      <c r="Q148" s="402">
        <f>IF(G148&gt;0, ((N148-SUMIFS('03_BOC_TACH_VAN'!K:K, '03_BOC_TACH_VAN'!B:B, B148, '03_BOC_TACH_VAN'!D:D, "ĐỘNG_CƠ_VÀ_CẢM_BIẾN"))*(1+P148)+SUMIFS('03_BOC_TACH_VAN'!K:K, '03_BOC_TACH_VAN'!B:B, B148, '03_BOC_TACH_VAN'!D:D, "ĐỘNG_CƠ_VÀ_CẢM_BIẾN"))/G148, 0)</f>
        <v/>
      </c>
      <c r="R148" s="402">
        <f>G148*Q148</f>
        <v/>
      </c>
      <c r="S148" t="inlineStr"/>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402" t="n">
        <v>6</v>
      </c>
      <c r="H149" s="402">
        <f>SUMIF('01_BOC_TACH_ONG'!B:B, B149, '01_BOC_TACH_ONG'!K:K)</f>
        <v/>
      </c>
      <c r="I149" s="402">
        <f>SUMIF('02_BOC_TACH_CUA'!B:B, B149, '02_BOC_TACH_CUA'!K:K)</f>
        <v/>
      </c>
      <c r="J149" s="402">
        <f>SUMIF('03_BOC_TACH_VAN'!B:B, B149, '03_BOC_TACH_VAN'!K:K)</f>
        <v/>
      </c>
      <c r="K149" s="402">
        <f>SUM(H149:J149)</f>
        <v/>
      </c>
      <c r="L149" s="402">
        <f>(K149-SUMIFS('03_BOC_TACH_VAN'!K:K, '03_BOC_TACH_VAN'!B:B, B149, '03_BOC_TACH_VAN'!D:D, "ĐỘNG_CƠ_VÀ_CẢM_BIẾN"))*0.25</f>
        <v/>
      </c>
      <c r="M149" s="402">
        <f>(K149-SUMIFS('03_BOC_TACH_VAN'!K:K, '03_BOC_TACH_VAN'!B:B, B149, '03_BOC_TACH_VAN'!D:D, "ĐỘNG_CƠ_VÀ_CẢM_BIẾN"))*0.10</f>
        <v/>
      </c>
      <c r="N149" s="402">
        <f>K149+L149+M149</f>
        <v/>
      </c>
      <c r="O149" s="402">
        <f>IF(G149&gt;0, N149/G149, 0)</f>
        <v/>
      </c>
      <c r="P149" s="403" t="n">
        <v>0.18</v>
      </c>
      <c r="Q149" s="402">
        <f>IF(G149&gt;0, ((N149-SUMIFS('03_BOC_TACH_VAN'!K:K, '03_BOC_TACH_VAN'!B:B, B149, '03_BOC_TACH_VAN'!D:D, "ĐỘNG_CƠ_VÀ_CẢM_BIẾN"))*(1+P149)+SUMIFS('03_BOC_TACH_VAN'!K:K, '03_BOC_TACH_VAN'!B:B, B149, '03_BOC_TACH_VAN'!D:D, "ĐỘNG_CƠ_VÀ_CẢM_BIẾN"))/G149, 0)</f>
        <v/>
      </c>
      <c r="R149" s="402">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402" t="n">
        <v>15</v>
      </c>
      <c r="H150" s="402">
        <f>SUMIF('01_BOC_TACH_ONG'!B:B, B150, '01_BOC_TACH_ONG'!K:K)</f>
        <v/>
      </c>
      <c r="I150" s="402">
        <f>SUMIF('02_BOC_TACH_CUA'!B:B, B150, '02_BOC_TACH_CUA'!K:K)</f>
        <v/>
      </c>
      <c r="J150" s="402">
        <f>SUMIF('03_BOC_TACH_VAN'!B:B, B150, '03_BOC_TACH_VAN'!K:K)</f>
        <v/>
      </c>
      <c r="K150" s="402">
        <f>SUM(H150:J150)</f>
        <v/>
      </c>
      <c r="L150" s="402">
        <f>(K150-SUMIFS('03_BOC_TACH_VAN'!K:K, '03_BOC_TACH_VAN'!B:B, B150, '03_BOC_TACH_VAN'!D:D, "ĐỘNG_CƠ_VÀ_CẢM_BIẾN"))*0.25</f>
        <v/>
      </c>
      <c r="M150" s="402">
        <f>(K150-SUMIFS('03_BOC_TACH_VAN'!K:K, '03_BOC_TACH_VAN'!B:B, B150, '03_BOC_TACH_VAN'!D:D, "ĐỘNG_CƠ_VÀ_CẢM_BIẾN"))*0.10</f>
        <v/>
      </c>
      <c r="N150" s="402">
        <f>K150+L150+M150</f>
        <v/>
      </c>
      <c r="O150" s="402">
        <f>IF(G150&gt;0, N150/G150, 0)</f>
        <v/>
      </c>
      <c r="P150" s="403" t="n">
        <v>0.18</v>
      </c>
      <c r="Q150" s="402">
        <f>IF(G150&gt;0, ((N150-SUMIFS('03_BOC_TACH_VAN'!K:K, '03_BOC_TACH_VAN'!B:B, B150, '03_BOC_TACH_VAN'!D:D, "ĐỘNG_CƠ_VÀ_CẢM_BIẾN"))*(1+P150)+SUMIFS('03_BOC_TACH_VAN'!K:K, '03_BOC_TACH_VAN'!B:B, B150, '03_BOC_TACH_VAN'!D:D, "ĐỘNG_CƠ_VÀ_CẢM_BIẾN"))/G150, 0)</f>
        <v/>
      </c>
      <c r="R150" s="402">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402" t="n">
        <v>6</v>
      </c>
      <c r="H151" s="402">
        <f>SUMIF('01_BOC_TACH_ONG'!B:B, B151, '01_BOC_TACH_ONG'!K:K)</f>
        <v/>
      </c>
      <c r="I151" s="402">
        <f>SUMIF('02_BOC_TACH_CUA'!B:B, B151, '02_BOC_TACH_CUA'!K:K)</f>
        <v/>
      </c>
      <c r="J151" s="402">
        <f>SUMIF('03_BOC_TACH_VAN'!B:B, B151, '03_BOC_TACH_VAN'!K:K)</f>
        <v/>
      </c>
      <c r="K151" s="402">
        <f>SUM(H151:J151)</f>
        <v/>
      </c>
      <c r="L151" s="402">
        <f>(K151-SUMIFS('03_BOC_TACH_VAN'!K:K, '03_BOC_TACH_VAN'!B:B, B151, '03_BOC_TACH_VAN'!D:D, "ĐỘNG_CƠ_VÀ_CẢM_BIẾN"))*0.25</f>
        <v/>
      </c>
      <c r="M151" s="402">
        <f>(K151-SUMIFS('03_BOC_TACH_VAN'!K:K, '03_BOC_TACH_VAN'!B:B, B151, '03_BOC_TACH_VAN'!D:D, "ĐỘNG_CƠ_VÀ_CẢM_BIẾN"))*0.10</f>
        <v/>
      </c>
      <c r="N151" s="402">
        <f>K151+L151+M151</f>
        <v/>
      </c>
      <c r="O151" s="402">
        <f>IF(G151&gt;0, N151/G151, 0)</f>
        <v/>
      </c>
      <c r="P151" s="403" t="n">
        <v>0.18</v>
      </c>
      <c r="Q151" s="402">
        <f>IF(G151&gt;0, ((N151-SUMIFS('03_BOC_TACH_VAN'!K:K, '03_BOC_TACH_VAN'!B:B, B151, '03_BOC_TACH_VAN'!D:D, "ĐỘNG_CƠ_VÀ_CẢM_BIẾN"))*(1+P151)+SUMIFS('03_BOC_TACH_VAN'!K:K, '03_BOC_TACH_VAN'!B:B, B151, '03_BOC_TACH_VAN'!D:D, "ĐỘNG_CƠ_VÀ_CẢM_BIẾN"))/G151, 0)</f>
        <v/>
      </c>
      <c r="R151" s="402">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402" t="n">
        <v>8</v>
      </c>
      <c r="H152" s="402">
        <f>SUMIF('01_BOC_TACH_ONG'!B:B, B152, '01_BOC_TACH_ONG'!K:K)</f>
        <v/>
      </c>
      <c r="I152" s="402">
        <f>SUMIF('02_BOC_TACH_CUA'!B:B, B152, '02_BOC_TACH_CUA'!K:K)</f>
        <v/>
      </c>
      <c r="J152" s="402">
        <f>SUMIF('03_BOC_TACH_VAN'!B:B, B152, '03_BOC_TACH_VAN'!K:K)</f>
        <v/>
      </c>
      <c r="K152" s="402">
        <f>SUM(H152:J152)</f>
        <v/>
      </c>
      <c r="L152" s="402">
        <f>(K152-SUMIFS('03_BOC_TACH_VAN'!K:K, '03_BOC_TACH_VAN'!B:B, B152, '03_BOC_TACH_VAN'!D:D, "ĐỘNG_CƠ_VÀ_CẢM_BIẾN"))*0.25</f>
        <v/>
      </c>
      <c r="M152" s="402">
        <f>(K152-SUMIFS('03_BOC_TACH_VAN'!K:K, '03_BOC_TACH_VAN'!B:B, B152, '03_BOC_TACH_VAN'!D:D, "ĐỘNG_CƠ_VÀ_CẢM_BIẾN"))*0.10</f>
        <v/>
      </c>
      <c r="N152" s="402">
        <f>K152+L152+M152</f>
        <v/>
      </c>
      <c r="O152" s="402">
        <f>IF(G152&gt;0, N152/G152, 0)</f>
        <v/>
      </c>
      <c r="P152" s="403" t="n">
        <v>0.18</v>
      </c>
      <c r="Q152" s="402">
        <f>IF(G152&gt;0, ((N152-SUMIFS('03_BOC_TACH_VAN'!K:K, '03_BOC_TACH_VAN'!B:B, B152, '03_BOC_TACH_VAN'!D:D, "ĐỘNG_CƠ_VÀ_CẢM_BIẾN"))*(1+P152)+SUMIFS('03_BOC_TACH_VAN'!K:K, '03_BOC_TACH_VAN'!B:B, B152, '03_BOC_TACH_VAN'!D:D, "ĐỘNG_CƠ_VÀ_CẢM_BIẾN"))/G152, 0)</f>
        <v/>
      </c>
      <c r="R152" s="402">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402" t="n">
        <v>2</v>
      </c>
      <c r="H153" s="402">
        <f>SUMIF('01_BOC_TACH_ONG'!B:B, B153, '01_BOC_TACH_ONG'!K:K)</f>
        <v/>
      </c>
      <c r="I153" s="402">
        <f>SUMIF('02_BOC_TACH_CUA'!B:B, B153, '02_BOC_TACH_CUA'!K:K)</f>
        <v/>
      </c>
      <c r="J153" s="402">
        <f>SUMIF('03_BOC_TACH_VAN'!B:B, B153, '03_BOC_TACH_VAN'!K:K)</f>
        <v/>
      </c>
      <c r="K153" s="402">
        <f>SUM(H153:J153)</f>
        <v/>
      </c>
      <c r="L153" s="402">
        <f>(K153-SUMIFS('03_BOC_TACH_VAN'!K:K, '03_BOC_TACH_VAN'!B:B, B153, '03_BOC_TACH_VAN'!D:D, "ĐỘNG_CƠ_VÀ_CẢM_BIẾN"))*0.25</f>
        <v/>
      </c>
      <c r="M153" s="402">
        <f>(K153-SUMIFS('03_BOC_TACH_VAN'!K:K, '03_BOC_TACH_VAN'!B:B, B153, '03_BOC_TACH_VAN'!D:D, "ĐỘNG_CƠ_VÀ_CẢM_BIẾN"))*0.10</f>
        <v/>
      </c>
      <c r="N153" s="402">
        <f>K153+L153+M153</f>
        <v/>
      </c>
      <c r="O153" s="402">
        <f>IF(G153&gt;0, N153/G153, 0)</f>
        <v/>
      </c>
      <c r="P153" s="403" t="n">
        <v>0.18</v>
      </c>
      <c r="Q153" s="402">
        <f>IF(G153&gt;0, ((N153-SUMIFS('03_BOC_TACH_VAN'!K:K, '03_BOC_TACH_VAN'!B:B, B153, '03_BOC_TACH_VAN'!D:D, "ĐỘNG_CƠ_VÀ_CẢM_BIẾN"))*(1+P153)+SUMIFS('03_BOC_TACH_VAN'!K:K, '03_BOC_TACH_VAN'!B:B, B153, '03_BOC_TACH_VAN'!D:D, "ĐỘNG_CƠ_VÀ_CẢM_BIẾN"))/G153, 0)</f>
        <v/>
      </c>
      <c r="R153" s="402">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402" t="n">
        <v>1</v>
      </c>
      <c r="H154" s="402">
        <f>SUMIF('01_BOC_TACH_ONG'!B:B, B154, '01_BOC_TACH_ONG'!K:K)</f>
        <v/>
      </c>
      <c r="I154" s="402">
        <f>SUMIF('02_BOC_TACH_CUA'!B:B, B154, '02_BOC_TACH_CUA'!K:K)</f>
        <v/>
      </c>
      <c r="J154" s="402">
        <f>SUMIF('03_BOC_TACH_VAN'!B:B, B154, '03_BOC_TACH_VAN'!K:K)</f>
        <v/>
      </c>
      <c r="K154" s="402">
        <f>SUM(H154:J154)</f>
        <v/>
      </c>
      <c r="L154" s="402">
        <f>(K154-SUMIFS('03_BOC_TACH_VAN'!K:K, '03_BOC_TACH_VAN'!B:B, B154, '03_BOC_TACH_VAN'!D:D, "ĐỘNG_CƠ_VÀ_CẢM_BIẾN"))*0.25</f>
        <v/>
      </c>
      <c r="M154" s="402">
        <f>(K154-SUMIFS('03_BOC_TACH_VAN'!K:K, '03_BOC_TACH_VAN'!B:B, B154, '03_BOC_TACH_VAN'!D:D, "ĐỘNG_CƠ_VÀ_CẢM_BIẾN"))*0.10</f>
        <v/>
      </c>
      <c r="N154" s="402">
        <f>K154+L154+M154</f>
        <v/>
      </c>
      <c r="O154" s="402">
        <f>IF(G154&gt;0, N154/G154, 0)</f>
        <v/>
      </c>
      <c r="P154" s="403" t="n">
        <v>0.18</v>
      </c>
      <c r="Q154" s="402">
        <f>IF(G154&gt;0, ((N154-SUMIFS('03_BOC_TACH_VAN'!K:K, '03_BOC_TACH_VAN'!B:B, B154, '03_BOC_TACH_VAN'!D:D, "ĐỘNG_CƠ_VÀ_CẢM_BIẾN"))*(1+P154)+SUMIFS('03_BOC_TACH_VAN'!K:K, '03_BOC_TACH_VAN'!B:B, B154, '03_BOC_TACH_VAN'!D:D, "ĐỘNG_CƠ_VÀ_CẢM_BIẾN"))/G154, 0)</f>
        <v/>
      </c>
      <c r="R154" s="402">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402" t="n">
        <v>2</v>
      </c>
      <c r="H155" s="402">
        <f>SUMIF('01_BOC_TACH_ONG'!B:B, B155, '01_BOC_TACH_ONG'!K:K)</f>
        <v/>
      </c>
      <c r="I155" s="402">
        <f>SUMIF('02_BOC_TACH_CUA'!B:B, B155, '02_BOC_TACH_CUA'!K:K)</f>
        <v/>
      </c>
      <c r="J155" s="402">
        <f>SUMIF('03_BOC_TACH_VAN'!B:B, B155, '03_BOC_TACH_VAN'!K:K)</f>
        <v/>
      </c>
      <c r="K155" s="402">
        <f>SUM(H155:J155)</f>
        <v/>
      </c>
      <c r="L155" s="402">
        <f>(K155-SUMIFS('03_BOC_TACH_VAN'!K:K, '03_BOC_TACH_VAN'!B:B, B155, '03_BOC_TACH_VAN'!D:D, "ĐỘNG_CƠ_VÀ_CẢM_BIẾN"))*0.25</f>
        <v/>
      </c>
      <c r="M155" s="402">
        <f>(K155-SUMIFS('03_BOC_TACH_VAN'!K:K, '03_BOC_TACH_VAN'!B:B, B155, '03_BOC_TACH_VAN'!D:D, "ĐỘNG_CƠ_VÀ_CẢM_BIẾN"))*0.10</f>
        <v/>
      </c>
      <c r="N155" s="402">
        <f>K155+L155+M155</f>
        <v/>
      </c>
      <c r="O155" s="402">
        <f>IF(G155&gt;0, N155/G155, 0)</f>
        <v/>
      </c>
      <c r="P155" s="403" t="n">
        <v>0.18</v>
      </c>
      <c r="Q155" s="402">
        <f>IF(G155&gt;0, ((N155-SUMIFS('03_BOC_TACH_VAN'!K:K, '03_BOC_TACH_VAN'!B:B, B155, '03_BOC_TACH_VAN'!D:D, "ĐỘNG_CƠ_VÀ_CẢM_BIẾN"))*(1+P155)+SUMIFS('03_BOC_TACH_VAN'!K:K, '03_BOC_TACH_VAN'!B:B, B155, '03_BOC_TACH_VAN'!D:D, "ĐỘNG_CƠ_VÀ_CẢM_BIẾN"))/G155, 0)</f>
        <v/>
      </c>
      <c r="R155" s="402">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402" t="n">
        <v>2</v>
      </c>
      <c r="H156" s="402">
        <f>SUMIF('01_BOC_TACH_ONG'!B:B, B156, '01_BOC_TACH_ONG'!K:K)</f>
        <v/>
      </c>
      <c r="I156" s="402">
        <f>SUMIF('02_BOC_TACH_CUA'!B:B, B156, '02_BOC_TACH_CUA'!K:K)</f>
        <v/>
      </c>
      <c r="J156" s="402">
        <f>SUMIF('03_BOC_TACH_VAN'!B:B, B156, '03_BOC_TACH_VAN'!K:K)</f>
        <v/>
      </c>
      <c r="K156" s="402">
        <f>SUM(H156:J156)</f>
        <v/>
      </c>
      <c r="L156" s="402">
        <f>(K156-SUMIFS('03_BOC_TACH_VAN'!K:K, '03_BOC_TACH_VAN'!B:B, B156, '03_BOC_TACH_VAN'!D:D, "ĐỘNG_CƠ_VÀ_CẢM_BIẾN"))*0.25</f>
        <v/>
      </c>
      <c r="M156" s="402">
        <f>(K156-SUMIFS('03_BOC_TACH_VAN'!K:K, '03_BOC_TACH_VAN'!B:B, B156, '03_BOC_TACH_VAN'!D:D, "ĐỘNG_CƠ_VÀ_CẢM_BIẾN"))*0.10</f>
        <v/>
      </c>
      <c r="N156" s="402">
        <f>K156+L156+M156</f>
        <v/>
      </c>
      <c r="O156" s="402">
        <f>IF(G156&gt;0, N156/G156, 0)</f>
        <v/>
      </c>
      <c r="P156" s="403" t="n">
        <v>0.18</v>
      </c>
      <c r="Q156" s="402">
        <f>IF(G156&gt;0, ((N156-SUMIFS('03_BOC_TACH_VAN'!K:K, '03_BOC_TACH_VAN'!B:B, B156, '03_BOC_TACH_VAN'!D:D, "ĐỘNG_CƠ_VÀ_CẢM_BIẾN"))*(1+P156)+SUMIFS('03_BOC_TACH_VAN'!K:K, '03_BOC_TACH_VAN'!B:B, B156, '03_BOC_TACH_VAN'!D:D, "ĐỘNG_CƠ_VÀ_CẢM_BIẾN"))/G156, 0)</f>
        <v/>
      </c>
      <c r="R156" s="402">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402" t="n">
        <v>5</v>
      </c>
      <c r="H157" s="402">
        <f>SUMIF('01_BOC_TACH_ONG'!B:B, B157, '01_BOC_TACH_ONG'!K:K)</f>
        <v/>
      </c>
      <c r="I157" s="402">
        <f>SUMIF('02_BOC_TACH_CUA'!B:B, B157, '02_BOC_TACH_CUA'!K:K)</f>
        <v/>
      </c>
      <c r="J157" s="402">
        <f>SUMIF('03_BOC_TACH_VAN'!B:B, B157, '03_BOC_TACH_VAN'!K:K)</f>
        <v/>
      </c>
      <c r="K157" s="402">
        <f>SUM(H157:J157)</f>
        <v/>
      </c>
      <c r="L157" s="402">
        <f>(K157-SUMIFS('03_BOC_TACH_VAN'!K:K, '03_BOC_TACH_VAN'!B:B, B157, '03_BOC_TACH_VAN'!D:D, "ĐỘNG_CƠ_VÀ_CẢM_BIẾN"))*0.25</f>
        <v/>
      </c>
      <c r="M157" s="402">
        <f>(K157-SUMIFS('03_BOC_TACH_VAN'!K:K, '03_BOC_TACH_VAN'!B:B, B157, '03_BOC_TACH_VAN'!D:D, "ĐỘNG_CƠ_VÀ_CẢM_BIẾN"))*0.10</f>
        <v/>
      </c>
      <c r="N157" s="402">
        <f>K157+L157+M157</f>
        <v/>
      </c>
      <c r="O157" s="402">
        <f>IF(G157&gt;0, N157/G157, 0)</f>
        <v/>
      </c>
      <c r="P157" s="403" t="n">
        <v>0.18</v>
      </c>
      <c r="Q157" s="402">
        <f>IF(G157&gt;0, ((N157-SUMIFS('03_BOC_TACH_VAN'!K:K, '03_BOC_TACH_VAN'!B:B, B157, '03_BOC_TACH_VAN'!D:D, "ĐỘNG_CƠ_VÀ_CẢM_BIẾN"))*(1+P157)+SUMIFS('03_BOC_TACH_VAN'!K:K, '03_BOC_TACH_VAN'!B:B, B157, '03_BOC_TACH_VAN'!D:D, "ĐỘNG_CƠ_VÀ_CẢM_BIẾN"))/G157, 0)</f>
        <v/>
      </c>
      <c r="R157" s="402">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402" t="n">
        <v>1</v>
      </c>
      <c r="H158" s="402">
        <f>SUMIF('01_BOC_TACH_ONG'!B:B, B158, '01_BOC_TACH_ONG'!K:K)</f>
        <v/>
      </c>
      <c r="I158" s="402">
        <f>SUMIF('02_BOC_TACH_CUA'!B:B, B158, '02_BOC_TACH_CUA'!K:K)</f>
        <v/>
      </c>
      <c r="J158" s="402">
        <f>SUMIF('03_BOC_TACH_VAN'!B:B, B158, '03_BOC_TACH_VAN'!K:K)</f>
        <v/>
      </c>
      <c r="K158" s="402">
        <f>SUM(H158:J158)</f>
        <v/>
      </c>
      <c r="L158" s="402">
        <f>(K158-SUMIFS('03_BOC_TACH_VAN'!K:K, '03_BOC_TACH_VAN'!B:B, B158, '03_BOC_TACH_VAN'!D:D, "ĐỘNG_CƠ_VÀ_CẢM_BIẾN"))*0.25</f>
        <v/>
      </c>
      <c r="M158" s="402">
        <f>(K158-SUMIFS('03_BOC_TACH_VAN'!K:K, '03_BOC_TACH_VAN'!B:B, B158, '03_BOC_TACH_VAN'!D:D, "ĐỘNG_CƠ_VÀ_CẢM_BIẾN"))*0.10</f>
        <v/>
      </c>
      <c r="N158" s="402">
        <f>K158+L158+M158</f>
        <v/>
      </c>
      <c r="O158" s="402">
        <f>IF(G158&gt;0, N158/G158, 0)</f>
        <v/>
      </c>
      <c r="P158" s="403" t="n">
        <v>0.18</v>
      </c>
      <c r="Q158" s="402">
        <f>IF(G158&gt;0, ((N158-SUMIFS('03_BOC_TACH_VAN'!K:K, '03_BOC_TACH_VAN'!B:B, B158, '03_BOC_TACH_VAN'!D:D, "ĐỘNG_CƠ_VÀ_CẢM_BIẾN"))*(1+P158)+SUMIFS('03_BOC_TACH_VAN'!K:K, '03_BOC_TACH_VAN'!B:B, B158, '03_BOC_TACH_VAN'!D:D, "ĐỘNG_CƠ_VÀ_CẢM_BIẾN"))/G158, 0)</f>
        <v/>
      </c>
      <c r="R158" s="402">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402" t="n">
        <v>2259.95</v>
      </c>
      <c r="H159" s="402">
        <f>SUMIF('01_BOC_TACH_ONG'!B:B, B159, '01_BOC_TACH_ONG'!K:K)</f>
        <v/>
      </c>
      <c r="I159" s="402">
        <f>SUMIF('02_BOC_TACH_CUA'!B:B, B159, '02_BOC_TACH_CUA'!K:K)</f>
        <v/>
      </c>
      <c r="J159" s="402">
        <f>SUMIF('03_BOC_TACH_VAN'!B:B, B159, '03_BOC_TACH_VAN'!K:K)</f>
        <v/>
      </c>
      <c r="K159" s="402">
        <f>SUM(H159:J159)</f>
        <v/>
      </c>
      <c r="L159" s="402">
        <f>(K159-SUMIFS('03_BOC_TACH_VAN'!K:K, '03_BOC_TACH_VAN'!B:B, B159, '03_BOC_TACH_VAN'!D:D, "ĐỘNG_CƠ_VÀ_CẢM_BIẾN"))*0.25</f>
        <v/>
      </c>
      <c r="M159" s="402">
        <f>(K159-SUMIFS('03_BOC_TACH_VAN'!K:K, '03_BOC_TACH_VAN'!B:B, B159, '03_BOC_TACH_VAN'!D:D, "ĐỘNG_CƠ_VÀ_CẢM_BIẾN"))*0.10</f>
        <v/>
      </c>
      <c r="N159" s="402">
        <f>K159+L159+M159</f>
        <v/>
      </c>
      <c r="O159" s="402">
        <f>IF(G159&gt;0, N159/G159, 0)</f>
        <v/>
      </c>
      <c r="P159" s="403" t="n">
        <v>0.18</v>
      </c>
      <c r="Q159" s="402">
        <f>IF(G159&gt;0, ((N159-SUMIFS('03_BOC_TACH_VAN'!K:K, '03_BOC_TACH_VAN'!B:B, B159, '03_BOC_TACH_VAN'!D:D, "ĐỘNG_CƠ_VÀ_CẢM_BIẾN"))*(1+P159)+SUMIFS('03_BOC_TACH_VAN'!K:K, '03_BOC_TACH_VAN'!B:B, B159, '03_BOC_TACH_VAN'!D:D, "ĐỘNG_CƠ_VÀ_CẢM_BIẾN"))/G159, 0)</f>
        <v/>
      </c>
      <c r="R159" s="402">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402" t="n">
        <v>677.3</v>
      </c>
      <c r="H160" s="402">
        <f>SUMIF('01_BOC_TACH_ONG'!B:B, B160, '01_BOC_TACH_ONG'!K:K)</f>
        <v/>
      </c>
      <c r="I160" s="402">
        <f>SUMIF('02_BOC_TACH_CUA'!B:B, B160, '02_BOC_TACH_CUA'!K:K)</f>
        <v/>
      </c>
      <c r="J160" s="402">
        <f>SUMIF('03_BOC_TACH_VAN'!B:B, B160, '03_BOC_TACH_VAN'!K:K)</f>
        <v/>
      </c>
      <c r="K160" s="402">
        <f>SUM(H160:J160)</f>
        <v/>
      </c>
      <c r="L160" s="402">
        <f>(K160-SUMIFS('03_BOC_TACH_VAN'!K:K, '03_BOC_TACH_VAN'!B:B, B160, '03_BOC_TACH_VAN'!D:D, "ĐỘNG_CƠ_VÀ_CẢM_BIẾN"))*0.25</f>
        <v/>
      </c>
      <c r="M160" s="402">
        <f>(K160-SUMIFS('03_BOC_TACH_VAN'!K:K, '03_BOC_TACH_VAN'!B:B, B160, '03_BOC_TACH_VAN'!D:D, "ĐỘNG_CƠ_VÀ_CẢM_BIẾN"))*0.10</f>
        <v/>
      </c>
      <c r="N160" s="402">
        <f>K160+L160+M160</f>
        <v/>
      </c>
      <c r="O160" s="402">
        <f>IF(G160&gt;0, N160/G160, 0)</f>
        <v/>
      </c>
      <c r="P160" s="403" t="n">
        <v>0.18</v>
      </c>
      <c r="Q160" s="402">
        <f>IF(G160&gt;0, ((N160-SUMIFS('03_BOC_TACH_VAN'!K:K, '03_BOC_TACH_VAN'!B:B, B160, '03_BOC_TACH_VAN'!D:D, "ĐỘNG_CƠ_VÀ_CẢM_BIẾN"))*(1+P160)+SUMIFS('03_BOC_TACH_VAN'!K:K, '03_BOC_TACH_VAN'!B:B, B160, '03_BOC_TACH_VAN'!D:D, "ĐỘNG_CƠ_VÀ_CẢM_BIẾN"))/G160, 0)</f>
        <v/>
      </c>
      <c r="R160" s="402">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402" t="n">
        <v>320.75</v>
      </c>
      <c r="H161" s="402">
        <f>SUMIF('01_BOC_TACH_ONG'!B:B, B161, '01_BOC_TACH_ONG'!K:K)</f>
        <v/>
      </c>
      <c r="I161" s="402">
        <f>SUMIF('02_BOC_TACH_CUA'!B:B, B161, '02_BOC_TACH_CUA'!K:K)</f>
        <v/>
      </c>
      <c r="J161" s="402">
        <f>SUMIF('03_BOC_TACH_VAN'!B:B, B161, '03_BOC_TACH_VAN'!K:K)</f>
        <v/>
      </c>
      <c r="K161" s="402">
        <f>SUM(H161:J161)</f>
        <v/>
      </c>
      <c r="L161" s="402">
        <f>(K161-SUMIFS('03_BOC_TACH_VAN'!K:K, '03_BOC_TACH_VAN'!B:B, B161, '03_BOC_TACH_VAN'!D:D, "ĐỘNG_CƠ_VÀ_CẢM_BIẾN"))*0.25</f>
        <v/>
      </c>
      <c r="M161" s="402">
        <f>(K161-SUMIFS('03_BOC_TACH_VAN'!K:K, '03_BOC_TACH_VAN'!B:B, B161, '03_BOC_TACH_VAN'!D:D, "ĐỘNG_CƠ_VÀ_CẢM_BIẾN"))*0.10</f>
        <v/>
      </c>
      <c r="N161" s="402">
        <f>K161+L161+M161</f>
        <v/>
      </c>
      <c r="O161" s="402">
        <f>IF(G161&gt;0, N161/G161, 0)</f>
        <v/>
      </c>
      <c r="P161" s="403" t="n">
        <v>0.18</v>
      </c>
      <c r="Q161" s="402">
        <f>IF(G161&gt;0, ((N161-SUMIFS('03_BOC_TACH_VAN'!K:K, '03_BOC_TACH_VAN'!B:B, B161, '03_BOC_TACH_VAN'!D:D, "ĐỘNG_CƠ_VÀ_CẢM_BIẾN"))*(1+P161)+SUMIFS('03_BOC_TACH_VAN'!K:K, '03_BOC_TACH_VAN'!B:B, B161, '03_BOC_TACH_VAN'!D:D, "ĐỘNG_CƠ_VÀ_CẢM_BIẾN"))/G161, 0)</f>
        <v/>
      </c>
      <c r="R161" s="402">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402" t="n">
        <v>3375</v>
      </c>
      <c r="H162" s="402">
        <f>SUMIF('01_BOC_TACH_ONG'!B:B, B162, '01_BOC_TACH_ONG'!K:K)</f>
        <v/>
      </c>
      <c r="I162" s="402">
        <f>SUMIF('02_BOC_TACH_CUA'!B:B, B162, '02_BOC_TACH_CUA'!K:K)</f>
        <v/>
      </c>
      <c r="J162" s="402">
        <f>SUMIF('03_BOC_TACH_VAN'!B:B, B162, '03_BOC_TACH_VAN'!K:K)</f>
        <v/>
      </c>
      <c r="K162" s="402">
        <f>SUM(H162:J162)</f>
        <v/>
      </c>
      <c r="L162" s="402">
        <f>(K162-SUMIFS('03_BOC_TACH_VAN'!K:K, '03_BOC_TACH_VAN'!B:B, B162, '03_BOC_TACH_VAN'!D:D, "ĐỘNG_CƠ_VÀ_CẢM_BIẾN"))*0.25</f>
        <v/>
      </c>
      <c r="M162" s="402">
        <f>(K162-SUMIFS('03_BOC_TACH_VAN'!K:K, '03_BOC_TACH_VAN'!B:B, B162, '03_BOC_TACH_VAN'!D:D, "ĐỘNG_CƠ_VÀ_CẢM_BIẾN"))*0.10</f>
        <v/>
      </c>
      <c r="N162" s="402">
        <f>K162+L162+M162</f>
        <v/>
      </c>
      <c r="O162" s="402">
        <f>IF(G162&gt;0, N162/G162, 0)</f>
        <v/>
      </c>
      <c r="P162" s="403" t="n">
        <v>0.18</v>
      </c>
      <c r="Q162" s="402">
        <f>IF(G162&gt;0, ((N162-SUMIFS('03_BOC_TACH_VAN'!K:K, '03_BOC_TACH_VAN'!B:B, B162, '03_BOC_TACH_VAN'!D:D, "ĐỘNG_CƠ_VÀ_CẢM_BIẾN"))*(1+P162)+SUMIFS('03_BOC_TACH_VAN'!K:K, '03_BOC_TACH_VAN'!B:B, B162, '03_BOC_TACH_VAN'!D:D, "ĐỘNG_CƠ_VÀ_CẢM_BIẾN"))/G162, 0)</f>
        <v/>
      </c>
      <c r="R162" s="402">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402" t="n">
        <v>136</v>
      </c>
      <c r="H163" s="402">
        <f>SUMIF('01_BOC_TACH_ONG'!B:B, B163, '01_BOC_TACH_ONG'!K:K)</f>
        <v/>
      </c>
      <c r="I163" s="402">
        <f>SUMIF('02_BOC_TACH_CUA'!B:B, B163, '02_BOC_TACH_CUA'!K:K)</f>
        <v/>
      </c>
      <c r="J163" s="402">
        <f>SUMIF('03_BOC_TACH_VAN'!B:B, B163, '03_BOC_TACH_VAN'!K:K)</f>
        <v/>
      </c>
      <c r="K163" s="402">
        <f>SUM(H163:J163)</f>
        <v/>
      </c>
      <c r="L163" s="402">
        <f>(K163-SUMIFS('03_BOC_TACH_VAN'!K:K, '03_BOC_TACH_VAN'!B:B, B163, '03_BOC_TACH_VAN'!D:D, "ĐỘNG_CƠ_VÀ_CẢM_BIẾN"))*0.25</f>
        <v/>
      </c>
      <c r="M163" s="402">
        <f>(K163-SUMIFS('03_BOC_TACH_VAN'!K:K, '03_BOC_TACH_VAN'!B:B, B163, '03_BOC_TACH_VAN'!D:D, "ĐỘNG_CƠ_VÀ_CẢM_BIẾN"))*0.10</f>
        <v/>
      </c>
      <c r="N163" s="402">
        <f>K163+L163+M163</f>
        <v/>
      </c>
      <c r="O163" s="402">
        <f>IF(G163&gt;0, N163/G163, 0)</f>
        <v/>
      </c>
      <c r="P163" s="403" t="n">
        <v>0.18</v>
      </c>
      <c r="Q163" s="402">
        <f>IF(G163&gt;0, ((N163-SUMIFS('03_BOC_TACH_VAN'!K:K, '03_BOC_TACH_VAN'!B:B, B163, '03_BOC_TACH_VAN'!D:D, "ĐỘNG_CƠ_VÀ_CẢM_BIẾN"))*(1+P163)+SUMIFS('03_BOC_TACH_VAN'!K:K, '03_BOC_TACH_VAN'!B:B, B163, '03_BOC_TACH_VAN'!D:D, "ĐỘNG_CƠ_VÀ_CẢM_BIẾN"))/G163, 0)</f>
        <v/>
      </c>
      <c r="R163" s="402">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402" t="n">
        <v>364.55</v>
      </c>
      <c r="H164" s="402">
        <f>SUMIF('01_BOC_TACH_ONG'!B:B, B164, '01_BOC_TACH_ONG'!K:K)</f>
        <v/>
      </c>
      <c r="I164" s="402">
        <f>SUMIF('02_BOC_TACH_CUA'!B:B, B164, '02_BOC_TACH_CUA'!K:K)</f>
        <v/>
      </c>
      <c r="J164" s="402">
        <f>SUMIF('03_BOC_TACH_VAN'!B:B, B164, '03_BOC_TACH_VAN'!K:K)</f>
        <v/>
      </c>
      <c r="K164" s="402">
        <f>SUM(H164:J164)</f>
        <v/>
      </c>
      <c r="L164" s="402">
        <f>(K164-SUMIFS('03_BOC_TACH_VAN'!K:K, '03_BOC_TACH_VAN'!B:B, B164, '03_BOC_TACH_VAN'!D:D, "ĐỘNG_CƠ_VÀ_CẢM_BIẾN"))*0.00</f>
        <v/>
      </c>
      <c r="M164" s="402">
        <f>(K164-SUMIFS('03_BOC_TACH_VAN'!K:K, '03_BOC_TACH_VAN'!B:B, B164, '03_BOC_TACH_VAN'!D:D, "ĐỘNG_CƠ_VÀ_CẢM_BIẾN"))*0.02</f>
        <v/>
      </c>
      <c r="N164" s="402">
        <f>K164+L164+M164</f>
        <v/>
      </c>
      <c r="O164" s="402">
        <f>IF(G164&gt;0, N164/G164, 0)</f>
        <v/>
      </c>
      <c r="P164" s="403" t="n">
        <v>0.1</v>
      </c>
      <c r="Q164" s="402">
        <f>IF(G164&gt;0, ((N164-SUMIFS('03_BOC_TACH_VAN'!K:K, '03_BOC_TACH_VAN'!B:B, B164, '03_BOC_TACH_VAN'!D:D, "ĐỘNG_CƠ_VÀ_CẢM_BIẾN"))*(1+P164)+SUMIFS('03_BOC_TACH_VAN'!K:K, '03_BOC_TACH_VAN'!B:B, B164, '03_BOC_TACH_VAN'!D:D, "ĐỘNG_CƠ_VÀ_CẢM_BIẾN"))/G164, 0)</f>
        <v/>
      </c>
      <c r="R164" s="402">
        <f>G164*Q164</f>
        <v/>
      </c>
      <c r="S164" t="inlineStr">
        <is>
          <t>Hàng thương mại (Lấy nguyên giá BOQ)</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402" t="n">
        <v>3334</v>
      </c>
      <c r="H165" s="402">
        <f>SUMIF('01_BOC_TACH_ONG'!B:B, B165, '01_BOC_TACH_ONG'!K:K)</f>
        <v/>
      </c>
      <c r="I165" s="402">
        <f>SUMIF('02_BOC_TACH_CUA'!B:B, B165, '02_BOC_TACH_CUA'!K:K)</f>
        <v/>
      </c>
      <c r="J165" s="402">
        <f>SUMIF('03_BOC_TACH_VAN'!B:B, B165, '03_BOC_TACH_VAN'!K:K)</f>
        <v/>
      </c>
      <c r="K165" s="402">
        <f>SUM(H165:J165)</f>
        <v/>
      </c>
      <c r="L165" s="402">
        <f>(K165-SUMIFS('03_BOC_TACH_VAN'!K:K, '03_BOC_TACH_VAN'!B:B, B165, '03_BOC_TACH_VAN'!D:D, "ĐỘNG_CƠ_VÀ_CẢM_BIẾN"))*0.00</f>
        <v/>
      </c>
      <c r="M165" s="402">
        <f>(K165-SUMIFS('03_BOC_TACH_VAN'!K:K, '03_BOC_TACH_VAN'!B:B, B165, '03_BOC_TACH_VAN'!D:D, "ĐỘNG_CƠ_VÀ_CẢM_BIẾN"))*0.02</f>
        <v/>
      </c>
      <c r="N165" s="402">
        <f>K165+L165+M165</f>
        <v/>
      </c>
      <c r="O165" s="402">
        <f>IF(G165&gt;0, N165/G165, 0)</f>
        <v/>
      </c>
      <c r="P165" s="403" t="n">
        <v>0.1</v>
      </c>
      <c r="Q165" s="402">
        <f>IF(G165&gt;0, ((N165-SUMIFS('03_BOC_TACH_VAN'!K:K, '03_BOC_TACH_VAN'!B:B, B165, '03_BOC_TACH_VAN'!D:D, "ĐỘNG_CƠ_VÀ_CẢM_BIẾN"))*(1+P165)+SUMIFS('03_BOC_TACH_VAN'!K:K, '03_BOC_TACH_VAN'!B:B, B165, '03_BOC_TACH_VAN'!D:D, "ĐỘNG_CƠ_VÀ_CẢM_BIẾN"))/G165, 0)</f>
        <v/>
      </c>
      <c r="R165" s="402">
        <f>G165*Q165</f>
        <v/>
      </c>
      <c r="S165" t="inlineStr">
        <is>
          <t>Hàng thương mại (Lấy nguyên giá BOQ)</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402" t="n">
        <v>109.365</v>
      </c>
      <c r="H166" s="402">
        <f>SUMIF('01_BOC_TACH_ONG'!B:B, B166, '01_BOC_TACH_ONG'!K:K)</f>
        <v/>
      </c>
      <c r="I166" s="402">
        <f>SUMIF('02_BOC_TACH_CUA'!B:B, B166, '02_BOC_TACH_CUA'!K:K)</f>
        <v/>
      </c>
      <c r="J166" s="402">
        <f>SUMIF('03_BOC_TACH_VAN'!B:B, B166, '03_BOC_TACH_VAN'!K:K)</f>
        <v/>
      </c>
      <c r="K166" s="402">
        <f>SUM(H166:J166)</f>
        <v/>
      </c>
      <c r="L166" s="402">
        <f>(K166-SUMIFS('03_BOC_TACH_VAN'!K:K, '03_BOC_TACH_VAN'!B:B, B166, '03_BOC_TACH_VAN'!D:D, "ĐỘNG_CƠ_VÀ_CẢM_BIẾN"))*0.00</f>
        <v/>
      </c>
      <c r="M166" s="402">
        <f>(K166-SUMIFS('03_BOC_TACH_VAN'!K:K, '03_BOC_TACH_VAN'!B:B, B166, '03_BOC_TACH_VAN'!D:D, "ĐỘNG_CƠ_VÀ_CẢM_BIẾN"))*0.02</f>
        <v/>
      </c>
      <c r="N166" s="402">
        <f>K166+L166+M166</f>
        <v/>
      </c>
      <c r="O166" s="402">
        <f>IF(G166&gt;0, N166/G166, 0)</f>
        <v/>
      </c>
      <c r="P166" s="403" t="n">
        <v>0.1</v>
      </c>
      <c r="Q166" s="402">
        <f>IF(G166&gt;0, ((N166-SUMIFS('03_BOC_TACH_VAN'!K:K, '03_BOC_TACH_VAN'!B:B, B166, '03_BOC_TACH_VAN'!D:D, "ĐỘNG_CƠ_VÀ_CẢM_BIẾN"))*(1+P166)+SUMIFS('03_BOC_TACH_VAN'!K:K, '03_BOC_TACH_VAN'!B:B, B166, '03_BOC_TACH_VAN'!D:D, "ĐỘNG_CƠ_VÀ_CẢM_BIẾN"))/G166, 0)</f>
        <v/>
      </c>
      <c r="R166" s="402">
        <f>G166*Q166</f>
        <v/>
      </c>
      <c r="S166" t="inlineStr">
        <is>
          <t>Hàng thương mại (Lấy nguyên giá BOQ)</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402" t="n">
        <v>1</v>
      </c>
      <c r="H167" s="402">
        <f>SUMIF('01_BOC_TACH_ONG'!B:B, B167, '01_BOC_TACH_ONG'!K:K)</f>
        <v/>
      </c>
      <c r="I167" s="402">
        <f>SUMIF('02_BOC_TACH_CUA'!B:B, B167, '02_BOC_TACH_CUA'!K:K)</f>
        <v/>
      </c>
      <c r="J167" s="402">
        <f>SUMIF('03_BOC_TACH_VAN'!B:B, B167, '03_BOC_TACH_VAN'!K:K)</f>
        <v/>
      </c>
      <c r="K167" s="402">
        <f>SUM(H167:J167)</f>
        <v/>
      </c>
      <c r="L167" s="402">
        <f>(K167-SUMIFS('03_BOC_TACH_VAN'!K:K, '03_BOC_TACH_VAN'!B:B, B167, '03_BOC_TACH_VAN'!D:D, "ĐỘNG_CƠ_VÀ_CẢM_BIẾN"))*0.00</f>
        <v/>
      </c>
      <c r="M167" s="402">
        <f>(K167-SUMIFS('03_BOC_TACH_VAN'!K:K, '03_BOC_TACH_VAN'!B:B, B167, '03_BOC_TACH_VAN'!D:D, "ĐỘNG_CƠ_VÀ_CẢM_BIẾN"))*0.02</f>
        <v/>
      </c>
      <c r="N167" s="402">
        <f>K167+L167+M167</f>
        <v/>
      </c>
      <c r="O167" s="402">
        <f>IF(G167&gt;0, N167/G167, 0)</f>
        <v/>
      </c>
      <c r="P167" s="403" t="n">
        <v>0.1</v>
      </c>
      <c r="Q167" s="402">
        <f>IF(G167&gt;0, ((N167-SUMIFS('03_BOC_TACH_VAN'!K:K, '03_BOC_TACH_VAN'!B:B, B167, '03_BOC_TACH_VAN'!D:D, "ĐỘNG_CƠ_VÀ_CẢM_BIẾN"))*(1+P167)+SUMIFS('03_BOC_TACH_VAN'!K:K, '03_BOC_TACH_VAN'!B:B, B167, '03_BOC_TACH_VAN'!D:D, "ĐỘNG_CƠ_VÀ_CẢM_BIẾN"))/G167, 0)</f>
        <v/>
      </c>
      <c r="R167" s="402">
        <f>G167*Q167</f>
        <v/>
      </c>
      <c r="S167" t="inlineStr">
        <is>
          <t>Hàng thương mại (Lấy nguyên giá BOQ)</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402" t="n">
        <v>62</v>
      </c>
      <c r="H168" s="402">
        <f>SUMIF('01_BOC_TACH_ONG'!B:B, B168, '01_BOC_TACH_ONG'!K:K)</f>
        <v/>
      </c>
      <c r="I168" s="402">
        <f>SUMIF('02_BOC_TACH_CUA'!B:B, B168, '02_BOC_TACH_CUA'!K:K)</f>
        <v/>
      </c>
      <c r="J168" s="402">
        <f>SUMIF('03_BOC_TACH_VAN'!B:B, B168, '03_BOC_TACH_VAN'!K:K)</f>
        <v/>
      </c>
      <c r="K168" s="402">
        <f>SUM(H168:J168)</f>
        <v/>
      </c>
      <c r="L168" s="402">
        <f>(K168-SUMIFS('03_BOC_TACH_VAN'!K:K, '03_BOC_TACH_VAN'!B:B, B168, '03_BOC_TACH_VAN'!D:D, "ĐỘNG_CƠ_VÀ_CẢM_BIẾN"))*0.25</f>
        <v/>
      </c>
      <c r="M168" s="402">
        <f>(K168-SUMIFS('03_BOC_TACH_VAN'!K:K, '03_BOC_TACH_VAN'!B:B, B168, '03_BOC_TACH_VAN'!D:D, "ĐỘNG_CƠ_VÀ_CẢM_BIẾN"))*0.10</f>
        <v/>
      </c>
      <c r="N168" s="402">
        <f>K168+L168+M168</f>
        <v/>
      </c>
      <c r="O168" s="402">
        <f>IF(G168&gt;0, N168/G168, 0)</f>
        <v/>
      </c>
      <c r="P168" s="403" t="n">
        <v>0.18</v>
      </c>
      <c r="Q168" s="402">
        <f>IF(G168&gt;0, ((N168-SUMIFS('03_BOC_TACH_VAN'!K:K, '03_BOC_TACH_VAN'!B:B, B168, '03_BOC_TACH_VAN'!D:D, "ĐỘNG_CƠ_VÀ_CẢM_BIẾN"))*(1+P168)+SUMIFS('03_BOC_TACH_VAN'!K:K, '03_BOC_TACH_VAN'!B:B, B168, '03_BOC_TACH_VAN'!D:D, "ĐỘNG_CƠ_VÀ_CẢM_BIẾN"))/G168, 0)</f>
        <v/>
      </c>
      <c r="R168" s="402">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402" t="n">
        <v>2</v>
      </c>
      <c r="H169" s="402">
        <f>SUMIF('01_BOC_TACH_ONG'!B:B, B169, '01_BOC_TACH_ONG'!K:K)</f>
        <v/>
      </c>
      <c r="I169" s="402">
        <f>SUMIF('02_BOC_TACH_CUA'!B:B, B169, '02_BOC_TACH_CUA'!K:K)</f>
        <v/>
      </c>
      <c r="J169" s="402">
        <f>SUMIF('03_BOC_TACH_VAN'!B:B, B169, '03_BOC_TACH_VAN'!K:K)</f>
        <v/>
      </c>
      <c r="K169" s="402">
        <f>SUM(H169:J169)</f>
        <v/>
      </c>
      <c r="L169" s="402">
        <f>(K169-SUMIFS('03_BOC_TACH_VAN'!K:K, '03_BOC_TACH_VAN'!B:B, B169, '03_BOC_TACH_VAN'!D:D, "ĐỘNG_CƠ_VÀ_CẢM_BIẾN"))*0.25</f>
        <v/>
      </c>
      <c r="M169" s="402">
        <f>(K169-SUMIFS('03_BOC_TACH_VAN'!K:K, '03_BOC_TACH_VAN'!B:B, B169, '03_BOC_TACH_VAN'!D:D, "ĐỘNG_CƠ_VÀ_CẢM_BIẾN"))*0.10</f>
        <v/>
      </c>
      <c r="N169" s="402">
        <f>K169+L169+M169</f>
        <v/>
      </c>
      <c r="O169" s="402">
        <f>IF(G169&gt;0, N169/G169, 0)</f>
        <v/>
      </c>
      <c r="P169" s="403" t="n">
        <v>0.18</v>
      </c>
      <c r="Q169" s="402">
        <f>IF(G169&gt;0, ((N169-SUMIFS('03_BOC_TACH_VAN'!K:K, '03_BOC_TACH_VAN'!B:B, B169, '03_BOC_TACH_VAN'!D:D, "ĐỘNG_CƠ_VÀ_CẢM_BIẾN"))*(1+P169)+SUMIFS('03_BOC_TACH_VAN'!K:K, '03_BOC_TACH_VAN'!B:B, B169, '03_BOC_TACH_VAN'!D:D, "ĐỘNG_CƠ_VÀ_CẢM_BIẾN"))/G169, 0)</f>
        <v/>
      </c>
      <c r="R169" s="402">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402" t="n">
        <v>2</v>
      </c>
      <c r="H170" s="402">
        <f>SUMIF('01_BOC_TACH_ONG'!B:B, B170, '01_BOC_TACH_ONG'!K:K)</f>
        <v/>
      </c>
      <c r="I170" s="402">
        <f>SUMIF('02_BOC_TACH_CUA'!B:B, B170, '02_BOC_TACH_CUA'!K:K)</f>
        <v/>
      </c>
      <c r="J170" s="402">
        <f>SUMIF('03_BOC_TACH_VAN'!B:B, B170, '03_BOC_TACH_VAN'!K:K)</f>
        <v/>
      </c>
      <c r="K170" s="402">
        <f>SUM(H170:J170)</f>
        <v/>
      </c>
      <c r="L170" s="402">
        <f>(K170-SUMIFS('03_BOC_TACH_VAN'!K:K, '03_BOC_TACH_VAN'!B:B, B170, '03_BOC_TACH_VAN'!D:D, "ĐỘNG_CƠ_VÀ_CẢM_BIẾN"))*0.25</f>
        <v/>
      </c>
      <c r="M170" s="402">
        <f>(K170-SUMIFS('03_BOC_TACH_VAN'!K:K, '03_BOC_TACH_VAN'!B:B, B170, '03_BOC_TACH_VAN'!D:D, "ĐỘNG_CƠ_VÀ_CẢM_BIẾN"))*0.10</f>
        <v/>
      </c>
      <c r="N170" s="402">
        <f>K170+L170+M170</f>
        <v/>
      </c>
      <c r="O170" s="402">
        <f>IF(G170&gt;0, N170/G170, 0)</f>
        <v/>
      </c>
      <c r="P170" s="403" t="n">
        <v>0.18</v>
      </c>
      <c r="Q170" s="402">
        <f>IF(G170&gt;0, ((N170-SUMIFS('03_BOC_TACH_VAN'!K:K, '03_BOC_TACH_VAN'!B:B, B170, '03_BOC_TACH_VAN'!D:D, "ĐỘNG_CƠ_VÀ_CẢM_BIẾN"))*(1+P170)+SUMIFS('03_BOC_TACH_VAN'!K:K, '03_BOC_TACH_VAN'!B:B, B170, '03_BOC_TACH_VAN'!D:D, "ĐỘNG_CƠ_VÀ_CẢM_BIẾN"))/G170, 0)</f>
        <v/>
      </c>
      <c r="R170" s="402">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402" t="n">
        <v>4</v>
      </c>
      <c r="H171" s="402">
        <f>SUMIF('01_BOC_TACH_ONG'!B:B, B171, '01_BOC_TACH_ONG'!K:K)</f>
        <v/>
      </c>
      <c r="I171" s="402">
        <f>SUMIF('02_BOC_TACH_CUA'!B:B, B171, '02_BOC_TACH_CUA'!K:K)</f>
        <v/>
      </c>
      <c r="J171" s="402">
        <f>SUMIF('03_BOC_TACH_VAN'!B:B, B171, '03_BOC_TACH_VAN'!K:K)</f>
        <v/>
      </c>
      <c r="K171" s="402">
        <f>SUM(H171:J171)</f>
        <v/>
      </c>
      <c r="L171" s="402">
        <f>(K171-SUMIFS('03_BOC_TACH_VAN'!K:K, '03_BOC_TACH_VAN'!B:B, B171, '03_BOC_TACH_VAN'!D:D, "ĐỘNG_CƠ_VÀ_CẢM_BIẾN"))*0.25</f>
        <v/>
      </c>
      <c r="M171" s="402">
        <f>(K171-SUMIFS('03_BOC_TACH_VAN'!K:K, '03_BOC_TACH_VAN'!B:B, B171, '03_BOC_TACH_VAN'!D:D, "ĐỘNG_CƠ_VÀ_CẢM_BIẾN"))*0.10</f>
        <v/>
      </c>
      <c r="N171" s="402">
        <f>K171+L171+M171</f>
        <v/>
      </c>
      <c r="O171" s="402">
        <f>IF(G171&gt;0, N171/G171, 0)</f>
        <v/>
      </c>
      <c r="P171" s="403" t="n">
        <v>0.18</v>
      </c>
      <c r="Q171" s="402">
        <f>IF(G171&gt;0, ((N171-SUMIFS('03_BOC_TACH_VAN'!K:K, '03_BOC_TACH_VAN'!B:B, B171, '03_BOC_TACH_VAN'!D:D, "ĐỘNG_CƠ_VÀ_CẢM_BIẾN"))*(1+P171)+SUMIFS('03_BOC_TACH_VAN'!K:K, '03_BOC_TACH_VAN'!B:B, B171, '03_BOC_TACH_VAN'!D:D, "ĐỘNG_CƠ_VÀ_CẢM_BIẾN"))/G171, 0)</f>
        <v/>
      </c>
      <c r="R171" s="402">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402" t="n">
        <v>2</v>
      </c>
      <c r="H172" s="402">
        <f>SUMIF('01_BOC_TACH_ONG'!B:B, B172, '01_BOC_TACH_ONG'!K:K)</f>
        <v/>
      </c>
      <c r="I172" s="402">
        <f>SUMIF('02_BOC_TACH_CUA'!B:B, B172, '02_BOC_TACH_CUA'!K:K)</f>
        <v/>
      </c>
      <c r="J172" s="402">
        <f>SUMIF('03_BOC_TACH_VAN'!B:B, B172, '03_BOC_TACH_VAN'!K:K)</f>
        <v/>
      </c>
      <c r="K172" s="402">
        <f>SUM(H172:J172)</f>
        <v/>
      </c>
      <c r="L172" s="402">
        <f>(K172-SUMIFS('03_BOC_TACH_VAN'!K:K, '03_BOC_TACH_VAN'!B:B, B172, '03_BOC_TACH_VAN'!D:D, "ĐỘNG_CƠ_VÀ_CẢM_BIẾN"))*0.25</f>
        <v/>
      </c>
      <c r="M172" s="402">
        <f>(K172-SUMIFS('03_BOC_TACH_VAN'!K:K, '03_BOC_TACH_VAN'!B:B, B172, '03_BOC_TACH_VAN'!D:D, "ĐỘNG_CƠ_VÀ_CẢM_BIẾN"))*0.10</f>
        <v/>
      </c>
      <c r="N172" s="402">
        <f>K172+L172+M172</f>
        <v/>
      </c>
      <c r="O172" s="402">
        <f>IF(G172&gt;0, N172/G172, 0)</f>
        <v/>
      </c>
      <c r="P172" s="403" t="n">
        <v>0.18</v>
      </c>
      <c r="Q172" s="402">
        <f>IF(G172&gt;0, ((N172-SUMIFS('03_BOC_TACH_VAN'!K:K, '03_BOC_TACH_VAN'!B:B, B172, '03_BOC_TACH_VAN'!D:D, "ĐỘNG_CƠ_VÀ_CẢM_BIẾN"))*(1+P172)+SUMIFS('03_BOC_TACH_VAN'!K:K, '03_BOC_TACH_VAN'!B:B, B172, '03_BOC_TACH_VAN'!D:D, "ĐỘNG_CƠ_VÀ_CẢM_BIẾN"))/G172, 0)</f>
        <v/>
      </c>
      <c r="R172" s="402">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402" t="n">
        <v>1</v>
      </c>
      <c r="H173" s="402">
        <f>SUMIF('01_BOC_TACH_ONG'!B:B, B173, '01_BOC_TACH_ONG'!K:K)</f>
        <v/>
      </c>
      <c r="I173" s="402">
        <f>SUMIF('02_BOC_TACH_CUA'!B:B, B173, '02_BOC_TACH_CUA'!K:K)</f>
        <v/>
      </c>
      <c r="J173" s="402">
        <f>SUMIF('03_BOC_TACH_VAN'!B:B, B173, '03_BOC_TACH_VAN'!K:K)</f>
        <v/>
      </c>
      <c r="K173" s="402">
        <f>SUM(H173:J173)</f>
        <v/>
      </c>
      <c r="L173" s="402">
        <f>(K173-SUMIFS('03_BOC_TACH_VAN'!K:K, '03_BOC_TACH_VAN'!B:B, B173, '03_BOC_TACH_VAN'!D:D, "ĐỘNG_CƠ_VÀ_CẢM_BIẾN"))*0.25</f>
        <v/>
      </c>
      <c r="M173" s="402">
        <f>(K173-SUMIFS('03_BOC_TACH_VAN'!K:K, '03_BOC_TACH_VAN'!B:B, B173, '03_BOC_TACH_VAN'!D:D, "ĐỘNG_CƠ_VÀ_CẢM_BIẾN"))*0.10</f>
        <v/>
      </c>
      <c r="N173" s="402">
        <f>K173+L173+M173</f>
        <v/>
      </c>
      <c r="O173" s="402">
        <f>IF(G173&gt;0, N173/G173, 0)</f>
        <v/>
      </c>
      <c r="P173" s="403" t="n">
        <v>0.18</v>
      </c>
      <c r="Q173" s="402">
        <f>IF(G173&gt;0, ((N173-SUMIFS('03_BOC_TACH_VAN'!K:K, '03_BOC_TACH_VAN'!B:B, B173, '03_BOC_TACH_VAN'!D:D, "ĐỘNG_CƠ_VÀ_CẢM_BIẾN"))*(1+P173)+SUMIFS('03_BOC_TACH_VAN'!K:K, '03_BOC_TACH_VAN'!B:B, B173, '03_BOC_TACH_VAN'!D:D, "ĐỘNG_CƠ_VÀ_CẢM_BIẾN"))/G173, 0)</f>
        <v/>
      </c>
      <c r="R173" s="402">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402" t="n">
        <v>1</v>
      </c>
      <c r="H174" s="402">
        <f>SUMIF('01_BOC_TACH_ONG'!B:B, B174, '01_BOC_TACH_ONG'!K:K)</f>
        <v/>
      </c>
      <c r="I174" s="402">
        <f>SUMIF('02_BOC_TACH_CUA'!B:B, B174, '02_BOC_TACH_CUA'!K:K)</f>
        <v/>
      </c>
      <c r="J174" s="402">
        <f>SUMIF('03_BOC_TACH_VAN'!B:B, B174, '03_BOC_TACH_VAN'!K:K)</f>
        <v/>
      </c>
      <c r="K174" s="402">
        <f>SUM(H174:J174)</f>
        <v/>
      </c>
      <c r="L174" s="402">
        <f>(K174-SUMIFS('03_BOC_TACH_VAN'!K:K, '03_BOC_TACH_VAN'!B:B, B174, '03_BOC_TACH_VAN'!D:D, "ĐỘNG_CƠ_VÀ_CẢM_BIẾN"))*0.25</f>
        <v/>
      </c>
      <c r="M174" s="402">
        <f>(K174-SUMIFS('03_BOC_TACH_VAN'!K:K, '03_BOC_TACH_VAN'!B:B, B174, '03_BOC_TACH_VAN'!D:D, "ĐỘNG_CƠ_VÀ_CẢM_BIẾN"))*0.10</f>
        <v/>
      </c>
      <c r="N174" s="402">
        <f>K174+L174+M174</f>
        <v/>
      </c>
      <c r="O174" s="402">
        <f>IF(G174&gt;0, N174/G174, 0)</f>
        <v/>
      </c>
      <c r="P174" s="403" t="n">
        <v>0.18</v>
      </c>
      <c r="Q174" s="402">
        <f>IF(G174&gt;0, ((N174-SUMIFS('03_BOC_TACH_VAN'!K:K, '03_BOC_TACH_VAN'!B:B, B174, '03_BOC_TACH_VAN'!D:D, "ĐỘNG_CƠ_VÀ_CẢM_BIẾN"))*(1+P174)+SUMIFS('03_BOC_TACH_VAN'!K:K, '03_BOC_TACH_VAN'!B:B, B174, '03_BOC_TACH_VAN'!D:D, "ĐỘNG_CƠ_VÀ_CẢM_BIẾN"))/G174, 0)</f>
        <v/>
      </c>
      <c r="R174" s="402">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402" t="n">
        <v>1</v>
      </c>
      <c r="H175" s="402">
        <f>SUMIF('01_BOC_TACH_ONG'!B:B, B175, '01_BOC_TACH_ONG'!K:K)</f>
        <v/>
      </c>
      <c r="I175" s="402">
        <f>SUMIF('02_BOC_TACH_CUA'!B:B, B175, '02_BOC_TACH_CUA'!K:K)</f>
        <v/>
      </c>
      <c r="J175" s="402">
        <f>SUMIF('03_BOC_TACH_VAN'!B:B, B175, '03_BOC_TACH_VAN'!K:K)</f>
        <v/>
      </c>
      <c r="K175" s="402">
        <f>SUM(H175:J175)</f>
        <v/>
      </c>
      <c r="L175" s="402">
        <f>(K175-SUMIFS('03_BOC_TACH_VAN'!K:K, '03_BOC_TACH_VAN'!B:B, B175, '03_BOC_TACH_VAN'!D:D, "ĐỘNG_CƠ_VÀ_CẢM_BIẾN"))*0.25</f>
        <v/>
      </c>
      <c r="M175" s="402">
        <f>(K175-SUMIFS('03_BOC_TACH_VAN'!K:K, '03_BOC_TACH_VAN'!B:B, B175, '03_BOC_TACH_VAN'!D:D, "ĐỘNG_CƠ_VÀ_CẢM_BIẾN"))*0.10</f>
        <v/>
      </c>
      <c r="N175" s="402">
        <f>K175+L175+M175</f>
        <v/>
      </c>
      <c r="O175" s="402">
        <f>IF(G175&gt;0, N175/G175, 0)</f>
        <v/>
      </c>
      <c r="P175" s="403" t="n">
        <v>0.18</v>
      </c>
      <c r="Q175" s="402">
        <f>IF(G175&gt;0, ((N175-SUMIFS('03_BOC_TACH_VAN'!K:K, '03_BOC_TACH_VAN'!B:B, B175, '03_BOC_TACH_VAN'!D:D, "ĐỘNG_CƠ_VÀ_CẢM_BIẾN"))*(1+P175)+SUMIFS('03_BOC_TACH_VAN'!K:K, '03_BOC_TACH_VAN'!B:B, B175, '03_BOC_TACH_VAN'!D:D, "ĐỘNG_CƠ_VÀ_CẢM_BIẾN"))/G175, 0)</f>
        <v/>
      </c>
      <c r="R175" s="402">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402" t="n">
        <v>1</v>
      </c>
      <c r="H176" s="402">
        <f>SUMIF('01_BOC_TACH_ONG'!B:B, B176, '01_BOC_TACH_ONG'!K:K)</f>
        <v/>
      </c>
      <c r="I176" s="402">
        <f>SUMIF('02_BOC_TACH_CUA'!B:B, B176, '02_BOC_TACH_CUA'!K:K)</f>
        <v/>
      </c>
      <c r="J176" s="402">
        <f>SUMIF('03_BOC_TACH_VAN'!B:B, B176, '03_BOC_TACH_VAN'!K:K)</f>
        <v/>
      </c>
      <c r="K176" s="402">
        <f>SUM(H176:J176)</f>
        <v/>
      </c>
      <c r="L176" s="402">
        <f>(K176-SUMIFS('03_BOC_TACH_VAN'!K:K, '03_BOC_TACH_VAN'!B:B, B176, '03_BOC_TACH_VAN'!D:D, "ĐỘNG_CƠ_VÀ_CẢM_BIẾN"))*0.25</f>
        <v/>
      </c>
      <c r="M176" s="402">
        <f>(K176-SUMIFS('03_BOC_TACH_VAN'!K:K, '03_BOC_TACH_VAN'!B:B, B176, '03_BOC_TACH_VAN'!D:D, "ĐỘNG_CƠ_VÀ_CẢM_BIẾN"))*0.10</f>
        <v/>
      </c>
      <c r="N176" s="402">
        <f>K176+L176+M176</f>
        <v/>
      </c>
      <c r="O176" s="402">
        <f>IF(G176&gt;0, N176/G176, 0)</f>
        <v/>
      </c>
      <c r="P176" s="403" t="n">
        <v>0.18</v>
      </c>
      <c r="Q176" s="402">
        <f>IF(G176&gt;0, ((N176-SUMIFS('03_BOC_TACH_VAN'!K:K, '03_BOC_TACH_VAN'!B:B, B176, '03_BOC_TACH_VAN'!D:D, "ĐỘNG_CƠ_VÀ_CẢM_BIẾN"))*(1+P176)+SUMIFS('03_BOC_TACH_VAN'!K:K, '03_BOC_TACH_VAN'!B:B, B176, '03_BOC_TACH_VAN'!D:D, "ĐỘNG_CƠ_VÀ_CẢM_BIẾN"))/G176, 0)</f>
        <v/>
      </c>
      <c r="R176" s="402">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402" t="n">
        <v>1</v>
      </c>
      <c r="H177" s="402">
        <f>SUMIF('01_BOC_TACH_ONG'!B:B, B177, '01_BOC_TACH_ONG'!K:K)</f>
        <v/>
      </c>
      <c r="I177" s="402">
        <f>SUMIF('02_BOC_TACH_CUA'!B:B, B177, '02_BOC_TACH_CUA'!K:K)</f>
        <v/>
      </c>
      <c r="J177" s="402">
        <f>SUMIF('03_BOC_TACH_VAN'!B:B, B177, '03_BOC_TACH_VAN'!K:K)</f>
        <v/>
      </c>
      <c r="K177" s="402">
        <f>SUM(H177:J177)</f>
        <v/>
      </c>
      <c r="L177" s="402">
        <f>(K177-SUMIFS('03_BOC_TACH_VAN'!K:K, '03_BOC_TACH_VAN'!B:B, B177, '03_BOC_TACH_VAN'!D:D, "ĐỘNG_CƠ_VÀ_CẢM_BIẾN"))*0.25</f>
        <v/>
      </c>
      <c r="M177" s="402">
        <f>(K177-SUMIFS('03_BOC_TACH_VAN'!K:K, '03_BOC_TACH_VAN'!B:B, B177, '03_BOC_TACH_VAN'!D:D, "ĐỘNG_CƠ_VÀ_CẢM_BIẾN"))*0.10</f>
        <v/>
      </c>
      <c r="N177" s="402">
        <f>K177+L177+M177</f>
        <v/>
      </c>
      <c r="O177" s="402">
        <f>IF(G177&gt;0, N177/G177, 0)</f>
        <v/>
      </c>
      <c r="P177" s="403" t="n">
        <v>0.18</v>
      </c>
      <c r="Q177" s="402">
        <f>IF(G177&gt;0, ((N177-SUMIFS('03_BOC_TACH_VAN'!K:K, '03_BOC_TACH_VAN'!B:B, B177, '03_BOC_TACH_VAN'!D:D, "ĐỘNG_CƠ_VÀ_CẢM_BIẾN"))*(1+P177)+SUMIFS('03_BOC_TACH_VAN'!K:K, '03_BOC_TACH_VAN'!B:B, B177, '03_BOC_TACH_VAN'!D:D, "ĐỘNG_CƠ_VÀ_CẢM_BIẾN"))/G177, 0)</f>
        <v/>
      </c>
      <c r="R177" s="402">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402" t="n">
        <v>9</v>
      </c>
      <c r="H178" s="402">
        <f>SUMIF('01_BOC_TACH_ONG'!B:B, B178, '01_BOC_TACH_ONG'!K:K)</f>
        <v/>
      </c>
      <c r="I178" s="402">
        <f>SUMIF('02_BOC_TACH_CUA'!B:B, B178, '02_BOC_TACH_CUA'!K:K)</f>
        <v/>
      </c>
      <c r="J178" s="402">
        <f>SUMIF('03_BOC_TACH_VAN'!B:B, B178, '03_BOC_TACH_VAN'!K:K)</f>
        <v/>
      </c>
      <c r="K178" s="402">
        <f>SUM(H178:J178)</f>
        <v/>
      </c>
      <c r="L178" s="402">
        <f>(K178-SUMIFS('03_BOC_TACH_VAN'!K:K, '03_BOC_TACH_VAN'!B:B, B178, '03_BOC_TACH_VAN'!D:D, "ĐỘNG_CƠ_VÀ_CẢM_BIẾN"))*0.25</f>
        <v/>
      </c>
      <c r="M178" s="402">
        <f>(K178-SUMIFS('03_BOC_TACH_VAN'!K:K, '03_BOC_TACH_VAN'!B:B, B178, '03_BOC_TACH_VAN'!D:D, "ĐỘNG_CƠ_VÀ_CẢM_BIẾN"))*0.10</f>
        <v/>
      </c>
      <c r="N178" s="402">
        <f>K178+L178+M178</f>
        <v/>
      </c>
      <c r="O178" s="402">
        <f>IF(G178&gt;0, N178/G178, 0)</f>
        <v/>
      </c>
      <c r="P178" s="403" t="n">
        <v>0.18</v>
      </c>
      <c r="Q178" s="402">
        <f>IF(G178&gt;0, ((N178-SUMIFS('03_BOC_TACH_VAN'!K:K, '03_BOC_TACH_VAN'!B:B, B178, '03_BOC_TACH_VAN'!D:D, "ĐỘNG_CƠ_VÀ_CẢM_BIẾN"))*(1+P178)+SUMIFS('03_BOC_TACH_VAN'!K:K, '03_BOC_TACH_VAN'!B:B, B178, '03_BOC_TACH_VAN'!D:D, "ĐỘNG_CƠ_VÀ_CẢM_BIẾN"))/G178, 0)</f>
        <v/>
      </c>
      <c r="R178" s="402">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402" t="n">
        <v>7</v>
      </c>
      <c r="H179" s="402">
        <f>SUMIF('01_BOC_TACH_ONG'!B:B, B179, '01_BOC_TACH_ONG'!K:K)</f>
        <v/>
      </c>
      <c r="I179" s="402">
        <f>SUMIF('02_BOC_TACH_CUA'!B:B, B179, '02_BOC_TACH_CUA'!K:K)</f>
        <v/>
      </c>
      <c r="J179" s="402">
        <f>SUMIF('03_BOC_TACH_VAN'!B:B, B179, '03_BOC_TACH_VAN'!K:K)</f>
        <v/>
      </c>
      <c r="K179" s="402">
        <f>SUM(H179:J179)</f>
        <v/>
      </c>
      <c r="L179" s="402">
        <f>(K179-SUMIFS('03_BOC_TACH_VAN'!K:K, '03_BOC_TACH_VAN'!B:B, B179, '03_BOC_TACH_VAN'!D:D, "ĐỘNG_CƠ_VÀ_CẢM_BIẾN"))*0.25</f>
        <v/>
      </c>
      <c r="M179" s="402">
        <f>(K179-SUMIFS('03_BOC_TACH_VAN'!K:K, '03_BOC_TACH_VAN'!B:B, B179, '03_BOC_TACH_VAN'!D:D, "ĐỘNG_CƠ_VÀ_CẢM_BIẾN"))*0.10</f>
        <v/>
      </c>
      <c r="N179" s="402">
        <f>K179+L179+M179</f>
        <v/>
      </c>
      <c r="O179" s="402">
        <f>IF(G179&gt;0, N179/G179, 0)</f>
        <v/>
      </c>
      <c r="P179" s="403" t="n">
        <v>0.18</v>
      </c>
      <c r="Q179" s="402">
        <f>IF(G179&gt;0, ((N179-SUMIFS('03_BOC_TACH_VAN'!K:K, '03_BOC_TACH_VAN'!B:B, B179, '03_BOC_TACH_VAN'!D:D, "ĐỘNG_CƠ_VÀ_CẢM_BIẾN"))*(1+P179)+SUMIFS('03_BOC_TACH_VAN'!K:K, '03_BOC_TACH_VAN'!B:B, B179, '03_BOC_TACH_VAN'!D:D, "ĐỘNG_CƠ_VÀ_CẢM_BIẾN"))/G179, 0)</f>
        <v/>
      </c>
      <c r="R179" s="402">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402" t="n">
        <v>7</v>
      </c>
      <c r="H180" s="402">
        <f>SUMIF('01_BOC_TACH_ONG'!B:B, B180, '01_BOC_TACH_ONG'!K:K)</f>
        <v/>
      </c>
      <c r="I180" s="402">
        <f>SUMIF('02_BOC_TACH_CUA'!B:B, B180, '02_BOC_TACH_CUA'!K:K)</f>
        <v/>
      </c>
      <c r="J180" s="402">
        <f>SUMIF('03_BOC_TACH_VAN'!B:B, B180, '03_BOC_TACH_VAN'!K:K)</f>
        <v/>
      </c>
      <c r="K180" s="402">
        <f>SUM(H180:J180)</f>
        <v/>
      </c>
      <c r="L180" s="402">
        <f>(K180-SUMIFS('03_BOC_TACH_VAN'!K:K, '03_BOC_TACH_VAN'!B:B, B180, '03_BOC_TACH_VAN'!D:D, "ĐỘNG_CƠ_VÀ_CẢM_BIẾN"))*0.25</f>
        <v/>
      </c>
      <c r="M180" s="402">
        <f>(K180-SUMIFS('03_BOC_TACH_VAN'!K:K, '03_BOC_TACH_VAN'!B:B, B180, '03_BOC_TACH_VAN'!D:D, "ĐỘNG_CƠ_VÀ_CẢM_BIẾN"))*0.10</f>
        <v/>
      </c>
      <c r="N180" s="402">
        <f>K180+L180+M180</f>
        <v/>
      </c>
      <c r="O180" s="402">
        <f>IF(G180&gt;0, N180/G180, 0)</f>
        <v/>
      </c>
      <c r="P180" s="403" t="n">
        <v>0.18</v>
      </c>
      <c r="Q180" s="402">
        <f>IF(G180&gt;0, ((N180-SUMIFS('03_BOC_TACH_VAN'!K:K, '03_BOC_TACH_VAN'!B:B, B180, '03_BOC_TACH_VAN'!D:D, "ĐỘNG_CƠ_VÀ_CẢM_BIẾN"))*(1+P180)+SUMIFS('03_BOC_TACH_VAN'!K:K, '03_BOC_TACH_VAN'!B:B, B180, '03_BOC_TACH_VAN'!D:D, "ĐỘNG_CƠ_VÀ_CẢM_BIẾN"))/G180, 0)</f>
        <v/>
      </c>
      <c r="R180" s="402">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402" t="n">
        <v>5</v>
      </c>
      <c r="H181" s="402">
        <f>SUMIF('01_BOC_TACH_ONG'!B:B, B181, '01_BOC_TACH_ONG'!K:K)</f>
        <v/>
      </c>
      <c r="I181" s="402">
        <f>SUMIF('02_BOC_TACH_CUA'!B:B, B181, '02_BOC_TACH_CUA'!K:K)</f>
        <v/>
      </c>
      <c r="J181" s="402">
        <f>SUMIF('03_BOC_TACH_VAN'!B:B, B181, '03_BOC_TACH_VAN'!K:K)</f>
        <v/>
      </c>
      <c r="K181" s="402">
        <f>SUM(H181:J181)</f>
        <v/>
      </c>
      <c r="L181" s="402">
        <f>(K181-SUMIFS('03_BOC_TACH_VAN'!K:K, '03_BOC_TACH_VAN'!B:B, B181, '03_BOC_TACH_VAN'!D:D, "ĐỘNG_CƠ_VÀ_CẢM_BIẾN"))*0.25</f>
        <v/>
      </c>
      <c r="M181" s="402">
        <f>(K181-SUMIFS('03_BOC_TACH_VAN'!K:K, '03_BOC_TACH_VAN'!B:B, B181, '03_BOC_TACH_VAN'!D:D, "ĐỘNG_CƠ_VÀ_CẢM_BIẾN"))*0.10</f>
        <v/>
      </c>
      <c r="N181" s="402">
        <f>K181+L181+M181</f>
        <v/>
      </c>
      <c r="O181" s="402">
        <f>IF(G181&gt;0, N181/G181, 0)</f>
        <v/>
      </c>
      <c r="P181" s="403" t="n">
        <v>0.18</v>
      </c>
      <c r="Q181" s="402">
        <f>IF(G181&gt;0, ((N181-SUMIFS('03_BOC_TACH_VAN'!K:K, '03_BOC_TACH_VAN'!B:B, B181, '03_BOC_TACH_VAN'!D:D, "ĐỘNG_CƠ_VÀ_CẢM_BIẾN"))*(1+P181)+SUMIFS('03_BOC_TACH_VAN'!K:K, '03_BOC_TACH_VAN'!B:B, B181, '03_BOC_TACH_VAN'!D:D, "ĐỘNG_CƠ_VÀ_CẢM_BIẾN"))/G181, 0)</f>
        <v/>
      </c>
      <c r="R181" s="402">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402" t="n">
        <v>2</v>
      </c>
      <c r="H182" s="402">
        <f>SUMIF('01_BOC_TACH_ONG'!B:B, B182, '01_BOC_TACH_ONG'!K:K)</f>
        <v/>
      </c>
      <c r="I182" s="402">
        <f>SUMIF('02_BOC_TACH_CUA'!B:B, B182, '02_BOC_TACH_CUA'!K:K)</f>
        <v/>
      </c>
      <c r="J182" s="402">
        <f>SUMIF('03_BOC_TACH_VAN'!B:B, B182, '03_BOC_TACH_VAN'!K:K)</f>
        <v/>
      </c>
      <c r="K182" s="402">
        <f>SUM(H182:J182)</f>
        <v/>
      </c>
      <c r="L182" s="402">
        <f>(K182-SUMIFS('03_BOC_TACH_VAN'!K:K, '03_BOC_TACH_VAN'!B:B, B182, '03_BOC_TACH_VAN'!D:D, "ĐỘNG_CƠ_VÀ_CẢM_BIẾN"))*0.25</f>
        <v/>
      </c>
      <c r="M182" s="402">
        <f>(K182-SUMIFS('03_BOC_TACH_VAN'!K:K, '03_BOC_TACH_VAN'!B:B, B182, '03_BOC_TACH_VAN'!D:D, "ĐỘNG_CƠ_VÀ_CẢM_BIẾN"))*0.10</f>
        <v/>
      </c>
      <c r="N182" s="402">
        <f>K182+L182+M182</f>
        <v/>
      </c>
      <c r="O182" s="402">
        <f>IF(G182&gt;0, N182/G182, 0)</f>
        <v/>
      </c>
      <c r="P182" s="403" t="n">
        <v>0.18</v>
      </c>
      <c r="Q182" s="402">
        <f>IF(G182&gt;0, ((N182-SUMIFS('03_BOC_TACH_VAN'!K:K, '03_BOC_TACH_VAN'!B:B, B182, '03_BOC_TACH_VAN'!D:D, "ĐỘNG_CƠ_VÀ_CẢM_BIẾN"))*(1+P182)+SUMIFS('03_BOC_TACH_VAN'!K:K, '03_BOC_TACH_VAN'!B:B, B182, '03_BOC_TACH_VAN'!D:D, "ĐỘNG_CƠ_VÀ_CẢM_BIẾN"))/G182, 0)</f>
        <v/>
      </c>
      <c r="R182" s="402">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402" t="n">
        <v>2</v>
      </c>
      <c r="H183" s="402">
        <f>SUMIF('01_BOC_TACH_ONG'!B:B, B183, '01_BOC_TACH_ONG'!K:K)</f>
        <v/>
      </c>
      <c r="I183" s="402">
        <f>SUMIF('02_BOC_TACH_CUA'!B:B, B183, '02_BOC_TACH_CUA'!K:K)</f>
        <v/>
      </c>
      <c r="J183" s="402">
        <f>SUMIF('03_BOC_TACH_VAN'!B:B, B183, '03_BOC_TACH_VAN'!K:K)</f>
        <v/>
      </c>
      <c r="K183" s="402">
        <f>SUM(H183:J183)</f>
        <v/>
      </c>
      <c r="L183" s="402">
        <f>(K183-SUMIFS('03_BOC_TACH_VAN'!K:K, '03_BOC_TACH_VAN'!B:B, B183, '03_BOC_TACH_VAN'!D:D, "ĐỘNG_CƠ_VÀ_CẢM_BIẾN"))*0.25</f>
        <v/>
      </c>
      <c r="M183" s="402">
        <f>(K183-SUMIFS('03_BOC_TACH_VAN'!K:K, '03_BOC_TACH_VAN'!B:B, B183, '03_BOC_TACH_VAN'!D:D, "ĐỘNG_CƠ_VÀ_CẢM_BIẾN"))*0.10</f>
        <v/>
      </c>
      <c r="N183" s="402">
        <f>K183+L183+M183</f>
        <v/>
      </c>
      <c r="O183" s="402">
        <f>IF(G183&gt;0, N183/G183, 0)</f>
        <v/>
      </c>
      <c r="P183" s="403" t="n">
        <v>0.18</v>
      </c>
      <c r="Q183" s="402">
        <f>IF(G183&gt;0, ((N183-SUMIFS('03_BOC_TACH_VAN'!K:K, '03_BOC_TACH_VAN'!B:B, B183, '03_BOC_TACH_VAN'!D:D, "ĐỘNG_CƠ_VÀ_CẢM_BIẾN"))*(1+P183)+SUMIFS('03_BOC_TACH_VAN'!K:K, '03_BOC_TACH_VAN'!B:B, B183, '03_BOC_TACH_VAN'!D:D, "ĐỘNG_CƠ_VÀ_CẢM_BIẾN"))/G183, 0)</f>
        <v/>
      </c>
      <c r="R183" s="402">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402" t="n">
        <v>1</v>
      </c>
      <c r="H184" s="402">
        <f>SUMIF('01_BOC_TACH_ONG'!B:B, B184, '01_BOC_TACH_ONG'!K:K)</f>
        <v/>
      </c>
      <c r="I184" s="402">
        <f>SUMIF('02_BOC_TACH_CUA'!B:B, B184, '02_BOC_TACH_CUA'!K:K)</f>
        <v/>
      </c>
      <c r="J184" s="402">
        <f>SUMIF('03_BOC_TACH_VAN'!B:B, B184, '03_BOC_TACH_VAN'!K:K)</f>
        <v/>
      </c>
      <c r="K184" s="402">
        <f>SUM(H184:J184)</f>
        <v/>
      </c>
      <c r="L184" s="402">
        <f>(K184-SUMIFS('03_BOC_TACH_VAN'!K:K, '03_BOC_TACH_VAN'!B:B, B184, '03_BOC_TACH_VAN'!D:D, "ĐỘNG_CƠ_VÀ_CẢM_BIẾN"))*0.25</f>
        <v/>
      </c>
      <c r="M184" s="402">
        <f>(K184-SUMIFS('03_BOC_TACH_VAN'!K:K, '03_BOC_TACH_VAN'!B:B, B184, '03_BOC_TACH_VAN'!D:D, "ĐỘNG_CƠ_VÀ_CẢM_BIẾN"))*0.10</f>
        <v/>
      </c>
      <c r="N184" s="402">
        <f>K184+L184+M184</f>
        <v/>
      </c>
      <c r="O184" s="402">
        <f>IF(G184&gt;0, N184/G184, 0)</f>
        <v/>
      </c>
      <c r="P184" s="403" t="n">
        <v>0.18</v>
      </c>
      <c r="Q184" s="402">
        <f>IF(G184&gt;0, ((N184-SUMIFS('03_BOC_TACH_VAN'!K:K, '03_BOC_TACH_VAN'!B:B, B184, '03_BOC_TACH_VAN'!D:D, "ĐỘNG_CƠ_VÀ_CẢM_BIẾN"))*(1+P184)+SUMIFS('03_BOC_TACH_VAN'!K:K, '03_BOC_TACH_VAN'!B:B, B184, '03_BOC_TACH_VAN'!D:D, "ĐỘNG_CƠ_VÀ_CẢM_BIẾN"))/G184, 0)</f>
        <v/>
      </c>
      <c r="R184" s="402">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402" t="n">
        <v>1</v>
      </c>
      <c r="H185" s="402">
        <f>SUMIF('01_BOC_TACH_ONG'!B:B, B185, '01_BOC_TACH_ONG'!K:K)</f>
        <v/>
      </c>
      <c r="I185" s="402">
        <f>SUMIF('02_BOC_TACH_CUA'!B:B, B185, '02_BOC_TACH_CUA'!K:K)</f>
        <v/>
      </c>
      <c r="J185" s="402">
        <f>SUMIF('03_BOC_TACH_VAN'!B:B, B185, '03_BOC_TACH_VAN'!K:K)</f>
        <v/>
      </c>
      <c r="K185" s="402">
        <f>SUM(H185:J185)</f>
        <v/>
      </c>
      <c r="L185" s="402">
        <f>(K185-SUMIFS('03_BOC_TACH_VAN'!K:K, '03_BOC_TACH_VAN'!B:B, B185, '03_BOC_TACH_VAN'!D:D, "ĐỘNG_CƠ_VÀ_CẢM_BIẾN"))*0.25</f>
        <v/>
      </c>
      <c r="M185" s="402">
        <f>(K185-SUMIFS('03_BOC_TACH_VAN'!K:K, '03_BOC_TACH_VAN'!B:B, B185, '03_BOC_TACH_VAN'!D:D, "ĐỘNG_CƠ_VÀ_CẢM_BIẾN"))*0.10</f>
        <v/>
      </c>
      <c r="N185" s="402">
        <f>K185+L185+M185</f>
        <v/>
      </c>
      <c r="O185" s="402">
        <f>IF(G185&gt;0, N185/G185, 0)</f>
        <v/>
      </c>
      <c r="P185" s="403" t="n">
        <v>0.18</v>
      </c>
      <c r="Q185" s="402">
        <f>IF(G185&gt;0, ((N185-SUMIFS('03_BOC_TACH_VAN'!K:K, '03_BOC_TACH_VAN'!B:B, B185, '03_BOC_TACH_VAN'!D:D, "ĐỘNG_CƠ_VÀ_CẢM_BIẾN"))*(1+P185)+SUMIFS('03_BOC_TACH_VAN'!K:K, '03_BOC_TACH_VAN'!B:B, B185, '03_BOC_TACH_VAN'!D:D, "ĐỘNG_CƠ_VÀ_CẢM_BIẾN"))/G185, 0)</f>
        <v/>
      </c>
      <c r="R185" s="402">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402" t="n">
        <v>1</v>
      </c>
      <c r="H186" s="402">
        <f>SUMIF('01_BOC_TACH_ONG'!B:B, B186, '01_BOC_TACH_ONG'!K:K)</f>
        <v/>
      </c>
      <c r="I186" s="402">
        <f>SUMIF('02_BOC_TACH_CUA'!B:B, B186, '02_BOC_TACH_CUA'!K:K)</f>
        <v/>
      </c>
      <c r="J186" s="402">
        <f>SUMIF('03_BOC_TACH_VAN'!B:B, B186, '03_BOC_TACH_VAN'!K:K)</f>
        <v/>
      </c>
      <c r="K186" s="402">
        <f>SUM(H186:J186)</f>
        <v/>
      </c>
      <c r="L186" s="402">
        <f>(K186-SUMIFS('03_BOC_TACH_VAN'!K:K, '03_BOC_TACH_VAN'!B:B, B186, '03_BOC_TACH_VAN'!D:D, "ĐỘNG_CƠ_VÀ_CẢM_BIẾN"))*0.25</f>
        <v/>
      </c>
      <c r="M186" s="402">
        <f>(K186-SUMIFS('03_BOC_TACH_VAN'!K:K, '03_BOC_TACH_VAN'!B:B, B186, '03_BOC_TACH_VAN'!D:D, "ĐỘNG_CƠ_VÀ_CẢM_BIẾN"))*0.10</f>
        <v/>
      </c>
      <c r="N186" s="402">
        <f>K186+L186+M186</f>
        <v/>
      </c>
      <c r="O186" s="402">
        <f>IF(G186&gt;0, N186/G186, 0)</f>
        <v/>
      </c>
      <c r="P186" s="403" t="n">
        <v>0.18</v>
      </c>
      <c r="Q186" s="402">
        <f>IF(G186&gt;0, ((N186-SUMIFS('03_BOC_TACH_VAN'!K:K, '03_BOC_TACH_VAN'!B:B, B186, '03_BOC_TACH_VAN'!D:D, "ĐỘNG_CƠ_VÀ_CẢM_BIẾN"))*(1+P186)+SUMIFS('03_BOC_TACH_VAN'!K:K, '03_BOC_TACH_VAN'!B:B, B186, '03_BOC_TACH_VAN'!D:D, "ĐỘNG_CƠ_VÀ_CẢM_BIẾN"))/G186, 0)</f>
        <v/>
      </c>
      <c r="R186" s="402">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402" t="n">
        <v>61</v>
      </c>
      <c r="H187" s="402">
        <f>SUMIF('01_BOC_TACH_ONG'!B:B, B187, '01_BOC_TACH_ONG'!K:K)</f>
        <v/>
      </c>
      <c r="I187" s="402">
        <f>SUMIF('02_BOC_TACH_CUA'!B:B, B187, '02_BOC_TACH_CUA'!K:K)</f>
        <v/>
      </c>
      <c r="J187" s="402">
        <f>SUMIF('03_BOC_TACH_VAN'!B:B, B187, '03_BOC_TACH_VAN'!K:K)</f>
        <v/>
      </c>
      <c r="K187" s="402">
        <f>SUM(H187:J187)</f>
        <v/>
      </c>
      <c r="L187" s="402">
        <f>(K187-SUMIFS('03_BOC_TACH_VAN'!K:K, '03_BOC_TACH_VAN'!B:B, B187, '03_BOC_TACH_VAN'!D:D, "ĐỘNG_CƠ_VÀ_CẢM_BIẾN"))*0.25</f>
        <v/>
      </c>
      <c r="M187" s="402">
        <f>(K187-SUMIFS('03_BOC_TACH_VAN'!K:K, '03_BOC_TACH_VAN'!B:B, B187, '03_BOC_TACH_VAN'!D:D, "ĐỘNG_CƠ_VÀ_CẢM_BIẾN"))*0.10</f>
        <v/>
      </c>
      <c r="N187" s="402">
        <f>K187+L187+M187</f>
        <v/>
      </c>
      <c r="O187" s="402">
        <f>IF(G187&gt;0, N187/G187, 0)</f>
        <v/>
      </c>
      <c r="P187" s="403" t="n">
        <v>0.18</v>
      </c>
      <c r="Q187" s="402">
        <f>IF(G187&gt;0, ((N187-SUMIFS('03_BOC_TACH_VAN'!K:K, '03_BOC_TACH_VAN'!B:B, B187, '03_BOC_TACH_VAN'!D:D, "ĐỘNG_CƠ_VÀ_CẢM_BIẾN"))*(1+P187)+SUMIFS('03_BOC_TACH_VAN'!K:K, '03_BOC_TACH_VAN'!B:B, B187, '03_BOC_TACH_VAN'!D:D, "ĐỘNG_CƠ_VÀ_CẢM_BIẾN"))/G187, 0)</f>
        <v/>
      </c>
      <c r="R187" s="402">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402" t="n">
        <v>78</v>
      </c>
      <c r="H188" s="402">
        <f>SUMIF('01_BOC_TACH_ONG'!B:B, B188, '01_BOC_TACH_ONG'!K:K)</f>
        <v/>
      </c>
      <c r="I188" s="402">
        <f>SUMIF('02_BOC_TACH_CUA'!B:B, B188, '02_BOC_TACH_CUA'!K:K)</f>
        <v/>
      </c>
      <c r="J188" s="402">
        <f>SUMIF('03_BOC_TACH_VAN'!B:B, B188, '03_BOC_TACH_VAN'!K:K)</f>
        <v/>
      </c>
      <c r="K188" s="402">
        <f>SUM(H188:J188)</f>
        <v/>
      </c>
      <c r="L188" s="402">
        <f>(K188-SUMIFS('03_BOC_TACH_VAN'!K:K, '03_BOC_TACH_VAN'!B:B, B188, '03_BOC_TACH_VAN'!D:D, "ĐỘNG_CƠ_VÀ_CẢM_BIẾN"))*0.25</f>
        <v/>
      </c>
      <c r="M188" s="402">
        <f>(K188-SUMIFS('03_BOC_TACH_VAN'!K:K, '03_BOC_TACH_VAN'!B:B, B188, '03_BOC_TACH_VAN'!D:D, "ĐỘNG_CƠ_VÀ_CẢM_BIẾN"))*0.10</f>
        <v/>
      </c>
      <c r="N188" s="402">
        <f>K188+L188+M188</f>
        <v/>
      </c>
      <c r="O188" s="402">
        <f>IF(G188&gt;0, N188/G188, 0)</f>
        <v/>
      </c>
      <c r="P188" s="403" t="n">
        <v>0.18</v>
      </c>
      <c r="Q188" s="402">
        <f>IF(G188&gt;0, ((N188-SUMIFS('03_BOC_TACH_VAN'!K:K, '03_BOC_TACH_VAN'!B:B, B188, '03_BOC_TACH_VAN'!D:D, "ĐỘNG_CƠ_VÀ_CẢM_BIẾN"))*(1+P188)+SUMIFS('03_BOC_TACH_VAN'!K:K, '03_BOC_TACH_VAN'!B:B, B188, '03_BOC_TACH_VAN'!D:D, "ĐỘNG_CƠ_VÀ_CẢM_BIẾN"))/G188, 0)</f>
        <v/>
      </c>
      <c r="R188" s="402">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402" t="n">
        <v>78</v>
      </c>
      <c r="H189" s="402">
        <f>SUMIF('01_BOC_TACH_ONG'!B:B, B189, '01_BOC_TACH_ONG'!K:K)</f>
        <v/>
      </c>
      <c r="I189" s="402">
        <f>SUMIF('02_BOC_TACH_CUA'!B:B, B189, '02_BOC_TACH_CUA'!K:K)</f>
        <v/>
      </c>
      <c r="J189" s="402">
        <f>SUMIF('03_BOC_TACH_VAN'!B:B, B189, '03_BOC_TACH_VAN'!K:K)</f>
        <v/>
      </c>
      <c r="K189" s="402">
        <f>SUM(H189:J189)</f>
        <v/>
      </c>
      <c r="L189" s="402">
        <f>(K189-SUMIFS('03_BOC_TACH_VAN'!K:K, '03_BOC_TACH_VAN'!B:B, B189, '03_BOC_TACH_VAN'!D:D, "ĐỘNG_CƠ_VÀ_CẢM_BIẾN"))*0.25</f>
        <v/>
      </c>
      <c r="M189" s="402">
        <f>(K189-SUMIFS('03_BOC_TACH_VAN'!K:K, '03_BOC_TACH_VAN'!B:B, B189, '03_BOC_TACH_VAN'!D:D, "ĐỘNG_CƠ_VÀ_CẢM_BIẾN"))*0.10</f>
        <v/>
      </c>
      <c r="N189" s="402">
        <f>K189+L189+M189</f>
        <v/>
      </c>
      <c r="O189" s="402">
        <f>IF(G189&gt;0, N189/G189, 0)</f>
        <v/>
      </c>
      <c r="P189" s="403" t="n">
        <v>0.18</v>
      </c>
      <c r="Q189" s="402">
        <f>IF(G189&gt;0, ((N189-SUMIFS('03_BOC_TACH_VAN'!K:K, '03_BOC_TACH_VAN'!B:B, B189, '03_BOC_TACH_VAN'!D:D, "ĐỘNG_CƠ_VÀ_CẢM_BIẾN"))*(1+P189)+SUMIFS('03_BOC_TACH_VAN'!K:K, '03_BOC_TACH_VAN'!B:B, B189, '03_BOC_TACH_VAN'!D:D, "ĐỘNG_CƠ_VÀ_CẢM_BIẾN"))/G189, 0)</f>
        <v/>
      </c>
      <c r="R189" s="402">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402" t="n">
        <v>78</v>
      </c>
      <c r="H190" s="402">
        <f>SUMIF('01_BOC_TACH_ONG'!B:B, B190, '01_BOC_TACH_ONG'!K:K)</f>
        <v/>
      </c>
      <c r="I190" s="402">
        <f>SUMIF('02_BOC_TACH_CUA'!B:B, B190, '02_BOC_TACH_CUA'!K:K)</f>
        <v/>
      </c>
      <c r="J190" s="402">
        <f>SUMIF('03_BOC_TACH_VAN'!B:B, B190, '03_BOC_TACH_VAN'!K:K)</f>
        <v/>
      </c>
      <c r="K190" s="402">
        <f>SUM(H190:J190)</f>
        <v/>
      </c>
      <c r="L190" s="402">
        <f>(K190-SUMIFS('03_BOC_TACH_VAN'!K:K, '03_BOC_TACH_VAN'!B:B, B190, '03_BOC_TACH_VAN'!D:D, "ĐỘNG_CƠ_VÀ_CẢM_BIẾN"))*0.25</f>
        <v/>
      </c>
      <c r="M190" s="402">
        <f>(K190-SUMIFS('03_BOC_TACH_VAN'!K:K, '03_BOC_TACH_VAN'!B:B, B190, '03_BOC_TACH_VAN'!D:D, "ĐỘNG_CƠ_VÀ_CẢM_BIẾN"))*0.10</f>
        <v/>
      </c>
      <c r="N190" s="402">
        <f>K190+L190+M190</f>
        <v/>
      </c>
      <c r="O190" s="402">
        <f>IF(G190&gt;0, N190/G190, 0)</f>
        <v/>
      </c>
      <c r="P190" s="403" t="n">
        <v>0.18</v>
      </c>
      <c r="Q190" s="402">
        <f>IF(G190&gt;0, ((N190-SUMIFS('03_BOC_TACH_VAN'!K:K, '03_BOC_TACH_VAN'!B:B, B190, '03_BOC_TACH_VAN'!D:D, "ĐỘNG_CƠ_VÀ_CẢM_BIẾN"))*(1+P190)+SUMIFS('03_BOC_TACH_VAN'!K:K, '03_BOC_TACH_VAN'!B:B, B190, '03_BOC_TACH_VAN'!D:D, "ĐỘNG_CƠ_VÀ_CẢM_BIẾN"))/G190, 0)</f>
        <v/>
      </c>
      <c r="R190" s="402">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402" t="n">
        <v>38</v>
      </c>
      <c r="H191" s="402">
        <f>SUMIF('01_BOC_TACH_ONG'!B:B, B191, '01_BOC_TACH_ONG'!K:K)</f>
        <v/>
      </c>
      <c r="I191" s="402">
        <f>SUMIF('02_BOC_TACH_CUA'!B:B, B191, '02_BOC_TACH_CUA'!K:K)</f>
        <v/>
      </c>
      <c r="J191" s="402">
        <f>SUMIF('03_BOC_TACH_VAN'!B:B, B191, '03_BOC_TACH_VAN'!K:K)</f>
        <v/>
      </c>
      <c r="K191" s="402">
        <f>SUM(H191:J191)</f>
        <v/>
      </c>
      <c r="L191" s="402">
        <f>(K191-SUMIFS('03_BOC_TACH_VAN'!K:K, '03_BOC_TACH_VAN'!B:B, B191, '03_BOC_TACH_VAN'!D:D, "ĐỘNG_CƠ_VÀ_CẢM_BIẾN"))*0.25</f>
        <v/>
      </c>
      <c r="M191" s="402">
        <f>(K191-SUMIFS('03_BOC_TACH_VAN'!K:K, '03_BOC_TACH_VAN'!B:B, B191, '03_BOC_TACH_VAN'!D:D, "ĐỘNG_CƠ_VÀ_CẢM_BIẾN"))*0.10</f>
        <v/>
      </c>
      <c r="N191" s="402">
        <f>K191+L191+M191</f>
        <v/>
      </c>
      <c r="O191" s="402">
        <f>IF(G191&gt;0, N191/G191, 0)</f>
        <v/>
      </c>
      <c r="P191" s="403" t="n">
        <v>0.18</v>
      </c>
      <c r="Q191" s="402">
        <f>IF(G191&gt;0, ((N191-SUMIFS('03_BOC_TACH_VAN'!K:K, '03_BOC_TACH_VAN'!B:B, B191, '03_BOC_TACH_VAN'!D:D, "ĐỘNG_CƠ_VÀ_CẢM_BIẾN"))*(1+P191)+SUMIFS('03_BOC_TACH_VAN'!K:K, '03_BOC_TACH_VAN'!B:B, B191, '03_BOC_TACH_VAN'!D:D, "ĐỘNG_CƠ_VÀ_CẢM_BIẾN"))/G191, 0)</f>
        <v/>
      </c>
      <c r="R191" s="402">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402" t="n">
        <v>20</v>
      </c>
      <c r="H192" s="402">
        <f>SUMIF('01_BOC_TACH_ONG'!B:B, B192, '01_BOC_TACH_ONG'!K:K)</f>
        <v/>
      </c>
      <c r="I192" s="402">
        <f>SUMIF('02_BOC_TACH_CUA'!B:B, B192, '02_BOC_TACH_CUA'!K:K)</f>
        <v/>
      </c>
      <c r="J192" s="402">
        <f>SUMIF('03_BOC_TACH_VAN'!B:B, B192, '03_BOC_TACH_VAN'!K:K)</f>
        <v/>
      </c>
      <c r="K192" s="402">
        <f>SUM(H192:J192)</f>
        <v/>
      </c>
      <c r="L192" s="402">
        <f>(K192-SUMIFS('03_BOC_TACH_VAN'!K:K, '03_BOC_TACH_VAN'!B:B, B192, '03_BOC_TACH_VAN'!D:D, "ĐỘNG_CƠ_VÀ_CẢM_BIẾN"))*0.25</f>
        <v/>
      </c>
      <c r="M192" s="402">
        <f>(K192-SUMIFS('03_BOC_TACH_VAN'!K:K, '03_BOC_TACH_VAN'!B:B, B192, '03_BOC_TACH_VAN'!D:D, "ĐỘNG_CƠ_VÀ_CẢM_BIẾN"))*0.10</f>
        <v/>
      </c>
      <c r="N192" s="402">
        <f>K192+L192+M192</f>
        <v/>
      </c>
      <c r="O192" s="402">
        <f>IF(G192&gt;0, N192/G192, 0)</f>
        <v/>
      </c>
      <c r="P192" s="403" t="n">
        <v>0.18</v>
      </c>
      <c r="Q192" s="402">
        <f>IF(G192&gt;0, ((N192-SUMIFS('03_BOC_TACH_VAN'!K:K, '03_BOC_TACH_VAN'!B:B, B192, '03_BOC_TACH_VAN'!D:D, "ĐỘNG_CƠ_VÀ_CẢM_BIẾN"))*(1+P192)+SUMIFS('03_BOC_TACH_VAN'!K:K, '03_BOC_TACH_VAN'!B:B, B192, '03_BOC_TACH_VAN'!D:D, "ĐỘNG_CƠ_VÀ_CẢM_BIẾN"))/G192, 0)</f>
        <v/>
      </c>
      <c r="R192" s="402">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402" t="n">
        <v>6</v>
      </c>
      <c r="H193" s="402">
        <f>SUMIF('01_BOC_TACH_ONG'!B:B, B193, '01_BOC_TACH_ONG'!K:K)</f>
        <v/>
      </c>
      <c r="I193" s="402">
        <f>SUMIF('02_BOC_TACH_CUA'!B:B, B193, '02_BOC_TACH_CUA'!K:K)</f>
        <v/>
      </c>
      <c r="J193" s="402">
        <f>SUMIF('03_BOC_TACH_VAN'!B:B, B193, '03_BOC_TACH_VAN'!K:K)</f>
        <v/>
      </c>
      <c r="K193" s="402">
        <f>SUM(H193:J193)</f>
        <v/>
      </c>
      <c r="L193" s="402">
        <f>(K193-SUMIFS('03_BOC_TACH_VAN'!K:K, '03_BOC_TACH_VAN'!B:B, B193, '03_BOC_TACH_VAN'!D:D, "ĐỘNG_CƠ_VÀ_CẢM_BIẾN"))*0.25</f>
        <v/>
      </c>
      <c r="M193" s="402">
        <f>(K193-SUMIFS('03_BOC_TACH_VAN'!K:K, '03_BOC_TACH_VAN'!B:B, B193, '03_BOC_TACH_VAN'!D:D, "ĐỘNG_CƠ_VÀ_CẢM_BIẾN"))*0.10</f>
        <v/>
      </c>
      <c r="N193" s="402">
        <f>K193+L193+M193</f>
        <v/>
      </c>
      <c r="O193" s="402">
        <f>IF(G193&gt;0, N193/G193, 0)</f>
        <v/>
      </c>
      <c r="P193" s="403" t="n">
        <v>0.18</v>
      </c>
      <c r="Q193" s="402">
        <f>IF(G193&gt;0, ((N193-SUMIFS('03_BOC_TACH_VAN'!K:K, '03_BOC_TACH_VAN'!B:B, B193, '03_BOC_TACH_VAN'!D:D, "ĐỘNG_CƠ_VÀ_CẢM_BIẾN"))*(1+P193)+SUMIFS('03_BOC_TACH_VAN'!K:K, '03_BOC_TACH_VAN'!B:B, B193, '03_BOC_TACH_VAN'!D:D, "ĐỘNG_CƠ_VÀ_CẢM_BIẾN"))/G193, 0)</f>
        <v/>
      </c>
      <c r="R193" s="402">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402" t="n">
        <v>1</v>
      </c>
      <c r="H194" s="402">
        <f>SUMIF('01_BOC_TACH_ONG'!B:B, B194, '01_BOC_TACH_ONG'!K:K)</f>
        <v/>
      </c>
      <c r="I194" s="402">
        <f>SUMIF('02_BOC_TACH_CUA'!B:B, B194, '02_BOC_TACH_CUA'!K:K)</f>
        <v/>
      </c>
      <c r="J194" s="402">
        <f>SUMIF('03_BOC_TACH_VAN'!B:B, B194, '03_BOC_TACH_VAN'!K:K)</f>
        <v/>
      </c>
      <c r="K194" s="402">
        <f>SUM(H194:J194)</f>
        <v/>
      </c>
      <c r="L194" s="402">
        <f>(K194-SUMIFS('03_BOC_TACH_VAN'!K:K, '03_BOC_TACH_VAN'!B:B, B194, '03_BOC_TACH_VAN'!D:D, "ĐỘNG_CƠ_VÀ_CẢM_BIẾN"))*0.25</f>
        <v/>
      </c>
      <c r="M194" s="402">
        <f>(K194-SUMIFS('03_BOC_TACH_VAN'!K:K, '03_BOC_TACH_VAN'!B:B, B194, '03_BOC_TACH_VAN'!D:D, "ĐỘNG_CƠ_VÀ_CẢM_BIẾN"))*0.10</f>
        <v/>
      </c>
      <c r="N194" s="402">
        <f>K194+L194+M194</f>
        <v/>
      </c>
      <c r="O194" s="402">
        <f>IF(G194&gt;0, N194/G194, 0)</f>
        <v/>
      </c>
      <c r="P194" s="403" t="n">
        <v>0.18</v>
      </c>
      <c r="Q194" s="402">
        <f>IF(G194&gt;0, ((N194-SUMIFS('03_BOC_TACH_VAN'!K:K, '03_BOC_TACH_VAN'!B:B, B194, '03_BOC_TACH_VAN'!D:D, "ĐỘNG_CƠ_VÀ_CẢM_BIẾN"))*(1+P194)+SUMIFS('03_BOC_TACH_VAN'!K:K, '03_BOC_TACH_VAN'!B:B, B194, '03_BOC_TACH_VAN'!D:D, "ĐỘNG_CƠ_VÀ_CẢM_BIẾN"))/G194, 0)</f>
        <v/>
      </c>
      <c r="R194" s="402">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402" t="n">
        <v>1</v>
      </c>
      <c r="H195" s="402">
        <f>SUMIF('01_BOC_TACH_ONG'!B:B, B195, '01_BOC_TACH_ONG'!K:K)</f>
        <v/>
      </c>
      <c r="I195" s="402">
        <f>SUMIF('02_BOC_TACH_CUA'!B:B, B195, '02_BOC_TACH_CUA'!K:K)</f>
        <v/>
      </c>
      <c r="J195" s="402">
        <f>SUMIF('03_BOC_TACH_VAN'!B:B, B195, '03_BOC_TACH_VAN'!K:K)</f>
        <v/>
      </c>
      <c r="K195" s="402">
        <f>SUM(H195:J195)</f>
        <v/>
      </c>
      <c r="L195" s="402">
        <f>(K195-SUMIFS('03_BOC_TACH_VAN'!K:K, '03_BOC_TACH_VAN'!B:B, B195, '03_BOC_TACH_VAN'!D:D, "ĐỘNG_CƠ_VÀ_CẢM_BIẾN"))*0.25</f>
        <v/>
      </c>
      <c r="M195" s="402">
        <f>(K195-SUMIFS('03_BOC_TACH_VAN'!K:K, '03_BOC_TACH_VAN'!B:B, B195, '03_BOC_TACH_VAN'!D:D, "ĐỘNG_CƠ_VÀ_CẢM_BIẾN"))*0.10</f>
        <v/>
      </c>
      <c r="N195" s="402">
        <f>K195+L195+M195</f>
        <v/>
      </c>
      <c r="O195" s="402">
        <f>IF(G195&gt;0, N195/G195, 0)</f>
        <v/>
      </c>
      <c r="P195" s="403" t="n">
        <v>0.18</v>
      </c>
      <c r="Q195" s="402">
        <f>IF(G195&gt;0, ((N195-SUMIFS('03_BOC_TACH_VAN'!K:K, '03_BOC_TACH_VAN'!B:B, B195, '03_BOC_TACH_VAN'!D:D, "ĐỘNG_CƠ_VÀ_CẢM_BIẾN"))*(1+P195)+SUMIFS('03_BOC_TACH_VAN'!K:K, '03_BOC_TACH_VAN'!B:B, B195, '03_BOC_TACH_VAN'!D:D, "ĐỘNG_CƠ_VÀ_CẢM_BIẾN"))/G195, 0)</f>
        <v/>
      </c>
      <c r="R195" s="402">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402" t="n">
        <v>10</v>
      </c>
      <c r="H196" s="402">
        <f>SUMIF('01_BOC_TACH_ONG'!B:B, B196, '01_BOC_TACH_ONG'!K:K)</f>
        <v/>
      </c>
      <c r="I196" s="402">
        <f>SUMIF('02_BOC_TACH_CUA'!B:B, B196, '02_BOC_TACH_CUA'!K:K)</f>
        <v/>
      </c>
      <c r="J196" s="402">
        <f>SUMIF('03_BOC_TACH_VAN'!B:B, B196, '03_BOC_TACH_VAN'!K:K)</f>
        <v/>
      </c>
      <c r="K196" s="402">
        <f>SUM(H196:J196)</f>
        <v/>
      </c>
      <c r="L196" s="402">
        <f>(K196-SUMIFS('03_BOC_TACH_VAN'!K:K, '03_BOC_TACH_VAN'!B:B, B196, '03_BOC_TACH_VAN'!D:D, "ĐỘNG_CƠ_VÀ_CẢM_BIẾN"))*0.25</f>
        <v/>
      </c>
      <c r="M196" s="402">
        <f>(K196-SUMIFS('03_BOC_TACH_VAN'!K:K, '03_BOC_TACH_VAN'!B:B, B196, '03_BOC_TACH_VAN'!D:D, "ĐỘNG_CƠ_VÀ_CẢM_BIẾN"))*0.10</f>
        <v/>
      </c>
      <c r="N196" s="402">
        <f>K196+L196+M196</f>
        <v/>
      </c>
      <c r="O196" s="402">
        <f>IF(G196&gt;0, N196/G196, 0)</f>
        <v/>
      </c>
      <c r="P196" s="403" t="n">
        <v>0.18</v>
      </c>
      <c r="Q196" s="402">
        <f>IF(G196&gt;0, ((N196-SUMIFS('03_BOC_TACH_VAN'!K:K, '03_BOC_TACH_VAN'!B:B, B196, '03_BOC_TACH_VAN'!D:D, "ĐỘNG_CƠ_VÀ_CẢM_BIẾN"))*(1+P196)+SUMIFS('03_BOC_TACH_VAN'!K:K, '03_BOC_TACH_VAN'!B:B, B196, '03_BOC_TACH_VAN'!D:D, "ĐỘNG_CƠ_VÀ_CẢM_BIẾN"))/G196, 0)</f>
        <v/>
      </c>
      <c r="R196" s="402">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402" t="n">
        <v>12</v>
      </c>
      <c r="H197" s="402">
        <f>SUMIF('01_BOC_TACH_ONG'!B:B, B197, '01_BOC_TACH_ONG'!K:K)</f>
        <v/>
      </c>
      <c r="I197" s="402">
        <f>SUMIF('02_BOC_TACH_CUA'!B:B, B197, '02_BOC_TACH_CUA'!K:K)</f>
        <v/>
      </c>
      <c r="J197" s="402">
        <f>SUMIF('03_BOC_TACH_VAN'!B:B, B197, '03_BOC_TACH_VAN'!K:K)</f>
        <v/>
      </c>
      <c r="K197" s="402">
        <f>SUM(H197:J197)</f>
        <v/>
      </c>
      <c r="L197" s="402">
        <f>(K197-SUMIFS('03_BOC_TACH_VAN'!K:K, '03_BOC_TACH_VAN'!B:B, B197, '03_BOC_TACH_VAN'!D:D, "ĐỘNG_CƠ_VÀ_CẢM_BIẾN"))*0.25</f>
        <v/>
      </c>
      <c r="M197" s="402">
        <f>(K197-SUMIFS('03_BOC_TACH_VAN'!K:K, '03_BOC_TACH_VAN'!B:B, B197, '03_BOC_TACH_VAN'!D:D, "ĐỘNG_CƠ_VÀ_CẢM_BIẾN"))*0.10</f>
        <v/>
      </c>
      <c r="N197" s="402">
        <f>K197+L197+M197</f>
        <v/>
      </c>
      <c r="O197" s="402">
        <f>IF(G197&gt;0, N197/G197, 0)</f>
        <v/>
      </c>
      <c r="P197" s="403" t="n">
        <v>0.18</v>
      </c>
      <c r="Q197" s="402">
        <f>IF(G197&gt;0, ((N197-SUMIFS('03_BOC_TACH_VAN'!K:K, '03_BOC_TACH_VAN'!B:B, B197, '03_BOC_TACH_VAN'!D:D, "ĐỘNG_CƠ_VÀ_CẢM_BIẾN"))*(1+P197)+SUMIFS('03_BOC_TACH_VAN'!K:K, '03_BOC_TACH_VAN'!B:B, B197, '03_BOC_TACH_VAN'!D:D, "ĐỘNG_CƠ_VÀ_CẢM_BIẾN"))/G197, 0)</f>
        <v/>
      </c>
      <c r="R197" s="402">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402" t="n">
        <v>62</v>
      </c>
      <c r="H198" s="402">
        <f>SUMIF('01_BOC_TACH_ONG'!B:B, B198, '01_BOC_TACH_ONG'!K:K)</f>
        <v/>
      </c>
      <c r="I198" s="402">
        <f>SUMIF('02_BOC_TACH_CUA'!B:B, B198, '02_BOC_TACH_CUA'!K:K)</f>
        <v/>
      </c>
      <c r="J198" s="402">
        <f>SUMIF('03_BOC_TACH_VAN'!B:B, B198, '03_BOC_TACH_VAN'!K:K)</f>
        <v/>
      </c>
      <c r="K198" s="402">
        <f>SUM(H198:J198)</f>
        <v/>
      </c>
      <c r="L198" s="402">
        <f>(K198-SUMIFS('03_BOC_TACH_VAN'!K:K, '03_BOC_TACH_VAN'!B:B, B198, '03_BOC_TACH_VAN'!D:D, "ĐỘNG_CƠ_VÀ_CẢM_BIẾN"))*0.25</f>
        <v/>
      </c>
      <c r="M198" s="402">
        <f>(K198-SUMIFS('03_BOC_TACH_VAN'!K:K, '03_BOC_TACH_VAN'!B:B, B198, '03_BOC_TACH_VAN'!D:D, "ĐỘNG_CƠ_VÀ_CẢM_BIẾN"))*0.10</f>
        <v/>
      </c>
      <c r="N198" s="402">
        <f>K198+L198+M198</f>
        <v/>
      </c>
      <c r="O198" s="402">
        <f>IF(G198&gt;0, N198/G198, 0)</f>
        <v/>
      </c>
      <c r="P198" s="403" t="n">
        <v>0.18</v>
      </c>
      <c r="Q198" s="402">
        <f>IF(G198&gt;0, ((N198-SUMIFS('03_BOC_TACH_VAN'!K:K, '03_BOC_TACH_VAN'!B:B, B198, '03_BOC_TACH_VAN'!D:D, "ĐỘNG_CƠ_VÀ_CẢM_BIẾN"))*(1+P198)+SUMIFS('03_BOC_TACH_VAN'!K:K, '03_BOC_TACH_VAN'!B:B, B198, '03_BOC_TACH_VAN'!D:D, "ĐỘNG_CƠ_VÀ_CẢM_BIẾN"))/G198, 0)</f>
        <v/>
      </c>
      <c r="R198" s="402">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402" t="n">
        <v>2</v>
      </c>
      <c r="H199" s="402">
        <f>SUMIF('01_BOC_TACH_ONG'!B:B, B199, '01_BOC_TACH_ONG'!K:K)</f>
        <v/>
      </c>
      <c r="I199" s="402">
        <f>SUMIF('02_BOC_TACH_CUA'!B:B, B199, '02_BOC_TACH_CUA'!K:K)</f>
        <v/>
      </c>
      <c r="J199" s="402">
        <f>SUMIF('03_BOC_TACH_VAN'!B:B, B199, '03_BOC_TACH_VAN'!K:K)</f>
        <v/>
      </c>
      <c r="K199" s="402">
        <f>SUM(H199:J199)</f>
        <v/>
      </c>
      <c r="L199" s="402">
        <f>(K199-SUMIFS('03_BOC_TACH_VAN'!K:K, '03_BOC_TACH_VAN'!B:B, B199, '03_BOC_TACH_VAN'!D:D, "ĐỘNG_CƠ_VÀ_CẢM_BIẾN"))*0.25</f>
        <v/>
      </c>
      <c r="M199" s="402">
        <f>(K199-SUMIFS('03_BOC_TACH_VAN'!K:K, '03_BOC_TACH_VAN'!B:B, B199, '03_BOC_TACH_VAN'!D:D, "ĐỘNG_CƠ_VÀ_CẢM_BIẾN"))*0.10</f>
        <v/>
      </c>
      <c r="N199" s="402">
        <f>K199+L199+M199</f>
        <v/>
      </c>
      <c r="O199" s="402">
        <f>IF(G199&gt;0, N199/G199, 0)</f>
        <v/>
      </c>
      <c r="P199" s="403" t="n">
        <v>0.18</v>
      </c>
      <c r="Q199" s="402">
        <f>IF(G199&gt;0, ((N199-SUMIFS('03_BOC_TACH_VAN'!K:K, '03_BOC_TACH_VAN'!B:B, B199, '03_BOC_TACH_VAN'!D:D, "ĐỘNG_CƠ_VÀ_CẢM_BIẾN"))*(1+P199)+SUMIFS('03_BOC_TACH_VAN'!K:K, '03_BOC_TACH_VAN'!B:B, B199, '03_BOC_TACH_VAN'!D:D, "ĐỘNG_CƠ_VÀ_CẢM_BIẾN"))/G199, 0)</f>
        <v/>
      </c>
      <c r="R199" s="402">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402" t="n">
        <v>5</v>
      </c>
      <c r="H200" s="402">
        <f>SUMIF('01_BOC_TACH_ONG'!B:B, B200, '01_BOC_TACH_ONG'!K:K)</f>
        <v/>
      </c>
      <c r="I200" s="402">
        <f>SUMIF('02_BOC_TACH_CUA'!B:B, B200, '02_BOC_TACH_CUA'!K:K)</f>
        <v/>
      </c>
      <c r="J200" s="402">
        <f>SUMIF('03_BOC_TACH_VAN'!B:B, B200, '03_BOC_TACH_VAN'!K:K)</f>
        <v/>
      </c>
      <c r="K200" s="402">
        <f>SUM(H200:J200)</f>
        <v/>
      </c>
      <c r="L200" s="402">
        <f>(K200-SUMIFS('03_BOC_TACH_VAN'!K:K, '03_BOC_TACH_VAN'!B:B, B200, '03_BOC_TACH_VAN'!D:D, "ĐỘNG_CƠ_VÀ_CẢM_BIẾN"))*0.25</f>
        <v/>
      </c>
      <c r="M200" s="402">
        <f>(K200-SUMIFS('03_BOC_TACH_VAN'!K:K, '03_BOC_TACH_VAN'!B:B, B200, '03_BOC_TACH_VAN'!D:D, "ĐỘNG_CƠ_VÀ_CẢM_BIẾN"))*0.10</f>
        <v/>
      </c>
      <c r="N200" s="402">
        <f>K200+L200+M200</f>
        <v/>
      </c>
      <c r="O200" s="402">
        <f>IF(G200&gt;0, N200/G200, 0)</f>
        <v/>
      </c>
      <c r="P200" s="403" t="n">
        <v>0.18</v>
      </c>
      <c r="Q200" s="402">
        <f>IF(G200&gt;0, ((N200-SUMIFS('03_BOC_TACH_VAN'!K:K, '03_BOC_TACH_VAN'!B:B, B200, '03_BOC_TACH_VAN'!D:D, "ĐỘNG_CƠ_VÀ_CẢM_BIẾN"))*(1+P200)+SUMIFS('03_BOC_TACH_VAN'!K:K, '03_BOC_TACH_VAN'!B:B, B200, '03_BOC_TACH_VAN'!D:D, "ĐỘNG_CƠ_VÀ_CẢM_BIẾN"))/G200, 0)</f>
        <v/>
      </c>
      <c r="R200" s="402">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402" t="n">
        <v>3</v>
      </c>
      <c r="H201" s="402">
        <f>SUMIF('01_BOC_TACH_ONG'!B:B, B201, '01_BOC_TACH_ONG'!K:K)</f>
        <v/>
      </c>
      <c r="I201" s="402">
        <f>SUMIF('02_BOC_TACH_CUA'!B:B, B201, '02_BOC_TACH_CUA'!K:K)</f>
        <v/>
      </c>
      <c r="J201" s="402">
        <f>SUMIF('03_BOC_TACH_VAN'!B:B, B201, '03_BOC_TACH_VAN'!K:K)</f>
        <v/>
      </c>
      <c r="K201" s="402">
        <f>SUM(H201:J201)</f>
        <v/>
      </c>
      <c r="L201" s="402">
        <f>(K201-SUMIFS('03_BOC_TACH_VAN'!K:K, '03_BOC_TACH_VAN'!B:B, B201, '03_BOC_TACH_VAN'!D:D, "ĐỘNG_CƠ_VÀ_CẢM_BIẾN"))*0.25</f>
        <v/>
      </c>
      <c r="M201" s="402">
        <f>(K201-SUMIFS('03_BOC_TACH_VAN'!K:K, '03_BOC_TACH_VAN'!B:B, B201, '03_BOC_TACH_VAN'!D:D, "ĐỘNG_CƠ_VÀ_CẢM_BIẾN"))*0.10</f>
        <v/>
      </c>
      <c r="N201" s="402">
        <f>K201+L201+M201</f>
        <v/>
      </c>
      <c r="O201" s="402">
        <f>IF(G201&gt;0, N201/G201, 0)</f>
        <v/>
      </c>
      <c r="P201" s="403" t="n">
        <v>0.18</v>
      </c>
      <c r="Q201" s="402">
        <f>IF(G201&gt;0, ((N201-SUMIFS('03_BOC_TACH_VAN'!K:K, '03_BOC_TACH_VAN'!B:B, B201, '03_BOC_TACH_VAN'!D:D, "ĐỘNG_CƠ_VÀ_CẢM_BIẾN"))*(1+P201)+SUMIFS('03_BOC_TACH_VAN'!K:K, '03_BOC_TACH_VAN'!B:B, B201, '03_BOC_TACH_VAN'!D:D, "ĐỘNG_CƠ_VÀ_CẢM_BIẾN"))/G201, 0)</f>
        <v/>
      </c>
      <c r="R201" s="402">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402" t="n">
        <v>1</v>
      </c>
      <c r="H202" s="402">
        <f>SUMIF('01_BOC_TACH_ONG'!B:B, B202, '01_BOC_TACH_ONG'!K:K)</f>
        <v/>
      </c>
      <c r="I202" s="402">
        <f>SUMIF('02_BOC_TACH_CUA'!B:B, B202, '02_BOC_TACH_CUA'!K:K)</f>
        <v/>
      </c>
      <c r="J202" s="402">
        <f>SUMIF('03_BOC_TACH_VAN'!B:B, B202, '03_BOC_TACH_VAN'!K:K)</f>
        <v/>
      </c>
      <c r="K202" s="402">
        <f>SUM(H202:J202)</f>
        <v/>
      </c>
      <c r="L202" s="402">
        <f>(K202-SUMIFS('03_BOC_TACH_VAN'!K:K, '03_BOC_TACH_VAN'!B:B, B202, '03_BOC_TACH_VAN'!D:D, "ĐỘNG_CƠ_VÀ_CẢM_BIẾN"))*0.25</f>
        <v/>
      </c>
      <c r="M202" s="402">
        <f>(K202-SUMIFS('03_BOC_TACH_VAN'!K:K, '03_BOC_TACH_VAN'!B:B, B202, '03_BOC_TACH_VAN'!D:D, "ĐỘNG_CƠ_VÀ_CẢM_BIẾN"))*0.10</f>
        <v/>
      </c>
      <c r="N202" s="402">
        <f>K202+L202+M202</f>
        <v/>
      </c>
      <c r="O202" s="402">
        <f>IF(G202&gt;0, N202/G202, 0)</f>
        <v/>
      </c>
      <c r="P202" s="403" t="n">
        <v>0.18</v>
      </c>
      <c r="Q202" s="402">
        <f>IF(G202&gt;0, ((N202-SUMIFS('03_BOC_TACH_VAN'!K:K, '03_BOC_TACH_VAN'!B:B, B202, '03_BOC_TACH_VAN'!D:D, "ĐỘNG_CƠ_VÀ_CẢM_BIẾN"))*(1+P202)+SUMIFS('03_BOC_TACH_VAN'!K:K, '03_BOC_TACH_VAN'!B:B, B202, '03_BOC_TACH_VAN'!D:D, "ĐỘNG_CƠ_VÀ_CẢM_BIẾN"))/G202, 0)</f>
        <v/>
      </c>
      <c r="R202" s="402">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402" t="n">
        <v>3</v>
      </c>
      <c r="H203" s="402">
        <f>SUMIF('01_BOC_TACH_ONG'!B:B, B203, '01_BOC_TACH_ONG'!K:K)</f>
        <v/>
      </c>
      <c r="I203" s="402">
        <f>SUMIF('02_BOC_TACH_CUA'!B:B, B203, '02_BOC_TACH_CUA'!K:K)</f>
        <v/>
      </c>
      <c r="J203" s="402">
        <f>SUMIF('03_BOC_TACH_VAN'!B:B, B203, '03_BOC_TACH_VAN'!K:K)</f>
        <v/>
      </c>
      <c r="K203" s="402">
        <f>SUM(H203:J203)</f>
        <v/>
      </c>
      <c r="L203" s="402">
        <f>(K203-SUMIFS('03_BOC_TACH_VAN'!K:K, '03_BOC_TACH_VAN'!B:B, B203, '03_BOC_TACH_VAN'!D:D, "ĐỘNG_CƠ_VÀ_CẢM_BIẾN"))*0.25</f>
        <v/>
      </c>
      <c r="M203" s="402">
        <f>(K203-SUMIFS('03_BOC_TACH_VAN'!K:K, '03_BOC_TACH_VAN'!B:B, B203, '03_BOC_TACH_VAN'!D:D, "ĐỘNG_CƠ_VÀ_CẢM_BIẾN"))*0.10</f>
        <v/>
      </c>
      <c r="N203" s="402">
        <f>K203+L203+M203</f>
        <v/>
      </c>
      <c r="O203" s="402">
        <f>IF(G203&gt;0, N203/G203, 0)</f>
        <v/>
      </c>
      <c r="P203" s="403" t="n">
        <v>0.18</v>
      </c>
      <c r="Q203" s="402">
        <f>IF(G203&gt;0, ((N203-SUMIFS('03_BOC_TACH_VAN'!K:K, '03_BOC_TACH_VAN'!B:B, B203, '03_BOC_TACH_VAN'!D:D, "ĐỘNG_CƠ_VÀ_CẢM_BIẾN"))*(1+P203)+SUMIFS('03_BOC_TACH_VAN'!K:K, '03_BOC_TACH_VAN'!B:B, B203, '03_BOC_TACH_VAN'!D:D, "ĐỘNG_CƠ_VÀ_CẢM_BIẾN"))/G203, 0)</f>
        <v/>
      </c>
      <c r="R203" s="402">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402" t="n">
        <v>44</v>
      </c>
      <c r="H204" s="402">
        <f>SUMIF('01_BOC_TACH_ONG'!B:B, B204, '01_BOC_TACH_ONG'!K:K)</f>
        <v/>
      </c>
      <c r="I204" s="402">
        <f>SUMIF('02_BOC_TACH_CUA'!B:B, B204, '02_BOC_TACH_CUA'!K:K)</f>
        <v/>
      </c>
      <c r="J204" s="402">
        <f>SUMIF('03_BOC_TACH_VAN'!B:B, B204, '03_BOC_TACH_VAN'!K:K)</f>
        <v/>
      </c>
      <c r="K204" s="402">
        <f>SUM(H204:J204)</f>
        <v/>
      </c>
      <c r="L204" s="402">
        <f>(K204-SUMIFS('03_BOC_TACH_VAN'!K:K, '03_BOC_TACH_VAN'!B:B, B204, '03_BOC_TACH_VAN'!D:D, "ĐỘNG_CƠ_VÀ_CẢM_BIẾN"))*0.25</f>
        <v/>
      </c>
      <c r="M204" s="402">
        <f>(K204-SUMIFS('03_BOC_TACH_VAN'!K:K, '03_BOC_TACH_VAN'!B:B, B204, '03_BOC_TACH_VAN'!D:D, "ĐỘNG_CƠ_VÀ_CẢM_BIẾN"))*0.10</f>
        <v/>
      </c>
      <c r="N204" s="402">
        <f>K204+L204+M204</f>
        <v/>
      </c>
      <c r="O204" s="402">
        <f>IF(G204&gt;0, N204/G204, 0)</f>
        <v/>
      </c>
      <c r="P204" s="403" t="n">
        <v>0.18</v>
      </c>
      <c r="Q204" s="402">
        <f>IF(G204&gt;0, ((N204-SUMIFS('03_BOC_TACH_VAN'!K:K, '03_BOC_TACH_VAN'!B:B, B204, '03_BOC_TACH_VAN'!D:D, "ĐỘNG_CƠ_VÀ_CẢM_BIẾN"))*(1+P204)+SUMIFS('03_BOC_TACH_VAN'!K:K, '03_BOC_TACH_VAN'!B:B, B204, '03_BOC_TACH_VAN'!D:D, "ĐỘNG_CƠ_VÀ_CẢM_BIẾN"))/G204, 0)</f>
        <v/>
      </c>
      <c r="R204" s="402">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402" t="n">
        <v>4</v>
      </c>
      <c r="H205" s="402">
        <f>SUMIF('01_BOC_TACH_ONG'!B:B, B205, '01_BOC_TACH_ONG'!K:K)</f>
        <v/>
      </c>
      <c r="I205" s="402">
        <f>SUMIF('02_BOC_TACH_CUA'!B:B, B205, '02_BOC_TACH_CUA'!K:K)</f>
        <v/>
      </c>
      <c r="J205" s="402">
        <f>SUMIF('03_BOC_TACH_VAN'!B:B, B205, '03_BOC_TACH_VAN'!K:K)</f>
        <v/>
      </c>
      <c r="K205" s="402">
        <f>SUM(H205:J205)</f>
        <v/>
      </c>
      <c r="L205" s="402">
        <f>(K205-SUMIFS('03_BOC_TACH_VAN'!K:K, '03_BOC_TACH_VAN'!B:B, B205, '03_BOC_TACH_VAN'!D:D, "ĐỘNG_CƠ_VÀ_CẢM_BIẾN"))*0.25</f>
        <v/>
      </c>
      <c r="M205" s="402">
        <f>(K205-SUMIFS('03_BOC_TACH_VAN'!K:K, '03_BOC_TACH_VAN'!B:B, B205, '03_BOC_TACH_VAN'!D:D, "ĐỘNG_CƠ_VÀ_CẢM_BIẾN"))*0.10</f>
        <v/>
      </c>
      <c r="N205" s="402">
        <f>K205+L205+M205</f>
        <v/>
      </c>
      <c r="O205" s="402">
        <f>IF(G205&gt;0, N205/G205, 0)</f>
        <v/>
      </c>
      <c r="P205" s="403" t="n">
        <v>0.18</v>
      </c>
      <c r="Q205" s="402">
        <f>IF(G205&gt;0, ((N205-SUMIFS('03_BOC_TACH_VAN'!K:K, '03_BOC_TACH_VAN'!B:B, B205, '03_BOC_TACH_VAN'!D:D, "ĐỘNG_CƠ_VÀ_CẢM_BIẾN"))*(1+P205)+SUMIFS('03_BOC_TACH_VAN'!K:K, '03_BOC_TACH_VAN'!B:B, B205, '03_BOC_TACH_VAN'!D:D, "ĐỘNG_CƠ_VÀ_CẢM_BIẾN"))/G205, 0)</f>
        <v/>
      </c>
      <c r="R205" s="402">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402" t="n">
        <v>2</v>
      </c>
      <c r="H206" s="402">
        <f>SUMIF('01_BOC_TACH_ONG'!B:B, B206, '01_BOC_TACH_ONG'!K:K)</f>
        <v/>
      </c>
      <c r="I206" s="402">
        <f>SUMIF('02_BOC_TACH_CUA'!B:B, B206, '02_BOC_TACH_CUA'!K:K)</f>
        <v/>
      </c>
      <c r="J206" s="402">
        <f>SUMIF('03_BOC_TACH_VAN'!B:B, B206, '03_BOC_TACH_VAN'!K:K)</f>
        <v/>
      </c>
      <c r="K206" s="402">
        <f>SUM(H206:J206)</f>
        <v/>
      </c>
      <c r="L206" s="402">
        <f>(K206-SUMIFS('03_BOC_TACH_VAN'!K:K, '03_BOC_TACH_VAN'!B:B, B206, '03_BOC_TACH_VAN'!D:D, "ĐỘNG_CƠ_VÀ_CẢM_BIẾN"))*0.25</f>
        <v/>
      </c>
      <c r="M206" s="402">
        <f>(K206-SUMIFS('03_BOC_TACH_VAN'!K:K, '03_BOC_TACH_VAN'!B:B, B206, '03_BOC_TACH_VAN'!D:D, "ĐỘNG_CƠ_VÀ_CẢM_BIẾN"))*0.10</f>
        <v/>
      </c>
      <c r="N206" s="402">
        <f>K206+L206+M206</f>
        <v/>
      </c>
      <c r="O206" s="402">
        <f>IF(G206&gt;0, N206/G206, 0)</f>
        <v/>
      </c>
      <c r="P206" s="403" t="n">
        <v>0.18</v>
      </c>
      <c r="Q206" s="402">
        <f>IF(G206&gt;0, ((N206-SUMIFS('03_BOC_TACH_VAN'!K:K, '03_BOC_TACH_VAN'!B:B, B206, '03_BOC_TACH_VAN'!D:D, "ĐỘNG_CƠ_VÀ_CẢM_BIẾN"))*(1+P206)+SUMIFS('03_BOC_TACH_VAN'!K:K, '03_BOC_TACH_VAN'!B:B, B206, '03_BOC_TACH_VAN'!D:D, "ĐỘNG_CƠ_VÀ_CẢM_BIẾN"))/G206, 0)</f>
        <v/>
      </c>
      <c r="R206" s="402">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402" t="n">
        <v>1</v>
      </c>
      <c r="H207" s="402">
        <f>SUMIF('01_BOC_TACH_ONG'!B:B, B207, '01_BOC_TACH_ONG'!K:K)</f>
        <v/>
      </c>
      <c r="I207" s="402">
        <f>SUMIF('02_BOC_TACH_CUA'!B:B, B207, '02_BOC_TACH_CUA'!K:K)</f>
        <v/>
      </c>
      <c r="J207" s="402">
        <f>SUMIF('03_BOC_TACH_VAN'!B:B, B207, '03_BOC_TACH_VAN'!K:K)</f>
        <v/>
      </c>
      <c r="K207" s="402">
        <f>SUM(H207:J207)</f>
        <v/>
      </c>
      <c r="L207" s="402">
        <f>(K207-SUMIFS('03_BOC_TACH_VAN'!K:K, '03_BOC_TACH_VAN'!B:B, B207, '03_BOC_TACH_VAN'!D:D, "ĐỘNG_CƠ_VÀ_CẢM_BIẾN"))*0.25</f>
        <v/>
      </c>
      <c r="M207" s="402">
        <f>(K207-SUMIFS('03_BOC_TACH_VAN'!K:K, '03_BOC_TACH_VAN'!B:B, B207, '03_BOC_TACH_VAN'!D:D, "ĐỘNG_CƠ_VÀ_CẢM_BIẾN"))*0.10</f>
        <v/>
      </c>
      <c r="N207" s="402">
        <f>K207+L207+M207</f>
        <v/>
      </c>
      <c r="O207" s="402">
        <f>IF(G207&gt;0, N207/G207, 0)</f>
        <v/>
      </c>
      <c r="P207" s="403" t="n">
        <v>0.18</v>
      </c>
      <c r="Q207" s="402">
        <f>IF(G207&gt;0, ((N207-SUMIFS('03_BOC_TACH_VAN'!K:K, '03_BOC_TACH_VAN'!B:B, B207, '03_BOC_TACH_VAN'!D:D, "ĐỘNG_CƠ_VÀ_CẢM_BIẾN"))*(1+P207)+SUMIFS('03_BOC_TACH_VAN'!K:K, '03_BOC_TACH_VAN'!B:B, B207, '03_BOC_TACH_VAN'!D:D, "ĐỘNG_CƠ_VÀ_CẢM_BIẾN"))/G207, 0)</f>
        <v/>
      </c>
      <c r="R207" s="402">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402" t="n">
        <v>1</v>
      </c>
      <c r="H208" s="402">
        <f>SUMIF('01_BOC_TACH_ONG'!B:B, B208, '01_BOC_TACH_ONG'!K:K)</f>
        <v/>
      </c>
      <c r="I208" s="402">
        <f>SUMIF('02_BOC_TACH_CUA'!B:B, B208, '02_BOC_TACH_CUA'!K:K)</f>
        <v/>
      </c>
      <c r="J208" s="402">
        <f>SUMIF('03_BOC_TACH_VAN'!B:B, B208, '03_BOC_TACH_VAN'!K:K)</f>
        <v/>
      </c>
      <c r="K208" s="402">
        <f>SUM(H208:J208)</f>
        <v/>
      </c>
      <c r="L208" s="402">
        <f>(K208-SUMIFS('03_BOC_TACH_VAN'!K:K, '03_BOC_TACH_VAN'!B:B, B208, '03_BOC_TACH_VAN'!D:D, "ĐỘNG_CƠ_VÀ_CẢM_BIẾN"))*0.25</f>
        <v/>
      </c>
      <c r="M208" s="402">
        <f>(K208-SUMIFS('03_BOC_TACH_VAN'!K:K, '03_BOC_TACH_VAN'!B:B, B208, '03_BOC_TACH_VAN'!D:D, "ĐỘNG_CƠ_VÀ_CẢM_BIẾN"))*0.10</f>
        <v/>
      </c>
      <c r="N208" s="402">
        <f>K208+L208+M208</f>
        <v/>
      </c>
      <c r="O208" s="402">
        <f>IF(G208&gt;0, N208/G208, 0)</f>
        <v/>
      </c>
      <c r="P208" s="403" t="n">
        <v>0.18</v>
      </c>
      <c r="Q208" s="402">
        <f>IF(G208&gt;0, ((N208-SUMIFS('03_BOC_TACH_VAN'!K:K, '03_BOC_TACH_VAN'!B:B, B208, '03_BOC_TACH_VAN'!D:D, "ĐỘNG_CƠ_VÀ_CẢM_BIẾN"))*(1+P208)+SUMIFS('03_BOC_TACH_VAN'!K:K, '03_BOC_TACH_VAN'!B:B, B208, '03_BOC_TACH_VAN'!D:D, "ĐỘNG_CƠ_VÀ_CẢM_BIẾN"))/G208, 0)</f>
        <v/>
      </c>
      <c r="R208" s="402">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402" t="n">
        <v>1</v>
      </c>
      <c r="H209" s="402">
        <f>SUMIF('01_BOC_TACH_ONG'!B:B, B209, '01_BOC_TACH_ONG'!K:K)</f>
        <v/>
      </c>
      <c r="I209" s="402">
        <f>SUMIF('02_BOC_TACH_CUA'!B:B, B209, '02_BOC_TACH_CUA'!K:K)</f>
        <v/>
      </c>
      <c r="J209" s="402">
        <f>SUMIF('03_BOC_TACH_VAN'!B:B, B209, '03_BOC_TACH_VAN'!K:K)</f>
        <v/>
      </c>
      <c r="K209" s="402">
        <f>SUM(H209:J209)</f>
        <v/>
      </c>
      <c r="L209" s="402">
        <f>(K209-SUMIFS('03_BOC_TACH_VAN'!K:K, '03_BOC_TACH_VAN'!B:B, B209, '03_BOC_TACH_VAN'!D:D, "ĐỘNG_CƠ_VÀ_CẢM_BIẾN"))*0.25</f>
        <v/>
      </c>
      <c r="M209" s="402">
        <f>(K209-SUMIFS('03_BOC_TACH_VAN'!K:K, '03_BOC_TACH_VAN'!B:B, B209, '03_BOC_TACH_VAN'!D:D, "ĐỘNG_CƠ_VÀ_CẢM_BIẾN"))*0.10</f>
        <v/>
      </c>
      <c r="N209" s="402">
        <f>K209+L209+M209</f>
        <v/>
      </c>
      <c r="O209" s="402">
        <f>IF(G209&gt;0, N209/G209, 0)</f>
        <v/>
      </c>
      <c r="P209" s="403" t="n">
        <v>0.18</v>
      </c>
      <c r="Q209" s="402">
        <f>IF(G209&gt;0, ((N209-SUMIFS('03_BOC_TACH_VAN'!K:K, '03_BOC_TACH_VAN'!B:B, B209, '03_BOC_TACH_VAN'!D:D, "ĐỘNG_CƠ_VÀ_CẢM_BIẾN"))*(1+P209)+SUMIFS('03_BOC_TACH_VAN'!K:K, '03_BOC_TACH_VAN'!B:B, B209, '03_BOC_TACH_VAN'!D:D, "ĐỘNG_CƠ_VÀ_CẢM_BIẾN"))/G209, 0)</f>
        <v/>
      </c>
      <c r="R209" s="402">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402" t="n">
        <v>1</v>
      </c>
      <c r="H210" s="402">
        <f>SUMIF('01_BOC_TACH_ONG'!B:B, B210, '01_BOC_TACH_ONG'!K:K)</f>
        <v/>
      </c>
      <c r="I210" s="402">
        <f>SUMIF('02_BOC_TACH_CUA'!B:B, B210, '02_BOC_TACH_CUA'!K:K)</f>
        <v/>
      </c>
      <c r="J210" s="402">
        <f>SUMIF('03_BOC_TACH_VAN'!B:B, B210, '03_BOC_TACH_VAN'!K:K)</f>
        <v/>
      </c>
      <c r="K210" s="402">
        <f>SUM(H210:J210)</f>
        <v/>
      </c>
      <c r="L210" s="402">
        <f>(K210-SUMIFS('03_BOC_TACH_VAN'!K:K, '03_BOC_TACH_VAN'!B:B, B210, '03_BOC_TACH_VAN'!D:D, "ĐỘNG_CƠ_VÀ_CẢM_BIẾN"))*0.25</f>
        <v/>
      </c>
      <c r="M210" s="402">
        <f>(K210-SUMIFS('03_BOC_TACH_VAN'!K:K, '03_BOC_TACH_VAN'!B:B, B210, '03_BOC_TACH_VAN'!D:D, "ĐỘNG_CƠ_VÀ_CẢM_BIẾN"))*0.10</f>
        <v/>
      </c>
      <c r="N210" s="402">
        <f>K210+L210+M210</f>
        <v/>
      </c>
      <c r="O210" s="402">
        <f>IF(G210&gt;0, N210/G210, 0)</f>
        <v/>
      </c>
      <c r="P210" s="403" t="n">
        <v>0.18</v>
      </c>
      <c r="Q210" s="402">
        <f>IF(G210&gt;0, ((N210-SUMIFS('03_BOC_TACH_VAN'!K:K, '03_BOC_TACH_VAN'!B:B, B210, '03_BOC_TACH_VAN'!D:D, "ĐỘNG_CƠ_VÀ_CẢM_BIẾN"))*(1+P210)+SUMIFS('03_BOC_TACH_VAN'!K:K, '03_BOC_TACH_VAN'!B:B, B210, '03_BOC_TACH_VAN'!D:D, "ĐỘNG_CƠ_VÀ_CẢM_BIẾN"))/G210, 0)</f>
        <v/>
      </c>
      <c r="R210" s="402">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402" t="n">
        <v>1</v>
      </c>
      <c r="H211" s="402">
        <f>SUMIF('01_BOC_TACH_ONG'!B:B, B211, '01_BOC_TACH_ONG'!K:K)</f>
        <v/>
      </c>
      <c r="I211" s="402">
        <f>SUMIF('02_BOC_TACH_CUA'!B:B, B211, '02_BOC_TACH_CUA'!K:K)</f>
        <v/>
      </c>
      <c r="J211" s="402">
        <f>SUMIF('03_BOC_TACH_VAN'!B:B, B211, '03_BOC_TACH_VAN'!K:K)</f>
        <v/>
      </c>
      <c r="K211" s="402">
        <f>SUM(H211:J211)</f>
        <v/>
      </c>
      <c r="L211" s="402">
        <f>(K211-SUMIFS('03_BOC_TACH_VAN'!K:K, '03_BOC_TACH_VAN'!B:B, B211, '03_BOC_TACH_VAN'!D:D, "ĐỘNG_CƠ_VÀ_CẢM_BIẾN"))*0.25</f>
        <v/>
      </c>
      <c r="M211" s="402">
        <f>(K211-SUMIFS('03_BOC_TACH_VAN'!K:K, '03_BOC_TACH_VAN'!B:B, B211, '03_BOC_TACH_VAN'!D:D, "ĐỘNG_CƠ_VÀ_CẢM_BIẾN"))*0.10</f>
        <v/>
      </c>
      <c r="N211" s="402">
        <f>K211+L211+M211</f>
        <v/>
      </c>
      <c r="O211" s="402">
        <f>IF(G211&gt;0, N211/G211, 0)</f>
        <v/>
      </c>
      <c r="P211" s="403" t="n">
        <v>0.18</v>
      </c>
      <c r="Q211" s="402">
        <f>IF(G211&gt;0, ((N211-SUMIFS('03_BOC_TACH_VAN'!K:K, '03_BOC_TACH_VAN'!B:B, B211, '03_BOC_TACH_VAN'!D:D, "ĐỘNG_CƠ_VÀ_CẢM_BIẾN"))*(1+P211)+SUMIFS('03_BOC_TACH_VAN'!K:K, '03_BOC_TACH_VAN'!B:B, B211, '03_BOC_TACH_VAN'!D:D, "ĐỘNG_CƠ_VÀ_CẢM_BIẾN"))/G211, 0)</f>
        <v/>
      </c>
      <c r="R211" s="402">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402" t="n">
        <v>2</v>
      </c>
      <c r="H212" s="402">
        <f>SUMIF('01_BOC_TACH_ONG'!B:B, B212, '01_BOC_TACH_ONG'!K:K)</f>
        <v/>
      </c>
      <c r="I212" s="402">
        <f>SUMIF('02_BOC_TACH_CUA'!B:B, B212, '02_BOC_TACH_CUA'!K:K)</f>
        <v/>
      </c>
      <c r="J212" s="402">
        <f>SUMIF('03_BOC_TACH_VAN'!B:B, B212, '03_BOC_TACH_VAN'!K:K)</f>
        <v/>
      </c>
      <c r="K212" s="402">
        <f>SUM(H212:J212)</f>
        <v/>
      </c>
      <c r="L212" s="402">
        <f>(K212-SUMIFS('03_BOC_TACH_VAN'!K:K, '03_BOC_TACH_VAN'!B:B, B212, '03_BOC_TACH_VAN'!D:D, "ĐỘNG_CƠ_VÀ_CẢM_BIẾN"))*0.25</f>
        <v/>
      </c>
      <c r="M212" s="402">
        <f>(K212-SUMIFS('03_BOC_TACH_VAN'!K:K, '03_BOC_TACH_VAN'!B:B, B212, '03_BOC_TACH_VAN'!D:D, "ĐỘNG_CƠ_VÀ_CẢM_BIẾN"))*0.10</f>
        <v/>
      </c>
      <c r="N212" s="402">
        <f>K212+L212+M212</f>
        <v/>
      </c>
      <c r="O212" s="402">
        <f>IF(G212&gt;0, N212/G212, 0)</f>
        <v/>
      </c>
      <c r="P212" s="403" t="n">
        <v>0.18</v>
      </c>
      <c r="Q212" s="402">
        <f>IF(G212&gt;0, ((N212-SUMIFS('03_BOC_TACH_VAN'!K:K, '03_BOC_TACH_VAN'!B:B, B212, '03_BOC_TACH_VAN'!D:D, "ĐỘNG_CƠ_VÀ_CẢM_BIẾN"))*(1+P212)+SUMIFS('03_BOC_TACH_VAN'!K:K, '03_BOC_TACH_VAN'!B:B, B212, '03_BOC_TACH_VAN'!D:D, "ĐỘNG_CƠ_VÀ_CẢM_BIẾN"))/G212, 0)</f>
        <v/>
      </c>
      <c r="R212" s="402">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402" t="n">
        <v>2</v>
      </c>
      <c r="H213" s="402">
        <f>SUMIF('01_BOC_TACH_ONG'!B:B, B213, '01_BOC_TACH_ONG'!K:K)</f>
        <v/>
      </c>
      <c r="I213" s="402">
        <f>SUMIF('02_BOC_TACH_CUA'!B:B, B213, '02_BOC_TACH_CUA'!K:K)</f>
        <v/>
      </c>
      <c r="J213" s="402">
        <f>SUMIF('03_BOC_TACH_VAN'!B:B, B213, '03_BOC_TACH_VAN'!K:K)</f>
        <v/>
      </c>
      <c r="K213" s="402">
        <f>SUM(H213:J213)</f>
        <v/>
      </c>
      <c r="L213" s="402">
        <f>(K213-SUMIFS('03_BOC_TACH_VAN'!K:K, '03_BOC_TACH_VAN'!B:B, B213, '03_BOC_TACH_VAN'!D:D, "ĐỘNG_CƠ_VÀ_CẢM_BIẾN"))*0.25</f>
        <v/>
      </c>
      <c r="M213" s="402">
        <f>(K213-SUMIFS('03_BOC_TACH_VAN'!K:K, '03_BOC_TACH_VAN'!B:B, B213, '03_BOC_TACH_VAN'!D:D, "ĐỘNG_CƠ_VÀ_CẢM_BIẾN"))*0.10</f>
        <v/>
      </c>
      <c r="N213" s="402">
        <f>K213+L213+M213</f>
        <v/>
      </c>
      <c r="O213" s="402">
        <f>IF(G213&gt;0, N213/G213, 0)</f>
        <v/>
      </c>
      <c r="P213" s="403" t="n">
        <v>0.18</v>
      </c>
      <c r="Q213" s="402">
        <f>IF(G213&gt;0, ((N213-SUMIFS('03_BOC_TACH_VAN'!K:K, '03_BOC_TACH_VAN'!B:B, B213, '03_BOC_TACH_VAN'!D:D, "ĐỘNG_CƠ_VÀ_CẢM_BIẾN"))*(1+P213)+SUMIFS('03_BOC_TACH_VAN'!K:K, '03_BOC_TACH_VAN'!B:B, B213, '03_BOC_TACH_VAN'!D:D, "ĐỘNG_CƠ_VÀ_CẢM_BIẾN"))/G213, 0)</f>
        <v/>
      </c>
      <c r="R213" s="402">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402" t="n">
        <v>3490.998</v>
      </c>
      <c r="H214" s="402">
        <f>SUMIF('01_BOC_TACH_ONG'!B:B, B214, '01_BOC_TACH_ONG'!K:K)</f>
        <v/>
      </c>
      <c r="I214" s="402">
        <f>SUMIF('02_BOC_TACH_CUA'!B:B, B214, '02_BOC_TACH_CUA'!K:K)</f>
        <v/>
      </c>
      <c r="J214" s="402">
        <f>SUMIF('03_BOC_TACH_VAN'!B:B, B214, '03_BOC_TACH_VAN'!K:K)</f>
        <v/>
      </c>
      <c r="K214" s="402">
        <f>SUM(H214:J214)</f>
        <v/>
      </c>
      <c r="L214" s="402">
        <f>(K214-SUMIFS('03_BOC_TACH_VAN'!K:K, '03_BOC_TACH_VAN'!B:B, B214, '03_BOC_TACH_VAN'!D:D, "ĐỘNG_CƠ_VÀ_CẢM_BIẾN"))*0.25</f>
        <v/>
      </c>
      <c r="M214" s="402">
        <f>(K214-SUMIFS('03_BOC_TACH_VAN'!K:K, '03_BOC_TACH_VAN'!B:B, B214, '03_BOC_TACH_VAN'!D:D, "ĐỘNG_CƠ_VÀ_CẢM_BIẾN"))*0.10</f>
        <v/>
      </c>
      <c r="N214" s="402">
        <f>K214+L214+M214</f>
        <v/>
      </c>
      <c r="O214" s="402">
        <f>IF(G214&gt;0, N214/G214, 0)</f>
        <v/>
      </c>
      <c r="P214" s="403" t="n">
        <v>0.18</v>
      </c>
      <c r="Q214" s="402">
        <f>IF(G214&gt;0, ((N214-SUMIFS('03_BOC_TACH_VAN'!K:K, '03_BOC_TACH_VAN'!B:B, B214, '03_BOC_TACH_VAN'!D:D, "ĐỘNG_CƠ_VÀ_CẢM_BIẾN"))*(1+P214)+SUMIFS('03_BOC_TACH_VAN'!K:K, '03_BOC_TACH_VAN'!B:B, B214, '03_BOC_TACH_VAN'!D:D, "ĐỘNG_CƠ_VÀ_CẢM_BIẾN"))/G214, 0)</f>
        <v/>
      </c>
      <c r="R214" s="402">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402" t="n">
        <v>724.48</v>
      </c>
      <c r="H215" s="402">
        <f>SUMIF('01_BOC_TACH_ONG'!B:B, B215, '01_BOC_TACH_ONG'!K:K)</f>
        <v/>
      </c>
      <c r="I215" s="402">
        <f>SUMIF('02_BOC_TACH_CUA'!B:B, B215, '02_BOC_TACH_CUA'!K:K)</f>
        <v/>
      </c>
      <c r="J215" s="402">
        <f>SUMIF('03_BOC_TACH_VAN'!B:B, B215, '03_BOC_TACH_VAN'!K:K)</f>
        <v/>
      </c>
      <c r="K215" s="402">
        <f>SUM(H215:J215)</f>
        <v/>
      </c>
      <c r="L215" s="402">
        <f>(K215-SUMIFS('03_BOC_TACH_VAN'!K:K, '03_BOC_TACH_VAN'!B:B, B215, '03_BOC_TACH_VAN'!D:D, "ĐỘNG_CƠ_VÀ_CẢM_BIẾN"))*0.25</f>
        <v/>
      </c>
      <c r="M215" s="402">
        <f>(K215-SUMIFS('03_BOC_TACH_VAN'!K:K, '03_BOC_TACH_VAN'!B:B, B215, '03_BOC_TACH_VAN'!D:D, "ĐỘNG_CƠ_VÀ_CẢM_BIẾN"))*0.10</f>
        <v/>
      </c>
      <c r="N215" s="402">
        <f>K215+L215+M215</f>
        <v/>
      </c>
      <c r="O215" s="402">
        <f>IF(G215&gt;0, N215/G215, 0)</f>
        <v/>
      </c>
      <c r="P215" s="403" t="n">
        <v>0.18</v>
      </c>
      <c r="Q215" s="402">
        <f>IF(G215&gt;0, ((N215-SUMIFS('03_BOC_TACH_VAN'!K:K, '03_BOC_TACH_VAN'!B:B, B215, '03_BOC_TACH_VAN'!D:D, "ĐỘNG_CƠ_VÀ_CẢM_BIẾN"))*(1+P215)+SUMIFS('03_BOC_TACH_VAN'!K:K, '03_BOC_TACH_VAN'!B:B, B215, '03_BOC_TACH_VAN'!D:D, "ĐỘNG_CƠ_VÀ_CẢM_BIẾN"))/G215, 0)</f>
        <v/>
      </c>
      <c r="R215" s="402">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402" t="n">
        <v>134</v>
      </c>
      <c r="H216" s="402">
        <f>SUMIF('01_BOC_TACH_ONG'!B:B, B216, '01_BOC_TACH_ONG'!K:K)</f>
        <v/>
      </c>
      <c r="I216" s="402">
        <f>SUMIF('02_BOC_TACH_CUA'!B:B, B216, '02_BOC_TACH_CUA'!K:K)</f>
        <v/>
      </c>
      <c r="J216" s="402">
        <f>SUMIF('03_BOC_TACH_VAN'!B:B, B216, '03_BOC_TACH_VAN'!K:K)</f>
        <v/>
      </c>
      <c r="K216" s="402">
        <f>SUM(H216:J216)</f>
        <v/>
      </c>
      <c r="L216" s="402">
        <f>(K216-SUMIFS('03_BOC_TACH_VAN'!K:K, '03_BOC_TACH_VAN'!B:B, B216, '03_BOC_TACH_VAN'!D:D, "ĐỘNG_CƠ_VÀ_CẢM_BIẾN"))*0.25</f>
        <v/>
      </c>
      <c r="M216" s="402">
        <f>(K216-SUMIFS('03_BOC_TACH_VAN'!K:K, '03_BOC_TACH_VAN'!B:B, B216, '03_BOC_TACH_VAN'!D:D, "ĐỘNG_CƠ_VÀ_CẢM_BIẾN"))*0.10</f>
        <v/>
      </c>
      <c r="N216" s="402">
        <f>K216+L216+M216</f>
        <v/>
      </c>
      <c r="O216" s="402">
        <f>IF(G216&gt;0, N216/G216, 0)</f>
        <v/>
      </c>
      <c r="P216" s="403" t="n">
        <v>0.18</v>
      </c>
      <c r="Q216" s="402">
        <f>IF(G216&gt;0, ((N216-SUMIFS('03_BOC_TACH_VAN'!K:K, '03_BOC_TACH_VAN'!B:B, B216, '03_BOC_TACH_VAN'!D:D, "ĐỘNG_CƠ_VÀ_CẢM_BIẾN"))*(1+P216)+SUMIFS('03_BOC_TACH_VAN'!K:K, '03_BOC_TACH_VAN'!B:B, B216, '03_BOC_TACH_VAN'!D:D, "ĐỘNG_CƠ_VÀ_CẢM_BIẾN"))/G216, 0)</f>
        <v/>
      </c>
      <c r="R216" s="402">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402" t="n">
        <v>42.5</v>
      </c>
      <c r="H217" s="402">
        <f>SUMIF('01_BOC_TACH_ONG'!B:B, B217, '01_BOC_TACH_ONG'!K:K)</f>
        <v/>
      </c>
      <c r="I217" s="402">
        <f>SUMIF('02_BOC_TACH_CUA'!B:B, B217, '02_BOC_TACH_CUA'!K:K)</f>
        <v/>
      </c>
      <c r="J217" s="402">
        <f>SUMIF('03_BOC_TACH_VAN'!B:B, B217, '03_BOC_TACH_VAN'!K:K)</f>
        <v/>
      </c>
      <c r="K217" s="402">
        <f>SUM(H217:J217)</f>
        <v/>
      </c>
      <c r="L217" s="402">
        <f>(K217-SUMIFS('03_BOC_TACH_VAN'!K:K, '03_BOC_TACH_VAN'!B:B, B217, '03_BOC_TACH_VAN'!D:D, "ĐỘNG_CƠ_VÀ_CẢM_BIẾN"))*0.00</f>
        <v/>
      </c>
      <c r="M217" s="402">
        <f>(K217-SUMIFS('03_BOC_TACH_VAN'!K:K, '03_BOC_TACH_VAN'!B:B, B217, '03_BOC_TACH_VAN'!D:D, "ĐỘNG_CƠ_VÀ_CẢM_BIẾN"))*0.02</f>
        <v/>
      </c>
      <c r="N217" s="402">
        <f>K217+L217+M217</f>
        <v/>
      </c>
      <c r="O217" s="402">
        <f>IF(G217&gt;0, N217/G217, 0)</f>
        <v/>
      </c>
      <c r="P217" s="403" t="n">
        <v>0.1</v>
      </c>
      <c r="Q217" s="402">
        <f>IF(G217&gt;0, ((N217-SUMIFS('03_BOC_TACH_VAN'!K:K, '03_BOC_TACH_VAN'!B:B, B217, '03_BOC_TACH_VAN'!D:D, "ĐỘNG_CƠ_VÀ_CẢM_BIẾN"))*(1+P217)+SUMIFS('03_BOC_TACH_VAN'!K:K, '03_BOC_TACH_VAN'!B:B, B217, '03_BOC_TACH_VAN'!D:D, "ĐỘNG_CƠ_VÀ_CẢM_BIẾN"))/G217, 0)</f>
        <v/>
      </c>
      <c r="R217" s="402">
        <f>G217*Q217</f>
        <v/>
      </c>
      <c r="S217" t="inlineStr">
        <is>
          <t>Ống gió mềm (Lấy nguyên giá BOQ)</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402" t="n">
        <v>150</v>
      </c>
      <c r="H218" s="402">
        <f>SUMIF('01_BOC_TACH_ONG'!B:B, B218, '01_BOC_TACH_ONG'!K:K)</f>
        <v/>
      </c>
      <c r="I218" s="402">
        <f>SUMIF('02_BOC_TACH_CUA'!B:B, B218, '02_BOC_TACH_CUA'!K:K)</f>
        <v/>
      </c>
      <c r="J218" s="402">
        <f>SUMIF('03_BOC_TACH_VAN'!B:B, B218, '03_BOC_TACH_VAN'!K:K)</f>
        <v/>
      </c>
      <c r="K218" s="402">
        <f>SUM(H218:J218)</f>
        <v/>
      </c>
      <c r="L218" s="402">
        <f>(K218-SUMIFS('03_BOC_TACH_VAN'!K:K, '03_BOC_TACH_VAN'!B:B, B218, '03_BOC_TACH_VAN'!D:D, "ĐỘNG_CƠ_VÀ_CẢM_BIẾN"))*0.00</f>
        <v/>
      </c>
      <c r="M218" s="402">
        <f>(K218-SUMIFS('03_BOC_TACH_VAN'!K:K, '03_BOC_TACH_VAN'!B:B, B218, '03_BOC_TACH_VAN'!D:D, "ĐỘNG_CƠ_VÀ_CẢM_BIẾN"))*0.02</f>
        <v/>
      </c>
      <c r="N218" s="402">
        <f>K218+L218+M218</f>
        <v/>
      </c>
      <c r="O218" s="402">
        <f>IF(G218&gt;0, N218/G218, 0)</f>
        <v/>
      </c>
      <c r="P218" s="403" t="n">
        <v>0.1</v>
      </c>
      <c r="Q218" s="402">
        <f>IF(G218&gt;0, ((N218-SUMIFS('03_BOC_TACH_VAN'!K:K, '03_BOC_TACH_VAN'!B:B, B218, '03_BOC_TACH_VAN'!D:D, "ĐỘNG_CƠ_VÀ_CẢM_BIẾN"))*(1+P218)+SUMIFS('03_BOC_TACH_VAN'!K:K, '03_BOC_TACH_VAN'!B:B, B218, '03_BOC_TACH_VAN'!D:D, "ĐỘNG_CƠ_VÀ_CẢM_BIẾN"))/G218, 0)</f>
        <v/>
      </c>
      <c r="R218" s="402">
        <f>G218*Q218</f>
        <v/>
      </c>
      <c r="S218" t="inlineStr">
        <is>
          <t>Ống gió mềm (Lấy nguyên giá BOQ)</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402" t="n">
        <v>1</v>
      </c>
      <c r="H219" s="402">
        <f>SUMIF('01_BOC_TACH_ONG'!B:B, B219, '01_BOC_TACH_ONG'!K:K)</f>
        <v/>
      </c>
      <c r="I219" s="402">
        <f>SUMIF('02_BOC_TACH_CUA'!B:B, B219, '02_BOC_TACH_CUA'!K:K)</f>
        <v/>
      </c>
      <c r="J219" s="402">
        <f>SUMIF('03_BOC_TACH_VAN'!B:B, B219, '03_BOC_TACH_VAN'!K:K)</f>
        <v/>
      </c>
      <c r="K219" s="402">
        <f>SUM(H219:J219)</f>
        <v/>
      </c>
      <c r="L219" s="402">
        <f>(K219-SUMIFS('03_BOC_TACH_VAN'!K:K, '03_BOC_TACH_VAN'!B:B, B219, '03_BOC_TACH_VAN'!D:D, "ĐỘNG_CƠ_VÀ_CẢM_BIẾN"))*0.00</f>
        <v/>
      </c>
      <c r="M219" s="402">
        <f>(K219-SUMIFS('03_BOC_TACH_VAN'!K:K, '03_BOC_TACH_VAN'!B:B, B219, '03_BOC_TACH_VAN'!D:D, "ĐỘNG_CƠ_VÀ_CẢM_BIẾN"))*0.02</f>
        <v/>
      </c>
      <c r="N219" s="402">
        <f>K219+L219+M219</f>
        <v/>
      </c>
      <c r="O219" s="402">
        <f>IF(G219&gt;0, N219/G219, 0)</f>
        <v/>
      </c>
      <c r="P219" s="403" t="n">
        <v>0.1</v>
      </c>
      <c r="Q219" s="402">
        <f>IF(G219&gt;0, ((N219-SUMIFS('03_BOC_TACH_VAN'!K:K, '03_BOC_TACH_VAN'!B:B, B219, '03_BOC_TACH_VAN'!D:D, "ĐỘNG_CƠ_VÀ_CẢM_BIẾN"))*(1+P219)+SUMIFS('03_BOC_TACH_VAN'!K:K, '03_BOC_TACH_VAN'!B:B, B219, '03_BOC_TACH_VAN'!D:D, "ĐỘNG_CƠ_VÀ_CẢM_BIẾN"))/G219, 0)</f>
        <v/>
      </c>
      <c r="R219" s="402">
        <f>G219*Q219</f>
        <v/>
      </c>
      <c r="S219" t="inlineStr">
        <is>
          <t>Hàng thương mại (Lấy nguyên giá BOQ)</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402" t="n">
        <v>1630.01</v>
      </c>
      <c r="H220" s="402">
        <f>SUMIF('01_BOC_TACH_ONG'!B:B, B220, '01_BOC_TACH_ONG'!K:K)</f>
        <v/>
      </c>
      <c r="I220" s="402">
        <f>SUMIF('02_BOC_TACH_CUA'!B:B, B220, '02_BOC_TACH_CUA'!K:K)</f>
        <v/>
      </c>
      <c r="J220" s="402">
        <f>SUMIF('03_BOC_TACH_VAN'!B:B, B220, '03_BOC_TACH_VAN'!K:K)</f>
        <v/>
      </c>
      <c r="K220" s="402">
        <f>SUM(H220:J220)</f>
        <v/>
      </c>
      <c r="L220" s="402">
        <f>(K220-SUMIFS('03_BOC_TACH_VAN'!K:K, '03_BOC_TACH_VAN'!B:B, B220, '03_BOC_TACH_VAN'!D:D, "ĐỘNG_CƠ_VÀ_CẢM_BIẾN"))*0.25</f>
        <v/>
      </c>
      <c r="M220" s="402">
        <f>(K220-SUMIFS('03_BOC_TACH_VAN'!K:K, '03_BOC_TACH_VAN'!B:B, B220, '03_BOC_TACH_VAN'!D:D, "ĐỘNG_CƠ_VÀ_CẢM_BIẾN"))*0.10</f>
        <v/>
      </c>
      <c r="N220" s="402">
        <f>K220+L220+M220</f>
        <v/>
      </c>
      <c r="O220" s="402">
        <f>IF(G220&gt;0, N220/G220, 0)</f>
        <v/>
      </c>
      <c r="P220" s="403" t="n">
        <v>0.18</v>
      </c>
      <c r="Q220" s="402">
        <f>IF(G220&gt;0, ((N220-SUMIFS('03_BOC_TACH_VAN'!K:K, '03_BOC_TACH_VAN'!B:B, B220, '03_BOC_TACH_VAN'!D:D, "ĐỘNG_CƠ_VÀ_CẢM_BIẾN"))*(1+P220)+SUMIFS('03_BOC_TACH_VAN'!K:K, '03_BOC_TACH_VAN'!B:B, B220, '03_BOC_TACH_VAN'!D:D, "ĐỘNG_CƠ_VÀ_CẢM_BIẾN"))/G220, 0)</f>
        <v/>
      </c>
      <c r="R220" s="402">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402" t="n">
        <v>153.35</v>
      </c>
      <c r="H221" s="402">
        <f>SUMIF('01_BOC_TACH_ONG'!B:B, B221, '01_BOC_TACH_ONG'!K:K)</f>
        <v/>
      </c>
      <c r="I221" s="402">
        <f>SUMIF('02_BOC_TACH_CUA'!B:B, B221, '02_BOC_TACH_CUA'!K:K)</f>
        <v/>
      </c>
      <c r="J221" s="402">
        <f>SUMIF('03_BOC_TACH_VAN'!B:B, B221, '03_BOC_TACH_VAN'!K:K)</f>
        <v/>
      </c>
      <c r="K221" s="402">
        <f>SUM(H221:J221)</f>
        <v/>
      </c>
      <c r="L221" s="402">
        <f>(K221-SUMIFS('03_BOC_TACH_VAN'!K:K, '03_BOC_TACH_VAN'!B:B, B221, '03_BOC_TACH_VAN'!D:D, "ĐỘNG_CƠ_VÀ_CẢM_BIẾN"))*0.25</f>
        <v/>
      </c>
      <c r="M221" s="402">
        <f>(K221-SUMIFS('03_BOC_TACH_VAN'!K:K, '03_BOC_TACH_VAN'!B:B, B221, '03_BOC_TACH_VAN'!D:D, "ĐỘNG_CƠ_VÀ_CẢM_BIẾN"))*0.10</f>
        <v/>
      </c>
      <c r="N221" s="402">
        <f>K221+L221+M221</f>
        <v/>
      </c>
      <c r="O221" s="402">
        <f>IF(G221&gt;0, N221/G221, 0)</f>
        <v/>
      </c>
      <c r="P221" s="403" t="n">
        <v>0.18</v>
      </c>
      <c r="Q221" s="402">
        <f>IF(G221&gt;0, ((N221-SUMIFS('03_BOC_TACH_VAN'!K:K, '03_BOC_TACH_VAN'!B:B, B221, '03_BOC_TACH_VAN'!D:D, "ĐỘNG_CƠ_VÀ_CẢM_BIẾN"))*(1+P221)+SUMIFS('03_BOC_TACH_VAN'!K:K, '03_BOC_TACH_VAN'!B:B, B221, '03_BOC_TACH_VAN'!D:D, "ĐỘNG_CƠ_VÀ_CẢM_BIẾN"))/G221, 0)</f>
        <v/>
      </c>
      <c r="R221" s="402">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402" t="n">
        <v>200</v>
      </c>
      <c r="H222" s="402">
        <f>SUMIF('01_BOC_TACH_ONG'!B:B, B222, '01_BOC_TACH_ONG'!K:K)</f>
        <v/>
      </c>
      <c r="I222" s="402">
        <f>SUMIF('02_BOC_TACH_CUA'!B:B, B222, '02_BOC_TACH_CUA'!K:K)</f>
        <v/>
      </c>
      <c r="J222" s="402">
        <f>SUMIF('03_BOC_TACH_VAN'!B:B, B222, '03_BOC_TACH_VAN'!K:K)</f>
        <v/>
      </c>
      <c r="K222" s="402">
        <f>SUM(H222:J222)</f>
        <v/>
      </c>
      <c r="L222" s="402">
        <f>(K222-SUMIFS('03_BOC_TACH_VAN'!K:K, '03_BOC_TACH_VAN'!B:B, B222, '03_BOC_TACH_VAN'!D:D, "ĐỘNG_CƠ_VÀ_CẢM_BIẾN"))*0.25</f>
        <v/>
      </c>
      <c r="M222" s="402">
        <f>(K222-SUMIFS('03_BOC_TACH_VAN'!K:K, '03_BOC_TACH_VAN'!B:B, B222, '03_BOC_TACH_VAN'!D:D, "ĐỘNG_CƠ_VÀ_CẢM_BIẾN"))*0.10</f>
        <v/>
      </c>
      <c r="N222" s="402">
        <f>K222+L222+M222</f>
        <v/>
      </c>
      <c r="O222" s="402">
        <f>IF(G222&gt;0, N222/G222, 0)</f>
        <v/>
      </c>
      <c r="P222" s="403" t="n">
        <v>0.18</v>
      </c>
      <c r="Q222" s="402">
        <f>IF(G222&gt;0, ((N222-SUMIFS('03_BOC_TACH_VAN'!K:K, '03_BOC_TACH_VAN'!B:B, B222, '03_BOC_TACH_VAN'!D:D, "ĐỘNG_CƠ_VÀ_CẢM_BIẾN"))*(1+P222)+SUMIFS('03_BOC_TACH_VAN'!K:K, '03_BOC_TACH_VAN'!B:B, B222, '03_BOC_TACH_VAN'!D:D, "ĐỘNG_CƠ_VÀ_CẢM_BIẾN"))/G222, 0)</f>
        <v/>
      </c>
      <c r="R222" s="402">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402" t="n">
        <v>133</v>
      </c>
      <c r="H223" s="402">
        <f>SUMIF('01_BOC_TACH_ONG'!B:B, B223, '01_BOC_TACH_ONG'!K:K)</f>
        <v/>
      </c>
      <c r="I223" s="402">
        <f>SUMIF('02_BOC_TACH_CUA'!B:B, B223, '02_BOC_TACH_CUA'!K:K)</f>
        <v/>
      </c>
      <c r="J223" s="402">
        <f>SUMIF('03_BOC_TACH_VAN'!B:B, B223, '03_BOC_TACH_VAN'!K:K)</f>
        <v/>
      </c>
      <c r="K223" s="402">
        <f>SUM(H223:J223)</f>
        <v/>
      </c>
      <c r="L223" s="402">
        <f>(K223-SUMIFS('03_BOC_TACH_VAN'!K:K, '03_BOC_TACH_VAN'!B:B, B223, '03_BOC_TACH_VAN'!D:D, "ĐỘNG_CƠ_VÀ_CẢM_BIẾN"))*0.25</f>
        <v/>
      </c>
      <c r="M223" s="402">
        <f>(K223-SUMIFS('03_BOC_TACH_VAN'!K:K, '03_BOC_TACH_VAN'!B:B, B223, '03_BOC_TACH_VAN'!D:D, "ĐỘNG_CƠ_VÀ_CẢM_BIẾN"))*0.10</f>
        <v/>
      </c>
      <c r="N223" s="402">
        <f>K223+L223+M223</f>
        <v/>
      </c>
      <c r="O223" s="402">
        <f>IF(G223&gt;0, N223/G223, 0)</f>
        <v/>
      </c>
      <c r="P223" s="403" t="n">
        <v>0.18</v>
      </c>
      <c r="Q223" s="402">
        <f>IF(G223&gt;0, ((N223-SUMIFS('03_BOC_TACH_VAN'!K:K, '03_BOC_TACH_VAN'!B:B, B223, '03_BOC_TACH_VAN'!D:D, "ĐỘNG_CƠ_VÀ_CẢM_BIẾN"))*(1+P223)+SUMIFS('03_BOC_TACH_VAN'!K:K, '03_BOC_TACH_VAN'!B:B, B223, '03_BOC_TACH_VAN'!D:D, "ĐỘNG_CƠ_VÀ_CẢM_BIẾN"))/G223, 0)</f>
        <v/>
      </c>
      <c r="R223" s="402">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402" t="n">
        <v>1</v>
      </c>
      <c r="H224" s="402">
        <f>SUMIF('01_BOC_TACH_ONG'!B:B, B224, '01_BOC_TACH_ONG'!K:K)</f>
        <v/>
      </c>
      <c r="I224" s="402">
        <f>SUMIF('02_BOC_TACH_CUA'!B:B, B224, '02_BOC_TACH_CUA'!K:K)</f>
        <v/>
      </c>
      <c r="J224" s="402">
        <f>SUMIF('03_BOC_TACH_VAN'!B:B, B224, '03_BOC_TACH_VAN'!K:K)</f>
        <v/>
      </c>
      <c r="K224" s="402">
        <f>SUM(H224:J224)</f>
        <v/>
      </c>
      <c r="L224" s="402">
        <f>(K224-SUMIFS('03_BOC_TACH_VAN'!K:K, '03_BOC_TACH_VAN'!B:B, B224, '03_BOC_TACH_VAN'!D:D, "ĐỘNG_CƠ_VÀ_CẢM_BIẾN"))*0.00</f>
        <v/>
      </c>
      <c r="M224" s="402">
        <f>(K224-SUMIFS('03_BOC_TACH_VAN'!K:K, '03_BOC_TACH_VAN'!B:B, B224, '03_BOC_TACH_VAN'!D:D, "ĐỘNG_CƠ_VÀ_CẢM_BIẾN"))*0.02</f>
        <v/>
      </c>
      <c r="N224" s="402">
        <f>K224+L224+M224</f>
        <v/>
      </c>
      <c r="O224" s="402">
        <f>IF(G224&gt;0, N224/G224, 0)</f>
        <v/>
      </c>
      <c r="P224" s="403" t="n">
        <v>0.1</v>
      </c>
      <c r="Q224" s="402">
        <f>IF(G224&gt;0, ((N224-SUMIFS('03_BOC_TACH_VAN'!K:K, '03_BOC_TACH_VAN'!B:B, B224, '03_BOC_TACH_VAN'!D:D, "ĐỘNG_CƠ_VÀ_CẢM_BIẾN"))*(1+P224)+SUMIFS('03_BOC_TACH_VAN'!K:K, '03_BOC_TACH_VAN'!B:B, B224, '03_BOC_TACH_VAN'!D:D, "ĐỘNG_CƠ_VÀ_CẢM_BIẾN"))/G224, 0)</f>
        <v/>
      </c>
      <c r="R224" s="402">
        <f>G224*Q224</f>
        <v/>
      </c>
      <c r="S224" t="inlineStr">
        <is>
          <t>Hàng thương mại (Lấy nguyên giá BOQ)</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402" t="n">
        <v>21</v>
      </c>
      <c r="H225" s="402">
        <f>SUMIF('01_BOC_TACH_ONG'!B:B, B225, '01_BOC_TACH_ONG'!K:K)</f>
        <v/>
      </c>
      <c r="I225" s="402">
        <f>SUMIF('02_BOC_TACH_CUA'!B:B, B225, '02_BOC_TACH_CUA'!K:K)</f>
        <v/>
      </c>
      <c r="J225" s="402">
        <f>SUMIF('03_BOC_TACH_VAN'!B:B, B225, '03_BOC_TACH_VAN'!K:K)</f>
        <v/>
      </c>
      <c r="K225" s="402">
        <f>SUM(H225:J225)</f>
        <v/>
      </c>
      <c r="L225" s="402">
        <f>(K225-SUMIFS('03_BOC_TACH_VAN'!K:K, '03_BOC_TACH_VAN'!B:B, B225, '03_BOC_TACH_VAN'!D:D, "ĐỘNG_CƠ_VÀ_CẢM_BIẾN"))*0.25</f>
        <v/>
      </c>
      <c r="M225" s="402">
        <f>(K225-SUMIFS('03_BOC_TACH_VAN'!K:K, '03_BOC_TACH_VAN'!B:B, B225, '03_BOC_TACH_VAN'!D:D, "ĐỘNG_CƠ_VÀ_CẢM_BIẾN"))*0.10</f>
        <v/>
      </c>
      <c r="N225" s="402">
        <f>K225+L225+M225</f>
        <v/>
      </c>
      <c r="O225" s="402">
        <f>IF(G225&gt;0, N225/G225, 0)</f>
        <v/>
      </c>
      <c r="P225" s="403" t="n">
        <v>0.18</v>
      </c>
      <c r="Q225" s="402">
        <f>IF(G225&gt;0, ((N225-SUMIFS('03_BOC_TACH_VAN'!K:K, '03_BOC_TACH_VAN'!B:B, B225, '03_BOC_TACH_VAN'!D:D, "ĐỘNG_CƠ_VÀ_CẢM_BIẾN"))*(1+P225)+SUMIFS('03_BOC_TACH_VAN'!K:K, '03_BOC_TACH_VAN'!B:B, B225, '03_BOC_TACH_VAN'!D:D, "ĐỘNG_CƠ_VÀ_CẢM_BIẾN"))/G225, 0)</f>
        <v/>
      </c>
      <c r="R225" s="402">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402" t="n">
        <v>40</v>
      </c>
      <c r="H226" s="402">
        <f>SUMIF('01_BOC_TACH_ONG'!B:B, B226, '01_BOC_TACH_ONG'!K:K)</f>
        <v/>
      </c>
      <c r="I226" s="402">
        <f>SUMIF('02_BOC_TACH_CUA'!B:B, B226, '02_BOC_TACH_CUA'!K:K)</f>
        <v/>
      </c>
      <c r="J226" s="402">
        <f>SUMIF('03_BOC_TACH_VAN'!B:B, B226, '03_BOC_TACH_VAN'!K:K)</f>
        <v/>
      </c>
      <c r="K226" s="402">
        <f>SUM(H226:J226)</f>
        <v/>
      </c>
      <c r="L226" s="402">
        <f>(K226-SUMIFS('03_BOC_TACH_VAN'!K:K, '03_BOC_TACH_VAN'!B:B, B226, '03_BOC_TACH_VAN'!D:D, "ĐỘNG_CƠ_VÀ_CẢM_BIẾN"))*0.25</f>
        <v/>
      </c>
      <c r="M226" s="402">
        <f>(K226-SUMIFS('03_BOC_TACH_VAN'!K:K, '03_BOC_TACH_VAN'!B:B, B226, '03_BOC_TACH_VAN'!D:D, "ĐỘNG_CƠ_VÀ_CẢM_BIẾN"))*0.10</f>
        <v/>
      </c>
      <c r="N226" s="402">
        <f>K226+L226+M226</f>
        <v/>
      </c>
      <c r="O226" s="402">
        <f>IF(G226&gt;0, N226/G226, 0)</f>
        <v/>
      </c>
      <c r="P226" s="403" t="n">
        <v>0.18</v>
      </c>
      <c r="Q226" s="402">
        <f>IF(G226&gt;0, ((N226-SUMIFS('03_BOC_TACH_VAN'!K:K, '03_BOC_TACH_VAN'!B:B, B226, '03_BOC_TACH_VAN'!D:D, "ĐỘNG_CƠ_VÀ_CẢM_BIẾN"))*(1+P226)+SUMIFS('03_BOC_TACH_VAN'!K:K, '03_BOC_TACH_VAN'!B:B, B226, '03_BOC_TACH_VAN'!D:D, "ĐỘNG_CƠ_VÀ_CẢM_BIẾN"))/G226, 0)</f>
        <v/>
      </c>
      <c r="R226" s="402">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402" t="n">
        <v>12</v>
      </c>
      <c r="H227" s="402">
        <f>SUMIF('01_BOC_TACH_ONG'!B:B, B227, '01_BOC_TACH_ONG'!K:K)</f>
        <v/>
      </c>
      <c r="I227" s="402">
        <f>SUMIF('02_BOC_TACH_CUA'!B:B, B227, '02_BOC_TACH_CUA'!K:K)</f>
        <v/>
      </c>
      <c r="J227" s="402">
        <f>SUMIF('03_BOC_TACH_VAN'!B:B, B227, '03_BOC_TACH_VAN'!K:K)</f>
        <v/>
      </c>
      <c r="K227" s="402">
        <f>SUM(H227:J227)</f>
        <v/>
      </c>
      <c r="L227" s="402">
        <f>(K227-SUMIFS('03_BOC_TACH_VAN'!K:K, '03_BOC_TACH_VAN'!B:B, B227, '03_BOC_TACH_VAN'!D:D, "ĐỘNG_CƠ_VÀ_CẢM_BIẾN"))*0.25</f>
        <v/>
      </c>
      <c r="M227" s="402">
        <f>(K227-SUMIFS('03_BOC_TACH_VAN'!K:K, '03_BOC_TACH_VAN'!B:B, B227, '03_BOC_TACH_VAN'!D:D, "ĐỘNG_CƠ_VÀ_CẢM_BIẾN"))*0.10</f>
        <v/>
      </c>
      <c r="N227" s="402">
        <f>K227+L227+M227</f>
        <v/>
      </c>
      <c r="O227" s="402">
        <f>IF(G227&gt;0, N227/G227, 0)</f>
        <v/>
      </c>
      <c r="P227" s="403" t="n">
        <v>0.18</v>
      </c>
      <c r="Q227" s="402">
        <f>IF(G227&gt;0, ((N227-SUMIFS('03_BOC_TACH_VAN'!K:K, '03_BOC_TACH_VAN'!B:B, B227, '03_BOC_TACH_VAN'!D:D, "ĐỘNG_CƠ_VÀ_CẢM_BIẾN"))*(1+P227)+SUMIFS('03_BOC_TACH_VAN'!K:K, '03_BOC_TACH_VAN'!B:B, B227, '03_BOC_TACH_VAN'!D:D, "ĐỘNG_CƠ_VÀ_CẢM_BIẾN"))/G227, 0)</f>
        <v/>
      </c>
      <c r="R227" s="402">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402" t="n">
        <v>12</v>
      </c>
      <c r="H228" s="402">
        <f>SUMIF('01_BOC_TACH_ONG'!B:B, B228, '01_BOC_TACH_ONG'!K:K)</f>
        <v/>
      </c>
      <c r="I228" s="402">
        <f>SUMIF('02_BOC_TACH_CUA'!B:B, B228, '02_BOC_TACH_CUA'!K:K)</f>
        <v/>
      </c>
      <c r="J228" s="402">
        <f>SUMIF('03_BOC_TACH_VAN'!B:B, B228, '03_BOC_TACH_VAN'!K:K)</f>
        <v/>
      </c>
      <c r="K228" s="402">
        <f>SUM(H228:J228)</f>
        <v/>
      </c>
      <c r="L228" s="402">
        <f>(K228-SUMIFS('03_BOC_TACH_VAN'!K:K, '03_BOC_TACH_VAN'!B:B, B228, '03_BOC_TACH_VAN'!D:D, "ĐỘNG_CƠ_VÀ_CẢM_BIẾN"))*0.25</f>
        <v/>
      </c>
      <c r="M228" s="402">
        <f>(K228-SUMIFS('03_BOC_TACH_VAN'!K:K, '03_BOC_TACH_VAN'!B:B, B228, '03_BOC_TACH_VAN'!D:D, "ĐỘNG_CƠ_VÀ_CẢM_BIẾN"))*0.10</f>
        <v/>
      </c>
      <c r="N228" s="402">
        <f>K228+L228+M228</f>
        <v/>
      </c>
      <c r="O228" s="402">
        <f>IF(G228&gt;0, N228/G228, 0)</f>
        <v/>
      </c>
      <c r="P228" s="403" t="n">
        <v>0.18</v>
      </c>
      <c r="Q228" s="402">
        <f>IF(G228&gt;0, ((N228-SUMIFS('03_BOC_TACH_VAN'!K:K, '03_BOC_TACH_VAN'!B:B, B228, '03_BOC_TACH_VAN'!D:D, "ĐỘNG_CƠ_VÀ_CẢM_BIẾN"))*(1+P228)+SUMIFS('03_BOC_TACH_VAN'!K:K, '03_BOC_TACH_VAN'!B:B, B228, '03_BOC_TACH_VAN'!D:D, "ĐỘNG_CƠ_VÀ_CẢM_BIẾN"))/G228, 0)</f>
        <v/>
      </c>
      <c r="R228" s="402">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402" t="n">
        <v>14</v>
      </c>
      <c r="H229" s="402">
        <f>SUMIF('01_BOC_TACH_ONG'!B:B, B229, '01_BOC_TACH_ONG'!K:K)</f>
        <v/>
      </c>
      <c r="I229" s="402">
        <f>SUMIF('02_BOC_TACH_CUA'!B:B, B229, '02_BOC_TACH_CUA'!K:K)</f>
        <v/>
      </c>
      <c r="J229" s="402">
        <f>SUMIF('03_BOC_TACH_VAN'!B:B, B229, '03_BOC_TACH_VAN'!K:K)</f>
        <v/>
      </c>
      <c r="K229" s="402">
        <f>SUM(H229:J229)</f>
        <v/>
      </c>
      <c r="L229" s="402">
        <f>(K229-SUMIFS('03_BOC_TACH_VAN'!K:K, '03_BOC_TACH_VAN'!B:B, B229, '03_BOC_TACH_VAN'!D:D, "ĐỘNG_CƠ_VÀ_CẢM_BIẾN"))*0.25</f>
        <v/>
      </c>
      <c r="M229" s="402">
        <f>(K229-SUMIFS('03_BOC_TACH_VAN'!K:K, '03_BOC_TACH_VAN'!B:B, B229, '03_BOC_TACH_VAN'!D:D, "ĐỘNG_CƠ_VÀ_CẢM_BIẾN"))*0.10</f>
        <v/>
      </c>
      <c r="N229" s="402">
        <f>K229+L229+M229</f>
        <v/>
      </c>
      <c r="O229" s="402">
        <f>IF(G229&gt;0, N229/G229, 0)</f>
        <v/>
      </c>
      <c r="P229" s="403" t="n">
        <v>0.18</v>
      </c>
      <c r="Q229" s="402">
        <f>IF(G229&gt;0, ((N229-SUMIFS('03_BOC_TACH_VAN'!K:K, '03_BOC_TACH_VAN'!B:B, B229, '03_BOC_TACH_VAN'!D:D, "ĐỘNG_CƠ_VÀ_CẢM_BIẾN"))*(1+P229)+SUMIFS('03_BOC_TACH_VAN'!K:K, '03_BOC_TACH_VAN'!B:B, B229, '03_BOC_TACH_VAN'!D:D, "ĐỘNG_CƠ_VÀ_CẢM_BIẾN"))/G229, 0)</f>
        <v/>
      </c>
      <c r="R229" s="402">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402" t="n">
        <v>10</v>
      </c>
      <c r="H230" s="402">
        <f>SUMIF('01_BOC_TACH_ONG'!B:B, B230, '01_BOC_TACH_ONG'!K:K)</f>
        <v/>
      </c>
      <c r="I230" s="402">
        <f>SUMIF('02_BOC_TACH_CUA'!B:B, B230, '02_BOC_TACH_CUA'!K:K)</f>
        <v/>
      </c>
      <c r="J230" s="402">
        <f>SUMIF('03_BOC_TACH_VAN'!B:B, B230, '03_BOC_TACH_VAN'!K:K)</f>
        <v/>
      </c>
      <c r="K230" s="402">
        <f>SUM(H230:J230)</f>
        <v/>
      </c>
      <c r="L230" s="402">
        <f>(K230-SUMIFS('03_BOC_TACH_VAN'!K:K, '03_BOC_TACH_VAN'!B:B, B230, '03_BOC_TACH_VAN'!D:D, "ĐỘNG_CƠ_VÀ_CẢM_BIẾN"))*0.25</f>
        <v/>
      </c>
      <c r="M230" s="402">
        <f>(K230-SUMIFS('03_BOC_TACH_VAN'!K:K, '03_BOC_TACH_VAN'!B:B, B230, '03_BOC_TACH_VAN'!D:D, "ĐỘNG_CƠ_VÀ_CẢM_BIẾN"))*0.10</f>
        <v/>
      </c>
      <c r="N230" s="402">
        <f>K230+L230+M230</f>
        <v/>
      </c>
      <c r="O230" s="402">
        <f>IF(G230&gt;0, N230/G230, 0)</f>
        <v/>
      </c>
      <c r="P230" s="403" t="n">
        <v>0.18</v>
      </c>
      <c r="Q230" s="402">
        <f>IF(G230&gt;0, ((N230-SUMIFS('03_BOC_TACH_VAN'!K:K, '03_BOC_TACH_VAN'!B:B, B230, '03_BOC_TACH_VAN'!D:D, "ĐỘNG_CƠ_VÀ_CẢM_BIẾN"))*(1+P230)+SUMIFS('03_BOC_TACH_VAN'!K:K, '03_BOC_TACH_VAN'!B:B, B230, '03_BOC_TACH_VAN'!D:D, "ĐỘNG_CƠ_VÀ_CẢM_BIẾN"))/G230, 0)</f>
        <v/>
      </c>
      <c r="R230" s="402">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402" t="n">
        <v>309</v>
      </c>
      <c r="H231" s="402">
        <f>SUMIF('01_BOC_TACH_ONG'!B:B, B231, '01_BOC_TACH_ONG'!K:K)</f>
        <v/>
      </c>
      <c r="I231" s="402">
        <f>SUMIF('02_BOC_TACH_CUA'!B:B, B231, '02_BOC_TACH_CUA'!K:K)</f>
        <v/>
      </c>
      <c r="J231" s="402">
        <f>SUMIF('03_BOC_TACH_VAN'!B:B, B231, '03_BOC_TACH_VAN'!K:K)</f>
        <v/>
      </c>
      <c r="K231" s="402">
        <f>SUM(H231:J231)</f>
        <v/>
      </c>
      <c r="L231" s="402">
        <f>(K231-SUMIFS('03_BOC_TACH_VAN'!K:K, '03_BOC_TACH_VAN'!B:B, B231, '03_BOC_TACH_VAN'!D:D, "ĐỘNG_CƠ_VÀ_CẢM_BIẾN"))*0.25</f>
        <v/>
      </c>
      <c r="M231" s="402">
        <f>(K231-SUMIFS('03_BOC_TACH_VAN'!K:K, '03_BOC_TACH_VAN'!B:B, B231, '03_BOC_TACH_VAN'!D:D, "ĐỘNG_CƠ_VÀ_CẢM_BIẾN"))*0.10</f>
        <v/>
      </c>
      <c r="N231" s="402">
        <f>K231+L231+M231</f>
        <v/>
      </c>
      <c r="O231" s="402">
        <f>IF(G231&gt;0, N231/G231, 0)</f>
        <v/>
      </c>
      <c r="P231" s="403" t="n">
        <v>0.18</v>
      </c>
      <c r="Q231" s="402">
        <f>IF(G231&gt;0, ((N231-SUMIFS('03_BOC_TACH_VAN'!K:K, '03_BOC_TACH_VAN'!B:B, B231, '03_BOC_TACH_VAN'!D:D, "ĐỘNG_CƠ_VÀ_CẢM_BIẾN"))*(1+P231)+SUMIFS('03_BOC_TACH_VAN'!K:K, '03_BOC_TACH_VAN'!B:B, B231, '03_BOC_TACH_VAN'!D:D, "ĐỘNG_CƠ_VÀ_CẢM_BIẾN"))/G231, 0)</f>
        <v/>
      </c>
      <c r="R231" s="402">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402" t="n">
        <v>195</v>
      </c>
      <c r="H232" s="402">
        <f>SUMIF('01_BOC_TACH_ONG'!B:B, B232, '01_BOC_TACH_ONG'!K:K)</f>
        <v/>
      </c>
      <c r="I232" s="402">
        <f>SUMIF('02_BOC_TACH_CUA'!B:B, B232, '02_BOC_TACH_CUA'!K:K)</f>
        <v/>
      </c>
      <c r="J232" s="402">
        <f>SUMIF('03_BOC_TACH_VAN'!B:B, B232, '03_BOC_TACH_VAN'!K:K)</f>
        <v/>
      </c>
      <c r="K232" s="402">
        <f>SUM(H232:J232)</f>
        <v/>
      </c>
      <c r="L232" s="402">
        <f>(K232-SUMIFS('03_BOC_TACH_VAN'!K:K, '03_BOC_TACH_VAN'!B:B, B232, '03_BOC_TACH_VAN'!D:D, "ĐỘNG_CƠ_VÀ_CẢM_BIẾN"))*0.25</f>
        <v/>
      </c>
      <c r="M232" s="402">
        <f>(K232-SUMIFS('03_BOC_TACH_VAN'!K:K, '03_BOC_TACH_VAN'!B:B, B232, '03_BOC_TACH_VAN'!D:D, "ĐỘNG_CƠ_VÀ_CẢM_BIẾN"))*0.10</f>
        <v/>
      </c>
      <c r="N232" s="402">
        <f>K232+L232+M232</f>
        <v/>
      </c>
      <c r="O232" s="402">
        <f>IF(G232&gt;0, N232/G232, 0)</f>
        <v/>
      </c>
      <c r="P232" s="403" t="n">
        <v>0.18</v>
      </c>
      <c r="Q232" s="402">
        <f>IF(G232&gt;0, ((N232-SUMIFS('03_BOC_TACH_VAN'!K:K, '03_BOC_TACH_VAN'!B:B, B232, '03_BOC_TACH_VAN'!D:D, "ĐỘNG_CƠ_VÀ_CẢM_BIẾN"))*(1+P232)+SUMIFS('03_BOC_TACH_VAN'!K:K, '03_BOC_TACH_VAN'!B:B, B232, '03_BOC_TACH_VAN'!D:D, "ĐỘNG_CƠ_VÀ_CẢM_BIẾN"))/G232, 0)</f>
        <v/>
      </c>
      <c r="R232" s="402">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402" t="n">
        <v>1</v>
      </c>
      <c r="H233" s="402">
        <f>SUMIF('01_BOC_TACH_ONG'!B:B, B233, '01_BOC_TACH_ONG'!K:K)</f>
        <v/>
      </c>
      <c r="I233" s="402">
        <f>SUMIF('02_BOC_TACH_CUA'!B:B, B233, '02_BOC_TACH_CUA'!K:K)</f>
        <v/>
      </c>
      <c r="J233" s="402">
        <f>SUMIF('03_BOC_TACH_VAN'!B:B, B233, '03_BOC_TACH_VAN'!K:K)</f>
        <v/>
      </c>
      <c r="K233" s="402">
        <f>SUM(H233:J233)</f>
        <v/>
      </c>
      <c r="L233" s="402">
        <f>(K233-SUMIFS('03_BOC_TACH_VAN'!K:K, '03_BOC_TACH_VAN'!B:B, B233, '03_BOC_TACH_VAN'!D:D, "ĐỘNG_CƠ_VÀ_CẢM_BIẾN"))*0.00</f>
        <v/>
      </c>
      <c r="M233" s="402">
        <f>(K233-SUMIFS('03_BOC_TACH_VAN'!K:K, '03_BOC_TACH_VAN'!B:B, B233, '03_BOC_TACH_VAN'!D:D, "ĐỘNG_CƠ_VÀ_CẢM_BIẾN"))*0.02</f>
        <v/>
      </c>
      <c r="N233" s="402">
        <f>K233+L233+M233</f>
        <v/>
      </c>
      <c r="O233" s="402">
        <f>IF(G233&gt;0, N233/G233, 0)</f>
        <v/>
      </c>
      <c r="P233" s="403" t="n">
        <v>0.1</v>
      </c>
      <c r="Q233" s="402">
        <f>IF(G233&gt;0, ((N233-SUMIFS('03_BOC_TACH_VAN'!K:K, '03_BOC_TACH_VAN'!B:B, B233, '03_BOC_TACH_VAN'!D:D, "ĐỘNG_CƠ_VÀ_CẢM_BIẾN"))*(1+P233)+SUMIFS('03_BOC_TACH_VAN'!K:K, '03_BOC_TACH_VAN'!B:B, B233, '03_BOC_TACH_VAN'!D:D, "ĐỘNG_CƠ_VÀ_CẢM_BIẾN"))/G233, 0)</f>
        <v/>
      </c>
      <c r="R233" s="402">
        <f>G233*Q233</f>
        <v/>
      </c>
      <c r="S233" t="inlineStr">
        <is>
          <t>Hàng thương mại (Lấy nguyên giá BOQ)</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402" t="n">
        <v>767.5</v>
      </c>
      <c r="H234" s="402">
        <f>SUMIF('01_BOC_TACH_ONG'!B:B, B234, '01_BOC_TACH_ONG'!K:K)</f>
        <v/>
      </c>
      <c r="I234" s="402">
        <f>SUMIF('02_BOC_TACH_CUA'!B:B, B234, '02_BOC_TACH_CUA'!K:K)</f>
        <v/>
      </c>
      <c r="J234" s="402">
        <f>SUMIF('03_BOC_TACH_VAN'!B:B, B234, '03_BOC_TACH_VAN'!K:K)</f>
        <v/>
      </c>
      <c r="K234" s="402">
        <f>SUM(H234:J234)</f>
        <v/>
      </c>
      <c r="L234" s="402">
        <f>(K234-SUMIFS('03_BOC_TACH_VAN'!K:K, '03_BOC_TACH_VAN'!B:B, B234, '03_BOC_TACH_VAN'!D:D, "ĐỘNG_CƠ_VÀ_CẢM_BIẾN"))*0.25</f>
        <v/>
      </c>
      <c r="M234" s="402">
        <f>(K234-SUMIFS('03_BOC_TACH_VAN'!K:K, '03_BOC_TACH_VAN'!B:B, B234, '03_BOC_TACH_VAN'!D:D, "ĐỘNG_CƠ_VÀ_CẢM_BIẾN"))*0.10</f>
        <v/>
      </c>
      <c r="N234" s="402">
        <f>K234+L234+M234</f>
        <v/>
      </c>
      <c r="O234" s="402">
        <f>IF(G234&gt;0, N234/G234, 0)</f>
        <v/>
      </c>
      <c r="P234" s="403" t="n">
        <v>0.18</v>
      </c>
      <c r="Q234" s="402">
        <f>IF(G234&gt;0, ((N234-SUMIFS('03_BOC_TACH_VAN'!K:K, '03_BOC_TACH_VAN'!B:B, B234, '03_BOC_TACH_VAN'!D:D, "ĐỘNG_CƠ_VÀ_CẢM_BIẾN"))*(1+P234)+SUMIFS('03_BOC_TACH_VAN'!K:K, '03_BOC_TACH_VAN'!B:B, B234, '03_BOC_TACH_VAN'!D:D, "ĐỘNG_CƠ_VÀ_CẢM_BIẾN"))/G234, 0)</f>
        <v/>
      </c>
      <c r="R234" s="402">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402" t="n">
        <v>750</v>
      </c>
      <c r="H235" s="402">
        <f>SUMIF('01_BOC_TACH_ONG'!B:B, B235, '01_BOC_TACH_ONG'!K:K)</f>
        <v/>
      </c>
      <c r="I235" s="402">
        <f>SUMIF('02_BOC_TACH_CUA'!B:B, B235, '02_BOC_TACH_CUA'!K:K)</f>
        <v/>
      </c>
      <c r="J235" s="402">
        <f>SUMIF('03_BOC_TACH_VAN'!B:B, B235, '03_BOC_TACH_VAN'!K:K)</f>
        <v/>
      </c>
      <c r="K235" s="402">
        <f>SUM(H235:J235)</f>
        <v/>
      </c>
      <c r="L235" s="402">
        <f>(K235-SUMIFS('03_BOC_TACH_VAN'!K:K, '03_BOC_TACH_VAN'!B:B, B235, '03_BOC_TACH_VAN'!D:D, "ĐỘNG_CƠ_VÀ_CẢM_BIẾN"))*0.25</f>
        <v/>
      </c>
      <c r="M235" s="402">
        <f>(K235-SUMIFS('03_BOC_TACH_VAN'!K:K, '03_BOC_TACH_VAN'!B:B, B235, '03_BOC_TACH_VAN'!D:D, "ĐỘNG_CƠ_VÀ_CẢM_BIẾN"))*0.10</f>
        <v/>
      </c>
      <c r="N235" s="402">
        <f>K235+L235+M235</f>
        <v/>
      </c>
      <c r="O235" s="402">
        <f>IF(G235&gt;0, N235/G235, 0)</f>
        <v/>
      </c>
      <c r="P235" s="403" t="n">
        <v>0.18</v>
      </c>
      <c r="Q235" s="402">
        <f>IF(G235&gt;0, ((N235-SUMIFS('03_BOC_TACH_VAN'!K:K, '03_BOC_TACH_VAN'!B:B, B235, '03_BOC_TACH_VAN'!D:D, "ĐỘNG_CƠ_VÀ_CẢM_BIẾN"))*(1+P235)+SUMIFS('03_BOC_TACH_VAN'!K:K, '03_BOC_TACH_VAN'!B:B, B235, '03_BOC_TACH_VAN'!D:D, "ĐỘNG_CƠ_VÀ_CẢM_BIẾN"))/G235, 0)</f>
        <v/>
      </c>
      <c r="R235" s="402">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402" t="n">
        <v>19.5</v>
      </c>
      <c r="H236" s="402">
        <f>SUMIF('01_BOC_TACH_ONG'!B:B, B236, '01_BOC_TACH_ONG'!K:K)</f>
        <v/>
      </c>
      <c r="I236" s="402">
        <f>SUMIF('02_BOC_TACH_CUA'!B:B, B236, '02_BOC_TACH_CUA'!K:K)</f>
        <v/>
      </c>
      <c r="J236" s="402">
        <f>SUMIF('03_BOC_TACH_VAN'!B:B, B236, '03_BOC_TACH_VAN'!K:K)</f>
        <v/>
      </c>
      <c r="K236" s="402">
        <f>SUM(H236:J236)</f>
        <v/>
      </c>
      <c r="L236" s="402">
        <f>(K236-SUMIFS('03_BOC_TACH_VAN'!K:K, '03_BOC_TACH_VAN'!B:B, B236, '03_BOC_TACH_VAN'!D:D, "ĐỘNG_CƠ_VÀ_CẢM_BIẾN"))*0.00</f>
        <v/>
      </c>
      <c r="M236" s="402">
        <f>(K236-SUMIFS('03_BOC_TACH_VAN'!K:K, '03_BOC_TACH_VAN'!B:B, B236, '03_BOC_TACH_VAN'!D:D, "ĐỘNG_CƠ_VÀ_CẢM_BIẾN"))*0.02</f>
        <v/>
      </c>
      <c r="N236" s="402">
        <f>K236+L236+M236</f>
        <v/>
      </c>
      <c r="O236" s="402">
        <f>IF(G236&gt;0, N236/G236, 0)</f>
        <v/>
      </c>
      <c r="P236" s="403" t="n">
        <v>0.1</v>
      </c>
      <c r="Q236" s="402">
        <f>IF(G236&gt;0, ((N236-SUMIFS('03_BOC_TACH_VAN'!K:K, '03_BOC_TACH_VAN'!B:B, B236, '03_BOC_TACH_VAN'!D:D, "ĐỘNG_CƠ_VÀ_CẢM_BIẾN"))*(1+P236)+SUMIFS('03_BOC_TACH_VAN'!K:K, '03_BOC_TACH_VAN'!B:B, B236, '03_BOC_TACH_VAN'!D:D, "ĐỘNG_CƠ_VÀ_CẢM_BIẾN"))/G236, 0)</f>
        <v/>
      </c>
      <c r="R236" s="402">
        <f>G236*Q236</f>
        <v/>
      </c>
      <c r="S236" t="inlineStr">
        <is>
          <t>Ống gió mềm (Lấy nguyên giá BOQ)</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402" t="n">
        <v>76.5</v>
      </c>
      <c r="H237" s="402">
        <f>SUMIF('01_BOC_TACH_ONG'!B:B, B237, '01_BOC_TACH_ONG'!K:K)</f>
        <v/>
      </c>
      <c r="I237" s="402">
        <f>SUMIF('02_BOC_TACH_CUA'!B:B, B237, '02_BOC_TACH_CUA'!K:K)</f>
        <v/>
      </c>
      <c r="J237" s="402">
        <f>SUMIF('03_BOC_TACH_VAN'!B:B, B237, '03_BOC_TACH_VAN'!K:K)</f>
        <v/>
      </c>
      <c r="K237" s="402">
        <f>SUM(H237:J237)</f>
        <v/>
      </c>
      <c r="L237" s="402">
        <f>(K237-SUMIFS('03_BOC_TACH_VAN'!K:K, '03_BOC_TACH_VAN'!B:B, B237, '03_BOC_TACH_VAN'!D:D, "ĐỘNG_CƠ_VÀ_CẢM_BIẾN"))*0.00</f>
        <v/>
      </c>
      <c r="M237" s="402">
        <f>(K237-SUMIFS('03_BOC_TACH_VAN'!K:K, '03_BOC_TACH_VAN'!B:B, B237, '03_BOC_TACH_VAN'!D:D, "ĐỘNG_CƠ_VÀ_CẢM_BIẾN"))*0.02</f>
        <v/>
      </c>
      <c r="N237" s="402">
        <f>K237+L237+M237</f>
        <v/>
      </c>
      <c r="O237" s="402">
        <f>IF(G237&gt;0, N237/G237, 0)</f>
        <v/>
      </c>
      <c r="P237" s="403" t="n">
        <v>0.1</v>
      </c>
      <c r="Q237" s="402">
        <f>IF(G237&gt;0, ((N237-SUMIFS('03_BOC_TACH_VAN'!K:K, '03_BOC_TACH_VAN'!B:B, B237, '03_BOC_TACH_VAN'!D:D, "ĐỘNG_CƠ_VÀ_CẢM_BIẾN"))*(1+P237)+SUMIFS('03_BOC_TACH_VAN'!K:K, '03_BOC_TACH_VAN'!B:B, B237, '03_BOC_TACH_VAN'!D:D, "ĐỘNG_CƠ_VÀ_CẢM_BIẾN"))/G237, 0)</f>
        <v/>
      </c>
      <c r="R237" s="402">
        <f>G237*Q237</f>
        <v/>
      </c>
      <c r="S237" t="inlineStr">
        <is>
          <t>Ống gió mềm (Lấy nguyên giá BOQ)</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402" t="n">
        <v>97.5</v>
      </c>
      <c r="H238" s="402">
        <f>SUMIF('01_BOC_TACH_ONG'!B:B, B238, '01_BOC_TACH_ONG'!K:K)</f>
        <v/>
      </c>
      <c r="I238" s="402">
        <f>SUMIF('02_BOC_TACH_CUA'!B:B, B238, '02_BOC_TACH_CUA'!K:K)</f>
        <v/>
      </c>
      <c r="J238" s="402">
        <f>SUMIF('03_BOC_TACH_VAN'!B:B, B238, '03_BOC_TACH_VAN'!K:K)</f>
        <v/>
      </c>
      <c r="K238" s="402">
        <f>SUM(H238:J238)</f>
        <v/>
      </c>
      <c r="L238" s="402">
        <f>(K238-SUMIFS('03_BOC_TACH_VAN'!K:K, '03_BOC_TACH_VAN'!B:B, B238, '03_BOC_TACH_VAN'!D:D, "ĐỘNG_CƠ_VÀ_CẢM_BIẾN"))*0.00</f>
        <v/>
      </c>
      <c r="M238" s="402">
        <f>(K238-SUMIFS('03_BOC_TACH_VAN'!K:K, '03_BOC_TACH_VAN'!B:B, B238, '03_BOC_TACH_VAN'!D:D, "ĐỘNG_CƠ_VÀ_CẢM_BIẾN"))*0.02</f>
        <v/>
      </c>
      <c r="N238" s="402">
        <f>K238+L238+M238</f>
        <v/>
      </c>
      <c r="O238" s="402">
        <f>IF(G238&gt;0, N238/G238, 0)</f>
        <v/>
      </c>
      <c r="P238" s="403" t="n">
        <v>0.1</v>
      </c>
      <c r="Q238" s="402">
        <f>IF(G238&gt;0, ((N238-SUMIFS('03_BOC_TACH_VAN'!K:K, '03_BOC_TACH_VAN'!B:B, B238, '03_BOC_TACH_VAN'!D:D, "ĐỘNG_CƠ_VÀ_CẢM_BIẾN"))*(1+P238)+SUMIFS('03_BOC_TACH_VAN'!K:K, '03_BOC_TACH_VAN'!B:B, B238, '03_BOC_TACH_VAN'!D:D, "ĐỘNG_CƠ_VÀ_CẢM_BIẾN"))/G238, 0)</f>
        <v/>
      </c>
      <c r="R238" s="402">
        <f>G238*Q238</f>
        <v/>
      </c>
      <c r="S238" t="inlineStr">
        <is>
          <t>Ống gió mềm (Lấy nguyên giá BOQ)</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402" t="n">
        <v>630</v>
      </c>
      <c r="H239" s="402">
        <f>SUMIF('01_BOC_TACH_ONG'!B:B, B239, '01_BOC_TACH_ONG'!K:K)</f>
        <v/>
      </c>
      <c r="I239" s="402">
        <f>SUMIF('02_BOC_TACH_CUA'!B:B, B239, '02_BOC_TACH_CUA'!K:K)</f>
        <v/>
      </c>
      <c r="J239" s="402">
        <f>SUMIF('03_BOC_TACH_VAN'!B:B, B239, '03_BOC_TACH_VAN'!K:K)</f>
        <v/>
      </c>
      <c r="K239" s="402">
        <f>SUM(H239:J239)</f>
        <v/>
      </c>
      <c r="L239" s="402">
        <f>(K239-SUMIFS('03_BOC_TACH_VAN'!K:K, '03_BOC_TACH_VAN'!B:B, B239, '03_BOC_TACH_VAN'!D:D, "ĐỘNG_CƠ_VÀ_CẢM_BIẾN"))*0.00</f>
        <v/>
      </c>
      <c r="M239" s="402">
        <f>(K239-SUMIFS('03_BOC_TACH_VAN'!K:K, '03_BOC_TACH_VAN'!B:B, B239, '03_BOC_TACH_VAN'!D:D, "ĐỘNG_CƠ_VÀ_CẢM_BIẾN"))*0.02</f>
        <v/>
      </c>
      <c r="N239" s="402">
        <f>K239+L239+M239</f>
        <v/>
      </c>
      <c r="O239" s="402">
        <f>IF(G239&gt;0, N239/G239, 0)</f>
        <v/>
      </c>
      <c r="P239" s="403" t="n">
        <v>0.1</v>
      </c>
      <c r="Q239" s="402">
        <f>IF(G239&gt;0, ((N239-SUMIFS('03_BOC_TACH_VAN'!K:K, '03_BOC_TACH_VAN'!B:B, B239, '03_BOC_TACH_VAN'!D:D, "ĐỘNG_CƠ_VÀ_CẢM_BIẾN"))*(1+P239)+SUMIFS('03_BOC_TACH_VAN'!K:K, '03_BOC_TACH_VAN'!B:B, B239, '03_BOC_TACH_VAN'!D:D, "ĐỘNG_CƠ_VÀ_CẢM_BIẾN"))/G239, 0)</f>
        <v/>
      </c>
      <c r="R239" s="402">
        <f>G239*Q239</f>
        <v/>
      </c>
      <c r="S239" t="inlineStr">
        <is>
          <t>Ống gió mềm (Lấy nguyên giá BOQ)</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402" t="n">
        <v>19.5</v>
      </c>
      <c r="H240" s="402">
        <f>SUMIF('01_BOC_TACH_ONG'!B:B, B240, '01_BOC_TACH_ONG'!K:K)</f>
        <v/>
      </c>
      <c r="I240" s="402">
        <f>SUMIF('02_BOC_TACH_CUA'!B:B, B240, '02_BOC_TACH_CUA'!K:K)</f>
        <v/>
      </c>
      <c r="J240" s="402">
        <f>SUMIF('03_BOC_TACH_VAN'!B:B, B240, '03_BOC_TACH_VAN'!K:K)</f>
        <v/>
      </c>
      <c r="K240" s="402">
        <f>SUM(H240:J240)</f>
        <v/>
      </c>
      <c r="L240" s="402">
        <f>(K240-SUMIFS('03_BOC_TACH_VAN'!K:K, '03_BOC_TACH_VAN'!B:B, B240, '03_BOC_TACH_VAN'!D:D, "ĐỘNG_CƠ_VÀ_CẢM_BIẾN"))*0.00</f>
        <v/>
      </c>
      <c r="M240" s="402">
        <f>(K240-SUMIFS('03_BOC_TACH_VAN'!K:K, '03_BOC_TACH_VAN'!B:B, B240, '03_BOC_TACH_VAN'!D:D, "ĐỘNG_CƠ_VÀ_CẢM_BIẾN"))*0.02</f>
        <v/>
      </c>
      <c r="N240" s="402">
        <f>K240+L240+M240</f>
        <v/>
      </c>
      <c r="O240" s="402">
        <f>IF(G240&gt;0, N240/G240, 0)</f>
        <v/>
      </c>
      <c r="P240" s="403" t="n">
        <v>0.1</v>
      </c>
      <c r="Q240" s="402">
        <f>IF(G240&gt;0, ((N240-SUMIFS('03_BOC_TACH_VAN'!K:K, '03_BOC_TACH_VAN'!B:B, B240, '03_BOC_TACH_VAN'!D:D, "ĐỘNG_CƠ_VÀ_CẢM_BIẾN"))*(1+P240)+SUMIFS('03_BOC_TACH_VAN'!K:K, '03_BOC_TACH_VAN'!B:B, B240, '03_BOC_TACH_VAN'!D:D, "ĐỘNG_CƠ_VÀ_CẢM_BIẾN"))/G240, 0)</f>
        <v/>
      </c>
      <c r="R240" s="402">
        <f>G240*Q240</f>
        <v/>
      </c>
      <c r="S240" t="inlineStr">
        <is>
          <t>Ống gió mềm (Lấy nguyên giá BOQ)</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402" t="n">
        <v>76.5</v>
      </c>
      <c r="H241" s="402">
        <f>SUMIF('01_BOC_TACH_ONG'!B:B, B241, '01_BOC_TACH_ONG'!K:K)</f>
        <v/>
      </c>
      <c r="I241" s="402">
        <f>SUMIF('02_BOC_TACH_CUA'!B:B, B241, '02_BOC_TACH_CUA'!K:K)</f>
        <v/>
      </c>
      <c r="J241" s="402">
        <f>SUMIF('03_BOC_TACH_VAN'!B:B, B241, '03_BOC_TACH_VAN'!K:K)</f>
        <v/>
      </c>
      <c r="K241" s="402">
        <f>SUM(H241:J241)</f>
        <v/>
      </c>
      <c r="L241" s="402">
        <f>(K241-SUMIFS('03_BOC_TACH_VAN'!K:K, '03_BOC_TACH_VAN'!B:B, B241, '03_BOC_TACH_VAN'!D:D, "ĐỘNG_CƠ_VÀ_CẢM_BIẾN"))*0.00</f>
        <v/>
      </c>
      <c r="M241" s="402">
        <f>(K241-SUMIFS('03_BOC_TACH_VAN'!K:K, '03_BOC_TACH_VAN'!B:B, B241, '03_BOC_TACH_VAN'!D:D, "ĐỘNG_CƠ_VÀ_CẢM_BIẾN"))*0.02</f>
        <v/>
      </c>
      <c r="N241" s="402">
        <f>K241+L241+M241</f>
        <v/>
      </c>
      <c r="O241" s="402">
        <f>IF(G241&gt;0, N241/G241, 0)</f>
        <v/>
      </c>
      <c r="P241" s="403" t="n">
        <v>0.1</v>
      </c>
      <c r="Q241" s="402">
        <f>IF(G241&gt;0, ((N241-SUMIFS('03_BOC_TACH_VAN'!K:K, '03_BOC_TACH_VAN'!B:B, B241, '03_BOC_TACH_VAN'!D:D, "ĐỘNG_CƠ_VÀ_CẢM_BIẾN"))*(1+P241)+SUMIFS('03_BOC_TACH_VAN'!K:K, '03_BOC_TACH_VAN'!B:B, B241, '03_BOC_TACH_VAN'!D:D, "ĐỘNG_CƠ_VÀ_CẢM_BIẾN"))/G241, 0)</f>
        <v/>
      </c>
      <c r="R241" s="402">
        <f>G241*Q241</f>
        <v/>
      </c>
      <c r="S241" t="inlineStr">
        <is>
          <t>Ống gió mềm (Lấy nguyên giá BOQ)</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402" t="n">
        <v>97.5</v>
      </c>
      <c r="H242" s="402">
        <f>SUMIF('01_BOC_TACH_ONG'!B:B, B242, '01_BOC_TACH_ONG'!K:K)</f>
        <v/>
      </c>
      <c r="I242" s="402">
        <f>SUMIF('02_BOC_TACH_CUA'!B:B, B242, '02_BOC_TACH_CUA'!K:K)</f>
        <v/>
      </c>
      <c r="J242" s="402">
        <f>SUMIF('03_BOC_TACH_VAN'!B:B, B242, '03_BOC_TACH_VAN'!K:K)</f>
        <v/>
      </c>
      <c r="K242" s="402">
        <f>SUM(H242:J242)</f>
        <v/>
      </c>
      <c r="L242" s="402">
        <f>(K242-SUMIFS('03_BOC_TACH_VAN'!K:K, '03_BOC_TACH_VAN'!B:B, B242, '03_BOC_TACH_VAN'!D:D, "ĐỘNG_CƠ_VÀ_CẢM_BIẾN"))*0.00</f>
        <v/>
      </c>
      <c r="M242" s="402">
        <f>(K242-SUMIFS('03_BOC_TACH_VAN'!K:K, '03_BOC_TACH_VAN'!B:B, B242, '03_BOC_TACH_VAN'!D:D, "ĐỘNG_CƠ_VÀ_CẢM_BIẾN"))*0.02</f>
        <v/>
      </c>
      <c r="N242" s="402">
        <f>K242+L242+M242</f>
        <v/>
      </c>
      <c r="O242" s="402">
        <f>IF(G242&gt;0, N242/G242, 0)</f>
        <v/>
      </c>
      <c r="P242" s="403" t="n">
        <v>0.1</v>
      </c>
      <c r="Q242" s="402">
        <f>IF(G242&gt;0, ((N242-SUMIFS('03_BOC_TACH_VAN'!K:K, '03_BOC_TACH_VAN'!B:B, B242, '03_BOC_TACH_VAN'!D:D, "ĐỘNG_CƠ_VÀ_CẢM_BIẾN"))*(1+P242)+SUMIFS('03_BOC_TACH_VAN'!K:K, '03_BOC_TACH_VAN'!B:B, B242, '03_BOC_TACH_VAN'!D:D, "ĐỘNG_CƠ_VÀ_CẢM_BIẾN"))/G242, 0)</f>
        <v/>
      </c>
      <c r="R242" s="402">
        <f>G242*Q242</f>
        <v/>
      </c>
      <c r="S242" t="inlineStr">
        <is>
          <t>Ống gió mềm (Lấy nguyên giá BOQ)</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402" t="n">
        <v>438</v>
      </c>
      <c r="H243" s="402">
        <f>SUMIF('01_BOC_TACH_ONG'!B:B, B243, '01_BOC_TACH_ONG'!K:K)</f>
        <v/>
      </c>
      <c r="I243" s="402">
        <f>SUMIF('02_BOC_TACH_CUA'!B:B, B243, '02_BOC_TACH_CUA'!K:K)</f>
        <v/>
      </c>
      <c r="J243" s="402">
        <f>SUMIF('03_BOC_TACH_VAN'!B:B, B243, '03_BOC_TACH_VAN'!K:K)</f>
        <v/>
      </c>
      <c r="K243" s="402">
        <f>SUM(H243:J243)</f>
        <v/>
      </c>
      <c r="L243" s="402">
        <f>(K243-SUMIFS('03_BOC_TACH_VAN'!K:K, '03_BOC_TACH_VAN'!B:B, B243, '03_BOC_TACH_VAN'!D:D, "ĐỘNG_CƠ_VÀ_CẢM_BIẾN"))*0.00</f>
        <v/>
      </c>
      <c r="M243" s="402">
        <f>(K243-SUMIFS('03_BOC_TACH_VAN'!K:K, '03_BOC_TACH_VAN'!B:B, B243, '03_BOC_TACH_VAN'!D:D, "ĐỘNG_CƠ_VÀ_CẢM_BIẾN"))*0.02</f>
        <v/>
      </c>
      <c r="N243" s="402">
        <f>K243+L243+M243</f>
        <v/>
      </c>
      <c r="O243" s="402">
        <f>IF(G243&gt;0, N243/G243, 0)</f>
        <v/>
      </c>
      <c r="P243" s="403" t="n">
        <v>0.1</v>
      </c>
      <c r="Q243" s="402">
        <f>IF(G243&gt;0, ((N243-SUMIFS('03_BOC_TACH_VAN'!K:K, '03_BOC_TACH_VAN'!B:B, B243, '03_BOC_TACH_VAN'!D:D, "ĐỘNG_CƠ_VÀ_CẢM_BIẾN"))*(1+P243)+SUMIFS('03_BOC_TACH_VAN'!K:K, '03_BOC_TACH_VAN'!B:B, B243, '03_BOC_TACH_VAN'!D:D, "ĐỘNG_CƠ_VÀ_CẢM_BIẾN"))/G243, 0)</f>
        <v/>
      </c>
      <c r="R243" s="402">
        <f>G243*Q243</f>
        <v/>
      </c>
      <c r="S243" t="inlineStr">
        <is>
          <t>Ống gió mềm (Lấy nguyên giá BOQ)</t>
        </is>
      </c>
    </row>
    <row r="244">
      <c r="A244" t="n">
        <v>243</v>
      </c>
      <c r="B244" t="inlineStr">
        <is>
          <t>SW-TRD-243</t>
        </is>
      </c>
      <c r="C244" t="inlineStr">
        <is>
          <t>THƯƠNG MẠI</t>
        </is>
      </c>
      <c r="D244" t="inlineStr">
        <is>
          <t>ỐNG GIÓ LẠNH Vật tư phụ, phụ kiện</t>
        </is>
      </c>
      <c r="E244" t="inlineStr">
        <is>
          <t>-</t>
        </is>
      </c>
      <c r="F244" t="inlineStr">
        <is>
          <t>Lô</t>
        </is>
      </c>
      <c r="G244" s="402" t="n">
        <v>1</v>
      </c>
      <c r="H244" s="402">
        <f>SUMIF('01_BOC_TACH_ONG'!B:B, B244, '01_BOC_TACH_ONG'!K:K)</f>
        <v/>
      </c>
      <c r="I244" s="402">
        <f>SUMIF('02_BOC_TACH_CUA'!B:B, B244, '02_BOC_TACH_CUA'!K:K)</f>
        <v/>
      </c>
      <c r="J244" s="402">
        <f>SUMIF('03_BOC_TACH_VAN'!B:B, B244, '03_BOC_TACH_VAN'!K:K)</f>
        <v/>
      </c>
      <c r="K244" s="402">
        <f>SUM(H244:J244)</f>
        <v/>
      </c>
      <c r="L244" s="402">
        <f>(K244-SUMIFS('03_BOC_TACH_VAN'!K:K, '03_BOC_TACH_VAN'!B:B, B244, '03_BOC_TACH_VAN'!D:D, "ĐỘNG_CƠ_VÀ_CẢM_BIẾN"))*0.00</f>
        <v/>
      </c>
      <c r="M244" s="402">
        <f>(K244-SUMIFS('03_BOC_TACH_VAN'!K:K, '03_BOC_TACH_VAN'!B:B, B244, '03_BOC_TACH_VAN'!D:D, "ĐỘNG_CƠ_VÀ_CẢM_BIẾN"))*0.02</f>
        <v/>
      </c>
      <c r="N244" s="402">
        <f>K244+L244+M244</f>
        <v/>
      </c>
      <c r="O244" s="402">
        <f>IF(G244&gt;0, N244/G244, 0)</f>
        <v/>
      </c>
      <c r="P244" s="403" t="n">
        <v>0.1</v>
      </c>
      <c r="Q244" s="402">
        <f>IF(G244&gt;0, ((N244-SUMIFS('03_BOC_TACH_VAN'!K:K, '03_BOC_TACH_VAN'!B:B, B244, '03_BOC_TACH_VAN'!D:D, "ĐỘNG_CƠ_VÀ_CẢM_BIẾN"))*(1+P244)+SUMIFS('03_BOC_TACH_VAN'!K:K, '03_BOC_TACH_VAN'!B:B, B244, '03_BOC_TACH_VAN'!D:D, "ĐỘNG_CƠ_VÀ_CẢM_BIẾN"))/G244, 0)</f>
        <v/>
      </c>
      <c r="R244" s="402">
        <f>G244*Q244</f>
        <v/>
      </c>
      <c r="S244" t="inlineStr">
        <is>
          <t>Hàng thương mại (Lấy nguyên giá BOQ)</t>
        </is>
      </c>
    </row>
    <row r="245">
      <c r="A245" t="n">
        <v>244</v>
      </c>
      <c r="B245" t="inlineStr">
        <is>
          <t>SW-TRD-244</t>
        </is>
      </c>
      <c r="C245" t="inlineStr">
        <is>
          <t>THƯƠNG MẠI</t>
        </is>
      </c>
      <c r="D245" t="inlineStr">
        <is>
          <t>ỐNG ĐỒNG, BẢO ÔN Vật tư phụ, phụ kiện</t>
        </is>
      </c>
      <c r="E245" t="inlineStr">
        <is>
          <t>-</t>
        </is>
      </c>
      <c r="F245" t="inlineStr">
        <is>
          <t>Lô</t>
        </is>
      </c>
      <c r="G245" s="402" t="n">
        <v>1</v>
      </c>
      <c r="H245" s="402">
        <f>SUMIF('01_BOC_TACH_ONG'!B:B, B245, '01_BOC_TACH_ONG'!K:K)</f>
        <v/>
      </c>
      <c r="I245" s="402">
        <f>SUMIF('02_BOC_TACH_CUA'!B:B, B245, '02_BOC_TACH_CUA'!K:K)</f>
        <v/>
      </c>
      <c r="J245" s="402">
        <f>SUMIF('03_BOC_TACH_VAN'!B:B, B245, '03_BOC_TACH_VAN'!K:K)</f>
        <v/>
      </c>
      <c r="K245" s="402">
        <f>SUM(H245:J245)</f>
        <v/>
      </c>
      <c r="L245" s="402">
        <f>(K245-SUMIFS('03_BOC_TACH_VAN'!K:K, '03_BOC_TACH_VAN'!B:B, B245, '03_BOC_TACH_VAN'!D:D, "ĐỘNG_CƠ_VÀ_CẢM_BIẾN"))*0.00</f>
        <v/>
      </c>
      <c r="M245" s="402">
        <f>(K245-SUMIFS('03_BOC_TACH_VAN'!K:K, '03_BOC_TACH_VAN'!B:B, B245, '03_BOC_TACH_VAN'!D:D, "ĐỘNG_CƠ_VÀ_CẢM_BIẾN"))*0.02</f>
        <v/>
      </c>
      <c r="N245" s="402">
        <f>K245+L245+M245</f>
        <v/>
      </c>
      <c r="O245" s="402">
        <f>IF(G245&gt;0, N245/G245, 0)</f>
        <v/>
      </c>
      <c r="P245" s="403" t="n">
        <v>0.1</v>
      </c>
      <c r="Q245" s="402">
        <f>IF(G245&gt;0, ((N245-SUMIFS('03_BOC_TACH_VAN'!K:K, '03_BOC_TACH_VAN'!B:B, B245, '03_BOC_TACH_VAN'!D:D, "ĐỘNG_CƠ_VÀ_CẢM_BIẾN"))*(1+P245)+SUMIFS('03_BOC_TACH_VAN'!K:K, '03_BOC_TACH_VAN'!B:B, B245, '03_BOC_TACH_VAN'!D:D, "ĐỘNG_CƠ_VÀ_CẢM_BIẾN"))/G245, 0)</f>
        <v/>
      </c>
      <c r="R245" s="402">
        <f>G245*Q245</f>
        <v/>
      </c>
      <c r="S245" t="inlineStr">
        <is>
          <t>Hàng thương mại (Lấy nguyên giá BOQ)</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402" t="n">
        <v>10</v>
      </c>
      <c r="H246" s="402">
        <f>SUMIF('01_BOC_TACH_ONG'!B:B, B246, '01_BOC_TACH_ONG'!K:K)</f>
        <v/>
      </c>
      <c r="I246" s="402">
        <f>SUMIF('02_BOC_TACH_CUA'!B:B, B246, '02_BOC_TACH_CUA'!K:K)</f>
        <v/>
      </c>
      <c r="J246" s="402">
        <f>SUMIF('03_BOC_TACH_VAN'!B:B, B246, '03_BOC_TACH_VAN'!K:K)</f>
        <v/>
      </c>
      <c r="K246" s="402">
        <f>SUM(H246:J246)</f>
        <v/>
      </c>
      <c r="L246" s="402">
        <f>(K246-SUMIFS('03_BOC_TACH_VAN'!K:K, '03_BOC_TACH_VAN'!B:B, B246, '03_BOC_TACH_VAN'!D:D, "ĐỘNG_CƠ_VÀ_CẢM_BIẾN"))*0.25</f>
        <v/>
      </c>
      <c r="M246" s="402">
        <f>(K246-SUMIFS('03_BOC_TACH_VAN'!K:K, '03_BOC_TACH_VAN'!B:B, B246, '03_BOC_TACH_VAN'!D:D, "ĐỘNG_CƠ_VÀ_CẢM_BIẾN"))*0.10</f>
        <v/>
      </c>
      <c r="N246" s="402">
        <f>K246+L246+M246</f>
        <v/>
      </c>
      <c r="O246" s="402">
        <f>IF(G246&gt;0, N246/G246, 0)</f>
        <v/>
      </c>
      <c r="P246" s="403" t="n">
        <v>0.18</v>
      </c>
      <c r="Q246" s="402">
        <f>IF(G246&gt;0, ((N246-SUMIFS('03_BOC_TACH_VAN'!K:K, '03_BOC_TACH_VAN'!B:B, B246, '03_BOC_TACH_VAN'!D:D, "ĐỘNG_CƠ_VÀ_CẢM_BIẾN"))*(1+P246)+SUMIFS('03_BOC_TACH_VAN'!K:K, '03_BOC_TACH_VAN'!B:B, B246, '03_BOC_TACH_VAN'!D:D, "ĐỘNG_CƠ_VÀ_CẢM_BIẾN"))/G246, 0)</f>
        <v/>
      </c>
      <c r="R246" s="402">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402" t="n">
        <v>4</v>
      </c>
      <c r="H247" s="402">
        <f>SUMIF('01_BOC_TACH_ONG'!B:B, B247, '01_BOC_TACH_ONG'!K:K)</f>
        <v/>
      </c>
      <c r="I247" s="402">
        <f>SUMIF('02_BOC_TACH_CUA'!B:B, B247, '02_BOC_TACH_CUA'!K:K)</f>
        <v/>
      </c>
      <c r="J247" s="402">
        <f>SUMIF('03_BOC_TACH_VAN'!B:B, B247, '03_BOC_TACH_VAN'!K:K)</f>
        <v/>
      </c>
      <c r="K247" s="402">
        <f>SUM(H247:J247)</f>
        <v/>
      </c>
      <c r="L247" s="402">
        <f>(K247-SUMIFS('03_BOC_TACH_VAN'!K:K, '03_BOC_TACH_VAN'!B:B, B247, '03_BOC_TACH_VAN'!D:D, "ĐỘNG_CƠ_VÀ_CẢM_BIẾN"))*0.25</f>
        <v/>
      </c>
      <c r="M247" s="402">
        <f>(K247-SUMIFS('03_BOC_TACH_VAN'!K:K, '03_BOC_TACH_VAN'!B:B, B247, '03_BOC_TACH_VAN'!D:D, "ĐỘNG_CƠ_VÀ_CẢM_BIẾN"))*0.10</f>
        <v/>
      </c>
      <c r="N247" s="402">
        <f>K247+L247+M247</f>
        <v/>
      </c>
      <c r="O247" s="402">
        <f>IF(G247&gt;0, N247/G247, 0)</f>
        <v/>
      </c>
      <c r="P247" s="403" t="n">
        <v>0.18</v>
      </c>
      <c r="Q247" s="402">
        <f>IF(G247&gt;0, ((N247-SUMIFS('03_BOC_TACH_VAN'!K:K, '03_BOC_TACH_VAN'!B:B, B247, '03_BOC_TACH_VAN'!D:D, "ĐỘNG_CƠ_VÀ_CẢM_BIẾN"))*(1+P247)+SUMIFS('03_BOC_TACH_VAN'!K:K, '03_BOC_TACH_VAN'!B:B, B247, '03_BOC_TACH_VAN'!D:D, "ĐỘNG_CƠ_VÀ_CẢM_BIẾN"))/G247, 0)</f>
        <v/>
      </c>
      <c r="R247" s="402">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402" t="n">
        <v>22</v>
      </c>
      <c r="H248" s="402">
        <f>SUMIF('01_BOC_TACH_ONG'!B:B, B248, '01_BOC_TACH_ONG'!K:K)</f>
        <v/>
      </c>
      <c r="I248" s="402">
        <f>SUMIF('02_BOC_TACH_CUA'!B:B, B248, '02_BOC_TACH_CUA'!K:K)</f>
        <v/>
      </c>
      <c r="J248" s="402">
        <f>SUMIF('03_BOC_TACH_VAN'!B:B, B248, '03_BOC_TACH_VAN'!K:K)</f>
        <v/>
      </c>
      <c r="K248" s="402">
        <f>SUM(H248:J248)</f>
        <v/>
      </c>
      <c r="L248" s="402">
        <f>(K248-SUMIFS('03_BOC_TACH_VAN'!K:K, '03_BOC_TACH_VAN'!B:B, B248, '03_BOC_TACH_VAN'!D:D, "ĐỘNG_CƠ_VÀ_CẢM_BIẾN"))*0.25</f>
        <v/>
      </c>
      <c r="M248" s="402">
        <f>(K248-SUMIFS('03_BOC_TACH_VAN'!K:K, '03_BOC_TACH_VAN'!B:B, B248, '03_BOC_TACH_VAN'!D:D, "ĐỘNG_CƠ_VÀ_CẢM_BIẾN"))*0.10</f>
        <v/>
      </c>
      <c r="N248" s="402">
        <f>K248+L248+M248</f>
        <v/>
      </c>
      <c r="O248" s="402">
        <f>IF(G248&gt;0, N248/G248, 0)</f>
        <v/>
      </c>
      <c r="P248" s="403" t="n">
        <v>0.18</v>
      </c>
      <c r="Q248" s="402">
        <f>IF(G248&gt;0, ((N248-SUMIFS('03_BOC_TACH_VAN'!K:K, '03_BOC_TACH_VAN'!B:B, B248, '03_BOC_TACH_VAN'!D:D, "ĐỘNG_CƠ_VÀ_CẢM_BIẾN"))*(1+P248)+SUMIFS('03_BOC_TACH_VAN'!K:K, '03_BOC_TACH_VAN'!B:B, B248, '03_BOC_TACH_VAN'!D:D, "ĐỘNG_CƠ_VÀ_CẢM_BIẾN"))/G248, 0)</f>
        <v/>
      </c>
      <c r="R248" s="402">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402" t="n">
        <v>22</v>
      </c>
      <c r="H249" s="402">
        <f>SUMIF('01_BOC_TACH_ONG'!B:B, B249, '01_BOC_TACH_ONG'!K:K)</f>
        <v/>
      </c>
      <c r="I249" s="402">
        <f>SUMIF('02_BOC_TACH_CUA'!B:B, B249, '02_BOC_TACH_CUA'!K:K)</f>
        <v/>
      </c>
      <c r="J249" s="402">
        <f>SUMIF('03_BOC_TACH_VAN'!B:B, B249, '03_BOC_TACH_VAN'!K:K)</f>
        <v/>
      </c>
      <c r="K249" s="402">
        <f>SUM(H249:J249)</f>
        <v/>
      </c>
      <c r="L249" s="402">
        <f>(K249-SUMIFS('03_BOC_TACH_VAN'!K:K, '03_BOC_TACH_VAN'!B:B, B249, '03_BOC_TACH_VAN'!D:D, "ĐỘNG_CƠ_VÀ_CẢM_BIẾN"))*0.25</f>
        <v/>
      </c>
      <c r="M249" s="402">
        <f>(K249-SUMIFS('03_BOC_TACH_VAN'!K:K, '03_BOC_TACH_VAN'!B:B, B249, '03_BOC_TACH_VAN'!D:D, "ĐỘNG_CƠ_VÀ_CẢM_BIẾN"))*0.10</f>
        <v/>
      </c>
      <c r="N249" s="402">
        <f>K249+L249+M249</f>
        <v/>
      </c>
      <c r="O249" s="402">
        <f>IF(G249&gt;0, N249/G249, 0)</f>
        <v/>
      </c>
      <c r="P249" s="403" t="n">
        <v>0.18</v>
      </c>
      <c r="Q249" s="402">
        <f>IF(G249&gt;0, ((N249-SUMIFS('03_BOC_TACH_VAN'!K:K, '03_BOC_TACH_VAN'!B:B, B249, '03_BOC_TACH_VAN'!D:D, "ĐỘNG_CƠ_VÀ_CẢM_BIẾN"))*(1+P249)+SUMIFS('03_BOC_TACH_VAN'!K:K, '03_BOC_TACH_VAN'!B:B, B249, '03_BOC_TACH_VAN'!D:D, "ĐỘNG_CƠ_VÀ_CẢM_BIẾN"))/G249, 0)</f>
        <v/>
      </c>
      <c r="R249" s="402">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402" t="n">
        <v>30</v>
      </c>
      <c r="H250" s="402">
        <f>SUMIF('01_BOC_TACH_ONG'!B:B, B250, '01_BOC_TACH_ONG'!K:K)</f>
        <v/>
      </c>
      <c r="I250" s="402">
        <f>SUMIF('02_BOC_TACH_CUA'!B:B, B250, '02_BOC_TACH_CUA'!K:K)</f>
        <v/>
      </c>
      <c r="J250" s="402">
        <f>SUMIF('03_BOC_TACH_VAN'!B:B, B250, '03_BOC_TACH_VAN'!K:K)</f>
        <v/>
      </c>
      <c r="K250" s="402">
        <f>SUM(H250:J250)</f>
        <v/>
      </c>
      <c r="L250" s="402">
        <f>(K250-SUMIFS('03_BOC_TACH_VAN'!K:K, '03_BOC_TACH_VAN'!B:B, B250, '03_BOC_TACH_VAN'!D:D, "ĐỘNG_CƠ_VÀ_CẢM_BIẾN"))*0.25</f>
        <v/>
      </c>
      <c r="M250" s="402">
        <f>(K250-SUMIFS('03_BOC_TACH_VAN'!K:K, '03_BOC_TACH_VAN'!B:B, B250, '03_BOC_TACH_VAN'!D:D, "ĐỘNG_CƠ_VÀ_CẢM_BIẾN"))*0.10</f>
        <v/>
      </c>
      <c r="N250" s="402">
        <f>K250+L250+M250</f>
        <v/>
      </c>
      <c r="O250" s="402">
        <f>IF(G250&gt;0, N250/G250, 0)</f>
        <v/>
      </c>
      <c r="P250" s="403" t="n">
        <v>0.18</v>
      </c>
      <c r="Q250" s="402">
        <f>IF(G250&gt;0, ((N250-SUMIFS('03_BOC_TACH_VAN'!K:K, '03_BOC_TACH_VAN'!B:B, B250, '03_BOC_TACH_VAN'!D:D, "ĐỘNG_CƠ_VÀ_CẢM_BIẾN"))*(1+P250)+SUMIFS('03_BOC_TACH_VAN'!K:K, '03_BOC_TACH_VAN'!B:B, B250, '03_BOC_TACH_VAN'!D:D, "ĐỘNG_CƠ_VÀ_CẢM_BIẾN"))/G250, 0)</f>
        <v/>
      </c>
      <c r="R250" s="402">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402" t="n">
        <v>12</v>
      </c>
      <c r="H251" s="402">
        <f>SUMIF('01_BOC_TACH_ONG'!B:B, B251, '01_BOC_TACH_ONG'!K:K)</f>
        <v/>
      </c>
      <c r="I251" s="402">
        <f>SUMIF('02_BOC_TACH_CUA'!B:B, B251, '02_BOC_TACH_CUA'!K:K)</f>
        <v/>
      </c>
      <c r="J251" s="402">
        <f>SUMIF('03_BOC_TACH_VAN'!B:B, B251, '03_BOC_TACH_VAN'!K:K)</f>
        <v/>
      </c>
      <c r="K251" s="402">
        <f>SUM(H251:J251)</f>
        <v/>
      </c>
      <c r="L251" s="402">
        <f>(K251-SUMIFS('03_BOC_TACH_VAN'!K:K, '03_BOC_TACH_VAN'!B:B, B251, '03_BOC_TACH_VAN'!D:D, "ĐỘNG_CƠ_VÀ_CẢM_BIẾN"))*0.25</f>
        <v/>
      </c>
      <c r="M251" s="402">
        <f>(K251-SUMIFS('03_BOC_TACH_VAN'!K:K, '03_BOC_TACH_VAN'!B:B, B251, '03_BOC_TACH_VAN'!D:D, "ĐỘNG_CƠ_VÀ_CẢM_BIẾN"))*0.10</f>
        <v/>
      </c>
      <c r="N251" s="402">
        <f>K251+L251+M251</f>
        <v/>
      </c>
      <c r="O251" s="402">
        <f>IF(G251&gt;0, N251/G251, 0)</f>
        <v/>
      </c>
      <c r="P251" s="403" t="n">
        <v>0.18</v>
      </c>
      <c r="Q251" s="402">
        <f>IF(G251&gt;0, ((N251-SUMIFS('03_BOC_TACH_VAN'!K:K, '03_BOC_TACH_VAN'!B:B, B251, '03_BOC_TACH_VAN'!D:D, "ĐỘNG_CƠ_VÀ_CẢM_BIẾN"))*(1+P251)+SUMIFS('03_BOC_TACH_VAN'!K:K, '03_BOC_TACH_VAN'!B:B, B251, '03_BOC_TACH_VAN'!D:D, "ĐỘNG_CƠ_VÀ_CẢM_BIẾN"))/G251, 0)</f>
        <v/>
      </c>
      <c r="R251" s="402">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402" t="n">
        <v>10</v>
      </c>
      <c r="H252" s="402">
        <f>SUMIF('01_BOC_TACH_ONG'!B:B, B252, '01_BOC_TACH_ONG'!K:K)</f>
        <v/>
      </c>
      <c r="I252" s="402">
        <f>SUMIF('02_BOC_TACH_CUA'!B:B, B252, '02_BOC_TACH_CUA'!K:K)</f>
        <v/>
      </c>
      <c r="J252" s="402">
        <f>SUMIF('03_BOC_TACH_VAN'!B:B, B252, '03_BOC_TACH_VAN'!K:K)</f>
        <v/>
      </c>
      <c r="K252" s="402">
        <f>SUM(H252:J252)</f>
        <v/>
      </c>
      <c r="L252" s="402">
        <f>(K252-SUMIFS('03_BOC_TACH_VAN'!K:K, '03_BOC_TACH_VAN'!B:B, B252, '03_BOC_TACH_VAN'!D:D, "ĐỘNG_CƠ_VÀ_CẢM_BIẾN"))*0.25</f>
        <v/>
      </c>
      <c r="M252" s="402">
        <f>(K252-SUMIFS('03_BOC_TACH_VAN'!K:K, '03_BOC_TACH_VAN'!B:B, B252, '03_BOC_TACH_VAN'!D:D, "ĐỘNG_CƠ_VÀ_CẢM_BIẾN"))*0.10</f>
        <v/>
      </c>
      <c r="N252" s="402">
        <f>K252+L252+M252</f>
        <v/>
      </c>
      <c r="O252" s="402">
        <f>IF(G252&gt;0, N252/G252, 0)</f>
        <v/>
      </c>
      <c r="P252" s="403" t="n">
        <v>0.18</v>
      </c>
      <c r="Q252" s="402">
        <f>IF(G252&gt;0, ((N252-SUMIFS('03_BOC_TACH_VAN'!K:K, '03_BOC_TACH_VAN'!B:B, B252, '03_BOC_TACH_VAN'!D:D, "ĐỘNG_CƠ_VÀ_CẢM_BIẾN"))*(1+P252)+SUMIFS('03_BOC_TACH_VAN'!K:K, '03_BOC_TACH_VAN'!B:B, B252, '03_BOC_TACH_VAN'!D:D, "ĐỘNG_CƠ_VÀ_CẢM_BIẾN"))/G252, 0)</f>
        <v/>
      </c>
      <c r="R252" s="402">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402" t="n">
        <v>8</v>
      </c>
      <c r="H253" s="402">
        <f>SUMIF('01_BOC_TACH_ONG'!B:B, B253, '01_BOC_TACH_ONG'!K:K)</f>
        <v/>
      </c>
      <c r="I253" s="402">
        <f>SUMIF('02_BOC_TACH_CUA'!B:B, B253, '02_BOC_TACH_CUA'!K:K)</f>
        <v/>
      </c>
      <c r="J253" s="402">
        <f>SUMIF('03_BOC_TACH_VAN'!B:B, B253, '03_BOC_TACH_VAN'!K:K)</f>
        <v/>
      </c>
      <c r="K253" s="402">
        <f>SUM(H253:J253)</f>
        <v/>
      </c>
      <c r="L253" s="402">
        <f>(K253-SUMIFS('03_BOC_TACH_VAN'!K:K, '03_BOC_TACH_VAN'!B:B, B253, '03_BOC_TACH_VAN'!D:D, "ĐỘNG_CƠ_VÀ_CẢM_BIẾN"))*0.25</f>
        <v/>
      </c>
      <c r="M253" s="402">
        <f>(K253-SUMIFS('03_BOC_TACH_VAN'!K:K, '03_BOC_TACH_VAN'!B:B, B253, '03_BOC_TACH_VAN'!D:D, "ĐỘNG_CƠ_VÀ_CẢM_BIẾN"))*0.10</f>
        <v/>
      </c>
      <c r="N253" s="402">
        <f>K253+L253+M253</f>
        <v/>
      </c>
      <c r="O253" s="402">
        <f>IF(G253&gt;0, N253/G253, 0)</f>
        <v/>
      </c>
      <c r="P253" s="403" t="n">
        <v>0.18</v>
      </c>
      <c r="Q253" s="402">
        <f>IF(G253&gt;0, ((N253-SUMIFS('03_BOC_TACH_VAN'!K:K, '03_BOC_TACH_VAN'!B:B, B253, '03_BOC_TACH_VAN'!D:D, "ĐỘNG_CƠ_VÀ_CẢM_BIẾN"))*(1+P253)+SUMIFS('03_BOC_TACH_VAN'!K:K, '03_BOC_TACH_VAN'!B:B, B253, '03_BOC_TACH_VAN'!D:D, "ĐỘNG_CƠ_VÀ_CẢM_BIẾN"))/G253, 0)</f>
        <v/>
      </c>
      <c r="R253" s="402">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402" t="n">
        <v>20</v>
      </c>
      <c r="H254" s="402">
        <f>SUMIF('01_BOC_TACH_ONG'!B:B, B254, '01_BOC_TACH_ONG'!K:K)</f>
        <v/>
      </c>
      <c r="I254" s="402">
        <f>SUMIF('02_BOC_TACH_CUA'!B:B, B254, '02_BOC_TACH_CUA'!K:K)</f>
        <v/>
      </c>
      <c r="J254" s="402">
        <f>SUMIF('03_BOC_TACH_VAN'!B:B, B254, '03_BOC_TACH_VAN'!K:K)</f>
        <v/>
      </c>
      <c r="K254" s="402">
        <f>SUM(H254:J254)</f>
        <v/>
      </c>
      <c r="L254" s="402">
        <f>(K254-SUMIFS('03_BOC_TACH_VAN'!K:K, '03_BOC_TACH_VAN'!B:B, B254, '03_BOC_TACH_VAN'!D:D, "ĐỘNG_CƠ_VÀ_CẢM_BIẾN"))*0.25</f>
        <v/>
      </c>
      <c r="M254" s="402">
        <f>(K254-SUMIFS('03_BOC_TACH_VAN'!K:K, '03_BOC_TACH_VAN'!B:B, B254, '03_BOC_TACH_VAN'!D:D, "ĐỘNG_CƠ_VÀ_CẢM_BIẾN"))*0.10</f>
        <v/>
      </c>
      <c r="N254" s="402">
        <f>K254+L254+M254</f>
        <v/>
      </c>
      <c r="O254" s="402">
        <f>IF(G254&gt;0, N254/G254, 0)</f>
        <v/>
      </c>
      <c r="P254" s="403" t="n">
        <v>0.18</v>
      </c>
      <c r="Q254" s="402">
        <f>IF(G254&gt;0, ((N254-SUMIFS('03_BOC_TACH_VAN'!K:K, '03_BOC_TACH_VAN'!B:B, B254, '03_BOC_TACH_VAN'!D:D, "ĐỘNG_CƠ_VÀ_CẢM_BIẾN"))*(1+P254)+SUMIFS('03_BOC_TACH_VAN'!K:K, '03_BOC_TACH_VAN'!B:B, B254, '03_BOC_TACH_VAN'!D:D, "ĐỘNG_CƠ_VÀ_CẢM_BIẾN"))/G254, 0)</f>
        <v/>
      </c>
      <c r="R254" s="402">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402" t="n">
        <v>5</v>
      </c>
      <c r="H255" s="402">
        <f>SUMIF('01_BOC_TACH_ONG'!B:B, B255, '01_BOC_TACH_ONG'!K:K)</f>
        <v/>
      </c>
      <c r="I255" s="402">
        <f>SUMIF('02_BOC_TACH_CUA'!B:B, B255, '02_BOC_TACH_CUA'!K:K)</f>
        <v/>
      </c>
      <c r="J255" s="402">
        <f>SUMIF('03_BOC_TACH_VAN'!B:B, B255, '03_BOC_TACH_VAN'!K:K)</f>
        <v/>
      </c>
      <c r="K255" s="402">
        <f>SUM(H255:J255)</f>
        <v/>
      </c>
      <c r="L255" s="402">
        <f>(K255-SUMIFS('03_BOC_TACH_VAN'!K:K, '03_BOC_TACH_VAN'!B:B, B255, '03_BOC_TACH_VAN'!D:D, "ĐỘNG_CƠ_VÀ_CẢM_BIẾN"))*0.25</f>
        <v/>
      </c>
      <c r="M255" s="402">
        <f>(K255-SUMIFS('03_BOC_TACH_VAN'!K:K, '03_BOC_TACH_VAN'!B:B, B255, '03_BOC_TACH_VAN'!D:D, "ĐỘNG_CƠ_VÀ_CẢM_BIẾN"))*0.10</f>
        <v/>
      </c>
      <c r="N255" s="402">
        <f>K255+L255+M255</f>
        <v/>
      </c>
      <c r="O255" s="402">
        <f>IF(G255&gt;0, N255/G255, 0)</f>
        <v/>
      </c>
      <c r="P255" s="403" t="n">
        <v>0.18</v>
      </c>
      <c r="Q255" s="402">
        <f>IF(G255&gt;0, ((N255-SUMIFS('03_BOC_TACH_VAN'!K:K, '03_BOC_TACH_VAN'!B:B, B255, '03_BOC_TACH_VAN'!D:D, "ĐỘNG_CƠ_VÀ_CẢM_BIẾN"))*(1+P255)+SUMIFS('03_BOC_TACH_VAN'!K:K, '03_BOC_TACH_VAN'!B:B, B255, '03_BOC_TACH_VAN'!D:D, "ĐỘNG_CƠ_VÀ_CẢM_BIẾN"))/G255, 0)</f>
        <v/>
      </c>
      <c r="R255" s="402">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402" t="n">
        <v>3</v>
      </c>
      <c r="H256" s="402">
        <f>SUMIF('01_BOC_TACH_ONG'!B:B, B256, '01_BOC_TACH_ONG'!K:K)</f>
        <v/>
      </c>
      <c r="I256" s="402">
        <f>SUMIF('02_BOC_TACH_CUA'!B:B, B256, '02_BOC_TACH_CUA'!K:K)</f>
        <v/>
      </c>
      <c r="J256" s="402">
        <f>SUMIF('03_BOC_TACH_VAN'!B:B, B256, '03_BOC_TACH_VAN'!K:K)</f>
        <v/>
      </c>
      <c r="K256" s="402">
        <f>SUM(H256:J256)</f>
        <v/>
      </c>
      <c r="L256" s="402">
        <f>(K256-SUMIFS('03_BOC_TACH_VAN'!K:K, '03_BOC_TACH_VAN'!B:B, B256, '03_BOC_TACH_VAN'!D:D, "ĐỘNG_CƠ_VÀ_CẢM_BIẾN"))*0.25</f>
        <v/>
      </c>
      <c r="M256" s="402">
        <f>(K256-SUMIFS('03_BOC_TACH_VAN'!K:K, '03_BOC_TACH_VAN'!B:B, B256, '03_BOC_TACH_VAN'!D:D, "ĐỘNG_CƠ_VÀ_CẢM_BIẾN"))*0.10</f>
        <v/>
      </c>
      <c r="N256" s="402">
        <f>K256+L256+M256</f>
        <v/>
      </c>
      <c r="O256" s="402">
        <f>IF(G256&gt;0, N256/G256, 0)</f>
        <v/>
      </c>
      <c r="P256" s="403" t="n">
        <v>0.18</v>
      </c>
      <c r="Q256" s="402">
        <f>IF(G256&gt;0, ((N256-SUMIFS('03_BOC_TACH_VAN'!K:K, '03_BOC_TACH_VAN'!B:B, B256, '03_BOC_TACH_VAN'!D:D, "ĐỘNG_CƠ_VÀ_CẢM_BIẾN"))*(1+P256)+SUMIFS('03_BOC_TACH_VAN'!K:K, '03_BOC_TACH_VAN'!B:B, B256, '03_BOC_TACH_VAN'!D:D, "ĐỘNG_CƠ_VÀ_CẢM_BIẾN"))/G256, 0)</f>
        <v/>
      </c>
      <c r="R256" s="402">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402" t="n">
        <v>8</v>
      </c>
      <c r="H257" s="402">
        <f>SUMIF('01_BOC_TACH_ONG'!B:B, B257, '01_BOC_TACH_ONG'!K:K)</f>
        <v/>
      </c>
      <c r="I257" s="402">
        <f>SUMIF('02_BOC_TACH_CUA'!B:B, B257, '02_BOC_TACH_CUA'!K:K)</f>
        <v/>
      </c>
      <c r="J257" s="402">
        <f>SUMIF('03_BOC_TACH_VAN'!B:B, B257, '03_BOC_TACH_VAN'!K:K)</f>
        <v/>
      </c>
      <c r="K257" s="402">
        <f>SUM(H257:J257)</f>
        <v/>
      </c>
      <c r="L257" s="402">
        <f>(K257-SUMIFS('03_BOC_TACH_VAN'!K:K, '03_BOC_TACH_VAN'!B:B, B257, '03_BOC_TACH_VAN'!D:D, "ĐỘNG_CƠ_VÀ_CẢM_BIẾN"))*0.25</f>
        <v/>
      </c>
      <c r="M257" s="402">
        <f>(K257-SUMIFS('03_BOC_TACH_VAN'!K:K, '03_BOC_TACH_VAN'!B:B, B257, '03_BOC_TACH_VAN'!D:D, "ĐỘNG_CƠ_VÀ_CẢM_BIẾN"))*0.10</f>
        <v/>
      </c>
      <c r="N257" s="402">
        <f>K257+L257+M257</f>
        <v/>
      </c>
      <c r="O257" s="402">
        <f>IF(G257&gt;0, N257/G257, 0)</f>
        <v/>
      </c>
      <c r="P257" s="403" t="n">
        <v>0.18</v>
      </c>
      <c r="Q257" s="402">
        <f>IF(G257&gt;0, ((N257-SUMIFS('03_BOC_TACH_VAN'!K:K, '03_BOC_TACH_VAN'!B:B, B257, '03_BOC_TACH_VAN'!D:D, "ĐỘNG_CƠ_VÀ_CẢM_BIẾN"))*(1+P257)+SUMIFS('03_BOC_TACH_VAN'!K:K, '03_BOC_TACH_VAN'!B:B, B257, '03_BOC_TACH_VAN'!D:D, "ĐỘNG_CƠ_VÀ_CẢM_BIẾN"))/G257, 0)</f>
        <v/>
      </c>
      <c r="R257" s="402">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402" t="n">
        <v>3</v>
      </c>
      <c r="H258" s="402">
        <f>SUMIF('01_BOC_TACH_ONG'!B:B, B258, '01_BOC_TACH_ONG'!K:K)</f>
        <v/>
      </c>
      <c r="I258" s="402">
        <f>SUMIF('02_BOC_TACH_CUA'!B:B, B258, '02_BOC_TACH_CUA'!K:K)</f>
        <v/>
      </c>
      <c r="J258" s="402">
        <f>SUMIF('03_BOC_TACH_VAN'!B:B, B258, '03_BOC_TACH_VAN'!K:K)</f>
        <v/>
      </c>
      <c r="K258" s="402">
        <f>SUM(H258:J258)</f>
        <v/>
      </c>
      <c r="L258" s="402">
        <f>(K258-SUMIFS('03_BOC_TACH_VAN'!K:K, '03_BOC_TACH_VAN'!B:B, B258, '03_BOC_TACH_VAN'!D:D, "ĐỘNG_CƠ_VÀ_CẢM_BIẾN"))*0.25</f>
        <v/>
      </c>
      <c r="M258" s="402">
        <f>(K258-SUMIFS('03_BOC_TACH_VAN'!K:K, '03_BOC_TACH_VAN'!B:B, B258, '03_BOC_TACH_VAN'!D:D, "ĐỘNG_CƠ_VÀ_CẢM_BIẾN"))*0.10</f>
        <v/>
      </c>
      <c r="N258" s="402">
        <f>K258+L258+M258</f>
        <v/>
      </c>
      <c r="O258" s="402">
        <f>IF(G258&gt;0, N258/G258, 0)</f>
        <v/>
      </c>
      <c r="P258" s="403" t="n">
        <v>0.18</v>
      </c>
      <c r="Q258" s="402">
        <f>IF(G258&gt;0, ((N258-SUMIFS('03_BOC_TACH_VAN'!K:K, '03_BOC_TACH_VAN'!B:B, B258, '03_BOC_TACH_VAN'!D:D, "ĐỘNG_CƠ_VÀ_CẢM_BIẾN"))*(1+P258)+SUMIFS('03_BOC_TACH_VAN'!K:K, '03_BOC_TACH_VAN'!B:B, B258, '03_BOC_TACH_VAN'!D:D, "ĐỘNG_CƠ_VÀ_CẢM_BIẾN"))/G258, 0)</f>
        <v/>
      </c>
      <c r="R258" s="402">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402" t="n">
        <v>5</v>
      </c>
      <c r="H259" s="402">
        <f>SUMIF('01_BOC_TACH_ONG'!B:B, B259, '01_BOC_TACH_ONG'!K:K)</f>
        <v/>
      </c>
      <c r="I259" s="402">
        <f>SUMIF('02_BOC_TACH_CUA'!B:B, B259, '02_BOC_TACH_CUA'!K:K)</f>
        <v/>
      </c>
      <c r="J259" s="402">
        <f>SUMIF('03_BOC_TACH_VAN'!B:B, B259, '03_BOC_TACH_VAN'!K:K)</f>
        <v/>
      </c>
      <c r="K259" s="402">
        <f>SUM(H259:J259)</f>
        <v/>
      </c>
      <c r="L259" s="402">
        <f>(K259-SUMIFS('03_BOC_TACH_VAN'!K:K, '03_BOC_TACH_VAN'!B:B, B259, '03_BOC_TACH_VAN'!D:D, "ĐỘNG_CƠ_VÀ_CẢM_BIẾN"))*0.25</f>
        <v/>
      </c>
      <c r="M259" s="402">
        <f>(K259-SUMIFS('03_BOC_TACH_VAN'!K:K, '03_BOC_TACH_VAN'!B:B, B259, '03_BOC_TACH_VAN'!D:D, "ĐỘNG_CƠ_VÀ_CẢM_BIẾN"))*0.10</f>
        <v/>
      </c>
      <c r="N259" s="402">
        <f>K259+L259+M259</f>
        <v/>
      </c>
      <c r="O259" s="402">
        <f>IF(G259&gt;0, N259/G259, 0)</f>
        <v/>
      </c>
      <c r="P259" s="403" t="n">
        <v>0.18</v>
      </c>
      <c r="Q259" s="402">
        <f>IF(G259&gt;0, ((N259-SUMIFS('03_BOC_TACH_VAN'!K:K, '03_BOC_TACH_VAN'!B:B, B259, '03_BOC_TACH_VAN'!D:D, "ĐỘNG_CƠ_VÀ_CẢM_BIẾN"))*(1+P259)+SUMIFS('03_BOC_TACH_VAN'!K:K, '03_BOC_TACH_VAN'!B:B, B259, '03_BOC_TACH_VAN'!D:D, "ĐỘNG_CƠ_VÀ_CẢM_BIẾN"))/G259, 0)</f>
        <v/>
      </c>
      <c r="R259" s="402">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402" t="n">
        <v>4</v>
      </c>
      <c r="H260" s="402">
        <f>SUMIF('01_BOC_TACH_ONG'!B:B, B260, '01_BOC_TACH_ONG'!K:K)</f>
        <v/>
      </c>
      <c r="I260" s="402">
        <f>SUMIF('02_BOC_TACH_CUA'!B:B, B260, '02_BOC_TACH_CUA'!K:K)</f>
        <v/>
      </c>
      <c r="J260" s="402">
        <f>SUMIF('03_BOC_TACH_VAN'!B:B, B260, '03_BOC_TACH_VAN'!K:K)</f>
        <v/>
      </c>
      <c r="K260" s="402">
        <f>SUM(H260:J260)</f>
        <v/>
      </c>
      <c r="L260" s="402">
        <f>(K260-SUMIFS('03_BOC_TACH_VAN'!K:K, '03_BOC_TACH_VAN'!B:B, B260, '03_BOC_TACH_VAN'!D:D, "ĐỘNG_CƠ_VÀ_CẢM_BIẾN"))*0.25</f>
        <v/>
      </c>
      <c r="M260" s="402">
        <f>(K260-SUMIFS('03_BOC_TACH_VAN'!K:K, '03_BOC_TACH_VAN'!B:B, B260, '03_BOC_TACH_VAN'!D:D, "ĐỘNG_CƠ_VÀ_CẢM_BIẾN"))*0.10</f>
        <v/>
      </c>
      <c r="N260" s="402">
        <f>K260+L260+M260</f>
        <v/>
      </c>
      <c r="O260" s="402">
        <f>IF(G260&gt;0, N260/G260, 0)</f>
        <v/>
      </c>
      <c r="P260" s="403" t="n">
        <v>0.18</v>
      </c>
      <c r="Q260" s="402">
        <f>IF(G260&gt;0, ((N260-SUMIFS('03_BOC_TACH_VAN'!K:K, '03_BOC_TACH_VAN'!B:B, B260, '03_BOC_TACH_VAN'!D:D, "ĐỘNG_CƠ_VÀ_CẢM_BIẾN"))*(1+P260)+SUMIFS('03_BOC_TACH_VAN'!K:K, '03_BOC_TACH_VAN'!B:B, B260, '03_BOC_TACH_VAN'!D:D, "ĐỘNG_CƠ_VÀ_CẢM_BIẾN"))/G260, 0)</f>
        <v/>
      </c>
      <c r="R260" s="402">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402" t="n">
        <v>1</v>
      </c>
      <c r="H261" s="402">
        <f>SUMIF('01_BOC_TACH_ONG'!B:B, B261, '01_BOC_TACH_ONG'!K:K)</f>
        <v/>
      </c>
      <c r="I261" s="402">
        <f>SUMIF('02_BOC_TACH_CUA'!B:B, B261, '02_BOC_TACH_CUA'!K:K)</f>
        <v/>
      </c>
      <c r="J261" s="402">
        <f>SUMIF('03_BOC_TACH_VAN'!B:B, B261, '03_BOC_TACH_VAN'!K:K)</f>
        <v/>
      </c>
      <c r="K261" s="402">
        <f>SUM(H261:J261)</f>
        <v/>
      </c>
      <c r="L261" s="402">
        <f>(K261-SUMIFS('03_BOC_TACH_VAN'!K:K, '03_BOC_TACH_VAN'!B:B, B261, '03_BOC_TACH_VAN'!D:D, "ĐỘNG_CƠ_VÀ_CẢM_BIẾN"))*0.00</f>
        <v/>
      </c>
      <c r="M261" s="402">
        <f>(K261-SUMIFS('03_BOC_TACH_VAN'!K:K, '03_BOC_TACH_VAN'!B:B, B261, '03_BOC_TACH_VAN'!D:D, "ĐỘNG_CƠ_VÀ_CẢM_BIẾN"))*0.02</f>
        <v/>
      </c>
      <c r="N261" s="402">
        <f>K261+L261+M261</f>
        <v/>
      </c>
      <c r="O261" s="402">
        <f>IF(G261&gt;0, N261/G261, 0)</f>
        <v/>
      </c>
      <c r="P261" s="403" t="n">
        <v>0.1</v>
      </c>
      <c r="Q261" s="402">
        <f>IF(G261&gt;0, ((N261-SUMIFS('03_BOC_TACH_VAN'!K:K, '03_BOC_TACH_VAN'!B:B, B261, '03_BOC_TACH_VAN'!D:D, "ĐỘNG_CƠ_VÀ_CẢM_BIẾN"))*(1+P261)+SUMIFS('03_BOC_TACH_VAN'!K:K, '03_BOC_TACH_VAN'!B:B, B261, '03_BOC_TACH_VAN'!D:D, "ĐỘNG_CƠ_VÀ_CẢM_BIẾN"))/G261, 0)</f>
        <v/>
      </c>
      <c r="R261" s="402">
        <f>G261*Q261</f>
        <v/>
      </c>
      <c r="S261" t="inlineStr">
        <is>
          <t>Hàng thương mại (Lấy nguyên giá BOQ)</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402" t="n">
        <v>21</v>
      </c>
      <c r="H262" s="402">
        <f>SUMIF('01_BOC_TACH_ONG'!B:B, B262, '01_BOC_TACH_ONG'!K:K)</f>
        <v/>
      </c>
      <c r="I262" s="402">
        <f>SUMIF('02_BOC_TACH_CUA'!B:B, B262, '02_BOC_TACH_CUA'!K:K)</f>
        <v/>
      </c>
      <c r="J262" s="402">
        <f>SUMIF('03_BOC_TACH_VAN'!B:B, B262, '03_BOC_TACH_VAN'!K:K)</f>
        <v/>
      </c>
      <c r="K262" s="402">
        <f>SUM(H262:J262)</f>
        <v/>
      </c>
      <c r="L262" s="402">
        <f>(K262-SUMIFS('03_BOC_TACH_VAN'!K:K, '03_BOC_TACH_VAN'!B:B, B262, '03_BOC_TACH_VAN'!D:D, "ĐỘNG_CƠ_VÀ_CẢM_BIẾN"))*0.25</f>
        <v/>
      </c>
      <c r="M262" s="402">
        <f>(K262-SUMIFS('03_BOC_TACH_VAN'!K:K, '03_BOC_TACH_VAN'!B:B, B262, '03_BOC_TACH_VAN'!D:D, "ĐỘNG_CƠ_VÀ_CẢM_BIẾN"))*0.10</f>
        <v/>
      </c>
      <c r="N262" s="402">
        <f>K262+L262+M262</f>
        <v/>
      </c>
      <c r="O262" s="402">
        <f>IF(G262&gt;0, N262/G262, 0)</f>
        <v/>
      </c>
      <c r="P262" s="403" t="n">
        <v>0.18</v>
      </c>
      <c r="Q262" s="402">
        <f>IF(G262&gt;0, ((N262-SUMIFS('03_BOC_TACH_VAN'!K:K, '03_BOC_TACH_VAN'!B:B, B262, '03_BOC_TACH_VAN'!D:D, "ĐỘNG_CƠ_VÀ_CẢM_BIẾN"))*(1+P262)+SUMIFS('03_BOC_TACH_VAN'!K:K, '03_BOC_TACH_VAN'!B:B, B262, '03_BOC_TACH_VAN'!D:D, "ĐỘNG_CƠ_VÀ_CẢM_BIẾN"))/G262, 0)</f>
        <v/>
      </c>
      <c r="R262" s="402">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402" t="n">
        <v>21</v>
      </c>
      <c r="H263" s="402">
        <f>SUMIF('01_BOC_TACH_ONG'!B:B, B263, '01_BOC_TACH_ONG'!K:K)</f>
        <v/>
      </c>
      <c r="I263" s="402">
        <f>SUMIF('02_BOC_TACH_CUA'!B:B, B263, '02_BOC_TACH_CUA'!K:K)</f>
        <v/>
      </c>
      <c r="J263" s="402">
        <f>SUMIF('03_BOC_TACH_VAN'!B:B, B263, '03_BOC_TACH_VAN'!K:K)</f>
        <v/>
      </c>
      <c r="K263" s="402">
        <f>SUM(H263:J263)</f>
        <v/>
      </c>
      <c r="L263" s="402">
        <f>(K263-SUMIFS('03_BOC_TACH_VAN'!K:K, '03_BOC_TACH_VAN'!B:B, B263, '03_BOC_TACH_VAN'!D:D, "ĐỘNG_CƠ_VÀ_CẢM_BIẾN"))*0.25</f>
        <v/>
      </c>
      <c r="M263" s="402">
        <f>(K263-SUMIFS('03_BOC_TACH_VAN'!K:K, '03_BOC_TACH_VAN'!B:B, B263, '03_BOC_TACH_VAN'!D:D, "ĐỘNG_CƠ_VÀ_CẢM_BIẾN"))*0.10</f>
        <v/>
      </c>
      <c r="N263" s="402">
        <f>K263+L263+M263</f>
        <v/>
      </c>
      <c r="O263" s="402">
        <f>IF(G263&gt;0, N263/G263, 0)</f>
        <v/>
      </c>
      <c r="P263" s="403" t="n">
        <v>0.18</v>
      </c>
      <c r="Q263" s="402">
        <f>IF(G263&gt;0, ((N263-SUMIFS('03_BOC_TACH_VAN'!K:K, '03_BOC_TACH_VAN'!B:B, B263, '03_BOC_TACH_VAN'!D:D, "ĐỘNG_CƠ_VÀ_CẢM_BIẾN"))*(1+P263)+SUMIFS('03_BOC_TACH_VAN'!K:K, '03_BOC_TACH_VAN'!B:B, B263, '03_BOC_TACH_VAN'!D:D, "ĐỘNG_CƠ_VÀ_CẢM_BIẾN"))/G263, 0)</f>
        <v/>
      </c>
      <c r="R263" s="402">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402" t="n">
        <v>40</v>
      </c>
      <c r="H264" s="402">
        <f>SUMIF('01_BOC_TACH_ONG'!B:B, B264, '01_BOC_TACH_ONG'!K:K)</f>
        <v/>
      </c>
      <c r="I264" s="402">
        <f>SUMIF('02_BOC_TACH_CUA'!B:B, B264, '02_BOC_TACH_CUA'!K:K)</f>
        <v/>
      </c>
      <c r="J264" s="402">
        <f>SUMIF('03_BOC_TACH_VAN'!B:B, B264, '03_BOC_TACH_VAN'!K:K)</f>
        <v/>
      </c>
      <c r="K264" s="402">
        <f>SUM(H264:J264)</f>
        <v/>
      </c>
      <c r="L264" s="402">
        <f>(K264-SUMIFS('03_BOC_TACH_VAN'!K:K, '03_BOC_TACH_VAN'!B:B, B264, '03_BOC_TACH_VAN'!D:D, "ĐỘNG_CƠ_VÀ_CẢM_BIẾN"))*0.25</f>
        <v/>
      </c>
      <c r="M264" s="402">
        <f>(K264-SUMIFS('03_BOC_TACH_VAN'!K:K, '03_BOC_TACH_VAN'!B:B, B264, '03_BOC_TACH_VAN'!D:D, "ĐỘNG_CƠ_VÀ_CẢM_BIẾN"))*0.10</f>
        <v/>
      </c>
      <c r="N264" s="402">
        <f>K264+L264+M264</f>
        <v/>
      </c>
      <c r="O264" s="402">
        <f>IF(G264&gt;0, N264/G264, 0)</f>
        <v/>
      </c>
      <c r="P264" s="403" t="n">
        <v>0.18</v>
      </c>
      <c r="Q264" s="402">
        <f>IF(G264&gt;0, ((N264-SUMIFS('03_BOC_TACH_VAN'!K:K, '03_BOC_TACH_VAN'!B:B, B264, '03_BOC_TACH_VAN'!D:D, "ĐỘNG_CƠ_VÀ_CẢM_BIẾN"))*(1+P264)+SUMIFS('03_BOC_TACH_VAN'!K:K, '03_BOC_TACH_VAN'!B:B, B264, '03_BOC_TACH_VAN'!D:D, "ĐỘNG_CƠ_VÀ_CẢM_BIẾN"))/G264, 0)</f>
        <v/>
      </c>
      <c r="R264" s="402">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402" t="n">
        <v>12</v>
      </c>
      <c r="H265" s="402">
        <f>SUMIF('01_BOC_TACH_ONG'!B:B, B265, '01_BOC_TACH_ONG'!K:K)</f>
        <v/>
      </c>
      <c r="I265" s="402">
        <f>SUMIF('02_BOC_TACH_CUA'!B:B, B265, '02_BOC_TACH_CUA'!K:K)</f>
        <v/>
      </c>
      <c r="J265" s="402">
        <f>SUMIF('03_BOC_TACH_VAN'!B:B, B265, '03_BOC_TACH_VAN'!K:K)</f>
        <v/>
      </c>
      <c r="K265" s="402">
        <f>SUM(H265:J265)</f>
        <v/>
      </c>
      <c r="L265" s="402">
        <f>(K265-SUMIFS('03_BOC_TACH_VAN'!K:K, '03_BOC_TACH_VAN'!B:B, B265, '03_BOC_TACH_VAN'!D:D, "ĐỘNG_CƠ_VÀ_CẢM_BIẾN"))*0.25</f>
        <v/>
      </c>
      <c r="M265" s="402">
        <f>(K265-SUMIFS('03_BOC_TACH_VAN'!K:K, '03_BOC_TACH_VAN'!B:B, B265, '03_BOC_TACH_VAN'!D:D, "ĐỘNG_CƠ_VÀ_CẢM_BIẾN"))*0.10</f>
        <v/>
      </c>
      <c r="N265" s="402">
        <f>K265+L265+M265</f>
        <v/>
      </c>
      <c r="O265" s="402">
        <f>IF(G265&gt;0, N265/G265, 0)</f>
        <v/>
      </c>
      <c r="P265" s="403" t="n">
        <v>0.18</v>
      </c>
      <c r="Q265" s="402">
        <f>IF(G265&gt;0, ((N265-SUMIFS('03_BOC_TACH_VAN'!K:K, '03_BOC_TACH_VAN'!B:B, B265, '03_BOC_TACH_VAN'!D:D, "ĐỘNG_CƠ_VÀ_CẢM_BIẾN"))*(1+P265)+SUMIFS('03_BOC_TACH_VAN'!K:K, '03_BOC_TACH_VAN'!B:B, B265, '03_BOC_TACH_VAN'!D:D, "ĐỘNG_CƠ_VÀ_CẢM_BIẾN"))/G265, 0)</f>
        <v/>
      </c>
      <c r="R265" s="402">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402" t="n">
        <v>12</v>
      </c>
      <c r="H266" s="402">
        <f>SUMIF('01_BOC_TACH_ONG'!B:B, B266, '01_BOC_TACH_ONG'!K:K)</f>
        <v/>
      </c>
      <c r="I266" s="402">
        <f>SUMIF('02_BOC_TACH_CUA'!B:B, B266, '02_BOC_TACH_CUA'!K:K)</f>
        <v/>
      </c>
      <c r="J266" s="402">
        <f>SUMIF('03_BOC_TACH_VAN'!B:B, B266, '03_BOC_TACH_VAN'!K:K)</f>
        <v/>
      </c>
      <c r="K266" s="402">
        <f>SUM(H266:J266)</f>
        <v/>
      </c>
      <c r="L266" s="402">
        <f>(K266-SUMIFS('03_BOC_TACH_VAN'!K:K, '03_BOC_TACH_VAN'!B:B, B266, '03_BOC_TACH_VAN'!D:D, "ĐỘNG_CƠ_VÀ_CẢM_BIẾN"))*0.25</f>
        <v/>
      </c>
      <c r="M266" s="402">
        <f>(K266-SUMIFS('03_BOC_TACH_VAN'!K:K, '03_BOC_TACH_VAN'!B:B, B266, '03_BOC_TACH_VAN'!D:D, "ĐỘNG_CƠ_VÀ_CẢM_BIẾN"))*0.10</f>
        <v/>
      </c>
      <c r="N266" s="402">
        <f>K266+L266+M266</f>
        <v/>
      </c>
      <c r="O266" s="402">
        <f>IF(G266&gt;0, N266/G266, 0)</f>
        <v/>
      </c>
      <c r="P266" s="403" t="n">
        <v>0.18</v>
      </c>
      <c r="Q266" s="402">
        <f>IF(G266&gt;0, ((N266-SUMIFS('03_BOC_TACH_VAN'!K:K, '03_BOC_TACH_VAN'!B:B, B266, '03_BOC_TACH_VAN'!D:D, "ĐỘNG_CƠ_VÀ_CẢM_BIẾN"))*(1+P266)+SUMIFS('03_BOC_TACH_VAN'!K:K, '03_BOC_TACH_VAN'!B:B, B266, '03_BOC_TACH_VAN'!D:D, "ĐỘNG_CƠ_VÀ_CẢM_BIẾN"))/G266, 0)</f>
        <v/>
      </c>
      <c r="R266" s="402">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402" t="n">
        <v>14</v>
      </c>
      <c r="H267" s="402">
        <f>SUMIF('01_BOC_TACH_ONG'!B:B, B267, '01_BOC_TACH_ONG'!K:K)</f>
        <v/>
      </c>
      <c r="I267" s="402">
        <f>SUMIF('02_BOC_TACH_CUA'!B:B, B267, '02_BOC_TACH_CUA'!K:K)</f>
        <v/>
      </c>
      <c r="J267" s="402">
        <f>SUMIF('03_BOC_TACH_VAN'!B:B, B267, '03_BOC_TACH_VAN'!K:K)</f>
        <v/>
      </c>
      <c r="K267" s="402">
        <f>SUM(H267:J267)</f>
        <v/>
      </c>
      <c r="L267" s="402">
        <f>(K267-SUMIFS('03_BOC_TACH_VAN'!K:K, '03_BOC_TACH_VAN'!B:B, B267, '03_BOC_TACH_VAN'!D:D, "ĐỘNG_CƠ_VÀ_CẢM_BIẾN"))*0.25</f>
        <v/>
      </c>
      <c r="M267" s="402">
        <f>(K267-SUMIFS('03_BOC_TACH_VAN'!K:K, '03_BOC_TACH_VAN'!B:B, B267, '03_BOC_TACH_VAN'!D:D, "ĐỘNG_CƠ_VÀ_CẢM_BIẾN"))*0.10</f>
        <v/>
      </c>
      <c r="N267" s="402">
        <f>K267+L267+M267</f>
        <v/>
      </c>
      <c r="O267" s="402">
        <f>IF(G267&gt;0, N267/G267, 0)</f>
        <v/>
      </c>
      <c r="P267" s="403" t="n">
        <v>0.18</v>
      </c>
      <c r="Q267" s="402">
        <f>IF(G267&gt;0, ((N267-SUMIFS('03_BOC_TACH_VAN'!K:K, '03_BOC_TACH_VAN'!B:B, B267, '03_BOC_TACH_VAN'!D:D, "ĐỘNG_CƠ_VÀ_CẢM_BIẾN"))*(1+P267)+SUMIFS('03_BOC_TACH_VAN'!K:K, '03_BOC_TACH_VAN'!B:B, B267, '03_BOC_TACH_VAN'!D:D, "ĐỘNG_CƠ_VÀ_CẢM_BIẾN"))/G267, 0)</f>
        <v/>
      </c>
      <c r="R267" s="402">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402" t="n">
        <v>10</v>
      </c>
      <c r="H268" s="402">
        <f>SUMIF('01_BOC_TACH_ONG'!B:B, B268, '01_BOC_TACH_ONG'!K:K)</f>
        <v/>
      </c>
      <c r="I268" s="402">
        <f>SUMIF('02_BOC_TACH_CUA'!B:B, B268, '02_BOC_TACH_CUA'!K:K)</f>
        <v/>
      </c>
      <c r="J268" s="402">
        <f>SUMIF('03_BOC_TACH_VAN'!B:B, B268, '03_BOC_TACH_VAN'!K:K)</f>
        <v/>
      </c>
      <c r="K268" s="402">
        <f>SUM(H268:J268)</f>
        <v/>
      </c>
      <c r="L268" s="402">
        <f>(K268-SUMIFS('03_BOC_TACH_VAN'!K:K, '03_BOC_TACH_VAN'!B:B, B268, '03_BOC_TACH_VAN'!D:D, "ĐỘNG_CƠ_VÀ_CẢM_BIẾN"))*0.25</f>
        <v/>
      </c>
      <c r="M268" s="402">
        <f>(K268-SUMIFS('03_BOC_TACH_VAN'!K:K, '03_BOC_TACH_VAN'!B:B, B268, '03_BOC_TACH_VAN'!D:D, "ĐỘNG_CƠ_VÀ_CẢM_BIẾN"))*0.10</f>
        <v/>
      </c>
      <c r="N268" s="402">
        <f>K268+L268+M268</f>
        <v/>
      </c>
      <c r="O268" s="402">
        <f>IF(G268&gt;0, N268/G268, 0)</f>
        <v/>
      </c>
      <c r="P268" s="403" t="n">
        <v>0.18</v>
      </c>
      <c r="Q268" s="402">
        <f>IF(G268&gt;0, ((N268-SUMIFS('03_BOC_TACH_VAN'!K:K, '03_BOC_TACH_VAN'!B:B, B268, '03_BOC_TACH_VAN'!D:D, "ĐỘNG_CƠ_VÀ_CẢM_BIẾN"))*(1+P268)+SUMIFS('03_BOC_TACH_VAN'!K:K, '03_BOC_TACH_VAN'!B:B, B268, '03_BOC_TACH_VAN'!D:D, "ĐỘNG_CƠ_VÀ_CẢM_BIẾN"))/G268, 0)</f>
        <v/>
      </c>
      <c r="R268" s="402">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402" t="n">
        <v>291</v>
      </c>
      <c r="H269" s="402">
        <f>SUMIF('01_BOC_TACH_ONG'!B:B, B269, '01_BOC_TACH_ONG'!K:K)</f>
        <v/>
      </c>
      <c r="I269" s="402">
        <f>SUMIF('02_BOC_TACH_CUA'!B:B, B269, '02_BOC_TACH_CUA'!K:K)</f>
        <v/>
      </c>
      <c r="J269" s="402">
        <f>SUMIF('03_BOC_TACH_VAN'!B:B, B269, '03_BOC_TACH_VAN'!K:K)</f>
        <v/>
      </c>
      <c r="K269" s="402">
        <f>SUM(H269:J269)</f>
        <v/>
      </c>
      <c r="L269" s="402">
        <f>(K269-SUMIFS('03_BOC_TACH_VAN'!K:K, '03_BOC_TACH_VAN'!B:B, B269, '03_BOC_TACH_VAN'!D:D, "ĐỘNG_CƠ_VÀ_CẢM_BIẾN"))*0.25</f>
        <v/>
      </c>
      <c r="M269" s="402">
        <f>(K269-SUMIFS('03_BOC_TACH_VAN'!K:K, '03_BOC_TACH_VAN'!B:B, B269, '03_BOC_TACH_VAN'!D:D, "ĐỘNG_CƠ_VÀ_CẢM_BIẾN"))*0.10</f>
        <v/>
      </c>
      <c r="N269" s="402">
        <f>K269+L269+M269</f>
        <v/>
      </c>
      <c r="O269" s="402">
        <f>IF(G269&gt;0, N269/G269, 0)</f>
        <v/>
      </c>
      <c r="P269" s="403" t="n">
        <v>0.18</v>
      </c>
      <c r="Q269" s="402">
        <f>IF(G269&gt;0, ((N269-SUMIFS('03_BOC_TACH_VAN'!K:K, '03_BOC_TACH_VAN'!B:B, B269, '03_BOC_TACH_VAN'!D:D, "ĐỘNG_CƠ_VÀ_CẢM_BIẾN"))*(1+P269)+SUMIFS('03_BOC_TACH_VAN'!K:K, '03_BOC_TACH_VAN'!B:B, B269, '03_BOC_TACH_VAN'!D:D, "ĐỘNG_CƠ_VÀ_CẢM_BIẾN"))/G269, 0)</f>
        <v/>
      </c>
      <c r="R269" s="402">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402" t="n">
        <v>38</v>
      </c>
      <c r="H270" s="402">
        <f>SUMIF('01_BOC_TACH_ONG'!B:B, B270, '01_BOC_TACH_ONG'!K:K)</f>
        <v/>
      </c>
      <c r="I270" s="402">
        <f>SUMIF('02_BOC_TACH_CUA'!B:B, B270, '02_BOC_TACH_CUA'!K:K)</f>
        <v/>
      </c>
      <c r="J270" s="402">
        <f>SUMIF('03_BOC_TACH_VAN'!B:B, B270, '03_BOC_TACH_VAN'!K:K)</f>
        <v/>
      </c>
      <c r="K270" s="402">
        <f>SUM(H270:J270)</f>
        <v/>
      </c>
      <c r="L270" s="402">
        <f>(K270-SUMIFS('03_BOC_TACH_VAN'!K:K, '03_BOC_TACH_VAN'!B:B, B270, '03_BOC_TACH_VAN'!D:D, "ĐỘNG_CƠ_VÀ_CẢM_BIẾN"))*0.25</f>
        <v/>
      </c>
      <c r="M270" s="402">
        <f>(K270-SUMIFS('03_BOC_TACH_VAN'!K:K, '03_BOC_TACH_VAN'!B:B, B270, '03_BOC_TACH_VAN'!D:D, "ĐỘNG_CƠ_VÀ_CẢM_BIẾN"))*0.10</f>
        <v/>
      </c>
      <c r="N270" s="402">
        <f>K270+L270+M270</f>
        <v/>
      </c>
      <c r="O270" s="402">
        <f>IF(G270&gt;0, N270/G270, 0)</f>
        <v/>
      </c>
      <c r="P270" s="403" t="n">
        <v>0.18</v>
      </c>
      <c r="Q270" s="402">
        <f>IF(G270&gt;0, ((N270-SUMIFS('03_BOC_TACH_VAN'!K:K, '03_BOC_TACH_VAN'!B:B, B270, '03_BOC_TACH_VAN'!D:D, "ĐỘNG_CƠ_VÀ_CẢM_BIẾN"))*(1+P270)+SUMIFS('03_BOC_TACH_VAN'!K:K, '03_BOC_TACH_VAN'!B:B, B270, '03_BOC_TACH_VAN'!D:D, "ĐỘNG_CƠ_VÀ_CẢM_BIẾN"))/G270, 0)</f>
        <v/>
      </c>
      <c r="R270" s="402">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402" t="n">
        <v>46</v>
      </c>
      <c r="H271" s="402">
        <f>SUMIF('01_BOC_TACH_ONG'!B:B, B271, '01_BOC_TACH_ONG'!K:K)</f>
        <v/>
      </c>
      <c r="I271" s="402">
        <f>SUMIF('02_BOC_TACH_CUA'!B:B, B271, '02_BOC_TACH_CUA'!K:K)</f>
        <v/>
      </c>
      <c r="J271" s="402">
        <f>SUMIF('03_BOC_TACH_VAN'!B:B, B271, '03_BOC_TACH_VAN'!K:K)</f>
        <v/>
      </c>
      <c r="K271" s="402">
        <f>SUM(H271:J271)</f>
        <v/>
      </c>
      <c r="L271" s="402">
        <f>(K271-SUMIFS('03_BOC_TACH_VAN'!K:K, '03_BOC_TACH_VAN'!B:B, B271, '03_BOC_TACH_VAN'!D:D, "ĐỘNG_CƠ_VÀ_CẢM_BIẾN"))*0.25</f>
        <v/>
      </c>
      <c r="M271" s="402">
        <f>(K271-SUMIFS('03_BOC_TACH_VAN'!K:K, '03_BOC_TACH_VAN'!B:B, B271, '03_BOC_TACH_VAN'!D:D, "ĐỘNG_CƠ_VÀ_CẢM_BIẾN"))*0.10</f>
        <v/>
      </c>
      <c r="N271" s="402">
        <f>K271+L271+M271</f>
        <v/>
      </c>
      <c r="O271" s="402">
        <f>IF(G271&gt;0, N271/G271, 0)</f>
        <v/>
      </c>
      <c r="P271" s="403" t="n">
        <v>0.18</v>
      </c>
      <c r="Q271" s="402">
        <f>IF(G271&gt;0, ((N271-SUMIFS('03_BOC_TACH_VAN'!K:K, '03_BOC_TACH_VAN'!B:B, B271, '03_BOC_TACH_VAN'!D:D, "ĐỘNG_CƠ_VÀ_CẢM_BIẾN"))*(1+P271)+SUMIFS('03_BOC_TACH_VAN'!K:K, '03_BOC_TACH_VAN'!B:B, B271, '03_BOC_TACH_VAN'!D:D, "ĐỘNG_CƠ_VÀ_CẢM_BIẾN"))/G271, 0)</f>
        <v/>
      </c>
      <c r="R271" s="402">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402" t="n">
        <v>148</v>
      </c>
      <c r="H272" s="402">
        <f>SUMIF('01_BOC_TACH_ONG'!B:B, B272, '01_BOC_TACH_ONG'!K:K)</f>
        <v/>
      </c>
      <c r="I272" s="402">
        <f>SUMIF('02_BOC_TACH_CUA'!B:B, B272, '02_BOC_TACH_CUA'!K:K)</f>
        <v/>
      </c>
      <c r="J272" s="402">
        <f>SUMIF('03_BOC_TACH_VAN'!B:B, B272, '03_BOC_TACH_VAN'!K:K)</f>
        <v/>
      </c>
      <c r="K272" s="402">
        <f>SUM(H272:J272)</f>
        <v/>
      </c>
      <c r="L272" s="402">
        <f>(K272-SUMIFS('03_BOC_TACH_VAN'!K:K, '03_BOC_TACH_VAN'!B:B, B272, '03_BOC_TACH_VAN'!D:D, "ĐỘNG_CƠ_VÀ_CẢM_BIẾN"))*0.25</f>
        <v/>
      </c>
      <c r="M272" s="402">
        <f>(K272-SUMIFS('03_BOC_TACH_VAN'!K:K, '03_BOC_TACH_VAN'!B:B, B272, '03_BOC_TACH_VAN'!D:D, "ĐỘNG_CƠ_VÀ_CẢM_BIẾN"))*0.10</f>
        <v/>
      </c>
      <c r="N272" s="402">
        <f>K272+L272+M272</f>
        <v/>
      </c>
      <c r="O272" s="402">
        <f>IF(G272&gt;0, N272/G272, 0)</f>
        <v/>
      </c>
      <c r="P272" s="403" t="n">
        <v>0.18</v>
      </c>
      <c r="Q272" s="402">
        <f>IF(G272&gt;0, ((N272-SUMIFS('03_BOC_TACH_VAN'!K:K, '03_BOC_TACH_VAN'!B:B, B272, '03_BOC_TACH_VAN'!D:D, "ĐỘNG_CƠ_VÀ_CẢM_BIẾN"))*(1+P272)+SUMIFS('03_BOC_TACH_VAN'!K:K, '03_BOC_TACH_VAN'!B:B, B272, '03_BOC_TACH_VAN'!D:D, "ĐỘNG_CƠ_VÀ_CẢM_BIẾN"))/G272, 0)</f>
        <v/>
      </c>
      <c r="R272" s="402">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402" t="n">
        <v>12</v>
      </c>
      <c r="H273" s="402">
        <f>SUMIF('01_BOC_TACH_ONG'!B:B, B273, '01_BOC_TACH_ONG'!K:K)</f>
        <v/>
      </c>
      <c r="I273" s="402">
        <f>SUMIF('02_BOC_TACH_CUA'!B:B, B273, '02_BOC_TACH_CUA'!K:K)</f>
        <v/>
      </c>
      <c r="J273" s="402">
        <f>SUMIF('03_BOC_TACH_VAN'!B:B, B273, '03_BOC_TACH_VAN'!K:K)</f>
        <v/>
      </c>
      <c r="K273" s="402">
        <f>SUM(H273:J273)</f>
        <v/>
      </c>
      <c r="L273" s="402">
        <f>(K273-SUMIFS('03_BOC_TACH_VAN'!K:K, '03_BOC_TACH_VAN'!B:B, B273, '03_BOC_TACH_VAN'!D:D, "ĐỘNG_CƠ_VÀ_CẢM_BIẾN"))*0.25</f>
        <v/>
      </c>
      <c r="M273" s="402">
        <f>(K273-SUMIFS('03_BOC_TACH_VAN'!K:K, '03_BOC_TACH_VAN'!B:B, B273, '03_BOC_TACH_VAN'!D:D, "ĐỘNG_CƠ_VÀ_CẢM_BIẾN"))*0.10</f>
        <v/>
      </c>
      <c r="N273" s="402">
        <f>K273+L273+M273</f>
        <v/>
      </c>
      <c r="O273" s="402">
        <f>IF(G273&gt;0, N273/G273, 0)</f>
        <v/>
      </c>
      <c r="P273" s="403" t="n">
        <v>0.18</v>
      </c>
      <c r="Q273" s="402">
        <f>IF(G273&gt;0, ((N273-SUMIFS('03_BOC_TACH_VAN'!K:K, '03_BOC_TACH_VAN'!B:B, B273, '03_BOC_TACH_VAN'!D:D, "ĐỘNG_CƠ_VÀ_CẢM_BIẾN"))*(1+P273)+SUMIFS('03_BOC_TACH_VAN'!K:K, '03_BOC_TACH_VAN'!B:B, B273, '03_BOC_TACH_VAN'!D:D, "ĐỘNG_CƠ_VÀ_CẢM_BIẾN"))/G273, 0)</f>
        <v/>
      </c>
      <c r="R273" s="402">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402" t="n">
        <v>12</v>
      </c>
      <c r="H274" s="402">
        <f>SUMIF('01_BOC_TACH_ONG'!B:B, B274, '01_BOC_TACH_ONG'!K:K)</f>
        <v/>
      </c>
      <c r="I274" s="402">
        <f>SUMIF('02_BOC_TACH_CUA'!B:B, B274, '02_BOC_TACH_CUA'!K:K)</f>
        <v/>
      </c>
      <c r="J274" s="402">
        <f>SUMIF('03_BOC_TACH_VAN'!B:B, B274, '03_BOC_TACH_VAN'!K:K)</f>
        <v/>
      </c>
      <c r="K274" s="402">
        <f>SUM(H274:J274)</f>
        <v/>
      </c>
      <c r="L274" s="402">
        <f>(K274-SUMIFS('03_BOC_TACH_VAN'!K:K, '03_BOC_TACH_VAN'!B:B, B274, '03_BOC_TACH_VAN'!D:D, "ĐỘNG_CƠ_VÀ_CẢM_BIẾN"))*0.25</f>
        <v/>
      </c>
      <c r="M274" s="402">
        <f>(K274-SUMIFS('03_BOC_TACH_VAN'!K:K, '03_BOC_TACH_VAN'!B:B, B274, '03_BOC_TACH_VAN'!D:D, "ĐỘNG_CƠ_VÀ_CẢM_BIẾN"))*0.10</f>
        <v/>
      </c>
      <c r="N274" s="402">
        <f>K274+L274+M274</f>
        <v/>
      </c>
      <c r="O274" s="402">
        <f>IF(G274&gt;0, N274/G274, 0)</f>
        <v/>
      </c>
      <c r="P274" s="403" t="n">
        <v>0.18</v>
      </c>
      <c r="Q274" s="402">
        <f>IF(G274&gt;0, ((N274-SUMIFS('03_BOC_TACH_VAN'!K:K, '03_BOC_TACH_VAN'!B:B, B274, '03_BOC_TACH_VAN'!D:D, "ĐỘNG_CƠ_VÀ_CẢM_BIẾN"))*(1+P274)+SUMIFS('03_BOC_TACH_VAN'!K:K, '03_BOC_TACH_VAN'!B:B, B274, '03_BOC_TACH_VAN'!D:D, "ĐỘNG_CƠ_VÀ_CẢM_BIẾN"))/G274, 0)</f>
        <v/>
      </c>
      <c r="R274" s="402">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402" t="n">
        <v>20</v>
      </c>
      <c r="H275" s="402">
        <f>SUMIF('01_BOC_TACH_ONG'!B:B, B275, '01_BOC_TACH_ONG'!K:K)</f>
        <v/>
      </c>
      <c r="I275" s="402">
        <f>SUMIF('02_BOC_TACH_CUA'!B:B, B275, '02_BOC_TACH_CUA'!K:K)</f>
        <v/>
      </c>
      <c r="J275" s="402">
        <f>SUMIF('03_BOC_TACH_VAN'!B:B, B275, '03_BOC_TACH_VAN'!K:K)</f>
        <v/>
      </c>
      <c r="K275" s="402">
        <f>SUM(H275:J275)</f>
        <v/>
      </c>
      <c r="L275" s="402">
        <f>(K275-SUMIFS('03_BOC_TACH_VAN'!K:K, '03_BOC_TACH_VAN'!B:B, B275, '03_BOC_TACH_VAN'!D:D, "ĐỘNG_CƠ_VÀ_CẢM_BIẾN"))*0.25</f>
        <v/>
      </c>
      <c r="M275" s="402">
        <f>(K275-SUMIFS('03_BOC_TACH_VAN'!K:K, '03_BOC_TACH_VAN'!B:B, B275, '03_BOC_TACH_VAN'!D:D, "ĐỘNG_CƠ_VÀ_CẢM_BIẾN"))*0.10</f>
        <v/>
      </c>
      <c r="N275" s="402">
        <f>K275+L275+M275</f>
        <v/>
      </c>
      <c r="O275" s="402">
        <f>IF(G275&gt;0, N275/G275, 0)</f>
        <v/>
      </c>
      <c r="P275" s="403" t="n">
        <v>0.18</v>
      </c>
      <c r="Q275" s="402">
        <f>IF(G275&gt;0, ((N275-SUMIFS('03_BOC_TACH_VAN'!K:K, '03_BOC_TACH_VAN'!B:B, B275, '03_BOC_TACH_VAN'!D:D, "ĐỘNG_CƠ_VÀ_CẢM_BIẾN"))*(1+P275)+SUMIFS('03_BOC_TACH_VAN'!K:K, '03_BOC_TACH_VAN'!B:B, B275, '03_BOC_TACH_VAN'!D:D, "ĐỘNG_CƠ_VÀ_CẢM_BIẾN"))/G275, 0)</f>
        <v/>
      </c>
      <c r="R275" s="402">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402" t="n">
        <v>9</v>
      </c>
      <c r="H276" s="402">
        <f>SUMIF('01_BOC_TACH_ONG'!B:B, B276, '01_BOC_TACH_ONG'!K:K)</f>
        <v/>
      </c>
      <c r="I276" s="402">
        <f>SUMIF('02_BOC_TACH_CUA'!B:B, B276, '02_BOC_TACH_CUA'!K:K)</f>
        <v/>
      </c>
      <c r="J276" s="402">
        <f>SUMIF('03_BOC_TACH_VAN'!B:B, B276, '03_BOC_TACH_VAN'!K:K)</f>
        <v/>
      </c>
      <c r="K276" s="402">
        <f>SUM(H276:J276)</f>
        <v/>
      </c>
      <c r="L276" s="402">
        <f>(K276-SUMIFS('03_BOC_TACH_VAN'!K:K, '03_BOC_TACH_VAN'!B:B, B276, '03_BOC_TACH_VAN'!D:D, "ĐỘNG_CƠ_VÀ_CẢM_BIẾN"))*0.25</f>
        <v/>
      </c>
      <c r="M276" s="402">
        <f>(K276-SUMIFS('03_BOC_TACH_VAN'!K:K, '03_BOC_TACH_VAN'!B:B, B276, '03_BOC_TACH_VAN'!D:D, "ĐỘNG_CƠ_VÀ_CẢM_BIẾN"))*0.10</f>
        <v/>
      </c>
      <c r="N276" s="402">
        <f>K276+L276+M276</f>
        <v/>
      </c>
      <c r="O276" s="402">
        <f>IF(G276&gt;0, N276/G276, 0)</f>
        <v/>
      </c>
      <c r="P276" s="403" t="n">
        <v>0.18</v>
      </c>
      <c r="Q276" s="402">
        <f>IF(G276&gt;0, ((N276-SUMIFS('03_BOC_TACH_VAN'!K:K, '03_BOC_TACH_VAN'!B:B, B276, '03_BOC_TACH_VAN'!D:D, "ĐỘNG_CƠ_VÀ_CẢM_BIẾN"))*(1+P276)+SUMIFS('03_BOC_TACH_VAN'!K:K, '03_BOC_TACH_VAN'!B:B, B276, '03_BOC_TACH_VAN'!D:D, "ĐỘNG_CƠ_VÀ_CẢM_BIẾN"))/G276, 0)</f>
        <v/>
      </c>
      <c r="R276" s="402">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402" t="n">
        <v>6</v>
      </c>
      <c r="H277" s="402">
        <f>SUMIF('01_BOC_TACH_ONG'!B:B, B277, '01_BOC_TACH_ONG'!K:K)</f>
        <v/>
      </c>
      <c r="I277" s="402">
        <f>SUMIF('02_BOC_TACH_CUA'!B:B, B277, '02_BOC_TACH_CUA'!K:K)</f>
        <v/>
      </c>
      <c r="J277" s="402">
        <f>SUMIF('03_BOC_TACH_VAN'!B:B, B277, '03_BOC_TACH_VAN'!K:K)</f>
        <v/>
      </c>
      <c r="K277" s="402">
        <f>SUM(H277:J277)</f>
        <v/>
      </c>
      <c r="L277" s="402">
        <f>(K277-SUMIFS('03_BOC_TACH_VAN'!K:K, '03_BOC_TACH_VAN'!B:B, B277, '03_BOC_TACH_VAN'!D:D, "ĐỘNG_CƠ_VÀ_CẢM_BIẾN"))*0.25</f>
        <v/>
      </c>
      <c r="M277" s="402">
        <f>(K277-SUMIFS('03_BOC_TACH_VAN'!K:K, '03_BOC_TACH_VAN'!B:B, B277, '03_BOC_TACH_VAN'!D:D, "ĐỘNG_CƠ_VÀ_CẢM_BIẾN"))*0.10</f>
        <v/>
      </c>
      <c r="N277" s="402">
        <f>K277+L277+M277</f>
        <v/>
      </c>
      <c r="O277" s="402">
        <f>IF(G277&gt;0, N277/G277, 0)</f>
        <v/>
      </c>
      <c r="P277" s="403" t="n">
        <v>0.18</v>
      </c>
      <c r="Q277" s="402">
        <f>IF(G277&gt;0, ((N277-SUMIFS('03_BOC_TACH_VAN'!K:K, '03_BOC_TACH_VAN'!B:B, B277, '03_BOC_TACH_VAN'!D:D, "ĐỘNG_CƠ_VÀ_CẢM_BIẾN"))*(1+P277)+SUMIFS('03_BOC_TACH_VAN'!K:K, '03_BOC_TACH_VAN'!B:B, B277, '03_BOC_TACH_VAN'!D:D, "ĐỘNG_CƠ_VÀ_CẢM_BIẾN"))/G277, 0)</f>
        <v/>
      </c>
      <c r="R277" s="402">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402" t="n">
        <v>1</v>
      </c>
      <c r="H278" s="402">
        <f>SUMIF('01_BOC_TACH_ONG'!B:B, B278, '01_BOC_TACH_ONG'!K:K)</f>
        <v/>
      </c>
      <c r="I278" s="402">
        <f>SUMIF('02_BOC_TACH_CUA'!B:B, B278, '02_BOC_TACH_CUA'!K:K)</f>
        <v/>
      </c>
      <c r="J278" s="402">
        <f>SUMIF('03_BOC_TACH_VAN'!B:B, B278, '03_BOC_TACH_VAN'!K:K)</f>
        <v/>
      </c>
      <c r="K278" s="402">
        <f>SUM(H278:J278)</f>
        <v/>
      </c>
      <c r="L278" s="402">
        <f>(K278-SUMIFS('03_BOC_TACH_VAN'!K:K, '03_BOC_TACH_VAN'!B:B, B278, '03_BOC_TACH_VAN'!D:D, "ĐỘNG_CƠ_VÀ_CẢM_BIẾN"))*0.00</f>
        <v/>
      </c>
      <c r="M278" s="402">
        <f>(K278-SUMIFS('03_BOC_TACH_VAN'!K:K, '03_BOC_TACH_VAN'!B:B, B278, '03_BOC_TACH_VAN'!D:D, "ĐỘNG_CƠ_VÀ_CẢM_BIẾN"))*0.02</f>
        <v/>
      </c>
      <c r="N278" s="402">
        <f>K278+L278+M278</f>
        <v/>
      </c>
      <c r="O278" s="402">
        <f>IF(G278&gt;0, N278/G278, 0)</f>
        <v/>
      </c>
      <c r="P278" s="403" t="n">
        <v>0.1</v>
      </c>
      <c r="Q278" s="402">
        <f>IF(G278&gt;0, ((N278-SUMIFS('03_BOC_TACH_VAN'!K:K, '03_BOC_TACH_VAN'!B:B, B278, '03_BOC_TACH_VAN'!D:D, "ĐỘNG_CƠ_VÀ_CẢM_BIẾN"))*(1+P278)+SUMIFS('03_BOC_TACH_VAN'!K:K, '03_BOC_TACH_VAN'!B:B, B278, '03_BOC_TACH_VAN'!D:D, "ĐỘNG_CƠ_VÀ_CẢM_BIẾN"))/G278, 0)</f>
        <v/>
      </c>
      <c r="R278" s="402">
        <f>G278*Q278</f>
        <v/>
      </c>
      <c r="S278" t="inlineStr">
        <is>
          <t>Hàng thương mại (Lấy nguyên giá BOQ)</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402" t="n">
        <v>1124.6</v>
      </c>
      <c r="H279" s="402">
        <f>SUMIF('01_BOC_TACH_ONG'!B:B, B279, '01_BOC_TACH_ONG'!K:K)</f>
        <v/>
      </c>
      <c r="I279" s="402">
        <f>SUMIF('02_BOC_TACH_CUA'!B:B, B279, '02_BOC_TACH_CUA'!K:K)</f>
        <v/>
      </c>
      <c r="J279" s="402">
        <f>SUMIF('03_BOC_TACH_VAN'!B:B, B279, '03_BOC_TACH_VAN'!K:K)</f>
        <v/>
      </c>
      <c r="K279" s="402">
        <f>SUM(H279:J279)</f>
        <v/>
      </c>
      <c r="L279" s="402">
        <f>(K279-SUMIFS('03_BOC_TACH_VAN'!K:K, '03_BOC_TACH_VAN'!B:B, B279, '03_BOC_TACH_VAN'!D:D, "ĐỘNG_CƠ_VÀ_CẢM_BIẾN"))*0.25</f>
        <v/>
      </c>
      <c r="M279" s="402">
        <f>(K279-SUMIFS('03_BOC_TACH_VAN'!K:K, '03_BOC_TACH_VAN'!B:B, B279, '03_BOC_TACH_VAN'!D:D, "ĐỘNG_CƠ_VÀ_CẢM_BIẾN"))*0.10</f>
        <v/>
      </c>
      <c r="N279" s="402">
        <f>K279+L279+M279</f>
        <v/>
      </c>
      <c r="O279" s="402">
        <f>IF(G279&gt;0, N279/G279, 0)</f>
        <v/>
      </c>
      <c r="P279" s="403" t="n">
        <v>0.18</v>
      </c>
      <c r="Q279" s="402">
        <f>IF(G279&gt;0, ((N279-SUMIFS('03_BOC_TACH_VAN'!K:K, '03_BOC_TACH_VAN'!B:B, B279, '03_BOC_TACH_VAN'!D:D, "ĐỘNG_CƠ_VÀ_CẢM_BIẾN"))*(1+P279)+SUMIFS('03_BOC_TACH_VAN'!K:K, '03_BOC_TACH_VAN'!B:B, B279, '03_BOC_TACH_VAN'!D:D, "ĐỘNG_CƠ_VÀ_CẢM_BIẾN"))/G279, 0)</f>
        <v/>
      </c>
      <c r="R279" s="402">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402" t="n">
        <v>60</v>
      </c>
      <c r="H280" s="402">
        <f>SUMIF('01_BOC_TACH_ONG'!B:B, B280, '01_BOC_TACH_ONG'!K:K)</f>
        <v/>
      </c>
      <c r="I280" s="402">
        <f>SUMIF('02_BOC_TACH_CUA'!B:B, B280, '02_BOC_TACH_CUA'!K:K)</f>
        <v/>
      </c>
      <c r="J280" s="402">
        <f>SUMIF('03_BOC_TACH_VAN'!B:B, B280, '03_BOC_TACH_VAN'!K:K)</f>
        <v/>
      </c>
      <c r="K280" s="402">
        <f>SUM(H280:J280)</f>
        <v/>
      </c>
      <c r="L280" s="402">
        <f>(K280-SUMIFS('03_BOC_TACH_VAN'!K:K, '03_BOC_TACH_VAN'!B:B, B280, '03_BOC_TACH_VAN'!D:D, "ĐỘNG_CƠ_VÀ_CẢM_BIẾN"))*0.00</f>
        <v/>
      </c>
      <c r="M280" s="402">
        <f>(K280-SUMIFS('03_BOC_TACH_VAN'!K:K, '03_BOC_TACH_VAN'!B:B, B280, '03_BOC_TACH_VAN'!D:D, "ĐỘNG_CƠ_VÀ_CẢM_BIẾN"))*0.02</f>
        <v/>
      </c>
      <c r="N280" s="402">
        <f>K280+L280+M280</f>
        <v/>
      </c>
      <c r="O280" s="402">
        <f>IF(G280&gt;0, N280/G280, 0)</f>
        <v/>
      </c>
      <c r="P280" s="403" t="n">
        <v>0.1</v>
      </c>
      <c r="Q280" s="402">
        <f>IF(G280&gt;0, ((N280-SUMIFS('03_BOC_TACH_VAN'!K:K, '03_BOC_TACH_VAN'!B:B, B280, '03_BOC_TACH_VAN'!D:D, "ĐỘNG_CƠ_VÀ_CẢM_BIẾN"))*(1+P280)+SUMIFS('03_BOC_TACH_VAN'!K:K, '03_BOC_TACH_VAN'!B:B, B280, '03_BOC_TACH_VAN'!D:D, "ĐỘNG_CƠ_VÀ_CẢM_BIẾN"))/G280, 0)</f>
        <v/>
      </c>
      <c r="R280" s="402">
        <f>G280*Q280</f>
        <v/>
      </c>
      <c r="S280" t="inlineStr">
        <is>
          <t>Ống gió mềm (Lấy nguyên giá BOQ)</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402" t="n">
        <v>114</v>
      </c>
      <c r="H281" s="402">
        <f>SUMIF('01_BOC_TACH_ONG'!B:B, B281, '01_BOC_TACH_ONG'!K:K)</f>
        <v/>
      </c>
      <c r="I281" s="402">
        <f>SUMIF('02_BOC_TACH_CUA'!B:B, B281, '02_BOC_TACH_CUA'!K:K)</f>
        <v/>
      </c>
      <c r="J281" s="402">
        <f>SUMIF('03_BOC_TACH_VAN'!B:B, B281, '03_BOC_TACH_VAN'!K:K)</f>
        <v/>
      </c>
      <c r="K281" s="402">
        <f>SUM(H281:J281)</f>
        <v/>
      </c>
      <c r="L281" s="402">
        <f>(K281-SUMIFS('03_BOC_TACH_VAN'!K:K, '03_BOC_TACH_VAN'!B:B, B281, '03_BOC_TACH_VAN'!D:D, "ĐỘNG_CƠ_VÀ_CẢM_BIẾN"))*0.00</f>
        <v/>
      </c>
      <c r="M281" s="402">
        <f>(K281-SUMIFS('03_BOC_TACH_VAN'!K:K, '03_BOC_TACH_VAN'!B:B, B281, '03_BOC_TACH_VAN'!D:D, "ĐỘNG_CƠ_VÀ_CẢM_BIẾN"))*0.02</f>
        <v/>
      </c>
      <c r="N281" s="402">
        <f>K281+L281+M281</f>
        <v/>
      </c>
      <c r="O281" s="402">
        <f>IF(G281&gt;0, N281/G281, 0)</f>
        <v/>
      </c>
      <c r="P281" s="403" t="n">
        <v>0.1</v>
      </c>
      <c r="Q281" s="402">
        <f>IF(G281&gt;0, ((N281-SUMIFS('03_BOC_TACH_VAN'!K:K, '03_BOC_TACH_VAN'!B:B, B281, '03_BOC_TACH_VAN'!D:D, "ĐỘNG_CƠ_VÀ_CẢM_BIẾN"))*(1+P281)+SUMIFS('03_BOC_TACH_VAN'!K:K, '03_BOC_TACH_VAN'!B:B, B281, '03_BOC_TACH_VAN'!D:D, "ĐỘNG_CƠ_VÀ_CẢM_BIẾN"))/G281, 0)</f>
        <v/>
      </c>
      <c r="R281" s="402">
        <f>G281*Q281</f>
        <v/>
      </c>
      <c r="S281" t="inlineStr">
        <is>
          <t>Ống gió mềm (Lấy nguyên giá BOQ)</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402" t="n">
        <v>1204</v>
      </c>
      <c r="H282" s="402">
        <f>SUMIF('01_BOC_TACH_ONG'!B:B, B282, '01_BOC_TACH_ONG'!K:K)</f>
        <v/>
      </c>
      <c r="I282" s="402">
        <f>SUMIF('02_BOC_TACH_CUA'!B:B, B282, '02_BOC_TACH_CUA'!K:K)</f>
        <v/>
      </c>
      <c r="J282" s="402">
        <f>SUMIF('03_BOC_TACH_VAN'!B:B, B282, '03_BOC_TACH_VAN'!K:K)</f>
        <v/>
      </c>
      <c r="K282" s="402">
        <f>SUM(H282:J282)</f>
        <v/>
      </c>
      <c r="L282" s="402">
        <f>(K282-SUMIFS('03_BOC_TACH_VAN'!K:K, '03_BOC_TACH_VAN'!B:B, B282, '03_BOC_TACH_VAN'!D:D, "ĐỘNG_CƠ_VÀ_CẢM_BIẾN"))*0.00</f>
        <v/>
      </c>
      <c r="M282" s="402">
        <f>(K282-SUMIFS('03_BOC_TACH_VAN'!K:K, '03_BOC_TACH_VAN'!B:B, B282, '03_BOC_TACH_VAN'!D:D, "ĐỘNG_CƠ_VÀ_CẢM_BIẾN"))*0.02</f>
        <v/>
      </c>
      <c r="N282" s="402">
        <f>K282+L282+M282</f>
        <v/>
      </c>
      <c r="O282" s="402">
        <f>IF(G282&gt;0, N282/G282, 0)</f>
        <v/>
      </c>
      <c r="P282" s="403" t="n">
        <v>0.1</v>
      </c>
      <c r="Q282" s="402">
        <f>IF(G282&gt;0, ((N282-SUMIFS('03_BOC_TACH_VAN'!K:K, '03_BOC_TACH_VAN'!B:B, B282, '03_BOC_TACH_VAN'!D:D, "ĐỘNG_CƠ_VÀ_CẢM_BIẾN"))*(1+P282)+SUMIFS('03_BOC_TACH_VAN'!K:K, '03_BOC_TACH_VAN'!B:B, B282, '03_BOC_TACH_VAN'!D:D, "ĐỘNG_CƠ_VÀ_CẢM_BIẾN"))/G282, 0)</f>
        <v/>
      </c>
      <c r="R282" s="402">
        <f>G282*Q282</f>
        <v/>
      </c>
      <c r="S282" t="inlineStr">
        <is>
          <t>Ống gió mềm (Lấy nguyên giá BOQ)</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402" t="n">
        <v>488</v>
      </c>
      <c r="H283" s="402">
        <f>SUMIF('01_BOC_TACH_ONG'!B:B, B283, '01_BOC_TACH_ONG'!K:K)</f>
        <v/>
      </c>
      <c r="I283" s="402">
        <f>SUMIF('02_BOC_TACH_CUA'!B:B, B283, '02_BOC_TACH_CUA'!K:K)</f>
        <v/>
      </c>
      <c r="J283" s="402">
        <f>SUMIF('03_BOC_TACH_VAN'!B:B, B283, '03_BOC_TACH_VAN'!K:K)</f>
        <v/>
      </c>
      <c r="K283" s="402">
        <f>SUM(H283:J283)</f>
        <v/>
      </c>
      <c r="L283" s="402">
        <f>(K283-SUMIFS('03_BOC_TACH_VAN'!K:K, '03_BOC_TACH_VAN'!B:B, B283, '03_BOC_TACH_VAN'!D:D, "ĐỘNG_CƠ_VÀ_CẢM_BIẾN"))*0.00</f>
        <v/>
      </c>
      <c r="M283" s="402">
        <f>(K283-SUMIFS('03_BOC_TACH_VAN'!K:K, '03_BOC_TACH_VAN'!B:B, B283, '03_BOC_TACH_VAN'!D:D, "ĐỘNG_CƠ_VÀ_CẢM_BIẾN"))*0.02</f>
        <v/>
      </c>
      <c r="N283" s="402">
        <f>K283+L283+M283</f>
        <v/>
      </c>
      <c r="O283" s="402">
        <f>IF(G283&gt;0, N283/G283, 0)</f>
        <v/>
      </c>
      <c r="P283" s="403" t="n">
        <v>0.1</v>
      </c>
      <c r="Q283" s="402">
        <f>IF(G283&gt;0, ((N283-SUMIFS('03_BOC_TACH_VAN'!K:K, '03_BOC_TACH_VAN'!B:B, B283, '03_BOC_TACH_VAN'!D:D, "ĐỘNG_CƠ_VÀ_CẢM_BIẾN"))*(1+P283)+SUMIFS('03_BOC_TACH_VAN'!K:K, '03_BOC_TACH_VAN'!B:B, B283, '03_BOC_TACH_VAN'!D:D, "ĐỘNG_CƠ_VÀ_CẢM_BIẾN"))/G283, 0)</f>
        <v/>
      </c>
      <c r="R283" s="402">
        <f>G283*Q283</f>
        <v/>
      </c>
      <c r="S283" t="inlineStr">
        <is>
          <t>Ống gió mềm (Lấy nguyên giá BOQ)</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402" t="n">
        <v>1</v>
      </c>
      <c r="H284" s="402">
        <f>SUMIF('01_BOC_TACH_ONG'!B:B, B284, '01_BOC_TACH_ONG'!K:K)</f>
        <v/>
      </c>
      <c r="I284" s="402">
        <f>SUMIF('02_BOC_TACH_CUA'!B:B, B284, '02_BOC_TACH_CUA'!K:K)</f>
        <v/>
      </c>
      <c r="J284" s="402">
        <f>SUMIF('03_BOC_TACH_VAN'!B:B, B284, '03_BOC_TACH_VAN'!K:K)</f>
        <v/>
      </c>
      <c r="K284" s="402">
        <f>SUM(H284:J284)</f>
        <v/>
      </c>
      <c r="L284" s="402">
        <f>(K284-SUMIFS('03_BOC_TACH_VAN'!K:K, '03_BOC_TACH_VAN'!B:B, B284, '03_BOC_TACH_VAN'!D:D, "ĐỘNG_CƠ_VÀ_CẢM_BIẾN"))*0.00</f>
        <v/>
      </c>
      <c r="M284" s="402">
        <f>(K284-SUMIFS('03_BOC_TACH_VAN'!K:K, '03_BOC_TACH_VAN'!B:B, B284, '03_BOC_TACH_VAN'!D:D, "ĐỘNG_CƠ_VÀ_CẢM_BIẾN"))*0.02</f>
        <v/>
      </c>
      <c r="N284" s="402">
        <f>K284+L284+M284</f>
        <v/>
      </c>
      <c r="O284" s="402">
        <f>IF(G284&gt;0, N284/G284, 0)</f>
        <v/>
      </c>
      <c r="P284" s="403" t="n">
        <v>0.1</v>
      </c>
      <c r="Q284" s="402">
        <f>IF(G284&gt;0, ((N284-SUMIFS('03_BOC_TACH_VAN'!K:K, '03_BOC_TACH_VAN'!B:B, B284, '03_BOC_TACH_VAN'!D:D, "ĐỘNG_CƠ_VÀ_CẢM_BIẾN"))*(1+P284)+SUMIFS('03_BOC_TACH_VAN'!K:K, '03_BOC_TACH_VAN'!B:B, B284, '03_BOC_TACH_VAN'!D:D, "ĐỘNG_CƠ_VÀ_CẢM_BIẾN"))/G284, 0)</f>
        <v/>
      </c>
      <c r="R284" s="402">
        <f>G284*Q284</f>
        <v/>
      </c>
      <c r="S284" t="inlineStr">
        <is>
          <t>Hàng thương mại (Lấy nguyên giá BOQ)</t>
        </is>
      </c>
    </row>
    <row r="285">
      <c r="A285" t="n">
        <v>284</v>
      </c>
      <c r="B285" t="inlineStr">
        <is>
          <t>SW-TRD-284</t>
        </is>
      </c>
      <c r="C285" t="inlineStr">
        <is>
          <t>THƯƠNG MẠI</t>
        </is>
      </c>
      <c r="D285" t="inlineStr">
        <is>
          <t>ỐNG ĐỒNG Vật tư phụ, phụ kiện</t>
        </is>
      </c>
      <c r="E285" t="inlineStr">
        <is>
          <t>-</t>
        </is>
      </c>
      <c r="F285" t="inlineStr">
        <is>
          <t>Lô</t>
        </is>
      </c>
      <c r="G285" s="402" t="n">
        <v>1</v>
      </c>
      <c r="H285" s="402">
        <f>SUMIF('01_BOC_TACH_ONG'!B:B, B285, '01_BOC_TACH_ONG'!K:K)</f>
        <v/>
      </c>
      <c r="I285" s="402">
        <f>SUMIF('02_BOC_TACH_CUA'!B:B, B285, '02_BOC_TACH_CUA'!K:K)</f>
        <v/>
      </c>
      <c r="J285" s="402">
        <f>SUMIF('03_BOC_TACH_VAN'!B:B, B285, '03_BOC_TACH_VAN'!K:K)</f>
        <v/>
      </c>
      <c r="K285" s="402">
        <f>SUM(H285:J285)</f>
        <v/>
      </c>
      <c r="L285" s="402">
        <f>(K285-SUMIFS('03_BOC_TACH_VAN'!K:K, '03_BOC_TACH_VAN'!B:B, B285, '03_BOC_TACH_VAN'!D:D, "ĐỘNG_CƠ_VÀ_CẢM_BIẾN"))*0.00</f>
        <v/>
      </c>
      <c r="M285" s="402">
        <f>(K285-SUMIFS('03_BOC_TACH_VAN'!K:K, '03_BOC_TACH_VAN'!B:B, B285, '03_BOC_TACH_VAN'!D:D, "ĐỘNG_CƠ_VÀ_CẢM_BIẾN"))*0.02</f>
        <v/>
      </c>
      <c r="N285" s="402">
        <f>K285+L285+M285</f>
        <v/>
      </c>
      <c r="O285" s="402">
        <f>IF(G285&gt;0, N285/G285, 0)</f>
        <v/>
      </c>
      <c r="P285" s="403" t="n">
        <v>0.1</v>
      </c>
      <c r="Q285" s="402">
        <f>IF(G285&gt;0, ((N285-SUMIFS('03_BOC_TACH_VAN'!K:K, '03_BOC_TACH_VAN'!B:B, B285, '03_BOC_TACH_VAN'!D:D, "ĐỘNG_CƠ_VÀ_CẢM_BIẾN"))*(1+P285)+SUMIFS('03_BOC_TACH_VAN'!K:K, '03_BOC_TACH_VAN'!B:B, B285, '03_BOC_TACH_VAN'!D:D, "ĐỘNG_CƠ_VÀ_CẢM_BIẾN"))/G285, 0)</f>
        <v/>
      </c>
      <c r="R285" s="402">
        <f>G285*Q285</f>
        <v/>
      </c>
      <c r="S285" t="inlineStr">
        <is>
          <t>Hàng thương mại (Lấy nguyên giá BOQ)</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402" t="n">
        <v>1</v>
      </c>
      <c r="H286" s="402">
        <f>SUMIF('01_BOC_TACH_ONG'!B:B, B286, '01_BOC_TACH_ONG'!K:K)</f>
        <v/>
      </c>
      <c r="I286" s="402">
        <f>SUMIF('02_BOC_TACH_CUA'!B:B, B286, '02_BOC_TACH_CUA'!K:K)</f>
        <v/>
      </c>
      <c r="J286" s="402">
        <f>SUMIF('03_BOC_TACH_VAN'!B:B, B286, '03_BOC_TACH_VAN'!K:K)</f>
        <v/>
      </c>
      <c r="K286" s="402">
        <f>SUM(H286:J286)</f>
        <v/>
      </c>
      <c r="L286" s="402">
        <f>(K286-SUMIFS('03_BOC_TACH_VAN'!K:K, '03_BOC_TACH_VAN'!B:B, B286, '03_BOC_TACH_VAN'!D:D, "ĐỘNG_CƠ_VÀ_CẢM_BIẾN"))*0.00</f>
        <v/>
      </c>
      <c r="M286" s="402">
        <f>(K286-SUMIFS('03_BOC_TACH_VAN'!K:K, '03_BOC_TACH_VAN'!B:B, B286, '03_BOC_TACH_VAN'!D:D, "ĐỘNG_CƠ_VÀ_CẢM_BIẾN"))*0.02</f>
        <v/>
      </c>
      <c r="N286" s="402">
        <f>K286+L286+M286</f>
        <v/>
      </c>
      <c r="O286" s="402">
        <f>IF(G286&gt;0, N286/G286, 0)</f>
        <v/>
      </c>
      <c r="P286" s="403" t="n">
        <v>0.1</v>
      </c>
      <c r="Q286" s="402">
        <f>IF(G286&gt;0, ((N286-SUMIFS('03_BOC_TACH_VAN'!K:K, '03_BOC_TACH_VAN'!B:B, B286, '03_BOC_TACH_VAN'!D:D, "ĐỘNG_CƠ_VÀ_CẢM_BIẾN"))*(1+P286)+SUMIFS('03_BOC_TACH_VAN'!K:K, '03_BOC_TACH_VAN'!B:B, B286, '03_BOC_TACH_VAN'!D:D, "ĐỘNG_CƠ_VÀ_CẢM_BIẾN"))/G286, 0)</f>
        <v/>
      </c>
      <c r="R286" s="402">
        <f>G286*Q286</f>
        <v/>
      </c>
      <c r="S286" t="inlineStr">
        <is>
          <t>Hàng thương mại (Lấy nguyên giá BOQ)</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402" t="n">
        <v>1</v>
      </c>
      <c r="H287" s="402">
        <f>SUMIF('01_BOC_TACH_ONG'!B:B, B287, '01_BOC_TACH_ONG'!K:K)</f>
        <v/>
      </c>
      <c r="I287" s="402">
        <f>SUMIF('02_BOC_TACH_CUA'!B:B, B287, '02_BOC_TACH_CUA'!K:K)</f>
        <v/>
      </c>
      <c r="J287" s="402">
        <f>SUMIF('03_BOC_TACH_VAN'!B:B, B287, '03_BOC_TACH_VAN'!K:K)</f>
        <v/>
      </c>
      <c r="K287" s="402">
        <f>SUM(H287:J287)</f>
        <v/>
      </c>
      <c r="L287" s="402">
        <f>(K287-SUMIFS('03_BOC_TACH_VAN'!K:K, '03_BOC_TACH_VAN'!B:B, B287, '03_BOC_TACH_VAN'!D:D, "ĐỘNG_CƠ_VÀ_CẢM_BIẾN"))*0.00</f>
        <v/>
      </c>
      <c r="M287" s="402">
        <f>(K287-SUMIFS('03_BOC_TACH_VAN'!K:K, '03_BOC_TACH_VAN'!B:B, B287, '03_BOC_TACH_VAN'!D:D, "ĐỘNG_CƠ_VÀ_CẢM_BIẾN"))*0.02</f>
        <v/>
      </c>
      <c r="N287" s="402">
        <f>K287+L287+M287</f>
        <v/>
      </c>
      <c r="O287" s="402">
        <f>IF(G287&gt;0, N287/G287, 0)</f>
        <v/>
      </c>
      <c r="P287" s="403" t="n">
        <v>0.1</v>
      </c>
      <c r="Q287" s="402">
        <f>IF(G287&gt;0, ((N287-SUMIFS('03_BOC_TACH_VAN'!K:K, '03_BOC_TACH_VAN'!B:B, B287, '03_BOC_TACH_VAN'!D:D, "ĐỘNG_CƠ_VÀ_CẢM_BIẾN"))*(1+P287)+SUMIFS('03_BOC_TACH_VAN'!K:K, '03_BOC_TACH_VAN'!B:B, B287, '03_BOC_TACH_VAN'!D:D, "ĐỘNG_CƠ_VÀ_CẢM_BIẾN"))/G287, 0)</f>
        <v/>
      </c>
      <c r="R287" s="402">
        <f>G287*Q287</f>
        <v/>
      </c>
      <c r="S287" t="inlineStr">
        <is>
          <t>Hàng thương mại (Lấy nguyên giá BOQ)</t>
        </is>
      </c>
    </row>
    <row r="288">
      <c r="A288" t="n">
        <v>287</v>
      </c>
      <c r="B288" t="inlineStr">
        <is>
          <t>SW-TRD-287</t>
        </is>
      </c>
      <c r="C288" t="inlineStr">
        <is>
          <t>THƯƠNG MẠI</t>
        </is>
      </c>
      <c r="D288" t="inlineStr">
        <is>
          <t>CHI PHÍ CHUNG Chi phí chống cháy lan</t>
        </is>
      </c>
      <c r="E288" t="inlineStr">
        <is>
          <t>-</t>
        </is>
      </c>
      <c r="F288" t="inlineStr">
        <is>
          <t>Lô</t>
        </is>
      </c>
      <c r="G288" s="402" t="n">
        <v>1</v>
      </c>
      <c r="H288" s="402">
        <f>SUMIF('01_BOC_TACH_ONG'!B:B, B288, '01_BOC_TACH_ONG'!K:K)</f>
        <v/>
      </c>
      <c r="I288" s="402">
        <f>SUMIF('02_BOC_TACH_CUA'!B:B, B288, '02_BOC_TACH_CUA'!K:K)</f>
        <v/>
      </c>
      <c r="J288" s="402">
        <f>SUMIF('03_BOC_TACH_VAN'!B:B, B288, '03_BOC_TACH_VAN'!K:K)</f>
        <v/>
      </c>
      <c r="K288" s="402">
        <f>SUM(H288:J288)</f>
        <v/>
      </c>
      <c r="L288" s="402">
        <f>(K288-SUMIFS('03_BOC_TACH_VAN'!K:K, '03_BOC_TACH_VAN'!B:B, B288, '03_BOC_TACH_VAN'!D:D, "ĐỘNG_CƠ_VÀ_CẢM_BIẾN"))*0.00</f>
        <v/>
      </c>
      <c r="M288" s="402">
        <f>(K288-SUMIFS('03_BOC_TACH_VAN'!K:K, '03_BOC_TACH_VAN'!B:B, B288, '03_BOC_TACH_VAN'!D:D, "ĐỘNG_CƠ_VÀ_CẢM_BIẾN"))*0.02</f>
        <v/>
      </c>
      <c r="N288" s="402">
        <f>K288+L288+M288</f>
        <v/>
      </c>
      <c r="O288" s="402">
        <f>IF(G288&gt;0, N288/G288, 0)</f>
        <v/>
      </c>
      <c r="P288" s="403" t="n">
        <v>0.1</v>
      </c>
      <c r="Q288" s="402">
        <f>IF(G288&gt;0, ((N288-SUMIFS('03_BOC_TACH_VAN'!K:K, '03_BOC_TACH_VAN'!B:B, B288, '03_BOC_TACH_VAN'!D:D, "ĐỘNG_CƠ_VÀ_CẢM_BIẾN"))*(1+P288)+SUMIFS('03_BOC_TACH_VAN'!K:K, '03_BOC_TACH_VAN'!B:B, B288, '03_BOC_TACH_VAN'!D:D, "ĐỘNG_CƠ_VÀ_CẢM_BIẾN"))/G288, 0)</f>
        <v/>
      </c>
      <c r="R288" s="402">
        <f>G288*Q288</f>
        <v/>
      </c>
      <c r="S288" t="inlineStr">
        <is>
          <t>Hàng thương mại (Lấy nguyên giá BOQ)</t>
        </is>
      </c>
    </row>
    <row r="289">
      <c r="A289" s="404" t="inlineStr">
        <is>
          <t>TỔNG CỘNG</t>
        </is>
      </c>
      <c r="H289" s="405">
        <f>SUM(H2:H288)</f>
        <v/>
      </c>
      <c r="I289" s="405">
        <f>SUM(I2:I288)</f>
        <v/>
      </c>
      <c r="J289" s="405">
        <f>SUM(J2:J288)</f>
        <v/>
      </c>
      <c r="K289" s="405">
        <f>SUM(K2:K288)</f>
        <v/>
      </c>
      <c r="L289" s="405">
        <f>SUM(L2:L288)</f>
        <v/>
      </c>
      <c r="M289" s="405">
        <f>SUM(M2:M288)</f>
        <v/>
      </c>
      <c r="N289" s="405">
        <f>SUM(N2:N288)</f>
        <v/>
      </c>
      <c r="R289" s="405">
        <f>SUM(R2:R288)</f>
        <v/>
      </c>
    </row>
  </sheetData>
  <mergeCells count="1">
    <mergeCell ref="A289:F28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1" t="inlineStr">
        <is>
          <t>SUB_KEY</t>
        </is>
      </c>
      <c r="B1" s="401" t="inlineStr">
        <is>
          <t>PARENT_ITEM_ID</t>
        </is>
      </c>
      <c r="C1" s="401" t="inlineStr">
        <is>
          <t>TÊN CẤU KIỆN</t>
        </is>
      </c>
      <c r="D1" s="401" t="inlineStr">
        <is>
          <t>PHÂN LOẠI</t>
        </is>
      </c>
      <c r="E1" s="401" t="inlineStr">
        <is>
          <t>MÃ VẬT TƯ (MAT_ID)</t>
        </is>
      </c>
      <c r="F1" s="401" t="inlineStr">
        <is>
          <t>ĐVT</t>
        </is>
      </c>
      <c r="G1" s="401" t="inlineStr">
        <is>
          <t>ĐỊNH MỨC / 1 SP</t>
        </is>
      </c>
      <c r="H1" s="401" t="inlineStr">
        <is>
          <t>SL DỰ ÁN</t>
        </is>
      </c>
      <c r="I1" s="401" t="inlineStr">
        <is>
          <t>TỔNG NHU CẦU</t>
        </is>
      </c>
      <c r="J1" s="401" t="inlineStr">
        <is>
          <t>ĐƠN GIÁ GỐC</t>
        </is>
      </c>
      <c r="K1" s="401" t="inlineStr">
        <is>
          <t>THÀNH TIỀN (VNĐ)</t>
        </is>
      </c>
      <c r="L1" s="401"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406" t="n">
        <v>0.7539822368615503</v>
      </c>
      <c r="H2" s="402">
        <f>IFERROR(INDEX('00_TONG_HOP_BAO_GIA'!$G$1:$G$5000, MATCH(B2, '00_TONG_HOP_BAO_GIA'!$B$1:$B$5000, 0)), 1)</f>
        <v/>
      </c>
      <c r="I2" s="407">
        <f>G2*H2</f>
        <v/>
      </c>
      <c r="J2" s="402">
        <f>IFERROR(INDEX('06_BANG_GIA_VAT_TU_AP_DUNG'!$E$1:$E$5000, MATCH(E2, '06_BANG_GIA_VAT_TU_AP_DUNG'!$B$1:$B$5000, 0)), 0)</f>
        <v/>
      </c>
      <c r="K2" s="402">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406" t="n">
        <v>1.573403848697376</v>
      </c>
      <c r="H3" s="402">
        <f>IFERROR(INDEX('00_TONG_HOP_BAO_GIA'!$G$1:$G$5000, MATCH(B3, '00_TONG_HOP_BAO_GIA'!$B$1:$B$5000, 0)), 1)</f>
        <v/>
      </c>
      <c r="I3" s="407">
        <f>G3*H3</f>
        <v/>
      </c>
      <c r="J3" s="402">
        <f>IFERROR(INDEX('06_BANG_GIA_VAT_TU_AP_DUNG'!$E$1:$E$5000, MATCH(E3, '06_BANG_GIA_VAT_TU_AP_DUNG'!$B$1:$B$5000, 0)), 0)</f>
        <v/>
      </c>
      <c r="K3" s="402">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406" t="n">
        <v>0.6785840131753953</v>
      </c>
      <c r="H4" s="402">
        <f>IFERROR(INDEX('00_TONG_HOP_BAO_GIA'!$G$1:$G$5000, MATCH(B4, '00_TONG_HOP_BAO_GIA'!$B$1:$B$5000, 0)), 1)</f>
        <v/>
      </c>
      <c r="I4" s="407">
        <f>G4*H4</f>
        <v/>
      </c>
      <c r="J4" s="402">
        <f>IFERROR(INDEX('06_BANG_GIA_VAT_TU_AP_DUNG'!$E$1:$E$5000, MATCH(E4, '06_BANG_GIA_VAT_TU_AP_DUNG'!$B$1:$B$5000, 0)), 0)</f>
        <v/>
      </c>
      <c r="K4" s="402">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406" t="n">
        <v>1.416063463827638</v>
      </c>
      <c r="H5" s="402">
        <f>IFERROR(INDEX('00_TONG_HOP_BAO_GIA'!$G$1:$G$5000, MATCH(B5, '00_TONG_HOP_BAO_GIA'!$B$1:$B$5000, 0)), 1)</f>
        <v/>
      </c>
      <c r="I5" s="407">
        <f>G5*H5</f>
        <v/>
      </c>
      <c r="J5" s="402">
        <f>IFERROR(INDEX('06_BANG_GIA_VAT_TU_AP_DUNG'!$E$1:$E$5000, MATCH(E5, '06_BANG_GIA_VAT_TU_AP_DUNG'!$B$1:$B$5000, 0)), 0)</f>
        <v/>
      </c>
      <c r="K5" s="402">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406" t="n">
        <v>0.6031857894892403</v>
      </c>
      <c r="H6" s="402">
        <f>IFERROR(INDEX('00_TONG_HOP_BAO_GIA'!$G$1:$G$5000, MATCH(B6, '00_TONG_HOP_BAO_GIA'!$B$1:$B$5000, 0)), 1)</f>
        <v/>
      </c>
      <c r="I6" s="407">
        <f>G6*H6</f>
        <v/>
      </c>
      <c r="J6" s="402">
        <f>IFERROR(INDEX('06_BANG_GIA_VAT_TU_AP_DUNG'!$E$1:$E$5000, MATCH(E6, '06_BANG_GIA_VAT_TU_AP_DUNG'!$B$1:$B$5000, 0)), 0)</f>
        <v/>
      </c>
      <c r="K6" s="402">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406" t="n">
        <v>1.258723078957901</v>
      </c>
      <c r="H7" s="402">
        <f>IFERROR(INDEX('00_TONG_HOP_BAO_GIA'!$G$1:$G$5000, MATCH(B7, '00_TONG_HOP_BAO_GIA'!$B$1:$B$5000, 0)), 1)</f>
        <v/>
      </c>
      <c r="I7" s="407">
        <f>G7*H7</f>
        <v/>
      </c>
      <c r="J7" s="402">
        <f>IFERROR(INDEX('06_BANG_GIA_VAT_TU_AP_DUNG'!$E$1:$E$5000, MATCH(E7, '06_BANG_GIA_VAT_TU_AP_DUNG'!$B$1:$B$5000, 0)), 0)</f>
        <v/>
      </c>
      <c r="K7" s="402">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406" t="n">
        <v>0.5353273881717008</v>
      </c>
      <c r="H8" s="402">
        <f>IFERROR(INDEX('00_TONG_HOP_BAO_GIA'!$G$1:$G$5000, MATCH(B8, '00_TONG_HOP_BAO_GIA'!$B$1:$B$5000, 0)), 1)</f>
        <v/>
      </c>
      <c r="I8" s="407">
        <f>G8*H8</f>
        <v/>
      </c>
      <c r="J8" s="402">
        <f>IFERROR(INDEX('06_BANG_GIA_VAT_TU_AP_DUNG'!$E$1:$E$5000, MATCH(E8, '06_BANG_GIA_VAT_TU_AP_DUNG'!$B$1:$B$5000, 0)), 0)</f>
        <v/>
      </c>
      <c r="K8" s="402">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406" t="n">
        <v>1.117116732575137</v>
      </c>
      <c r="H9" s="402">
        <f>IFERROR(INDEX('00_TONG_HOP_BAO_GIA'!$G$1:$G$5000, MATCH(B9, '00_TONG_HOP_BAO_GIA'!$B$1:$B$5000, 0)), 1)</f>
        <v/>
      </c>
      <c r="I9" s="407">
        <f>G9*H9</f>
        <v/>
      </c>
      <c r="J9" s="402">
        <f>IFERROR(INDEX('06_BANG_GIA_VAT_TU_AP_DUNG'!$E$1:$E$5000, MATCH(E9, '06_BANG_GIA_VAT_TU_AP_DUNG'!$B$1:$B$5000, 0)), 0)</f>
        <v/>
      </c>
      <c r="K9" s="402">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406" t="n">
        <v>0.4222300526424682</v>
      </c>
      <c r="H10" s="402">
        <f>IFERROR(INDEX('00_TONG_HOP_BAO_GIA'!$G$1:$G$5000, MATCH(B10, '00_TONG_HOP_BAO_GIA'!$B$1:$B$5000, 0)), 1)</f>
        <v/>
      </c>
      <c r="I10" s="407">
        <f>G10*H10</f>
        <v/>
      </c>
      <c r="J10" s="402">
        <f>IFERROR(INDEX('06_BANG_GIA_VAT_TU_AP_DUNG'!$E$1:$E$5000, MATCH(E10, '06_BANG_GIA_VAT_TU_AP_DUNG'!$B$1:$B$5000, 0)), 0)</f>
        <v/>
      </c>
      <c r="K10" s="402">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406" t="n">
        <v>0.8811061552705307</v>
      </c>
      <c r="H11" s="402">
        <f>IFERROR(INDEX('00_TONG_HOP_BAO_GIA'!$G$1:$G$5000, MATCH(B11, '00_TONG_HOP_BAO_GIA'!$B$1:$B$5000, 0)), 1)</f>
        <v/>
      </c>
      <c r="I11" s="407">
        <f>G11*H11</f>
        <v/>
      </c>
      <c r="J11" s="402">
        <f>IFERROR(INDEX('06_BANG_GIA_VAT_TU_AP_DUNG'!$E$1:$E$5000, MATCH(E11, '06_BANG_GIA_VAT_TU_AP_DUNG'!$B$1:$B$5000, 0)), 0)</f>
        <v/>
      </c>
      <c r="K11" s="402">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406" t="n">
        <v>0.7539822368615503</v>
      </c>
      <c r="H12" s="402">
        <f>IFERROR(INDEX('00_TONG_HOP_BAO_GIA'!$G$1:$G$5000, MATCH(B12, '00_TONG_HOP_BAO_GIA'!$B$1:$B$5000, 0)), 1)</f>
        <v/>
      </c>
      <c r="I12" s="407">
        <f>G12*H12</f>
        <v/>
      </c>
      <c r="J12" s="402">
        <f>IFERROR(INDEX('06_BANG_GIA_VAT_TU_AP_DUNG'!$E$1:$E$5000, MATCH(E12, '06_BANG_GIA_VAT_TU_AP_DUNG'!$B$1:$B$5000, 0)), 0)</f>
        <v/>
      </c>
      <c r="K12" s="402">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406" t="n">
        <v>1.573403848697376</v>
      </c>
      <c r="H13" s="402">
        <f>IFERROR(INDEX('00_TONG_HOP_BAO_GIA'!$G$1:$G$5000, MATCH(B13, '00_TONG_HOP_BAO_GIA'!$B$1:$B$5000, 0)), 1)</f>
        <v/>
      </c>
      <c r="I13" s="407">
        <f>G13*H13</f>
        <v/>
      </c>
      <c r="J13" s="402">
        <f>IFERROR(INDEX('06_BANG_GIA_VAT_TU_AP_DUNG'!$E$1:$E$5000, MATCH(E13, '06_BANG_GIA_VAT_TU_AP_DUNG'!$B$1:$B$5000, 0)), 0)</f>
        <v/>
      </c>
      <c r="K13" s="402">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406" t="n">
        <v>0.4222300526424682</v>
      </c>
      <c r="H14" s="402">
        <f>IFERROR(INDEX('00_TONG_HOP_BAO_GIA'!$G$1:$G$5000, MATCH(B14, '00_TONG_HOP_BAO_GIA'!$B$1:$B$5000, 0)), 1)</f>
        <v/>
      </c>
      <c r="I14" s="407">
        <f>G14*H14</f>
        <v/>
      </c>
      <c r="J14" s="402">
        <f>IFERROR(INDEX('06_BANG_GIA_VAT_TU_AP_DUNG'!$E$1:$E$5000, MATCH(E14, '06_BANG_GIA_VAT_TU_AP_DUNG'!$B$1:$B$5000, 0)), 0)</f>
        <v/>
      </c>
      <c r="K14" s="402">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406" t="n">
        <v>0.8811061552705307</v>
      </c>
      <c r="H15" s="402">
        <f>IFERROR(INDEX('00_TONG_HOP_BAO_GIA'!$G$1:$G$5000, MATCH(B15, '00_TONG_HOP_BAO_GIA'!$B$1:$B$5000, 0)), 1)</f>
        <v/>
      </c>
      <c r="I15" s="407">
        <f>G15*H15</f>
        <v/>
      </c>
      <c r="J15" s="402">
        <f>IFERROR(INDEX('06_BANG_GIA_VAT_TU_AP_DUNG'!$E$1:$E$5000, MATCH(E15, '06_BANG_GIA_VAT_TU_AP_DUNG'!$B$1:$B$5000, 0)), 0)</f>
        <v/>
      </c>
      <c r="K15" s="402">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406" t="n">
        <v>3.345365812499999</v>
      </c>
      <c r="H16" s="402">
        <f>IFERROR(INDEX('00_TONG_HOP_BAO_GIA'!$G$1:$G$5000, MATCH(B16, '00_TONG_HOP_BAO_GIA'!$B$1:$B$5000, 0)), 1)</f>
        <v/>
      </c>
      <c r="I16" s="407">
        <f>G16*H16</f>
        <v/>
      </c>
      <c r="J16" s="402">
        <f>IFERROR(INDEX('06_BANG_GIA_VAT_TU_AP_DUNG'!$E$1:$E$5000, MATCH(E16, '06_BANG_GIA_VAT_TU_AP_DUNG'!$B$1:$B$5000, 0)), 0)</f>
        <v/>
      </c>
      <c r="K16" s="402">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406" t="n">
        <v>6.635889562499999</v>
      </c>
      <c r="H17" s="402">
        <f>IFERROR(INDEX('00_TONG_HOP_BAO_GIA'!$G$1:$G$5000, MATCH(B17, '00_TONG_HOP_BAO_GIA'!$B$1:$B$5000, 0)), 1)</f>
        <v/>
      </c>
      <c r="I17" s="407">
        <f>G17*H17</f>
        <v/>
      </c>
      <c r="J17" s="402">
        <f>IFERROR(INDEX('06_BANG_GIA_VAT_TU_AP_DUNG'!$E$1:$E$5000, MATCH(E17, '06_BANG_GIA_VAT_TU_AP_DUNG'!$B$1:$B$5000, 0)), 0)</f>
        <v/>
      </c>
      <c r="K17" s="402">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406" t="n">
        <v>4.807820812499999</v>
      </c>
      <c r="H18" s="402">
        <f>IFERROR(INDEX('00_TONG_HOP_BAO_GIA'!$G$1:$G$5000, MATCH(B18, '00_TONG_HOP_BAO_GIA'!$B$1:$B$5000, 0)), 1)</f>
        <v/>
      </c>
      <c r="I18" s="407">
        <f>G18*H18</f>
        <v/>
      </c>
      <c r="J18" s="402">
        <f>IFERROR(INDEX('06_BANG_GIA_VAT_TU_AP_DUNG'!$E$1:$E$5000, MATCH(E18, '06_BANG_GIA_VAT_TU_AP_DUNG'!$B$1:$B$5000, 0)), 0)</f>
        <v/>
      </c>
      <c r="K18" s="402">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406" t="n">
        <v>1</v>
      </c>
      <c r="H19" s="402">
        <f>IFERROR(INDEX('00_TONG_HOP_BAO_GIA'!$G$1:$G$5000, MATCH(B19, '00_TONG_HOP_BAO_GIA'!$B$1:$B$5000, 0)), 1)</f>
        <v/>
      </c>
      <c r="I19" s="407">
        <f>G19*H19</f>
        <v/>
      </c>
      <c r="J19" s="402">
        <f>IFERROR(INDEX('06_BANG_GIA_VAT_TU_AP_DUNG'!$E$1:$E$5000, MATCH(E19, '06_BANG_GIA_VAT_TU_AP_DUNG'!$B$1:$B$5000, 0)), 0)</f>
        <v/>
      </c>
      <c r="K19" s="402">
        <f>I19*J19</f>
        <v/>
      </c>
      <c r="L19" t="inlineStr">
        <is>
          <t>Hàng mua nguyên chiếc</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406" t="n">
        <v>6.676425</v>
      </c>
      <c r="H20" s="402">
        <f>IFERROR(INDEX('00_TONG_HOP_BAO_GIA'!$G$1:$G$5000, MATCH(B20, '00_TONG_HOP_BAO_GIA'!$B$1:$B$5000, 0)), 1)</f>
        <v/>
      </c>
      <c r="I20" s="407">
        <f>G20*H20</f>
        <v/>
      </c>
      <c r="J20" s="402">
        <f>IFERROR(INDEX('06_BANG_GIA_VAT_TU_AP_DUNG'!$E$1:$E$5000, MATCH(E20, '06_BANG_GIA_VAT_TU_AP_DUNG'!$B$1:$B$5000, 0)), 0)</f>
        <v/>
      </c>
      <c r="K20" s="402">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406" t="n">
        <v>8.456805000000001</v>
      </c>
      <c r="H21" s="402">
        <f>IFERROR(INDEX('00_TONG_HOP_BAO_GIA'!$G$1:$G$5000, MATCH(B21, '00_TONG_HOP_BAO_GIA'!$B$1:$B$5000, 0)), 1)</f>
        <v/>
      </c>
      <c r="I21" s="407">
        <f>G21*H21</f>
        <v/>
      </c>
      <c r="J21" s="402">
        <f>IFERROR(INDEX('06_BANG_GIA_VAT_TU_AP_DUNG'!$E$1:$E$5000, MATCH(E21, '06_BANG_GIA_VAT_TU_AP_DUNG'!$B$1:$B$5000, 0)), 0)</f>
        <v/>
      </c>
      <c r="K21" s="402">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406" t="n">
        <v>10.237185</v>
      </c>
      <c r="H22" s="402">
        <f>IFERROR(INDEX('00_TONG_HOP_BAO_GIA'!$G$1:$G$5000, MATCH(B22, '00_TONG_HOP_BAO_GIA'!$B$1:$B$5000, 0)), 1)</f>
        <v/>
      </c>
      <c r="I22" s="407">
        <f>G22*H22</f>
        <v/>
      </c>
      <c r="J22" s="402">
        <f>IFERROR(INDEX('06_BANG_GIA_VAT_TU_AP_DUNG'!$E$1:$E$5000, MATCH(E22, '06_BANG_GIA_VAT_TU_AP_DUNG'!$B$1:$B$5000, 0)), 0)</f>
        <v/>
      </c>
      <c r="K22" s="402">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406" t="n">
        <v>10.237185</v>
      </c>
      <c r="H23" s="402">
        <f>IFERROR(INDEX('00_TONG_HOP_BAO_GIA'!$G$1:$G$5000, MATCH(B23, '00_TONG_HOP_BAO_GIA'!$B$1:$B$5000, 0)), 1)</f>
        <v/>
      </c>
      <c r="I23" s="407">
        <f>G23*H23</f>
        <v/>
      </c>
      <c r="J23" s="402">
        <f>IFERROR(INDEX('06_BANG_GIA_VAT_TU_AP_DUNG'!$E$1:$E$5000, MATCH(E23, '06_BANG_GIA_VAT_TU_AP_DUNG'!$B$1:$B$5000, 0)), 0)</f>
        <v/>
      </c>
      <c r="K23" s="402">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406" t="n">
        <v>1</v>
      </c>
      <c r="H24" s="402">
        <f>IFERROR(INDEX('00_TONG_HOP_BAO_GIA'!$G$1:$G$5000, MATCH(B24, '00_TONG_HOP_BAO_GIA'!$B$1:$B$5000, 0)), 1)</f>
        <v/>
      </c>
      <c r="I24" s="407">
        <f>G24*H24</f>
        <v/>
      </c>
      <c r="J24" s="402">
        <f>IFERROR(INDEX('06_BANG_GIA_VAT_TU_AP_DUNG'!$E$1:$E$5000, MATCH(E24, '06_BANG_GIA_VAT_TU_AP_DUNG'!$B$1:$B$5000, 0)), 0)</f>
        <v/>
      </c>
      <c r="K24" s="402">
        <f>I24*J24</f>
        <v/>
      </c>
      <c r="L24" t="inlineStr">
        <is>
          <t>Hàng mua nguyên chiếc</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406" t="n">
        <v>1</v>
      </c>
      <c r="H25" s="402">
        <f>IFERROR(INDEX('00_TONG_HOP_BAO_GIA'!$G$1:$G$5000, MATCH(B25, '00_TONG_HOP_BAO_GIA'!$B$1:$B$5000, 0)), 1)</f>
        <v/>
      </c>
      <c r="I25" s="407">
        <f>G25*H25</f>
        <v/>
      </c>
      <c r="J25" s="402">
        <f>IFERROR(INDEX('06_BANG_GIA_VAT_TU_AP_DUNG'!$E$1:$E$5000, MATCH(E25, '06_BANG_GIA_VAT_TU_AP_DUNG'!$B$1:$B$5000, 0)), 0)</f>
        <v/>
      </c>
      <c r="K25" s="402">
        <f>I25*J25</f>
        <v/>
      </c>
      <c r="L25" t="inlineStr">
        <is>
          <t>Hàng mua nguyên chiếc</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406" t="n">
        <v>1</v>
      </c>
      <c r="H26" s="402">
        <f>IFERROR(INDEX('00_TONG_HOP_BAO_GIA'!$G$1:$G$5000, MATCH(B26, '00_TONG_HOP_BAO_GIA'!$B$1:$B$5000, 0)), 1)</f>
        <v/>
      </c>
      <c r="I26" s="407">
        <f>G26*H26</f>
        <v/>
      </c>
      <c r="J26" s="402">
        <f>IFERROR(INDEX('06_BANG_GIA_VAT_TU_AP_DUNG'!$E$1:$E$5000, MATCH(E26, '06_BANG_GIA_VAT_TU_AP_DUNG'!$B$1:$B$5000, 0)), 0)</f>
        <v/>
      </c>
      <c r="K26" s="402">
        <f>I26*J26</f>
        <v/>
      </c>
      <c r="L26" t="inlineStr">
        <is>
          <t>Hàng mua nguyên chiếc</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406" t="n">
        <v>1</v>
      </c>
      <c r="H27" s="402">
        <f>IFERROR(INDEX('00_TONG_HOP_BAO_GIA'!$G$1:$G$5000, MATCH(B27, '00_TONG_HOP_BAO_GIA'!$B$1:$B$5000, 0)), 1)</f>
        <v/>
      </c>
      <c r="I27" s="407">
        <f>G27*H27</f>
        <v/>
      </c>
      <c r="J27" s="402">
        <f>IFERROR(INDEX('06_BANG_GIA_VAT_TU_AP_DUNG'!$E$1:$E$5000, MATCH(E27, '06_BANG_GIA_VAT_TU_AP_DUNG'!$B$1:$B$5000, 0)), 0)</f>
        <v/>
      </c>
      <c r="K27" s="402">
        <f>I27*J27</f>
        <v/>
      </c>
      <c r="L27" t="inlineStr">
        <is>
          <t>Hàng mua nguyên chiếc</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406" t="n">
        <v>1</v>
      </c>
      <c r="H28" s="402">
        <f>IFERROR(INDEX('00_TONG_HOP_BAO_GIA'!$G$1:$G$5000, MATCH(B28, '00_TONG_HOP_BAO_GIA'!$B$1:$B$5000, 0)), 1)</f>
        <v/>
      </c>
      <c r="I28" s="407">
        <f>G28*H28</f>
        <v/>
      </c>
      <c r="J28" s="402">
        <f>IFERROR(INDEX('06_BANG_GIA_VAT_TU_AP_DUNG'!$E$1:$E$5000, MATCH(E28, '06_BANG_GIA_VAT_TU_AP_DUNG'!$B$1:$B$5000, 0)), 0)</f>
        <v/>
      </c>
      <c r="K28" s="402">
        <f>I28*J28</f>
        <v/>
      </c>
      <c r="L28" t="inlineStr">
        <is>
          <t>Hàng mua nguyên chiếc</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406" t="n">
        <v>6.676425</v>
      </c>
      <c r="H29" s="402">
        <f>IFERROR(INDEX('00_TONG_HOP_BAO_GIA'!$G$1:$G$5000, MATCH(B29, '00_TONG_HOP_BAO_GIA'!$B$1:$B$5000, 0)), 1)</f>
        <v/>
      </c>
      <c r="I29" s="407">
        <f>G29*H29</f>
        <v/>
      </c>
      <c r="J29" s="402">
        <f>IFERROR(INDEX('06_BANG_GIA_VAT_TU_AP_DUNG'!$E$1:$E$5000, MATCH(E29, '06_BANG_GIA_VAT_TU_AP_DUNG'!$B$1:$B$5000, 0)), 0)</f>
        <v/>
      </c>
      <c r="K29" s="402">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406" t="n">
        <v>8.456805000000001</v>
      </c>
      <c r="H30" s="402">
        <f>IFERROR(INDEX('00_TONG_HOP_BAO_GIA'!$G$1:$G$5000, MATCH(B30, '00_TONG_HOP_BAO_GIA'!$B$1:$B$5000, 0)), 1)</f>
        <v/>
      </c>
      <c r="I30" s="407">
        <f>G30*H30</f>
        <v/>
      </c>
      <c r="J30" s="402">
        <f>IFERROR(INDEX('06_BANG_GIA_VAT_TU_AP_DUNG'!$E$1:$E$5000, MATCH(E30, '06_BANG_GIA_VAT_TU_AP_DUNG'!$B$1:$B$5000, 0)), 0)</f>
        <v/>
      </c>
      <c r="K30" s="402">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406" t="n">
        <v>10.237185</v>
      </c>
      <c r="H31" s="402">
        <f>IFERROR(INDEX('00_TONG_HOP_BAO_GIA'!$G$1:$G$5000, MATCH(B31, '00_TONG_HOP_BAO_GIA'!$B$1:$B$5000, 0)), 1)</f>
        <v/>
      </c>
      <c r="I31" s="407">
        <f>G31*H31</f>
        <v/>
      </c>
      <c r="J31" s="402">
        <f>IFERROR(INDEX('06_BANG_GIA_VAT_TU_AP_DUNG'!$E$1:$E$5000, MATCH(E31, '06_BANG_GIA_VAT_TU_AP_DUNG'!$B$1:$B$5000, 0)), 0)</f>
        <v/>
      </c>
      <c r="K31" s="402">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406" t="n">
        <v>10.237185</v>
      </c>
      <c r="H32" s="402">
        <f>IFERROR(INDEX('00_TONG_HOP_BAO_GIA'!$G$1:$G$5000, MATCH(B32, '00_TONG_HOP_BAO_GIA'!$B$1:$B$5000, 0)), 1)</f>
        <v/>
      </c>
      <c r="I32" s="407">
        <f>G32*H32</f>
        <v/>
      </c>
      <c r="J32" s="402">
        <f>IFERROR(INDEX('06_BANG_GIA_VAT_TU_AP_DUNG'!$E$1:$E$5000, MATCH(E32, '06_BANG_GIA_VAT_TU_AP_DUNG'!$B$1:$B$5000, 0)), 0)</f>
        <v/>
      </c>
      <c r="K32" s="402">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406" t="n">
        <v>1</v>
      </c>
      <c r="H33" s="402">
        <f>IFERROR(INDEX('00_TONG_HOP_BAO_GIA'!$G$1:$G$5000, MATCH(B33, '00_TONG_HOP_BAO_GIA'!$B$1:$B$5000, 0)), 1)</f>
        <v/>
      </c>
      <c r="I33" s="407">
        <f>G33*H33</f>
        <v/>
      </c>
      <c r="J33" s="402">
        <f>IFERROR(INDEX('06_BANG_GIA_VAT_TU_AP_DUNG'!$E$1:$E$5000, MATCH(E33, '06_BANG_GIA_VAT_TU_AP_DUNG'!$B$1:$B$5000, 0)), 0)</f>
        <v/>
      </c>
      <c r="K33" s="402">
        <f>I33*J33</f>
        <v/>
      </c>
      <c r="L33" t="inlineStr">
        <is>
          <t>Hàng mua nguyên chiếc</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406" t="n">
        <v>1</v>
      </c>
      <c r="H34" s="402">
        <f>IFERROR(INDEX('00_TONG_HOP_BAO_GIA'!$G$1:$G$5000, MATCH(B34, '00_TONG_HOP_BAO_GIA'!$B$1:$B$5000, 0)), 1)</f>
        <v/>
      </c>
      <c r="I34" s="407">
        <f>G34*H34</f>
        <v/>
      </c>
      <c r="J34" s="402">
        <f>IFERROR(INDEX('06_BANG_GIA_VAT_TU_AP_DUNG'!$E$1:$E$5000, MATCH(E34, '06_BANG_GIA_VAT_TU_AP_DUNG'!$B$1:$B$5000, 0)), 0)</f>
        <v/>
      </c>
      <c r="K34" s="402">
        <f>I34*J34</f>
        <v/>
      </c>
      <c r="L34" t="inlineStr">
        <is>
          <t>Hàng mua nguyên chiếc</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406" t="n">
        <v>1</v>
      </c>
      <c r="H35" s="402">
        <f>IFERROR(INDEX('00_TONG_HOP_BAO_GIA'!$G$1:$G$5000, MATCH(B35, '00_TONG_HOP_BAO_GIA'!$B$1:$B$5000, 0)), 1)</f>
        <v/>
      </c>
      <c r="I35" s="407">
        <f>G35*H35</f>
        <v/>
      </c>
      <c r="J35" s="402">
        <f>IFERROR(INDEX('06_BANG_GIA_VAT_TU_AP_DUNG'!$E$1:$E$5000, MATCH(E35, '06_BANG_GIA_VAT_TU_AP_DUNG'!$B$1:$B$5000, 0)), 0)</f>
        <v/>
      </c>
      <c r="K35" s="402">
        <f>I35*J35</f>
        <v/>
      </c>
      <c r="L35" t="inlineStr">
        <is>
          <t>Hàng mua nguyên chiếc</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406" t="n">
        <v>1</v>
      </c>
      <c r="H36" s="402">
        <f>IFERROR(INDEX('00_TONG_HOP_BAO_GIA'!$G$1:$G$5000, MATCH(B36, '00_TONG_HOP_BAO_GIA'!$B$1:$B$5000, 0)), 1)</f>
        <v/>
      </c>
      <c r="I36" s="407">
        <f>G36*H36</f>
        <v/>
      </c>
      <c r="J36" s="402">
        <f>IFERROR(INDEX('06_BANG_GIA_VAT_TU_AP_DUNG'!$E$1:$E$5000, MATCH(E36, '06_BANG_GIA_VAT_TU_AP_DUNG'!$B$1:$B$5000, 0)), 0)</f>
        <v/>
      </c>
      <c r="K36" s="402">
        <f>I36*J36</f>
        <v/>
      </c>
      <c r="L36" t="inlineStr">
        <is>
          <t>Hàng mua nguyên chiếc</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406" t="n">
        <v>5.235949999999999</v>
      </c>
      <c r="H37" s="402">
        <f>IFERROR(INDEX('00_TONG_HOP_BAO_GIA'!$G$1:$G$5000, MATCH(B37, '00_TONG_HOP_BAO_GIA'!$B$1:$B$5000, 0)), 1)</f>
        <v/>
      </c>
      <c r="I37" s="407">
        <f>G37*H37</f>
        <v/>
      </c>
      <c r="J37" s="402">
        <f>IFERROR(INDEX('06_BANG_GIA_VAT_TU_AP_DUNG'!$E$1:$E$5000, MATCH(E37, '06_BANG_GIA_VAT_TU_AP_DUNG'!$B$1:$B$5000, 0)), 0)</f>
        <v/>
      </c>
      <c r="K37" s="402">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406" t="n">
        <v>1.1</v>
      </c>
      <c r="H38" s="402">
        <f>IFERROR(INDEX('00_TONG_HOP_BAO_GIA'!$G$1:$G$5000, MATCH(B38, '00_TONG_HOP_BAO_GIA'!$B$1:$B$5000, 0)), 1)</f>
        <v/>
      </c>
      <c r="I38" s="407">
        <f>G38*H38</f>
        <v/>
      </c>
      <c r="J38" s="402">
        <f>IFERROR(INDEX('06_BANG_GIA_VAT_TU_AP_DUNG'!$E$1:$E$5000, MATCH(E38, '06_BANG_GIA_VAT_TU_AP_DUNG'!$B$1:$B$5000, 0)), 0)</f>
        <v/>
      </c>
      <c r="K38" s="402">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406" t="n">
        <v>1.1</v>
      </c>
      <c r="H39" s="402">
        <f>IFERROR(INDEX('00_TONG_HOP_BAO_GIA'!$G$1:$G$5000, MATCH(B39, '00_TONG_HOP_BAO_GIA'!$B$1:$B$5000, 0)), 1)</f>
        <v/>
      </c>
      <c r="I39" s="407">
        <f>G39*H39</f>
        <v/>
      </c>
      <c r="J39" s="402">
        <f>IFERROR(INDEX('06_BANG_GIA_VAT_TU_AP_DUNG'!$E$1:$E$5000, MATCH(E39, '06_BANG_GIA_VAT_TU_AP_DUNG'!$B$1:$B$5000, 0)), 0)</f>
        <v/>
      </c>
      <c r="K39" s="402">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406" t="n">
        <v>1.1</v>
      </c>
      <c r="H40" s="402">
        <f>IFERROR(INDEX('00_TONG_HOP_BAO_GIA'!$G$1:$G$5000, MATCH(B40, '00_TONG_HOP_BAO_GIA'!$B$1:$B$5000, 0)), 1)</f>
        <v/>
      </c>
      <c r="I40" s="407">
        <f>G40*H40</f>
        <v/>
      </c>
      <c r="J40" s="402">
        <f>IFERROR(INDEX('06_BANG_GIA_VAT_TU_AP_DUNG'!$E$1:$E$5000, MATCH(E40, '06_BANG_GIA_VAT_TU_AP_DUNG'!$B$1:$B$5000, 0)), 0)</f>
        <v/>
      </c>
      <c r="K40" s="402">
        <f>I40*J40</f>
        <v/>
      </c>
      <c r="L40" t="inlineStr">
        <is>
          <t>Bọc mặt trong</t>
        </is>
      </c>
    </row>
    <row r="41">
      <c r="A41" t="inlineStr">
        <is>
          <t>SW-DUCT-158-BODY</t>
        </is>
      </c>
      <c r="B41" t="inlineStr">
        <is>
          <t>SW-DUCT-158</t>
        </is>
      </c>
      <c r="C41" t="inlineStr">
        <is>
          <t>Tôn mạ kẽm PN (0.58mm) - Định mức m²</t>
        </is>
      </c>
      <c r="D41" t="inlineStr">
        <is>
          <t>TÔN_CUỘN_MẠ_KẼM</t>
        </is>
      </c>
      <c r="E41" t="inlineStr">
        <is>
          <t>MAT-STEEL-PN-0.58</t>
        </is>
      </c>
      <c r="F41" t="inlineStr">
        <is>
          <t>kg</t>
        </is>
      </c>
      <c r="G41" s="406" t="n">
        <v>5.163101999999999</v>
      </c>
      <c r="H41" s="402">
        <f>IFERROR(INDEX('00_TONG_HOP_BAO_GIA'!$G$1:$G$5000, MATCH(B41, '00_TONG_HOP_BAO_GIA'!$B$1:$B$5000, 0)), 1)</f>
        <v/>
      </c>
      <c r="I41" s="407">
        <f>G41*H41</f>
        <v/>
      </c>
      <c r="J41" s="402">
        <f>IFERROR(INDEX('06_BANG_GIA_VAT_TU_AP_DUNG'!$E$1:$E$5000, MATCH(E41, '06_BANG_GIA_VAT_TU_AP_DUNG'!$B$1:$B$5000, 0)), 0)</f>
        <v/>
      </c>
      <c r="K41" s="402">
        <f>I41*J41</f>
        <v/>
      </c>
      <c r="L41" t="inlineStr">
        <is>
          <t>Định mức tôn cho 1m² ống: phôi x1.08, hao hụt x1.05</t>
        </is>
      </c>
    </row>
    <row r="42">
      <c r="A42" t="inlineStr">
        <is>
          <t>SW-DUCT-159-BODY</t>
        </is>
      </c>
      <c r="B42" t="inlineStr">
        <is>
          <t>SW-DUCT-159</t>
        </is>
      </c>
      <c r="C42" t="inlineStr">
        <is>
          <t>Tôn mạ kẽm PN (0.75mm) - Định mức m²</t>
        </is>
      </c>
      <c r="D42" t="inlineStr">
        <is>
          <t>TÔN_CUỘN_MẠ_KẼM</t>
        </is>
      </c>
      <c r="E42" t="inlineStr">
        <is>
          <t>MAT-STEEL-PN-0.75</t>
        </is>
      </c>
      <c r="F42" t="inlineStr">
        <is>
          <t>kg</t>
        </is>
      </c>
      <c r="G42" s="406" t="n">
        <v>6.676425</v>
      </c>
      <c r="H42" s="402">
        <f>IFERROR(INDEX('00_TONG_HOP_BAO_GIA'!$G$1:$G$5000, MATCH(B42, '00_TONG_HOP_BAO_GIA'!$B$1:$B$5000, 0)), 1)</f>
        <v/>
      </c>
      <c r="I42" s="407">
        <f>G42*H42</f>
        <v/>
      </c>
      <c r="J42" s="402">
        <f>IFERROR(INDEX('06_BANG_GIA_VAT_TU_AP_DUNG'!$E$1:$E$5000, MATCH(E42, '06_BANG_GIA_VAT_TU_AP_DUNG'!$B$1:$B$5000, 0)), 0)</f>
        <v/>
      </c>
      <c r="K42" s="402">
        <f>I42*J42</f>
        <v/>
      </c>
      <c r="L42" t="inlineStr">
        <is>
          <t>Định mức tôn cho 1m² ống: phôi x1.08, hao hụt x1.05</t>
        </is>
      </c>
    </row>
    <row r="43">
      <c r="A43" t="inlineStr">
        <is>
          <t>SW-DUCT-160-BODY</t>
        </is>
      </c>
      <c r="B43" t="inlineStr">
        <is>
          <t>SW-DUCT-160</t>
        </is>
      </c>
      <c r="C43" t="inlineStr">
        <is>
          <t>Tôn mạ kẽm PN (0.95mm) - Định mức m²</t>
        </is>
      </c>
      <c r="D43" t="inlineStr">
        <is>
          <t>TÔN_CUỘN_MẠ_KẼM</t>
        </is>
      </c>
      <c r="E43" t="inlineStr">
        <is>
          <t>MAT-STEEL-PN-0.95</t>
        </is>
      </c>
      <c r="F43" t="inlineStr">
        <is>
          <t>kg</t>
        </is>
      </c>
      <c r="G43" s="406" t="n">
        <v>8.456805000000001</v>
      </c>
      <c r="H43" s="402">
        <f>IFERROR(INDEX('00_TONG_HOP_BAO_GIA'!$G$1:$G$5000, MATCH(B43, '00_TONG_HOP_BAO_GIA'!$B$1:$B$5000, 0)), 1)</f>
        <v/>
      </c>
      <c r="I43" s="407">
        <f>G43*H43</f>
        <v/>
      </c>
      <c r="J43" s="402">
        <f>IFERROR(INDEX('06_BANG_GIA_VAT_TU_AP_DUNG'!$E$1:$E$5000, MATCH(E43, '06_BANG_GIA_VAT_TU_AP_DUNG'!$B$1:$B$5000, 0)), 0)</f>
        <v/>
      </c>
      <c r="K43" s="402">
        <f>I43*J43</f>
        <v/>
      </c>
      <c r="L43" t="inlineStr">
        <is>
          <t>Định mức tôn cho 1m² ống: phôi x1.08, hao hụt x1.05</t>
        </is>
      </c>
    </row>
    <row r="44">
      <c r="A44" t="inlineStr">
        <is>
          <t>SW-DUCT-161-BODY</t>
        </is>
      </c>
      <c r="B44" t="inlineStr">
        <is>
          <t>SW-DUCT-161</t>
        </is>
      </c>
      <c r="C44" t="inlineStr">
        <is>
          <t>Tôn mạ kẽm PN (1.15mm) - Định mức m²</t>
        </is>
      </c>
      <c r="D44" t="inlineStr">
        <is>
          <t>TÔN_CUỘN_MẠ_KẼM</t>
        </is>
      </c>
      <c r="E44" t="inlineStr">
        <is>
          <t>MAT-STEEL-PN-1.15</t>
        </is>
      </c>
      <c r="F44" t="inlineStr">
        <is>
          <t>kg</t>
        </is>
      </c>
      <c r="G44" s="406" t="n">
        <v>10.237185</v>
      </c>
      <c r="H44" s="402">
        <f>IFERROR(INDEX('00_TONG_HOP_BAO_GIA'!$G$1:$G$5000, MATCH(B44, '00_TONG_HOP_BAO_GIA'!$B$1:$B$5000, 0)), 1)</f>
        <v/>
      </c>
      <c r="I44" s="407">
        <f>G44*H44</f>
        <v/>
      </c>
      <c r="J44" s="402">
        <f>IFERROR(INDEX('06_BANG_GIA_VAT_TU_AP_DUNG'!$E$1:$E$5000, MATCH(E44, '06_BANG_GIA_VAT_TU_AP_DUNG'!$B$1:$B$5000, 0)), 0)</f>
        <v/>
      </c>
      <c r="K44" s="402">
        <f>I44*J44</f>
        <v/>
      </c>
      <c r="L44" t="inlineStr">
        <is>
          <t>Định mức tôn cho 1m² ống: phôi x1.08, hao hụt x1.05</t>
        </is>
      </c>
    </row>
    <row r="45">
      <c r="A45" t="inlineStr">
        <is>
          <t>SW-DUCT-162-BODY</t>
        </is>
      </c>
      <c r="B45" t="inlineStr">
        <is>
          <t>SW-DUCT-162</t>
        </is>
      </c>
      <c r="C45" t="inlineStr">
        <is>
          <t>Tôn mạ kẽm PN (0.75mm) - Định mức m²</t>
        </is>
      </c>
      <c r="D45" t="inlineStr">
        <is>
          <t>TÔN_CUỘN_MẠ_KẼM</t>
        </is>
      </c>
      <c r="E45" t="inlineStr">
        <is>
          <t>MAT-STEEL-PN-0.75</t>
        </is>
      </c>
      <c r="F45" t="inlineStr">
        <is>
          <t>kg</t>
        </is>
      </c>
      <c r="G45" s="406" t="n">
        <v>6.676425</v>
      </c>
      <c r="H45" s="402">
        <f>IFERROR(INDEX('00_TONG_HOP_BAO_GIA'!$G$1:$G$5000, MATCH(B45, '00_TONG_HOP_BAO_GIA'!$B$1:$B$5000, 0)), 1)</f>
        <v/>
      </c>
      <c r="I45" s="407">
        <f>G45*H45</f>
        <v/>
      </c>
      <c r="J45" s="402">
        <f>IFERROR(INDEX('06_BANG_GIA_VAT_TU_AP_DUNG'!$E$1:$E$5000, MATCH(E45, '06_BANG_GIA_VAT_TU_AP_DUNG'!$B$1:$B$5000, 0)), 0)</f>
        <v/>
      </c>
      <c r="K45" s="402">
        <f>I45*J45</f>
        <v/>
      </c>
      <c r="L45" t="inlineStr">
        <is>
          <t>Định mức tôn cho 1m² ống: phôi x1.08, hao hụt x1.05</t>
        </is>
      </c>
    </row>
    <row r="46">
      <c r="A46" t="inlineStr">
        <is>
          <t>SW-TRD-163-TM</t>
        </is>
      </c>
      <c r="B46" t="inlineStr">
        <is>
          <t>SW-TRD-163</t>
        </is>
      </c>
      <c r="C46" t="inlineStr">
        <is>
          <t>Hệ thống ống thông cấp gió tươi, gió bù, box miệng gió Lớp chống cháy EI30</t>
        </is>
      </c>
      <c r="D46" t="inlineStr">
        <is>
          <t>THUONG_MAI</t>
        </is>
      </c>
      <c r="E46" t="inlineStr">
        <is>
          <t>MAT-THUONG_MAI-LOP_CHONG_CHAY_EI30</t>
        </is>
      </c>
      <c r="F46" t="inlineStr">
        <is>
          <t>m2</t>
        </is>
      </c>
      <c r="G46" s="406" t="n">
        <v>1</v>
      </c>
      <c r="H46" s="402">
        <f>IFERROR(INDEX('00_TONG_HOP_BAO_GIA'!$G$1:$G$5000, MATCH(B46, '00_TONG_HOP_BAO_GIA'!$B$1:$B$5000, 0)), 1)</f>
        <v/>
      </c>
      <c r="I46" s="407">
        <f>G46*H46</f>
        <v/>
      </c>
      <c r="J46" s="402">
        <f>IFERROR(INDEX('06_BANG_GIA_VAT_TU_AP_DUNG'!$E$1:$E$5000, MATCH(E46, '06_BANG_GIA_VAT_TU_AP_DUNG'!$B$1:$B$5000, 0)), 0)</f>
        <v/>
      </c>
      <c r="K46" s="402">
        <f>I46*J46</f>
        <v/>
      </c>
      <c r="L46" t="inlineStr">
        <is>
          <t>Hàng mua nguyên chiếc</t>
        </is>
      </c>
    </row>
    <row r="47">
      <c r="A47" t="inlineStr">
        <is>
          <t>SW-TRD-164-TM</t>
        </is>
      </c>
      <c r="B47" t="inlineStr">
        <is>
          <t>SW-TRD-164</t>
        </is>
      </c>
      <c r="C47" t="inlineStr">
        <is>
          <t>Hệ thống ống thông cấp gió tươi, gió bù, box miệng gió Lớp chống cháy EI60</t>
        </is>
      </c>
      <c r="D47" t="inlineStr">
        <is>
          <t>THUONG_MAI</t>
        </is>
      </c>
      <c r="E47" t="inlineStr">
        <is>
          <t>MAT-THUONG_MAI-LOP_CHONG_CHAY_EI60</t>
        </is>
      </c>
      <c r="F47" t="inlineStr">
        <is>
          <t>m2</t>
        </is>
      </c>
      <c r="G47" s="406" t="n">
        <v>1</v>
      </c>
      <c r="H47" s="402">
        <f>IFERROR(INDEX('00_TONG_HOP_BAO_GIA'!$G$1:$G$5000, MATCH(B47, '00_TONG_HOP_BAO_GIA'!$B$1:$B$5000, 0)), 1)</f>
        <v/>
      </c>
      <c r="I47" s="407">
        <f>G47*H47</f>
        <v/>
      </c>
      <c r="J47" s="402">
        <f>IFERROR(INDEX('06_BANG_GIA_VAT_TU_AP_DUNG'!$E$1:$E$5000, MATCH(E47, '06_BANG_GIA_VAT_TU_AP_DUNG'!$B$1:$B$5000, 0)), 0)</f>
        <v/>
      </c>
      <c r="K47" s="402">
        <f>I47*J47</f>
        <v/>
      </c>
      <c r="L47" t="inlineStr">
        <is>
          <t>Hàng mua nguyên chiếc</t>
        </is>
      </c>
    </row>
    <row r="48">
      <c r="A48" t="inlineStr">
        <is>
          <t>SW-TRD-165-TM</t>
        </is>
      </c>
      <c r="B48" t="inlineStr">
        <is>
          <t>SW-TRD-165</t>
        </is>
      </c>
      <c r="C48" t="inlineStr">
        <is>
          <t>Hệ thống ống thông cấp gió tươi, gió bù, box miệng gió Lớp chống cháy EI120</t>
        </is>
      </c>
      <c r="D48" t="inlineStr">
        <is>
          <t>THUONG_MAI</t>
        </is>
      </c>
      <c r="E48" t="inlineStr">
        <is>
          <t>MAT-THUONG_MAI-LOP_CHONG_CHAY_EI120</t>
        </is>
      </c>
      <c r="F48" t="inlineStr">
        <is>
          <t>m2</t>
        </is>
      </c>
      <c r="G48" s="406" t="n">
        <v>1</v>
      </c>
      <c r="H48" s="402">
        <f>IFERROR(INDEX('00_TONG_HOP_BAO_GIA'!$G$1:$G$5000, MATCH(B48, '00_TONG_HOP_BAO_GIA'!$B$1:$B$5000, 0)), 1)</f>
        <v/>
      </c>
      <c r="I48" s="407">
        <f>G48*H48</f>
        <v/>
      </c>
      <c r="J48" s="402">
        <f>IFERROR(INDEX('06_BANG_GIA_VAT_TU_AP_DUNG'!$E$1:$E$5000, MATCH(E48, '06_BANG_GIA_VAT_TU_AP_DUNG'!$B$1:$B$5000, 0)), 0)</f>
        <v/>
      </c>
      <c r="K48" s="402">
        <f>I48*J48</f>
        <v/>
      </c>
      <c r="L48" t="inlineStr">
        <is>
          <t>Hàng mua nguyên chiếc</t>
        </is>
      </c>
    </row>
    <row r="49">
      <c r="A49" t="inlineStr">
        <is>
          <t>SW-TRD-166-TM</t>
        </is>
      </c>
      <c r="B49" t="inlineStr">
        <is>
          <t>SW-TRD-166</t>
        </is>
      </c>
      <c r="C49" t="inlineStr">
        <is>
          <t>Hệ thống ống thông cấp gió tươi, gió bù, box miệng gió Vật tư phụ, phụ kiện</t>
        </is>
      </c>
      <c r="D49" t="inlineStr">
        <is>
          <t>THUONG_MAI</t>
        </is>
      </c>
      <c r="E49" t="inlineStr">
        <is>
          <t>MAT-THUONG_MAI-VAT_TU_PHU_PHU_KIEN</t>
        </is>
      </c>
      <c r="F49" t="inlineStr">
        <is>
          <t>Lô</t>
        </is>
      </c>
      <c r="G49" s="406" t="n">
        <v>1</v>
      </c>
      <c r="H49" s="402">
        <f>IFERROR(INDEX('00_TONG_HOP_BAO_GIA'!$G$1:$G$5000, MATCH(B49, '00_TONG_HOP_BAO_GIA'!$B$1:$B$5000, 0)), 1)</f>
        <v/>
      </c>
      <c r="I49" s="407">
        <f>G49*H49</f>
        <v/>
      </c>
      <c r="J49" s="402">
        <f>IFERROR(INDEX('06_BANG_GIA_VAT_TU_AP_DUNG'!$E$1:$E$5000, MATCH(E49, '06_BANG_GIA_VAT_TU_AP_DUNG'!$B$1:$B$5000, 0)), 0)</f>
        <v/>
      </c>
      <c r="K49" s="402">
        <f>I49*J49</f>
        <v/>
      </c>
      <c r="L49" t="inlineStr">
        <is>
          <t>Hàng mua nguyên chiếc</t>
        </is>
      </c>
    </row>
    <row r="50">
      <c r="A50" t="inlineStr">
        <is>
          <t>SW-DUCT-213-BODY</t>
        </is>
      </c>
      <c r="B50" t="inlineStr">
        <is>
          <t>SW-DUCT-213</t>
        </is>
      </c>
      <c r="C50" t="inlineStr">
        <is>
          <t>Tôn mạ kẽm PN (0.58mm) - Định mức m²</t>
        </is>
      </c>
      <c r="D50" t="inlineStr">
        <is>
          <t>TÔN_CUỘN_MẠ_KẼM</t>
        </is>
      </c>
      <c r="E50" t="inlineStr">
        <is>
          <t>MAT-STEEL-PN-0.58</t>
        </is>
      </c>
      <c r="F50" t="inlineStr">
        <is>
          <t>kg</t>
        </is>
      </c>
      <c r="G50" s="406" t="n">
        <v>5.163101999999999</v>
      </c>
      <c r="H50" s="402">
        <f>IFERROR(INDEX('00_TONG_HOP_BAO_GIA'!$G$1:$G$5000, MATCH(B50, '00_TONG_HOP_BAO_GIA'!$B$1:$B$5000, 0)), 1)</f>
        <v/>
      </c>
      <c r="I50" s="407">
        <f>G50*H50</f>
        <v/>
      </c>
      <c r="J50" s="402">
        <f>IFERROR(INDEX('06_BANG_GIA_VAT_TU_AP_DUNG'!$E$1:$E$5000, MATCH(E50, '06_BANG_GIA_VAT_TU_AP_DUNG'!$B$1:$B$5000, 0)), 0)</f>
        <v/>
      </c>
      <c r="K50" s="402">
        <f>I50*J50</f>
        <v/>
      </c>
      <c r="L50" t="inlineStr">
        <is>
          <t>Định mức tôn cho 1m² ống: phôi x1.08, hao hụt x1.05</t>
        </is>
      </c>
    </row>
    <row r="51">
      <c r="A51" t="inlineStr">
        <is>
          <t>SW-DUCT-214-BODY</t>
        </is>
      </c>
      <c r="B51" t="inlineStr">
        <is>
          <t>SW-DUCT-214</t>
        </is>
      </c>
      <c r="C51" t="inlineStr">
        <is>
          <t>Tôn mạ kẽm PN (0.75mm) - Định mức m²</t>
        </is>
      </c>
      <c r="D51" t="inlineStr">
        <is>
          <t>TÔN_CUỘN_MẠ_KẼM</t>
        </is>
      </c>
      <c r="E51" t="inlineStr">
        <is>
          <t>MAT-STEEL-PN-0.75</t>
        </is>
      </c>
      <c r="F51" t="inlineStr">
        <is>
          <t>kg</t>
        </is>
      </c>
      <c r="G51" s="406" t="n">
        <v>6.676425</v>
      </c>
      <c r="H51" s="402">
        <f>IFERROR(INDEX('00_TONG_HOP_BAO_GIA'!$G$1:$G$5000, MATCH(B51, '00_TONG_HOP_BAO_GIA'!$B$1:$B$5000, 0)), 1)</f>
        <v/>
      </c>
      <c r="I51" s="407">
        <f>G51*H51</f>
        <v/>
      </c>
      <c r="J51" s="402">
        <f>IFERROR(INDEX('06_BANG_GIA_VAT_TU_AP_DUNG'!$E$1:$E$5000, MATCH(E51, '06_BANG_GIA_VAT_TU_AP_DUNG'!$B$1:$B$5000, 0)), 0)</f>
        <v/>
      </c>
      <c r="K51" s="402">
        <f>I51*J51</f>
        <v/>
      </c>
      <c r="L51" t="inlineStr">
        <is>
          <t>Định mức tôn cho 1m² ống: phôi x1.08, hao hụt x1.05</t>
        </is>
      </c>
    </row>
    <row r="52">
      <c r="A52" t="inlineStr">
        <is>
          <t>SW-DUCT-215-BODY</t>
        </is>
      </c>
      <c r="B52" t="inlineStr">
        <is>
          <t>SW-DUCT-215</t>
        </is>
      </c>
      <c r="C52" t="inlineStr">
        <is>
          <t>Tôn mạ kẽm PN (0.58mm) - Định mức m²</t>
        </is>
      </c>
      <c r="D52" t="inlineStr">
        <is>
          <t>TÔN_CUỘN_MẠ_KẼM</t>
        </is>
      </c>
      <c r="E52" t="inlineStr">
        <is>
          <t>MAT-STEEL-PN-0.58</t>
        </is>
      </c>
      <c r="F52" t="inlineStr">
        <is>
          <t>kg</t>
        </is>
      </c>
      <c r="G52" s="406" t="n">
        <v>5.163101999999999</v>
      </c>
      <c r="H52" s="402">
        <f>IFERROR(INDEX('00_TONG_HOP_BAO_GIA'!$G$1:$G$5000, MATCH(B52, '00_TONG_HOP_BAO_GIA'!$B$1:$B$5000, 0)), 1)</f>
        <v/>
      </c>
      <c r="I52" s="407">
        <f>G52*H52</f>
        <v/>
      </c>
      <c r="J52" s="402">
        <f>IFERROR(INDEX('06_BANG_GIA_VAT_TU_AP_DUNG'!$E$1:$E$5000, MATCH(E52, '06_BANG_GIA_VAT_TU_AP_DUNG'!$B$1:$B$5000, 0)), 0)</f>
        <v/>
      </c>
      <c r="K52" s="402">
        <f>I52*J52</f>
        <v/>
      </c>
      <c r="L52" t="inlineStr">
        <is>
          <t>Định mức tôn cho 1m² ống: phôi x1.08, hao hụt x1.05</t>
        </is>
      </c>
    </row>
    <row r="53">
      <c r="A53" t="inlineStr">
        <is>
          <t>SW-FLEX-216-TM</t>
        </is>
      </c>
      <c r="B53" t="inlineStr">
        <is>
          <t>SW-FLEX-216</t>
        </is>
      </c>
      <c r="C53" t="inlineStr">
        <is>
          <t>Hệ thống ống thông gió hút gió thải Ống gió mềm D100 không cách nhiệt</t>
        </is>
      </c>
      <c r="D53" t="inlineStr">
        <is>
          <t>ONG_MEM</t>
        </is>
      </c>
      <c r="E53" t="inlineStr">
        <is>
          <t>FLEX_DUCT_D100_NON_INSUL</t>
        </is>
      </c>
      <c r="F53" t="inlineStr">
        <is>
          <t>ống</t>
        </is>
      </c>
      <c r="G53" s="406" t="n">
        <v>0.125</v>
      </c>
      <c r="H53" s="402">
        <f>IFERROR(INDEX('00_TONG_HOP_BAO_GIA'!$G$1:$G$5000, MATCH(B53, '00_TONG_HOP_BAO_GIA'!$B$1:$B$5000, 0)), 1)</f>
        <v/>
      </c>
      <c r="I53" s="407">
        <f>G53*H53</f>
        <v/>
      </c>
      <c r="J53" s="402">
        <f>IFERROR(INDEX('06_BANG_GIA_VAT_TU_AP_DUNG'!$E$1:$E$5000, MATCH(E53, '06_BANG_GIA_VAT_TU_AP_DUNG'!$B$1:$B$5000, 0)), 0)</f>
        <v/>
      </c>
      <c r="K53" s="402">
        <f>I53*J53</f>
        <v/>
      </c>
      <c r="L53" t="inlineStr">
        <is>
          <t>Ống mềm quy đổi chuẩn 8m/ống</t>
        </is>
      </c>
    </row>
    <row r="54">
      <c r="A54" t="inlineStr">
        <is>
          <t>SW-FLEX-217-TM</t>
        </is>
      </c>
      <c r="B54" t="inlineStr">
        <is>
          <t>SW-FLEX-217</t>
        </is>
      </c>
      <c r="C54" t="inlineStr">
        <is>
          <t>Hệ thống ống thông gió hút gió thải Ống gió mềm D150 không cách nhiệt</t>
        </is>
      </c>
      <c r="D54" t="inlineStr">
        <is>
          <t>ONG_MEM</t>
        </is>
      </c>
      <c r="E54" t="inlineStr">
        <is>
          <t>FLEX_DUCT_D150_NON_INSUL</t>
        </is>
      </c>
      <c r="F54" t="inlineStr">
        <is>
          <t>ống</t>
        </is>
      </c>
      <c r="G54" s="406" t="n">
        <v>0.125</v>
      </c>
      <c r="H54" s="402">
        <f>IFERROR(INDEX('00_TONG_HOP_BAO_GIA'!$G$1:$G$5000, MATCH(B54, '00_TONG_HOP_BAO_GIA'!$B$1:$B$5000, 0)), 1)</f>
        <v/>
      </c>
      <c r="I54" s="407">
        <f>G54*H54</f>
        <v/>
      </c>
      <c r="J54" s="402">
        <f>IFERROR(INDEX('06_BANG_GIA_VAT_TU_AP_DUNG'!$E$1:$E$5000, MATCH(E54, '06_BANG_GIA_VAT_TU_AP_DUNG'!$B$1:$B$5000, 0)), 0)</f>
        <v/>
      </c>
      <c r="K54" s="402">
        <f>I54*J54</f>
        <v/>
      </c>
      <c r="L54" t="inlineStr">
        <is>
          <t>Ống mềm quy đổi chuẩn 8m/ống</t>
        </is>
      </c>
    </row>
    <row r="55">
      <c r="A55" t="inlineStr">
        <is>
          <t>SW-TRD-218-TM</t>
        </is>
      </c>
      <c r="B55" t="inlineStr">
        <is>
          <t>SW-TRD-218</t>
        </is>
      </c>
      <c r="C55" t="inlineStr">
        <is>
          <t>Hệ thống ống thông gió hút gió thải Vật tư phụ, phụ kiện</t>
        </is>
      </c>
      <c r="D55" t="inlineStr">
        <is>
          <t>THUONG_MAI</t>
        </is>
      </c>
      <c r="E55" t="inlineStr">
        <is>
          <t>MAT-THUONG_MAI-VAT_TU_PHU_PHU_KIEN</t>
        </is>
      </c>
      <c r="F55" t="inlineStr">
        <is>
          <t>Lô</t>
        </is>
      </c>
      <c r="G55" s="406" t="n">
        <v>1</v>
      </c>
      <c r="H55" s="402">
        <f>IFERROR(INDEX('00_TONG_HOP_BAO_GIA'!$G$1:$G$5000, MATCH(B55, '00_TONG_HOP_BAO_GIA'!$B$1:$B$5000, 0)), 1)</f>
        <v/>
      </c>
      <c r="I55" s="407">
        <f>G55*H55</f>
        <v/>
      </c>
      <c r="J55" s="402">
        <f>IFERROR(INDEX('06_BANG_GIA_VAT_TU_AP_DUNG'!$E$1:$E$5000, MATCH(E55, '06_BANG_GIA_VAT_TU_AP_DUNG'!$B$1:$B$5000, 0)), 0)</f>
        <v/>
      </c>
      <c r="K55" s="402">
        <f>I55*J55</f>
        <v/>
      </c>
      <c r="L55" t="inlineStr">
        <is>
          <t>Hàng mua nguyên chiếc</t>
        </is>
      </c>
    </row>
    <row r="56">
      <c r="A56" t="inlineStr">
        <is>
          <t>SW-DUCT-219-BODY</t>
        </is>
      </c>
      <c r="B56" t="inlineStr">
        <is>
          <t>SW-DUCT-219</t>
        </is>
      </c>
      <c r="C56" t="inlineStr">
        <is>
          <t>Tôn mạ kẽm PN (0.58mm) - Định mức m²</t>
        </is>
      </c>
      <c r="D56" t="inlineStr">
        <is>
          <t>TÔN_CUỘN_MẠ_KẼM</t>
        </is>
      </c>
      <c r="E56" t="inlineStr">
        <is>
          <t>MAT-STEEL-PN-0.58</t>
        </is>
      </c>
      <c r="F56" t="inlineStr">
        <is>
          <t>kg</t>
        </is>
      </c>
      <c r="G56" s="406" t="n">
        <v>5.163101999999999</v>
      </c>
      <c r="H56" s="402">
        <f>IFERROR(INDEX('00_TONG_HOP_BAO_GIA'!$G$1:$G$5000, MATCH(B56, '00_TONG_HOP_BAO_GIA'!$B$1:$B$5000, 0)), 1)</f>
        <v/>
      </c>
      <c r="I56" s="407">
        <f>G56*H56</f>
        <v/>
      </c>
      <c r="J56" s="402">
        <f>IFERROR(INDEX('06_BANG_GIA_VAT_TU_AP_DUNG'!$E$1:$E$5000, MATCH(E56, '06_BANG_GIA_VAT_TU_AP_DUNG'!$B$1:$B$5000, 0)), 0)</f>
        <v/>
      </c>
      <c r="K56" s="402">
        <f>I56*J56</f>
        <v/>
      </c>
      <c r="L56" t="inlineStr">
        <is>
          <t>Định mức tôn cho 1m² ống: phôi x1.08, hao hụt x1.05</t>
        </is>
      </c>
    </row>
    <row r="57">
      <c r="A57" t="inlineStr">
        <is>
          <t>SW-DUCT-220-BODY</t>
        </is>
      </c>
      <c r="B57" t="inlineStr">
        <is>
          <t>SW-DUCT-220</t>
        </is>
      </c>
      <c r="C57" t="inlineStr">
        <is>
          <t>Tôn mạ kẽm PN (0.75mm) - Định mức m²</t>
        </is>
      </c>
      <c r="D57" t="inlineStr">
        <is>
          <t>TÔN_CUỘN_MẠ_KẼM</t>
        </is>
      </c>
      <c r="E57" t="inlineStr">
        <is>
          <t>MAT-STEEL-PN-0.75</t>
        </is>
      </c>
      <c r="F57" t="inlineStr">
        <is>
          <t>kg</t>
        </is>
      </c>
      <c r="G57" s="406" t="n">
        <v>6.676425</v>
      </c>
      <c r="H57" s="402">
        <f>IFERROR(INDEX('00_TONG_HOP_BAO_GIA'!$G$1:$G$5000, MATCH(B57, '00_TONG_HOP_BAO_GIA'!$B$1:$B$5000, 0)), 1)</f>
        <v/>
      </c>
      <c r="I57" s="407">
        <f>G57*H57</f>
        <v/>
      </c>
      <c r="J57" s="402">
        <f>IFERROR(INDEX('06_BANG_GIA_VAT_TU_AP_DUNG'!$E$1:$E$5000, MATCH(E57, '06_BANG_GIA_VAT_TU_AP_DUNG'!$B$1:$B$5000, 0)), 0)</f>
        <v/>
      </c>
      <c r="K57" s="402">
        <f>I57*J57</f>
        <v/>
      </c>
      <c r="L57" t="inlineStr">
        <is>
          <t>Định mức tôn cho 1m² ống: phôi x1.08, hao hụt x1.05</t>
        </is>
      </c>
    </row>
    <row r="58">
      <c r="A58" t="inlineStr">
        <is>
          <t>SW-DUCT-221-BODY</t>
        </is>
      </c>
      <c r="B58" t="inlineStr">
        <is>
          <t>SW-DUCT-221</t>
        </is>
      </c>
      <c r="C58" t="inlineStr">
        <is>
          <t>Tôn mạ kẽm PN (0.95mm) - Định mức m²</t>
        </is>
      </c>
      <c r="D58" t="inlineStr">
        <is>
          <t>TÔN_CUỘN_MẠ_KẼM</t>
        </is>
      </c>
      <c r="E58" t="inlineStr">
        <is>
          <t>MAT-STEEL-PN-0.95</t>
        </is>
      </c>
      <c r="F58" t="inlineStr">
        <is>
          <t>kg</t>
        </is>
      </c>
      <c r="G58" s="406" t="n">
        <v>8.456805000000001</v>
      </c>
      <c r="H58" s="402">
        <f>IFERROR(INDEX('00_TONG_HOP_BAO_GIA'!$G$1:$G$5000, MATCH(B58, '00_TONG_HOP_BAO_GIA'!$B$1:$B$5000, 0)), 1)</f>
        <v/>
      </c>
      <c r="I58" s="407">
        <f>G58*H58</f>
        <v/>
      </c>
      <c r="J58" s="402">
        <f>IFERROR(INDEX('06_BANG_GIA_VAT_TU_AP_DUNG'!$E$1:$E$5000, MATCH(E58, '06_BANG_GIA_VAT_TU_AP_DUNG'!$B$1:$B$5000, 0)), 0)</f>
        <v/>
      </c>
      <c r="K58" s="402">
        <f>I58*J58</f>
        <v/>
      </c>
      <c r="L58" t="inlineStr">
        <is>
          <t>Định mức tôn cho 1m² ống: phôi x1.08, hao hụt x1.05</t>
        </is>
      </c>
    </row>
    <row r="59">
      <c r="A59" t="inlineStr">
        <is>
          <t>SW-DUCT-222-BODY</t>
        </is>
      </c>
      <c r="B59" t="inlineStr">
        <is>
          <t>SW-DUCT-222</t>
        </is>
      </c>
      <c r="C59" t="inlineStr">
        <is>
          <t>Tôn mạ kẽm PN (0.75mm) - Định mức m²</t>
        </is>
      </c>
      <c r="D59" t="inlineStr">
        <is>
          <t>TÔN_CUỘN_MẠ_KẼM</t>
        </is>
      </c>
      <c r="E59" t="inlineStr">
        <is>
          <t>MAT-STEEL-PN-0.75</t>
        </is>
      </c>
      <c r="F59" t="inlineStr">
        <is>
          <t>kg</t>
        </is>
      </c>
      <c r="G59" s="406" t="n">
        <v>6.676425</v>
      </c>
      <c r="H59" s="402">
        <f>IFERROR(INDEX('00_TONG_HOP_BAO_GIA'!$G$1:$G$5000, MATCH(B59, '00_TONG_HOP_BAO_GIA'!$B$1:$B$5000, 0)), 1)</f>
        <v/>
      </c>
      <c r="I59" s="407">
        <f>G59*H59</f>
        <v/>
      </c>
      <c r="J59" s="402">
        <f>IFERROR(INDEX('06_BANG_GIA_VAT_TU_AP_DUNG'!$E$1:$E$5000, MATCH(E59, '06_BANG_GIA_VAT_TU_AP_DUNG'!$B$1:$B$5000, 0)), 0)</f>
        <v/>
      </c>
      <c r="K59" s="402">
        <f>I59*J59</f>
        <v/>
      </c>
      <c r="L59" t="inlineStr">
        <is>
          <t>Định mức tôn cho 1m² ống: phôi x1.08, hao hụt x1.05</t>
        </is>
      </c>
    </row>
    <row r="60">
      <c r="A60" t="inlineStr">
        <is>
          <t>SW-TRD-223-TM</t>
        </is>
      </c>
      <c r="B60" t="inlineStr">
        <is>
          <t>SW-TRD-223</t>
        </is>
      </c>
      <c r="C60" t="inlineStr">
        <is>
          <t>Hệ thống ống thông gió hút bếp Vật tư phụ, phụ kiện</t>
        </is>
      </c>
      <c r="D60" t="inlineStr">
        <is>
          <t>THUONG_MAI</t>
        </is>
      </c>
      <c r="E60" t="inlineStr">
        <is>
          <t>MAT-THUONG_MAI-VAT_TU_PHU_PHU_KIEN</t>
        </is>
      </c>
      <c r="F60" t="inlineStr">
        <is>
          <t>Lô</t>
        </is>
      </c>
      <c r="G60" s="406" t="n">
        <v>1</v>
      </c>
      <c r="H60" s="402">
        <f>IFERROR(INDEX('00_TONG_HOP_BAO_GIA'!$G$1:$G$5000, MATCH(B60, '00_TONG_HOP_BAO_GIA'!$B$1:$B$5000, 0)), 1)</f>
        <v/>
      </c>
      <c r="I60" s="407">
        <f>G60*H60</f>
        <v/>
      </c>
      <c r="J60" s="402">
        <f>IFERROR(INDEX('06_BANG_GIA_VAT_TU_AP_DUNG'!$E$1:$E$5000, MATCH(E60, '06_BANG_GIA_VAT_TU_AP_DUNG'!$B$1:$B$5000, 0)), 0)</f>
        <v/>
      </c>
      <c r="K60" s="402">
        <f>I60*J60</f>
        <v/>
      </c>
      <c r="L60" t="inlineStr">
        <is>
          <t>Hàng mua nguyên chiếc</t>
        </is>
      </c>
    </row>
    <row r="61">
      <c r="A61" t="inlineStr">
        <is>
          <t>SW-ACST-224-BODY</t>
        </is>
      </c>
      <c r="B61" t="inlineStr">
        <is>
          <t>SW-ACST-224</t>
        </is>
      </c>
      <c r="C61" t="inlineStr">
        <is>
          <t>Vỏ tôn hộp tiêu âm PN (0.58mm)</t>
        </is>
      </c>
      <c r="D61" t="inlineStr">
        <is>
          <t>TÔN_CUỘN_MẠ_KẼM</t>
        </is>
      </c>
      <c r="E61" t="inlineStr">
        <is>
          <t>MAT-STEEL-PN-0.58</t>
        </is>
      </c>
      <c r="F61" t="inlineStr">
        <is>
          <t>kg</t>
        </is>
      </c>
      <c r="G61" s="406" t="n">
        <v>5.235949999999999</v>
      </c>
      <c r="H61" s="402">
        <f>IFERROR(INDEX('00_TONG_HOP_BAO_GIA'!$G$1:$G$5000, MATCH(B61, '00_TONG_HOP_BAO_GIA'!$B$1:$B$5000, 0)), 1)</f>
        <v/>
      </c>
      <c r="I61" s="407">
        <f>G61*H61</f>
        <v/>
      </c>
      <c r="J61" s="402">
        <f>IFERROR(INDEX('06_BANG_GIA_VAT_TU_AP_DUNG'!$E$1:$E$5000, MATCH(E61, '06_BANG_GIA_VAT_TU_AP_DUNG'!$B$1:$B$5000, 0)), 0)</f>
        <v/>
      </c>
      <c r="K61" s="402">
        <f>I61*J61</f>
        <v/>
      </c>
      <c r="L61" t="inlineStr">
        <is>
          <t>Vỏ tôn bao ngoài (1.00m2)</t>
        </is>
      </c>
    </row>
    <row r="62">
      <c r="A62" t="inlineStr">
        <is>
          <t>SW-ACST-224-ROCKWOOL</t>
        </is>
      </c>
      <c r="B62" t="inlineStr">
        <is>
          <t>SW-ACST-224</t>
        </is>
      </c>
      <c r="C62" t="inlineStr">
        <is>
          <t>Bông Rockwool tỷ trọng 50kg/m3 dày 50mm</t>
        </is>
      </c>
      <c r="D62" t="inlineStr">
        <is>
          <t>VẬT_LIỆU_TIÊU_ÂM</t>
        </is>
      </c>
      <c r="E62" t="inlineStr">
        <is>
          <t>ROCKWOOL_50MM_50KG</t>
        </is>
      </c>
      <c r="F62" t="inlineStr">
        <is>
          <t>m2</t>
        </is>
      </c>
      <c r="G62" s="406" t="n">
        <v>1.1</v>
      </c>
      <c r="H62" s="402">
        <f>IFERROR(INDEX('00_TONG_HOP_BAO_GIA'!$G$1:$G$5000, MATCH(B62, '00_TONG_HOP_BAO_GIA'!$B$1:$B$5000, 0)), 1)</f>
        <v/>
      </c>
      <c r="I62" s="407">
        <f>G62*H62</f>
        <v/>
      </c>
      <c r="J62" s="402">
        <f>IFERROR(INDEX('06_BANG_GIA_VAT_TU_AP_DUNG'!$E$1:$E$5000, MATCH(E62, '06_BANG_GIA_VAT_TU_AP_DUNG'!$B$1:$B$5000, 0)), 0)</f>
        <v/>
      </c>
      <c r="K62" s="402">
        <f>I62*J62</f>
        <v/>
      </c>
      <c r="L62" t="inlineStr">
        <is>
          <t>Diện tích tiêu âm 1.00m2</t>
        </is>
      </c>
    </row>
    <row r="63">
      <c r="A63" t="inlineStr">
        <is>
          <t>SW-ACST-224-GLASSCLOTH</t>
        </is>
      </c>
      <c r="B63" t="inlineStr">
        <is>
          <t>SW-ACST-224</t>
        </is>
      </c>
      <c r="C63" t="inlineStr">
        <is>
          <t>Vải thủy tinh bọc tiêu âm</t>
        </is>
      </c>
      <c r="D63" t="inlineStr">
        <is>
          <t>VẬT_LIỆU_TIÊU_ÂM</t>
        </is>
      </c>
      <c r="E63" t="inlineStr">
        <is>
          <t>GLASS_CLOTH</t>
        </is>
      </c>
      <c r="F63" t="inlineStr">
        <is>
          <t>m2</t>
        </is>
      </c>
      <c r="G63" s="406" t="n">
        <v>1.1</v>
      </c>
      <c r="H63" s="402">
        <f>IFERROR(INDEX('00_TONG_HOP_BAO_GIA'!$G$1:$G$5000, MATCH(B63, '00_TONG_HOP_BAO_GIA'!$B$1:$B$5000, 0)), 1)</f>
        <v/>
      </c>
      <c r="I63" s="407">
        <f>G63*H63</f>
        <v/>
      </c>
      <c r="J63" s="402">
        <f>IFERROR(INDEX('06_BANG_GIA_VAT_TU_AP_DUNG'!$E$1:$E$5000, MATCH(E63, '06_BANG_GIA_VAT_TU_AP_DUNG'!$B$1:$B$5000, 0)), 0)</f>
        <v/>
      </c>
      <c r="K63" s="402">
        <f>I63*J63</f>
        <v/>
      </c>
      <c r="L63" t="inlineStr">
        <is>
          <t>Diện tích tiêu âm 1.00m2</t>
        </is>
      </c>
    </row>
    <row r="64">
      <c r="A64" t="inlineStr">
        <is>
          <t>SW-ACST-224-PERFORATED</t>
        </is>
      </c>
      <c r="B64" t="inlineStr">
        <is>
          <t>SW-ACST-224</t>
        </is>
      </c>
      <c r="C64" t="inlineStr">
        <is>
          <t>Tôn đục lỗ tiêu âm</t>
        </is>
      </c>
      <c r="D64" t="inlineStr">
        <is>
          <t>VẬT_LIỆU_TIÊU_ÂM</t>
        </is>
      </c>
      <c r="E64" t="inlineStr">
        <is>
          <t>PERFORATED_SHEET</t>
        </is>
      </c>
      <c r="F64" t="inlineStr">
        <is>
          <t>m2</t>
        </is>
      </c>
      <c r="G64" s="406" t="n">
        <v>1.1</v>
      </c>
      <c r="H64" s="402">
        <f>IFERROR(INDEX('00_TONG_HOP_BAO_GIA'!$G$1:$G$5000, MATCH(B64, '00_TONG_HOP_BAO_GIA'!$B$1:$B$5000, 0)), 1)</f>
        <v/>
      </c>
      <c r="I64" s="407">
        <f>G64*H64</f>
        <v/>
      </c>
      <c r="J64" s="402">
        <f>IFERROR(INDEX('06_BANG_GIA_VAT_TU_AP_DUNG'!$E$1:$E$5000, MATCH(E64, '06_BANG_GIA_VAT_TU_AP_DUNG'!$B$1:$B$5000, 0)), 0)</f>
        <v/>
      </c>
      <c r="K64" s="402">
        <f>I64*J64</f>
        <v/>
      </c>
      <c r="L64" t="inlineStr">
        <is>
          <t>Bọc mặt trong</t>
        </is>
      </c>
    </row>
    <row r="65">
      <c r="A65" t="inlineStr">
        <is>
          <t>SW-ACST-225-BODY</t>
        </is>
      </c>
      <c r="B65" t="inlineStr">
        <is>
          <t>SW-ACST-225</t>
        </is>
      </c>
      <c r="C65" t="inlineStr">
        <is>
          <t>Vỏ tôn hộp tiêu âm PN (0.58mm)</t>
        </is>
      </c>
      <c r="D65" t="inlineStr">
        <is>
          <t>TÔN_CUỘN_MẠ_KẼM</t>
        </is>
      </c>
      <c r="E65" t="inlineStr">
        <is>
          <t>MAT-STEEL-PN-0.58</t>
        </is>
      </c>
      <c r="F65" t="inlineStr">
        <is>
          <t>kg</t>
        </is>
      </c>
      <c r="G65" s="406" t="n">
        <v>5.235949999999999</v>
      </c>
      <c r="H65" s="402">
        <f>IFERROR(INDEX('00_TONG_HOP_BAO_GIA'!$G$1:$G$5000, MATCH(B65, '00_TONG_HOP_BAO_GIA'!$B$1:$B$5000, 0)), 1)</f>
        <v/>
      </c>
      <c r="I65" s="407">
        <f>G65*H65</f>
        <v/>
      </c>
      <c r="J65" s="402">
        <f>IFERROR(INDEX('06_BANG_GIA_VAT_TU_AP_DUNG'!$E$1:$E$5000, MATCH(E65, '06_BANG_GIA_VAT_TU_AP_DUNG'!$B$1:$B$5000, 0)), 0)</f>
        <v/>
      </c>
      <c r="K65" s="402">
        <f>I65*J65</f>
        <v/>
      </c>
      <c r="L65" t="inlineStr">
        <is>
          <t>Vỏ tôn bao ngoài (1.00m2)</t>
        </is>
      </c>
    </row>
    <row r="66">
      <c r="A66" t="inlineStr">
        <is>
          <t>SW-ACST-225-ROCKWOOL</t>
        </is>
      </c>
      <c r="B66" t="inlineStr">
        <is>
          <t>SW-ACST-225</t>
        </is>
      </c>
      <c r="C66" t="inlineStr">
        <is>
          <t>Bông Rockwool tỷ trọng 50kg/m3 dày 50mm</t>
        </is>
      </c>
      <c r="D66" t="inlineStr">
        <is>
          <t>VẬT_LIỆU_TIÊU_ÂM</t>
        </is>
      </c>
      <c r="E66" t="inlineStr">
        <is>
          <t>ROCKWOOL_50MM_50KG</t>
        </is>
      </c>
      <c r="F66" t="inlineStr">
        <is>
          <t>m2</t>
        </is>
      </c>
      <c r="G66" s="406" t="n">
        <v>1.1</v>
      </c>
      <c r="H66" s="402">
        <f>IFERROR(INDEX('00_TONG_HOP_BAO_GIA'!$G$1:$G$5000, MATCH(B66, '00_TONG_HOP_BAO_GIA'!$B$1:$B$5000, 0)), 1)</f>
        <v/>
      </c>
      <c r="I66" s="407">
        <f>G66*H66</f>
        <v/>
      </c>
      <c r="J66" s="402">
        <f>IFERROR(INDEX('06_BANG_GIA_VAT_TU_AP_DUNG'!$E$1:$E$5000, MATCH(E66, '06_BANG_GIA_VAT_TU_AP_DUNG'!$B$1:$B$5000, 0)), 0)</f>
        <v/>
      </c>
      <c r="K66" s="402">
        <f>I66*J66</f>
        <v/>
      </c>
      <c r="L66" t="inlineStr">
        <is>
          <t>Diện tích tiêu âm 1.00m2</t>
        </is>
      </c>
    </row>
    <row r="67">
      <c r="A67" t="inlineStr">
        <is>
          <t>SW-ACST-225-GLASSCLOTH</t>
        </is>
      </c>
      <c r="B67" t="inlineStr">
        <is>
          <t>SW-ACST-225</t>
        </is>
      </c>
      <c r="C67" t="inlineStr">
        <is>
          <t>Vải thủy tinh bọc tiêu âm</t>
        </is>
      </c>
      <c r="D67" t="inlineStr">
        <is>
          <t>VẬT_LIỆU_TIÊU_ÂM</t>
        </is>
      </c>
      <c r="E67" t="inlineStr">
        <is>
          <t>GLASS_CLOTH</t>
        </is>
      </c>
      <c r="F67" t="inlineStr">
        <is>
          <t>m2</t>
        </is>
      </c>
      <c r="G67" s="406" t="n">
        <v>1.1</v>
      </c>
      <c r="H67" s="402">
        <f>IFERROR(INDEX('00_TONG_HOP_BAO_GIA'!$G$1:$G$5000, MATCH(B67, '00_TONG_HOP_BAO_GIA'!$B$1:$B$5000, 0)), 1)</f>
        <v/>
      </c>
      <c r="I67" s="407">
        <f>G67*H67</f>
        <v/>
      </c>
      <c r="J67" s="402">
        <f>IFERROR(INDEX('06_BANG_GIA_VAT_TU_AP_DUNG'!$E$1:$E$5000, MATCH(E67, '06_BANG_GIA_VAT_TU_AP_DUNG'!$B$1:$B$5000, 0)), 0)</f>
        <v/>
      </c>
      <c r="K67" s="402">
        <f>I67*J67</f>
        <v/>
      </c>
      <c r="L67" t="inlineStr">
        <is>
          <t>Diện tích tiêu âm 1.00m2</t>
        </is>
      </c>
    </row>
    <row r="68">
      <c r="A68" t="inlineStr">
        <is>
          <t>SW-ACST-225-PERFORATED</t>
        </is>
      </c>
      <c r="B68" t="inlineStr">
        <is>
          <t>SW-ACST-225</t>
        </is>
      </c>
      <c r="C68" t="inlineStr">
        <is>
          <t>Tôn đục lỗ tiêu âm</t>
        </is>
      </c>
      <c r="D68" t="inlineStr">
        <is>
          <t>VẬT_LIỆU_TIÊU_ÂM</t>
        </is>
      </c>
      <c r="E68" t="inlineStr">
        <is>
          <t>PERFORATED_SHEET</t>
        </is>
      </c>
      <c r="F68" t="inlineStr">
        <is>
          <t>m2</t>
        </is>
      </c>
      <c r="G68" s="406" t="n">
        <v>1.1</v>
      </c>
      <c r="H68" s="402">
        <f>IFERROR(INDEX('00_TONG_HOP_BAO_GIA'!$G$1:$G$5000, MATCH(B68, '00_TONG_HOP_BAO_GIA'!$B$1:$B$5000, 0)), 1)</f>
        <v/>
      </c>
      <c r="I68" s="407">
        <f>G68*H68</f>
        <v/>
      </c>
      <c r="J68" s="402">
        <f>IFERROR(INDEX('06_BANG_GIA_VAT_TU_AP_DUNG'!$E$1:$E$5000, MATCH(E68, '06_BANG_GIA_VAT_TU_AP_DUNG'!$B$1:$B$5000, 0)), 0)</f>
        <v/>
      </c>
      <c r="K68" s="402">
        <f>I68*J68</f>
        <v/>
      </c>
      <c r="L68" t="inlineStr">
        <is>
          <t>Bọc mặt trong</t>
        </is>
      </c>
    </row>
    <row r="69">
      <c r="A69" t="inlineStr">
        <is>
          <t>SW-ACST-226-BODY</t>
        </is>
      </c>
      <c r="B69" t="inlineStr">
        <is>
          <t>SW-ACST-226</t>
        </is>
      </c>
      <c r="C69" t="inlineStr">
        <is>
          <t>Vỏ tôn hộp tiêu âm PN (0.58mm)</t>
        </is>
      </c>
      <c r="D69" t="inlineStr">
        <is>
          <t>TÔN_CUỘN_MẠ_KẼM</t>
        </is>
      </c>
      <c r="E69" t="inlineStr">
        <is>
          <t>MAT-STEEL-PN-0.58</t>
        </is>
      </c>
      <c r="F69" t="inlineStr">
        <is>
          <t>kg</t>
        </is>
      </c>
      <c r="G69" s="406" t="n">
        <v>5.235949999999999</v>
      </c>
      <c r="H69" s="402">
        <f>IFERROR(INDEX('00_TONG_HOP_BAO_GIA'!$G$1:$G$5000, MATCH(B69, '00_TONG_HOP_BAO_GIA'!$B$1:$B$5000, 0)), 1)</f>
        <v/>
      </c>
      <c r="I69" s="407">
        <f>G69*H69</f>
        <v/>
      </c>
      <c r="J69" s="402">
        <f>IFERROR(INDEX('06_BANG_GIA_VAT_TU_AP_DUNG'!$E$1:$E$5000, MATCH(E69, '06_BANG_GIA_VAT_TU_AP_DUNG'!$B$1:$B$5000, 0)), 0)</f>
        <v/>
      </c>
      <c r="K69" s="402">
        <f>I69*J69</f>
        <v/>
      </c>
      <c r="L69" t="inlineStr">
        <is>
          <t>Vỏ tôn bao ngoài (1.00m2)</t>
        </is>
      </c>
    </row>
    <row r="70">
      <c r="A70" t="inlineStr">
        <is>
          <t>SW-ACST-226-ROCKWOOL</t>
        </is>
      </c>
      <c r="B70" t="inlineStr">
        <is>
          <t>SW-ACST-226</t>
        </is>
      </c>
      <c r="C70" t="inlineStr">
        <is>
          <t>Bông Rockwool tỷ trọng 50kg/m3 dày 50mm</t>
        </is>
      </c>
      <c r="D70" t="inlineStr">
        <is>
          <t>VẬT_LIỆU_TIÊU_ÂM</t>
        </is>
      </c>
      <c r="E70" t="inlineStr">
        <is>
          <t>ROCKWOOL_50MM_50KG</t>
        </is>
      </c>
      <c r="F70" t="inlineStr">
        <is>
          <t>m2</t>
        </is>
      </c>
      <c r="G70" s="406" t="n">
        <v>1.1</v>
      </c>
      <c r="H70" s="402">
        <f>IFERROR(INDEX('00_TONG_HOP_BAO_GIA'!$G$1:$G$5000, MATCH(B70, '00_TONG_HOP_BAO_GIA'!$B$1:$B$5000, 0)), 1)</f>
        <v/>
      </c>
      <c r="I70" s="407">
        <f>G70*H70</f>
        <v/>
      </c>
      <c r="J70" s="402">
        <f>IFERROR(INDEX('06_BANG_GIA_VAT_TU_AP_DUNG'!$E$1:$E$5000, MATCH(E70, '06_BANG_GIA_VAT_TU_AP_DUNG'!$B$1:$B$5000, 0)), 0)</f>
        <v/>
      </c>
      <c r="K70" s="402">
        <f>I70*J70</f>
        <v/>
      </c>
      <c r="L70" t="inlineStr">
        <is>
          <t>Diện tích tiêu âm 1.00m2</t>
        </is>
      </c>
    </row>
    <row r="71">
      <c r="A71" t="inlineStr">
        <is>
          <t>SW-ACST-226-GLASSCLOTH</t>
        </is>
      </c>
      <c r="B71" t="inlineStr">
        <is>
          <t>SW-ACST-226</t>
        </is>
      </c>
      <c r="C71" t="inlineStr">
        <is>
          <t>Vải thủy tinh bọc tiêu âm</t>
        </is>
      </c>
      <c r="D71" t="inlineStr">
        <is>
          <t>VẬT_LIỆU_TIÊU_ÂM</t>
        </is>
      </c>
      <c r="E71" t="inlineStr">
        <is>
          <t>GLASS_CLOTH</t>
        </is>
      </c>
      <c r="F71" t="inlineStr">
        <is>
          <t>m2</t>
        </is>
      </c>
      <c r="G71" s="406" t="n">
        <v>1.1</v>
      </c>
      <c r="H71" s="402">
        <f>IFERROR(INDEX('00_TONG_HOP_BAO_GIA'!$G$1:$G$5000, MATCH(B71, '00_TONG_HOP_BAO_GIA'!$B$1:$B$5000, 0)), 1)</f>
        <v/>
      </c>
      <c r="I71" s="407">
        <f>G71*H71</f>
        <v/>
      </c>
      <c r="J71" s="402">
        <f>IFERROR(INDEX('06_BANG_GIA_VAT_TU_AP_DUNG'!$E$1:$E$5000, MATCH(E71, '06_BANG_GIA_VAT_TU_AP_DUNG'!$B$1:$B$5000, 0)), 0)</f>
        <v/>
      </c>
      <c r="K71" s="402">
        <f>I71*J71</f>
        <v/>
      </c>
      <c r="L71" t="inlineStr">
        <is>
          <t>Diện tích tiêu âm 1.00m2</t>
        </is>
      </c>
    </row>
    <row r="72">
      <c r="A72" t="inlineStr">
        <is>
          <t>SW-ACST-226-PERFORATED</t>
        </is>
      </c>
      <c r="B72" t="inlineStr">
        <is>
          <t>SW-ACST-226</t>
        </is>
      </c>
      <c r="C72" t="inlineStr">
        <is>
          <t>Tôn đục lỗ tiêu âm</t>
        </is>
      </c>
      <c r="D72" t="inlineStr">
        <is>
          <t>VẬT_LIỆU_TIÊU_ÂM</t>
        </is>
      </c>
      <c r="E72" t="inlineStr">
        <is>
          <t>PERFORATED_SHEET</t>
        </is>
      </c>
      <c r="F72" t="inlineStr">
        <is>
          <t>m2</t>
        </is>
      </c>
      <c r="G72" s="406" t="n">
        <v>1.1</v>
      </c>
      <c r="H72" s="402">
        <f>IFERROR(INDEX('00_TONG_HOP_BAO_GIA'!$G$1:$G$5000, MATCH(B72, '00_TONG_HOP_BAO_GIA'!$B$1:$B$5000, 0)), 1)</f>
        <v/>
      </c>
      <c r="I72" s="407">
        <f>G72*H72</f>
        <v/>
      </c>
      <c r="J72" s="402">
        <f>IFERROR(INDEX('06_BANG_GIA_VAT_TU_AP_DUNG'!$E$1:$E$5000, MATCH(E72, '06_BANG_GIA_VAT_TU_AP_DUNG'!$B$1:$B$5000, 0)), 0)</f>
        <v/>
      </c>
      <c r="K72" s="402">
        <f>I72*J72</f>
        <v/>
      </c>
      <c r="L72" t="inlineStr">
        <is>
          <t>Bọc mặt trong</t>
        </is>
      </c>
    </row>
    <row r="73">
      <c r="A73" t="inlineStr">
        <is>
          <t>SW-ACST-227-BODY</t>
        </is>
      </c>
      <c r="B73" t="inlineStr">
        <is>
          <t>SW-ACST-227</t>
        </is>
      </c>
      <c r="C73" t="inlineStr">
        <is>
          <t>Vỏ tôn hộp tiêu âm PN (0.58mm)</t>
        </is>
      </c>
      <c r="D73" t="inlineStr">
        <is>
          <t>TÔN_CUỘN_MẠ_KẼM</t>
        </is>
      </c>
      <c r="E73" t="inlineStr">
        <is>
          <t>MAT-STEEL-PN-0.58</t>
        </is>
      </c>
      <c r="F73" t="inlineStr">
        <is>
          <t>kg</t>
        </is>
      </c>
      <c r="G73" s="406" t="n">
        <v>5.235949999999999</v>
      </c>
      <c r="H73" s="402">
        <f>IFERROR(INDEX('00_TONG_HOP_BAO_GIA'!$G$1:$G$5000, MATCH(B73, '00_TONG_HOP_BAO_GIA'!$B$1:$B$5000, 0)), 1)</f>
        <v/>
      </c>
      <c r="I73" s="407">
        <f>G73*H73</f>
        <v/>
      </c>
      <c r="J73" s="402">
        <f>IFERROR(INDEX('06_BANG_GIA_VAT_TU_AP_DUNG'!$E$1:$E$5000, MATCH(E73, '06_BANG_GIA_VAT_TU_AP_DUNG'!$B$1:$B$5000, 0)), 0)</f>
        <v/>
      </c>
      <c r="K73" s="402">
        <f>I73*J73</f>
        <v/>
      </c>
      <c r="L73" t="inlineStr">
        <is>
          <t>Vỏ tôn bao ngoài (1.00m2)</t>
        </is>
      </c>
    </row>
    <row r="74">
      <c r="A74" t="inlineStr">
        <is>
          <t>SW-ACST-227-ROCKWOOL</t>
        </is>
      </c>
      <c r="B74" t="inlineStr">
        <is>
          <t>SW-ACST-227</t>
        </is>
      </c>
      <c r="C74" t="inlineStr">
        <is>
          <t>Bông Rockwool tỷ trọng 50kg/m3 dày 50mm</t>
        </is>
      </c>
      <c r="D74" t="inlineStr">
        <is>
          <t>VẬT_LIỆU_TIÊU_ÂM</t>
        </is>
      </c>
      <c r="E74" t="inlineStr">
        <is>
          <t>ROCKWOOL_50MM_50KG</t>
        </is>
      </c>
      <c r="F74" t="inlineStr">
        <is>
          <t>m2</t>
        </is>
      </c>
      <c r="G74" s="406" t="n">
        <v>1.1</v>
      </c>
      <c r="H74" s="402">
        <f>IFERROR(INDEX('00_TONG_HOP_BAO_GIA'!$G$1:$G$5000, MATCH(B74, '00_TONG_HOP_BAO_GIA'!$B$1:$B$5000, 0)), 1)</f>
        <v/>
      </c>
      <c r="I74" s="407">
        <f>G74*H74</f>
        <v/>
      </c>
      <c r="J74" s="402">
        <f>IFERROR(INDEX('06_BANG_GIA_VAT_TU_AP_DUNG'!$E$1:$E$5000, MATCH(E74, '06_BANG_GIA_VAT_TU_AP_DUNG'!$B$1:$B$5000, 0)), 0)</f>
        <v/>
      </c>
      <c r="K74" s="402">
        <f>I74*J74</f>
        <v/>
      </c>
      <c r="L74" t="inlineStr">
        <is>
          <t>Diện tích tiêu âm 1.00m2</t>
        </is>
      </c>
    </row>
    <row r="75">
      <c r="A75" t="inlineStr">
        <is>
          <t>SW-ACST-227-GLASSCLOTH</t>
        </is>
      </c>
      <c r="B75" t="inlineStr">
        <is>
          <t>SW-ACST-227</t>
        </is>
      </c>
      <c r="C75" t="inlineStr">
        <is>
          <t>Vải thủy tinh bọc tiêu âm</t>
        </is>
      </c>
      <c r="D75" t="inlineStr">
        <is>
          <t>VẬT_LIỆU_TIÊU_ÂM</t>
        </is>
      </c>
      <c r="E75" t="inlineStr">
        <is>
          <t>GLASS_CLOTH</t>
        </is>
      </c>
      <c r="F75" t="inlineStr">
        <is>
          <t>m2</t>
        </is>
      </c>
      <c r="G75" s="406" t="n">
        <v>1.1</v>
      </c>
      <c r="H75" s="402">
        <f>IFERROR(INDEX('00_TONG_HOP_BAO_GIA'!$G$1:$G$5000, MATCH(B75, '00_TONG_HOP_BAO_GIA'!$B$1:$B$5000, 0)), 1)</f>
        <v/>
      </c>
      <c r="I75" s="407">
        <f>G75*H75</f>
        <v/>
      </c>
      <c r="J75" s="402">
        <f>IFERROR(INDEX('06_BANG_GIA_VAT_TU_AP_DUNG'!$E$1:$E$5000, MATCH(E75, '06_BANG_GIA_VAT_TU_AP_DUNG'!$B$1:$B$5000, 0)), 0)</f>
        <v/>
      </c>
      <c r="K75" s="402">
        <f>I75*J75</f>
        <v/>
      </c>
      <c r="L75" t="inlineStr">
        <is>
          <t>Diện tích tiêu âm 1.00m2</t>
        </is>
      </c>
    </row>
    <row r="76">
      <c r="A76" t="inlineStr">
        <is>
          <t>SW-ACST-227-PERFORATED</t>
        </is>
      </c>
      <c r="B76" t="inlineStr">
        <is>
          <t>SW-ACST-227</t>
        </is>
      </c>
      <c r="C76" t="inlineStr">
        <is>
          <t>Tôn đục lỗ tiêu âm</t>
        </is>
      </c>
      <c r="D76" t="inlineStr">
        <is>
          <t>VẬT_LIỆU_TIÊU_ÂM</t>
        </is>
      </c>
      <c r="E76" t="inlineStr">
        <is>
          <t>PERFORATED_SHEET</t>
        </is>
      </c>
      <c r="F76" t="inlineStr">
        <is>
          <t>m2</t>
        </is>
      </c>
      <c r="G76" s="406" t="n">
        <v>1.1</v>
      </c>
      <c r="H76" s="402">
        <f>IFERROR(INDEX('00_TONG_HOP_BAO_GIA'!$G$1:$G$5000, MATCH(B76, '00_TONG_HOP_BAO_GIA'!$B$1:$B$5000, 0)), 1)</f>
        <v/>
      </c>
      <c r="I76" s="407">
        <f>G76*H76</f>
        <v/>
      </c>
      <c r="J76" s="402">
        <f>IFERROR(INDEX('06_BANG_GIA_VAT_TU_AP_DUNG'!$E$1:$E$5000, MATCH(E76, '06_BANG_GIA_VAT_TU_AP_DUNG'!$B$1:$B$5000, 0)), 0)</f>
        <v/>
      </c>
      <c r="K76" s="402">
        <f>I76*J76</f>
        <v/>
      </c>
      <c r="L76" t="inlineStr">
        <is>
          <t>Bọc mặt trong</t>
        </is>
      </c>
    </row>
    <row r="77">
      <c r="A77" t="inlineStr">
        <is>
          <t>SW-ACST-228-BODY</t>
        </is>
      </c>
      <c r="B77" t="inlineStr">
        <is>
          <t>SW-ACST-228</t>
        </is>
      </c>
      <c r="C77" t="inlineStr">
        <is>
          <t>Vỏ tôn hộp tiêu âm PN (0.58mm)</t>
        </is>
      </c>
      <c r="D77" t="inlineStr">
        <is>
          <t>TÔN_CUỘN_MẠ_KẼM</t>
        </is>
      </c>
      <c r="E77" t="inlineStr">
        <is>
          <t>MAT-STEEL-PN-0.58</t>
        </is>
      </c>
      <c r="F77" t="inlineStr">
        <is>
          <t>kg</t>
        </is>
      </c>
      <c r="G77" s="406" t="n">
        <v>5.235949999999999</v>
      </c>
      <c r="H77" s="402">
        <f>IFERROR(INDEX('00_TONG_HOP_BAO_GIA'!$G$1:$G$5000, MATCH(B77, '00_TONG_HOP_BAO_GIA'!$B$1:$B$5000, 0)), 1)</f>
        <v/>
      </c>
      <c r="I77" s="407">
        <f>G77*H77</f>
        <v/>
      </c>
      <c r="J77" s="402">
        <f>IFERROR(INDEX('06_BANG_GIA_VAT_TU_AP_DUNG'!$E$1:$E$5000, MATCH(E77, '06_BANG_GIA_VAT_TU_AP_DUNG'!$B$1:$B$5000, 0)), 0)</f>
        <v/>
      </c>
      <c r="K77" s="402">
        <f>I77*J77</f>
        <v/>
      </c>
      <c r="L77" t="inlineStr">
        <is>
          <t>Vỏ tôn bao ngoài (1.00m2)</t>
        </is>
      </c>
    </row>
    <row r="78">
      <c r="A78" t="inlineStr">
        <is>
          <t>SW-ACST-228-ROCKWOOL</t>
        </is>
      </c>
      <c r="B78" t="inlineStr">
        <is>
          <t>SW-ACST-228</t>
        </is>
      </c>
      <c r="C78" t="inlineStr">
        <is>
          <t>Bông Rockwool tỷ trọng 50kg/m3 dày 50mm</t>
        </is>
      </c>
      <c r="D78" t="inlineStr">
        <is>
          <t>VẬT_LIỆU_TIÊU_ÂM</t>
        </is>
      </c>
      <c r="E78" t="inlineStr">
        <is>
          <t>ROCKWOOL_50MM_50KG</t>
        </is>
      </c>
      <c r="F78" t="inlineStr">
        <is>
          <t>m2</t>
        </is>
      </c>
      <c r="G78" s="406" t="n">
        <v>1.1</v>
      </c>
      <c r="H78" s="402">
        <f>IFERROR(INDEX('00_TONG_HOP_BAO_GIA'!$G$1:$G$5000, MATCH(B78, '00_TONG_HOP_BAO_GIA'!$B$1:$B$5000, 0)), 1)</f>
        <v/>
      </c>
      <c r="I78" s="407">
        <f>G78*H78</f>
        <v/>
      </c>
      <c r="J78" s="402">
        <f>IFERROR(INDEX('06_BANG_GIA_VAT_TU_AP_DUNG'!$E$1:$E$5000, MATCH(E78, '06_BANG_GIA_VAT_TU_AP_DUNG'!$B$1:$B$5000, 0)), 0)</f>
        <v/>
      </c>
      <c r="K78" s="402">
        <f>I78*J78</f>
        <v/>
      </c>
      <c r="L78" t="inlineStr">
        <is>
          <t>Diện tích tiêu âm 1.00m2</t>
        </is>
      </c>
    </row>
    <row r="79">
      <c r="A79" t="inlineStr">
        <is>
          <t>SW-ACST-228-GLASSCLOTH</t>
        </is>
      </c>
      <c r="B79" t="inlineStr">
        <is>
          <t>SW-ACST-228</t>
        </is>
      </c>
      <c r="C79" t="inlineStr">
        <is>
          <t>Vải thủy tinh bọc tiêu âm</t>
        </is>
      </c>
      <c r="D79" t="inlineStr">
        <is>
          <t>VẬT_LIỆU_TIÊU_ÂM</t>
        </is>
      </c>
      <c r="E79" t="inlineStr">
        <is>
          <t>GLASS_CLOTH</t>
        </is>
      </c>
      <c r="F79" t="inlineStr">
        <is>
          <t>m2</t>
        </is>
      </c>
      <c r="G79" s="406" t="n">
        <v>1.1</v>
      </c>
      <c r="H79" s="402">
        <f>IFERROR(INDEX('00_TONG_HOP_BAO_GIA'!$G$1:$G$5000, MATCH(B79, '00_TONG_HOP_BAO_GIA'!$B$1:$B$5000, 0)), 1)</f>
        <v/>
      </c>
      <c r="I79" s="407">
        <f>G79*H79</f>
        <v/>
      </c>
      <c r="J79" s="402">
        <f>IFERROR(INDEX('06_BANG_GIA_VAT_TU_AP_DUNG'!$E$1:$E$5000, MATCH(E79, '06_BANG_GIA_VAT_TU_AP_DUNG'!$B$1:$B$5000, 0)), 0)</f>
        <v/>
      </c>
      <c r="K79" s="402">
        <f>I79*J79</f>
        <v/>
      </c>
      <c r="L79" t="inlineStr">
        <is>
          <t>Diện tích tiêu âm 1.00m2</t>
        </is>
      </c>
    </row>
    <row r="80">
      <c r="A80" t="inlineStr">
        <is>
          <t>SW-ACST-228-PERFORATED</t>
        </is>
      </c>
      <c r="B80" t="inlineStr">
        <is>
          <t>SW-ACST-228</t>
        </is>
      </c>
      <c r="C80" t="inlineStr">
        <is>
          <t>Tôn đục lỗ tiêu âm</t>
        </is>
      </c>
      <c r="D80" t="inlineStr">
        <is>
          <t>VẬT_LIỆU_TIÊU_ÂM</t>
        </is>
      </c>
      <c r="E80" t="inlineStr">
        <is>
          <t>PERFORATED_SHEET</t>
        </is>
      </c>
      <c r="F80" t="inlineStr">
        <is>
          <t>m2</t>
        </is>
      </c>
      <c r="G80" s="406" t="n">
        <v>1.1</v>
      </c>
      <c r="H80" s="402">
        <f>IFERROR(INDEX('00_TONG_HOP_BAO_GIA'!$G$1:$G$5000, MATCH(B80, '00_TONG_HOP_BAO_GIA'!$B$1:$B$5000, 0)), 1)</f>
        <v/>
      </c>
      <c r="I80" s="407">
        <f>G80*H80</f>
        <v/>
      </c>
      <c r="J80" s="402">
        <f>IFERROR(INDEX('06_BANG_GIA_VAT_TU_AP_DUNG'!$E$1:$E$5000, MATCH(E80, '06_BANG_GIA_VAT_TU_AP_DUNG'!$B$1:$B$5000, 0)), 0)</f>
        <v/>
      </c>
      <c r="K80" s="402">
        <f>I80*J80</f>
        <v/>
      </c>
      <c r="L80" t="inlineStr">
        <is>
          <t>Bọc mặt trong</t>
        </is>
      </c>
    </row>
    <row r="81">
      <c r="A81" t="inlineStr">
        <is>
          <t>SW-ACST-229-BODY</t>
        </is>
      </c>
      <c r="B81" t="inlineStr">
        <is>
          <t>SW-ACST-229</t>
        </is>
      </c>
      <c r="C81" t="inlineStr">
        <is>
          <t>Vỏ tôn hộp tiêu âm PN (0.58mm)</t>
        </is>
      </c>
      <c r="D81" t="inlineStr">
        <is>
          <t>TÔN_CUỘN_MẠ_KẼM</t>
        </is>
      </c>
      <c r="E81" t="inlineStr">
        <is>
          <t>MAT-STEEL-PN-0.58</t>
        </is>
      </c>
      <c r="F81" t="inlineStr">
        <is>
          <t>kg</t>
        </is>
      </c>
      <c r="G81" s="406" t="n">
        <v>5.235949999999999</v>
      </c>
      <c r="H81" s="402">
        <f>IFERROR(INDEX('00_TONG_HOP_BAO_GIA'!$G$1:$G$5000, MATCH(B81, '00_TONG_HOP_BAO_GIA'!$B$1:$B$5000, 0)), 1)</f>
        <v/>
      </c>
      <c r="I81" s="407">
        <f>G81*H81</f>
        <v/>
      </c>
      <c r="J81" s="402">
        <f>IFERROR(INDEX('06_BANG_GIA_VAT_TU_AP_DUNG'!$E$1:$E$5000, MATCH(E81, '06_BANG_GIA_VAT_TU_AP_DUNG'!$B$1:$B$5000, 0)), 0)</f>
        <v/>
      </c>
      <c r="K81" s="402">
        <f>I81*J81</f>
        <v/>
      </c>
      <c r="L81" t="inlineStr">
        <is>
          <t>Vỏ tôn bao ngoài (1.00m2)</t>
        </is>
      </c>
    </row>
    <row r="82">
      <c r="A82" t="inlineStr">
        <is>
          <t>SW-ACST-229-ROCKWOOL</t>
        </is>
      </c>
      <c r="B82" t="inlineStr">
        <is>
          <t>SW-ACST-229</t>
        </is>
      </c>
      <c r="C82" t="inlineStr">
        <is>
          <t>Bông Rockwool tỷ trọng 50kg/m3 dày 50mm</t>
        </is>
      </c>
      <c r="D82" t="inlineStr">
        <is>
          <t>VẬT_LIỆU_TIÊU_ÂM</t>
        </is>
      </c>
      <c r="E82" t="inlineStr">
        <is>
          <t>ROCKWOOL_50MM_50KG</t>
        </is>
      </c>
      <c r="F82" t="inlineStr">
        <is>
          <t>m2</t>
        </is>
      </c>
      <c r="G82" s="406" t="n">
        <v>1.1</v>
      </c>
      <c r="H82" s="402">
        <f>IFERROR(INDEX('00_TONG_HOP_BAO_GIA'!$G$1:$G$5000, MATCH(B82, '00_TONG_HOP_BAO_GIA'!$B$1:$B$5000, 0)), 1)</f>
        <v/>
      </c>
      <c r="I82" s="407">
        <f>G82*H82</f>
        <v/>
      </c>
      <c r="J82" s="402">
        <f>IFERROR(INDEX('06_BANG_GIA_VAT_TU_AP_DUNG'!$E$1:$E$5000, MATCH(E82, '06_BANG_GIA_VAT_TU_AP_DUNG'!$B$1:$B$5000, 0)), 0)</f>
        <v/>
      </c>
      <c r="K82" s="402">
        <f>I82*J82</f>
        <v/>
      </c>
      <c r="L82" t="inlineStr">
        <is>
          <t>Diện tích tiêu âm 1.00m2</t>
        </is>
      </c>
    </row>
    <row r="83">
      <c r="A83" t="inlineStr">
        <is>
          <t>SW-ACST-229-GLASSCLOTH</t>
        </is>
      </c>
      <c r="B83" t="inlineStr">
        <is>
          <t>SW-ACST-229</t>
        </is>
      </c>
      <c r="C83" t="inlineStr">
        <is>
          <t>Vải thủy tinh bọc tiêu âm</t>
        </is>
      </c>
      <c r="D83" t="inlineStr">
        <is>
          <t>VẬT_LIỆU_TIÊU_ÂM</t>
        </is>
      </c>
      <c r="E83" t="inlineStr">
        <is>
          <t>GLASS_CLOTH</t>
        </is>
      </c>
      <c r="F83" t="inlineStr">
        <is>
          <t>m2</t>
        </is>
      </c>
      <c r="G83" s="406" t="n">
        <v>1.1</v>
      </c>
      <c r="H83" s="402">
        <f>IFERROR(INDEX('00_TONG_HOP_BAO_GIA'!$G$1:$G$5000, MATCH(B83, '00_TONG_HOP_BAO_GIA'!$B$1:$B$5000, 0)), 1)</f>
        <v/>
      </c>
      <c r="I83" s="407">
        <f>G83*H83</f>
        <v/>
      </c>
      <c r="J83" s="402">
        <f>IFERROR(INDEX('06_BANG_GIA_VAT_TU_AP_DUNG'!$E$1:$E$5000, MATCH(E83, '06_BANG_GIA_VAT_TU_AP_DUNG'!$B$1:$B$5000, 0)), 0)</f>
        <v/>
      </c>
      <c r="K83" s="402">
        <f>I83*J83</f>
        <v/>
      </c>
      <c r="L83" t="inlineStr">
        <is>
          <t>Diện tích tiêu âm 1.00m2</t>
        </is>
      </c>
    </row>
    <row r="84">
      <c r="A84" t="inlineStr">
        <is>
          <t>SW-ACST-229-PERFORATED</t>
        </is>
      </c>
      <c r="B84" t="inlineStr">
        <is>
          <t>SW-ACST-229</t>
        </is>
      </c>
      <c r="C84" t="inlineStr">
        <is>
          <t>Tôn đục lỗ tiêu âm</t>
        </is>
      </c>
      <c r="D84" t="inlineStr">
        <is>
          <t>VẬT_LIỆU_TIÊU_ÂM</t>
        </is>
      </c>
      <c r="E84" t="inlineStr">
        <is>
          <t>PERFORATED_SHEET</t>
        </is>
      </c>
      <c r="F84" t="inlineStr">
        <is>
          <t>m2</t>
        </is>
      </c>
      <c r="G84" s="406" t="n">
        <v>1.1</v>
      </c>
      <c r="H84" s="402">
        <f>IFERROR(INDEX('00_TONG_HOP_BAO_GIA'!$G$1:$G$5000, MATCH(B84, '00_TONG_HOP_BAO_GIA'!$B$1:$B$5000, 0)), 1)</f>
        <v/>
      </c>
      <c r="I84" s="407">
        <f>G84*H84</f>
        <v/>
      </c>
      <c r="J84" s="402">
        <f>IFERROR(INDEX('06_BANG_GIA_VAT_TU_AP_DUNG'!$E$1:$E$5000, MATCH(E84, '06_BANG_GIA_VAT_TU_AP_DUNG'!$B$1:$B$5000, 0)), 0)</f>
        <v/>
      </c>
      <c r="K84" s="402">
        <f>I84*J84</f>
        <v/>
      </c>
      <c r="L84" t="inlineStr">
        <is>
          <t>Bọc mặt trong</t>
        </is>
      </c>
    </row>
    <row r="85">
      <c r="A85" t="inlineStr">
        <is>
          <t>SW-TRD-232-TM</t>
        </is>
      </c>
      <c r="B85" t="inlineStr">
        <is>
          <t>SW-TRD-232</t>
        </is>
      </c>
      <c r="C85" t="inlineStr">
        <is>
          <t>MIỆNG GIÓ Vật tư phụ, phụ kiện</t>
        </is>
      </c>
      <c r="D85" t="inlineStr">
        <is>
          <t>THUONG_MAI</t>
        </is>
      </c>
      <c r="E85" t="inlineStr">
        <is>
          <t>MAT-THUONG_MAI-VAT_TU_PHU_PHU_KIEN</t>
        </is>
      </c>
      <c r="F85" t="inlineStr">
        <is>
          <t>Lô</t>
        </is>
      </c>
      <c r="G85" s="406" t="n">
        <v>1</v>
      </c>
      <c r="H85" s="402">
        <f>IFERROR(INDEX('00_TONG_HOP_BAO_GIA'!$G$1:$G$5000, MATCH(B85, '00_TONG_HOP_BAO_GIA'!$B$1:$B$5000, 0)), 1)</f>
        <v/>
      </c>
      <c r="I85" s="407">
        <f>G85*H85</f>
        <v/>
      </c>
      <c r="J85" s="402">
        <f>IFERROR(INDEX('06_BANG_GIA_VAT_TU_AP_DUNG'!$E$1:$E$5000, MATCH(E85, '06_BANG_GIA_VAT_TU_AP_DUNG'!$B$1:$B$5000, 0)), 0)</f>
        <v/>
      </c>
      <c r="K85" s="402">
        <f>I85*J85</f>
        <v/>
      </c>
      <c r="L85" t="inlineStr">
        <is>
          <t>Hàng mua nguyên chiếc</t>
        </is>
      </c>
    </row>
    <row r="86">
      <c r="A86" t="inlineStr">
        <is>
          <t>SW-DUCT-233-BODY</t>
        </is>
      </c>
      <c r="B86" t="inlineStr">
        <is>
          <t>SW-DUCT-233</t>
        </is>
      </c>
      <c r="C86" t="inlineStr">
        <is>
          <t>Tôn mạ kẽm PN (0.58mm) - Định mức m²</t>
        </is>
      </c>
      <c r="D86" t="inlineStr">
        <is>
          <t>TÔN_CUỘN_MẠ_KẼM</t>
        </is>
      </c>
      <c r="E86" t="inlineStr">
        <is>
          <t>MAT-STEEL-PN-0.58</t>
        </is>
      </c>
      <c r="F86" t="inlineStr">
        <is>
          <t>kg</t>
        </is>
      </c>
      <c r="G86" s="406" t="n">
        <v>5.163101999999999</v>
      </c>
      <c r="H86" s="402">
        <f>IFERROR(INDEX('00_TONG_HOP_BAO_GIA'!$G$1:$G$5000, MATCH(B86, '00_TONG_HOP_BAO_GIA'!$B$1:$B$5000, 0)), 1)</f>
        <v/>
      </c>
      <c r="I86" s="407">
        <f>G86*H86</f>
        <v/>
      </c>
      <c r="J86" s="402">
        <f>IFERROR(INDEX('06_BANG_GIA_VAT_TU_AP_DUNG'!$E$1:$E$5000, MATCH(E86, '06_BANG_GIA_VAT_TU_AP_DUNG'!$B$1:$B$5000, 0)), 0)</f>
        <v/>
      </c>
      <c r="K86" s="402">
        <f>I86*J86</f>
        <v/>
      </c>
      <c r="L86" t="inlineStr">
        <is>
          <t>Định mức tôn cho 1m² ống: phôi x1.08, hao hụt x1.05</t>
        </is>
      </c>
    </row>
    <row r="87">
      <c r="A87" t="inlineStr">
        <is>
          <t>SW-ACST-234-ROCKWOOL</t>
        </is>
      </c>
      <c r="B87" t="inlineStr">
        <is>
          <t>SW-ACST-234</t>
        </is>
      </c>
      <c r="C87" t="inlineStr">
        <is>
          <t>Bông Rockwool tỷ trọng 50kg/m3 dày 50mm</t>
        </is>
      </c>
      <c r="D87" t="inlineStr">
        <is>
          <t>VẬT_LIỆU_TIÊU_ÂM</t>
        </is>
      </c>
      <c r="E87" t="inlineStr">
        <is>
          <t>ROCKWOOL_50MM_50KG</t>
        </is>
      </c>
      <c r="F87" t="inlineStr">
        <is>
          <t>m2</t>
        </is>
      </c>
      <c r="G87" s="406" t="n">
        <v>1.1</v>
      </c>
      <c r="H87" s="402">
        <f>IFERROR(INDEX('00_TONG_HOP_BAO_GIA'!$G$1:$G$5000, MATCH(B87, '00_TONG_HOP_BAO_GIA'!$B$1:$B$5000, 0)), 1)</f>
        <v/>
      </c>
      <c r="I87" s="407">
        <f>G87*H87</f>
        <v/>
      </c>
      <c r="J87" s="402">
        <f>IFERROR(INDEX('06_BANG_GIA_VAT_TU_AP_DUNG'!$E$1:$E$5000, MATCH(E87, '06_BANG_GIA_VAT_TU_AP_DUNG'!$B$1:$B$5000, 0)), 0)</f>
        <v/>
      </c>
      <c r="K87" s="402">
        <f>I87*J87</f>
        <v/>
      </c>
      <c r="L87" t="inlineStr">
        <is>
          <t>Diện tích tiêu âm 1.00m2</t>
        </is>
      </c>
    </row>
    <row r="88">
      <c r="A88" t="inlineStr">
        <is>
          <t>SW-ACST-234-GLASSCLOTH</t>
        </is>
      </c>
      <c r="B88" t="inlineStr">
        <is>
          <t>SW-ACST-234</t>
        </is>
      </c>
      <c r="C88" t="inlineStr">
        <is>
          <t>Vải thủy tinh bọc tiêu âm</t>
        </is>
      </c>
      <c r="D88" t="inlineStr">
        <is>
          <t>VẬT_LIỆU_TIÊU_ÂM</t>
        </is>
      </c>
      <c r="E88" t="inlineStr">
        <is>
          <t>GLASS_CLOTH</t>
        </is>
      </c>
      <c r="F88" t="inlineStr">
        <is>
          <t>m2</t>
        </is>
      </c>
      <c r="G88" s="406" t="n">
        <v>1.1</v>
      </c>
      <c r="H88" s="402">
        <f>IFERROR(INDEX('00_TONG_HOP_BAO_GIA'!$G$1:$G$5000, MATCH(B88, '00_TONG_HOP_BAO_GIA'!$B$1:$B$5000, 0)), 1)</f>
        <v/>
      </c>
      <c r="I88" s="407">
        <f>G88*H88</f>
        <v/>
      </c>
      <c r="J88" s="402">
        <f>IFERROR(INDEX('06_BANG_GIA_VAT_TU_AP_DUNG'!$E$1:$E$5000, MATCH(E88, '06_BANG_GIA_VAT_TU_AP_DUNG'!$B$1:$B$5000, 0)), 0)</f>
        <v/>
      </c>
      <c r="K88" s="402">
        <f>I88*J88</f>
        <v/>
      </c>
      <c r="L88" t="inlineStr">
        <is>
          <t>Diện tích tiêu âm 1.00m2</t>
        </is>
      </c>
    </row>
    <row r="89">
      <c r="A89" t="inlineStr">
        <is>
          <t>SW-ACST-234-PERFORATED</t>
        </is>
      </c>
      <c r="B89" t="inlineStr">
        <is>
          <t>SW-ACST-234</t>
        </is>
      </c>
      <c r="C89" t="inlineStr">
        <is>
          <t>Tôn đục lỗ tiêu âm</t>
        </is>
      </c>
      <c r="D89" t="inlineStr">
        <is>
          <t>VẬT_LIỆU_TIÊU_ÂM</t>
        </is>
      </c>
      <c r="E89" t="inlineStr">
        <is>
          <t>PERFORATED_SHEET</t>
        </is>
      </c>
      <c r="F89" t="inlineStr">
        <is>
          <t>m2</t>
        </is>
      </c>
      <c r="G89" s="406" t="n">
        <v>1.1</v>
      </c>
      <c r="H89" s="402">
        <f>IFERROR(INDEX('00_TONG_HOP_BAO_GIA'!$G$1:$G$5000, MATCH(B89, '00_TONG_HOP_BAO_GIA'!$B$1:$B$5000, 0)), 1)</f>
        <v/>
      </c>
      <c r="I89" s="407">
        <f>G89*H89</f>
        <v/>
      </c>
      <c r="J89" s="402">
        <f>IFERROR(INDEX('06_BANG_GIA_VAT_TU_AP_DUNG'!$E$1:$E$5000, MATCH(E89, '06_BANG_GIA_VAT_TU_AP_DUNG'!$B$1:$B$5000, 0)), 0)</f>
        <v/>
      </c>
      <c r="K89" s="402">
        <f>I89*J89</f>
        <v/>
      </c>
      <c r="L89" t="inlineStr">
        <is>
          <t>Bọc mặt trong</t>
        </is>
      </c>
    </row>
    <row r="90">
      <c r="A90" t="inlineStr">
        <is>
          <t>SW-FLEX-235-TM</t>
        </is>
      </c>
      <c r="B90" t="inlineStr">
        <is>
          <t>SW-FLEX-235</t>
        </is>
      </c>
      <c r="C90" t="inlineStr">
        <is>
          <t>ỐNG GIÓ LẠNH Ống gió mềm D400 cách nhiệt dày 25mm</t>
        </is>
      </c>
      <c r="D90" t="inlineStr">
        <is>
          <t>ONG_MEM</t>
        </is>
      </c>
      <c r="E90" t="inlineStr">
        <is>
          <t>FLEX_DUCT_D400_INSUL</t>
        </is>
      </c>
      <c r="F90" t="inlineStr">
        <is>
          <t>ống</t>
        </is>
      </c>
      <c r="G90" s="406" t="n">
        <v>0.125</v>
      </c>
      <c r="H90" s="402">
        <f>IFERROR(INDEX('00_TONG_HOP_BAO_GIA'!$G$1:$G$5000, MATCH(B90, '00_TONG_HOP_BAO_GIA'!$B$1:$B$5000, 0)), 1)</f>
        <v/>
      </c>
      <c r="I90" s="407">
        <f>G90*H90</f>
        <v/>
      </c>
      <c r="J90" s="402">
        <f>IFERROR(INDEX('06_BANG_GIA_VAT_TU_AP_DUNG'!$E$1:$E$5000, MATCH(E90, '06_BANG_GIA_VAT_TU_AP_DUNG'!$B$1:$B$5000, 0)), 0)</f>
        <v/>
      </c>
      <c r="K90" s="402">
        <f>I90*J90</f>
        <v/>
      </c>
      <c r="L90" t="inlineStr">
        <is>
          <t>Ống mềm quy đổi chuẩn 8m/ống</t>
        </is>
      </c>
    </row>
    <row r="91">
      <c r="A91" t="inlineStr">
        <is>
          <t>SW-FLEX-236-TM</t>
        </is>
      </c>
      <c r="B91" t="inlineStr">
        <is>
          <t>SW-FLEX-236</t>
        </is>
      </c>
      <c r="C91" t="inlineStr">
        <is>
          <t>ỐNG GIÓ LẠNH Ống gió mềm D350 cách nhiệt dày 25mm</t>
        </is>
      </c>
      <c r="D91" t="inlineStr">
        <is>
          <t>ONG_MEM</t>
        </is>
      </c>
      <c r="E91" t="inlineStr">
        <is>
          <t>FLEX_DUCT_D350_INSUL</t>
        </is>
      </c>
      <c r="F91" t="inlineStr">
        <is>
          <t>ống</t>
        </is>
      </c>
      <c r="G91" s="406" t="n">
        <v>0.125</v>
      </c>
      <c r="H91" s="402">
        <f>IFERROR(INDEX('00_TONG_HOP_BAO_GIA'!$G$1:$G$5000, MATCH(B91, '00_TONG_HOP_BAO_GIA'!$B$1:$B$5000, 0)), 1)</f>
        <v/>
      </c>
      <c r="I91" s="407">
        <f>G91*H91</f>
        <v/>
      </c>
      <c r="J91" s="402">
        <f>IFERROR(INDEX('06_BANG_GIA_VAT_TU_AP_DUNG'!$E$1:$E$5000, MATCH(E91, '06_BANG_GIA_VAT_TU_AP_DUNG'!$B$1:$B$5000, 0)), 0)</f>
        <v/>
      </c>
      <c r="K91" s="402">
        <f>I91*J91</f>
        <v/>
      </c>
      <c r="L91" t="inlineStr">
        <is>
          <t>Ống mềm quy đổi chuẩn 8m/ống</t>
        </is>
      </c>
    </row>
    <row r="92">
      <c r="A92" t="inlineStr">
        <is>
          <t>SW-FLEX-237-TM</t>
        </is>
      </c>
      <c r="B92" t="inlineStr">
        <is>
          <t>SW-FLEX-237</t>
        </is>
      </c>
      <c r="C92" t="inlineStr">
        <is>
          <t>ỐNG GIÓ LẠNH Ống gió mềm D300 cách nhiệt dày 25mm</t>
        </is>
      </c>
      <c r="D92" t="inlineStr">
        <is>
          <t>ONG_MEM</t>
        </is>
      </c>
      <c r="E92" t="inlineStr">
        <is>
          <t>FLEX_DUCT_D300_INSUL</t>
        </is>
      </c>
      <c r="F92" t="inlineStr">
        <is>
          <t>ống</t>
        </is>
      </c>
      <c r="G92" s="406" t="n">
        <v>0.125</v>
      </c>
      <c r="H92" s="402">
        <f>IFERROR(INDEX('00_TONG_HOP_BAO_GIA'!$G$1:$G$5000, MATCH(B92, '00_TONG_HOP_BAO_GIA'!$B$1:$B$5000, 0)), 1)</f>
        <v/>
      </c>
      <c r="I92" s="407">
        <f>G92*H92</f>
        <v/>
      </c>
      <c r="J92" s="402">
        <f>IFERROR(INDEX('06_BANG_GIA_VAT_TU_AP_DUNG'!$E$1:$E$5000, MATCH(E92, '06_BANG_GIA_VAT_TU_AP_DUNG'!$B$1:$B$5000, 0)), 0)</f>
        <v/>
      </c>
      <c r="K92" s="402">
        <f>I92*J92</f>
        <v/>
      </c>
      <c r="L92" t="inlineStr">
        <is>
          <t>Ống mềm quy đổi chuẩn 8m/ống</t>
        </is>
      </c>
    </row>
    <row r="93">
      <c r="A93" t="inlineStr">
        <is>
          <t>SW-FLEX-238-TM</t>
        </is>
      </c>
      <c r="B93" t="inlineStr">
        <is>
          <t>SW-FLEX-238</t>
        </is>
      </c>
      <c r="C93" t="inlineStr">
        <is>
          <t>ỐNG GIÓ LẠNH Ống gió mềm D250 cách nhiệt dày 25mm</t>
        </is>
      </c>
      <c r="D93" t="inlineStr">
        <is>
          <t>ONG_MEM</t>
        </is>
      </c>
      <c r="E93" t="inlineStr">
        <is>
          <t>FLEX_DUCT_D250_INSUL</t>
        </is>
      </c>
      <c r="F93" t="inlineStr">
        <is>
          <t>ống</t>
        </is>
      </c>
      <c r="G93" s="406" t="n">
        <v>0.125</v>
      </c>
      <c r="H93" s="402">
        <f>IFERROR(INDEX('00_TONG_HOP_BAO_GIA'!$G$1:$G$5000, MATCH(B93, '00_TONG_HOP_BAO_GIA'!$B$1:$B$5000, 0)), 1)</f>
        <v/>
      </c>
      <c r="I93" s="407">
        <f>G93*H93</f>
        <v/>
      </c>
      <c r="J93" s="402">
        <f>IFERROR(INDEX('06_BANG_GIA_VAT_TU_AP_DUNG'!$E$1:$E$5000, MATCH(E93, '06_BANG_GIA_VAT_TU_AP_DUNG'!$B$1:$B$5000, 0)), 0)</f>
        <v/>
      </c>
      <c r="K93" s="402">
        <f>I93*J93</f>
        <v/>
      </c>
      <c r="L93" t="inlineStr">
        <is>
          <t>Ống mềm quy đổi chuẩn 8m/ống</t>
        </is>
      </c>
    </row>
    <row r="94">
      <c r="A94" t="inlineStr">
        <is>
          <t>SW-FLEX-239-TM</t>
        </is>
      </c>
      <c r="B94" t="inlineStr">
        <is>
          <t>SW-FLEX-239</t>
        </is>
      </c>
      <c r="C94" t="inlineStr">
        <is>
          <t>ỐNG GIÓ LẠNH Ống gió mềm D400 không cách nhiệt</t>
        </is>
      </c>
      <c r="D94" t="inlineStr">
        <is>
          <t>ONG_MEM</t>
        </is>
      </c>
      <c r="E94" t="inlineStr">
        <is>
          <t>FLEX_DUCT_D400_NON_INSUL</t>
        </is>
      </c>
      <c r="F94" t="inlineStr">
        <is>
          <t>ống</t>
        </is>
      </c>
      <c r="G94" s="406" t="n">
        <v>0.125</v>
      </c>
      <c r="H94" s="402">
        <f>IFERROR(INDEX('00_TONG_HOP_BAO_GIA'!$G$1:$G$5000, MATCH(B94, '00_TONG_HOP_BAO_GIA'!$B$1:$B$5000, 0)), 1)</f>
        <v/>
      </c>
      <c r="I94" s="407">
        <f>G94*H94</f>
        <v/>
      </c>
      <c r="J94" s="402">
        <f>IFERROR(INDEX('06_BANG_GIA_VAT_TU_AP_DUNG'!$E$1:$E$5000, MATCH(E94, '06_BANG_GIA_VAT_TU_AP_DUNG'!$B$1:$B$5000, 0)), 0)</f>
        <v/>
      </c>
      <c r="K94" s="402">
        <f>I94*J94</f>
        <v/>
      </c>
      <c r="L94" t="inlineStr">
        <is>
          <t>Ống mềm quy đổi chuẩn 8m/ống</t>
        </is>
      </c>
    </row>
    <row r="95">
      <c r="A95" t="inlineStr">
        <is>
          <t>SW-FLEX-240-TM</t>
        </is>
      </c>
      <c r="B95" t="inlineStr">
        <is>
          <t>SW-FLEX-240</t>
        </is>
      </c>
      <c r="C95" t="inlineStr">
        <is>
          <t>ỐNG GIÓ LẠNH Ống gió mềm D350 không cách nhiệt</t>
        </is>
      </c>
      <c r="D95" t="inlineStr">
        <is>
          <t>ONG_MEM</t>
        </is>
      </c>
      <c r="E95" t="inlineStr">
        <is>
          <t>FLEX_DUCT_D350_NON_INSUL</t>
        </is>
      </c>
      <c r="F95" t="inlineStr">
        <is>
          <t>ống</t>
        </is>
      </c>
      <c r="G95" s="406" t="n">
        <v>0.125</v>
      </c>
      <c r="H95" s="402">
        <f>IFERROR(INDEX('00_TONG_HOP_BAO_GIA'!$G$1:$G$5000, MATCH(B95, '00_TONG_HOP_BAO_GIA'!$B$1:$B$5000, 0)), 1)</f>
        <v/>
      </c>
      <c r="I95" s="407">
        <f>G95*H95</f>
        <v/>
      </c>
      <c r="J95" s="402">
        <f>IFERROR(INDEX('06_BANG_GIA_VAT_TU_AP_DUNG'!$E$1:$E$5000, MATCH(E95, '06_BANG_GIA_VAT_TU_AP_DUNG'!$B$1:$B$5000, 0)), 0)</f>
        <v/>
      </c>
      <c r="K95" s="402">
        <f>I95*J95</f>
        <v/>
      </c>
      <c r="L95" t="inlineStr">
        <is>
          <t>Ống mềm quy đổi chuẩn 8m/ống</t>
        </is>
      </c>
    </row>
    <row r="96">
      <c r="A96" t="inlineStr">
        <is>
          <t>SW-FLEX-241-TM</t>
        </is>
      </c>
      <c r="B96" t="inlineStr">
        <is>
          <t>SW-FLEX-241</t>
        </is>
      </c>
      <c r="C96" t="inlineStr">
        <is>
          <t>ỐNG GIÓ LẠNH Ống gió mềm D300 không cách nhiệt</t>
        </is>
      </c>
      <c r="D96" t="inlineStr">
        <is>
          <t>ONG_MEM</t>
        </is>
      </c>
      <c r="E96" t="inlineStr">
        <is>
          <t>FLEX_DUCT_D300_NON_INSUL</t>
        </is>
      </c>
      <c r="F96" t="inlineStr">
        <is>
          <t>ống</t>
        </is>
      </c>
      <c r="G96" s="406" t="n">
        <v>0.125</v>
      </c>
      <c r="H96" s="402">
        <f>IFERROR(INDEX('00_TONG_HOP_BAO_GIA'!$G$1:$G$5000, MATCH(B96, '00_TONG_HOP_BAO_GIA'!$B$1:$B$5000, 0)), 1)</f>
        <v/>
      </c>
      <c r="I96" s="407">
        <f>G96*H96</f>
        <v/>
      </c>
      <c r="J96" s="402">
        <f>IFERROR(INDEX('06_BANG_GIA_VAT_TU_AP_DUNG'!$E$1:$E$5000, MATCH(E96, '06_BANG_GIA_VAT_TU_AP_DUNG'!$B$1:$B$5000, 0)), 0)</f>
        <v/>
      </c>
      <c r="K96" s="402">
        <f>I96*J96</f>
        <v/>
      </c>
      <c r="L96" t="inlineStr">
        <is>
          <t>Ống mềm quy đổi chuẩn 8m/ống</t>
        </is>
      </c>
    </row>
    <row r="97">
      <c r="A97" t="inlineStr">
        <is>
          <t>SW-FLEX-242-TM</t>
        </is>
      </c>
      <c r="B97" t="inlineStr">
        <is>
          <t>SW-FLEX-242</t>
        </is>
      </c>
      <c r="C97" t="inlineStr">
        <is>
          <t>ỐNG GIÓ LẠNH Ống gió mềm D250 không cách nhiệt</t>
        </is>
      </c>
      <c r="D97" t="inlineStr">
        <is>
          <t>ONG_MEM</t>
        </is>
      </c>
      <c r="E97" t="inlineStr">
        <is>
          <t>FLEX_DUCT_D250_NON_INSUL</t>
        </is>
      </c>
      <c r="F97" t="inlineStr">
        <is>
          <t>ống</t>
        </is>
      </c>
      <c r="G97" s="406" t="n">
        <v>0.125</v>
      </c>
      <c r="H97" s="402">
        <f>IFERROR(INDEX('00_TONG_HOP_BAO_GIA'!$G$1:$G$5000, MATCH(B97, '00_TONG_HOP_BAO_GIA'!$B$1:$B$5000, 0)), 1)</f>
        <v/>
      </c>
      <c r="I97" s="407">
        <f>G97*H97</f>
        <v/>
      </c>
      <c r="J97" s="402">
        <f>IFERROR(INDEX('06_BANG_GIA_VAT_TU_AP_DUNG'!$E$1:$E$5000, MATCH(E97, '06_BANG_GIA_VAT_TU_AP_DUNG'!$B$1:$B$5000, 0)), 0)</f>
        <v/>
      </c>
      <c r="K97" s="402">
        <f>I97*J97</f>
        <v/>
      </c>
      <c r="L97" t="inlineStr">
        <is>
          <t>Ống mềm quy đổi chuẩn 8m/ống</t>
        </is>
      </c>
    </row>
    <row r="98">
      <c r="A98" t="inlineStr">
        <is>
          <t>SW-TRD-243-TM</t>
        </is>
      </c>
      <c r="B98" t="inlineStr">
        <is>
          <t>SW-TRD-243</t>
        </is>
      </c>
      <c r="C98" t="inlineStr">
        <is>
          <t>ỐNG GIÓ LẠNH Vật tư phụ, phụ kiện</t>
        </is>
      </c>
      <c r="D98" t="inlineStr">
        <is>
          <t>THUONG_MAI</t>
        </is>
      </c>
      <c r="E98" t="inlineStr">
        <is>
          <t>MAT-THUONG_MAI-VAT_TU_PHU_PHU_KIEN</t>
        </is>
      </c>
      <c r="F98" t="inlineStr">
        <is>
          <t>Lô</t>
        </is>
      </c>
      <c r="G98" s="406" t="n">
        <v>1</v>
      </c>
      <c r="H98" s="402">
        <f>IFERROR(INDEX('00_TONG_HOP_BAO_GIA'!$G$1:$G$5000, MATCH(B98, '00_TONG_HOP_BAO_GIA'!$B$1:$B$5000, 0)), 1)</f>
        <v/>
      </c>
      <c r="I98" s="407">
        <f>G98*H98</f>
        <v/>
      </c>
      <c r="J98" s="402">
        <f>IFERROR(INDEX('06_BANG_GIA_VAT_TU_AP_DUNG'!$E$1:$E$5000, MATCH(E98, '06_BANG_GIA_VAT_TU_AP_DUNG'!$B$1:$B$5000, 0)), 0)</f>
        <v/>
      </c>
      <c r="K98" s="402">
        <f>I98*J98</f>
        <v/>
      </c>
      <c r="L98" t="inlineStr">
        <is>
          <t>Hàng mua nguyên chiếc</t>
        </is>
      </c>
    </row>
    <row r="99">
      <c r="A99" t="inlineStr">
        <is>
          <t>SW-TRD-244-TM</t>
        </is>
      </c>
      <c r="B99" t="inlineStr">
        <is>
          <t>SW-TRD-244</t>
        </is>
      </c>
      <c r="C99" t="inlineStr">
        <is>
          <t>ỐNG ĐỒNG, BẢO ÔN Vật tư phụ, phụ kiện</t>
        </is>
      </c>
      <c r="D99" t="inlineStr">
        <is>
          <t>THUONG_MAI</t>
        </is>
      </c>
      <c r="E99" t="inlineStr">
        <is>
          <t>MAT-THUONG_MAI-VAT_TU_PHU_PHU_KIEN</t>
        </is>
      </c>
      <c r="F99" t="inlineStr">
        <is>
          <t>Lô</t>
        </is>
      </c>
      <c r="G99" s="406" t="n">
        <v>1</v>
      </c>
      <c r="H99" s="402">
        <f>IFERROR(INDEX('00_TONG_HOP_BAO_GIA'!$G$1:$G$5000, MATCH(B99, '00_TONG_HOP_BAO_GIA'!$B$1:$B$5000, 0)), 1)</f>
        <v/>
      </c>
      <c r="I99" s="407">
        <f>G99*H99</f>
        <v/>
      </c>
      <c r="J99" s="402">
        <f>IFERROR(INDEX('06_BANG_GIA_VAT_TU_AP_DUNG'!$E$1:$E$5000, MATCH(E99, '06_BANG_GIA_VAT_TU_AP_DUNG'!$B$1:$B$5000, 0)), 0)</f>
        <v/>
      </c>
      <c r="K99" s="402">
        <f>I99*J99</f>
        <v/>
      </c>
      <c r="L99" t="inlineStr">
        <is>
          <t>Hàng mua nguyên chiếc</t>
        </is>
      </c>
    </row>
    <row r="100">
      <c r="A100" t="inlineStr">
        <is>
          <t>SW-DUCT-245-BODY</t>
        </is>
      </c>
      <c r="B100" t="inlineStr">
        <is>
          <t>SW-DUCT-245</t>
        </is>
      </c>
      <c r="C100" t="inlineStr">
        <is>
          <t>Tôn mạ kẽm PN (1.48mm) - Định mức mét dài</t>
        </is>
      </c>
      <c r="D100" t="inlineStr">
        <is>
          <t>TÔN_CUỘN_MẠ_KẼM</t>
        </is>
      </c>
      <c r="E100" t="inlineStr">
        <is>
          <t>MAT-STEEL-PN-1.48</t>
        </is>
      </c>
      <c r="F100" t="inlineStr">
        <is>
          <t>kg</t>
        </is>
      </c>
      <c r="G100" s="406" t="n">
        <v>14.74968999</v>
      </c>
      <c r="H100" s="402">
        <f>IFERROR(INDEX('00_TONG_HOP_BAO_GIA'!$G$1:$G$5000, MATCH(B100, '00_TONG_HOP_BAO_GIA'!$B$1:$B$5000, 0)), 1)</f>
        <v/>
      </c>
      <c r="I100" s="407">
        <f>G100*H100</f>
        <v/>
      </c>
      <c r="J100" s="402">
        <f>IFERROR(INDEX('06_BANG_GIA_VAT_TU_AP_DUNG'!$E$1:$E$5000, MATCH(E100, '06_BANG_GIA_VAT_TU_AP_DUNG'!$B$1:$B$5000, 0)), 0)</f>
        <v/>
      </c>
      <c r="K100" s="402">
        <f>I100*J100</f>
        <v/>
      </c>
      <c r="L100" t="inlineStr">
        <is>
          <t>Quy cách 400x150mm, Chu vi phôi 1.130m</t>
        </is>
      </c>
    </row>
    <row r="101">
      <c r="A101" t="inlineStr">
        <is>
          <t>SW-DUCT-246-BODY</t>
        </is>
      </c>
      <c r="B101" t="inlineStr">
        <is>
          <t>SW-DUCT-246</t>
        </is>
      </c>
      <c r="C101" t="inlineStr">
        <is>
          <t>Tôn mạ kẽm PN (1.48mm) - Định mức mét dài</t>
        </is>
      </c>
      <c r="D101" t="inlineStr">
        <is>
          <t>TÔN_CUỘN_MẠ_KẼM</t>
        </is>
      </c>
      <c r="E101" t="inlineStr">
        <is>
          <t>MAT-STEEL-PN-1.48</t>
        </is>
      </c>
      <c r="F101" t="inlineStr">
        <is>
          <t>kg</t>
        </is>
      </c>
      <c r="G101" s="406" t="n">
        <v>17.36025459</v>
      </c>
      <c r="H101" s="402">
        <f>IFERROR(INDEX('00_TONG_HOP_BAO_GIA'!$G$1:$G$5000, MATCH(B101, '00_TONG_HOP_BAO_GIA'!$B$1:$B$5000, 0)), 1)</f>
        <v/>
      </c>
      <c r="I101" s="407">
        <f>G101*H101</f>
        <v/>
      </c>
      <c r="J101" s="402">
        <f>IFERROR(INDEX('06_BANG_GIA_VAT_TU_AP_DUNG'!$E$1:$E$5000, MATCH(E101, '06_BANG_GIA_VAT_TU_AP_DUNG'!$B$1:$B$5000, 0)), 0)</f>
        <v/>
      </c>
      <c r="K101" s="402">
        <f>I101*J101</f>
        <v/>
      </c>
      <c r="L101" t="inlineStr">
        <is>
          <t>Quy cách 400x250mm, Chu vi phôi 1.330m</t>
        </is>
      </c>
    </row>
    <row r="102">
      <c r="A102" t="inlineStr">
        <is>
          <t>SW-DUCT-247-BODY</t>
        </is>
      </c>
      <c r="B102" t="inlineStr">
        <is>
          <t>SW-DUCT-247</t>
        </is>
      </c>
      <c r="C102" t="inlineStr">
        <is>
          <t>Tôn mạ kẽm PN (1.48mm) - Định mức mét dài</t>
        </is>
      </c>
      <c r="D102" t="inlineStr">
        <is>
          <t>TÔN_CUỘN_MẠ_KẼM</t>
        </is>
      </c>
      <c r="E102" t="inlineStr">
        <is>
          <t>MAT-STEEL-PN-1.48</t>
        </is>
      </c>
      <c r="F102" t="inlineStr">
        <is>
          <t>kg</t>
        </is>
      </c>
      <c r="G102" s="406" t="n">
        <v>19.97081919</v>
      </c>
      <c r="H102" s="402">
        <f>IFERROR(INDEX('00_TONG_HOP_BAO_GIA'!$G$1:$G$5000, MATCH(B102, '00_TONG_HOP_BAO_GIA'!$B$1:$B$5000, 0)), 1)</f>
        <v/>
      </c>
      <c r="I102" s="407">
        <f>G102*H102</f>
        <v/>
      </c>
      <c r="J102" s="402">
        <f>IFERROR(INDEX('06_BANG_GIA_VAT_TU_AP_DUNG'!$E$1:$E$5000, MATCH(E102, '06_BANG_GIA_VAT_TU_AP_DUNG'!$B$1:$B$5000, 0)), 0)</f>
        <v/>
      </c>
      <c r="K102" s="402">
        <f>I102*J102</f>
        <v/>
      </c>
      <c r="L102" t="inlineStr">
        <is>
          <t>Quy cách 400x350mm, Chu vi phôi 1.530m</t>
        </is>
      </c>
    </row>
    <row r="103">
      <c r="A103" t="inlineStr">
        <is>
          <t>SW-DUCT-248-BODY</t>
        </is>
      </c>
      <c r="B103" t="inlineStr">
        <is>
          <t>SW-DUCT-248</t>
        </is>
      </c>
      <c r="C103" t="inlineStr">
        <is>
          <t>Tôn mạ kẽm PN (1.48mm) - Định mức mét dài</t>
        </is>
      </c>
      <c r="D103" t="inlineStr">
        <is>
          <t>TÔN_CUỘN_MẠ_KẼM</t>
        </is>
      </c>
      <c r="E103" t="inlineStr">
        <is>
          <t>MAT-STEEL-PN-1.48</t>
        </is>
      </c>
      <c r="F103" t="inlineStr">
        <is>
          <t>kg</t>
        </is>
      </c>
      <c r="G103" s="406" t="n">
        <v>18.66553689</v>
      </c>
      <c r="H103" s="402">
        <f>IFERROR(INDEX('00_TONG_HOP_BAO_GIA'!$G$1:$G$5000, MATCH(B103, '00_TONG_HOP_BAO_GIA'!$B$1:$B$5000, 0)), 1)</f>
        <v/>
      </c>
      <c r="I103" s="407">
        <f>G103*H103</f>
        <v/>
      </c>
      <c r="J103" s="402">
        <f>IFERROR(INDEX('06_BANG_GIA_VAT_TU_AP_DUNG'!$E$1:$E$5000, MATCH(E103, '06_BANG_GIA_VAT_TU_AP_DUNG'!$B$1:$B$5000, 0)), 0)</f>
        <v/>
      </c>
      <c r="K103" s="402">
        <f>I103*J103</f>
        <v/>
      </c>
      <c r="L103" t="inlineStr">
        <is>
          <t>Quy cách 500x200mm, Chu vi phôi 1.430m</t>
        </is>
      </c>
    </row>
    <row r="104">
      <c r="A104" t="inlineStr">
        <is>
          <t>SW-DUCT-249-BODY</t>
        </is>
      </c>
      <c r="B104" t="inlineStr">
        <is>
          <t>SW-DUCT-249</t>
        </is>
      </c>
      <c r="C104" t="inlineStr">
        <is>
          <t>Tôn mạ kẽm PN (1.48mm) - Định mức mét dài</t>
        </is>
      </c>
      <c r="D104" t="inlineStr">
        <is>
          <t>TÔN_CUỘN_MẠ_KẼM</t>
        </is>
      </c>
      <c r="E104" t="inlineStr">
        <is>
          <t>MAT-STEEL-PN-1.48</t>
        </is>
      </c>
      <c r="F104" t="inlineStr">
        <is>
          <t>kg</t>
        </is>
      </c>
      <c r="G104" s="406" t="n">
        <v>19.97081919</v>
      </c>
      <c r="H104" s="402">
        <f>IFERROR(INDEX('00_TONG_HOP_BAO_GIA'!$G$1:$G$5000, MATCH(B104, '00_TONG_HOP_BAO_GIA'!$B$1:$B$5000, 0)), 1)</f>
        <v/>
      </c>
      <c r="I104" s="407">
        <f>G104*H104</f>
        <v/>
      </c>
      <c r="J104" s="402">
        <f>IFERROR(INDEX('06_BANG_GIA_VAT_TU_AP_DUNG'!$E$1:$E$5000, MATCH(E104, '06_BANG_GIA_VAT_TU_AP_DUNG'!$B$1:$B$5000, 0)), 0)</f>
        <v/>
      </c>
      <c r="K104" s="402">
        <f>I104*J104</f>
        <v/>
      </c>
      <c r="L104" t="inlineStr">
        <is>
          <t>Quy cách 500x250mm, Chu vi phôi 1.530m</t>
        </is>
      </c>
    </row>
    <row r="105">
      <c r="A105" t="inlineStr">
        <is>
          <t>SW-DUCT-250-BODY</t>
        </is>
      </c>
      <c r="B105" t="inlineStr">
        <is>
          <t>SW-DUCT-250</t>
        </is>
      </c>
      <c r="C105" t="inlineStr">
        <is>
          <t>Tôn mạ kẽm PN (1.48mm) - Định mức mét dài</t>
        </is>
      </c>
      <c r="D105" t="inlineStr">
        <is>
          <t>TÔN_CUỘN_MẠ_KẼM</t>
        </is>
      </c>
      <c r="E105" t="inlineStr">
        <is>
          <t>MAT-STEEL-PN-1.48</t>
        </is>
      </c>
      <c r="F105" t="inlineStr">
        <is>
          <t>kg</t>
        </is>
      </c>
      <c r="G105" s="406" t="n">
        <v>21.27610149</v>
      </c>
      <c r="H105" s="402">
        <f>IFERROR(INDEX('00_TONG_HOP_BAO_GIA'!$G$1:$G$5000, MATCH(B105, '00_TONG_HOP_BAO_GIA'!$B$1:$B$5000, 0)), 1)</f>
        <v/>
      </c>
      <c r="I105" s="407">
        <f>G105*H105</f>
        <v/>
      </c>
      <c r="J105" s="402">
        <f>IFERROR(INDEX('06_BANG_GIA_VAT_TU_AP_DUNG'!$E$1:$E$5000, MATCH(E105, '06_BANG_GIA_VAT_TU_AP_DUNG'!$B$1:$B$5000, 0)), 0)</f>
        <v/>
      </c>
      <c r="K105" s="402">
        <f>I105*J105</f>
        <v/>
      </c>
      <c r="L105" t="inlineStr">
        <is>
          <t>Quy cách 500x300mm, Chu vi phôi 1.630m</t>
        </is>
      </c>
    </row>
    <row r="106">
      <c r="A106" t="inlineStr">
        <is>
          <t>SW-DUCT-251-BODY</t>
        </is>
      </c>
      <c r="B106" t="inlineStr">
        <is>
          <t>SW-DUCT-251</t>
        </is>
      </c>
      <c r="C106" t="inlineStr">
        <is>
          <t>Tôn mạ kẽm PN (1.48mm) - Định mức mét dài</t>
        </is>
      </c>
      <c r="D106" t="inlineStr">
        <is>
          <t>TÔN_CUỘN_MẠ_KẼM</t>
        </is>
      </c>
      <c r="E106" t="inlineStr">
        <is>
          <t>MAT-STEEL-PN-1.48</t>
        </is>
      </c>
      <c r="F106" t="inlineStr">
        <is>
          <t>kg</t>
        </is>
      </c>
      <c r="G106" s="406" t="n">
        <v>21.27610149</v>
      </c>
      <c r="H106" s="402">
        <f>IFERROR(INDEX('00_TONG_HOP_BAO_GIA'!$G$1:$G$5000, MATCH(B106, '00_TONG_HOP_BAO_GIA'!$B$1:$B$5000, 0)), 1)</f>
        <v/>
      </c>
      <c r="I106" s="407">
        <f>G106*H106</f>
        <v/>
      </c>
      <c r="J106" s="402">
        <f>IFERROR(INDEX('06_BANG_GIA_VAT_TU_AP_DUNG'!$E$1:$E$5000, MATCH(E106, '06_BANG_GIA_VAT_TU_AP_DUNG'!$B$1:$B$5000, 0)), 0)</f>
        <v/>
      </c>
      <c r="K106" s="402">
        <f>I106*J106</f>
        <v/>
      </c>
      <c r="L106" t="inlineStr">
        <is>
          <t>Quy cách 500x300mm, Chu vi phôi 1.630m</t>
        </is>
      </c>
    </row>
    <row r="107">
      <c r="A107" t="inlineStr">
        <is>
          <t>SW-DUCT-252-BODY</t>
        </is>
      </c>
      <c r="B107" t="inlineStr">
        <is>
          <t>SW-DUCT-252</t>
        </is>
      </c>
      <c r="C107" t="inlineStr">
        <is>
          <t>Tôn mạ kẽm PN (1.48mm) - Định mức mét dài</t>
        </is>
      </c>
      <c r="D107" t="inlineStr">
        <is>
          <t>TÔN_CUỘN_MẠ_KẼM</t>
        </is>
      </c>
      <c r="E107" t="inlineStr">
        <is>
          <t>MAT-STEEL-PN-1.48</t>
        </is>
      </c>
      <c r="F107" t="inlineStr">
        <is>
          <t>kg</t>
        </is>
      </c>
      <c r="G107" s="406" t="n">
        <v>21.27610149</v>
      </c>
      <c r="H107" s="402">
        <f>IFERROR(INDEX('00_TONG_HOP_BAO_GIA'!$G$1:$G$5000, MATCH(B107, '00_TONG_HOP_BAO_GIA'!$B$1:$B$5000, 0)), 1)</f>
        <v/>
      </c>
      <c r="I107" s="407">
        <f>G107*H107</f>
        <v/>
      </c>
      <c r="J107" s="402">
        <f>IFERROR(INDEX('06_BANG_GIA_VAT_TU_AP_DUNG'!$E$1:$E$5000, MATCH(E107, '06_BANG_GIA_VAT_TU_AP_DUNG'!$B$1:$B$5000, 0)), 0)</f>
        <v/>
      </c>
      <c r="K107" s="402">
        <f>I107*J107</f>
        <v/>
      </c>
      <c r="L107" t="inlineStr">
        <is>
          <t>Quy cách 600x200mm, Chu vi phôi 1.630m</t>
        </is>
      </c>
    </row>
    <row r="108">
      <c r="A108" t="inlineStr">
        <is>
          <t>SW-DUCT-253-BODY</t>
        </is>
      </c>
      <c r="B108" t="inlineStr">
        <is>
          <t>SW-DUCT-253</t>
        </is>
      </c>
      <c r="C108" t="inlineStr">
        <is>
          <t>Tôn mạ kẽm PN (1.48mm) - Định mức mét dài</t>
        </is>
      </c>
      <c r="D108" t="inlineStr">
        <is>
          <t>TÔN_CUỘN_MẠ_KẼM</t>
        </is>
      </c>
      <c r="E108" t="inlineStr">
        <is>
          <t>MAT-STEEL-PN-1.48</t>
        </is>
      </c>
      <c r="F108" t="inlineStr">
        <is>
          <t>kg</t>
        </is>
      </c>
      <c r="G108" s="406" t="n">
        <v>22.58138379</v>
      </c>
      <c r="H108" s="402">
        <f>IFERROR(INDEX('00_TONG_HOP_BAO_GIA'!$G$1:$G$5000, MATCH(B108, '00_TONG_HOP_BAO_GIA'!$B$1:$B$5000, 0)), 1)</f>
        <v/>
      </c>
      <c r="I108" s="407">
        <f>G108*H108</f>
        <v/>
      </c>
      <c r="J108" s="402">
        <f>IFERROR(INDEX('06_BANG_GIA_VAT_TU_AP_DUNG'!$E$1:$E$5000, MATCH(E108, '06_BANG_GIA_VAT_TU_AP_DUNG'!$B$1:$B$5000, 0)), 0)</f>
        <v/>
      </c>
      <c r="K108" s="402">
        <f>I108*J108</f>
        <v/>
      </c>
      <c r="L108" t="inlineStr">
        <is>
          <t>Quy cách 600x250mm, Chu vi phôi 1.730m</t>
        </is>
      </c>
    </row>
    <row r="109">
      <c r="A109" t="inlineStr">
        <is>
          <t>SW-DUCT-254-BODY</t>
        </is>
      </c>
      <c r="B109" t="inlineStr">
        <is>
          <t>SW-DUCT-254</t>
        </is>
      </c>
      <c r="C109" t="inlineStr">
        <is>
          <t>Tôn mạ kẽm PN (1.48mm) - Định mức mét dài</t>
        </is>
      </c>
      <c r="D109" t="inlineStr">
        <is>
          <t>TÔN_CUỘN_MẠ_KẼM</t>
        </is>
      </c>
      <c r="E109" t="inlineStr">
        <is>
          <t>MAT-STEEL-PN-1.48</t>
        </is>
      </c>
      <c r="F109" t="inlineStr">
        <is>
          <t>kg</t>
        </is>
      </c>
      <c r="G109" s="406" t="n">
        <v>23.88666609</v>
      </c>
      <c r="H109" s="402">
        <f>IFERROR(INDEX('00_TONG_HOP_BAO_GIA'!$G$1:$G$5000, MATCH(B109, '00_TONG_HOP_BAO_GIA'!$B$1:$B$5000, 0)), 1)</f>
        <v/>
      </c>
      <c r="I109" s="407">
        <f>G109*H109</f>
        <v/>
      </c>
      <c r="J109" s="402">
        <f>IFERROR(INDEX('06_BANG_GIA_VAT_TU_AP_DUNG'!$E$1:$E$5000, MATCH(E109, '06_BANG_GIA_VAT_TU_AP_DUNG'!$B$1:$B$5000, 0)), 0)</f>
        <v/>
      </c>
      <c r="K109" s="402">
        <f>I109*J109</f>
        <v/>
      </c>
      <c r="L109" t="inlineStr">
        <is>
          <t>Quy cách 600x300mm, Chu vi phôi 1.830m</t>
        </is>
      </c>
    </row>
    <row r="110">
      <c r="A110" t="inlineStr">
        <is>
          <t>SW-DUCT-255-BODY</t>
        </is>
      </c>
      <c r="B110" t="inlineStr">
        <is>
          <t>SW-DUCT-255</t>
        </is>
      </c>
      <c r="C110" t="inlineStr">
        <is>
          <t>Tôn mạ kẽm PN (1.48mm) - Định mức mét dài</t>
        </is>
      </c>
      <c r="D110" t="inlineStr">
        <is>
          <t>TÔN_CUỘN_MẠ_KẼM</t>
        </is>
      </c>
      <c r="E110" t="inlineStr">
        <is>
          <t>MAT-STEEL-PN-1.48</t>
        </is>
      </c>
      <c r="F110" t="inlineStr">
        <is>
          <t>kg</t>
        </is>
      </c>
      <c r="G110" s="406" t="n">
        <v>25.19194839</v>
      </c>
      <c r="H110" s="402">
        <f>IFERROR(INDEX('00_TONG_HOP_BAO_GIA'!$G$1:$G$5000, MATCH(B110, '00_TONG_HOP_BAO_GIA'!$B$1:$B$5000, 0)), 1)</f>
        <v/>
      </c>
      <c r="I110" s="407">
        <f>G110*H110</f>
        <v/>
      </c>
      <c r="J110" s="402">
        <f>IFERROR(INDEX('06_BANG_GIA_VAT_TU_AP_DUNG'!$E$1:$E$5000, MATCH(E110, '06_BANG_GIA_VAT_TU_AP_DUNG'!$B$1:$B$5000, 0)), 0)</f>
        <v/>
      </c>
      <c r="K110" s="402">
        <f>I110*J110</f>
        <v/>
      </c>
      <c r="L110" t="inlineStr">
        <is>
          <t>Quy cách 600x350mm, Chu vi phôi 1.930m</t>
        </is>
      </c>
    </row>
    <row r="111">
      <c r="A111" t="inlineStr">
        <is>
          <t>SW-DUCT-256-BODY</t>
        </is>
      </c>
      <c r="B111" t="inlineStr">
        <is>
          <t>SW-DUCT-256</t>
        </is>
      </c>
      <c r="C111" t="inlineStr">
        <is>
          <t>Tôn mạ kẽm PN (1.48mm) - Định mức mét dài</t>
        </is>
      </c>
      <c r="D111" t="inlineStr">
        <is>
          <t>TÔN_CUỘN_MẠ_KẼM</t>
        </is>
      </c>
      <c r="E111" t="inlineStr">
        <is>
          <t>MAT-STEEL-PN-1.48</t>
        </is>
      </c>
      <c r="F111" t="inlineStr">
        <is>
          <t>kg</t>
        </is>
      </c>
      <c r="G111" s="406" t="n">
        <v>27.80251299</v>
      </c>
      <c r="H111" s="402">
        <f>IFERROR(INDEX('00_TONG_HOP_BAO_GIA'!$G$1:$G$5000, MATCH(B111, '00_TONG_HOP_BAO_GIA'!$B$1:$B$5000, 0)), 1)</f>
        <v/>
      </c>
      <c r="I111" s="407">
        <f>G111*H111</f>
        <v/>
      </c>
      <c r="J111" s="402">
        <f>IFERROR(INDEX('06_BANG_GIA_VAT_TU_AP_DUNG'!$E$1:$E$5000, MATCH(E111, '06_BANG_GIA_VAT_TU_AP_DUNG'!$B$1:$B$5000, 0)), 0)</f>
        <v/>
      </c>
      <c r="K111" s="402">
        <f>I111*J111</f>
        <v/>
      </c>
      <c r="L111" t="inlineStr">
        <is>
          <t>Quy cách 850x200mm, Chu vi phôi 2.130m</t>
        </is>
      </c>
    </row>
    <row r="112">
      <c r="A112" t="inlineStr">
        <is>
          <t>SW-DUCT-257-BODY</t>
        </is>
      </c>
      <c r="B112" t="inlineStr">
        <is>
          <t>SW-DUCT-257</t>
        </is>
      </c>
      <c r="C112" t="inlineStr">
        <is>
          <t>Tôn mạ kẽm PN (1.48mm) - Định mức mét dài</t>
        </is>
      </c>
      <c r="D112" t="inlineStr">
        <is>
          <t>TÔN_CUỘN_MẠ_KẼM</t>
        </is>
      </c>
      <c r="E112" t="inlineStr">
        <is>
          <t>MAT-STEEL-PN-1.48</t>
        </is>
      </c>
      <c r="F112" t="inlineStr">
        <is>
          <t>kg</t>
        </is>
      </c>
      <c r="G112" s="406" t="n">
        <v>33.02364219</v>
      </c>
      <c r="H112" s="402">
        <f>IFERROR(INDEX('00_TONG_HOP_BAO_GIA'!$G$1:$G$5000, MATCH(B112, '00_TONG_HOP_BAO_GIA'!$B$1:$B$5000, 0)), 1)</f>
        <v/>
      </c>
      <c r="I112" s="407">
        <f>G112*H112</f>
        <v/>
      </c>
      <c r="J112" s="402">
        <f>IFERROR(INDEX('06_BANG_GIA_VAT_TU_AP_DUNG'!$E$1:$E$5000, MATCH(E112, '06_BANG_GIA_VAT_TU_AP_DUNG'!$B$1:$B$5000, 0)), 0)</f>
        <v/>
      </c>
      <c r="K112" s="402">
        <f>I112*J112</f>
        <v/>
      </c>
      <c r="L112" t="inlineStr">
        <is>
          <t>Quy cách 1000x250mm, Chu vi phôi 2.530m</t>
        </is>
      </c>
    </row>
    <row r="113">
      <c r="A113" t="inlineStr">
        <is>
          <t>SW-DUCT-258-BODY</t>
        </is>
      </c>
      <c r="B113" t="inlineStr">
        <is>
          <t>SW-DUCT-258</t>
        </is>
      </c>
      <c r="C113" t="inlineStr">
        <is>
          <t>Tôn mạ kẽm PN (1.48mm) - Định mức mét dài</t>
        </is>
      </c>
      <c r="D113" t="inlineStr">
        <is>
          <t>TÔN_CUỘN_MẠ_KẼM</t>
        </is>
      </c>
      <c r="E113" t="inlineStr">
        <is>
          <t>MAT-STEEL-PN-1.48</t>
        </is>
      </c>
      <c r="F113" t="inlineStr">
        <is>
          <t>kg</t>
        </is>
      </c>
      <c r="G113" s="406" t="n">
        <v>36.93948909</v>
      </c>
      <c r="H113" s="402">
        <f>IFERROR(INDEX('00_TONG_HOP_BAO_GIA'!$G$1:$G$5000, MATCH(B113, '00_TONG_HOP_BAO_GIA'!$B$1:$B$5000, 0)), 1)</f>
        <v/>
      </c>
      <c r="I113" s="407">
        <f>G113*H113</f>
        <v/>
      </c>
      <c r="J113" s="402">
        <f>IFERROR(INDEX('06_BANG_GIA_VAT_TU_AP_DUNG'!$E$1:$E$5000, MATCH(E113, '06_BANG_GIA_VAT_TU_AP_DUNG'!$B$1:$B$5000, 0)), 0)</f>
        <v/>
      </c>
      <c r="K113" s="402">
        <f>I113*J113</f>
        <v/>
      </c>
      <c r="L113" t="inlineStr">
        <is>
          <t>Quy cách 1200x200mm, Chu vi phôi 2.830m</t>
        </is>
      </c>
    </row>
    <row r="114">
      <c r="A114" t="inlineStr">
        <is>
          <t>SW-DUCT-259-BODY</t>
        </is>
      </c>
      <c r="B114" t="inlineStr">
        <is>
          <t>SW-DUCT-259</t>
        </is>
      </c>
      <c r="C114" t="inlineStr">
        <is>
          <t>Tôn mạ kẽm PN (1.48mm) - Định mức mét dài</t>
        </is>
      </c>
      <c r="D114" t="inlineStr">
        <is>
          <t>TÔN_CUỘN_MẠ_KẼM</t>
        </is>
      </c>
      <c r="E114" t="inlineStr">
        <is>
          <t>MAT-STEEL-PN-1.48</t>
        </is>
      </c>
      <c r="F114" t="inlineStr">
        <is>
          <t>kg</t>
        </is>
      </c>
      <c r="G114" s="406" t="n">
        <v>51.29759439000001</v>
      </c>
      <c r="H114" s="402">
        <f>IFERROR(INDEX('00_TONG_HOP_BAO_GIA'!$G$1:$G$5000, MATCH(B114, '00_TONG_HOP_BAO_GIA'!$B$1:$B$5000, 0)), 1)</f>
        <v/>
      </c>
      <c r="I114" s="407">
        <f>G114*H114</f>
        <v/>
      </c>
      <c r="J114" s="402">
        <f>IFERROR(INDEX('06_BANG_GIA_VAT_TU_AP_DUNG'!$E$1:$E$5000, MATCH(E114, '06_BANG_GIA_VAT_TU_AP_DUNG'!$B$1:$B$5000, 0)), 0)</f>
        <v/>
      </c>
      <c r="K114" s="402">
        <f>I114*J114</f>
        <v/>
      </c>
      <c r="L114" t="inlineStr">
        <is>
          <t>Quy cách 1700x250mm, Chu vi phôi 3.930m</t>
        </is>
      </c>
    </row>
    <row r="115">
      <c r="A115" t="inlineStr">
        <is>
          <t>SW-TRD-260-TM</t>
        </is>
      </c>
      <c r="B115" t="inlineStr">
        <is>
          <t>SW-TRD-260</t>
        </is>
      </c>
      <c r="C115" t="inlineStr">
        <is>
          <t>MÁNG TÔN ZAM (ĐI ỐNG ĐỒNG NGOÀI TRỜI), KÈM NẮP Vật tư phụ, phụ kiện</t>
        </is>
      </c>
      <c r="D115" t="inlineStr">
        <is>
          <t>THUONG_MAI</t>
        </is>
      </c>
      <c r="E115" t="inlineStr">
        <is>
          <t>MAT-THUONG_MAI-VAT_TU_PHU_PHU_KIEN</t>
        </is>
      </c>
      <c r="F115" t="inlineStr">
        <is>
          <t>Lô</t>
        </is>
      </c>
      <c r="G115" s="406" t="n">
        <v>1</v>
      </c>
      <c r="H115" s="402">
        <f>IFERROR(INDEX('00_TONG_HOP_BAO_GIA'!$G$1:$G$5000, MATCH(B115, '00_TONG_HOP_BAO_GIA'!$B$1:$B$5000, 0)), 1)</f>
        <v/>
      </c>
      <c r="I115" s="407">
        <f>G115*H115</f>
        <v/>
      </c>
      <c r="J115" s="402">
        <f>IFERROR(INDEX('06_BANG_GIA_VAT_TU_AP_DUNG'!$E$1:$E$5000, MATCH(E115, '06_BANG_GIA_VAT_TU_AP_DUNG'!$B$1:$B$5000, 0)), 0)</f>
        <v/>
      </c>
      <c r="K115" s="402">
        <f>I115*J115</f>
        <v/>
      </c>
      <c r="L115" t="inlineStr">
        <is>
          <t>Hàng mua nguyên chiếc</t>
        </is>
      </c>
    </row>
    <row r="116">
      <c r="A116" t="inlineStr">
        <is>
          <t>SW-ACST-261-BODY</t>
        </is>
      </c>
      <c r="B116" t="inlineStr">
        <is>
          <t>SW-ACST-261</t>
        </is>
      </c>
      <c r="C116" t="inlineStr">
        <is>
          <t>Vỏ tôn hộp tiêu âm PN (0.58mm)</t>
        </is>
      </c>
      <c r="D116" t="inlineStr">
        <is>
          <t>TÔN_CUỘN_MẠ_KẼM</t>
        </is>
      </c>
      <c r="E116" t="inlineStr">
        <is>
          <t>MAT-STEEL-PN-0.58</t>
        </is>
      </c>
      <c r="F116" t="inlineStr">
        <is>
          <t>kg</t>
        </is>
      </c>
      <c r="G116" s="406" t="n">
        <v>5.235949999999999</v>
      </c>
      <c r="H116" s="402">
        <f>IFERROR(INDEX('00_TONG_HOP_BAO_GIA'!$G$1:$G$5000, MATCH(B116, '00_TONG_HOP_BAO_GIA'!$B$1:$B$5000, 0)), 1)</f>
        <v/>
      </c>
      <c r="I116" s="407">
        <f>G116*H116</f>
        <v/>
      </c>
      <c r="J116" s="402">
        <f>IFERROR(INDEX('06_BANG_GIA_VAT_TU_AP_DUNG'!$E$1:$E$5000, MATCH(E116, '06_BANG_GIA_VAT_TU_AP_DUNG'!$B$1:$B$5000, 0)), 0)</f>
        <v/>
      </c>
      <c r="K116" s="402">
        <f>I116*J116</f>
        <v/>
      </c>
      <c r="L116" t="inlineStr">
        <is>
          <t>Vỏ tôn bao ngoài (1.00m2)</t>
        </is>
      </c>
    </row>
    <row r="117">
      <c r="A117" t="inlineStr">
        <is>
          <t>SW-ACST-261-ROCKWOOL</t>
        </is>
      </c>
      <c r="B117" t="inlineStr">
        <is>
          <t>SW-ACST-261</t>
        </is>
      </c>
      <c r="C117" t="inlineStr">
        <is>
          <t>Bông Rockwool tỷ trọng 50kg/m3 dày 50mm</t>
        </is>
      </c>
      <c r="D117" t="inlineStr">
        <is>
          <t>VẬT_LIỆU_TIÊU_ÂM</t>
        </is>
      </c>
      <c r="E117" t="inlineStr">
        <is>
          <t>ROCKWOOL_50MM_50KG</t>
        </is>
      </c>
      <c r="F117" t="inlineStr">
        <is>
          <t>m2</t>
        </is>
      </c>
      <c r="G117" s="406" t="n">
        <v>1.1</v>
      </c>
      <c r="H117" s="402">
        <f>IFERROR(INDEX('00_TONG_HOP_BAO_GIA'!$G$1:$G$5000, MATCH(B117, '00_TONG_HOP_BAO_GIA'!$B$1:$B$5000, 0)), 1)</f>
        <v/>
      </c>
      <c r="I117" s="407">
        <f>G117*H117</f>
        <v/>
      </c>
      <c r="J117" s="402">
        <f>IFERROR(INDEX('06_BANG_GIA_VAT_TU_AP_DUNG'!$E$1:$E$5000, MATCH(E117, '06_BANG_GIA_VAT_TU_AP_DUNG'!$B$1:$B$5000, 0)), 0)</f>
        <v/>
      </c>
      <c r="K117" s="402">
        <f>I117*J117</f>
        <v/>
      </c>
      <c r="L117" t="inlineStr">
        <is>
          <t>Diện tích tiêu âm 1.00m2</t>
        </is>
      </c>
    </row>
    <row r="118">
      <c r="A118" t="inlineStr">
        <is>
          <t>SW-ACST-261-GLASSCLOTH</t>
        </is>
      </c>
      <c r="B118" t="inlineStr">
        <is>
          <t>SW-ACST-261</t>
        </is>
      </c>
      <c r="C118" t="inlineStr">
        <is>
          <t>Vải thủy tinh bọc tiêu âm</t>
        </is>
      </c>
      <c r="D118" t="inlineStr">
        <is>
          <t>VẬT_LIỆU_TIÊU_ÂM</t>
        </is>
      </c>
      <c r="E118" t="inlineStr">
        <is>
          <t>GLASS_CLOTH</t>
        </is>
      </c>
      <c r="F118" t="inlineStr">
        <is>
          <t>m2</t>
        </is>
      </c>
      <c r="G118" s="406" t="n">
        <v>1.1</v>
      </c>
      <c r="H118" s="402">
        <f>IFERROR(INDEX('00_TONG_HOP_BAO_GIA'!$G$1:$G$5000, MATCH(B118, '00_TONG_HOP_BAO_GIA'!$B$1:$B$5000, 0)), 1)</f>
        <v/>
      </c>
      <c r="I118" s="407">
        <f>G118*H118</f>
        <v/>
      </c>
      <c r="J118" s="402">
        <f>IFERROR(INDEX('06_BANG_GIA_VAT_TU_AP_DUNG'!$E$1:$E$5000, MATCH(E118, '06_BANG_GIA_VAT_TU_AP_DUNG'!$B$1:$B$5000, 0)), 0)</f>
        <v/>
      </c>
      <c r="K118" s="402">
        <f>I118*J118</f>
        <v/>
      </c>
      <c r="L118" t="inlineStr">
        <is>
          <t>Diện tích tiêu âm 1.00m2</t>
        </is>
      </c>
    </row>
    <row r="119">
      <c r="A119" t="inlineStr">
        <is>
          <t>SW-ACST-261-PERFORATED</t>
        </is>
      </c>
      <c r="B119" t="inlineStr">
        <is>
          <t>SW-ACST-261</t>
        </is>
      </c>
      <c r="C119" t="inlineStr">
        <is>
          <t>Tôn đục lỗ tiêu âm</t>
        </is>
      </c>
      <c r="D119" t="inlineStr">
        <is>
          <t>VẬT_LIỆU_TIÊU_ÂM</t>
        </is>
      </c>
      <c r="E119" t="inlineStr">
        <is>
          <t>PERFORATED_SHEET</t>
        </is>
      </c>
      <c r="F119" t="inlineStr">
        <is>
          <t>m2</t>
        </is>
      </c>
      <c r="G119" s="406" t="n">
        <v>1.1</v>
      </c>
      <c r="H119" s="402">
        <f>IFERROR(INDEX('00_TONG_HOP_BAO_GIA'!$G$1:$G$5000, MATCH(B119, '00_TONG_HOP_BAO_GIA'!$B$1:$B$5000, 0)), 1)</f>
        <v/>
      </c>
      <c r="I119" s="407">
        <f>G119*H119</f>
        <v/>
      </c>
      <c r="J119" s="402">
        <f>IFERROR(INDEX('06_BANG_GIA_VAT_TU_AP_DUNG'!$E$1:$E$5000, MATCH(E119, '06_BANG_GIA_VAT_TU_AP_DUNG'!$B$1:$B$5000, 0)), 0)</f>
        <v/>
      </c>
      <c r="K119" s="402">
        <f>I119*J119</f>
        <v/>
      </c>
      <c r="L119" t="inlineStr">
        <is>
          <t>Bọc mặt trong</t>
        </is>
      </c>
    </row>
    <row r="120">
      <c r="A120" t="inlineStr">
        <is>
          <t>SW-ACST-262-BODY</t>
        </is>
      </c>
      <c r="B120" t="inlineStr">
        <is>
          <t>SW-ACST-262</t>
        </is>
      </c>
      <c r="C120" t="inlineStr">
        <is>
          <t>Vỏ tôn hộp tiêu âm PN (0.58mm)</t>
        </is>
      </c>
      <c r="D120" t="inlineStr">
        <is>
          <t>TÔN_CUỘN_MẠ_KẼM</t>
        </is>
      </c>
      <c r="E120" t="inlineStr">
        <is>
          <t>MAT-STEEL-PN-0.58</t>
        </is>
      </c>
      <c r="F120" t="inlineStr">
        <is>
          <t>kg</t>
        </is>
      </c>
      <c r="G120" s="406" t="n">
        <v>5.235949999999999</v>
      </c>
      <c r="H120" s="402">
        <f>IFERROR(INDEX('00_TONG_HOP_BAO_GIA'!$G$1:$G$5000, MATCH(B120, '00_TONG_HOP_BAO_GIA'!$B$1:$B$5000, 0)), 1)</f>
        <v/>
      </c>
      <c r="I120" s="407">
        <f>G120*H120</f>
        <v/>
      </c>
      <c r="J120" s="402">
        <f>IFERROR(INDEX('06_BANG_GIA_VAT_TU_AP_DUNG'!$E$1:$E$5000, MATCH(E120, '06_BANG_GIA_VAT_TU_AP_DUNG'!$B$1:$B$5000, 0)), 0)</f>
        <v/>
      </c>
      <c r="K120" s="402">
        <f>I120*J120</f>
        <v/>
      </c>
      <c r="L120" t="inlineStr">
        <is>
          <t>Vỏ tôn bao ngoài (1.00m2)</t>
        </is>
      </c>
    </row>
    <row r="121">
      <c r="A121" t="inlineStr">
        <is>
          <t>SW-ACST-262-ROCKWOOL</t>
        </is>
      </c>
      <c r="B121" t="inlineStr">
        <is>
          <t>SW-ACST-262</t>
        </is>
      </c>
      <c r="C121" t="inlineStr">
        <is>
          <t>Bông Rockwool tỷ trọng 50kg/m3 dày 50mm</t>
        </is>
      </c>
      <c r="D121" t="inlineStr">
        <is>
          <t>VẬT_LIỆU_TIÊU_ÂM</t>
        </is>
      </c>
      <c r="E121" t="inlineStr">
        <is>
          <t>ROCKWOOL_50MM_50KG</t>
        </is>
      </c>
      <c r="F121" t="inlineStr">
        <is>
          <t>m2</t>
        </is>
      </c>
      <c r="G121" s="406" t="n">
        <v>1.1</v>
      </c>
      <c r="H121" s="402">
        <f>IFERROR(INDEX('00_TONG_HOP_BAO_GIA'!$G$1:$G$5000, MATCH(B121, '00_TONG_HOP_BAO_GIA'!$B$1:$B$5000, 0)), 1)</f>
        <v/>
      </c>
      <c r="I121" s="407">
        <f>G121*H121</f>
        <v/>
      </c>
      <c r="J121" s="402">
        <f>IFERROR(INDEX('06_BANG_GIA_VAT_TU_AP_DUNG'!$E$1:$E$5000, MATCH(E121, '06_BANG_GIA_VAT_TU_AP_DUNG'!$B$1:$B$5000, 0)), 0)</f>
        <v/>
      </c>
      <c r="K121" s="402">
        <f>I121*J121</f>
        <v/>
      </c>
      <c r="L121" t="inlineStr">
        <is>
          <t>Diện tích tiêu âm 1.00m2</t>
        </is>
      </c>
    </row>
    <row r="122">
      <c r="A122" t="inlineStr">
        <is>
          <t>SW-ACST-262-GLASSCLOTH</t>
        </is>
      </c>
      <c r="B122" t="inlineStr">
        <is>
          <t>SW-ACST-262</t>
        </is>
      </c>
      <c r="C122" t="inlineStr">
        <is>
          <t>Vải thủy tinh bọc tiêu âm</t>
        </is>
      </c>
      <c r="D122" t="inlineStr">
        <is>
          <t>VẬT_LIỆU_TIÊU_ÂM</t>
        </is>
      </c>
      <c r="E122" t="inlineStr">
        <is>
          <t>GLASS_CLOTH</t>
        </is>
      </c>
      <c r="F122" t="inlineStr">
        <is>
          <t>m2</t>
        </is>
      </c>
      <c r="G122" s="406" t="n">
        <v>1.1</v>
      </c>
      <c r="H122" s="402">
        <f>IFERROR(INDEX('00_TONG_HOP_BAO_GIA'!$G$1:$G$5000, MATCH(B122, '00_TONG_HOP_BAO_GIA'!$B$1:$B$5000, 0)), 1)</f>
        <v/>
      </c>
      <c r="I122" s="407">
        <f>G122*H122</f>
        <v/>
      </c>
      <c r="J122" s="402">
        <f>IFERROR(INDEX('06_BANG_GIA_VAT_TU_AP_DUNG'!$E$1:$E$5000, MATCH(E122, '06_BANG_GIA_VAT_TU_AP_DUNG'!$B$1:$B$5000, 0)), 0)</f>
        <v/>
      </c>
      <c r="K122" s="402">
        <f>I122*J122</f>
        <v/>
      </c>
      <c r="L122" t="inlineStr">
        <is>
          <t>Diện tích tiêu âm 1.00m2</t>
        </is>
      </c>
    </row>
    <row r="123">
      <c r="A123" t="inlineStr">
        <is>
          <t>SW-ACST-262-PERFORATED</t>
        </is>
      </c>
      <c r="B123" t="inlineStr">
        <is>
          <t>SW-ACST-262</t>
        </is>
      </c>
      <c r="C123" t="inlineStr">
        <is>
          <t>Tôn đục lỗ tiêu âm</t>
        </is>
      </c>
      <c r="D123" t="inlineStr">
        <is>
          <t>VẬT_LIỆU_TIÊU_ÂM</t>
        </is>
      </c>
      <c r="E123" t="inlineStr">
        <is>
          <t>PERFORATED_SHEET</t>
        </is>
      </c>
      <c r="F123" t="inlineStr">
        <is>
          <t>m2</t>
        </is>
      </c>
      <c r="G123" s="406" t="n">
        <v>1.1</v>
      </c>
      <c r="H123" s="402">
        <f>IFERROR(INDEX('00_TONG_HOP_BAO_GIA'!$G$1:$G$5000, MATCH(B123, '00_TONG_HOP_BAO_GIA'!$B$1:$B$5000, 0)), 1)</f>
        <v/>
      </c>
      <c r="I123" s="407">
        <f>G123*H123</f>
        <v/>
      </c>
      <c r="J123" s="402">
        <f>IFERROR(INDEX('06_BANG_GIA_VAT_TU_AP_DUNG'!$E$1:$E$5000, MATCH(E123, '06_BANG_GIA_VAT_TU_AP_DUNG'!$B$1:$B$5000, 0)), 0)</f>
        <v/>
      </c>
      <c r="K123" s="402">
        <f>I123*J123</f>
        <v/>
      </c>
      <c r="L123" t="inlineStr">
        <is>
          <t>Bọc mặt trong</t>
        </is>
      </c>
    </row>
    <row r="124">
      <c r="A124" t="inlineStr">
        <is>
          <t>SW-ACST-263-BODY</t>
        </is>
      </c>
      <c r="B124" t="inlineStr">
        <is>
          <t>SW-ACST-263</t>
        </is>
      </c>
      <c r="C124" t="inlineStr">
        <is>
          <t>Vỏ tôn hộp tiêu âm PN (0.58mm)</t>
        </is>
      </c>
      <c r="D124" t="inlineStr">
        <is>
          <t>TÔN_CUỘN_MẠ_KẼM</t>
        </is>
      </c>
      <c r="E124" t="inlineStr">
        <is>
          <t>MAT-STEEL-PN-0.58</t>
        </is>
      </c>
      <c r="F124" t="inlineStr">
        <is>
          <t>kg</t>
        </is>
      </c>
      <c r="G124" s="406" t="n">
        <v>5.235949999999999</v>
      </c>
      <c r="H124" s="402">
        <f>IFERROR(INDEX('00_TONG_HOP_BAO_GIA'!$G$1:$G$5000, MATCH(B124, '00_TONG_HOP_BAO_GIA'!$B$1:$B$5000, 0)), 1)</f>
        <v/>
      </c>
      <c r="I124" s="407">
        <f>G124*H124</f>
        <v/>
      </c>
      <c r="J124" s="402">
        <f>IFERROR(INDEX('06_BANG_GIA_VAT_TU_AP_DUNG'!$E$1:$E$5000, MATCH(E124, '06_BANG_GIA_VAT_TU_AP_DUNG'!$B$1:$B$5000, 0)), 0)</f>
        <v/>
      </c>
      <c r="K124" s="402">
        <f>I124*J124</f>
        <v/>
      </c>
      <c r="L124" t="inlineStr">
        <is>
          <t>Vỏ tôn bao ngoài (1.00m2)</t>
        </is>
      </c>
    </row>
    <row r="125">
      <c r="A125" t="inlineStr">
        <is>
          <t>SW-ACST-263-ROCKWOOL</t>
        </is>
      </c>
      <c r="B125" t="inlineStr">
        <is>
          <t>SW-ACST-263</t>
        </is>
      </c>
      <c r="C125" t="inlineStr">
        <is>
          <t>Bông Rockwool tỷ trọng 50kg/m3 dày 50mm</t>
        </is>
      </c>
      <c r="D125" t="inlineStr">
        <is>
          <t>VẬT_LIỆU_TIÊU_ÂM</t>
        </is>
      </c>
      <c r="E125" t="inlineStr">
        <is>
          <t>ROCKWOOL_50MM_50KG</t>
        </is>
      </c>
      <c r="F125" t="inlineStr">
        <is>
          <t>m2</t>
        </is>
      </c>
      <c r="G125" s="406" t="n">
        <v>1.1</v>
      </c>
      <c r="H125" s="402">
        <f>IFERROR(INDEX('00_TONG_HOP_BAO_GIA'!$G$1:$G$5000, MATCH(B125, '00_TONG_HOP_BAO_GIA'!$B$1:$B$5000, 0)), 1)</f>
        <v/>
      </c>
      <c r="I125" s="407">
        <f>G125*H125</f>
        <v/>
      </c>
      <c r="J125" s="402">
        <f>IFERROR(INDEX('06_BANG_GIA_VAT_TU_AP_DUNG'!$E$1:$E$5000, MATCH(E125, '06_BANG_GIA_VAT_TU_AP_DUNG'!$B$1:$B$5000, 0)), 0)</f>
        <v/>
      </c>
      <c r="K125" s="402">
        <f>I125*J125</f>
        <v/>
      </c>
      <c r="L125" t="inlineStr">
        <is>
          <t>Diện tích tiêu âm 1.00m2</t>
        </is>
      </c>
    </row>
    <row r="126">
      <c r="A126" t="inlineStr">
        <is>
          <t>SW-ACST-263-GLASSCLOTH</t>
        </is>
      </c>
      <c r="B126" t="inlineStr">
        <is>
          <t>SW-ACST-263</t>
        </is>
      </c>
      <c r="C126" t="inlineStr">
        <is>
          <t>Vải thủy tinh bọc tiêu âm</t>
        </is>
      </c>
      <c r="D126" t="inlineStr">
        <is>
          <t>VẬT_LIỆU_TIÊU_ÂM</t>
        </is>
      </c>
      <c r="E126" t="inlineStr">
        <is>
          <t>GLASS_CLOTH</t>
        </is>
      </c>
      <c r="F126" t="inlineStr">
        <is>
          <t>m2</t>
        </is>
      </c>
      <c r="G126" s="406" t="n">
        <v>1.1</v>
      </c>
      <c r="H126" s="402">
        <f>IFERROR(INDEX('00_TONG_HOP_BAO_GIA'!$G$1:$G$5000, MATCH(B126, '00_TONG_HOP_BAO_GIA'!$B$1:$B$5000, 0)), 1)</f>
        <v/>
      </c>
      <c r="I126" s="407">
        <f>G126*H126</f>
        <v/>
      </c>
      <c r="J126" s="402">
        <f>IFERROR(INDEX('06_BANG_GIA_VAT_TU_AP_DUNG'!$E$1:$E$5000, MATCH(E126, '06_BANG_GIA_VAT_TU_AP_DUNG'!$B$1:$B$5000, 0)), 0)</f>
        <v/>
      </c>
      <c r="K126" s="402">
        <f>I126*J126</f>
        <v/>
      </c>
      <c r="L126" t="inlineStr">
        <is>
          <t>Diện tích tiêu âm 1.00m2</t>
        </is>
      </c>
    </row>
    <row r="127">
      <c r="A127" t="inlineStr">
        <is>
          <t>SW-ACST-263-PERFORATED</t>
        </is>
      </c>
      <c r="B127" t="inlineStr">
        <is>
          <t>SW-ACST-263</t>
        </is>
      </c>
      <c r="C127" t="inlineStr">
        <is>
          <t>Tôn đục lỗ tiêu âm</t>
        </is>
      </c>
      <c r="D127" t="inlineStr">
        <is>
          <t>VẬT_LIỆU_TIÊU_ÂM</t>
        </is>
      </c>
      <c r="E127" t="inlineStr">
        <is>
          <t>PERFORATED_SHEET</t>
        </is>
      </c>
      <c r="F127" t="inlineStr">
        <is>
          <t>m2</t>
        </is>
      </c>
      <c r="G127" s="406" t="n">
        <v>1.1</v>
      </c>
      <c r="H127" s="402">
        <f>IFERROR(INDEX('00_TONG_HOP_BAO_GIA'!$G$1:$G$5000, MATCH(B127, '00_TONG_HOP_BAO_GIA'!$B$1:$B$5000, 0)), 1)</f>
        <v/>
      </c>
      <c r="I127" s="407">
        <f>G127*H127</f>
        <v/>
      </c>
      <c r="J127" s="402">
        <f>IFERROR(INDEX('06_BANG_GIA_VAT_TU_AP_DUNG'!$E$1:$E$5000, MATCH(E127, '06_BANG_GIA_VAT_TU_AP_DUNG'!$B$1:$B$5000, 0)), 0)</f>
        <v/>
      </c>
      <c r="K127" s="402">
        <f>I127*J127</f>
        <v/>
      </c>
      <c r="L127" t="inlineStr">
        <is>
          <t>Bọc mặt trong</t>
        </is>
      </c>
    </row>
    <row r="128">
      <c r="A128" t="inlineStr">
        <is>
          <t>SW-ACST-264-BODY</t>
        </is>
      </c>
      <c r="B128" t="inlineStr">
        <is>
          <t>SW-ACST-264</t>
        </is>
      </c>
      <c r="C128" t="inlineStr">
        <is>
          <t>Vỏ tôn hộp tiêu âm PN (0.58mm)</t>
        </is>
      </c>
      <c r="D128" t="inlineStr">
        <is>
          <t>TÔN_CUỘN_MẠ_KẼM</t>
        </is>
      </c>
      <c r="E128" t="inlineStr">
        <is>
          <t>MAT-STEEL-PN-0.58</t>
        </is>
      </c>
      <c r="F128" t="inlineStr">
        <is>
          <t>kg</t>
        </is>
      </c>
      <c r="G128" s="406" t="n">
        <v>5.235949999999999</v>
      </c>
      <c r="H128" s="402">
        <f>IFERROR(INDEX('00_TONG_HOP_BAO_GIA'!$G$1:$G$5000, MATCH(B128, '00_TONG_HOP_BAO_GIA'!$B$1:$B$5000, 0)), 1)</f>
        <v/>
      </c>
      <c r="I128" s="407">
        <f>G128*H128</f>
        <v/>
      </c>
      <c r="J128" s="402">
        <f>IFERROR(INDEX('06_BANG_GIA_VAT_TU_AP_DUNG'!$E$1:$E$5000, MATCH(E128, '06_BANG_GIA_VAT_TU_AP_DUNG'!$B$1:$B$5000, 0)), 0)</f>
        <v/>
      </c>
      <c r="K128" s="402">
        <f>I128*J128</f>
        <v/>
      </c>
      <c r="L128" t="inlineStr">
        <is>
          <t>Vỏ tôn bao ngoài (1.00m2)</t>
        </is>
      </c>
    </row>
    <row r="129">
      <c r="A129" t="inlineStr">
        <is>
          <t>SW-ACST-264-ROCKWOOL</t>
        </is>
      </c>
      <c r="B129" t="inlineStr">
        <is>
          <t>SW-ACST-264</t>
        </is>
      </c>
      <c r="C129" t="inlineStr">
        <is>
          <t>Bông Rockwool tỷ trọng 50kg/m3 dày 50mm</t>
        </is>
      </c>
      <c r="D129" t="inlineStr">
        <is>
          <t>VẬT_LIỆU_TIÊU_ÂM</t>
        </is>
      </c>
      <c r="E129" t="inlineStr">
        <is>
          <t>ROCKWOOL_50MM_50KG</t>
        </is>
      </c>
      <c r="F129" t="inlineStr">
        <is>
          <t>m2</t>
        </is>
      </c>
      <c r="G129" s="406" t="n">
        <v>1.1</v>
      </c>
      <c r="H129" s="402">
        <f>IFERROR(INDEX('00_TONG_HOP_BAO_GIA'!$G$1:$G$5000, MATCH(B129, '00_TONG_HOP_BAO_GIA'!$B$1:$B$5000, 0)), 1)</f>
        <v/>
      </c>
      <c r="I129" s="407">
        <f>G129*H129</f>
        <v/>
      </c>
      <c r="J129" s="402">
        <f>IFERROR(INDEX('06_BANG_GIA_VAT_TU_AP_DUNG'!$E$1:$E$5000, MATCH(E129, '06_BANG_GIA_VAT_TU_AP_DUNG'!$B$1:$B$5000, 0)), 0)</f>
        <v/>
      </c>
      <c r="K129" s="402">
        <f>I129*J129</f>
        <v/>
      </c>
      <c r="L129" t="inlineStr">
        <is>
          <t>Diện tích tiêu âm 1.00m2</t>
        </is>
      </c>
    </row>
    <row r="130">
      <c r="A130" t="inlineStr">
        <is>
          <t>SW-ACST-264-GLASSCLOTH</t>
        </is>
      </c>
      <c r="B130" t="inlineStr">
        <is>
          <t>SW-ACST-264</t>
        </is>
      </c>
      <c r="C130" t="inlineStr">
        <is>
          <t>Vải thủy tinh bọc tiêu âm</t>
        </is>
      </c>
      <c r="D130" t="inlineStr">
        <is>
          <t>VẬT_LIỆU_TIÊU_ÂM</t>
        </is>
      </c>
      <c r="E130" t="inlineStr">
        <is>
          <t>GLASS_CLOTH</t>
        </is>
      </c>
      <c r="F130" t="inlineStr">
        <is>
          <t>m2</t>
        </is>
      </c>
      <c r="G130" s="406" t="n">
        <v>1.1</v>
      </c>
      <c r="H130" s="402">
        <f>IFERROR(INDEX('00_TONG_HOP_BAO_GIA'!$G$1:$G$5000, MATCH(B130, '00_TONG_HOP_BAO_GIA'!$B$1:$B$5000, 0)), 1)</f>
        <v/>
      </c>
      <c r="I130" s="407">
        <f>G130*H130</f>
        <v/>
      </c>
      <c r="J130" s="402">
        <f>IFERROR(INDEX('06_BANG_GIA_VAT_TU_AP_DUNG'!$E$1:$E$5000, MATCH(E130, '06_BANG_GIA_VAT_TU_AP_DUNG'!$B$1:$B$5000, 0)), 0)</f>
        <v/>
      </c>
      <c r="K130" s="402">
        <f>I130*J130</f>
        <v/>
      </c>
      <c r="L130" t="inlineStr">
        <is>
          <t>Diện tích tiêu âm 1.00m2</t>
        </is>
      </c>
    </row>
    <row r="131">
      <c r="A131" t="inlineStr">
        <is>
          <t>SW-ACST-264-PERFORATED</t>
        </is>
      </c>
      <c r="B131" t="inlineStr">
        <is>
          <t>SW-ACST-264</t>
        </is>
      </c>
      <c r="C131" t="inlineStr">
        <is>
          <t>Tôn đục lỗ tiêu âm</t>
        </is>
      </c>
      <c r="D131" t="inlineStr">
        <is>
          <t>VẬT_LIỆU_TIÊU_ÂM</t>
        </is>
      </c>
      <c r="E131" t="inlineStr">
        <is>
          <t>PERFORATED_SHEET</t>
        </is>
      </c>
      <c r="F131" t="inlineStr">
        <is>
          <t>m2</t>
        </is>
      </c>
      <c r="G131" s="406" t="n">
        <v>1.1</v>
      </c>
      <c r="H131" s="402">
        <f>IFERROR(INDEX('00_TONG_HOP_BAO_GIA'!$G$1:$G$5000, MATCH(B131, '00_TONG_HOP_BAO_GIA'!$B$1:$B$5000, 0)), 1)</f>
        <v/>
      </c>
      <c r="I131" s="407">
        <f>G131*H131</f>
        <v/>
      </c>
      <c r="J131" s="402">
        <f>IFERROR(INDEX('06_BANG_GIA_VAT_TU_AP_DUNG'!$E$1:$E$5000, MATCH(E131, '06_BANG_GIA_VAT_TU_AP_DUNG'!$B$1:$B$5000, 0)), 0)</f>
        <v/>
      </c>
      <c r="K131" s="402">
        <f>I131*J131</f>
        <v/>
      </c>
      <c r="L131" t="inlineStr">
        <is>
          <t>Bọc mặt trong</t>
        </is>
      </c>
    </row>
    <row r="132">
      <c r="A132" t="inlineStr">
        <is>
          <t>SW-ACST-265-BODY</t>
        </is>
      </c>
      <c r="B132" t="inlineStr">
        <is>
          <t>SW-ACST-265</t>
        </is>
      </c>
      <c r="C132" t="inlineStr">
        <is>
          <t>Vỏ tôn hộp tiêu âm PN (0.58mm)</t>
        </is>
      </c>
      <c r="D132" t="inlineStr">
        <is>
          <t>TÔN_CUỘN_MẠ_KẼM</t>
        </is>
      </c>
      <c r="E132" t="inlineStr">
        <is>
          <t>MAT-STEEL-PN-0.58</t>
        </is>
      </c>
      <c r="F132" t="inlineStr">
        <is>
          <t>kg</t>
        </is>
      </c>
      <c r="G132" s="406" t="n">
        <v>5.235949999999999</v>
      </c>
      <c r="H132" s="402">
        <f>IFERROR(INDEX('00_TONG_HOP_BAO_GIA'!$G$1:$G$5000, MATCH(B132, '00_TONG_HOP_BAO_GIA'!$B$1:$B$5000, 0)), 1)</f>
        <v/>
      </c>
      <c r="I132" s="407">
        <f>G132*H132</f>
        <v/>
      </c>
      <c r="J132" s="402">
        <f>IFERROR(INDEX('06_BANG_GIA_VAT_TU_AP_DUNG'!$E$1:$E$5000, MATCH(E132, '06_BANG_GIA_VAT_TU_AP_DUNG'!$B$1:$B$5000, 0)), 0)</f>
        <v/>
      </c>
      <c r="K132" s="402">
        <f>I132*J132</f>
        <v/>
      </c>
      <c r="L132" t="inlineStr">
        <is>
          <t>Vỏ tôn bao ngoài (1.00m2)</t>
        </is>
      </c>
    </row>
    <row r="133">
      <c r="A133" t="inlineStr">
        <is>
          <t>SW-ACST-265-ROCKWOOL</t>
        </is>
      </c>
      <c r="B133" t="inlineStr">
        <is>
          <t>SW-ACST-265</t>
        </is>
      </c>
      <c r="C133" t="inlineStr">
        <is>
          <t>Bông Rockwool tỷ trọng 50kg/m3 dày 50mm</t>
        </is>
      </c>
      <c r="D133" t="inlineStr">
        <is>
          <t>VẬT_LIỆU_TIÊU_ÂM</t>
        </is>
      </c>
      <c r="E133" t="inlineStr">
        <is>
          <t>ROCKWOOL_50MM_50KG</t>
        </is>
      </c>
      <c r="F133" t="inlineStr">
        <is>
          <t>m2</t>
        </is>
      </c>
      <c r="G133" s="406" t="n">
        <v>1.1</v>
      </c>
      <c r="H133" s="402">
        <f>IFERROR(INDEX('00_TONG_HOP_BAO_GIA'!$G$1:$G$5000, MATCH(B133, '00_TONG_HOP_BAO_GIA'!$B$1:$B$5000, 0)), 1)</f>
        <v/>
      </c>
      <c r="I133" s="407">
        <f>G133*H133</f>
        <v/>
      </c>
      <c r="J133" s="402">
        <f>IFERROR(INDEX('06_BANG_GIA_VAT_TU_AP_DUNG'!$E$1:$E$5000, MATCH(E133, '06_BANG_GIA_VAT_TU_AP_DUNG'!$B$1:$B$5000, 0)), 0)</f>
        <v/>
      </c>
      <c r="K133" s="402">
        <f>I133*J133</f>
        <v/>
      </c>
      <c r="L133" t="inlineStr">
        <is>
          <t>Diện tích tiêu âm 1.00m2</t>
        </is>
      </c>
    </row>
    <row r="134">
      <c r="A134" t="inlineStr">
        <is>
          <t>SW-ACST-265-GLASSCLOTH</t>
        </is>
      </c>
      <c r="B134" t="inlineStr">
        <is>
          <t>SW-ACST-265</t>
        </is>
      </c>
      <c r="C134" t="inlineStr">
        <is>
          <t>Vải thủy tinh bọc tiêu âm</t>
        </is>
      </c>
      <c r="D134" t="inlineStr">
        <is>
          <t>VẬT_LIỆU_TIÊU_ÂM</t>
        </is>
      </c>
      <c r="E134" t="inlineStr">
        <is>
          <t>GLASS_CLOTH</t>
        </is>
      </c>
      <c r="F134" t="inlineStr">
        <is>
          <t>m2</t>
        </is>
      </c>
      <c r="G134" s="406" t="n">
        <v>1.1</v>
      </c>
      <c r="H134" s="402">
        <f>IFERROR(INDEX('00_TONG_HOP_BAO_GIA'!$G$1:$G$5000, MATCH(B134, '00_TONG_HOP_BAO_GIA'!$B$1:$B$5000, 0)), 1)</f>
        <v/>
      </c>
      <c r="I134" s="407">
        <f>G134*H134</f>
        <v/>
      </c>
      <c r="J134" s="402">
        <f>IFERROR(INDEX('06_BANG_GIA_VAT_TU_AP_DUNG'!$E$1:$E$5000, MATCH(E134, '06_BANG_GIA_VAT_TU_AP_DUNG'!$B$1:$B$5000, 0)), 0)</f>
        <v/>
      </c>
      <c r="K134" s="402">
        <f>I134*J134</f>
        <v/>
      </c>
      <c r="L134" t="inlineStr">
        <is>
          <t>Diện tích tiêu âm 1.00m2</t>
        </is>
      </c>
    </row>
    <row r="135">
      <c r="A135" t="inlineStr">
        <is>
          <t>SW-ACST-265-PERFORATED</t>
        </is>
      </c>
      <c r="B135" t="inlineStr">
        <is>
          <t>SW-ACST-265</t>
        </is>
      </c>
      <c r="C135" t="inlineStr">
        <is>
          <t>Tôn đục lỗ tiêu âm</t>
        </is>
      </c>
      <c r="D135" t="inlineStr">
        <is>
          <t>VẬT_LIỆU_TIÊU_ÂM</t>
        </is>
      </c>
      <c r="E135" t="inlineStr">
        <is>
          <t>PERFORATED_SHEET</t>
        </is>
      </c>
      <c r="F135" t="inlineStr">
        <is>
          <t>m2</t>
        </is>
      </c>
      <c r="G135" s="406" t="n">
        <v>1.1</v>
      </c>
      <c r="H135" s="402">
        <f>IFERROR(INDEX('00_TONG_HOP_BAO_GIA'!$G$1:$G$5000, MATCH(B135, '00_TONG_HOP_BAO_GIA'!$B$1:$B$5000, 0)), 1)</f>
        <v/>
      </c>
      <c r="I135" s="407">
        <f>G135*H135</f>
        <v/>
      </c>
      <c r="J135" s="402">
        <f>IFERROR(INDEX('06_BANG_GIA_VAT_TU_AP_DUNG'!$E$1:$E$5000, MATCH(E135, '06_BANG_GIA_VAT_TU_AP_DUNG'!$B$1:$B$5000, 0)), 0)</f>
        <v/>
      </c>
      <c r="K135" s="402">
        <f>I135*J135</f>
        <v/>
      </c>
      <c r="L135" t="inlineStr">
        <is>
          <t>Bọc mặt trong</t>
        </is>
      </c>
    </row>
    <row r="136">
      <c r="A136" t="inlineStr">
        <is>
          <t>SW-ACST-266-BODY</t>
        </is>
      </c>
      <c r="B136" t="inlineStr">
        <is>
          <t>SW-ACST-266</t>
        </is>
      </c>
      <c r="C136" t="inlineStr">
        <is>
          <t>Vỏ tôn hộp tiêu âm PN (0.58mm)</t>
        </is>
      </c>
      <c r="D136" t="inlineStr">
        <is>
          <t>TÔN_CUỘN_MẠ_KẼM</t>
        </is>
      </c>
      <c r="E136" t="inlineStr">
        <is>
          <t>MAT-STEEL-PN-0.58</t>
        </is>
      </c>
      <c r="F136" t="inlineStr">
        <is>
          <t>kg</t>
        </is>
      </c>
      <c r="G136" s="406" t="n">
        <v>5.235949999999999</v>
      </c>
      <c r="H136" s="402">
        <f>IFERROR(INDEX('00_TONG_HOP_BAO_GIA'!$G$1:$G$5000, MATCH(B136, '00_TONG_HOP_BAO_GIA'!$B$1:$B$5000, 0)), 1)</f>
        <v/>
      </c>
      <c r="I136" s="407">
        <f>G136*H136</f>
        <v/>
      </c>
      <c r="J136" s="402">
        <f>IFERROR(INDEX('06_BANG_GIA_VAT_TU_AP_DUNG'!$E$1:$E$5000, MATCH(E136, '06_BANG_GIA_VAT_TU_AP_DUNG'!$B$1:$B$5000, 0)), 0)</f>
        <v/>
      </c>
      <c r="K136" s="402">
        <f>I136*J136</f>
        <v/>
      </c>
      <c r="L136" t="inlineStr">
        <is>
          <t>Vỏ tôn bao ngoài (1.00m2)</t>
        </is>
      </c>
    </row>
    <row r="137">
      <c r="A137" t="inlineStr">
        <is>
          <t>SW-ACST-266-ROCKWOOL</t>
        </is>
      </c>
      <c r="B137" t="inlineStr">
        <is>
          <t>SW-ACST-266</t>
        </is>
      </c>
      <c r="C137" t="inlineStr">
        <is>
          <t>Bông Rockwool tỷ trọng 50kg/m3 dày 50mm</t>
        </is>
      </c>
      <c r="D137" t="inlineStr">
        <is>
          <t>VẬT_LIỆU_TIÊU_ÂM</t>
        </is>
      </c>
      <c r="E137" t="inlineStr">
        <is>
          <t>ROCKWOOL_50MM_50KG</t>
        </is>
      </c>
      <c r="F137" t="inlineStr">
        <is>
          <t>m2</t>
        </is>
      </c>
      <c r="G137" s="406" t="n">
        <v>1.1</v>
      </c>
      <c r="H137" s="402">
        <f>IFERROR(INDEX('00_TONG_HOP_BAO_GIA'!$G$1:$G$5000, MATCH(B137, '00_TONG_HOP_BAO_GIA'!$B$1:$B$5000, 0)), 1)</f>
        <v/>
      </c>
      <c r="I137" s="407">
        <f>G137*H137</f>
        <v/>
      </c>
      <c r="J137" s="402">
        <f>IFERROR(INDEX('06_BANG_GIA_VAT_TU_AP_DUNG'!$E$1:$E$5000, MATCH(E137, '06_BANG_GIA_VAT_TU_AP_DUNG'!$B$1:$B$5000, 0)), 0)</f>
        <v/>
      </c>
      <c r="K137" s="402">
        <f>I137*J137</f>
        <v/>
      </c>
      <c r="L137" t="inlineStr">
        <is>
          <t>Diện tích tiêu âm 1.00m2</t>
        </is>
      </c>
    </row>
    <row r="138">
      <c r="A138" t="inlineStr">
        <is>
          <t>SW-ACST-266-GLASSCLOTH</t>
        </is>
      </c>
      <c r="B138" t="inlineStr">
        <is>
          <t>SW-ACST-266</t>
        </is>
      </c>
      <c r="C138" t="inlineStr">
        <is>
          <t>Vải thủy tinh bọc tiêu âm</t>
        </is>
      </c>
      <c r="D138" t="inlineStr">
        <is>
          <t>VẬT_LIỆU_TIÊU_ÂM</t>
        </is>
      </c>
      <c r="E138" t="inlineStr">
        <is>
          <t>GLASS_CLOTH</t>
        </is>
      </c>
      <c r="F138" t="inlineStr">
        <is>
          <t>m2</t>
        </is>
      </c>
      <c r="G138" s="406" t="n">
        <v>1.1</v>
      </c>
      <c r="H138" s="402">
        <f>IFERROR(INDEX('00_TONG_HOP_BAO_GIA'!$G$1:$G$5000, MATCH(B138, '00_TONG_HOP_BAO_GIA'!$B$1:$B$5000, 0)), 1)</f>
        <v/>
      </c>
      <c r="I138" s="407">
        <f>G138*H138</f>
        <v/>
      </c>
      <c r="J138" s="402">
        <f>IFERROR(INDEX('06_BANG_GIA_VAT_TU_AP_DUNG'!$E$1:$E$5000, MATCH(E138, '06_BANG_GIA_VAT_TU_AP_DUNG'!$B$1:$B$5000, 0)), 0)</f>
        <v/>
      </c>
      <c r="K138" s="402">
        <f>I138*J138</f>
        <v/>
      </c>
      <c r="L138" t="inlineStr">
        <is>
          <t>Diện tích tiêu âm 1.00m2</t>
        </is>
      </c>
    </row>
    <row r="139">
      <c r="A139" t="inlineStr">
        <is>
          <t>SW-ACST-266-PERFORATED</t>
        </is>
      </c>
      <c r="B139" t="inlineStr">
        <is>
          <t>SW-ACST-266</t>
        </is>
      </c>
      <c r="C139" t="inlineStr">
        <is>
          <t>Tôn đục lỗ tiêu âm</t>
        </is>
      </c>
      <c r="D139" t="inlineStr">
        <is>
          <t>VẬT_LIỆU_TIÊU_ÂM</t>
        </is>
      </c>
      <c r="E139" t="inlineStr">
        <is>
          <t>PERFORATED_SHEET</t>
        </is>
      </c>
      <c r="F139" t="inlineStr">
        <is>
          <t>m2</t>
        </is>
      </c>
      <c r="G139" s="406" t="n">
        <v>1.1</v>
      </c>
      <c r="H139" s="402">
        <f>IFERROR(INDEX('00_TONG_HOP_BAO_GIA'!$G$1:$G$5000, MATCH(B139, '00_TONG_HOP_BAO_GIA'!$B$1:$B$5000, 0)), 1)</f>
        <v/>
      </c>
      <c r="I139" s="407">
        <f>G139*H139</f>
        <v/>
      </c>
      <c r="J139" s="402">
        <f>IFERROR(INDEX('06_BANG_GIA_VAT_TU_AP_DUNG'!$E$1:$E$5000, MATCH(E139, '06_BANG_GIA_VAT_TU_AP_DUNG'!$B$1:$B$5000, 0)), 0)</f>
        <v/>
      </c>
      <c r="K139" s="402">
        <f>I139*J139</f>
        <v/>
      </c>
      <c r="L139" t="inlineStr">
        <is>
          <t>Bọc mặt trong</t>
        </is>
      </c>
    </row>
    <row r="140">
      <c r="A140" t="inlineStr">
        <is>
          <t>SW-ACST-267-BODY</t>
        </is>
      </c>
      <c r="B140" t="inlineStr">
        <is>
          <t>SW-ACST-267</t>
        </is>
      </c>
      <c r="C140" t="inlineStr">
        <is>
          <t>Vỏ tôn hộp tiêu âm PN (0.58mm)</t>
        </is>
      </c>
      <c r="D140" t="inlineStr">
        <is>
          <t>TÔN_CUỘN_MẠ_KẼM</t>
        </is>
      </c>
      <c r="E140" t="inlineStr">
        <is>
          <t>MAT-STEEL-PN-0.58</t>
        </is>
      </c>
      <c r="F140" t="inlineStr">
        <is>
          <t>kg</t>
        </is>
      </c>
      <c r="G140" s="406" t="n">
        <v>5.235949999999999</v>
      </c>
      <c r="H140" s="402">
        <f>IFERROR(INDEX('00_TONG_HOP_BAO_GIA'!$G$1:$G$5000, MATCH(B140, '00_TONG_HOP_BAO_GIA'!$B$1:$B$5000, 0)), 1)</f>
        <v/>
      </c>
      <c r="I140" s="407">
        <f>G140*H140</f>
        <v/>
      </c>
      <c r="J140" s="402">
        <f>IFERROR(INDEX('06_BANG_GIA_VAT_TU_AP_DUNG'!$E$1:$E$5000, MATCH(E140, '06_BANG_GIA_VAT_TU_AP_DUNG'!$B$1:$B$5000, 0)), 0)</f>
        <v/>
      </c>
      <c r="K140" s="402">
        <f>I140*J140</f>
        <v/>
      </c>
      <c r="L140" t="inlineStr">
        <is>
          <t>Vỏ tôn bao ngoài (1.00m2)</t>
        </is>
      </c>
    </row>
    <row r="141">
      <c r="A141" t="inlineStr">
        <is>
          <t>SW-ACST-267-ROCKWOOL</t>
        </is>
      </c>
      <c r="B141" t="inlineStr">
        <is>
          <t>SW-ACST-267</t>
        </is>
      </c>
      <c r="C141" t="inlineStr">
        <is>
          <t>Bông Rockwool tỷ trọng 50kg/m3 dày 50mm</t>
        </is>
      </c>
      <c r="D141" t="inlineStr">
        <is>
          <t>VẬT_LIỆU_TIÊU_ÂM</t>
        </is>
      </c>
      <c r="E141" t="inlineStr">
        <is>
          <t>ROCKWOOL_50MM_50KG</t>
        </is>
      </c>
      <c r="F141" t="inlineStr">
        <is>
          <t>m2</t>
        </is>
      </c>
      <c r="G141" s="406" t="n">
        <v>1.1</v>
      </c>
      <c r="H141" s="402">
        <f>IFERROR(INDEX('00_TONG_HOP_BAO_GIA'!$G$1:$G$5000, MATCH(B141, '00_TONG_HOP_BAO_GIA'!$B$1:$B$5000, 0)), 1)</f>
        <v/>
      </c>
      <c r="I141" s="407">
        <f>G141*H141</f>
        <v/>
      </c>
      <c r="J141" s="402">
        <f>IFERROR(INDEX('06_BANG_GIA_VAT_TU_AP_DUNG'!$E$1:$E$5000, MATCH(E141, '06_BANG_GIA_VAT_TU_AP_DUNG'!$B$1:$B$5000, 0)), 0)</f>
        <v/>
      </c>
      <c r="K141" s="402">
        <f>I141*J141</f>
        <v/>
      </c>
      <c r="L141" t="inlineStr">
        <is>
          <t>Diện tích tiêu âm 1.00m2</t>
        </is>
      </c>
    </row>
    <row r="142">
      <c r="A142" t="inlineStr">
        <is>
          <t>SW-ACST-267-GLASSCLOTH</t>
        </is>
      </c>
      <c r="B142" t="inlineStr">
        <is>
          <t>SW-ACST-267</t>
        </is>
      </c>
      <c r="C142" t="inlineStr">
        <is>
          <t>Vải thủy tinh bọc tiêu âm</t>
        </is>
      </c>
      <c r="D142" t="inlineStr">
        <is>
          <t>VẬT_LIỆU_TIÊU_ÂM</t>
        </is>
      </c>
      <c r="E142" t="inlineStr">
        <is>
          <t>GLASS_CLOTH</t>
        </is>
      </c>
      <c r="F142" t="inlineStr">
        <is>
          <t>m2</t>
        </is>
      </c>
      <c r="G142" s="406" t="n">
        <v>1.1</v>
      </c>
      <c r="H142" s="402">
        <f>IFERROR(INDEX('00_TONG_HOP_BAO_GIA'!$G$1:$G$5000, MATCH(B142, '00_TONG_HOP_BAO_GIA'!$B$1:$B$5000, 0)), 1)</f>
        <v/>
      </c>
      <c r="I142" s="407">
        <f>G142*H142</f>
        <v/>
      </c>
      <c r="J142" s="402">
        <f>IFERROR(INDEX('06_BANG_GIA_VAT_TU_AP_DUNG'!$E$1:$E$5000, MATCH(E142, '06_BANG_GIA_VAT_TU_AP_DUNG'!$B$1:$B$5000, 0)), 0)</f>
        <v/>
      </c>
      <c r="K142" s="402">
        <f>I142*J142</f>
        <v/>
      </c>
      <c r="L142" t="inlineStr">
        <is>
          <t>Diện tích tiêu âm 1.00m2</t>
        </is>
      </c>
    </row>
    <row r="143">
      <c r="A143" t="inlineStr">
        <is>
          <t>SW-ACST-267-PERFORATED</t>
        </is>
      </c>
      <c r="B143" t="inlineStr">
        <is>
          <t>SW-ACST-267</t>
        </is>
      </c>
      <c r="C143" t="inlineStr">
        <is>
          <t>Tôn đục lỗ tiêu âm</t>
        </is>
      </c>
      <c r="D143" t="inlineStr">
        <is>
          <t>VẬT_LIỆU_TIÊU_ÂM</t>
        </is>
      </c>
      <c r="E143" t="inlineStr">
        <is>
          <t>PERFORATED_SHEET</t>
        </is>
      </c>
      <c r="F143" t="inlineStr">
        <is>
          <t>m2</t>
        </is>
      </c>
      <c r="G143" s="406" t="n">
        <v>1.1</v>
      </c>
      <c r="H143" s="402">
        <f>IFERROR(INDEX('00_TONG_HOP_BAO_GIA'!$G$1:$G$5000, MATCH(B143, '00_TONG_HOP_BAO_GIA'!$B$1:$B$5000, 0)), 1)</f>
        <v/>
      </c>
      <c r="I143" s="407">
        <f>G143*H143</f>
        <v/>
      </c>
      <c r="J143" s="402">
        <f>IFERROR(INDEX('06_BANG_GIA_VAT_TU_AP_DUNG'!$E$1:$E$5000, MATCH(E143, '06_BANG_GIA_VAT_TU_AP_DUNG'!$B$1:$B$5000, 0)), 0)</f>
        <v/>
      </c>
      <c r="K143" s="402">
        <f>I143*J143</f>
        <v/>
      </c>
      <c r="L143" t="inlineStr">
        <is>
          <t>Bọc mặt trong</t>
        </is>
      </c>
    </row>
    <row r="144">
      <c r="A144" t="inlineStr">
        <is>
          <t>SW-TRD-277-TM</t>
        </is>
      </c>
      <c r="B144" t="inlineStr">
        <is>
          <t>SW-TRD-277</t>
        </is>
      </c>
      <c r="C144" t="inlineStr">
        <is>
          <t>Miệng gió cấp,hồi cho máy lạnh Vật tư phụ, phụ kiện</t>
        </is>
      </c>
      <c r="D144" t="inlineStr">
        <is>
          <t>THUONG_MAI</t>
        </is>
      </c>
      <c r="E144" t="inlineStr">
        <is>
          <t>MAT-THUONG_MAI-VAT_TU_PHU_PHU_KIEN</t>
        </is>
      </c>
      <c r="F144" t="inlineStr">
        <is>
          <t>Lô</t>
        </is>
      </c>
      <c r="G144" s="406" t="n">
        <v>1</v>
      </c>
      <c r="H144" s="402">
        <f>IFERROR(INDEX('00_TONG_HOP_BAO_GIA'!$G$1:$G$5000, MATCH(B144, '00_TONG_HOP_BAO_GIA'!$B$1:$B$5000, 0)), 1)</f>
        <v/>
      </c>
      <c r="I144" s="407">
        <f>G144*H144</f>
        <v/>
      </c>
      <c r="J144" s="402">
        <f>IFERROR(INDEX('06_BANG_GIA_VAT_TU_AP_DUNG'!$E$1:$E$5000, MATCH(E144, '06_BANG_GIA_VAT_TU_AP_DUNG'!$B$1:$B$5000, 0)), 0)</f>
        <v/>
      </c>
      <c r="K144" s="402">
        <f>I144*J144</f>
        <v/>
      </c>
      <c r="L144" t="inlineStr">
        <is>
          <t>Hàng mua nguyên chiếc</t>
        </is>
      </c>
    </row>
    <row r="145">
      <c r="A145" t="inlineStr">
        <is>
          <t>SW-DUCT-278-BODY</t>
        </is>
      </c>
      <c r="B145" t="inlineStr">
        <is>
          <t>SW-DUCT-278</t>
        </is>
      </c>
      <c r="C145" t="inlineStr">
        <is>
          <t>Tôn mạ kẽm PN (0.58mm) - Định mức m²</t>
        </is>
      </c>
      <c r="D145" t="inlineStr">
        <is>
          <t>TÔN_CUỘN_MẠ_KẼM</t>
        </is>
      </c>
      <c r="E145" t="inlineStr">
        <is>
          <t>MAT-STEEL-PN-0.58</t>
        </is>
      </c>
      <c r="F145" t="inlineStr">
        <is>
          <t>kg</t>
        </is>
      </c>
      <c r="G145" s="406" t="n">
        <v>5.163101999999999</v>
      </c>
      <c r="H145" s="402">
        <f>IFERROR(INDEX('00_TONG_HOP_BAO_GIA'!$G$1:$G$5000, MATCH(B145, '00_TONG_HOP_BAO_GIA'!$B$1:$B$5000, 0)), 1)</f>
        <v/>
      </c>
      <c r="I145" s="407">
        <f>G145*H145</f>
        <v/>
      </c>
      <c r="J145" s="402">
        <f>IFERROR(INDEX('06_BANG_GIA_VAT_TU_AP_DUNG'!$E$1:$E$5000, MATCH(E145, '06_BANG_GIA_VAT_TU_AP_DUNG'!$B$1:$B$5000, 0)), 0)</f>
        <v/>
      </c>
      <c r="K145" s="402">
        <f>I145*J145</f>
        <v/>
      </c>
      <c r="L145" t="inlineStr">
        <is>
          <t>Định mức tôn cho 1m² ống: phôi x1.08, hao hụt x1.05</t>
        </is>
      </c>
    </row>
    <row r="146">
      <c r="A146" t="inlineStr">
        <is>
          <t>SW-FLEX-279-TM</t>
        </is>
      </c>
      <c r="B146" t="inlineStr">
        <is>
          <t>SW-FLEX-279</t>
        </is>
      </c>
      <c r="C146" t="inlineStr">
        <is>
          <t>ỐNG GIÓ LẠNH, BOX MIỆNG GIÓ Ống gió mềm D350 cách nhiệt dày 25mm</t>
        </is>
      </c>
      <c r="D146" t="inlineStr">
        <is>
          <t>ONG_MEM</t>
        </is>
      </c>
      <c r="E146" t="inlineStr">
        <is>
          <t>FLEX_DUCT_D350_INSUL</t>
        </is>
      </c>
      <c r="F146" t="inlineStr">
        <is>
          <t>ống</t>
        </is>
      </c>
      <c r="G146" s="406" t="n">
        <v>0.125</v>
      </c>
      <c r="H146" s="402">
        <f>IFERROR(INDEX('00_TONG_HOP_BAO_GIA'!$G$1:$G$5000, MATCH(B146, '00_TONG_HOP_BAO_GIA'!$B$1:$B$5000, 0)), 1)</f>
        <v/>
      </c>
      <c r="I146" s="407">
        <f>G146*H146</f>
        <v/>
      </c>
      <c r="J146" s="402">
        <f>IFERROR(INDEX('06_BANG_GIA_VAT_TU_AP_DUNG'!$E$1:$E$5000, MATCH(E146, '06_BANG_GIA_VAT_TU_AP_DUNG'!$B$1:$B$5000, 0)), 0)</f>
        <v/>
      </c>
      <c r="K146" s="402">
        <f>I146*J146</f>
        <v/>
      </c>
      <c r="L146" t="inlineStr">
        <is>
          <t>Ống mềm quy đổi chuẩn 8m/ống</t>
        </is>
      </c>
    </row>
    <row r="147">
      <c r="A147" t="inlineStr">
        <is>
          <t>SW-FLEX-280-TM</t>
        </is>
      </c>
      <c r="B147" t="inlineStr">
        <is>
          <t>SW-FLEX-280</t>
        </is>
      </c>
      <c r="C147" t="inlineStr">
        <is>
          <t>ỐNG GIÓ LẠNH, BOX MIỆNG GIÓ Ống gió mềm D300 cách nhiệt dày 25mm</t>
        </is>
      </c>
      <c r="D147" t="inlineStr">
        <is>
          <t>ONG_MEM</t>
        </is>
      </c>
      <c r="E147" t="inlineStr">
        <is>
          <t>FLEX_DUCT_D300_INSUL</t>
        </is>
      </c>
      <c r="F147" t="inlineStr">
        <is>
          <t>ống</t>
        </is>
      </c>
      <c r="G147" s="406" t="n">
        <v>0.125</v>
      </c>
      <c r="H147" s="402">
        <f>IFERROR(INDEX('00_TONG_HOP_BAO_GIA'!$G$1:$G$5000, MATCH(B147, '00_TONG_HOP_BAO_GIA'!$B$1:$B$5000, 0)), 1)</f>
        <v/>
      </c>
      <c r="I147" s="407">
        <f>G147*H147</f>
        <v/>
      </c>
      <c r="J147" s="402">
        <f>IFERROR(INDEX('06_BANG_GIA_VAT_TU_AP_DUNG'!$E$1:$E$5000, MATCH(E147, '06_BANG_GIA_VAT_TU_AP_DUNG'!$B$1:$B$5000, 0)), 0)</f>
        <v/>
      </c>
      <c r="K147" s="402">
        <f>I147*J147</f>
        <v/>
      </c>
      <c r="L147" t="inlineStr">
        <is>
          <t>Ống mềm quy đổi chuẩn 8m/ống</t>
        </is>
      </c>
    </row>
    <row r="148">
      <c r="A148" t="inlineStr">
        <is>
          <t>SW-FLEX-281-TM</t>
        </is>
      </c>
      <c r="B148" t="inlineStr">
        <is>
          <t>SW-FLEX-281</t>
        </is>
      </c>
      <c r="C148" t="inlineStr">
        <is>
          <t>ỐNG GIÓ LẠNH, BOX MIỆNG GIÓ Ống gió mềm D250 cách nhiệt dày 25mm</t>
        </is>
      </c>
      <c r="D148" t="inlineStr">
        <is>
          <t>ONG_MEM</t>
        </is>
      </c>
      <c r="E148" t="inlineStr">
        <is>
          <t>FLEX_DUCT_D250_INSUL</t>
        </is>
      </c>
      <c r="F148" t="inlineStr">
        <is>
          <t>ống</t>
        </is>
      </c>
      <c r="G148" s="406" t="n">
        <v>0.125</v>
      </c>
      <c r="H148" s="402">
        <f>IFERROR(INDEX('00_TONG_HOP_BAO_GIA'!$G$1:$G$5000, MATCH(B148, '00_TONG_HOP_BAO_GIA'!$B$1:$B$5000, 0)), 1)</f>
        <v/>
      </c>
      <c r="I148" s="407">
        <f>G148*H148</f>
        <v/>
      </c>
      <c r="J148" s="402">
        <f>IFERROR(INDEX('06_BANG_GIA_VAT_TU_AP_DUNG'!$E$1:$E$5000, MATCH(E148, '06_BANG_GIA_VAT_TU_AP_DUNG'!$B$1:$B$5000, 0)), 0)</f>
        <v/>
      </c>
      <c r="K148" s="402">
        <f>I148*J148</f>
        <v/>
      </c>
      <c r="L148" t="inlineStr">
        <is>
          <t>Ống mềm quy đổi chuẩn 8m/ống</t>
        </is>
      </c>
    </row>
    <row r="149">
      <c r="A149" t="inlineStr">
        <is>
          <t>SW-FLEX-282-TM</t>
        </is>
      </c>
      <c r="B149" t="inlineStr">
        <is>
          <t>SW-FLEX-282</t>
        </is>
      </c>
      <c r="C149" t="inlineStr">
        <is>
          <t>ỐNG GIÓ LẠNH, BOX MIỆNG GIÓ Ống gió mềm D200 cách nhiệt dày 25mm</t>
        </is>
      </c>
      <c r="D149" t="inlineStr">
        <is>
          <t>ONG_MEM</t>
        </is>
      </c>
      <c r="E149" t="inlineStr">
        <is>
          <t>FLEX_DUCT_D200_INSUL</t>
        </is>
      </c>
      <c r="F149" t="inlineStr">
        <is>
          <t>ống</t>
        </is>
      </c>
      <c r="G149" s="406" t="n">
        <v>0.125</v>
      </c>
      <c r="H149" s="402">
        <f>IFERROR(INDEX('00_TONG_HOP_BAO_GIA'!$G$1:$G$5000, MATCH(B149, '00_TONG_HOP_BAO_GIA'!$B$1:$B$5000, 0)), 1)</f>
        <v/>
      </c>
      <c r="I149" s="407">
        <f>G149*H149</f>
        <v/>
      </c>
      <c r="J149" s="402">
        <f>IFERROR(INDEX('06_BANG_GIA_VAT_TU_AP_DUNG'!$E$1:$E$5000, MATCH(E149, '06_BANG_GIA_VAT_TU_AP_DUNG'!$B$1:$B$5000, 0)), 0)</f>
        <v/>
      </c>
      <c r="K149" s="402">
        <f>I149*J149</f>
        <v/>
      </c>
      <c r="L149" t="inlineStr">
        <is>
          <t>Ống mềm quy đổi chuẩn 8m/ống</t>
        </is>
      </c>
    </row>
    <row r="150">
      <c r="A150" t="inlineStr">
        <is>
          <t>SW-TRD-283-TM</t>
        </is>
      </c>
      <c r="B150" t="inlineStr">
        <is>
          <t>SW-TRD-283</t>
        </is>
      </c>
      <c r="C150" t="inlineStr">
        <is>
          <t>ỐNG GIÓ LẠNH, BOX MIỆNG GIÓ Vật tư phụ, phụ kiện</t>
        </is>
      </c>
      <c r="D150" t="inlineStr">
        <is>
          <t>THUONG_MAI</t>
        </is>
      </c>
      <c r="E150" t="inlineStr">
        <is>
          <t>MAT-THUONG_MAI-VAT_TU_PHU_PHU_KIEN</t>
        </is>
      </c>
      <c r="F150" t="inlineStr">
        <is>
          <t>Lô</t>
        </is>
      </c>
      <c r="G150" s="406" t="n">
        <v>1</v>
      </c>
      <c r="H150" s="402">
        <f>IFERROR(INDEX('00_TONG_HOP_BAO_GIA'!$G$1:$G$5000, MATCH(B150, '00_TONG_HOP_BAO_GIA'!$B$1:$B$5000, 0)), 1)</f>
        <v/>
      </c>
      <c r="I150" s="407">
        <f>G150*H150</f>
        <v/>
      </c>
      <c r="J150" s="402">
        <f>IFERROR(INDEX('06_BANG_GIA_VAT_TU_AP_DUNG'!$E$1:$E$5000, MATCH(E150, '06_BANG_GIA_VAT_TU_AP_DUNG'!$B$1:$B$5000, 0)), 0)</f>
        <v/>
      </c>
      <c r="K150" s="402">
        <f>I150*J150</f>
        <v/>
      </c>
      <c r="L150" t="inlineStr">
        <is>
          <t>Hàng mua nguyên chiếc</t>
        </is>
      </c>
    </row>
    <row r="151">
      <c r="A151" t="inlineStr">
        <is>
          <t>SW-TRD-284-TM</t>
        </is>
      </c>
      <c r="B151" t="inlineStr">
        <is>
          <t>SW-TRD-284</t>
        </is>
      </c>
      <c r="C151" t="inlineStr">
        <is>
          <t>ỐNG ĐỒNG Vật tư phụ, phụ kiện</t>
        </is>
      </c>
      <c r="D151" t="inlineStr">
        <is>
          <t>THUONG_MAI</t>
        </is>
      </c>
      <c r="E151" t="inlineStr">
        <is>
          <t>MAT-THUONG_MAI-VAT_TU_PHU_PHU_KIEN</t>
        </is>
      </c>
      <c r="F151" t="inlineStr">
        <is>
          <t>Lô</t>
        </is>
      </c>
      <c r="G151" s="406" t="n">
        <v>1</v>
      </c>
      <c r="H151" s="402">
        <f>IFERROR(INDEX('00_TONG_HOP_BAO_GIA'!$G$1:$G$5000, MATCH(B151, '00_TONG_HOP_BAO_GIA'!$B$1:$B$5000, 0)), 1)</f>
        <v/>
      </c>
      <c r="I151" s="407">
        <f>G151*H151</f>
        <v/>
      </c>
      <c r="J151" s="402">
        <f>IFERROR(INDEX('06_BANG_GIA_VAT_TU_AP_DUNG'!$E$1:$E$5000, MATCH(E151, '06_BANG_GIA_VAT_TU_AP_DUNG'!$B$1:$B$5000, 0)), 0)</f>
        <v/>
      </c>
      <c r="K151" s="402">
        <f>I151*J151</f>
        <v/>
      </c>
      <c r="L151" t="inlineStr">
        <is>
          <t>Hàng mua nguyên chiếc</t>
        </is>
      </c>
    </row>
    <row r="152">
      <c r="A152" t="inlineStr">
        <is>
          <t>SW-TRD-285-TM</t>
        </is>
      </c>
      <c r="B152" t="inlineStr">
        <is>
          <t>SW-TRD-285</t>
        </is>
      </c>
      <c r="C152" t="inlineStr">
        <is>
          <t>CHI PHÍ CHUNG Kiểm tra, nghiệm thu và bàn giao hệ thống</t>
        </is>
      </c>
      <c r="D152" t="inlineStr">
        <is>
          <t>THUONG_MAI</t>
        </is>
      </c>
      <c r="E152" t="inlineStr">
        <is>
          <t>MAT-THUONG_MAI-KIEM_TRA_NGHIEM_THU_VA_BAN_GIA_60E7</t>
        </is>
      </c>
      <c r="F152" t="inlineStr">
        <is>
          <t>Lô</t>
        </is>
      </c>
      <c r="G152" s="406" t="n">
        <v>1</v>
      </c>
      <c r="H152" s="402">
        <f>IFERROR(INDEX('00_TONG_HOP_BAO_GIA'!$G$1:$G$5000, MATCH(B152, '00_TONG_HOP_BAO_GIA'!$B$1:$B$5000, 0)), 1)</f>
        <v/>
      </c>
      <c r="I152" s="407">
        <f>G152*H152</f>
        <v/>
      </c>
      <c r="J152" s="402">
        <f>IFERROR(INDEX('06_BANG_GIA_VAT_TU_AP_DUNG'!$E$1:$E$5000, MATCH(E152, '06_BANG_GIA_VAT_TU_AP_DUNG'!$B$1:$B$5000, 0)), 0)</f>
        <v/>
      </c>
      <c r="K152" s="402">
        <f>I152*J152</f>
        <v/>
      </c>
      <c r="L152" t="inlineStr">
        <is>
          <t>Hàng mua nguyên chiếc</t>
        </is>
      </c>
    </row>
    <row r="153">
      <c r="A153" t="inlineStr">
        <is>
          <t>SW-TRD-286-TM</t>
        </is>
      </c>
      <c r="B153" t="inlineStr">
        <is>
          <t>SW-TRD-286</t>
        </is>
      </c>
      <c r="C153" t="inlineStr">
        <is>
          <t>CHI PHÍ CHUNG Chi phí cắt đục, đóng lưới trám trét tường</t>
        </is>
      </c>
      <c r="D153" t="inlineStr">
        <is>
          <t>THUONG_MAI</t>
        </is>
      </c>
      <c r="E153" t="inlineStr">
        <is>
          <t>MAT-THUONG_MAI-CHI_PHI_CAT_DUC_DONG_LUOI_TRAM_5B36</t>
        </is>
      </c>
      <c r="F153" t="inlineStr">
        <is>
          <t>Lô</t>
        </is>
      </c>
      <c r="G153" s="406" t="n">
        <v>1</v>
      </c>
      <c r="H153" s="402">
        <f>IFERROR(INDEX('00_TONG_HOP_BAO_GIA'!$G$1:$G$5000, MATCH(B153, '00_TONG_HOP_BAO_GIA'!$B$1:$B$5000, 0)), 1)</f>
        <v/>
      </c>
      <c r="I153" s="407">
        <f>G153*H153</f>
        <v/>
      </c>
      <c r="J153" s="402">
        <f>IFERROR(INDEX('06_BANG_GIA_VAT_TU_AP_DUNG'!$E$1:$E$5000, MATCH(E153, '06_BANG_GIA_VAT_TU_AP_DUNG'!$B$1:$B$5000, 0)), 0)</f>
        <v/>
      </c>
      <c r="K153" s="402">
        <f>I153*J153</f>
        <v/>
      </c>
      <c r="L153" t="inlineStr">
        <is>
          <t>Hàng mua nguyên chiếc</t>
        </is>
      </c>
    </row>
    <row r="154">
      <c r="A154" t="inlineStr">
        <is>
          <t>SW-TRD-287-TM</t>
        </is>
      </c>
      <c r="B154" t="inlineStr">
        <is>
          <t>SW-TRD-287</t>
        </is>
      </c>
      <c r="C154" t="inlineStr">
        <is>
          <t>CHI PHÍ CHUNG Chi phí chống cháy lan</t>
        </is>
      </c>
      <c r="D154" t="inlineStr">
        <is>
          <t>THUONG_MAI</t>
        </is>
      </c>
      <c r="E154" t="inlineStr">
        <is>
          <t>MAT-THUONG_MAI-CHI_PHI_CHONG_CHAY_LAN</t>
        </is>
      </c>
      <c r="F154" t="inlineStr">
        <is>
          <t>Lô</t>
        </is>
      </c>
      <c r="G154" s="406" t="n">
        <v>1</v>
      </c>
      <c r="H154" s="402">
        <f>IFERROR(INDEX('00_TONG_HOP_BAO_GIA'!$G$1:$G$5000, MATCH(B154, '00_TONG_HOP_BAO_GIA'!$B$1:$B$5000, 0)), 1)</f>
        <v/>
      </c>
      <c r="I154" s="407">
        <f>G154*H154</f>
        <v/>
      </c>
      <c r="J154" s="402">
        <f>IFERROR(INDEX('06_BANG_GIA_VAT_TU_AP_DUNG'!$E$1:$E$5000, MATCH(E154, '06_BANG_GIA_VAT_TU_AP_DUNG'!$B$1:$B$5000, 0)), 0)</f>
        <v/>
      </c>
      <c r="K154" s="402">
        <f>I154*J154</f>
        <v/>
      </c>
      <c r="L154" t="inlineStr">
        <is>
          <t>Hàng mua nguyên chiếc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51"/>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1" t="inlineStr">
        <is>
          <t>SUB_KEY</t>
        </is>
      </c>
      <c r="B1" s="401" t="inlineStr">
        <is>
          <t>PARENT_ITEM_ID</t>
        </is>
      </c>
      <c r="C1" s="401" t="inlineStr">
        <is>
          <t>TÊN CẤU KIỆN</t>
        </is>
      </c>
      <c r="D1" s="401" t="inlineStr">
        <is>
          <t>PHÂN LOẠI</t>
        </is>
      </c>
      <c r="E1" s="401" t="inlineStr">
        <is>
          <t>MÃ VẬT TƯ (MAT_ID)</t>
        </is>
      </c>
      <c r="F1" s="401" t="inlineStr">
        <is>
          <t>ĐVT</t>
        </is>
      </c>
      <c r="G1" s="401" t="inlineStr">
        <is>
          <t>ĐỊNH MỨC / 1 SP</t>
        </is>
      </c>
      <c r="H1" s="401" t="inlineStr">
        <is>
          <t>SL DỰ ÁN</t>
        </is>
      </c>
      <c r="I1" s="401" t="inlineStr">
        <is>
          <t>TỔNG NHU CẦU</t>
        </is>
      </c>
      <c r="J1" s="401" t="inlineStr">
        <is>
          <t>ĐƠN GIÁ GỐC</t>
        </is>
      </c>
      <c r="K1" s="401" t="inlineStr">
        <is>
          <t>THÀNH TIỀN (VNĐ)</t>
        </is>
      </c>
      <c r="L1" s="401" t="inlineStr">
        <is>
          <t>GHI CHÚ KỸ THUẬT</t>
        </is>
      </c>
    </row>
    <row r="2">
      <c r="A2" t="inlineStr">
        <is>
          <t>SW-DIFF-024-FRAME</t>
        </is>
      </c>
      <c r="B2" t="inlineStr">
        <is>
          <t>SW-DIFF-024</t>
        </is>
      </c>
      <c r="C2" t="inlineStr">
        <is>
          <t>Khung nhôm &amp; nẹp U cửa sọt trứng (SEEG)</t>
        </is>
      </c>
      <c r="D2" t="inlineStr">
        <is>
          <t>NHÔM_ĐỊNH_HÌNH</t>
        </is>
      </c>
      <c r="E2" t="inlineStr">
        <is>
          <t>MAT-ALU-KHUNG-BD</t>
        </is>
      </c>
      <c r="F2" t="inlineStr">
        <is>
          <t>kg</t>
        </is>
      </c>
      <c r="G2" s="406" t="n">
        <v>0.7995028248587571</v>
      </c>
      <c r="H2" s="402">
        <f>IFERROR(INDEX('00_TONG_HOP_BAO_GIA'!$G$1:$G$5000, MATCH(B2, '00_TONG_HOP_BAO_GIA'!$B$1:$B$5000, 0)), 1)</f>
        <v/>
      </c>
      <c r="I2" s="407">
        <f>G2*H2</f>
        <v/>
      </c>
      <c r="J2" s="402">
        <f>IFERROR(INDEX('06_BANG_GIA_VAT_TU_AP_DUNG'!$E$1:$E$5000, MATCH(E2, '06_BANG_GIA_VAT_TU_AP_DUNG'!$B$1:$B$5000, 0)), 0)</f>
        <v/>
      </c>
      <c r="K2" s="402">
        <f>I2*J2</f>
        <v/>
      </c>
      <c r="L2" t="inlineStr">
        <is>
          <t>Khung bao 710x410mm + U bọc lõi</t>
        </is>
      </c>
    </row>
    <row r="3">
      <c r="A3" t="inlineStr">
        <is>
          <t>SW-DIFF-024-CORE</t>
        </is>
      </c>
      <c r="B3" t="inlineStr">
        <is>
          <t>SW-DIFF-024</t>
        </is>
      </c>
      <c r="C3" t="inlineStr">
        <is>
          <t>Lõi nhôm sọt trứng (Eggcrate Core 12.7x12.7mm)</t>
        </is>
      </c>
      <c r="D3" t="inlineStr">
        <is>
          <t>NHÔM_ĐỊNH_HÌNH</t>
        </is>
      </c>
      <c r="E3" t="inlineStr">
        <is>
          <t>MAT-ALU-EGGCRATE-CORE</t>
        </is>
      </c>
      <c r="F3" t="inlineStr">
        <is>
          <t>m2</t>
        </is>
      </c>
      <c r="G3" s="406" t="n">
        <v>0.2479661016949152</v>
      </c>
      <c r="H3" s="402">
        <f>IFERROR(INDEX('00_TONG_HOP_BAO_GIA'!$G$1:$G$5000, MATCH(B3, '00_TONG_HOP_BAO_GIA'!$B$1:$B$5000, 0)), 1)</f>
        <v/>
      </c>
      <c r="I3" s="407">
        <f>G3*H3</f>
        <v/>
      </c>
      <c r="J3" s="402">
        <f>IFERROR(INDEX('06_BANG_GIA_VAT_TU_AP_DUNG'!$E$1:$E$5000, MATCH(E3, '06_BANG_GIA_VAT_TU_AP_DUNG'!$B$1:$B$5000, 0)), 0)</f>
        <v/>
      </c>
      <c r="K3" s="402">
        <f>I3*J3</f>
        <v/>
      </c>
      <c r="L3" t="inlineStr">
        <is>
          <t>Diện tích lõi sọt trứng 0.238m2</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406" t="n">
        <v>0.8349026993094791</v>
      </c>
      <c r="H4" s="402">
        <f>IFERROR(INDEX('00_TONG_HOP_BAO_GIA'!$G$1:$G$5000, MATCH(B4, '00_TONG_HOP_BAO_GIA'!$B$1:$B$5000, 0)), 1)</f>
        <v/>
      </c>
      <c r="I4" s="407">
        <f>G4*H4</f>
        <v/>
      </c>
      <c r="J4" s="402">
        <f>IFERROR(INDEX('06_BANG_GIA_VAT_TU_AP_DUNG'!$E$1:$E$5000, MATCH(E4, '06_BANG_GIA_VAT_TU_AP_DUNG'!$B$1:$B$5000, 0)), 0)</f>
        <v/>
      </c>
      <c r="K4" s="402">
        <f>I4*J4</f>
        <v/>
      </c>
      <c r="L4" t="inlineStr">
        <is>
          <t>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406" t="n">
        <v>0.1454440577526679</v>
      </c>
      <c r="H5" s="402">
        <f>IFERROR(INDEX('00_TONG_HOP_BAO_GIA'!$G$1:$G$5000, MATCH(B5, '00_TONG_HOP_BAO_GIA'!$B$1:$B$5000, 0)), 1)</f>
        <v/>
      </c>
      <c r="I5" s="407">
        <f>G5*H5</f>
        <v/>
      </c>
      <c r="J5" s="402">
        <f>IFERROR(INDEX('06_BANG_GIA_VAT_TU_AP_DUNG'!$E$1:$E$5000, MATCH(E5, '06_BANG_GIA_VAT_TU_AP_DUNG'!$B$1:$B$5000, 0)), 0)</f>
        <v/>
      </c>
      <c r="K5" s="402">
        <f>I5*J5</f>
        <v/>
      </c>
      <c r="L5" t="inlineStr">
        <is>
          <t>Sơn tĩnh điện khung cửa sọt trứng</t>
        </is>
      </c>
    </row>
    <row r="6">
      <c r="A6" t="inlineStr">
        <is>
          <t>SW-DIFF-024-OBD-FRAME</t>
        </is>
      </c>
      <c r="B6" t="inlineStr">
        <is>
          <t>SW-DIFF-024</t>
        </is>
      </c>
      <c r="C6" t="inlineStr">
        <is>
          <t>Khung nhôm van OBD gắn cửa (SOBD)</t>
        </is>
      </c>
      <c r="D6" t="inlineStr">
        <is>
          <t>NHÔM_ĐỊNH_HÌNH</t>
        </is>
      </c>
      <c r="E6" t="inlineStr">
        <is>
          <t>MAT-ALU-KHUNG-OBD</t>
        </is>
      </c>
      <c r="F6" t="inlineStr">
        <is>
          <t>kg</t>
        </is>
      </c>
      <c r="G6" s="406" t="n">
        <v>0.2869143126177024</v>
      </c>
      <c r="H6" s="402">
        <f>IFERROR(INDEX('00_TONG_HOP_BAO_GIA'!$G$1:$G$5000, MATCH(B6, '00_TONG_HOP_BAO_GIA'!$B$1:$B$5000, 0)), 1)</f>
        <v/>
      </c>
      <c r="I6" s="407">
        <f>G6*H6</f>
        <v/>
      </c>
      <c r="J6" s="402">
        <f>IFERROR(INDEX('06_BANG_GIA_VAT_TU_AP_DUNG'!$E$1:$E$5000, MATCH(E6, '06_BANG_GIA_VAT_TU_AP_DUNG'!$B$1:$B$5000, 0)), 0)</f>
        <v/>
      </c>
      <c r="K6" s="402">
        <f>I6*J6</f>
        <v/>
      </c>
      <c r="L6" t="inlineStr">
        <is>
          <t>Khung OBD 585x285mm</t>
        </is>
      </c>
    </row>
    <row r="7">
      <c r="A7" t="inlineStr">
        <is>
          <t>SW-DIFF-024-OBD-BLADE</t>
        </is>
      </c>
      <c r="B7" t="inlineStr">
        <is>
          <t>SW-DIFF-024</t>
        </is>
      </c>
      <c r="C7" t="inlineStr">
        <is>
          <t>Nan nhôm &amp; thanh truyền van OBD (SOBD)</t>
        </is>
      </c>
      <c r="D7" t="inlineStr">
        <is>
          <t>NHÔM_ĐỊNH_HÌNH</t>
        </is>
      </c>
      <c r="E7" t="inlineStr">
        <is>
          <t>MAT-ALU-NAN-OBD</t>
        </is>
      </c>
      <c r="F7" t="inlineStr">
        <is>
          <t>kg</t>
        </is>
      </c>
      <c r="G7" s="406" t="n">
        <v>0.4647407603578154</v>
      </c>
      <c r="H7" s="402">
        <f>IFERROR(INDEX('00_TONG_HOP_BAO_GIA'!$G$1:$G$5000, MATCH(B7, '00_TONG_HOP_BAO_GIA'!$B$1:$B$5000, 0)), 1)</f>
        <v/>
      </c>
      <c r="I7" s="407">
        <f>G7*H7</f>
        <v/>
      </c>
      <c r="J7" s="402">
        <f>IFERROR(INDEX('06_BANG_GIA_VAT_TU_AP_DUNG'!$E$1:$E$5000, MATCH(E7, '06_BANG_GIA_VAT_TU_AP_DUNG'!$B$1:$B$5000, 0)), 0)</f>
        <v/>
      </c>
      <c r="K7" s="402">
        <f>I7*J7</f>
        <v/>
      </c>
      <c r="L7" t="inlineStr">
        <is>
          <t>Nan OBD đối xứng &amp; thanh liên kết</t>
        </is>
      </c>
    </row>
    <row r="8">
      <c r="A8" t="inlineStr">
        <is>
          <t>SW-DIFF-024-OBD-ACC</t>
        </is>
      </c>
      <c r="B8" t="inlineStr">
        <is>
          <t>SW-DIFF-024</t>
        </is>
      </c>
      <c r="C8" t="inlineStr">
        <is>
          <t>Bánh răng nhựa &amp; phụ kiện van OBD</t>
        </is>
      </c>
      <c r="D8" t="inlineStr">
        <is>
          <t>PHỤ_KIỆN_CỬA</t>
        </is>
      </c>
      <c r="E8" t="inlineStr">
        <is>
          <t>MAT-DOOR-ACCESSORY</t>
        </is>
      </c>
      <c r="F8" t="inlineStr">
        <is>
          <t>Bộ</t>
        </is>
      </c>
      <c r="G8" s="406" t="n">
        <v>0.9044779242519357</v>
      </c>
      <c r="H8" s="402">
        <f>IFERROR(INDEX('00_TONG_HOP_BAO_GIA'!$G$1:$G$5000, MATCH(B8, '00_TONG_HOP_BAO_GIA'!$B$1:$B$5000, 0)), 1)</f>
        <v/>
      </c>
      <c r="I8" s="407">
        <f>G8*H8</f>
        <v/>
      </c>
      <c r="J8" s="402">
        <f>IFERROR(INDEX('06_BANG_GIA_VAT_TU_AP_DUNG'!$E$1:$E$5000, MATCH(E8, '06_BANG_GIA_VAT_TU_AP_DUNG'!$B$1:$B$5000, 0)), 0)</f>
        <v/>
      </c>
      <c r="K8" s="402">
        <f>I8*J8</f>
        <v/>
      </c>
      <c r="L8" t="inlineStr">
        <is>
          <t>Cơ cấu bánh răng đóng mở OBD</t>
        </is>
      </c>
    </row>
    <row r="9">
      <c r="A9" t="inlineStr">
        <is>
          <t>SW-DIFF-024-OBD-PAINT</t>
        </is>
      </c>
      <c r="B9" t="inlineStr">
        <is>
          <t>SW-DIFF-024</t>
        </is>
      </c>
      <c r="C9" t="inlineStr">
        <is>
          <t>Sơn tĩnh điện van OBD</t>
        </is>
      </c>
      <c r="D9" t="inlineStr">
        <is>
          <t>SƠN_TĨNH_ĐIỆN</t>
        </is>
      </c>
      <c r="E9" t="inlineStr">
        <is>
          <t>MAT-PAINT-POWDER</t>
        </is>
      </c>
      <c r="F9" t="inlineStr">
        <is>
          <t>m2</t>
        </is>
      </c>
      <c r="G9" s="406" t="n">
        <v>0.2315097624764595</v>
      </c>
      <c r="H9" s="402">
        <f>IFERROR(INDEX('00_TONG_HOP_BAO_GIA'!$G$1:$G$5000, MATCH(B9, '00_TONG_HOP_BAO_GIA'!$B$1:$B$5000, 0)), 1)</f>
        <v/>
      </c>
      <c r="I9" s="407">
        <f>G9*H9</f>
        <v/>
      </c>
      <c r="J9" s="402">
        <f>IFERROR(INDEX('06_BANG_GIA_VAT_TU_AP_DUNG'!$E$1:$E$5000, MATCH(E9, '06_BANG_GIA_VAT_TU_AP_DUNG'!$B$1:$B$5000, 0)), 0)</f>
        <v/>
      </c>
      <c r="K9" s="402">
        <f>I9*J9</f>
        <v/>
      </c>
      <c r="L9" t="inlineStr">
        <is>
          <t>Sơn tĩnh điện đen/trắng cho OBD</t>
        </is>
      </c>
    </row>
    <row r="10">
      <c r="A10" t="inlineStr">
        <is>
          <t>SW-DIFF-025-FRAME</t>
        </is>
      </c>
      <c r="B10" t="inlineStr">
        <is>
          <t>SW-DIFF-025</t>
        </is>
      </c>
      <c r="C10" t="inlineStr">
        <is>
          <t>Khung nhôm định hình (1 lớp BD)</t>
        </is>
      </c>
      <c r="D10" t="inlineStr">
        <is>
          <t>NHÔM_ĐỊNH_HÌNH</t>
        </is>
      </c>
      <c r="E10" t="inlineStr">
        <is>
          <t>MAT-ALU-KHUNG-BD</t>
        </is>
      </c>
      <c r="F10" t="inlineStr">
        <is>
          <t>kg</t>
        </is>
      </c>
      <c r="G10" s="406" t="n">
        <v>0.9084576271186442</v>
      </c>
      <c r="H10" s="402">
        <f>IFERROR(INDEX('00_TONG_HOP_BAO_GIA'!$G$1:$G$5000, MATCH(B10, '00_TONG_HOP_BAO_GIA'!$B$1:$B$5000, 0)), 1)</f>
        <v/>
      </c>
      <c r="I10" s="407">
        <f>G10*H10</f>
        <v/>
      </c>
      <c r="J10" s="402">
        <f>IFERROR(INDEX('06_BANG_GIA_VAT_TU_AP_DUNG'!$E$1:$E$5000, MATCH(E10, '06_BANG_GIA_VAT_TU_AP_DUNG'!$B$1:$B$5000, 0)), 0)</f>
        <v/>
      </c>
      <c r="K10" s="402">
        <f>I10*J10</f>
        <v/>
      </c>
      <c r="L10" t="inlineStr">
        <is>
          <t>Khung bao 1310x710mm (cổ 1200x600mm)</t>
        </is>
      </c>
    </row>
    <row r="11">
      <c r="A11" t="inlineStr">
        <is>
          <t>SW-DIFF-025-BLADE</t>
        </is>
      </c>
      <c r="B11" t="inlineStr">
        <is>
          <t>SW-DIFF-025</t>
        </is>
      </c>
      <c r="C11" t="inlineStr">
        <is>
          <t>Nan nhôm bầu dục (32 nan)</t>
        </is>
      </c>
      <c r="D11" t="inlineStr">
        <is>
          <t>NHÔM_ĐỊNH_HÌNH</t>
        </is>
      </c>
      <c r="E11" t="inlineStr">
        <is>
          <t>MAT-ALU-NAN-BD</t>
        </is>
      </c>
      <c r="F11" t="inlineStr">
        <is>
          <t>kg</t>
        </is>
      </c>
      <c r="G11" s="406" t="n">
        <v>2.440587570621469</v>
      </c>
      <c r="H11" s="402">
        <f>IFERROR(INDEX('00_TONG_HOP_BAO_GIA'!$G$1:$G$5000, MATCH(B11, '00_TONG_HOP_BAO_GIA'!$B$1:$B$5000, 0)), 1)</f>
        <v/>
      </c>
      <c r="I11" s="407">
        <f>G11*H11</f>
        <v/>
      </c>
      <c r="J11" s="402">
        <f>IFERROR(INDEX('06_BANG_GIA_VAT_TU_AP_DUNG'!$E$1:$E$5000, MATCH(E11, '06_BANG_GIA_VAT_TU_AP_DUNG'!$B$1:$B$5000, 0)), 0)</f>
        <v/>
      </c>
      <c r="K11" s="402">
        <f>I11*J11</f>
        <v/>
      </c>
      <c r="L11" t="inlineStr">
        <is>
          <t>Nan bầu dục @ 0.058kg/m</t>
        </is>
      </c>
    </row>
    <row r="12">
      <c r="A12" t="inlineStr">
        <is>
          <t>SW-DIFF-025-ACCESSORY</t>
        </is>
      </c>
      <c r="B12" t="inlineStr">
        <is>
          <t>SW-DIFF-025</t>
        </is>
      </c>
      <c r="C12" t="inlineStr">
        <is>
          <t>Phụ kiện lắp ghép / Ke góc cửa gió</t>
        </is>
      </c>
      <c r="D12" t="inlineStr">
        <is>
          <t>PHỤ_KIỆN_CỬA</t>
        </is>
      </c>
      <c r="E12" t="inlineStr">
        <is>
          <t>MAT-DOOR-ACCESSORY</t>
        </is>
      </c>
      <c r="F12" t="inlineStr">
        <is>
          <t>Bộ</t>
        </is>
      </c>
      <c r="G12" s="406" t="n">
        <v>0.8349026993094791</v>
      </c>
      <c r="H12" s="402">
        <f>IFERROR(INDEX('00_TONG_HOP_BAO_GIA'!$G$1:$G$5000, MATCH(B12, '00_TONG_HOP_BAO_GIA'!$B$1:$B$5000, 0)), 1)</f>
        <v/>
      </c>
      <c r="I12" s="407">
        <f>G12*H12</f>
        <v/>
      </c>
      <c r="J12" s="402">
        <f>IFERROR(INDEX('06_BANG_GIA_VAT_TU_AP_DUNG'!$E$1:$E$5000, MATCH(E12, '06_BANG_GIA_VAT_TU_AP_DUNG'!$B$1:$B$5000, 0)), 0)</f>
        <v/>
      </c>
      <c r="K12" s="402">
        <f>I12*J12</f>
        <v/>
      </c>
      <c r="L12" t="inlineStr">
        <is>
          <t>4 ke góc chìm và vít ghép khung</t>
        </is>
      </c>
    </row>
    <row r="13">
      <c r="A13" t="inlineStr">
        <is>
          <t>SW-DIFF-025-PAINT</t>
        </is>
      </c>
      <c r="B13" t="inlineStr">
        <is>
          <t>SW-DIFF-025</t>
        </is>
      </c>
      <c r="C13" t="inlineStr">
        <is>
          <t>Sơn tĩnh điện tiêu chuẩn Polyester</t>
        </is>
      </c>
      <c r="D13" t="inlineStr">
        <is>
          <t>SƠN_TĨNH_ĐIỆN</t>
        </is>
      </c>
      <c r="E13" t="inlineStr">
        <is>
          <t>MAT-PAINT-POWDER</t>
        </is>
      </c>
      <c r="F13" t="inlineStr">
        <is>
          <t>m2</t>
        </is>
      </c>
      <c r="G13" s="406" t="n">
        <v>1.031505920903955</v>
      </c>
      <c r="H13" s="402">
        <f>IFERROR(INDEX('00_TONG_HOP_BAO_GIA'!$G$1:$G$5000, MATCH(B13, '00_TONG_HOP_BAO_GIA'!$B$1:$B$5000, 0)), 1)</f>
        <v/>
      </c>
      <c r="I13" s="407">
        <f>G13*H13</f>
        <v/>
      </c>
      <c r="J13" s="402">
        <f>IFERROR(INDEX('06_BANG_GIA_VAT_TU_AP_DUNG'!$E$1:$E$5000, MATCH(E13, '06_BANG_GIA_VAT_TU_AP_DUNG'!$B$1:$B$5000, 0)), 0)</f>
        <v/>
      </c>
      <c r="K13" s="402">
        <f>I13*J13</f>
        <v/>
      </c>
      <c r="L13" t="inlineStr">
        <is>
          <t>Sơn tĩnh điện hoàn thiện</t>
        </is>
      </c>
    </row>
    <row r="14">
      <c r="A14" t="inlineStr">
        <is>
          <t>SW-DIFF-025-OBD-FRAME</t>
        </is>
      </c>
      <c r="B14" t="inlineStr">
        <is>
          <t>SW-DIFF-025</t>
        </is>
      </c>
      <c r="C14" t="inlineStr">
        <is>
          <t>Khung nhôm van OBD gắn cửa (SOBD)</t>
        </is>
      </c>
      <c r="D14" t="inlineStr">
        <is>
          <t>NHÔM_ĐỊNH_HÌNH</t>
        </is>
      </c>
      <c r="E14" t="inlineStr">
        <is>
          <t>MAT-ALU-KHUNG-OBD</t>
        </is>
      </c>
      <c r="F14" t="inlineStr">
        <is>
          <t>kg</t>
        </is>
      </c>
      <c r="G14" s="406" t="n">
        <v>0.5837222222222224</v>
      </c>
      <c r="H14" s="402">
        <f>IFERROR(INDEX('00_TONG_HOP_BAO_GIA'!$G$1:$G$5000, MATCH(B14, '00_TONG_HOP_BAO_GIA'!$B$1:$B$5000, 0)), 1)</f>
        <v/>
      </c>
      <c r="I14" s="407">
        <f>G14*H14</f>
        <v/>
      </c>
      <c r="J14" s="402">
        <f>IFERROR(INDEX('06_BANG_GIA_VAT_TU_AP_DUNG'!$E$1:$E$5000, MATCH(E14, '06_BANG_GIA_VAT_TU_AP_DUNG'!$B$1:$B$5000, 0)), 0)</f>
        <v/>
      </c>
      <c r="K14" s="402">
        <f>I14*J14</f>
        <v/>
      </c>
      <c r="L14" t="inlineStr">
        <is>
          <t>Khung OBD 1185x585mm</t>
        </is>
      </c>
    </row>
    <row r="15">
      <c r="A15" t="inlineStr">
        <is>
          <t>SW-DIFF-025-OBD-BLADE</t>
        </is>
      </c>
      <c r="B15" t="inlineStr">
        <is>
          <t>SW-DIFF-025</t>
        </is>
      </c>
      <c r="C15" t="inlineStr">
        <is>
          <t>Nan nhôm &amp; thanh truyền van OBD (SOBD)</t>
        </is>
      </c>
      <c r="D15" t="inlineStr">
        <is>
          <t>NHÔM_ĐỊNH_HÌNH</t>
        </is>
      </c>
      <c r="E15" t="inlineStr">
        <is>
          <t>MAT-ALU-NAN-OBD</t>
        </is>
      </c>
      <c r="F15" t="inlineStr">
        <is>
          <t>kg</t>
        </is>
      </c>
      <c r="G15" s="406" t="n">
        <v>1.869725459039548</v>
      </c>
      <c r="H15" s="402">
        <f>IFERROR(INDEX('00_TONG_HOP_BAO_GIA'!$G$1:$G$5000, MATCH(B15, '00_TONG_HOP_BAO_GIA'!$B$1:$B$5000, 0)), 1)</f>
        <v/>
      </c>
      <c r="I15" s="407">
        <f>G15*H15</f>
        <v/>
      </c>
      <c r="J15" s="402">
        <f>IFERROR(INDEX('06_BANG_GIA_VAT_TU_AP_DUNG'!$E$1:$E$5000, MATCH(E15, '06_BANG_GIA_VAT_TU_AP_DUNG'!$B$1:$B$5000, 0)), 0)</f>
        <v/>
      </c>
      <c r="K15" s="402">
        <f>I15*J15</f>
        <v/>
      </c>
      <c r="L15" t="inlineStr">
        <is>
          <t>Nan OBD đối xứng &amp; thanh liên kết</t>
        </is>
      </c>
    </row>
    <row r="16">
      <c r="A16" t="inlineStr">
        <is>
          <t>SW-DIFF-025-OBD-ACC</t>
        </is>
      </c>
      <c r="B16" t="inlineStr">
        <is>
          <t>SW-DIFF-025</t>
        </is>
      </c>
      <c r="C16" t="inlineStr">
        <is>
          <t>Bánh răng nhựa &amp; phụ kiện van OBD</t>
        </is>
      </c>
      <c r="D16" t="inlineStr">
        <is>
          <t>PHỤ_KIỆN_CỬA</t>
        </is>
      </c>
      <c r="E16" t="inlineStr">
        <is>
          <t>MAT-DOOR-ACCESSORY</t>
        </is>
      </c>
      <c r="F16" t="inlineStr">
        <is>
          <t>Bộ</t>
        </is>
      </c>
      <c r="G16" s="406" t="n">
        <v>1.600230173676502</v>
      </c>
      <c r="H16" s="402">
        <f>IFERROR(INDEX('00_TONG_HOP_BAO_GIA'!$G$1:$G$5000, MATCH(B16, '00_TONG_HOP_BAO_GIA'!$B$1:$B$5000, 0)), 1)</f>
        <v/>
      </c>
      <c r="I16" s="407">
        <f>G16*H16</f>
        <v/>
      </c>
      <c r="J16" s="402">
        <f>IFERROR(INDEX('06_BANG_GIA_VAT_TU_AP_DUNG'!$E$1:$E$5000, MATCH(E16, '06_BANG_GIA_VAT_TU_AP_DUNG'!$B$1:$B$5000, 0)), 0)</f>
        <v/>
      </c>
      <c r="K16" s="402">
        <f>I16*J16</f>
        <v/>
      </c>
      <c r="L16" t="inlineStr">
        <is>
          <t>Cơ cấu bánh răng đóng mở OBD</t>
        </is>
      </c>
    </row>
    <row r="17">
      <c r="A17" t="inlineStr">
        <is>
          <t>SW-DIFF-025-OBD-PAINT</t>
        </is>
      </c>
      <c r="B17" t="inlineStr">
        <is>
          <t>SW-DIFF-025</t>
        </is>
      </c>
      <c r="C17" t="inlineStr">
        <is>
          <t>Sơn tĩnh điện van OBD</t>
        </is>
      </c>
      <c r="D17" t="inlineStr">
        <is>
          <t>SƠN_TĨNH_ĐIỆN</t>
        </is>
      </c>
      <c r="E17" t="inlineStr">
        <is>
          <t>MAT-PAINT-POWDER</t>
        </is>
      </c>
      <c r="F17" t="inlineStr">
        <is>
          <t>m2</t>
        </is>
      </c>
      <c r="G17" s="406" t="n">
        <v>0.7556618858286253</v>
      </c>
      <c r="H17" s="402">
        <f>IFERROR(INDEX('00_TONG_HOP_BAO_GIA'!$G$1:$G$5000, MATCH(B17, '00_TONG_HOP_BAO_GIA'!$B$1:$B$5000, 0)), 1)</f>
        <v/>
      </c>
      <c r="I17" s="407">
        <f>G17*H17</f>
        <v/>
      </c>
      <c r="J17" s="402">
        <f>IFERROR(INDEX('06_BANG_GIA_VAT_TU_AP_DUNG'!$E$1:$E$5000, MATCH(E17, '06_BANG_GIA_VAT_TU_AP_DUNG'!$B$1:$B$5000, 0)), 0)</f>
        <v/>
      </c>
      <c r="K17" s="402">
        <f>I17*J17</f>
        <v/>
      </c>
      <c r="L17" t="inlineStr">
        <is>
          <t>Sơn tĩnh điện đen/trắng cho OBD</t>
        </is>
      </c>
    </row>
    <row r="18">
      <c r="A18" t="inlineStr">
        <is>
          <t>SW-DIFF-026-FRAME</t>
        </is>
      </c>
      <c r="B18" t="inlineStr">
        <is>
          <t>SW-DIFF-026</t>
        </is>
      </c>
      <c r="C18" t="inlineStr">
        <is>
          <t>Khung nhôm &amp; nẹp U cửa sọt trứng (SEEG)</t>
        </is>
      </c>
      <c r="D18" t="inlineStr">
        <is>
          <t>NHÔM_ĐỊNH_HÌNH</t>
        </is>
      </c>
      <c r="E18" t="inlineStr">
        <is>
          <t>MAT-ALU-KHUNG-BD</t>
        </is>
      </c>
      <c r="F18" t="inlineStr">
        <is>
          <t>kg</t>
        </is>
      </c>
      <c r="G18" s="406" t="n">
        <v>1.299192090395481</v>
      </c>
      <c r="H18" s="402">
        <f>IFERROR(INDEX('00_TONG_HOP_BAO_GIA'!$G$1:$G$5000, MATCH(B18, '00_TONG_HOP_BAO_GIA'!$B$1:$B$5000, 0)), 1)</f>
        <v/>
      </c>
      <c r="I18" s="407">
        <f>G18*H18</f>
        <v/>
      </c>
      <c r="J18" s="402">
        <f>IFERROR(INDEX('06_BANG_GIA_VAT_TU_AP_DUNG'!$E$1:$E$5000, MATCH(E18, '06_BANG_GIA_VAT_TU_AP_DUNG'!$B$1:$B$5000, 0)), 0)</f>
        <v/>
      </c>
      <c r="K18" s="402">
        <f>I18*J18</f>
        <v/>
      </c>
      <c r="L18" t="inlineStr">
        <is>
          <t>Khung bao 1110x710mm + U bọc lõi</t>
        </is>
      </c>
    </row>
    <row r="19">
      <c r="A19" t="inlineStr">
        <is>
          <t>SW-DIFF-026-CORE</t>
        </is>
      </c>
      <c r="B19" t="inlineStr">
        <is>
          <t>SW-DIFF-026</t>
        </is>
      </c>
      <c r="C19" t="inlineStr">
        <is>
          <t>Lõi nhôm sọt trứng (Eggcrate Core 12.7x12.7mm)</t>
        </is>
      </c>
      <c r="D19" t="inlineStr">
        <is>
          <t>NHÔM_ĐỊNH_HÌNH</t>
        </is>
      </c>
      <c r="E19" t="inlineStr">
        <is>
          <t>MAT-ALU-EGGCRATE-CORE</t>
        </is>
      </c>
      <c r="F19" t="inlineStr">
        <is>
          <t>m2</t>
        </is>
      </c>
      <c r="G19" s="406" t="n">
        <v>0.7301224105461395</v>
      </c>
      <c r="H19" s="402">
        <f>IFERROR(INDEX('00_TONG_HOP_BAO_GIA'!$G$1:$G$5000, MATCH(B19, '00_TONG_HOP_BAO_GIA'!$B$1:$B$5000, 0)), 1)</f>
        <v/>
      </c>
      <c r="I19" s="407">
        <f>G19*H19</f>
        <v/>
      </c>
      <c r="J19" s="402">
        <f>IFERROR(INDEX('06_BANG_GIA_VAT_TU_AP_DUNG'!$E$1:$E$5000, MATCH(E19, '06_BANG_GIA_VAT_TU_AP_DUNG'!$B$1:$B$5000, 0)), 0)</f>
        <v/>
      </c>
      <c r="K19" s="402">
        <f>I19*J19</f>
        <v/>
      </c>
      <c r="L19" t="inlineStr">
        <is>
          <t>Diện tích lõi sọt trứng 0.700m2</t>
        </is>
      </c>
    </row>
    <row r="20">
      <c r="A20" t="inlineStr">
        <is>
          <t>SW-DIFF-026-ACCESSORY</t>
        </is>
      </c>
      <c r="B20" t="inlineStr">
        <is>
          <t>SW-DIFF-026</t>
        </is>
      </c>
      <c r="C20" t="inlineStr">
        <is>
          <t>Phụ kiện lắp ghép / Ke góc cửa gió</t>
        </is>
      </c>
      <c r="D20" t="inlineStr">
        <is>
          <t>PHỤ_KIỆN_CỬA</t>
        </is>
      </c>
      <c r="E20" t="inlineStr">
        <is>
          <t>MAT-DOOR-ACCESSORY</t>
        </is>
      </c>
      <c r="F20" t="inlineStr">
        <is>
          <t>Bộ</t>
        </is>
      </c>
      <c r="G20" s="406" t="n">
        <v>0.8349026993094791</v>
      </c>
      <c r="H20" s="402">
        <f>IFERROR(INDEX('00_TONG_HOP_BAO_GIA'!$G$1:$G$5000, MATCH(B20, '00_TONG_HOP_BAO_GIA'!$B$1:$B$5000, 0)), 1)</f>
        <v/>
      </c>
      <c r="I20" s="407">
        <f>G20*H20</f>
        <v/>
      </c>
      <c r="J20" s="402">
        <f>IFERROR(INDEX('06_BANG_GIA_VAT_TU_AP_DUNG'!$E$1:$E$5000, MATCH(E20, '06_BANG_GIA_VAT_TU_AP_DUNG'!$B$1:$B$5000, 0)), 0)</f>
        <v/>
      </c>
      <c r="K20" s="402">
        <f>I20*J20</f>
        <v/>
      </c>
      <c r="L20" t="inlineStr">
        <is>
          <t>Ke góc chìm và vít ghép khung</t>
        </is>
      </c>
    </row>
    <row r="21">
      <c r="A21" t="inlineStr">
        <is>
          <t>SW-DIFF-026-PAINT</t>
        </is>
      </c>
      <c r="B21" t="inlineStr">
        <is>
          <t>SW-DIFF-026</t>
        </is>
      </c>
      <c r="C21" t="inlineStr">
        <is>
          <t>Sơn tĩnh điện tiêu chuẩn Polyester</t>
        </is>
      </c>
      <c r="D21" t="inlineStr">
        <is>
          <t>SƠN_TĨNH_ĐIỆN</t>
        </is>
      </c>
      <c r="E21" t="inlineStr">
        <is>
          <t>MAT-PAINT-POWDER</t>
        </is>
      </c>
      <c r="F21" t="inlineStr">
        <is>
          <t>m2</t>
        </is>
      </c>
      <c r="G21" s="406" t="n">
        <v>0.2363465938480854</v>
      </c>
      <c r="H21" s="402">
        <f>IFERROR(INDEX('00_TONG_HOP_BAO_GIA'!$G$1:$G$5000, MATCH(B21, '00_TONG_HOP_BAO_GIA'!$B$1:$B$5000, 0)), 1)</f>
        <v/>
      </c>
      <c r="I21" s="407">
        <f>G21*H21</f>
        <v/>
      </c>
      <c r="J21" s="402">
        <f>IFERROR(INDEX('06_BANG_GIA_VAT_TU_AP_DUNG'!$E$1:$E$5000, MATCH(E21, '06_BANG_GIA_VAT_TU_AP_DUNG'!$B$1:$B$5000, 0)), 0)</f>
        <v/>
      </c>
      <c r="K21" s="402">
        <f>I21*J21</f>
        <v/>
      </c>
      <c r="L21" t="inlineStr">
        <is>
          <t>Sơn tĩnh điện khung cửa sọt trứng</t>
        </is>
      </c>
    </row>
    <row r="22">
      <c r="A22" t="inlineStr">
        <is>
          <t>SW-DIFF-026-OBD-FRAME</t>
        </is>
      </c>
      <c r="B22" t="inlineStr">
        <is>
          <t>SW-DIFF-026</t>
        </is>
      </c>
      <c r="C22" t="inlineStr">
        <is>
          <t>Khung nhôm van OBD gắn cửa (SOBD)</t>
        </is>
      </c>
      <c r="D22" t="inlineStr">
        <is>
          <t>NHÔM_ĐỊNH_HÌNH</t>
        </is>
      </c>
      <c r="E22" t="inlineStr">
        <is>
          <t>MAT-ALU-KHUNG-OBD</t>
        </is>
      </c>
      <c r="F22" t="inlineStr">
        <is>
          <t>kg</t>
        </is>
      </c>
      <c r="G22" s="406" t="n">
        <v>0.5177649089767734</v>
      </c>
      <c r="H22" s="402">
        <f>IFERROR(INDEX('00_TONG_HOP_BAO_GIA'!$G$1:$G$5000, MATCH(B22, '00_TONG_HOP_BAO_GIA'!$B$1:$B$5000, 0)), 1)</f>
        <v/>
      </c>
      <c r="I22" s="407">
        <f>G22*H22</f>
        <v/>
      </c>
      <c r="J22" s="402">
        <f>IFERROR(INDEX('06_BANG_GIA_VAT_TU_AP_DUNG'!$E$1:$E$5000, MATCH(E22, '06_BANG_GIA_VAT_TU_AP_DUNG'!$B$1:$B$5000, 0)), 0)</f>
        <v/>
      </c>
      <c r="K22" s="402">
        <f>I22*J22</f>
        <v/>
      </c>
      <c r="L22" t="inlineStr">
        <is>
          <t>Khung OBD 985x585mm</t>
        </is>
      </c>
    </row>
    <row r="23">
      <c r="A23" t="inlineStr">
        <is>
          <t>SW-DIFF-026-OBD-BLADE</t>
        </is>
      </c>
      <c r="B23" t="inlineStr">
        <is>
          <t>SW-DIFF-026</t>
        </is>
      </c>
      <c r="C23" t="inlineStr">
        <is>
          <t>Nan nhôm &amp; thanh truyền van OBD (SOBD)</t>
        </is>
      </c>
      <c r="D23" t="inlineStr">
        <is>
          <t>NHÔM_ĐỊNH_HÌNH</t>
        </is>
      </c>
      <c r="E23" t="inlineStr">
        <is>
          <t>MAT-ALU-NAN-OBD</t>
        </is>
      </c>
      <c r="F23" t="inlineStr">
        <is>
          <t>kg</t>
        </is>
      </c>
      <c r="G23" s="406" t="n">
        <v>1.56446415960452</v>
      </c>
      <c r="H23" s="402">
        <f>IFERROR(INDEX('00_TONG_HOP_BAO_GIA'!$G$1:$G$5000, MATCH(B23, '00_TONG_HOP_BAO_GIA'!$B$1:$B$5000, 0)), 1)</f>
        <v/>
      </c>
      <c r="I23" s="407">
        <f>G23*H23</f>
        <v/>
      </c>
      <c r="J23" s="402">
        <f>IFERROR(INDEX('06_BANG_GIA_VAT_TU_AP_DUNG'!$E$1:$E$5000, MATCH(E23, '06_BANG_GIA_VAT_TU_AP_DUNG'!$B$1:$B$5000, 0)), 0)</f>
        <v/>
      </c>
      <c r="K23" s="402">
        <f>I23*J23</f>
        <v/>
      </c>
      <c r="L23" t="inlineStr">
        <is>
          <t>Nan OBD đối xứng &amp; thanh liên kết</t>
        </is>
      </c>
    </row>
    <row r="24">
      <c r="A24" t="inlineStr">
        <is>
          <t>SW-DIFF-026-OBD-ACC</t>
        </is>
      </c>
      <c r="B24" t="inlineStr">
        <is>
          <t>SW-DIFF-026</t>
        </is>
      </c>
      <c r="C24" t="inlineStr">
        <is>
          <t>Bánh răng nhựa &amp; phụ kiện van OBD</t>
        </is>
      </c>
      <c r="D24" t="inlineStr">
        <is>
          <t>PHỤ_KIỆN_CỬA</t>
        </is>
      </c>
      <c r="E24" t="inlineStr">
        <is>
          <t>MAT-DOOR-ACCESSORY</t>
        </is>
      </c>
      <c r="F24" t="inlineStr">
        <is>
          <t>Bộ</t>
        </is>
      </c>
      <c r="G24" s="406" t="n">
        <v>1.600230173676502</v>
      </c>
      <c r="H24" s="402">
        <f>IFERROR(INDEX('00_TONG_HOP_BAO_GIA'!$G$1:$G$5000, MATCH(B24, '00_TONG_HOP_BAO_GIA'!$B$1:$B$5000, 0)), 1)</f>
        <v/>
      </c>
      <c r="I24" s="407">
        <f>G24*H24</f>
        <v/>
      </c>
      <c r="J24" s="402">
        <f>IFERROR(INDEX('06_BANG_GIA_VAT_TU_AP_DUNG'!$E$1:$E$5000, MATCH(E24, '06_BANG_GIA_VAT_TU_AP_DUNG'!$B$1:$B$5000, 0)), 0)</f>
        <v/>
      </c>
      <c r="K24" s="402">
        <f>I24*J24</f>
        <v/>
      </c>
      <c r="L24" t="inlineStr">
        <is>
          <t>Cơ cấu bánh răng đóng mở OBD</t>
        </is>
      </c>
    </row>
    <row r="25">
      <c r="A25" t="inlineStr">
        <is>
          <t>SW-DIFF-026-OBD-PAINT</t>
        </is>
      </c>
      <c r="B25" t="inlineStr">
        <is>
          <t>SW-DIFF-026</t>
        </is>
      </c>
      <c r="C25" t="inlineStr">
        <is>
          <t>Sơn tĩnh điện van OBD</t>
        </is>
      </c>
      <c r="D25" t="inlineStr">
        <is>
          <t>SƠN_TĨNH_ĐIỆN</t>
        </is>
      </c>
      <c r="E25" t="inlineStr">
        <is>
          <t>MAT-PAINT-POWDER</t>
        </is>
      </c>
      <c r="F25" t="inlineStr">
        <is>
          <t>m2</t>
        </is>
      </c>
      <c r="G25" s="406" t="n">
        <v>0.6413265531230382</v>
      </c>
      <c r="H25" s="402">
        <f>IFERROR(INDEX('00_TONG_HOP_BAO_GIA'!$G$1:$G$5000, MATCH(B25, '00_TONG_HOP_BAO_GIA'!$B$1:$B$5000, 0)), 1)</f>
        <v/>
      </c>
      <c r="I25" s="407">
        <f>G25*H25</f>
        <v/>
      </c>
      <c r="J25" s="402">
        <f>IFERROR(INDEX('06_BANG_GIA_VAT_TU_AP_DUNG'!$E$1:$E$5000, MATCH(E25, '06_BANG_GIA_VAT_TU_AP_DUNG'!$B$1:$B$5000, 0)), 0)</f>
        <v/>
      </c>
      <c r="K25" s="402">
        <f>I25*J25</f>
        <v/>
      </c>
      <c r="L25" t="inlineStr">
        <is>
          <t>Sơn tĩnh điện đen/trắng cho OBD</t>
        </is>
      </c>
    </row>
    <row r="26">
      <c r="A26" t="inlineStr">
        <is>
          <t>SW-DIFF-027-FRAME</t>
        </is>
      </c>
      <c r="B26" t="inlineStr">
        <is>
          <t>SW-DIFF-027</t>
        </is>
      </c>
      <c r="C26" t="inlineStr">
        <is>
          <t>Khung nhôm định hình Louver (SWL)</t>
        </is>
      </c>
      <c r="D26" t="inlineStr">
        <is>
          <t>NHÔM_ĐỊNH_HÌNH</t>
        </is>
      </c>
      <c r="E26" t="inlineStr">
        <is>
          <t>MAT-ALU-KHUNG-Z-2-LOP</t>
        </is>
      </c>
      <c r="F26" t="inlineStr">
        <is>
          <t>kg</t>
        </is>
      </c>
      <c r="G26" s="406" t="n">
        <v>4.062915254237288</v>
      </c>
      <c r="H26" s="402">
        <f>IFERROR(INDEX('00_TONG_HOP_BAO_GIA'!$G$1:$G$5000, MATCH(B26, '00_TONG_HOP_BAO_GIA'!$B$1:$B$5000, 0)), 1)</f>
        <v/>
      </c>
      <c r="I26" s="407">
        <f>G26*H26</f>
        <v/>
      </c>
      <c r="J26" s="402">
        <f>IFERROR(INDEX('06_BANG_GIA_VAT_TU_AP_DUNG'!$E$1:$E$5000, MATCH(E26, '06_BANG_GIA_VAT_TU_AP_DUNG'!$B$1:$B$5000, 0)), 0)</f>
        <v/>
      </c>
      <c r="K26" s="402">
        <f>I26*J26</f>
        <v/>
      </c>
      <c r="L26" t="inlineStr">
        <is>
          <t>Khung Louver phủ bì 7550x550mm</t>
        </is>
      </c>
    </row>
    <row r="27">
      <c r="A27" t="inlineStr">
        <is>
          <t>SW-DIFF-027-BLADE</t>
        </is>
      </c>
      <c r="B27" t="inlineStr">
        <is>
          <t>SW-DIFF-027</t>
        </is>
      </c>
      <c r="C27" t="inlineStr">
        <is>
          <t>Nan Z Louver &amp; thanh tăng cứng (11 nan)</t>
        </is>
      </c>
      <c r="D27" t="inlineStr">
        <is>
          <t>NHÔM_ĐỊNH_HÌNH</t>
        </is>
      </c>
      <c r="E27" t="inlineStr">
        <is>
          <t>MAT-ALU-NAN-Z-DAY</t>
        </is>
      </c>
      <c r="F27" t="inlineStr">
        <is>
          <t>kg</t>
        </is>
      </c>
      <c r="G27" s="406" t="n">
        <v>19.85013735091024</v>
      </c>
      <c r="H27" s="402">
        <f>IFERROR(INDEX('00_TONG_HOP_BAO_GIA'!$G$1:$G$5000, MATCH(B27, '00_TONG_HOP_BAO_GIA'!$B$1:$B$5000, 0)), 1)</f>
        <v/>
      </c>
      <c r="I27" s="407">
        <f>G27*H27</f>
        <v/>
      </c>
      <c r="J27" s="402">
        <f>IFERROR(INDEX('06_BANG_GIA_VAT_TU_AP_DUNG'!$E$1:$E$5000, MATCH(E27, '06_BANG_GIA_VAT_TU_AP_DUNG'!$B$1:$B$5000, 0)), 0)</f>
        <v/>
      </c>
      <c r="K27" s="402">
        <f>I27*J27</f>
        <v/>
      </c>
      <c r="L27" t="inlineStr">
        <is>
          <t>11 nan Z dày @ 0.217kg/m + thanh giằng</t>
        </is>
      </c>
    </row>
    <row r="28">
      <c r="A28" t="inlineStr">
        <is>
          <t>SW-DIFF-027-ACCESSORY</t>
        </is>
      </c>
      <c r="B28" t="inlineStr">
        <is>
          <t>SW-DIFF-027</t>
        </is>
      </c>
      <c r="C28" t="inlineStr">
        <is>
          <t>Phụ kiện lắp ghép / Ke góc cửa gió</t>
        </is>
      </c>
      <c r="D28" t="inlineStr">
        <is>
          <t>PHỤ_KIỆN_CỬA</t>
        </is>
      </c>
      <c r="E28" t="inlineStr">
        <is>
          <t>MAT-DOOR-ACCESSORY</t>
        </is>
      </c>
      <c r="F28" t="inlineStr">
        <is>
          <t>Bộ</t>
        </is>
      </c>
      <c r="G28" s="406" t="n">
        <v>1.473111529608705</v>
      </c>
      <c r="H28" s="402">
        <f>IFERROR(INDEX('00_TONG_HOP_BAO_GIA'!$G$1:$G$5000, MATCH(B28, '00_TONG_HOP_BAO_GIA'!$B$1:$B$5000, 0)), 1)</f>
        <v/>
      </c>
      <c r="I28" s="407">
        <f>G28*H28</f>
        <v/>
      </c>
      <c r="J28" s="402">
        <f>IFERROR(INDEX('06_BANG_GIA_VAT_TU_AP_DUNG'!$E$1:$E$5000, MATCH(E28, '06_BANG_GIA_VAT_TU_AP_DUNG'!$B$1:$B$5000, 0)), 0)</f>
        <v/>
      </c>
      <c r="K28" s="402">
        <f>I28*J28</f>
        <v/>
      </c>
      <c r="L28" t="inlineStr">
        <is>
          <t>Ke góc và vít ghép khung Louver</t>
        </is>
      </c>
    </row>
    <row r="29">
      <c r="A29" t="inlineStr">
        <is>
          <t>SW-DIFF-027-PAINT</t>
        </is>
      </c>
      <c r="B29" t="inlineStr">
        <is>
          <t>SW-DIFF-027</t>
        </is>
      </c>
      <c r="C29" t="inlineStr">
        <is>
          <t>Sơn tĩnh điện tiêu chuẩn Polyester</t>
        </is>
      </c>
      <c r="D29" t="inlineStr">
        <is>
          <t>SƠN_TĨNH_ĐIỆN</t>
        </is>
      </c>
      <c r="E29" t="inlineStr">
        <is>
          <t>MAT-PAINT-POWDER</t>
        </is>
      </c>
      <c r="F29" t="inlineStr">
        <is>
          <t>m2</t>
        </is>
      </c>
      <c r="G29" s="406" t="n">
        <v>7.335274791211551</v>
      </c>
      <c r="H29" s="402">
        <f>IFERROR(INDEX('00_TONG_HOP_BAO_GIA'!$G$1:$G$5000, MATCH(B29, '00_TONG_HOP_BAO_GIA'!$B$1:$B$5000, 0)), 1)</f>
        <v/>
      </c>
      <c r="I29" s="407">
        <f>G29*H29</f>
        <v/>
      </c>
      <c r="J29" s="402">
        <f>IFERROR(INDEX('06_BANG_GIA_VAT_TU_AP_DUNG'!$E$1:$E$5000, MATCH(E29, '06_BANG_GIA_VAT_TU_AP_DUNG'!$B$1:$B$5000, 0)), 0)</f>
        <v/>
      </c>
      <c r="K29" s="402">
        <f>I29*J29</f>
        <v/>
      </c>
      <c r="L29" t="inlineStr">
        <is>
          <t>Sơn tĩnh điện khung và nan Louver</t>
        </is>
      </c>
    </row>
    <row r="30">
      <c r="A30" t="inlineStr">
        <is>
          <t>SW-DIFF-027-MESH</t>
        </is>
      </c>
      <c r="B30" t="inlineStr">
        <is>
          <t>SW-DIFF-027</t>
        </is>
      </c>
      <c r="C30" t="inlineStr">
        <is>
          <t>Lưới chắn côn trùng Inox 304 (LCCT)</t>
        </is>
      </c>
      <c r="D30" t="inlineStr">
        <is>
          <t>PHỤ_KIỆN_CỬA</t>
        </is>
      </c>
      <c r="E30" t="inlineStr">
        <is>
          <t>MAT-MESH-INOX-304</t>
        </is>
      </c>
      <c r="F30" t="inlineStr">
        <is>
          <t>m2</t>
        </is>
      </c>
      <c r="G30" s="406" t="n">
        <v>3.766478342749529</v>
      </c>
      <c r="H30" s="402">
        <f>IFERROR(INDEX('00_TONG_HOP_BAO_GIA'!$G$1:$G$5000, MATCH(B30, '00_TONG_HOP_BAO_GIA'!$B$1:$B$5000, 0)), 1)</f>
        <v/>
      </c>
      <c r="I30" s="407">
        <f>G30*H30</f>
        <v/>
      </c>
      <c r="J30" s="402">
        <f>IFERROR(INDEX('06_BANG_GIA_VAT_TU_AP_DUNG'!$E$1:$E$5000, MATCH(E30, '06_BANG_GIA_VAT_TU_AP_DUNG'!$B$1:$B$5000, 0)), 0)</f>
        <v/>
      </c>
      <c r="K30" s="402">
        <f>I30*J30</f>
        <v/>
      </c>
      <c r="L30" t="inlineStr">
        <is>
          <t>Lưới chắn côn trùng cổ 7500x500mm</t>
        </is>
      </c>
    </row>
    <row r="31">
      <c r="A31" t="inlineStr">
        <is>
          <t>SW-DIFF-028-FRAME</t>
        </is>
      </c>
      <c r="B31" t="inlineStr">
        <is>
          <t>SW-DIFF-028</t>
        </is>
      </c>
      <c r="C31" t="inlineStr">
        <is>
          <t>Khung nhôm định hình Louver (SWL)</t>
        </is>
      </c>
      <c r="D31" t="inlineStr">
        <is>
          <t>NHÔM_ĐỊNH_HÌNH</t>
        </is>
      </c>
      <c r="E31" t="inlineStr">
        <is>
          <t>MAT-ALU-KHUNG-Z-2-LOP</t>
        </is>
      </c>
      <c r="F31" t="inlineStr">
        <is>
          <t>kg</t>
        </is>
      </c>
      <c r="G31" s="406" t="n">
        <v>2.558131826741997</v>
      </c>
      <c r="H31" s="402">
        <f>IFERROR(INDEX('00_TONG_HOP_BAO_GIA'!$G$1:$G$5000, MATCH(B31, '00_TONG_HOP_BAO_GIA'!$B$1:$B$5000, 0)), 1)</f>
        <v/>
      </c>
      <c r="I31" s="407">
        <f>G31*H31</f>
        <v/>
      </c>
      <c r="J31" s="402">
        <f>IFERROR(INDEX('06_BANG_GIA_VAT_TU_AP_DUNG'!$E$1:$E$5000, MATCH(E31, '06_BANG_GIA_VAT_TU_AP_DUNG'!$B$1:$B$5000, 0)), 0)</f>
        <v/>
      </c>
      <c r="K31" s="402">
        <f>I31*J31</f>
        <v/>
      </c>
      <c r="L31" t="inlineStr">
        <is>
          <t>Khung Louver phủ bì 4550x550mm</t>
        </is>
      </c>
    </row>
    <row r="32">
      <c r="A32" t="inlineStr">
        <is>
          <t>SW-DIFF-028-BLADE</t>
        </is>
      </c>
      <c r="B32" t="inlineStr">
        <is>
          <t>SW-DIFF-028</t>
        </is>
      </c>
      <c r="C32" t="inlineStr">
        <is>
          <t>Nan Z Louver &amp; thanh tăng cứng (11 nan)</t>
        </is>
      </c>
      <c r="D32" t="inlineStr">
        <is>
          <t>NHÔM_ĐỊNH_HÌNH</t>
        </is>
      </c>
      <c r="E32" t="inlineStr">
        <is>
          <t>MAT-ALU-NAN-Z-DAY</t>
        </is>
      </c>
      <c r="F32" t="inlineStr">
        <is>
          <t>kg</t>
        </is>
      </c>
      <c r="G32" s="406" t="n">
        <v>11.93842360326428</v>
      </c>
      <c r="H32" s="402">
        <f>IFERROR(INDEX('00_TONG_HOP_BAO_GIA'!$G$1:$G$5000, MATCH(B32, '00_TONG_HOP_BAO_GIA'!$B$1:$B$5000, 0)), 1)</f>
        <v/>
      </c>
      <c r="I32" s="407">
        <f>G32*H32</f>
        <v/>
      </c>
      <c r="J32" s="402">
        <f>IFERROR(INDEX('06_BANG_GIA_VAT_TU_AP_DUNG'!$E$1:$E$5000, MATCH(E32, '06_BANG_GIA_VAT_TU_AP_DUNG'!$B$1:$B$5000, 0)), 0)</f>
        <v/>
      </c>
      <c r="K32" s="402">
        <f>I32*J32</f>
        <v/>
      </c>
      <c r="L32" t="inlineStr">
        <is>
          <t>11 nan Z dày @ 0.217kg/m + thanh giằng</t>
        </is>
      </c>
    </row>
    <row r="33">
      <c r="A33" t="inlineStr">
        <is>
          <t>SW-DIFF-028-ACCESSORY</t>
        </is>
      </c>
      <c r="B33" t="inlineStr">
        <is>
          <t>SW-DIFF-028</t>
        </is>
      </c>
      <c r="C33" t="inlineStr">
        <is>
          <t>Phụ kiện lắp ghép / Ke góc cửa gió</t>
        </is>
      </c>
      <c r="D33" t="inlineStr">
        <is>
          <t>PHỤ_KIỆN_CỬA</t>
        </is>
      </c>
      <c r="E33" t="inlineStr">
        <is>
          <t>MAT-DOOR-ACCESSORY</t>
        </is>
      </c>
      <c r="F33" t="inlineStr">
        <is>
          <t>Bộ</t>
        </is>
      </c>
      <c r="G33" s="406" t="n">
        <v>1.473111529608705</v>
      </c>
      <c r="H33" s="402">
        <f>IFERROR(INDEX('00_TONG_HOP_BAO_GIA'!$G$1:$G$5000, MATCH(B33, '00_TONG_HOP_BAO_GIA'!$B$1:$B$5000, 0)), 1)</f>
        <v/>
      </c>
      <c r="I33" s="407">
        <f>G33*H33</f>
        <v/>
      </c>
      <c r="J33" s="402">
        <f>IFERROR(INDEX('06_BANG_GIA_VAT_TU_AP_DUNG'!$E$1:$E$5000, MATCH(E33, '06_BANG_GIA_VAT_TU_AP_DUNG'!$B$1:$B$5000, 0)), 0)</f>
        <v/>
      </c>
      <c r="K33" s="402">
        <f>I33*J33</f>
        <v/>
      </c>
      <c r="L33" t="inlineStr">
        <is>
          <t>Ke góc và vít ghép khung Louver</t>
        </is>
      </c>
    </row>
    <row r="34">
      <c r="A34" t="inlineStr">
        <is>
          <t>SW-DIFF-028-PAINT</t>
        </is>
      </c>
      <c r="B34" t="inlineStr">
        <is>
          <t>SW-DIFF-028</t>
        </is>
      </c>
      <c r="C34" t="inlineStr">
        <is>
          <t>Sơn tĩnh điện tiêu chuẩn Polyester</t>
        </is>
      </c>
      <c r="D34" t="inlineStr">
        <is>
          <t>SƠN_TĨNH_ĐIỆN</t>
        </is>
      </c>
      <c r="E34" t="inlineStr">
        <is>
          <t>MAT-PAINT-POWDER</t>
        </is>
      </c>
      <c r="F34" t="inlineStr">
        <is>
          <t>m2</t>
        </is>
      </c>
      <c r="G34" s="406" t="n">
        <v>4.43499366126805</v>
      </c>
      <c r="H34" s="402">
        <f>IFERROR(INDEX('00_TONG_HOP_BAO_GIA'!$G$1:$G$5000, MATCH(B34, '00_TONG_HOP_BAO_GIA'!$B$1:$B$5000, 0)), 1)</f>
        <v/>
      </c>
      <c r="I34" s="407">
        <f>G34*H34</f>
        <v/>
      </c>
      <c r="J34" s="402">
        <f>IFERROR(INDEX('06_BANG_GIA_VAT_TU_AP_DUNG'!$E$1:$E$5000, MATCH(E34, '06_BANG_GIA_VAT_TU_AP_DUNG'!$B$1:$B$5000, 0)), 0)</f>
        <v/>
      </c>
      <c r="K34" s="402">
        <f>I34*J34</f>
        <v/>
      </c>
      <c r="L34" t="inlineStr">
        <is>
          <t>Sơn tĩnh điện khung và nan Louver</t>
        </is>
      </c>
    </row>
    <row r="35">
      <c r="A35" t="inlineStr">
        <is>
          <t>SW-DIFF-028-MESH</t>
        </is>
      </c>
      <c r="B35" t="inlineStr">
        <is>
          <t>SW-DIFF-028</t>
        </is>
      </c>
      <c r="C35" t="inlineStr">
        <is>
          <t>Lưới chắn côn trùng Inox 304 (LCCT)</t>
        </is>
      </c>
      <c r="D35" t="inlineStr">
        <is>
          <t>PHỤ_KIỆN_CỬA</t>
        </is>
      </c>
      <c r="E35" t="inlineStr">
        <is>
          <t>MAT-MESH-INOX-304</t>
        </is>
      </c>
      <c r="F35" t="inlineStr">
        <is>
          <t>m2</t>
        </is>
      </c>
      <c r="G35" s="406" t="n">
        <v>2.259887005649718</v>
      </c>
      <c r="H35" s="402">
        <f>IFERROR(INDEX('00_TONG_HOP_BAO_GIA'!$G$1:$G$5000, MATCH(B35, '00_TONG_HOP_BAO_GIA'!$B$1:$B$5000, 0)), 1)</f>
        <v/>
      </c>
      <c r="I35" s="407">
        <f>G35*H35</f>
        <v/>
      </c>
      <c r="J35" s="402">
        <f>IFERROR(INDEX('06_BANG_GIA_VAT_TU_AP_DUNG'!$E$1:$E$5000, MATCH(E35, '06_BANG_GIA_VAT_TU_AP_DUNG'!$B$1:$B$5000, 0)), 0)</f>
        <v/>
      </c>
      <c r="K35" s="402">
        <f>I35*J35</f>
        <v/>
      </c>
      <c r="L35" t="inlineStr">
        <is>
          <t>Lưới chắn côn trùng cổ 4500x500mm</t>
        </is>
      </c>
    </row>
    <row r="36">
      <c r="A36" t="inlineStr">
        <is>
          <t>SW-DIFF-029-FRAME</t>
        </is>
      </c>
      <c r="B36" t="inlineStr">
        <is>
          <t>SW-DIFF-029</t>
        </is>
      </c>
      <c r="C36" t="inlineStr">
        <is>
          <t>Khung nhôm định hình Louver (SWL)</t>
        </is>
      </c>
      <c r="D36" t="inlineStr">
        <is>
          <t>NHÔM_ĐỊNH_HÌNH</t>
        </is>
      </c>
      <c r="E36" t="inlineStr">
        <is>
          <t>MAT-ALU-KHUNG-Z-2-LOP</t>
        </is>
      </c>
      <c r="F36" t="inlineStr">
        <is>
          <t>kg</t>
        </is>
      </c>
      <c r="G36" s="406" t="n">
        <v>2.307334588826114</v>
      </c>
      <c r="H36" s="402">
        <f>IFERROR(INDEX('00_TONG_HOP_BAO_GIA'!$G$1:$G$5000, MATCH(B36, '00_TONG_HOP_BAO_GIA'!$B$1:$B$5000, 0)), 1)</f>
        <v/>
      </c>
      <c r="I36" s="407">
        <f>G36*H36</f>
        <v/>
      </c>
      <c r="J36" s="402">
        <f>IFERROR(INDEX('06_BANG_GIA_VAT_TU_AP_DUNG'!$E$1:$E$5000, MATCH(E36, '06_BANG_GIA_VAT_TU_AP_DUNG'!$B$1:$B$5000, 0)), 0)</f>
        <v/>
      </c>
      <c r="K36" s="402">
        <f>I36*J36</f>
        <v/>
      </c>
      <c r="L36" t="inlineStr">
        <is>
          <t>Khung Louver phủ bì 4050x550mm</t>
        </is>
      </c>
    </row>
    <row r="37">
      <c r="A37" t="inlineStr">
        <is>
          <t>SW-DIFF-029-BLADE</t>
        </is>
      </c>
      <c r="B37" t="inlineStr">
        <is>
          <t>SW-DIFF-029</t>
        </is>
      </c>
      <c r="C37" t="inlineStr">
        <is>
          <t>Nan Z Louver &amp; thanh tăng cứng (11 nan)</t>
        </is>
      </c>
      <c r="D37" t="inlineStr">
        <is>
          <t>NHÔM_ĐỊNH_HÌNH</t>
        </is>
      </c>
      <c r="E37" t="inlineStr">
        <is>
          <t>MAT-ALU-NAN-Z-DAY</t>
        </is>
      </c>
      <c r="F37" t="inlineStr">
        <is>
          <t>kg</t>
        </is>
      </c>
      <c r="G37" s="406" t="n">
        <v>10.61980464532329</v>
      </c>
      <c r="H37" s="402">
        <f>IFERROR(INDEX('00_TONG_HOP_BAO_GIA'!$G$1:$G$5000, MATCH(B37, '00_TONG_HOP_BAO_GIA'!$B$1:$B$5000, 0)), 1)</f>
        <v/>
      </c>
      <c r="I37" s="407">
        <f>G37*H37</f>
        <v/>
      </c>
      <c r="J37" s="402">
        <f>IFERROR(INDEX('06_BANG_GIA_VAT_TU_AP_DUNG'!$E$1:$E$5000, MATCH(E37, '06_BANG_GIA_VAT_TU_AP_DUNG'!$B$1:$B$5000, 0)), 0)</f>
        <v/>
      </c>
      <c r="K37" s="402">
        <f>I37*J37</f>
        <v/>
      </c>
      <c r="L37" t="inlineStr">
        <is>
          <t>11 nan Z dày @ 0.217kg/m + thanh giằng</t>
        </is>
      </c>
    </row>
    <row r="38">
      <c r="A38" t="inlineStr">
        <is>
          <t>SW-DIFF-029-ACCESSORY</t>
        </is>
      </c>
      <c r="B38" t="inlineStr">
        <is>
          <t>SW-DIFF-029</t>
        </is>
      </c>
      <c r="C38" t="inlineStr">
        <is>
          <t>Phụ kiện lắp ghép / Ke góc cửa gió</t>
        </is>
      </c>
      <c r="D38" t="inlineStr">
        <is>
          <t>PHỤ_KIỆN_CỬA</t>
        </is>
      </c>
      <c r="E38" t="inlineStr">
        <is>
          <t>MAT-DOOR-ACCESSORY</t>
        </is>
      </c>
      <c r="F38" t="inlineStr">
        <is>
          <t>Bộ</t>
        </is>
      </c>
      <c r="G38" s="406" t="n">
        <v>1.473111529608705</v>
      </c>
      <c r="H38" s="402">
        <f>IFERROR(INDEX('00_TONG_HOP_BAO_GIA'!$G$1:$G$5000, MATCH(B38, '00_TONG_HOP_BAO_GIA'!$B$1:$B$5000, 0)), 1)</f>
        <v/>
      </c>
      <c r="I38" s="407">
        <f>G38*H38</f>
        <v/>
      </c>
      <c r="J38" s="402">
        <f>IFERROR(INDEX('06_BANG_GIA_VAT_TU_AP_DUNG'!$E$1:$E$5000, MATCH(E38, '06_BANG_GIA_VAT_TU_AP_DUNG'!$B$1:$B$5000, 0)), 0)</f>
        <v/>
      </c>
      <c r="K38" s="402">
        <f>I38*J38</f>
        <v/>
      </c>
      <c r="L38" t="inlineStr">
        <is>
          <t>Ke góc và vít ghép khung Louver</t>
        </is>
      </c>
    </row>
    <row r="39">
      <c r="A39" t="inlineStr">
        <is>
          <t>SW-DIFF-029-PAINT</t>
        </is>
      </c>
      <c r="B39" t="inlineStr">
        <is>
          <t>SW-DIFF-029</t>
        </is>
      </c>
      <c r="C39" t="inlineStr">
        <is>
          <t>Sơn tĩnh điện tiêu chuẩn Polyester</t>
        </is>
      </c>
      <c r="D39" t="inlineStr">
        <is>
          <t>SƠN_TĨNH_ĐIỆN</t>
        </is>
      </c>
      <c r="E39" t="inlineStr">
        <is>
          <t>MAT-PAINT-POWDER</t>
        </is>
      </c>
      <c r="F39" t="inlineStr">
        <is>
          <t>m2</t>
        </is>
      </c>
      <c r="G39" s="406" t="n">
        <v>3.951613472944131</v>
      </c>
      <c r="H39" s="402">
        <f>IFERROR(INDEX('00_TONG_HOP_BAO_GIA'!$G$1:$G$5000, MATCH(B39, '00_TONG_HOP_BAO_GIA'!$B$1:$B$5000, 0)), 1)</f>
        <v/>
      </c>
      <c r="I39" s="407">
        <f>G39*H39</f>
        <v/>
      </c>
      <c r="J39" s="402">
        <f>IFERROR(INDEX('06_BANG_GIA_VAT_TU_AP_DUNG'!$E$1:$E$5000, MATCH(E39, '06_BANG_GIA_VAT_TU_AP_DUNG'!$B$1:$B$5000, 0)), 0)</f>
        <v/>
      </c>
      <c r="K39" s="402">
        <f>I39*J39</f>
        <v/>
      </c>
      <c r="L39" t="inlineStr">
        <is>
          <t>Sơn tĩnh điện khung và nan Louver</t>
        </is>
      </c>
    </row>
    <row r="40">
      <c r="A40" t="inlineStr">
        <is>
          <t>SW-DIFF-029-MESH</t>
        </is>
      </c>
      <c r="B40" t="inlineStr">
        <is>
          <t>SW-DIFF-029</t>
        </is>
      </c>
      <c r="C40" t="inlineStr">
        <is>
          <t>Lưới chắn côn trùng Inox 304 (LCCT)</t>
        </is>
      </c>
      <c r="D40" t="inlineStr">
        <is>
          <t>PHỤ_KIỆN_CỬA</t>
        </is>
      </c>
      <c r="E40" t="inlineStr">
        <is>
          <t>MAT-MESH-INOX-304</t>
        </is>
      </c>
      <c r="F40" t="inlineStr">
        <is>
          <t>m2</t>
        </is>
      </c>
      <c r="G40" s="406" t="n">
        <v>2.008788449466416</v>
      </c>
      <c r="H40" s="402">
        <f>IFERROR(INDEX('00_TONG_HOP_BAO_GIA'!$G$1:$G$5000, MATCH(B40, '00_TONG_HOP_BAO_GIA'!$B$1:$B$5000, 0)), 1)</f>
        <v/>
      </c>
      <c r="I40" s="407">
        <f>G40*H40</f>
        <v/>
      </c>
      <c r="J40" s="402">
        <f>IFERROR(INDEX('06_BANG_GIA_VAT_TU_AP_DUNG'!$E$1:$E$5000, MATCH(E40, '06_BANG_GIA_VAT_TU_AP_DUNG'!$B$1:$B$5000, 0)), 0)</f>
        <v/>
      </c>
      <c r="K40" s="402">
        <f>I40*J40</f>
        <v/>
      </c>
      <c r="L40" t="inlineStr">
        <is>
          <t>Lưới chắn côn trùng cổ 4000x500mm</t>
        </is>
      </c>
    </row>
    <row r="41">
      <c r="A41" t="inlineStr">
        <is>
          <t>SW-DIFF-030-FRAME</t>
        </is>
      </c>
      <c r="B41" t="inlineStr">
        <is>
          <t>SW-DIFF-030</t>
        </is>
      </c>
      <c r="C41" t="inlineStr">
        <is>
          <t>Khung nhôm định hình Louver (SWL)</t>
        </is>
      </c>
      <c r="D41" t="inlineStr">
        <is>
          <t>NHÔM_ĐỊNH_HÌNH</t>
        </is>
      </c>
      <c r="E41" t="inlineStr">
        <is>
          <t>MAT-ALU-KHUNG-Z-2-LOP</t>
        </is>
      </c>
      <c r="F41" t="inlineStr">
        <is>
          <t>kg</t>
        </is>
      </c>
      <c r="G41" s="406" t="n">
        <v>1.80574011299435</v>
      </c>
      <c r="H41" s="402">
        <f>IFERROR(INDEX('00_TONG_HOP_BAO_GIA'!$G$1:$G$5000, MATCH(B41, '00_TONG_HOP_BAO_GIA'!$B$1:$B$5000, 0)), 1)</f>
        <v/>
      </c>
      <c r="I41" s="407">
        <f>G41*H41</f>
        <v/>
      </c>
      <c r="J41" s="402">
        <f>IFERROR(INDEX('06_BANG_GIA_VAT_TU_AP_DUNG'!$E$1:$E$5000, MATCH(E41, '06_BANG_GIA_VAT_TU_AP_DUNG'!$B$1:$B$5000, 0)), 0)</f>
        <v/>
      </c>
      <c r="K41" s="402">
        <f>I41*J41</f>
        <v/>
      </c>
      <c r="L41" t="inlineStr">
        <is>
          <t>Khung Louver phủ bì 3050x550mm</t>
        </is>
      </c>
    </row>
    <row r="42">
      <c r="A42" t="inlineStr">
        <is>
          <t>SW-DIFF-030-BLADE</t>
        </is>
      </c>
      <c r="B42" t="inlineStr">
        <is>
          <t>SW-DIFF-030</t>
        </is>
      </c>
      <c r="C42" t="inlineStr">
        <is>
          <t>Nan Z Louver &amp; thanh tăng cứng (11 nan)</t>
        </is>
      </c>
      <c r="D42" t="inlineStr">
        <is>
          <t>NHÔM_ĐỊNH_HÌNH</t>
        </is>
      </c>
      <c r="E42" t="inlineStr">
        <is>
          <t>MAT-ALU-NAN-Z-DAY</t>
        </is>
      </c>
      <c r="F42" t="inlineStr">
        <is>
          <t>kg</t>
        </is>
      </c>
      <c r="G42" s="406" t="n">
        <v>7.982566729441307</v>
      </c>
      <c r="H42" s="402">
        <f>IFERROR(INDEX('00_TONG_HOP_BAO_GIA'!$G$1:$G$5000, MATCH(B42, '00_TONG_HOP_BAO_GIA'!$B$1:$B$5000, 0)), 1)</f>
        <v/>
      </c>
      <c r="I42" s="407">
        <f>G42*H42</f>
        <v/>
      </c>
      <c r="J42" s="402">
        <f>IFERROR(INDEX('06_BANG_GIA_VAT_TU_AP_DUNG'!$E$1:$E$5000, MATCH(E42, '06_BANG_GIA_VAT_TU_AP_DUNG'!$B$1:$B$5000, 0)), 0)</f>
        <v/>
      </c>
      <c r="K42" s="402">
        <f>I42*J42</f>
        <v/>
      </c>
      <c r="L42" t="inlineStr">
        <is>
          <t>11 nan Z dày @ 0.217kg/m + thanh giằng</t>
        </is>
      </c>
    </row>
    <row r="43">
      <c r="A43" t="inlineStr">
        <is>
          <t>SW-DIFF-030-ACCESSORY</t>
        </is>
      </c>
      <c r="B43" t="inlineStr">
        <is>
          <t>SW-DIFF-030</t>
        </is>
      </c>
      <c r="C43" t="inlineStr">
        <is>
          <t>Phụ kiện lắp ghép / Ke góc cửa gió</t>
        </is>
      </c>
      <c r="D43" t="inlineStr">
        <is>
          <t>PHỤ_KIỆN_CỬA</t>
        </is>
      </c>
      <c r="E43" t="inlineStr">
        <is>
          <t>MAT-DOOR-ACCESSORY</t>
        </is>
      </c>
      <c r="F43" t="inlineStr">
        <is>
          <t>Bộ</t>
        </is>
      </c>
      <c r="G43" s="406" t="n">
        <v>1.473111529608705</v>
      </c>
      <c r="H43" s="402">
        <f>IFERROR(INDEX('00_TONG_HOP_BAO_GIA'!$G$1:$G$5000, MATCH(B43, '00_TONG_HOP_BAO_GIA'!$B$1:$B$5000, 0)), 1)</f>
        <v/>
      </c>
      <c r="I43" s="407">
        <f>G43*H43</f>
        <v/>
      </c>
      <c r="J43" s="402">
        <f>IFERROR(INDEX('06_BANG_GIA_VAT_TU_AP_DUNG'!$E$1:$E$5000, MATCH(E43, '06_BANG_GIA_VAT_TU_AP_DUNG'!$B$1:$B$5000, 0)), 0)</f>
        <v/>
      </c>
      <c r="K43" s="402">
        <f>I43*J43</f>
        <v/>
      </c>
      <c r="L43" t="inlineStr">
        <is>
          <t>Ke góc và vít ghép khung Louver</t>
        </is>
      </c>
    </row>
    <row r="44">
      <c r="A44" t="inlineStr">
        <is>
          <t>SW-DIFF-030-PAINT</t>
        </is>
      </c>
      <c r="B44" t="inlineStr">
        <is>
          <t>SW-DIFF-030</t>
        </is>
      </c>
      <c r="C44" t="inlineStr">
        <is>
          <t>Sơn tĩnh điện tiêu chuẩn Polyester</t>
        </is>
      </c>
      <c r="D44" t="inlineStr">
        <is>
          <t>SƠN_TĨNH_ĐIỆN</t>
        </is>
      </c>
      <c r="E44" t="inlineStr">
        <is>
          <t>MAT-PAINT-POWDER</t>
        </is>
      </c>
      <c r="F44" t="inlineStr">
        <is>
          <t>m2</t>
        </is>
      </c>
      <c r="G44" s="406" t="n">
        <v>2.984853096296296</v>
      </c>
      <c r="H44" s="402">
        <f>IFERROR(INDEX('00_TONG_HOP_BAO_GIA'!$G$1:$G$5000, MATCH(B44, '00_TONG_HOP_BAO_GIA'!$B$1:$B$5000, 0)), 1)</f>
        <v/>
      </c>
      <c r="I44" s="407">
        <f>G44*H44</f>
        <v/>
      </c>
      <c r="J44" s="402">
        <f>IFERROR(INDEX('06_BANG_GIA_VAT_TU_AP_DUNG'!$E$1:$E$5000, MATCH(E44, '06_BANG_GIA_VAT_TU_AP_DUNG'!$B$1:$B$5000, 0)), 0)</f>
        <v/>
      </c>
      <c r="K44" s="402">
        <f>I44*J44</f>
        <v/>
      </c>
      <c r="L44" t="inlineStr">
        <is>
          <t>Sơn tĩnh điện khung và nan Louver</t>
        </is>
      </c>
    </row>
    <row r="45">
      <c r="A45" t="inlineStr">
        <is>
          <t>SW-DIFF-030-MESH</t>
        </is>
      </c>
      <c r="B45" t="inlineStr">
        <is>
          <t>SW-DIFF-030</t>
        </is>
      </c>
      <c r="C45" t="inlineStr">
        <is>
          <t>Lưới chắn côn trùng Inox 304 (LCCT)</t>
        </is>
      </c>
      <c r="D45" t="inlineStr">
        <is>
          <t>PHỤ_KIỆN_CỬA</t>
        </is>
      </c>
      <c r="E45" t="inlineStr">
        <is>
          <t>MAT-MESH-INOX-304</t>
        </is>
      </c>
      <c r="F45" t="inlineStr">
        <is>
          <t>m2</t>
        </is>
      </c>
      <c r="G45" s="406" t="n">
        <v>1.506591337099812</v>
      </c>
      <c r="H45" s="402">
        <f>IFERROR(INDEX('00_TONG_HOP_BAO_GIA'!$G$1:$G$5000, MATCH(B45, '00_TONG_HOP_BAO_GIA'!$B$1:$B$5000, 0)), 1)</f>
        <v/>
      </c>
      <c r="I45" s="407">
        <f>G45*H45</f>
        <v/>
      </c>
      <c r="J45" s="402">
        <f>IFERROR(INDEX('06_BANG_GIA_VAT_TU_AP_DUNG'!$E$1:$E$5000, MATCH(E45, '06_BANG_GIA_VAT_TU_AP_DUNG'!$B$1:$B$5000, 0)), 0)</f>
        <v/>
      </c>
      <c r="K45" s="402">
        <f>I45*J45</f>
        <v/>
      </c>
      <c r="L45" t="inlineStr">
        <is>
          <t>Lưới chắn côn trùng cổ 3000x500mm</t>
        </is>
      </c>
    </row>
    <row r="46">
      <c r="A46" t="inlineStr">
        <is>
          <t>SW-DIFF-031-FRAME</t>
        </is>
      </c>
      <c r="B46" t="inlineStr">
        <is>
          <t>SW-DIFF-031</t>
        </is>
      </c>
      <c r="C46" t="inlineStr">
        <is>
          <t>Khung nhôm định hình Louver (SWL)</t>
        </is>
      </c>
      <c r="D46" t="inlineStr">
        <is>
          <t>NHÔM_ĐỊNH_HÌNH</t>
        </is>
      </c>
      <c r="E46" t="inlineStr">
        <is>
          <t>MAT-ALU-KHUNG-Z-2-LOP</t>
        </is>
      </c>
      <c r="F46" t="inlineStr">
        <is>
          <t>kg</t>
        </is>
      </c>
      <c r="G46" s="406" t="n">
        <v>1.80574011299435</v>
      </c>
      <c r="H46" s="402">
        <f>IFERROR(INDEX('00_TONG_HOP_BAO_GIA'!$G$1:$G$5000, MATCH(B46, '00_TONG_HOP_BAO_GIA'!$B$1:$B$5000, 0)), 1)</f>
        <v/>
      </c>
      <c r="I46" s="407">
        <f>G46*H46</f>
        <v/>
      </c>
      <c r="J46" s="402">
        <f>IFERROR(INDEX('06_BANG_GIA_VAT_TU_AP_DUNG'!$E$1:$E$5000, MATCH(E46, '06_BANG_GIA_VAT_TU_AP_DUNG'!$B$1:$B$5000, 0)), 0)</f>
        <v/>
      </c>
      <c r="K46" s="402">
        <f>I46*J46</f>
        <v/>
      </c>
      <c r="L46" t="inlineStr">
        <is>
          <t>Khung Louver phủ bì 2800x800mm</t>
        </is>
      </c>
    </row>
    <row r="47">
      <c r="A47" t="inlineStr">
        <is>
          <t>SW-DIFF-031-BLADE</t>
        </is>
      </c>
      <c r="B47" t="inlineStr">
        <is>
          <t>SW-DIFF-031</t>
        </is>
      </c>
      <c r="C47" t="inlineStr">
        <is>
          <t>Nan Z Louver &amp; thanh tăng cứng (17 nan)</t>
        </is>
      </c>
      <c r="D47" t="inlineStr">
        <is>
          <t>NHÔM_ĐỊNH_HÌNH</t>
        </is>
      </c>
      <c r="E47" t="inlineStr">
        <is>
          <t>MAT-ALU-NAN-Z-DAY</t>
        </is>
      </c>
      <c r="F47" t="inlineStr">
        <is>
          <t>kg</t>
        </is>
      </c>
      <c r="G47" s="406" t="n">
        <v>11.30892253609542</v>
      </c>
      <c r="H47" s="402">
        <f>IFERROR(INDEX('00_TONG_HOP_BAO_GIA'!$G$1:$G$5000, MATCH(B47, '00_TONG_HOP_BAO_GIA'!$B$1:$B$5000, 0)), 1)</f>
        <v/>
      </c>
      <c r="I47" s="407">
        <f>G47*H47</f>
        <v/>
      </c>
      <c r="J47" s="402">
        <f>IFERROR(INDEX('06_BANG_GIA_VAT_TU_AP_DUNG'!$E$1:$E$5000, MATCH(E47, '06_BANG_GIA_VAT_TU_AP_DUNG'!$B$1:$B$5000, 0)), 0)</f>
        <v/>
      </c>
      <c r="K47" s="402">
        <f>I47*J47</f>
        <v/>
      </c>
      <c r="L47" t="inlineStr">
        <is>
          <t>17 nan Z dày @ 0.217kg/m + thanh giằng</t>
        </is>
      </c>
    </row>
    <row r="48">
      <c r="A48" t="inlineStr">
        <is>
          <t>SW-DIFF-031-ACCESSORY</t>
        </is>
      </c>
      <c r="B48" t="inlineStr">
        <is>
          <t>SW-DIFF-031</t>
        </is>
      </c>
      <c r="C48" t="inlineStr">
        <is>
          <t>Phụ kiện lắp ghép / Ke góc cửa gió</t>
        </is>
      </c>
      <c r="D48" t="inlineStr">
        <is>
          <t>PHỤ_KIỆN_CỬA</t>
        </is>
      </c>
      <c r="E48" t="inlineStr">
        <is>
          <t>MAT-DOOR-ACCESSORY</t>
        </is>
      </c>
      <c r="F48" t="inlineStr">
        <is>
          <t>Bộ</t>
        </is>
      </c>
      <c r="G48" s="406" t="n">
        <v>1.473111529608705</v>
      </c>
      <c r="H48" s="402">
        <f>IFERROR(INDEX('00_TONG_HOP_BAO_GIA'!$G$1:$G$5000, MATCH(B48, '00_TONG_HOP_BAO_GIA'!$B$1:$B$5000, 0)), 1)</f>
        <v/>
      </c>
      <c r="I48" s="407">
        <f>G48*H48</f>
        <v/>
      </c>
      <c r="J48" s="402">
        <f>IFERROR(INDEX('06_BANG_GIA_VAT_TU_AP_DUNG'!$E$1:$E$5000, MATCH(E48, '06_BANG_GIA_VAT_TU_AP_DUNG'!$B$1:$B$5000, 0)), 0)</f>
        <v/>
      </c>
      <c r="K48" s="402">
        <f>I48*J48</f>
        <v/>
      </c>
      <c r="L48" t="inlineStr">
        <is>
          <t>Ke góc và vít ghép khung Louver</t>
        </is>
      </c>
    </row>
    <row r="49">
      <c r="A49" t="inlineStr">
        <is>
          <t>SW-DIFF-031-PAINT</t>
        </is>
      </c>
      <c r="B49" t="inlineStr">
        <is>
          <t>SW-DIFF-031</t>
        </is>
      </c>
      <c r="C49" t="inlineStr">
        <is>
          <t>Sơn tĩnh điện tiêu chuẩn Polyester</t>
        </is>
      </c>
      <c r="D49" t="inlineStr">
        <is>
          <t>SƠN_TĨNH_ĐIỆN</t>
        </is>
      </c>
      <c r="E49" t="inlineStr">
        <is>
          <t>MAT-PAINT-POWDER</t>
        </is>
      </c>
      <c r="F49" t="inlineStr">
        <is>
          <t>m2</t>
        </is>
      </c>
      <c r="G49" s="406" t="n">
        <v>3.995759134212179</v>
      </c>
      <c r="H49" s="402">
        <f>IFERROR(INDEX('00_TONG_HOP_BAO_GIA'!$G$1:$G$5000, MATCH(B49, '00_TONG_HOP_BAO_GIA'!$B$1:$B$5000, 0)), 1)</f>
        <v/>
      </c>
      <c r="I49" s="407">
        <f>G49*H49</f>
        <v/>
      </c>
      <c r="J49" s="402">
        <f>IFERROR(INDEX('06_BANG_GIA_VAT_TU_AP_DUNG'!$E$1:$E$5000, MATCH(E49, '06_BANG_GIA_VAT_TU_AP_DUNG'!$B$1:$B$5000, 0)), 0)</f>
        <v/>
      </c>
      <c r="K49" s="402">
        <f>I49*J49</f>
        <v/>
      </c>
      <c r="L49" t="inlineStr">
        <is>
          <t>Sơn tĩnh điện khung và nan Louver</t>
        </is>
      </c>
    </row>
    <row r="50">
      <c r="A50" t="inlineStr">
        <is>
          <t>SW-DIFF-031-MESH</t>
        </is>
      </c>
      <c r="B50" t="inlineStr">
        <is>
          <t>SW-DIFF-031</t>
        </is>
      </c>
      <c r="C50" t="inlineStr">
        <is>
          <t>Lưới chắn côn trùng Inox 304 (LCCT)</t>
        </is>
      </c>
      <c r="D50" t="inlineStr">
        <is>
          <t>PHỤ_KIỆN_CỬA</t>
        </is>
      </c>
      <c r="E50" t="inlineStr">
        <is>
          <t>MAT-MESH-INOX-304</t>
        </is>
      </c>
      <c r="F50" t="inlineStr">
        <is>
          <t>m2</t>
        </is>
      </c>
      <c r="G50" s="406" t="n">
        <v>2.071563088512241</v>
      </c>
      <c r="H50" s="402">
        <f>IFERROR(INDEX('00_TONG_HOP_BAO_GIA'!$G$1:$G$5000, MATCH(B50, '00_TONG_HOP_BAO_GIA'!$B$1:$B$5000, 0)), 1)</f>
        <v/>
      </c>
      <c r="I50" s="407">
        <f>G50*H50</f>
        <v/>
      </c>
      <c r="J50" s="402">
        <f>IFERROR(INDEX('06_BANG_GIA_VAT_TU_AP_DUNG'!$E$1:$E$5000, MATCH(E50, '06_BANG_GIA_VAT_TU_AP_DUNG'!$B$1:$B$5000, 0)), 0)</f>
        <v/>
      </c>
      <c r="K50" s="402">
        <f>I50*J50</f>
        <v/>
      </c>
      <c r="L50" t="inlineStr">
        <is>
          <t>Lưới chắn côn trùng cổ 2750x750mm</t>
        </is>
      </c>
    </row>
    <row r="51">
      <c r="A51" t="inlineStr">
        <is>
          <t>SW-DIFF-082-FRAME</t>
        </is>
      </c>
      <c r="B51" t="inlineStr">
        <is>
          <t>SW-DIFF-082</t>
        </is>
      </c>
      <c r="C51" t="inlineStr">
        <is>
          <t>Khung nhôm định hình (1 lớp BD)</t>
        </is>
      </c>
      <c r="D51" t="inlineStr">
        <is>
          <t>NHÔM_ĐỊNH_HÌNH</t>
        </is>
      </c>
      <c r="E51" t="inlineStr">
        <is>
          <t>MAT-ALU-KHUNG-BD</t>
        </is>
      </c>
      <c r="F51" t="inlineStr">
        <is>
          <t>kg</t>
        </is>
      </c>
      <c r="G51" s="406" t="n">
        <v>0.681364092906466</v>
      </c>
      <c r="H51" s="402">
        <f>IFERROR(INDEX('00_TONG_HOP_BAO_GIA'!$G$1:$G$5000, MATCH(B51, '00_TONG_HOP_BAO_GIA'!$B$1:$B$5000, 0)), 1)</f>
        <v/>
      </c>
      <c r="I51" s="407">
        <f>G51*H51</f>
        <v/>
      </c>
      <c r="J51" s="402">
        <f>IFERROR(INDEX('06_BANG_GIA_VAT_TU_AP_DUNG'!$E$1:$E$5000, MATCH(E51, '06_BANG_GIA_VAT_TU_AP_DUNG'!$B$1:$B$5000, 0)), 0)</f>
        <v/>
      </c>
      <c r="K51" s="402">
        <f>I51*J51</f>
        <v/>
      </c>
      <c r="L51" t="inlineStr">
        <is>
          <t>Khung bao 1010x510mm (cổ 900x400mm)</t>
        </is>
      </c>
    </row>
    <row r="52">
      <c r="A52" t="inlineStr">
        <is>
          <t>SW-DIFF-082-BLADE</t>
        </is>
      </c>
      <c r="B52" t="inlineStr">
        <is>
          <t>SW-DIFF-082</t>
        </is>
      </c>
      <c r="C52" t="inlineStr">
        <is>
          <t>Nan nhôm bầu dục (22 nan)</t>
        </is>
      </c>
      <c r="D52" t="inlineStr">
        <is>
          <t>NHÔM_ĐỊNH_HÌNH</t>
        </is>
      </c>
      <c r="E52" t="inlineStr">
        <is>
          <t>MAT-ALU-NAN-BD</t>
        </is>
      </c>
      <c r="F52" t="inlineStr">
        <is>
          <t>kg</t>
        </is>
      </c>
      <c r="G52" s="406" t="n">
        <v>1.278403013182674</v>
      </c>
      <c r="H52" s="402">
        <f>IFERROR(INDEX('00_TONG_HOP_BAO_GIA'!$G$1:$G$5000, MATCH(B52, '00_TONG_HOP_BAO_GIA'!$B$1:$B$5000, 0)), 1)</f>
        <v/>
      </c>
      <c r="I52" s="407">
        <f>G52*H52</f>
        <v/>
      </c>
      <c r="J52" s="402">
        <f>IFERROR(INDEX('06_BANG_GIA_VAT_TU_AP_DUNG'!$E$1:$E$5000, MATCH(E52, '06_BANG_GIA_VAT_TU_AP_DUNG'!$B$1:$B$5000, 0)), 0)</f>
        <v/>
      </c>
      <c r="K52" s="402">
        <f>I52*J52</f>
        <v/>
      </c>
      <c r="L52" t="inlineStr">
        <is>
          <t>Nan bầu dục @ 0.058kg/m</t>
        </is>
      </c>
    </row>
    <row r="53">
      <c r="A53" t="inlineStr">
        <is>
          <t>SW-DIFF-082-ACCESSORY</t>
        </is>
      </c>
      <c r="B53" t="inlineStr">
        <is>
          <t>SW-DIFF-082</t>
        </is>
      </c>
      <c r="C53" t="inlineStr">
        <is>
          <t>Phụ kiện lắp ghép / Ke góc cửa gió</t>
        </is>
      </c>
      <c r="D53" t="inlineStr">
        <is>
          <t>PHỤ_KIỆN_CỬA</t>
        </is>
      </c>
      <c r="E53" t="inlineStr">
        <is>
          <t>MAT-DOOR-ACCESSORY</t>
        </is>
      </c>
      <c r="F53" t="inlineStr">
        <is>
          <t>Bộ</t>
        </is>
      </c>
      <c r="G53" s="406" t="n">
        <v>0.8349026993094791</v>
      </c>
      <c r="H53" s="402">
        <f>IFERROR(INDEX('00_TONG_HOP_BAO_GIA'!$G$1:$G$5000, MATCH(B53, '00_TONG_HOP_BAO_GIA'!$B$1:$B$5000, 0)), 1)</f>
        <v/>
      </c>
      <c r="I53" s="407">
        <f>G53*H53</f>
        <v/>
      </c>
      <c r="J53" s="402">
        <f>IFERROR(INDEX('06_BANG_GIA_VAT_TU_AP_DUNG'!$E$1:$E$5000, MATCH(E53, '06_BANG_GIA_VAT_TU_AP_DUNG'!$B$1:$B$5000, 0)), 0)</f>
        <v/>
      </c>
      <c r="K53" s="402">
        <f>I53*J53</f>
        <v/>
      </c>
      <c r="L53" t="inlineStr">
        <is>
          <t>4 ke góc chìm và vít ghép khung</t>
        </is>
      </c>
    </row>
    <row r="54">
      <c r="A54" t="inlineStr">
        <is>
          <t>SW-DIFF-082-PAINT</t>
        </is>
      </c>
      <c r="B54" t="inlineStr">
        <is>
          <t>SW-DIFF-082</t>
        </is>
      </c>
      <c r="C54" t="inlineStr">
        <is>
          <t>Sơn tĩnh điện tiêu chuẩn Polyester</t>
        </is>
      </c>
      <c r="D54" t="inlineStr">
        <is>
          <t>SƠN_TĨNH_ĐIỆN</t>
        </is>
      </c>
      <c r="E54" t="inlineStr">
        <is>
          <t>MAT-PAINT-POWDER</t>
        </is>
      </c>
      <c r="F54" t="inlineStr">
        <is>
          <t>m2</t>
        </is>
      </c>
      <c r="G54" s="406" t="n">
        <v>0.6036082686754553</v>
      </c>
      <c r="H54" s="402">
        <f>IFERROR(INDEX('00_TONG_HOP_BAO_GIA'!$G$1:$G$5000, MATCH(B54, '00_TONG_HOP_BAO_GIA'!$B$1:$B$5000, 0)), 1)</f>
        <v/>
      </c>
      <c r="I54" s="407">
        <f>G54*H54</f>
        <v/>
      </c>
      <c r="J54" s="402">
        <f>IFERROR(INDEX('06_BANG_GIA_VAT_TU_AP_DUNG'!$E$1:$E$5000, MATCH(E54, '06_BANG_GIA_VAT_TU_AP_DUNG'!$B$1:$B$5000, 0)), 0)</f>
        <v/>
      </c>
      <c r="K54" s="402">
        <f>I54*J54</f>
        <v/>
      </c>
      <c r="L54" t="inlineStr">
        <is>
          <t>Sơn tĩnh điện hoàn thiện</t>
        </is>
      </c>
    </row>
    <row r="55">
      <c r="A55" t="inlineStr">
        <is>
          <t>SW-DIFF-082-OBD-FRAME</t>
        </is>
      </c>
      <c r="B55" t="inlineStr">
        <is>
          <t>SW-DIFF-082</t>
        </is>
      </c>
      <c r="C55" t="inlineStr">
        <is>
          <t>Khung nhôm van OBD gắn cửa (SOBD)</t>
        </is>
      </c>
      <c r="D55" t="inlineStr">
        <is>
          <t>NHÔM_ĐỊNH_HÌNH</t>
        </is>
      </c>
      <c r="E55" t="inlineStr">
        <is>
          <t>MAT-ALU-KHUNG-OBD</t>
        </is>
      </c>
      <c r="F55" t="inlineStr">
        <is>
          <t>kg</t>
        </is>
      </c>
      <c r="G55" s="406" t="n">
        <v>0.4188289391086002</v>
      </c>
      <c r="H55" s="402">
        <f>IFERROR(INDEX('00_TONG_HOP_BAO_GIA'!$G$1:$G$5000, MATCH(B55, '00_TONG_HOP_BAO_GIA'!$B$1:$B$5000, 0)), 1)</f>
        <v/>
      </c>
      <c r="I55" s="407">
        <f>G55*H55</f>
        <v/>
      </c>
      <c r="J55" s="402">
        <f>IFERROR(INDEX('06_BANG_GIA_VAT_TU_AP_DUNG'!$E$1:$E$5000, MATCH(E55, '06_BANG_GIA_VAT_TU_AP_DUNG'!$B$1:$B$5000, 0)), 0)</f>
        <v/>
      </c>
      <c r="K55" s="402">
        <f>I55*J55</f>
        <v/>
      </c>
      <c r="L55" t="inlineStr">
        <is>
          <t>Khung OBD 885x385mm</t>
        </is>
      </c>
    </row>
    <row r="56">
      <c r="A56" t="inlineStr">
        <is>
          <t>SW-DIFF-082-OBD-BLADE</t>
        </is>
      </c>
      <c r="B56" t="inlineStr">
        <is>
          <t>SW-DIFF-082</t>
        </is>
      </c>
      <c r="C56" t="inlineStr">
        <is>
          <t>Nan nhôm &amp; thanh truyền van OBD (SOBD)</t>
        </is>
      </c>
      <c r="D56" t="inlineStr">
        <is>
          <t>NHÔM_ĐỊNH_HÌNH</t>
        </is>
      </c>
      <c r="E56" t="inlineStr">
        <is>
          <t>MAT-ALU-NAN-OBD</t>
        </is>
      </c>
      <c r="F56" t="inlineStr">
        <is>
          <t>kg</t>
        </is>
      </c>
      <c r="G56" s="406" t="n">
        <v>0.9291553868487131</v>
      </c>
      <c r="H56" s="402">
        <f>IFERROR(INDEX('00_TONG_HOP_BAO_GIA'!$G$1:$G$5000, MATCH(B56, '00_TONG_HOP_BAO_GIA'!$B$1:$B$5000, 0)), 1)</f>
        <v/>
      </c>
      <c r="I56" s="407">
        <f>G56*H56</f>
        <v/>
      </c>
      <c r="J56" s="402">
        <f>IFERROR(INDEX('06_BANG_GIA_VAT_TU_AP_DUNG'!$E$1:$E$5000, MATCH(E56, '06_BANG_GIA_VAT_TU_AP_DUNG'!$B$1:$B$5000, 0)), 0)</f>
        <v/>
      </c>
      <c r="K56" s="402">
        <f>I56*J56</f>
        <v/>
      </c>
      <c r="L56" t="inlineStr">
        <is>
          <t>Nan OBD đối xứng &amp; thanh liên kết</t>
        </is>
      </c>
    </row>
    <row r="57">
      <c r="A57" t="inlineStr">
        <is>
          <t>SW-DIFF-082-OBD-ACC</t>
        </is>
      </c>
      <c r="B57" t="inlineStr">
        <is>
          <t>SW-DIFF-082</t>
        </is>
      </c>
      <c r="C57" t="inlineStr">
        <is>
          <t>Bánh răng nhựa &amp; phụ kiện van OBD</t>
        </is>
      </c>
      <c r="D57" t="inlineStr">
        <is>
          <t>PHỤ_KIỆN_CỬA</t>
        </is>
      </c>
      <c r="E57" t="inlineStr">
        <is>
          <t>MAT-DOOR-ACCESSORY</t>
        </is>
      </c>
      <c r="F57" t="inlineStr">
        <is>
          <t>Bộ</t>
        </is>
      </c>
      <c r="G57" s="406" t="n">
        <v>0.9044779242519357</v>
      </c>
      <c r="H57" s="402">
        <f>IFERROR(INDEX('00_TONG_HOP_BAO_GIA'!$G$1:$G$5000, MATCH(B57, '00_TONG_HOP_BAO_GIA'!$B$1:$B$5000, 0)), 1)</f>
        <v/>
      </c>
      <c r="I57" s="407">
        <f>G57*H57</f>
        <v/>
      </c>
      <c r="J57" s="402">
        <f>IFERROR(INDEX('06_BANG_GIA_VAT_TU_AP_DUNG'!$E$1:$E$5000, MATCH(E57, '06_BANG_GIA_VAT_TU_AP_DUNG'!$B$1:$B$5000, 0)), 0)</f>
        <v/>
      </c>
      <c r="K57" s="402">
        <f>I57*J57</f>
        <v/>
      </c>
      <c r="L57" t="inlineStr">
        <is>
          <t>Cơ cấu bánh răng đóng mở OBD</t>
        </is>
      </c>
    </row>
    <row r="58">
      <c r="A58" t="inlineStr">
        <is>
          <t>SW-DIFF-082-OBD-PAINT</t>
        </is>
      </c>
      <c r="B58" t="inlineStr">
        <is>
          <t>SW-DIFF-082</t>
        </is>
      </c>
      <c r="C58" t="inlineStr">
        <is>
          <t>Sơn tĩnh điện van OBD</t>
        </is>
      </c>
      <c r="D58" t="inlineStr">
        <is>
          <t>SƠN_TĨNH_ĐIỆN</t>
        </is>
      </c>
      <c r="E58" t="inlineStr">
        <is>
          <t>MAT-PAINT-POWDER</t>
        </is>
      </c>
      <c r="F58" t="inlineStr">
        <is>
          <t>m2</t>
        </is>
      </c>
      <c r="G58" s="406" t="n">
        <v>0.4151791723948525</v>
      </c>
      <c r="H58" s="402">
        <f>IFERROR(INDEX('00_TONG_HOP_BAO_GIA'!$G$1:$G$5000, MATCH(B58, '00_TONG_HOP_BAO_GIA'!$B$1:$B$5000, 0)), 1)</f>
        <v/>
      </c>
      <c r="I58" s="407">
        <f>G58*H58</f>
        <v/>
      </c>
      <c r="J58" s="402">
        <f>IFERROR(INDEX('06_BANG_GIA_VAT_TU_AP_DUNG'!$E$1:$E$5000, MATCH(E58, '06_BANG_GIA_VAT_TU_AP_DUNG'!$B$1:$B$5000, 0)), 0)</f>
        <v/>
      </c>
      <c r="K58" s="402">
        <f>I58*J58</f>
        <v/>
      </c>
      <c r="L58" t="inlineStr">
        <is>
          <t>Sơn tĩnh điện đen/trắng cho OBD</t>
        </is>
      </c>
    </row>
    <row r="59">
      <c r="A59" t="inlineStr">
        <is>
          <t>SW-DIFF-083-FRAME</t>
        </is>
      </c>
      <c r="B59" t="inlineStr">
        <is>
          <t>SW-DIFF-083</t>
        </is>
      </c>
      <c r="C59" t="inlineStr">
        <is>
          <t>Khung nhôm định hình (1 lớp BD)</t>
        </is>
      </c>
      <c r="D59" t="inlineStr">
        <is>
          <t>NHÔM_ĐỊNH_HÌNH</t>
        </is>
      </c>
      <c r="E59" t="inlineStr">
        <is>
          <t>MAT-ALU-KHUNG-BD</t>
        </is>
      </c>
      <c r="F59" t="inlineStr">
        <is>
          <t>kg</t>
        </is>
      </c>
      <c r="G59" s="406" t="n">
        <v>0.379964218455744</v>
      </c>
      <c r="H59" s="402">
        <f>IFERROR(INDEX('00_TONG_HOP_BAO_GIA'!$G$1:$G$5000, MATCH(B59, '00_TONG_HOP_BAO_GIA'!$B$1:$B$5000, 0)), 1)</f>
        <v/>
      </c>
      <c r="I59" s="407">
        <f>G59*H59</f>
        <v/>
      </c>
      <c r="J59" s="402">
        <f>IFERROR(INDEX('06_BANG_GIA_VAT_TU_AP_DUNG'!$E$1:$E$5000, MATCH(E59, '06_BANG_GIA_VAT_TU_AP_DUNG'!$B$1:$B$5000, 0)), 0)</f>
        <v/>
      </c>
      <c r="K59" s="402">
        <f>I59*J59</f>
        <v/>
      </c>
      <c r="L59" t="inlineStr">
        <is>
          <t>Khung bao 410x410mm (cổ 300x300mm)</t>
        </is>
      </c>
    </row>
    <row r="60">
      <c r="A60" t="inlineStr">
        <is>
          <t>SW-DIFF-083-BLADE</t>
        </is>
      </c>
      <c r="B60" t="inlineStr">
        <is>
          <t>SW-DIFF-083</t>
        </is>
      </c>
      <c r="C60" t="inlineStr">
        <is>
          <t>Nan nhôm bầu dục (17 nan)</t>
        </is>
      </c>
      <c r="D60" t="inlineStr">
        <is>
          <t>NHÔM_ĐỊNH_HÌNH</t>
        </is>
      </c>
      <c r="E60" t="inlineStr">
        <is>
          <t>MAT-ALU-NAN-BD</t>
        </is>
      </c>
      <c r="F60" t="inlineStr">
        <is>
          <t>kg</t>
        </is>
      </c>
      <c r="G60" s="406" t="n">
        <v>0.3704463276836159</v>
      </c>
      <c r="H60" s="402">
        <f>IFERROR(INDEX('00_TONG_HOP_BAO_GIA'!$G$1:$G$5000, MATCH(B60, '00_TONG_HOP_BAO_GIA'!$B$1:$B$5000, 0)), 1)</f>
        <v/>
      </c>
      <c r="I60" s="407">
        <f>G60*H60</f>
        <v/>
      </c>
      <c r="J60" s="402">
        <f>IFERROR(INDEX('06_BANG_GIA_VAT_TU_AP_DUNG'!$E$1:$E$5000, MATCH(E60, '06_BANG_GIA_VAT_TU_AP_DUNG'!$B$1:$B$5000, 0)), 0)</f>
        <v/>
      </c>
      <c r="K60" s="402">
        <f>I60*J60</f>
        <v/>
      </c>
      <c r="L60" t="inlineStr">
        <is>
          <t>Nan bầu dục @ 0.058kg/m</t>
        </is>
      </c>
    </row>
    <row r="61">
      <c r="A61" t="inlineStr">
        <is>
          <t>SW-DIFF-083-ACCESSORY</t>
        </is>
      </c>
      <c r="B61" t="inlineStr">
        <is>
          <t>SW-DIFF-083</t>
        </is>
      </c>
      <c r="C61" t="inlineStr">
        <is>
          <t>Phụ kiện lắp ghép / Ke góc cửa gió</t>
        </is>
      </c>
      <c r="D61" t="inlineStr">
        <is>
          <t>PHỤ_KIỆN_CỬA</t>
        </is>
      </c>
      <c r="E61" t="inlineStr">
        <is>
          <t>MAT-DOOR-ACCESSORY</t>
        </is>
      </c>
      <c r="F61" t="inlineStr">
        <is>
          <t>Bộ</t>
        </is>
      </c>
      <c r="G61" s="406" t="n">
        <v>0.8349026993094791</v>
      </c>
      <c r="H61" s="402">
        <f>IFERROR(INDEX('00_TONG_HOP_BAO_GIA'!$G$1:$G$5000, MATCH(B61, '00_TONG_HOP_BAO_GIA'!$B$1:$B$5000, 0)), 1)</f>
        <v/>
      </c>
      <c r="I61" s="407">
        <f>G61*H61</f>
        <v/>
      </c>
      <c r="J61" s="402">
        <f>IFERROR(INDEX('06_BANG_GIA_VAT_TU_AP_DUNG'!$E$1:$E$5000, MATCH(E61, '06_BANG_GIA_VAT_TU_AP_DUNG'!$B$1:$B$5000, 0)), 0)</f>
        <v/>
      </c>
      <c r="K61" s="402">
        <f>I61*J61</f>
        <v/>
      </c>
      <c r="L61" t="inlineStr">
        <is>
          <t>4 ke góc chìm và vít ghép khung</t>
        </is>
      </c>
    </row>
    <row r="62">
      <c r="A62" t="inlineStr">
        <is>
          <t>SW-DIFF-083-PAINT</t>
        </is>
      </c>
      <c r="B62" t="inlineStr">
        <is>
          <t>SW-DIFF-083</t>
        </is>
      </c>
      <c r="C62" t="inlineStr">
        <is>
          <t>Sơn tĩnh điện tiêu chuẩn Polyester</t>
        </is>
      </c>
      <c r="D62" t="inlineStr">
        <is>
          <t>SƠN_TĨNH_ĐIỆN</t>
        </is>
      </c>
      <c r="E62" t="inlineStr">
        <is>
          <t>MAT-PAINT-POWDER</t>
        </is>
      </c>
      <c r="F62" t="inlineStr">
        <is>
          <t>m2</t>
        </is>
      </c>
      <c r="G62" s="406" t="n">
        <v>0.2311264482109228</v>
      </c>
      <c r="H62" s="402">
        <f>IFERROR(INDEX('00_TONG_HOP_BAO_GIA'!$G$1:$G$5000, MATCH(B62, '00_TONG_HOP_BAO_GIA'!$B$1:$B$5000, 0)), 1)</f>
        <v/>
      </c>
      <c r="I62" s="407">
        <f>G62*H62</f>
        <v/>
      </c>
      <c r="J62" s="402">
        <f>IFERROR(INDEX('06_BANG_GIA_VAT_TU_AP_DUNG'!$E$1:$E$5000, MATCH(E62, '06_BANG_GIA_VAT_TU_AP_DUNG'!$B$1:$B$5000, 0)), 0)</f>
        <v/>
      </c>
      <c r="K62" s="402">
        <f>I62*J62</f>
        <v/>
      </c>
      <c r="L62" t="inlineStr">
        <is>
          <t>Sơn tĩnh điện hoàn thiện</t>
        </is>
      </c>
    </row>
    <row r="63">
      <c r="A63" t="inlineStr">
        <is>
          <t>SW-DIFF-083-OBD-FRAME</t>
        </is>
      </c>
      <c r="B63" t="inlineStr">
        <is>
          <t>SW-DIFF-083</t>
        </is>
      </c>
      <c r="C63" t="inlineStr">
        <is>
          <t>Khung nhôm van OBD gắn cửa (SOBD)</t>
        </is>
      </c>
      <c r="D63" t="inlineStr">
        <is>
          <t>NHÔM_ĐỊNH_HÌNH</t>
        </is>
      </c>
      <c r="E63" t="inlineStr">
        <is>
          <t>MAT-ALU-KHUNG-OBD</t>
        </is>
      </c>
      <c r="F63" t="inlineStr">
        <is>
          <t>kg</t>
        </is>
      </c>
      <c r="G63" s="406" t="n">
        <v>0.1879783427495292</v>
      </c>
      <c r="H63" s="402">
        <f>IFERROR(INDEX('00_TONG_HOP_BAO_GIA'!$G$1:$G$5000, MATCH(B63, '00_TONG_HOP_BAO_GIA'!$B$1:$B$5000, 0)), 1)</f>
        <v/>
      </c>
      <c r="I63" s="407">
        <f>G63*H63</f>
        <v/>
      </c>
      <c r="J63" s="402">
        <f>IFERROR(INDEX('06_BANG_GIA_VAT_TU_AP_DUNG'!$E$1:$E$5000, MATCH(E63, '06_BANG_GIA_VAT_TU_AP_DUNG'!$B$1:$B$5000, 0)), 0)</f>
        <v/>
      </c>
      <c r="K63" s="402">
        <f>I63*J63</f>
        <v/>
      </c>
      <c r="L63" t="inlineStr">
        <is>
          <t>Khung OBD 285x285mm</t>
        </is>
      </c>
    </row>
    <row r="64">
      <c r="A64" t="inlineStr">
        <is>
          <t>SW-DIFF-083-OBD-BLADE</t>
        </is>
      </c>
      <c r="B64" t="inlineStr">
        <is>
          <t>SW-DIFF-083</t>
        </is>
      </c>
      <c r="C64" t="inlineStr">
        <is>
          <t>Nan nhôm &amp; thanh truyền van OBD (SOBD)</t>
        </is>
      </c>
      <c r="D64" t="inlineStr">
        <is>
          <t>NHÔM_ĐỊNH_HÌNH</t>
        </is>
      </c>
      <c r="E64" t="inlineStr">
        <is>
          <t>MAT-ALU-NAN-OBD</t>
        </is>
      </c>
      <c r="F64" t="inlineStr">
        <is>
          <t>kg</t>
        </is>
      </c>
      <c r="G64" s="406" t="n">
        <v>0.241665195386064</v>
      </c>
      <c r="H64" s="402">
        <f>IFERROR(INDEX('00_TONG_HOP_BAO_GIA'!$G$1:$G$5000, MATCH(B64, '00_TONG_HOP_BAO_GIA'!$B$1:$B$5000, 0)), 1)</f>
        <v/>
      </c>
      <c r="I64" s="407">
        <f>G64*H64</f>
        <v/>
      </c>
      <c r="J64" s="402">
        <f>IFERROR(INDEX('06_BANG_GIA_VAT_TU_AP_DUNG'!$E$1:$E$5000, MATCH(E64, '06_BANG_GIA_VAT_TU_AP_DUNG'!$B$1:$B$5000, 0)), 0)</f>
        <v/>
      </c>
      <c r="K64" s="402">
        <f>I64*J64</f>
        <v/>
      </c>
      <c r="L64" t="inlineStr">
        <is>
          <t>Nan OBD đối xứng &amp; thanh liên kết</t>
        </is>
      </c>
    </row>
    <row r="65">
      <c r="A65" t="inlineStr">
        <is>
          <t>SW-DIFF-083-OBD-ACC</t>
        </is>
      </c>
      <c r="B65" t="inlineStr">
        <is>
          <t>SW-DIFF-083</t>
        </is>
      </c>
      <c r="C65" t="inlineStr">
        <is>
          <t>Bánh răng nhựa &amp; phụ kiện van OBD</t>
        </is>
      </c>
      <c r="D65" t="inlineStr">
        <is>
          <t>PHỤ_KIỆN_CỬA</t>
        </is>
      </c>
      <c r="E65" t="inlineStr">
        <is>
          <t>MAT-DOOR-ACCESSORY</t>
        </is>
      </c>
      <c r="F65" t="inlineStr">
        <is>
          <t>Bộ</t>
        </is>
      </c>
      <c r="G65" s="406" t="n">
        <v>0.9044779242519357</v>
      </c>
      <c r="H65" s="402">
        <f>IFERROR(INDEX('00_TONG_HOP_BAO_GIA'!$G$1:$G$5000, MATCH(B65, '00_TONG_HOP_BAO_GIA'!$B$1:$B$5000, 0)), 1)</f>
        <v/>
      </c>
      <c r="I65" s="407">
        <f>G65*H65</f>
        <v/>
      </c>
      <c r="J65" s="402">
        <f>IFERROR(INDEX('06_BANG_GIA_VAT_TU_AP_DUNG'!$E$1:$E$5000, MATCH(E65, '06_BANG_GIA_VAT_TU_AP_DUNG'!$B$1:$B$5000, 0)), 0)</f>
        <v/>
      </c>
      <c r="K65" s="402">
        <f>I65*J65</f>
        <v/>
      </c>
      <c r="L65" t="inlineStr">
        <is>
          <t>Cơ cấu bánh răng đóng mở OBD</t>
        </is>
      </c>
    </row>
    <row r="66">
      <c r="A66" t="inlineStr">
        <is>
          <t>SW-DIFF-083-OBD-PAINT</t>
        </is>
      </c>
      <c r="B66" t="inlineStr">
        <is>
          <t>SW-DIFF-083</t>
        </is>
      </c>
      <c r="C66" t="inlineStr">
        <is>
          <t>Sơn tĩnh điện van OBD</t>
        </is>
      </c>
      <c r="D66" t="inlineStr">
        <is>
          <t>SƠN_TĨNH_ĐIỆN</t>
        </is>
      </c>
      <c r="E66" t="inlineStr">
        <is>
          <t>MAT-PAINT-POWDER</t>
        </is>
      </c>
      <c r="F66" t="inlineStr">
        <is>
          <t>m2</t>
        </is>
      </c>
      <c r="G66" s="406" t="n">
        <v>0.1323302097457627</v>
      </c>
      <c r="H66" s="402">
        <f>IFERROR(INDEX('00_TONG_HOP_BAO_GIA'!$G$1:$G$5000, MATCH(B66, '00_TONG_HOP_BAO_GIA'!$B$1:$B$5000, 0)), 1)</f>
        <v/>
      </c>
      <c r="I66" s="407">
        <f>G66*H66</f>
        <v/>
      </c>
      <c r="J66" s="402">
        <f>IFERROR(INDEX('06_BANG_GIA_VAT_TU_AP_DUNG'!$E$1:$E$5000, MATCH(E66, '06_BANG_GIA_VAT_TU_AP_DUNG'!$B$1:$B$5000, 0)), 0)</f>
        <v/>
      </c>
      <c r="K66" s="402">
        <f>I66*J66</f>
        <v/>
      </c>
      <c r="L66" t="inlineStr">
        <is>
          <t>Sơn tĩnh điện đen/trắng cho OBD</t>
        </is>
      </c>
    </row>
    <row r="67">
      <c r="A67" t="inlineStr">
        <is>
          <t>SW-DIFF-084-FRAME</t>
        </is>
      </c>
      <c r="B67" t="inlineStr">
        <is>
          <t>SW-DIFF-084</t>
        </is>
      </c>
      <c r="C67" t="inlineStr">
        <is>
          <t>Khung nhôm định hình (1 lớp BD)</t>
        </is>
      </c>
      <c r="D67" t="inlineStr">
        <is>
          <t>NHÔM_ĐỊNH_HÌNH</t>
        </is>
      </c>
      <c r="E67" t="inlineStr">
        <is>
          <t>MAT-ALU-KHUNG-BD</t>
        </is>
      </c>
      <c r="F67" t="inlineStr">
        <is>
          <t>kg</t>
        </is>
      </c>
      <c r="G67" s="406" t="n">
        <v>0.9084576271186442</v>
      </c>
      <c r="H67" s="402">
        <f>IFERROR(INDEX('00_TONG_HOP_BAO_GIA'!$G$1:$G$5000, MATCH(B67, '00_TONG_HOP_BAO_GIA'!$B$1:$B$5000, 0)), 1)</f>
        <v/>
      </c>
      <c r="I67" s="407">
        <f>G67*H67</f>
        <v/>
      </c>
      <c r="J67" s="402">
        <f>IFERROR(INDEX('06_BANG_GIA_VAT_TU_AP_DUNG'!$E$1:$E$5000, MATCH(E67, '06_BANG_GIA_VAT_TU_AP_DUNG'!$B$1:$B$5000, 0)), 0)</f>
        <v/>
      </c>
      <c r="K67" s="402">
        <f>I67*J67</f>
        <v/>
      </c>
      <c r="L67" t="inlineStr">
        <is>
          <t>Khung bao 1310x710mm (cổ 1200x600mm)</t>
        </is>
      </c>
    </row>
    <row r="68">
      <c r="A68" t="inlineStr">
        <is>
          <t>SW-DIFF-084-BLADE</t>
        </is>
      </c>
      <c r="B68" t="inlineStr">
        <is>
          <t>SW-DIFF-084</t>
        </is>
      </c>
      <c r="C68" t="inlineStr">
        <is>
          <t>Nan nhôm bầu dục (32 nan)</t>
        </is>
      </c>
      <c r="D68" t="inlineStr">
        <is>
          <t>NHÔM_ĐỊNH_HÌNH</t>
        </is>
      </c>
      <c r="E68" t="inlineStr">
        <is>
          <t>MAT-ALU-NAN-BD</t>
        </is>
      </c>
      <c r="F68" t="inlineStr">
        <is>
          <t>kg</t>
        </is>
      </c>
      <c r="G68" s="406" t="n">
        <v>2.440587570621469</v>
      </c>
      <c r="H68" s="402">
        <f>IFERROR(INDEX('00_TONG_HOP_BAO_GIA'!$G$1:$G$5000, MATCH(B68, '00_TONG_HOP_BAO_GIA'!$B$1:$B$5000, 0)), 1)</f>
        <v/>
      </c>
      <c r="I68" s="407">
        <f>G68*H68</f>
        <v/>
      </c>
      <c r="J68" s="402">
        <f>IFERROR(INDEX('06_BANG_GIA_VAT_TU_AP_DUNG'!$E$1:$E$5000, MATCH(E68, '06_BANG_GIA_VAT_TU_AP_DUNG'!$B$1:$B$5000, 0)), 0)</f>
        <v/>
      </c>
      <c r="K68" s="402">
        <f>I68*J68</f>
        <v/>
      </c>
      <c r="L68" t="inlineStr">
        <is>
          <t>Nan bầu dục @ 0.058kg/m</t>
        </is>
      </c>
    </row>
    <row r="69">
      <c r="A69" t="inlineStr">
        <is>
          <t>SW-DIFF-084-ACCESSORY</t>
        </is>
      </c>
      <c r="B69" t="inlineStr">
        <is>
          <t>SW-DIFF-084</t>
        </is>
      </c>
      <c r="C69" t="inlineStr">
        <is>
          <t>Phụ kiện lắp ghép / Ke góc cửa gió</t>
        </is>
      </c>
      <c r="D69" t="inlineStr">
        <is>
          <t>PHỤ_KIỆN_CỬA</t>
        </is>
      </c>
      <c r="E69" t="inlineStr">
        <is>
          <t>MAT-DOOR-ACCESSORY</t>
        </is>
      </c>
      <c r="F69" t="inlineStr">
        <is>
          <t>Bộ</t>
        </is>
      </c>
      <c r="G69" s="406" t="n">
        <v>0.8349026993094791</v>
      </c>
      <c r="H69" s="402">
        <f>IFERROR(INDEX('00_TONG_HOP_BAO_GIA'!$G$1:$G$5000, MATCH(B69, '00_TONG_HOP_BAO_GIA'!$B$1:$B$5000, 0)), 1)</f>
        <v/>
      </c>
      <c r="I69" s="407">
        <f>G69*H69</f>
        <v/>
      </c>
      <c r="J69" s="402">
        <f>IFERROR(INDEX('06_BANG_GIA_VAT_TU_AP_DUNG'!$E$1:$E$5000, MATCH(E69, '06_BANG_GIA_VAT_TU_AP_DUNG'!$B$1:$B$5000, 0)), 0)</f>
        <v/>
      </c>
      <c r="K69" s="402">
        <f>I69*J69</f>
        <v/>
      </c>
      <c r="L69" t="inlineStr">
        <is>
          <t>4 ke góc chìm và vít ghép khung</t>
        </is>
      </c>
    </row>
    <row r="70">
      <c r="A70" t="inlineStr">
        <is>
          <t>SW-DIFF-084-PAINT</t>
        </is>
      </c>
      <c r="B70" t="inlineStr">
        <is>
          <t>SW-DIFF-084</t>
        </is>
      </c>
      <c r="C70" t="inlineStr">
        <is>
          <t>Sơn tĩnh điện tiêu chuẩn Polyester</t>
        </is>
      </c>
      <c r="D70" t="inlineStr">
        <is>
          <t>SƠN_TĨNH_ĐIỆN</t>
        </is>
      </c>
      <c r="E70" t="inlineStr">
        <is>
          <t>MAT-PAINT-POWDER</t>
        </is>
      </c>
      <c r="F70" t="inlineStr">
        <is>
          <t>m2</t>
        </is>
      </c>
      <c r="G70" s="406" t="n">
        <v>1.031505920903955</v>
      </c>
      <c r="H70" s="402">
        <f>IFERROR(INDEX('00_TONG_HOP_BAO_GIA'!$G$1:$G$5000, MATCH(B70, '00_TONG_HOP_BAO_GIA'!$B$1:$B$5000, 0)), 1)</f>
        <v/>
      </c>
      <c r="I70" s="407">
        <f>G70*H70</f>
        <v/>
      </c>
      <c r="J70" s="402">
        <f>IFERROR(INDEX('06_BANG_GIA_VAT_TU_AP_DUNG'!$E$1:$E$5000, MATCH(E70, '06_BANG_GIA_VAT_TU_AP_DUNG'!$B$1:$B$5000, 0)), 0)</f>
        <v/>
      </c>
      <c r="K70" s="402">
        <f>I70*J70</f>
        <v/>
      </c>
      <c r="L70" t="inlineStr">
        <is>
          <t>Sơn tĩnh điện hoàn thiện</t>
        </is>
      </c>
    </row>
    <row r="71">
      <c r="A71" t="inlineStr">
        <is>
          <t>SW-DIFF-084-OBD-FRAME</t>
        </is>
      </c>
      <c r="B71" t="inlineStr">
        <is>
          <t>SW-DIFF-084</t>
        </is>
      </c>
      <c r="C71" t="inlineStr">
        <is>
          <t>Khung nhôm van OBD gắn cửa (SOBD)</t>
        </is>
      </c>
      <c r="D71" t="inlineStr">
        <is>
          <t>NHÔM_ĐỊNH_HÌNH</t>
        </is>
      </c>
      <c r="E71" t="inlineStr">
        <is>
          <t>MAT-ALU-KHUNG-OBD</t>
        </is>
      </c>
      <c r="F71" t="inlineStr">
        <is>
          <t>kg</t>
        </is>
      </c>
      <c r="G71" s="406" t="n">
        <v>0.5837222222222224</v>
      </c>
      <c r="H71" s="402">
        <f>IFERROR(INDEX('00_TONG_HOP_BAO_GIA'!$G$1:$G$5000, MATCH(B71, '00_TONG_HOP_BAO_GIA'!$B$1:$B$5000, 0)), 1)</f>
        <v/>
      </c>
      <c r="I71" s="407">
        <f>G71*H71</f>
        <v/>
      </c>
      <c r="J71" s="402">
        <f>IFERROR(INDEX('06_BANG_GIA_VAT_TU_AP_DUNG'!$E$1:$E$5000, MATCH(E71, '06_BANG_GIA_VAT_TU_AP_DUNG'!$B$1:$B$5000, 0)), 0)</f>
        <v/>
      </c>
      <c r="K71" s="402">
        <f>I71*J71</f>
        <v/>
      </c>
      <c r="L71" t="inlineStr">
        <is>
          <t>Khung OBD 1185x585mm</t>
        </is>
      </c>
    </row>
    <row r="72">
      <c r="A72" t="inlineStr">
        <is>
          <t>SW-DIFF-084-OBD-BLADE</t>
        </is>
      </c>
      <c r="B72" t="inlineStr">
        <is>
          <t>SW-DIFF-084</t>
        </is>
      </c>
      <c r="C72" t="inlineStr">
        <is>
          <t>Nan nhôm &amp; thanh truyền van OBD (SOBD)</t>
        </is>
      </c>
      <c r="D72" t="inlineStr">
        <is>
          <t>NHÔM_ĐỊNH_HÌNH</t>
        </is>
      </c>
      <c r="E72" t="inlineStr">
        <is>
          <t>MAT-ALU-NAN-OBD</t>
        </is>
      </c>
      <c r="F72" t="inlineStr">
        <is>
          <t>kg</t>
        </is>
      </c>
      <c r="G72" s="406" t="n">
        <v>1.869725459039548</v>
      </c>
      <c r="H72" s="402">
        <f>IFERROR(INDEX('00_TONG_HOP_BAO_GIA'!$G$1:$G$5000, MATCH(B72, '00_TONG_HOP_BAO_GIA'!$B$1:$B$5000, 0)), 1)</f>
        <v/>
      </c>
      <c r="I72" s="407">
        <f>G72*H72</f>
        <v/>
      </c>
      <c r="J72" s="402">
        <f>IFERROR(INDEX('06_BANG_GIA_VAT_TU_AP_DUNG'!$E$1:$E$5000, MATCH(E72, '06_BANG_GIA_VAT_TU_AP_DUNG'!$B$1:$B$5000, 0)), 0)</f>
        <v/>
      </c>
      <c r="K72" s="402">
        <f>I72*J72</f>
        <v/>
      </c>
      <c r="L72" t="inlineStr">
        <is>
          <t>Nan OBD đối xứng &amp; thanh liên kết</t>
        </is>
      </c>
    </row>
    <row r="73">
      <c r="A73" t="inlineStr">
        <is>
          <t>SW-DIFF-084-OBD-ACC</t>
        </is>
      </c>
      <c r="B73" t="inlineStr">
        <is>
          <t>SW-DIFF-084</t>
        </is>
      </c>
      <c r="C73" t="inlineStr">
        <is>
          <t>Bánh răng nhựa &amp; phụ kiện van OBD</t>
        </is>
      </c>
      <c r="D73" t="inlineStr">
        <is>
          <t>PHỤ_KIỆN_CỬA</t>
        </is>
      </c>
      <c r="E73" t="inlineStr">
        <is>
          <t>MAT-DOOR-ACCESSORY</t>
        </is>
      </c>
      <c r="F73" t="inlineStr">
        <is>
          <t>Bộ</t>
        </is>
      </c>
      <c r="G73" s="406" t="n">
        <v>1.600230173676502</v>
      </c>
      <c r="H73" s="402">
        <f>IFERROR(INDEX('00_TONG_HOP_BAO_GIA'!$G$1:$G$5000, MATCH(B73, '00_TONG_HOP_BAO_GIA'!$B$1:$B$5000, 0)), 1)</f>
        <v/>
      </c>
      <c r="I73" s="407">
        <f>G73*H73</f>
        <v/>
      </c>
      <c r="J73" s="402">
        <f>IFERROR(INDEX('06_BANG_GIA_VAT_TU_AP_DUNG'!$E$1:$E$5000, MATCH(E73, '06_BANG_GIA_VAT_TU_AP_DUNG'!$B$1:$B$5000, 0)), 0)</f>
        <v/>
      </c>
      <c r="K73" s="402">
        <f>I73*J73</f>
        <v/>
      </c>
      <c r="L73" t="inlineStr">
        <is>
          <t>Cơ cấu bánh răng đóng mở OBD</t>
        </is>
      </c>
    </row>
    <row r="74">
      <c r="A74" t="inlineStr">
        <is>
          <t>SW-DIFF-084-OBD-PAINT</t>
        </is>
      </c>
      <c r="B74" t="inlineStr">
        <is>
          <t>SW-DIFF-084</t>
        </is>
      </c>
      <c r="C74" t="inlineStr">
        <is>
          <t>Sơn tĩnh điện van OBD</t>
        </is>
      </c>
      <c r="D74" t="inlineStr">
        <is>
          <t>SƠN_TĨNH_ĐIỆN</t>
        </is>
      </c>
      <c r="E74" t="inlineStr">
        <is>
          <t>MAT-PAINT-POWDER</t>
        </is>
      </c>
      <c r="F74" t="inlineStr">
        <is>
          <t>m2</t>
        </is>
      </c>
      <c r="G74" s="406" t="n">
        <v>0.7556618858286253</v>
      </c>
      <c r="H74" s="402">
        <f>IFERROR(INDEX('00_TONG_HOP_BAO_GIA'!$G$1:$G$5000, MATCH(B74, '00_TONG_HOP_BAO_GIA'!$B$1:$B$5000, 0)), 1)</f>
        <v/>
      </c>
      <c r="I74" s="407">
        <f>G74*H74</f>
        <v/>
      </c>
      <c r="J74" s="402">
        <f>IFERROR(INDEX('06_BANG_GIA_VAT_TU_AP_DUNG'!$E$1:$E$5000, MATCH(E74, '06_BANG_GIA_VAT_TU_AP_DUNG'!$B$1:$B$5000, 0)), 0)</f>
        <v/>
      </c>
      <c r="K74" s="402">
        <f>I74*J74</f>
        <v/>
      </c>
      <c r="L74" t="inlineStr">
        <is>
          <t>Sơn tĩnh điện đen/trắng cho OBD</t>
        </is>
      </c>
    </row>
    <row r="75">
      <c r="A75" t="inlineStr">
        <is>
          <t>SW-DIFF-085-FRAME</t>
        </is>
      </c>
      <c r="B75" t="inlineStr">
        <is>
          <t>SW-DIFF-085</t>
        </is>
      </c>
      <c r="C75" t="inlineStr">
        <is>
          <t>Khung nhôm định hình (1 lớp BD)</t>
        </is>
      </c>
      <c r="D75" t="inlineStr">
        <is>
          <t>NHÔM_ĐỊNH_HÌNH</t>
        </is>
      </c>
      <c r="E75" t="inlineStr">
        <is>
          <t>MAT-ALU-KHUNG-BD</t>
        </is>
      </c>
      <c r="F75" t="inlineStr">
        <is>
          <t>kg</t>
        </is>
      </c>
      <c r="G75" s="406" t="n">
        <v>1.093806026365348</v>
      </c>
      <c r="H75" s="402">
        <f>IFERROR(INDEX('00_TONG_HOP_BAO_GIA'!$G$1:$G$5000, MATCH(B75, '00_TONG_HOP_BAO_GIA'!$B$1:$B$5000, 0)), 1)</f>
        <v/>
      </c>
      <c r="I75" s="407">
        <f>G75*H75</f>
        <v/>
      </c>
      <c r="J75" s="402">
        <f>IFERROR(INDEX('06_BANG_GIA_VAT_TU_AP_DUNG'!$E$1:$E$5000, MATCH(E75, '06_BANG_GIA_VAT_TU_AP_DUNG'!$B$1:$B$5000, 0)), 0)</f>
        <v/>
      </c>
      <c r="K75" s="402">
        <f>I75*J75</f>
        <v/>
      </c>
      <c r="L75" t="inlineStr">
        <is>
          <t>Khung bao 1510x910mm (cổ 1400x800mm)</t>
        </is>
      </c>
    </row>
    <row r="76">
      <c r="A76" t="inlineStr">
        <is>
          <t>SW-DIFF-085-BLADE</t>
        </is>
      </c>
      <c r="B76" t="inlineStr">
        <is>
          <t>SW-DIFF-085</t>
        </is>
      </c>
      <c r="C76" t="inlineStr">
        <is>
          <t>Nan nhôm bầu dục (42 nan)</t>
        </is>
      </c>
      <c r="D76" t="inlineStr">
        <is>
          <t>NHÔM_ĐỊNH_HÌNH</t>
        </is>
      </c>
      <c r="E76" t="inlineStr">
        <is>
          <t>MAT-ALU-NAN-BD</t>
        </is>
      </c>
      <c r="F76" t="inlineStr">
        <is>
          <t>kg</t>
        </is>
      </c>
      <c r="G76" s="406" t="n">
        <v>3.711726930320151</v>
      </c>
      <c r="H76" s="402">
        <f>IFERROR(INDEX('00_TONG_HOP_BAO_GIA'!$G$1:$G$5000, MATCH(B76, '00_TONG_HOP_BAO_GIA'!$B$1:$B$5000, 0)), 1)</f>
        <v/>
      </c>
      <c r="I76" s="407">
        <f>G76*H76</f>
        <v/>
      </c>
      <c r="J76" s="402">
        <f>IFERROR(INDEX('06_BANG_GIA_VAT_TU_AP_DUNG'!$E$1:$E$5000, MATCH(E76, '06_BANG_GIA_VAT_TU_AP_DUNG'!$B$1:$B$5000, 0)), 0)</f>
        <v/>
      </c>
      <c r="K76" s="402">
        <f>I76*J76</f>
        <v/>
      </c>
      <c r="L76" t="inlineStr">
        <is>
          <t>Nan bầu dục @ 0.058kg/m</t>
        </is>
      </c>
    </row>
    <row r="77">
      <c r="A77" t="inlineStr">
        <is>
          <t>SW-DIFF-085-ACCESSORY</t>
        </is>
      </c>
      <c r="B77" t="inlineStr">
        <is>
          <t>SW-DIFF-085</t>
        </is>
      </c>
      <c r="C77" t="inlineStr">
        <is>
          <t>Phụ kiện lắp ghép / Ke góc cửa gió</t>
        </is>
      </c>
      <c r="D77" t="inlineStr">
        <is>
          <t>PHỤ_KIỆN_CỬA</t>
        </is>
      </c>
      <c r="E77" t="inlineStr">
        <is>
          <t>MAT-DOOR-ACCESSORY</t>
        </is>
      </c>
      <c r="F77" t="inlineStr">
        <is>
          <t>Bộ</t>
        </is>
      </c>
      <c r="G77" s="406" t="n">
        <v>1.530654948734045</v>
      </c>
      <c r="H77" s="402">
        <f>IFERROR(INDEX('00_TONG_HOP_BAO_GIA'!$G$1:$G$5000, MATCH(B77, '00_TONG_HOP_BAO_GIA'!$B$1:$B$5000, 0)), 1)</f>
        <v/>
      </c>
      <c r="I77" s="407">
        <f>G77*H77</f>
        <v/>
      </c>
      <c r="J77" s="402">
        <f>IFERROR(INDEX('06_BANG_GIA_VAT_TU_AP_DUNG'!$E$1:$E$5000, MATCH(E77, '06_BANG_GIA_VAT_TU_AP_DUNG'!$B$1:$B$5000, 0)), 0)</f>
        <v/>
      </c>
      <c r="K77" s="402">
        <f>I77*J77</f>
        <v/>
      </c>
      <c r="L77" t="inlineStr">
        <is>
          <t>4 ke góc chìm và vít ghép khung</t>
        </is>
      </c>
    </row>
    <row r="78">
      <c r="A78" t="inlineStr">
        <is>
          <t>SW-DIFF-085-PAINT</t>
        </is>
      </c>
      <c r="B78" t="inlineStr">
        <is>
          <t>SW-DIFF-085</t>
        </is>
      </c>
      <c r="C78" t="inlineStr">
        <is>
          <t>Sơn tĩnh điện tiêu chuẩn Polyester</t>
        </is>
      </c>
      <c r="D78" t="inlineStr">
        <is>
          <t>SƠN_TĨNH_ĐIỆN</t>
        </is>
      </c>
      <c r="E78" t="inlineStr">
        <is>
          <t>MAT-PAINT-POWDER</t>
        </is>
      </c>
      <c r="F78" t="inlineStr">
        <is>
          <t>m2</t>
        </is>
      </c>
      <c r="G78" s="406" t="n">
        <v>1.480104150659134</v>
      </c>
      <c r="H78" s="402">
        <f>IFERROR(INDEX('00_TONG_HOP_BAO_GIA'!$G$1:$G$5000, MATCH(B78, '00_TONG_HOP_BAO_GIA'!$B$1:$B$5000, 0)), 1)</f>
        <v/>
      </c>
      <c r="I78" s="407">
        <f>G78*H78</f>
        <v/>
      </c>
      <c r="J78" s="402">
        <f>IFERROR(INDEX('06_BANG_GIA_VAT_TU_AP_DUNG'!$E$1:$E$5000, MATCH(E78, '06_BANG_GIA_VAT_TU_AP_DUNG'!$B$1:$B$5000, 0)), 0)</f>
        <v/>
      </c>
      <c r="K78" s="402">
        <f>I78*J78</f>
        <v/>
      </c>
      <c r="L78" t="inlineStr">
        <is>
          <t>Sơn tĩnh điện hoàn thiện</t>
        </is>
      </c>
    </row>
    <row r="79">
      <c r="A79" t="inlineStr">
        <is>
          <t>SW-DIFF-085-OBD-FRAME</t>
        </is>
      </c>
      <c r="B79" t="inlineStr">
        <is>
          <t>SW-DIFF-085</t>
        </is>
      </c>
      <c r="C79" t="inlineStr">
        <is>
          <t>Khung nhôm van OBD gắn cửa (SOBD)</t>
        </is>
      </c>
      <c r="D79" t="inlineStr">
        <is>
          <t>NHÔM_ĐỊNH_HÌNH</t>
        </is>
      </c>
      <c r="E79" t="inlineStr">
        <is>
          <t>MAT-ALU-KHUNG-OBD</t>
        </is>
      </c>
      <c r="F79" t="inlineStr">
        <is>
          <t>kg</t>
        </is>
      </c>
      <c r="G79" s="406" t="n">
        <v>0.7156368487131199</v>
      </c>
      <c r="H79" s="402">
        <f>IFERROR(INDEX('00_TONG_HOP_BAO_GIA'!$G$1:$G$5000, MATCH(B79, '00_TONG_HOP_BAO_GIA'!$B$1:$B$5000, 0)), 1)</f>
        <v/>
      </c>
      <c r="I79" s="407">
        <f>G79*H79</f>
        <v/>
      </c>
      <c r="J79" s="402">
        <f>IFERROR(INDEX('06_BANG_GIA_VAT_TU_AP_DUNG'!$E$1:$E$5000, MATCH(E79, '06_BANG_GIA_VAT_TU_AP_DUNG'!$B$1:$B$5000, 0)), 0)</f>
        <v/>
      </c>
      <c r="K79" s="402">
        <f>I79*J79</f>
        <v/>
      </c>
      <c r="L79" t="inlineStr">
        <is>
          <t>Khung OBD 1385x785mm</t>
        </is>
      </c>
    </row>
    <row r="80">
      <c r="A80" t="inlineStr">
        <is>
          <t>SW-DIFF-085-OBD-BLADE</t>
        </is>
      </c>
      <c r="B80" t="inlineStr">
        <is>
          <t>SW-DIFF-085</t>
        </is>
      </c>
      <c r="C80" t="inlineStr">
        <is>
          <t>Nan nhôm &amp; thanh truyền van OBD (SOBD)</t>
        </is>
      </c>
      <c r="D80" t="inlineStr">
        <is>
          <t>NHÔM_ĐỊNH_HÌNH</t>
        </is>
      </c>
      <c r="E80" t="inlineStr">
        <is>
          <t>MAT-ALU-NAN-OBD</t>
        </is>
      </c>
      <c r="F80" t="inlineStr">
        <is>
          <t>kg</t>
        </is>
      </c>
      <c r="G80" s="406" t="n">
        <v>2.918571975047082</v>
      </c>
      <c r="H80" s="402">
        <f>IFERROR(INDEX('00_TONG_HOP_BAO_GIA'!$G$1:$G$5000, MATCH(B80, '00_TONG_HOP_BAO_GIA'!$B$1:$B$5000, 0)), 1)</f>
        <v/>
      </c>
      <c r="I80" s="407">
        <f>G80*H80</f>
        <v/>
      </c>
      <c r="J80" s="402">
        <f>IFERROR(INDEX('06_BANG_GIA_VAT_TU_AP_DUNG'!$E$1:$E$5000, MATCH(E80, '06_BANG_GIA_VAT_TU_AP_DUNG'!$B$1:$B$5000, 0)), 0)</f>
        <v/>
      </c>
      <c r="K80" s="402">
        <f>I80*J80</f>
        <v/>
      </c>
      <c r="L80" t="inlineStr">
        <is>
          <t>Nan OBD đối xứng &amp; thanh liên kết</t>
        </is>
      </c>
    </row>
    <row r="81">
      <c r="A81" t="inlineStr">
        <is>
          <t>SW-DIFF-085-OBD-ACC</t>
        </is>
      </c>
      <c r="B81" t="inlineStr">
        <is>
          <t>SW-DIFF-085</t>
        </is>
      </c>
      <c r="C81" t="inlineStr">
        <is>
          <t>Bánh răng nhựa &amp; phụ kiện van OBD</t>
        </is>
      </c>
      <c r="D81" t="inlineStr">
        <is>
          <t>PHỤ_KIỆN_CỬA</t>
        </is>
      </c>
      <c r="E81" t="inlineStr">
        <is>
          <t>MAT-DOOR-ACCESSORY</t>
        </is>
      </c>
      <c r="F81" t="inlineStr">
        <is>
          <t>Bộ</t>
        </is>
      </c>
      <c r="G81" s="406" t="n">
        <v>1.600230173676502</v>
      </c>
      <c r="H81" s="402">
        <f>IFERROR(INDEX('00_TONG_HOP_BAO_GIA'!$G$1:$G$5000, MATCH(B81, '00_TONG_HOP_BAO_GIA'!$B$1:$B$5000, 0)), 1)</f>
        <v/>
      </c>
      <c r="I81" s="407">
        <f>G81*H81</f>
        <v/>
      </c>
      <c r="J81" s="402">
        <f>IFERROR(INDEX('06_BANG_GIA_VAT_TU_AP_DUNG'!$E$1:$E$5000, MATCH(E81, '06_BANG_GIA_VAT_TU_AP_DUNG'!$B$1:$B$5000, 0)), 0)</f>
        <v/>
      </c>
      <c r="K81" s="402">
        <f>I81*J81</f>
        <v/>
      </c>
      <c r="L81" t="inlineStr">
        <is>
          <t>Cơ cấu bánh răng đóng mở OBD</t>
        </is>
      </c>
    </row>
    <row r="82">
      <c r="A82" t="inlineStr">
        <is>
          <t>SW-DIFF-085-OBD-PAINT</t>
        </is>
      </c>
      <c r="B82" t="inlineStr">
        <is>
          <t>SW-DIFF-085</t>
        </is>
      </c>
      <c r="C82" t="inlineStr">
        <is>
          <t>Sơn tĩnh điện van OBD</t>
        </is>
      </c>
      <c r="D82" t="inlineStr">
        <is>
          <t>SƠN_TĨNH_ĐIỆN</t>
        </is>
      </c>
      <c r="E82" t="inlineStr">
        <is>
          <t>MAT-PAINT-POWDER</t>
        </is>
      </c>
      <c r="F82" t="inlineStr">
        <is>
          <t>m2</t>
        </is>
      </c>
      <c r="G82" s="406" t="n">
        <v>1.119336317718142</v>
      </c>
      <c r="H82" s="402">
        <f>IFERROR(INDEX('00_TONG_HOP_BAO_GIA'!$G$1:$G$5000, MATCH(B82, '00_TONG_HOP_BAO_GIA'!$B$1:$B$5000, 0)), 1)</f>
        <v/>
      </c>
      <c r="I82" s="407">
        <f>G82*H82</f>
        <v/>
      </c>
      <c r="J82" s="402">
        <f>IFERROR(INDEX('06_BANG_GIA_VAT_TU_AP_DUNG'!$E$1:$E$5000, MATCH(E82, '06_BANG_GIA_VAT_TU_AP_DUNG'!$B$1:$B$5000, 0)), 0)</f>
        <v/>
      </c>
      <c r="K82" s="402">
        <f>I82*J82</f>
        <v/>
      </c>
      <c r="L82" t="inlineStr">
        <is>
          <t>Sơn tĩnh điện đen/trắng cho OBD</t>
        </is>
      </c>
    </row>
    <row r="83">
      <c r="A83" t="inlineStr">
        <is>
          <t>SW-DIFF-086-FRAME</t>
        </is>
      </c>
      <c r="B83" t="inlineStr">
        <is>
          <t>SW-DIFF-086</t>
        </is>
      </c>
      <c r="C83" t="inlineStr">
        <is>
          <t>Khung nhôm định hình (1 lớp BD)</t>
        </is>
      </c>
      <c r="D83" t="inlineStr">
        <is>
          <t>NHÔM_ĐỊNH_HÌNH</t>
        </is>
      </c>
      <c r="E83" t="inlineStr">
        <is>
          <t>MAT-ALU-KHUNG-BD</t>
        </is>
      </c>
      <c r="F83" t="inlineStr">
        <is>
          <t>kg</t>
        </is>
      </c>
      <c r="G83" s="406" t="n">
        <v>0.9084576271186442</v>
      </c>
      <c r="H83" s="402">
        <f>IFERROR(INDEX('00_TONG_HOP_BAO_GIA'!$G$1:$G$5000, MATCH(B83, '00_TONG_HOP_BAO_GIA'!$B$1:$B$5000, 0)), 1)</f>
        <v/>
      </c>
      <c r="I83" s="407">
        <f>G83*H83</f>
        <v/>
      </c>
      <c r="J83" s="402">
        <f>IFERROR(INDEX('06_BANG_GIA_VAT_TU_AP_DUNG'!$E$1:$E$5000, MATCH(E83, '06_BANG_GIA_VAT_TU_AP_DUNG'!$B$1:$B$5000, 0)), 0)</f>
        <v/>
      </c>
      <c r="K83" s="402">
        <f>I83*J83</f>
        <v/>
      </c>
      <c r="L83" t="inlineStr">
        <is>
          <t>Khung bao 1310x710mm (cổ 1200x600mm)</t>
        </is>
      </c>
    </row>
    <row r="84">
      <c r="A84" t="inlineStr">
        <is>
          <t>SW-DIFF-086-BLADE</t>
        </is>
      </c>
      <c r="B84" t="inlineStr">
        <is>
          <t>SW-DIFF-086</t>
        </is>
      </c>
      <c r="C84" t="inlineStr">
        <is>
          <t>Nan nhôm bầu dục (32 nan)</t>
        </is>
      </c>
      <c r="D84" t="inlineStr">
        <is>
          <t>NHÔM_ĐỊNH_HÌNH</t>
        </is>
      </c>
      <c r="E84" t="inlineStr">
        <is>
          <t>MAT-ALU-NAN-BD</t>
        </is>
      </c>
      <c r="F84" t="inlineStr">
        <is>
          <t>kg</t>
        </is>
      </c>
      <c r="G84" s="406" t="n">
        <v>2.440587570621469</v>
      </c>
      <c r="H84" s="402">
        <f>IFERROR(INDEX('00_TONG_HOP_BAO_GIA'!$G$1:$G$5000, MATCH(B84, '00_TONG_HOP_BAO_GIA'!$B$1:$B$5000, 0)), 1)</f>
        <v/>
      </c>
      <c r="I84" s="407">
        <f>G84*H84</f>
        <v/>
      </c>
      <c r="J84" s="402">
        <f>IFERROR(INDEX('06_BANG_GIA_VAT_TU_AP_DUNG'!$E$1:$E$5000, MATCH(E84, '06_BANG_GIA_VAT_TU_AP_DUNG'!$B$1:$B$5000, 0)), 0)</f>
        <v/>
      </c>
      <c r="K84" s="402">
        <f>I84*J84</f>
        <v/>
      </c>
      <c r="L84" t="inlineStr">
        <is>
          <t>Nan bầu dục @ 0.058kg/m</t>
        </is>
      </c>
    </row>
    <row r="85">
      <c r="A85" t="inlineStr">
        <is>
          <t>SW-DIFF-086-ACCESSORY</t>
        </is>
      </c>
      <c r="B85" t="inlineStr">
        <is>
          <t>SW-DIFF-086</t>
        </is>
      </c>
      <c r="C85" t="inlineStr">
        <is>
          <t>Phụ kiện lắp ghép / Ke góc cửa gió</t>
        </is>
      </c>
      <c r="D85" t="inlineStr">
        <is>
          <t>PHỤ_KIỆN_CỬA</t>
        </is>
      </c>
      <c r="E85" t="inlineStr">
        <is>
          <t>MAT-DOOR-ACCESSORY</t>
        </is>
      </c>
      <c r="F85" t="inlineStr">
        <is>
          <t>Bộ</t>
        </is>
      </c>
      <c r="G85" s="406" t="n">
        <v>0.8349026993094791</v>
      </c>
      <c r="H85" s="402">
        <f>IFERROR(INDEX('00_TONG_HOP_BAO_GIA'!$G$1:$G$5000, MATCH(B85, '00_TONG_HOP_BAO_GIA'!$B$1:$B$5000, 0)), 1)</f>
        <v/>
      </c>
      <c r="I85" s="407">
        <f>G85*H85</f>
        <v/>
      </c>
      <c r="J85" s="402">
        <f>IFERROR(INDEX('06_BANG_GIA_VAT_TU_AP_DUNG'!$E$1:$E$5000, MATCH(E85, '06_BANG_GIA_VAT_TU_AP_DUNG'!$B$1:$B$5000, 0)), 0)</f>
        <v/>
      </c>
      <c r="K85" s="402">
        <f>I85*J85</f>
        <v/>
      </c>
      <c r="L85" t="inlineStr">
        <is>
          <t>4 ke góc chìm và vít ghép khung</t>
        </is>
      </c>
    </row>
    <row r="86">
      <c r="A86" t="inlineStr">
        <is>
          <t>SW-DIFF-086-PAINT</t>
        </is>
      </c>
      <c r="B86" t="inlineStr">
        <is>
          <t>SW-DIFF-086</t>
        </is>
      </c>
      <c r="C86" t="inlineStr">
        <is>
          <t>Sơn tĩnh điện tiêu chuẩn Polyester</t>
        </is>
      </c>
      <c r="D86" t="inlineStr">
        <is>
          <t>SƠN_TĨNH_ĐIỆN</t>
        </is>
      </c>
      <c r="E86" t="inlineStr">
        <is>
          <t>MAT-PAINT-POWDER</t>
        </is>
      </c>
      <c r="F86" t="inlineStr">
        <is>
          <t>m2</t>
        </is>
      </c>
      <c r="G86" s="406" t="n">
        <v>1.031505920903955</v>
      </c>
      <c r="H86" s="402">
        <f>IFERROR(INDEX('00_TONG_HOP_BAO_GIA'!$G$1:$G$5000, MATCH(B86, '00_TONG_HOP_BAO_GIA'!$B$1:$B$5000, 0)), 1)</f>
        <v/>
      </c>
      <c r="I86" s="407">
        <f>G86*H86</f>
        <v/>
      </c>
      <c r="J86" s="402">
        <f>IFERROR(INDEX('06_BANG_GIA_VAT_TU_AP_DUNG'!$E$1:$E$5000, MATCH(E86, '06_BANG_GIA_VAT_TU_AP_DUNG'!$B$1:$B$5000, 0)), 0)</f>
        <v/>
      </c>
      <c r="K86" s="402">
        <f>I86*J86</f>
        <v/>
      </c>
      <c r="L86" t="inlineStr">
        <is>
          <t>Sơn tĩnh điện hoàn thiện</t>
        </is>
      </c>
    </row>
    <row r="87">
      <c r="A87" t="inlineStr">
        <is>
          <t>SW-DIFF-086-OBD-FRAME</t>
        </is>
      </c>
      <c r="B87" t="inlineStr">
        <is>
          <t>SW-DIFF-086</t>
        </is>
      </c>
      <c r="C87" t="inlineStr">
        <is>
          <t>Khung nhôm van OBD gắn cửa (SOBD)</t>
        </is>
      </c>
      <c r="D87" t="inlineStr">
        <is>
          <t>NHÔM_ĐỊNH_HÌNH</t>
        </is>
      </c>
      <c r="E87" t="inlineStr">
        <is>
          <t>MAT-ALU-KHUNG-OBD</t>
        </is>
      </c>
      <c r="F87" t="inlineStr">
        <is>
          <t>kg</t>
        </is>
      </c>
      <c r="G87" s="406" t="n">
        <v>0.5837222222222224</v>
      </c>
      <c r="H87" s="402">
        <f>IFERROR(INDEX('00_TONG_HOP_BAO_GIA'!$G$1:$G$5000, MATCH(B87, '00_TONG_HOP_BAO_GIA'!$B$1:$B$5000, 0)), 1)</f>
        <v/>
      </c>
      <c r="I87" s="407">
        <f>G87*H87</f>
        <v/>
      </c>
      <c r="J87" s="402">
        <f>IFERROR(INDEX('06_BANG_GIA_VAT_TU_AP_DUNG'!$E$1:$E$5000, MATCH(E87, '06_BANG_GIA_VAT_TU_AP_DUNG'!$B$1:$B$5000, 0)), 0)</f>
        <v/>
      </c>
      <c r="K87" s="402">
        <f>I87*J87</f>
        <v/>
      </c>
      <c r="L87" t="inlineStr">
        <is>
          <t>Khung OBD 1185x585mm</t>
        </is>
      </c>
    </row>
    <row r="88">
      <c r="A88" t="inlineStr">
        <is>
          <t>SW-DIFF-086-OBD-BLADE</t>
        </is>
      </c>
      <c r="B88" t="inlineStr">
        <is>
          <t>SW-DIFF-086</t>
        </is>
      </c>
      <c r="C88" t="inlineStr">
        <is>
          <t>Nan nhôm &amp; thanh truyền van OBD (SOBD)</t>
        </is>
      </c>
      <c r="D88" t="inlineStr">
        <is>
          <t>NHÔM_ĐỊNH_HÌNH</t>
        </is>
      </c>
      <c r="E88" t="inlineStr">
        <is>
          <t>MAT-ALU-NAN-OBD</t>
        </is>
      </c>
      <c r="F88" t="inlineStr">
        <is>
          <t>kg</t>
        </is>
      </c>
      <c r="G88" s="406" t="n">
        <v>1.869725459039548</v>
      </c>
      <c r="H88" s="402">
        <f>IFERROR(INDEX('00_TONG_HOP_BAO_GIA'!$G$1:$G$5000, MATCH(B88, '00_TONG_HOP_BAO_GIA'!$B$1:$B$5000, 0)), 1)</f>
        <v/>
      </c>
      <c r="I88" s="407">
        <f>G88*H88</f>
        <v/>
      </c>
      <c r="J88" s="402">
        <f>IFERROR(INDEX('06_BANG_GIA_VAT_TU_AP_DUNG'!$E$1:$E$5000, MATCH(E88, '06_BANG_GIA_VAT_TU_AP_DUNG'!$B$1:$B$5000, 0)), 0)</f>
        <v/>
      </c>
      <c r="K88" s="402">
        <f>I88*J88</f>
        <v/>
      </c>
      <c r="L88" t="inlineStr">
        <is>
          <t>Nan OBD đối xứng &amp; thanh liên kết</t>
        </is>
      </c>
    </row>
    <row r="89">
      <c r="A89" t="inlineStr">
        <is>
          <t>SW-DIFF-086-OBD-ACC</t>
        </is>
      </c>
      <c r="B89" t="inlineStr">
        <is>
          <t>SW-DIFF-086</t>
        </is>
      </c>
      <c r="C89" t="inlineStr">
        <is>
          <t>Bánh răng nhựa &amp; phụ kiện van OBD</t>
        </is>
      </c>
      <c r="D89" t="inlineStr">
        <is>
          <t>PHỤ_KIỆN_CỬA</t>
        </is>
      </c>
      <c r="E89" t="inlineStr">
        <is>
          <t>MAT-DOOR-ACCESSORY</t>
        </is>
      </c>
      <c r="F89" t="inlineStr">
        <is>
          <t>Bộ</t>
        </is>
      </c>
      <c r="G89" s="406" t="n">
        <v>1.600230173676502</v>
      </c>
      <c r="H89" s="402">
        <f>IFERROR(INDEX('00_TONG_HOP_BAO_GIA'!$G$1:$G$5000, MATCH(B89, '00_TONG_HOP_BAO_GIA'!$B$1:$B$5000, 0)), 1)</f>
        <v/>
      </c>
      <c r="I89" s="407">
        <f>G89*H89</f>
        <v/>
      </c>
      <c r="J89" s="402">
        <f>IFERROR(INDEX('06_BANG_GIA_VAT_TU_AP_DUNG'!$E$1:$E$5000, MATCH(E89, '06_BANG_GIA_VAT_TU_AP_DUNG'!$B$1:$B$5000, 0)), 0)</f>
        <v/>
      </c>
      <c r="K89" s="402">
        <f>I89*J89</f>
        <v/>
      </c>
      <c r="L89" t="inlineStr">
        <is>
          <t>Cơ cấu bánh răng đóng mở OBD</t>
        </is>
      </c>
    </row>
    <row r="90">
      <c r="A90" t="inlineStr">
        <is>
          <t>SW-DIFF-086-OBD-PAINT</t>
        </is>
      </c>
      <c r="B90" t="inlineStr">
        <is>
          <t>SW-DIFF-086</t>
        </is>
      </c>
      <c r="C90" t="inlineStr">
        <is>
          <t>Sơn tĩnh điện van OBD</t>
        </is>
      </c>
      <c r="D90" t="inlineStr">
        <is>
          <t>SƠN_TĨNH_ĐIỆN</t>
        </is>
      </c>
      <c r="E90" t="inlineStr">
        <is>
          <t>MAT-PAINT-POWDER</t>
        </is>
      </c>
      <c r="F90" t="inlineStr">
        <is>
          <t>m2</t>
        </is>
      </c>
      <c r="G90" s="406" t="n">
        <v>0.7556618858286253</v>
      </c>
      <c r="H90" s="402">
        <f>IFERROR(INDEX('00_TONG_HOP_BAO_GIA'!$G$1:$G$5000, MATCH(B90, '00_TONG_HOP_BAO_GIA'!$B$1:$B$5000, 0)), 1)</f>
        <v/>
      </c>
      <c r="I90" s="407">
        <f>G90*H90</f>
        <v/>
      </c>
      <c r="J90" s="402">
        <f>IFERROR(INDEX('06_BANG_GIA_VAT_TU_AP_DUNG'!$E$1:$E$5000, MATCH(E90, '06_BANG_GIA_VAT_TU_AP_DUNG'!$B$1:$B$5000, 0)), 0)</f>
        <v/>
      </c>
      <c r="K90" s="402">
        <f>I90*J90</f>
        <v/>
      </c>
      <c r="L90" t="inlineStr">
        <is>
          <t>Sơn tĩnh điện đen/trắng cho OBD</t>
        </is>
      </c>
    </row>
    <row r="91">
      <c r="A91" t="inlineStr">
        <is>
          <t>SW-DIFF-087-FRAME</t>
        </is>
      </c>
      <c r="B91" t="inlineStr">
        <is>
          <t>SW-DIFF-087</t>
        </is>
      </c>
      <c r="C91" t="inlineStr">
        <is>
          <t>Khung nhôm định hình (1 lớp BD)</t>
        </is>
      </c>
      <c r="D91" t="inlineStr">
        <is>
          <t>NHÔM_ĐỊNH_HÌNH</t>
        </is>
      </c>
      <c r="E91" t="inlineStr">
        <is>
          <t>MAT-ALU-KHUNG-BD</t>
        </is>
      </c>
      <c r="F91" t="inlineStr">
        <is>
          <t>kg</t>
        </is>
      </c>
      <c r="G91" s="406" t="n">
        <v>0.379964218455744</v>
      </c>
      <c r="H91" s="402">
        <f>IFERROR(INDEX('00_TONG_HOP_BAO_GIA'!$G$1:$G$5000, MATCH(B91, '00_TONG_HOP_BAO_GIA'!$B$1:$B$5000, 0)), 1)</f>
        <v/>
      </c>
      <c r="I91" s="407">
        <f>G91*H91</f>
        <v/>
      </c>
      <c r="J91" s="402">
        <f>IFERROR(INDEX('06_BANG_GIA_VAT_TU_AP_DUNG'!$E$1:$E$5000, MATCH(E91, '06_BANG_GIA_VAT_TU_AP_DUNG'!$B$1:$B$5000, 0)), 0)</f>
        <v/>
      </c>
      <c r="K91" s="402">
        <f>I91*J91</f>
        <v/>
      </c>
      <c r="L91" t="inlineStr">
        <is>
          <t>Khung bao 410x410mm (cổ 300x300mm)</t>
        </is>
      </c>
    </row>
    <row r="92">
      <c r="A92" t="inlineStr">
        <is>
          <t>SW-DIFF-087-BLADE</t>
        </is>
      </c>
      <c r="B92" t="inlineStr">
        <is>
          <t>SW-DIFF-087</t>
        </is>
      </c>
      <c r="C92" t="inlineStr">
        <is>
          <t>Nan nhôm bầu dục (17 nan)</t>
        </is>
      </c>
      <c r="D92" t="inlineStr">
        <is>
          <t>NHÔM_ĐỊNH_HÌNH</t>
        </is>
      </c>
      <c r="E92" t="inlineStr">
        <is>
          <t>MAT-ALU-NAN-BD</t>
        </is>
      </c>
      <c r="F92" t="inlineStr">
        <is>
          <t>kg</t>
        </is>
      </c>
      <c r="G92" s="406" t="n">
        <v>0.3704463276836159</v>
      </c>
      <c r="H92" s="402">
        <f>IFERROR(INDEX('00_TONG_HOP_BAO_GIA'!$G$1:$G$5000, MATCH(B92, '00_TONG_HOP_BAO_GIA'!$B$1:$B$5000, 0)), 1)</f>
        <v/>
      </c>
      <c r="I92" s="407">
        <f>G92*H92</f>
        <v/>
      </c>
      <c r="J92" s="402">
        <f>IFERROR(INDEX('06_BANG_GIA_VAT_TU_AP_DUNG'!$E$1:$E$5000, MATCH(E92, '06_BANG_GIA_VAT_TU_AP_DUNG'!$B$1:$B$5000, 0)), 0)</f>
        <v/>
      </c>
      <c r="K92" s="402">
        <f>I92*J92</f>
        <v/>
      </c>
      <c r="L92" t="inlineStr">
        <is>
          <t>Nan bầu dục @ 0.058kg/m</t>
        </is>
      </c>
    </row>
    <row r="93">
      <c r="A93" t="inlineStr">
        <is>
          <t>SW-DIFF-087-ACCESSORY</t>
        </is>
      </c>
      <c r="B93" t="inlineStr">
        <is>
          <t>SW-DIFF-087</t>
        </is>
      </c>
      <c r="C93" t="inlineStr">
        <is>
          <t>Phụ kiện lắp ghép / Ke góc cửa gió</t>
        </is>
      </c>
      <c r="D93" t="inlineStr">
        <is>
          <t>PHỤ_KIỆN_CỬA</t>
        </is>
      </c>
      <c r="E93" t="inlineStr">
        <is>
          <t>MAT-DOOR-ACCESSORY</t>
        </is>
      </c>
      <c r="F93" t="inlineStr">
        <is>
          <t>Bộ</t>
        </is>
      </c>
      <c r="G93" s="406" t="n">
        <v>0.8349026993094791</v>
      </c>
      <c r="H93" s="402">
        <f>IFERROR(INDEX('00_TONG_HOP_BAO_GIA'!$G$1:$G$5000, MATCH(B93, '00_TONG_HOP_BAO_GIA'!$B$1:$B$5000, 0)), 1)</f>
        <v/>
      </c>
      <c r="I93" s="407">
        <f>G93*H93</f>
        <v/>
      </c>
      <c r="J93" s="402">
        <f>IFERROR(INDEX('06_BANG_GIA_VAT_TU_AP_DUNG'!$E$1:$E$5000, MATCH(E93, '06_BANG_GIA_VAT_TU_AP_DUNG'!$B$1:$B$5000, 0)), 0)</f>
        <v/>
      </c>
      <c r="K93" s="402">
        <f>I93*J93</f>
        <v/>
      </c>
      <c r="L93" t="inlineStr">
        <is>
          <t>4 ke góc chìm và vít ghép khung</t>
        </is>
      </c>
    </row>
    <row r="94">
      <c r="A94" t="inlineStr">
        <is>
          <t>SW-DIFF-087-PAINT</t>
        </is>
      </c>
      <c r="B94" t="inlineStr">
        <is>
          <t>SW-DIFF-087</t>
        </is>
      </c>
      <c r="C94" t="inlineStr">
        <is>
          <t>Sơn tĩnh điện tiêu chuẩn Polyester</t>
        </is>
      </c>
      <c r="D94" t="inlineStr">
        <is>
          <t>SƠN_TĨNH_ĐIỆN</t>
        </is>
      </c>
      <c r="E94" t="inlineStr">
        <is>
          <t>MAT-PAINT-POWDER</t>
        </is>
      </c>
      <c r="F94" t="inlineStr">
        <is>
          <t>m2</t>
        </is>
      </c>
      <c r="G94" s="406" t="n">
        <v>0.2311264482109228</v>
      </c>
      <c r="H94" s="402">
        <f>IFERROR(INDEX('00_TONG_HOP_BAO_GIA'!$G$1:$G$5000, MATCH(B94, '00_TONG_HOP_BAO_GIA'!$B$1:$B$5000, 0)), 1)</f>
        <v/>
      </c>
      <c r="I94" s="407">
        <f>G94*H94</f>
        <v/>
      </c>
      <c r="J94" s="402">
        <f>IFERROR(INDEX('06_BANG_GIA_VAT_TU_AP_DUNG'!$E$1:$E$5000, MATCH(E94, '06_BANG_GIA_VAT_TU_AP_DUNG'!$B$1:$B$5000, 0)), 0)</f>
        <v/>
      </c>
      <c r="K94" s="402">
        <f>I94*J94</f>
        <v/>
      </c>
      <c r="L94" t="inlineStr">
        <is>
          <t>Sơn tĩnh điện hoàn thiện</t>
        </is>
      </c>
    </row>
    <row r="95">
      <c r="A95" t="inlineStr">
        <is>
          <t>SW-DIFF-087-OBD-FRAME</t>
        </is>
      </c>
      <c r="B95" t="inlineStr">
        <is>
          <t>SW-DIFF-087</t>
        </is>
      </c>
      <c r="C95" t="inlineStr">
        <is>
          <t>Khung nhôm van OBD gắn cửa (SOBD)</t>
        </is>
      </c>
      <c r="D95" t="inlineStr">
        <is>
          <t>NHÔM_ĐỊNH_HÌNH</t>
        </is>
      </c>
      <c r="E95" t="inlineStr">
        <is>
          <t>MAT-ALU-KHUNG-OBD</t>
        </is>
      </c>
      <c r="F95" t="inlineStr">
        <is>
          <t>kg</t>
        </is>
      </c>
      <c r="G95" s="406" t="n">
        <v>0.1879783427495292</v>
      </c>
      <c r="H95" s="402">
        <f>IFERROR(INDEX('00_TONG_HOP_BAO_GIA'!$G$1:$G$5000, MATCH(B95, '00_TONG_HOP_BAO_GIA'!$B$1:$B$5000, 0)), 1)</f>
        <v/>
      </c>
      <c r="I95" s="407">
        <f>G95*H95</f>
        <v/>
      </c>
      <c r="J95" s="402">
        <f>IFERROR(INDEX('06_BANG_GIA_VAT_TU_AP_DUNG'!$E$1:$E$5000, MATCH(E95, '06_BANG_GIA_VAT_TU_AP_DUNG'!$B$1:$B$5000, 0)), 0)</f>
        <v/>
      </c>
      <c r="K95" s="402">
        <f>I95*J95</f>
        <v/>
      </c>
      <c r="L95" t="inlineStr">
        <is>
          <t>Khung OBD 285x285mm</t>
        </is>
      </c>
    </row>
    <row r="96">
      <c r="A96" t="inlineStr">
        <is>
          <t>SW-DIFF-087-OBD-BLADE</t>
        </is>
      </c>
      <c r="B96" t="inlineStr">
        <is>
          <t>SW-DIFF-087</t>
        </is>
      </c>
      <c r="C96" t="inlineStr">
        <is>
          <t>Nan nhôm &amp; thanh truyền van OBD (SOBD)</t>
        </is>
      </c>
      <c r="D96" t="inlineStr">
        <is>
          <t>NHÔM_ĐỊNH_HÌNH</t>
        </is>
      </c>
      <c r="E96" t="inlineStr">
        <is>
          <t>MAT-ALU-NAN-OBD</t>
        </is>
      </c>
      <c r="F96" t="inlineStr">
        <is>
          <t>kg</t>
        </is>
      </c>
      <c r="G96" s="406" t="n">
        <v>0.241665195386064</v>
      </c>
      <c r="H96" s="402">
        <f>IFERROR(INDEX('00_TONG_HOP_BAO_GIA'!$G$1:$G$5000, MATCH(B96, '00_TONG_HOP_BAO_GIA'!$B$1:$B$5000, 0)), 1)</f>
        <v/>
      </c>
      <c r="I96" s="407">
        <f>G96*H96</f>
        <v/>
      </c>
      <c r="J96" s="402">
        <f>IFERROR(INDEX('06_BANG_GIA_VAT_TU_AP_DUNG'!$E$1:$E$5000, MATCH(E96, '06_BANG_GIA_VAT_TU_AP_DUNG'!$B$1:$B$5000, 0)), 0)</f>
        <v/>
      </c>
      <c r="K96" s="402">
        <f>I96*J96</f>
        <v/>
      </c>
      <c r="L96" t="inlineStr">
        <is>
          <t>Nan OBD đối xứng &amp; thanh liên kết</t>
        </is>
      </c>
    </row>
    <row r="97">
      <c r="A97" t="inlineStr">
        <is>
          <t>SW-DIFF-087-OBD-ACC</t>
        </is>
      </c>
      <c r="B97" t="inlineStr">
        <is>
          <t>SW-DIFF-087</t>
        </is>
      </c>
      <c r="C97" t="inlineStr">
        <is>
          <t>Bánh răng nhựa &amp; phụ kiện van OBD</t>
        </is>
      </c>
      <c r="D97" t="inlineStr">
        <is>
          <t>PHỤ_KIỆN_CỬA</t>
        </is>
      </c>
      <c r="E97" t="inlineStr">
        <is>
          <t>MAT-DOOR-ACCESSORY</t>
        </is>
      </c>
      <c r="F97" t="inlineStr">
        <is>
          <t>Bộ</t>
        </is>
      </c>
      <c r="G97" s="406" t="n">
        <v>0.9044779242519357</v>
      </c>
      <c r="H97" s="402">
        <f>IFERROR(INDEX('00_TONG_HOP_BAO_GIA'!$G$1:$G$5000, MATCH(B97, '00_TONG_HOP_BAO_GIA'!$B$1:$B$5000, 0)), 1)</f>
        <v/>
      </c>
      <c r="I97" s="407">
        <f>G97*H97</f>
        <v/>
      </c>
      <c r="J97" s="402">
        <f>IFERROR(INDEX('06_BANG_GIA_VAT_TU_AP_DUNG'!$E$1:$E$5000, MATCH(E97, '06_BANG_GIA_VAT_TU_AP_DUNG'!$B$1:$B$5000, 0)), 0)</f>
        <v/>
      </c>
      <c r="K97" s="402">
        <f>I97*J97</f>
        <v/>
      </c>
      <c r="L97" t="inlineStr">
        <is>
          <t>Cơ cấu bánh răng đóng mở OBD</t>
        </is>
      </c>
    </row>
    <row r="98">
      <c r="A98" t="inlineStr">
        <is>
          <t>SW-DIFF-087-OBD-PAINT</t>
        </is>
      </c>
      <c r="B98" t="inlineStr">
        <is>
          <t>SW-DIFF-087</t>
        </is>
      </c>
      <c r="C98" t="inlineStr">
        <is>
          <t>Sơn tĩnh điện van OBD</t>
        </is>
      </c>
      <c r="D98" t="inlineStr">
        <is>
          <t>SƠN_TĨNH_ĐIỆN</t>
        </is>
      </c>
      <c r="E98" t="inlineStr">
        <is>
          <t>MAT-PAINT-POWDER</t>
        </is>
      </c>
      <c r="F98" t="inlineStr">
        <is>
          <t>m2</t>
        </is>
      </c>
      <c r="G98" s="406" t="n">
        <v>0.1323302097457627</v>
      </c>
      <c r="H98" s="402">
        <f>IFERROR(INDEX('00_TONG_HOP_BAO_GIA'!$G$1:$G$5000, MATCH(B98, '00_TONG_HOP_BAO_GIA'!$B$1:$B$5000, 0)), 1)</f>
        <v/>
      </c>
      <c r="I98" s="407">
        <f>G98*H98</f>
        <v/>
      </c>
      <c r="J98" s="402">
        <f>IFERROR(INDEX('06_BANG_GIA_VAT_TU_AP_DUNG'!$E$1:$E$5000, MATCH(E98, '06_BANG_GIA_VAT_TU_AP_DUNG'!$B$1:$B$5000, 0)), 0)</f>
        <v/>
      </c>
      <c r="K98" s="402">
        <f>I98*J98</f>
        <v/>
      </c>
      <c r="L98" t="inlineStr">
        <is>
          <t>Sơn tĩnh điện đen/trắng cho OBD</t>
        </is>
      </c>
    </row>
    <row r="99">
      <c r="A99" t="inlineStr">
        <is>
          <t>SW-DIFF-088-FRAME</t>
        </is>
      </c>
      <c r="B99" t="inlineStr">
        <is>
          <t>SW-DIFF-088</t>
        </is>
      </c>
      <c r="C99" t="inlineStr">
        <is>
          <t>Khung nhôm định hình (1 lớp BD)</t>
        </is>
      </c>
      <c r="D99" t="inlineStr">
        <is>
          <t>NHÔM_ĐỊNH_HÌNH</t>
        </is>
      </c>
      <c r="E99" t="inlineStr">
        <is>
          <t>MAT-ALU-KHUNG-BD</t>
        </is>
      </c>
      <c r="F99" t="inlineStr">
        <is>
          <t>kg</t>
        </is>
      </c>
      <c r="G99" s="406" t="n">
        <v>0.4125254237288136</v>
      </c>
      <c r="H99" s="402">
        <f>IFERROR(INDEX('00_TONG_HOP_BAO_GIA'!$G$1:$G$5000, MATCH(B99, '00_TONG_HOP_BAO_GIA'!$B$1:$B$5000, 0)), 1)</f>
        <v/>
      </c>
      <c r="I99" s="407">
        <f>G99*H99</f>
        <v/>
      </c>
      <c r="J99" s="402">
        <f>IFERROR(INDEX('06_BANG_GIA_VAT_TU_AP_DUNG'!$E$1:$E$5000, MATCH(E99, '06_BANG_GIA_VAT_TU_AP_DUNG'!$B$1:$B$5000, 0)), 0)</f>
        <v/>
      </c>
      <c r="K99" s="402">
        <f>I99*J99</f>
        <v/>
      </c>
      <c r="L99" t="inlineStr">
        <is>
          <t>Khung bao 610x310mm (cổ 500x200mm)</t>
        </is>
      </c>
    </row>
    <row r="100">
      <c r="A100" t="inlineStr">
        <is>
          <t>SW-DIFF-088-BLADE</t>
        </is>
      </c>
      <c r="B100" t="inlineStr">
        <is>
          <t>SW-DIFF-088</t>
        </is>
      </c>
      <c r="C100" t="inlineStr">
        <is>
          <t>Nan nhôm bầu dục (12 nan)</t>
        </is>
      </c>
      <c r="D100" t="inlineStr">
        <is>
          <t>NHÔM_ĐỊNH_HÌNH</t>
        </is>
      </c>
      <c r="E100" t="inlineStr">
        <is>
          <t>MAT-ALU-NAN-BD</t>
        </is>
      </c>
      <c r="F100" t="inlineStr">
        <is>
          <t>kg</t>
        </is>
      </c>
      <c r="G100" s="406" t="n">
        <v>0.4067645951035782</v>
      </c>
      <c r="H100" s="402">
        <f>IFERROR(INDEX('00_TONG_HOP_BAO_GIA'!$G$1:$G$5000, MATCH(B100, '00_TONG_HOP_BAO_GIA'!$B$1:$B$5000, 0)), 1)</f>
        <v/>
      </c>
      <c r="I100" s="407">
        <f>G100*H100</f>
        <v/>
      </c>
      <c r="J100" s="402">
        <f>IFERROR(INDEX('06_BANG_GIA_VAT_TU_AP_DUNG'!$E$1:$E$5000, MATCH(E100, '06_BANG_GIA_VAT_TU_AP_DUNG'!$B$1:$B$5000, 0)), 0)</f>
        <v/>
      </c>
      <c r="K100" s="402">
        <f>I100*J100</f>
        <v/>
      </c>
      <c r="L100" t="inlineStr">
        <is>
          <t>Nan bầu dục @ 0.058kg/m</t>
        </is>
      </c>
    </row>
    <row r="101">
      <c r="A101" t="inlineStr">
        <is>
          <t>SW-DIFF-088-ACCESSORY</t>
        </is>
      </c>
      <c r="B101" t="inlineStr">
        <is>
          <t>SW-DIFF-088</t>
        </is>
      </c>
      <c r="C101" t="inlineStr">
        <is>
          <t>Phụ kiện lắp ghép / Ke góc cửa gió</t>
        </is>
      </c>
      <c r="D101" t="inlineStr">
        <is>
          <t>PHỤ_KIỆN_CỬA</t>
        </is>
      </c>
      <c r="E101" t="inlineStr">
        <is>
          <t>MAT-DOOR-ACCESSORY</t>
        </is>
      </c>
      <c r="F101" t="inlineStr">
        <is>
          <t>Bộ</t>
        </is>
      </c>
      <c r="G101" s="406" t="n">
        <v>0.8349026993094791</v>
      </c>
      <c r="H101" s="402">
        <f>IFERROR(INDEX('00_TONG_HOP_BAO_GIA'!$G$1:$G$5000, MATCH(B101, '00_TONG_HOP_BAO_GIA'!$B$1:$B$5000, 0)), 1)</f>
        <v/>
      </c>
      <c r="I101" s="407">
        <f>G101*H101</f>
        <v/>
      </c>
      <c r="J101" s="402">
        <f>IFERROR(INDEX('06_BANG_GIA_VAT_TU_AP_DUNG'!$E$1:$E$5000, MATCH(E101, '06_BANG_GIA_VAT_TU_AP_DUNG'!$B$1:$B$5000, 0)), 0)</f>
        <v/>
      </c>
      <c r="K101" s="402">
        <f>I101*J101</f>
        <v/>
      </c>
      <c r="L101" t="inlineStr">
        <is>
          <t>4 ke góc chìm và vít ghép khung</t>
        </is>
      </c>
    </row>
    <row r="102">
      <c r="A102" t="inlineStr">
        <is>
          <t>SW-DIFF-088-PAINT</t>
        </is>
      </c>
      <c r="B102" t="inlineStr">
        <is>
          <t>SW-DIFF-088</t>
        </is>
      </c>
      <c r="C102" t="inlineStr">
        <is>
          <t>Sơn tĩnh điện tiêu chuẩn Polyester</t>
        </is>
      </c>
      <c r="D102" t="inlineStr">
        <is>
          <t>SƠN_TĨNH_ĐIỆN</t>
        </is>
      </c>
      <c r="E102" t="inlineStr">
        <is>
          <t>MAT-PAINT-POWDER</t>
        </is>
      </c>
      <c r="F102" t="inlineStr">
        <is>
          <t>m2</t>
        </is>
      </c>
      <c r="G102" s="406" t="n">
        <v>0.2523413258003767</v>
      </c>
      <c r="H102" s="402">
        <f>IFERROR(INDEX('00_TONG_HOP_BAO_GIA'!$G$1:$G$5000, MATCH(B102, '00_TONG_HOP_BAO_GIA'!$B$1:$B$5000, 0)), 1)</f>
        <v/>
      </c>
      <c r="I102" s="407">
        <f>G102*H102</f>
        <v/>
      </c>
      <c r="J102" s="402">
        <f>IFERROR(INDEX('06_BANG_GIA_VAT_TU_AP_DUNG'!$E$1:$E$5000, MATCH(E102, '06_BANG_GIA_VAT_TU_AP_DUNG'!$B$1:$B$5000, 0)), 0)</f>
        <v/>
      </c>
      <c r="K102" s="402">
        <f>I102*J102</f>
        <v/>
      </c>
      <c r="L102" t="inlineStr">
        <is>
          <t>Sơn tĩnh điện hoàn thiện</t>
        </is>
      </c>
    </row>
    <row r="103">
      <c r="A103" t="inlineStr">
        <is>
          <t>SW-DIFF-088-OBD-FRAME</t>
        </is>
      </c>
      <c r="B103" t="inlineStr">
        <is>
          <t>SW-DIFF-088</t>
        </is>
      </c>
      <c r="C103" t="inlineStr">
        <is>
          <t>Khung nhôm van OBD gắn cửa (SOBD)</t>
        </is>
      </c>
      <c r="D103" t="inlineStr">
        <is>
          <t>NHÔM_ĐỊNH_HÌNH</t>
        </is>
      </c>
      <c r="E103" t="inlineStr">
        <is>
          <t>MAT-ALU-KHUNG-OBD</t>
        </is>
      </c>
      <c r="F103" t="inlineStr">
        <is>
          <t>kg</t>
        </is>
      </c>
      <c r="G103" s="406" t="n">
        <v>0.2209569993722536</v>
      </c>
      <c r="H103" s="402">
        <f>IFERROR(INDEX('00_TONG_HOP_BAO_GIA'!$G$1:$G$5000, MATCH(B103, '00_TONG_HOP_BAO_GIA'!$B$1:$B$5000, 0)), 1)</f>
        <v/>
      </c>
      <c r="I103" s="407">
        <f>G103*H103</f>
        <v/>
      </c>
      <c r="J103" s="402">
        <f>IFERROR(INDEX('06_BANG_GIA_VAT_TU_AP_DUNG'!$E$1:$E$5000, MATCH(E103, '06_BANG_GIA_VAT_TU_AP_DUNG'!$B$1:$B$5000, 0)), 0)</f>
        <v/>
      </c>
      <c r="K103" s="402">
        <f>I103*J103</f>
        <v/>
      </c>
      <c r="L103" t="inlineStr">
        <is>
          <t>Khung OBD 485x185mm</t>
        </is>
      </c>
    </row>
    <row r="104">
      <c r="A104" t="inlineStr">
        <is>
          <t>SW-DIFF-088-OBD-BLADE</t>
        </is>
      </c>
      <c r="B104" t="inlineStr">
        <is>
          <t>SW-DIFF-088</t>
        </is>
      </c>
      <c r="C104" t="inlineStr">
        <is>
          <t>Nan nhôm &amp; thanh truyền van OBD (SOBD)</t>
        </is>
      </c>
      <c r="D104" t="inlineStr">
        <is>
          <t>NHÔM_ĐỊNH_HÌNH</t>
        </is>
      </c>
      <c r="E104" t="inlineStr">
        <is>
          <t>MAT-ALU-NAN-OBD</t>
        </is>
      </c>
      <c r="F104" t="inlineStr">
        <is>
          <t>kg</t>
        </is>
      </c>
      <c r="G104" s="406" t="n">
        <v>0.2534060145951036</v>
      </c>
      <c r="H104" s="402">
        <f>IFERROR(INDEX('00_TONG_HOP_BAO_GIA'!$G$1:$G$5000, MATCH(B104, '00_TONG_HOP_BAO_GIA'!$B$1:$B$5000, 0)), 1)</f>
        <v/>
      </c>
      <c r="I104" s="407">
        <f>G104*H104</f>
        <v/>
      </c>
      <c r="J104" s="402">
        <f>IFERROR(INDEX('06_BANG_GIA_VAT_TU_AP_DUNG'!$E$1:$E$5000, MATCH(E104, '06_BANG_GIA_VAT_TU_AP_DUNG'!$B$1:$B$5000, 0)), 0)</f>
        <v/>
      </c>
      <c r="K104" s="402">
        <f>I104*J104</f>
        <v/>
      </c>
      <c r="L104" t="inlineStr">
        <is>
          <t>Nan OBD đối xứng &amp; thanh liên kết</t>
        </is>
      </c>
    </row>
    <row r="105">
      <c r="A105" t="inlineStr">
        <is>
          <t>SW-DIFF-088-OBD-ACC</t>
        </is>
      </c>
      <c r="B105" t="inlineStr">
        <is>
          <t>SW-DIFF-088</t>
        </is>
      </c>
      <c r="C105" t="inlineStr">
        <is>
          <t>Bánh răng nhựa &amp; phụ kiện van OBD</t>
        </is>
      </c>
      <c r="D105" t="inlineStr">
        <is>
          <t>PHỤ_KIỆN_CỬA</t>
        </is>
      </c>
      <c r="E105" t="inlineStr">
        <is>
          <t>MAT-DOOR-ACCESSORY</t>
        </is>
      </c>
      <c r="F105" t="inlineStr">
        <is>
          <t>Bộ</t>
        </is>
      </c>
      <c r="G105" s="406" t="n">
        <v>0.9044779242519357</v>
      </c>
      <c r="H105" s="402">
        <f>IFERROR(INDEX('00_TONG_HOP_BAO_GIA'!$G$1:$G$5000, MATCH(B105, '00_TONG_HOP_BAO_GIA'!$B$1:$B$5000, 0)), 1)</f>
        <v/>
      </c>
      <c r="I105" s="407">
        <f>G105*H105</f>
        <v/>
      </c>
      <c r="J105" s="402">
        <f>IFERROR(INDEX('06_BANG_GIA_VAT_TU_AP_DUNG'!$E$1:$E$5000, MATCH(E105, '06_BANG_GIA_VAT_TU_AP_DUNG'!$B$1:$B$5000, 0)), 0)</f>
        <v/>
      </c>
      <c r="K105" s="402">
        <f>I105*J105</f>
        <v/>
      </c>
      <c r="L105" t="inlineStr">
        <is>
          <t>Cơ cấu bánh răng đóng mở OBD</t>
        </is>
      </c>
    </row>
    <row r="106">
      <c r="A106" t="inlineStr">
        <is>
          <t>SW-DIFF-088-OBD-PAINT</t>
        </is>
      </c>
      <c r="B106" t="inlineStr">
        <is>
          <t>SW-DIFF-088</t>
        </is>
      </c>
      <c r="C106" t="inlineStr">
        <is>
          <t>Sơn tĩnh điện van OBD</t>
        </is>
      </c>
      <c r="D106" t="inlineStr">
        <is>
          <t>SƠN_TĨNH_ĐIỆN</t>
        </is>
      </c>
      <c r="E106" t="inlineStr">
        <is>
          <t>MAT-PAINT-POWDER</t>
        </is>
      </c>
      <c r="F106" t="inlineStr">
        <is>
          <t>m2</t>
        </is>
      </c>
      <c r="G106" s="406" t="n">
        <v>0.146103808301946</v>
      </c>
      <c r="H106" s="402">
        <f>IFERROR(INDEX('00_TONG_HOP_BAO_GIA'!$G$1:$G$5000, MATCH(B106, '00_TONG_HOP_BAO_GIA'!$B$1:$B$5000, 0)), 1)</f>
        <v/>
      </c>
      <c r="I106" s="407">
        <f>G106*H106</f>
        <v/>
      </c>
      <c r="J106" s="402">
        <f>IFERROR(INDEX('06_BANG_GIA_VAT_TU_AP_DUNG'!$E$1:$E$5000, MATCH(E106, '06_BANG_GIA_VAT_TU_AP_DUNG'!$B$1:$B$5000, 0)), 0)</f>
        <v/>
      </c>
      <c r="K106" s="402">
        <f>I106*J106</f>
        <v/>
      </c>
      <c r="L106" t="inlineStr">
        <is>
          <t>Sơn tĩnh điện đen/trắng cho OBD</t>
        </is>
      </c>
    </row>
    <row r="107">
      <c r="A107" t="inlineStr">
        <is>
          <t>SW-DIFF-089-FRAME</t>
        </is>
      </c>
      <c r="B107" t="inlineStr">
        <is>
          <t>SW-DIFF-089</t>
        </is>
      </c>
      <c r="C107" t="inlineStr">
        <is>
          <t>Khung nhôm định hình (1 lớp BD)</t>
        </is>
      </c>
      <c r="D107" t="inlineStr">
        <is>
          <t>NHÔM_ĐỊNH_HÌNH</t>
        </is>
      </c>
      <c r="E107" t="inlineStr">
        <is>
          <t>MAT-ALU-KHUNG-BD</t>
        </is>
      </c>
      <c r="F107" t="inlineStr">
        <is>
          <t>kg</t>
        </is>
      </c>
      <c r="G107" s="406" t="n">
        <v>1.093806026365348</v>
      </c>
      <c r="H107" s="402">
        <f>IFERROR(INDEX('00_TONG_HOP_BAO_GIA'!$G$1:$G$5000, MATCH(B107, '00_TONG_HOP_BAO_GIA'!$B$1:$B$5000, 0)), 1)</f>
        <v/>
      </c>
      <c r="I107" s="407">
        <f>G107*H107</f>
        <v/>
      </c>
      <c r="J107" s="402">
        <f>IFERROR(INDEX('06_BANG_GIA_VAT_TU_AP_DUNG'!$E$1:$E$5000, MATCH(E107, '06_BANG_GIA_VAT_TU_AP_DUNG'!$B$1:$B$5000, 0)), 0)</f>
        <v/>
      </c>
      <c r="K107" s="402">
        <f>I107*J107</f>
        <v/>
      </c>
      <c r="L107" t="inlineStr">
        <is>
          <t>Khung bao 1510x910mm (cổ 1400x800mm)</t>
        </is>
      </c>
    </row>
    <row r="108">
      <c r="A108" t="inlineStr">
        <is>
          <t>SW-DIFF-089-BLADE</t>
        </is>
      </c>
      <c r="B108" t="inlineStr">
        <is>
          <t>SW-DIFF-089</t>
        </is>
      </c>
      <c r="C108" t="inlineStr">
        <is>
          <t>Nan nhôm bầu dục (42 nan)</t>
        </is>
      </c>
      <c r="D108" t="inlineStr">
        <is>
          <t>NHÔM_ĐỊNH_HÌNH</t>
        </is>
      </c>
      <c r="E108" t="inlineStr">
        <is>
          <t>MAT-ALU-NAN-BD</t>
        </is>
      </c>
      <c r="F108" t="inlineStr">
        <is>
          <t>kg</t>
        </is>
      </c>
      <c r="G108" s="406" t="n">
        <v>3.711726930320151</v>
      </c>
      <c r="H108" s="402">
        <f>IFERROR(INDEX('00_TONG_HOP_BAO_GIA'!$G$1:$G$5000, MATCH(B108, '00_TONG_HOP_BAO_GIA'!$B$1:$B$5000, 0)), 1)</f>
        <v/>
      </c>
      <c r="I108" s="407">
        <f>G108*H108</f>
        <v/>
      </c>
      <c r="J108" s="402">
        <f>IFERROR(INDEX('06_BANG_GIA_VAT_TU_AP_DUNG'!$E$1:$E$5000, MATCH(E108, '06_BANG_GIA_VAT_TU_AP_DUNG'!$B$1:$B$5000, 0)), 0)</f>
        <v/>
      </c>
      <c r="K108" s="402">
        <f>I108*J108</f>
        <v/>
      </c>
      <c r="L108" t="inlineStr">
        <is>
          <t>Nan bầu dục @ 0.058kg/m</t>
        </is>
      </c>
    </row>
    <row r="109">
      <c r="A109" t="inlineStr">
        <is>
          <t>SW-DIFF-089-ACCESSORY</t>
        </is>
      </c>
      <c r="B109" t="inlineStr">
        <is>
          <t>SW-DIFF-089</t>
        </is>
      </c>
      <c r="C109" t="inlineStr">
        <is>
          <t>Phụ kiện lắp ghép / Ke góc cửa gió</t>
        </is>
      </c>
      <c r="D109" t="inlineStr">
        <is>
          <t>PHỤ_KIỆN_CỬA</t>
        </is>
      </c>
      <c r="E109" t="inlineStr">
        <is>
          <t>MAT-DOOR-ACCESSORY</t>
        </is>
      </c>
      <c r="F109" t="inlineStr">
        <is>
          <t>Bộ</t>
        </is>
      </c>
      <c r="G109" s="406" t="n">
        <v>1.530654948734045</v>
      </c>
      <c r="H109" s="402">
        <f>IFERROR(INDEX('00_TONG_HOP_BAO_GIA'!$G$1:$G$5000, MATCH(B109, '00_TONG_HOP_BAO_GIA'!$B$1:$B$5000, 0)), 1)</f>
        <v/>
      </c>
      <c r="I109" s="407">
        <f>G109*H109</f>
        <v/>
      </c>
      <c r="J109" s="402">
        <f>IFERROR(INDEX('06_BANG_GIA_VAT_TU_AP_DUNG'!$E$1:$E$5000, MATCH(E109, '06_BANG_GIA_VAT_TU_AP_DUNG'!$B$1:$B$5000, 0)), 0)</f>
        <v/>
      </c>
      <c r="K109" s="402">
        <f>I109*J109</f>
        <v/>
      </c>
      <c r="L109" t="inlineStr">
        <is>
          <t>4 ke góc chìm và vít ghép khung</t>
        </is>
      </c>
    </row>
    <row r="110">
      <c r="A110" t="inlineStr">
        <is>
          <t>SW-DIFF-089-PAINT</t>
        </is>
      </c>
      <c r="B110" t="inlineStr">
        <is>
          <t>SW-DIFF-089</t>
        </is>
      </c>
      <c r="C110" t="inlineStr">
        <is>
          <t>Sơn tĩnh điện tiêu chuẩn Polyester</t>
        </is>
      </c>
      <c r="D110" t="inlineStr">
        <is>
          <t>SƠN_TĨNH_ĐIỆN</t>
        </is>
      </c>
      <c r="E110" t="inlineStr">
        <is>
          <t>MAT-PAINT-POWDER</t>
        </is>
      </c>
      <c r="F110" t="inlineStr">
        <is>
          <t>m2</t>
        </is>
      </c>
      <c r="G110" s="406" t="n">
        <v>1.480104150659134</v>
      </c>
      <c r="H110" s="402">
        <f>IFERROR(INDEX('00_TONG_HOP_BAO_GIA'!$G$1:$G$5000, MATCH(B110, '00_TONG_HOP_BAO_GIA'!$B$1:$B$5000, 0)), 1)</f>
        <v/>
      </c>
      <c r="I110" s="407">
        <f>G110*H110</f>
        <v/>
      </c>
      <c r="J110" s="402">
        <f>IFERROR(INDEX('06_BANG_GIA_VAT_TU_AP_DUNG'!$E$1:$E$5000, MATCH(E110, '06_BANG_GIA_VAT_TU_AP_DUNG'!$B$1:$B$5000, 0)), 0)</f>
        <v/>
      </c>
      <c r="K110" s="402">
        <f>I110*J110</f>
        <v/>
      </c>
      <c r="L110" t="inlineStr">
        <is>
          <t>Sơn tĩnh điện hoàn thiện</t>
        </is>
      </c>
    </row>
    <row r="111">
      <c r="A111" t="inlineStr">
        <is>
          <t>SW-DIFF-089-OBD-FRAME</t>
        </is>
      </c>
      <c r="B111" t="inlineStr">
        <is>
          <t>SW-DIFF-089</t>
        </is>
      </c>
      <c r="C111" t="inlineStr">
        <is>
          <t>Khung nhôm van OBD gắn cửa (SOBD)</t>
        </is>
      </c>
      <c r="D111" t="inlineStr">
        <is>
          <t>NHÔM_ĐỊNH_HÌNH</t>
        </is>
      </c>
      <c r="E111" t="inlineStr">
        <is>
          <t>MAT-ALU-KHUNG-OBD</t>
        </is>
      </c>
      <c r="F111" t="inlineStr">
        <is>
          <t>kg</t>
        </is>
      </c>
      <c r="G111" s="406" t="n">
        <v>0.7156368487131199</v>
      </c>
      <c r="H111" s="402">
        <f>IFERROR(INDEX('00_TONG_HOP_BAO_GIA'!$G$1:$G$5000, MATCH(B111, '00_TONG_HOP_BAO_GIA'!$B$1:$B$5000, 0)), 1)</f>
        <v/>
      </c>
      <c r="I111" s="407">
        <f>G111*H111</f>
        <v/>
      </c>
      <c r="J111" s="402">
        <f>IFERROR(INDEX('06_BANG_GIA_VAT_TU_AP_DUNG'!$E$1:$E$5000, MATCH(E111, '06_BANG_GIA_VAT_TU_AP_DUNG'!$B$1:$B$5000, 0)), 0)</f>
        <v/>
      </c>
      <c r="K111" s="402">
        <f>I111*J111</f>
        <v/>
      </c>
      <c r="L111" t="inlineStr">
        <is>
          <t>Khung OBD 1385x785mm</t>
        </is>
      </c>
    </row>
    <row r="112">
      <c r="A112" t="inlineStr">
        <is>
          <t>SW-DIFF-089-OBD-BLADE</t>
        </is>
      </c>
      <c r="B112" t="inlineStr">
        <is>
          <t>SW-DIFF-089</t>
        </is>
      </c>
      <c r="C112" t="inlineStr">
        <is>
          <t>Nan nhôm &amp; thanh truyền van OBD (SOBD)</t>
        </is>
      </c>
      <c r="D112" t="inlineStr">
        <is>
          <t>NHÔM_ĐỊNH_HÌNH</t>
        </is>
      </c>
      <c r="E112" t="inlineStr">
        <is>
          <t>MAT-ALU-NAN-OBD</t>
        </is>
      </c>
      <c r="F112" t="inlineStr">
        <is>
          <t>kg</t>
        </is>
      </c>
      <c r="G112" s="406" t="n">
        <v>2.918571975047082</v>
      </c>
      <c r="H112" s="402">
        <f>IFERROR(INDEX('00_TONG_HOP_BAO_GIA'!$G$1:$G$5000, MATCH(B112, '00_TONG_HOP_BAO_GIA'!$B$1:$B$5000, 0)), 1)</f>
        <v/>
      </c>
      <c r="I112" s="407">
        <f>G112*H112</f>
        <v/>
      </c>
      <c r="J112" s="402">
        <f>IFERROR(INDEX('06_BANG_GIA_VAT_TU_AP_DUNG'!$E$1:$E$5000, MATCH(E112, '06_BANG_GIA_VAT_TU_AP_DUNG'!$B$1:$B$5000, 0)), 0)</f>
        <v/>
      </c>
      <c r="K112" s="402">
        <f>I112*J112</f>
        <v/>
      </c>
      <c r="L112" t="inlineStr">
        <is>
          <t>Nan OBD đối xứng &amp; thanh liên kết</t>
        </is>
      </c>
    </row>
    <row r="113">
      <c r="A113" t="inlineStr">
        <is>
          <t>SW-DIFF-089-OBD-ACC</t>
        </is>
      </c>
      <c r="B113" t="inlineStr">
        <is>
          <t>SW-DIFF-089</t>
        </is>
      </c>
      <c r="C113" t="inlineStr">
        <is>
          <t>Bánh răng nhựa &amp; phụ kiện van OBD</t>
        </is>
      </c>
      <c r="D113" t="inlineStr">
        <is>
          <t>PHỤ_KIỆN_CỬA</t>
        </is>
      </c>
      <c r="E113" t="inlineStr">
        <is>
          <t>MAT-DOOR-ACCESSORY</t>
        </is>
      </c>
      <c r="F113" t="inlineStr">
        <is>
          <t>Bộ</t>
        </is>
      </c>
      <c r="G113" s="406" t="n">
        <v>1.600230173676502</v>
      </c>
      <c r="H113" s="402">
        <f>IFERROR(INDEX('00_TONG_HOP_BAO_GIA'!$G$1:$G$5000, MATCH(B113, '00_TONG_HOP_BAO_GIA'!$B$1:$B$5000, 0)), 1)</f>
        <v/>
      </c>
      <c r="I113" s="407">
        <f>G113*H113</f>
        <v/>
      </c>
      <c r="J113" s="402">
        <f>IFERROR(INDEX('06_BANG_GIA_VAT_TU_AP_DUNG'!$E$1:$E$5000, MATCH(E113, '06_BANG_GIA_VAT_TU_AP_DUNG'!$B$1:$B$5000, 0)), 0)</f>
        <v/>
      </c>
      <c r="K113" s="402">
        <f>I113*J113</f>
        <v/>
      </c>
      <c r="L113" t="inlineStr">
        <is>
          <t>Cơ cấu bánh răng đóng mở OBD</t>
        </is>
      </c>
    </row>
    <row r="114">
      <c r="A114" t="inlineStr">
        <is>
          <t>SW-DIFF-089-OBD-PAINT</t>
        </is>
      </c>
      <c r="B114" t="inlineStr">
        <is>
          <t>SW-DIFF-089</t>
        </is>
      </c>
      <c r="C114" t="inlineStr">
        <is>
          <t>Sơn tĩnh điện van OBD</t>
        </is>
      </c>
      <c r="D114" t="inlineStr">
        <is>
          <t>SƠN_TĨNH_ĐIỆN</t>
        </is>
      </c>
      <c r="E114" t="inlineStr">
        <is>
          <t>MAT-PAINT-POWDER</t>
        </is>
      </c>
      <c r="F114" t="inlineStr">
        <is>
          <t>m2</t>
        </is>
      </c>
      <c r="G114" s="406" t="n">
        <v>1.119336317718142</v>
      </c>
      <c r="H114" s="402">
        <f>IFERROR(INDEX('00_TONG_HOP_BAO_GIA'!$G$1:$G$5000, MATCH(B114, '00_TONG_HOP_BAO_GIA'!$B$1:$B$5000, 0)), 1)</f>
        <v/>
      </c>
      <c r="I114" s="407">
        <f>G114*H114</f>
        <v/>
      </c>
      <c r="J114" s="402">
        <f>IFERROR(INDEX('06_BANG_GIA_VAT_TU_AP_DUNG'!$E$1:$E$5000, MATCH(E114, '06_BANG_GIA_VAT_TU_AP_DUNG'!$B$1:$B$5000, 0)), 0)</f>
        <v/>
      </c>
      <c r="K114" s="402">
        <f>I114*J114</f>
        <v/>
      </c>
      <c r="L114" t="inlineStr">
        <is>
          <t>Sơn tĩnh điện đen/trắng cho OBD</t>
        </is>
      </c>
    </row>
    <row r="115">
      <c r="A115" t="inlineStr">
        <is>
          <t>SW-DIFF-090-FRAME</t>
        </is>
      </c>
      <c r="B115" t="inlineStr">
        <is>
          <t>SW-DIFF-090</t>
        </is>
      </c>
      <c r="C115" t="inlineStr">
        <is>
          <t>Khung nhôm định hình (1 lớp BD)</t>
        </is>
      </c>
      <c r="D115" t="inlineStr">
        <is>
          <t>NHÔM_ĐỊNH_HÌNH</t>
        </is>
      </c>
      <c r="E115" t="inlineStr">
        <is>
          <t>MAT-ALU-KHUNG-BD</t>
        </is>
      </c>
      <c r="F115" t="inlineStr">
        <is>
          <t>kg</t>
        </is>
      </c>
      <c r="G115" s="406" t="n">
        <v>0.6558995605775266</v>
      </c>
      <c r="H115" s="402">
        <f>IFERROR(INDEX('00_TONG_HOP_BAO_GIA'!$G$1:$G$5000, MATCH(B115, '00_TONG_HOP_BAO_GIA'!$B$1:$B$5000, 0)), 1)</f>
        <v/>
      </c>
      <c r="I115" s="407">
        <f>G115*H115</f>
        <v/>
      </c>
      <c r="J115" s="402">
        <f>IFERROR(INDEX('06_BANG_GIA_VAT_TU_AP_DUNG'!$E$1:$E$5000, MATCH(E115, '06_BANG_GIA_VAT_TU_AP_DUNG'!$B$1:$B$5000, 0)), 0)</f>
        <v/>
      </c>
      <c r="K115" s="402">
        <f>I115*J115</f>
        <v/>
      </c>
      <c r="L115" t="inlineStr">
        <is>
          <t>Khung bao 1010x460mm (cổ 900x350mm)</t>
        </is>
      </c>
    </row>
    <row r="116">
      <c r="A116" t="inlineStr">
        <is>
          <t>SW-DIFF-090-BLADE</t>
        </is>
      </c>
      <c r="B116" t="inlineStr">
        <is>
          <t>SW-DIFF-090</t>
        </is>
      </c>
      <c r="C116" t="inlineStr">
        <is>
          <t>Nan nhôm bầu dục (20 nan)</t>
        </is>
      </c>
      <c r="D116" t="inlineStr">
        <is>
          <t>NHÔM_ĐỊNH_HÌNH</t>
        </is>
      </c>
      <c r="E116" t="inlineStr">
        <is>
          <t>MAT-ALU-NAN-BD</t>
        </is>
      </c>
      <c r="F116" t="inlineStr">
        <is>
          <t>kg</t>
        </is>
      </c>
      <c r="G116" s="406" t="n">
        <v>1.162184557438795</v>
      </c>
      <c r="H116" s="402">
        <f>IFERROR(INDEX('00_TONG_HOP_BAO_GIA'!$G$1:$G$5000, MATCH(B116, '00_TONG_HOP_BAO_GIA'!$B$1:$B$5000, 0)), 1)</f>
        <v/>
      </c>
      <c r="I116" s="407">
        <f>G116*H116</f>
        <v/>
      </c>
      <c r="J116" s="402">
        <f>IFERROR(INDEX('06_BANG_GIA_VAT_TU_AP_DUNG'!$E$1:$E$5000, MATCH(E116, '06_BANG_GIA_VAT_TU_AP_DUNG'!$B$1:$B$5000, 0)), 0)</f>
        <v/>
      </c>
      <c r="K116" s="402">
        <f>I116*J116</f>
        <v/>
      </c>
      <c r="L116" t="inlineStr">
        <is>
          <t>Nan bầu dục @ 0.058kg/m</t>
        </is>
      </c>
    </row>
    <row r="117">
      <c r="A117" t="inlineStr">
        <is>
          <t>SW-DIFF-090-ACCESSORY</t>
        </is>
      </c>
      <c r="B117" t="inlineStr">
        <is>
          <t>SW-DIFF-090</t>
        </is>
      </c>
      <c r="C117" t="inlineStr">
        <is>
          <t>Phụ kiện lắp ghép / Ke góc cửa gió</t>
        </is>
      </c>
      <c r="D117" t="inlineStr">
        <is>
          <t>PHỤ_KIỆN_CỬA</t>
        </is>
      </c>
      <c r="E117" t="inlineStr">
        <is>
          <t>MAT-DOOR-ACCESSORY</t>
        </is>
      </c>
      <c r="F117" t="inlineStr">
        <is>
          <t>Bộ</t>
        </is>
      </c>
      <c r="G117" s="406" t="n">
        <v>0.8349026993094791</v>
      </c>
      <c r="H117" s="402">
        <f>IFERROR(INDEX('00_TONG_HOP_BAO_GIA'!$G$1:$G$5000, MATCH(B117, '00_TONG_HOP_BAO_GIA'!$B$1:$B$5000, 0)), 1)</f>
        <v/>
      </c>
      <c r="I117" s="407">
        <f>G117*H117</f>
        <v/>
      </c>
      <c r="J117" s="402">
        <f>IFERROR(INDEX('06_BANG_GIA_VAT_TU_AP_DUNG'!$E$1:$E$5000, MATCH(E117, '06_BANG_GIA_VAT_TU_AP_DUNG'!$B$1:$B$5000, 0)), 0)</f>
        <v/>
      </c>
      <c r="K117" s="402">
        <f>I117*J117</f>
        <v/>
      </c>
      <c r="L117" t="inlineStr">
        <is>
          <t>4 ke góc chìm và vít ghép khung</t>
        </is>
      </c>
    </row>
    <row r="118">
      <c r="A118" t="inlineStr">
        <is>
          <t>SW-DIFF-090-PAINT</t>
        </is>
      </c>
      <c r="B118" t="inlineStr">
        <is>
          <t>SW-DIFF-090</t>
        </is>
      </c>
      <c r="C118" t="inlineStr">
        <is>
          <t>Sơn tĩnh điện tiêu chuẩn Polyester</t>
        </is>
      </c>
      <c r="D118" t="inlineStr">
        <is>
          <t>SƠN_TĨNH_ĐIỆN</t>
        </is>
      </c>
      <c r="E118" t="inlineStr">
        <is>
          <t>MAT-PAINT-POWDER</t>
        </is>
      </c>
      <c r="F118" t="inlineStr">
        <is>
          <t>m2</t>
        </is>
      </c>
      <c r="G118" s="406" t="n">
        <v>0.5599699083490269</v>
      </c>
      <c r="H118" s="402">
        <f>IFERROR(INDEX('00_TONG_HOP_BAO_GIA'!$G$1:$G$5000, MATCH(B118, '00_TONG_HOP_BAO_GIA'!$B$1:$B$5000, 0)), 1)</f>
        <v/>
      </c>
      <c r="I118" s="407">
        <f>G118*H118</f>
        <v/>
      </c>
      <c r="J118" s="402">
        <f>IFERROR(INDEX('06_BANG_GIA_VAT_TU_AP_DUNG'!$E$1:$E$5000, MATCH(E118, '06_BANG_GIA_VAT_TU_AP_DUNG'!$B$1:$B$5000, 0)), 0)</f>
        <v/>
      </c>
      <c r="K118" s="402">
        <f>I118*J118</f>
        <v/>
      </c>
      <c r="L118" t="inlineStr">
        <is>
          <t>Sơn tĩnh điện hoàn thiện</t>
        </is>
      </c>
    </row>
    <row r="119">
      <c r="A119" t="inlineStr">
        <is>
          <t>SW-DIFF-090-OBD-FRAME</t>
        </is>
      </c>
      <c r="B119" t="inlineStr">
        <is>
          <t>SW-DIFF-090</t>
        </is>
      </c>
      <c r="C119" t="inlineStr">
        <is>
          <t>Khung nhôm van OBD gắn cửa (SOBD)</t>
        </is>
      </c>
      <c r="D119" t="inlineStr">
        <is>
          <t>NHÔM_ĐỊNH_HÌNH</t>
        </is>
      </c>
      <c r="E119" t="inlineStr">
        <is>
          <t>MAT-ALU-KHUNG-OBD</t>
        </is>
      </c>
      <c r="F119" t="inlineStr">
        <is>
          <t>kg</t>
        </is>
      </c>
      <c r="G119" s="406" t="n">
        <v>0.402339610797238</v>
      </c>
      <c r="H119" s="402">
        <f>IFERROR(INDEX('00_TONG_HOP_BAO_GIA'!$G$1:$G$5000, MATCH(B119, '00_TONG_HOP_BAO_GIA'!$B$1:$B$5000, 0)), 1)</f>
        <v/>
      </c>
      <c r="I119" s="407">
        <f>G119*H119</f>
        <v/>
      </c>
      <c r="J119" s="402">
        <f>IFERROR(INDEX('06_BANG_GIA_VAT_TU_AP_DUNG'!$E$1:$E$5000, MATCH(E119, '06_BANG_GIA_VAT_TU_AP_DUNG'!$B$1:$B$5000, 0)), 0)</f>
        <v/>
      </c>
      <c r="K119" s="402">
        <f>I119*J119</f>
        <v/>
      </c>
      <c r="L119" t="inlineStr">
        <is>
          <t>Khung OBD 885x335mm</t>
        </is>
      </c>
    </row>
    <row r="120">
      <c r="A120" t="inlineStr">
        <is>
          <t>SW-DIFF-090-OBD-BLADE</t>
        </is>
      </c>
      <c r="B120" t="inlineStr">
        <is>
          <t>SW-DIFF-090</t>
        </is>
      </c>
      <c r="C120" t="inlineStr">
        <is>
          <t>Nan nhôm &amp; thanh truyền van OBD (SOBD)</t>
        </is>
      </c>
      <c r="D120" t="inlineStr">
        <is>
          <t>NHÔM_ĐỊNH_HÌNH</t>
        </is>
      </c>
      <c r="E120" t="inlineStr">
        <is>
          <t>MAT-ALU-NAN-OBD</t>
        </is>
      </c>
      <c r="F120" t="inlineStr">
        <is>
          <t>kg</t>
        </is>
      </c>
      <c r="G120" s="406" t="n">
        <v>0.80848585608914</v>
      </c>
      <c r="H120" s="402">
        <f>IFERROR(INDEX('00_TONG_HOP_BAO_GIA'!$G$1:$G$5000, MATCH(B120, '00_TONG_HOP_BAO_GIA'!$B$1:$B$5000, 0)), 1)</f>
        <v/>
      </c>
      <c r="I120" s="407">
        <f>G120*H120</f>
        <v/>
      </c>
      <c r="J120" s="402">
        <f>IFERROR(INDEX('06_BANG_GIA_VAT_TU_AP_DUNG'!$E$1:$E$5000, MATCH(E120, '06_BANG_GIA_VAT_TU_AP_DUNG'!$B$1:$B$5000, 0)), 0)</f>
        <v/>
      </c>
      <c r="K120" s="402">
        <f>I120*J120</f>
        <v/>
      </c>
      <c r="L120" t="inlineStr">
        <is>
          <t>Nan OBD đối xứng &amp; thanh liên kết</t>
        </is>
      </c>
    </row>
    <row r="121">
      <c r="A121" t="inlineStr">
        <is>
          <t>SW-DIFF-090-OBD-ACC</t>
        </is>
      </c>
      <c r="B121" t="inlineStr">
        <is>
          <t>SW-DIFF-090</t>
        </is>
      </c>
      <c r="C121" t="inlineStr">
        <is>
          <t>Bánh răng nhựa &amp; phụ kiện van OBD</t>
        </is>
      </c>
      <c r="D121" t="inlineStr">
        <is>
          <t>PHỤ_KIỆN_CỬA</t>
        </is>
      </c>
      <c r="E121" t="inlineStr">
        <is>
          <t>MAT-DOOR-ACCESSORY</t>
        </is>
      </c>
      <c r="F121" t="inlineStr">
        <is>
          <t>Bộ</t>
        </is>
      </c>
      <c r="G121" s="406" t="n">
        <v>0.9044779242519357</v>
      </c>
      <c r="H121" s="402">
        <f>IFERROR(INDEX('00_TONG_HOP_BAO_GIA'!$G$1:$G$5000, MATCH(B121, '00_TONG_HOP_BAO_GIA'!$B$1:$B$5000, 0)), 1)</f>
        <v/>
      </c>
      <c r="I121" s="407">
        <f>G121*H121</f>
        <v/>
      </c>
      <c r="J121" s="402">
        <f>IFERROR(INDEX('06_BANG_GIA_VAT_TU_AP_DUNG'!$E$1:$E$5000, MATCH(E121, '06_BANG_GIA_VAT_TU_AP_DUNG'!$B$1:$B$5000, 0)), 0)</f>
        <v/>
      </c>
      <c r="K121" s="402">
        <f>I121*J121</f>
        <v/>
      </c>
      <c r="L121" t="inlineStr">
        <is>
          <t>Cơ cấu bánh răng đóng mở OBD</t>
        </is>
      </c>
    </row>
    <row r="122">
      <c r="A122" t="inlineStr">
        <is>
          <t>SW-DIFF-090-OBD-PAINT</t>
        </is>
      </c>
      <c r="B122" t="inlineStr">
        <is>
          <t>SW-DIFF-090</t>
        </is>
      </c>
      <c r="C122" t="inlineStr">
        <is>
          <t>Sơn tĩnh điện van OBD</t>
        </is>
      </c>
      <c r="D122" t="inlineStr">
        <is>
          <t>SƠN_TĨNH_ĐIỆN</t>
        </is>
      </c>
      <c r="E122" t="inlineStr">
        <is>
          <t>MAT-PAINT-POWDER</t>
        </is>
      </c>
      <c r="F122" t="inlineStr">
        <is>
          <t>m2</t>
        </is>
      </c>
      <c r="G122" s="406" t="n">
        <v>0.3729342438010044</v>
      </c>
      <c r="H122" s="402">
        <f>IFERROR(INDEX('00_TONG_HOP_BAO_GIA'!$G$1:$G$5000, MATCH(B122, '00_TONG_HOP_BAO_GIA'!$B$1:$B$5000, 0)), 1)</f>
        <v/>
      </c>
      <c r="I122" s="407">
        <f>G122*H122</f>
        <v/>
      </c>
      <c r="J122" s="402">
        <f>IFERROR(INDEX('06_BANG_GIA_VAT_TU_AP_DUNG'!$E$1:$E$5000, MATCH(E122, '06_BANG_GIA_VAT_TU_AP_DUNG'!$B$1:$B$5000, 0)), 0)</f>
        <v/>
      </c>
      <c r="K122" s="402">
        <f>I122*J122</f>
        <v/>
      </c>
      <c r="L122" t="inlineStr">
        <is>
          <t>Sơn tĩnh điện đen/trắng cho OBD</t>
        </is>
      </c>
    </row>
    <row r="123">
      <c r="A123" t="inlineStr">
        <is>
          <t>SW-DIFF-091-FRAME</t>
        </is>
      </c>
      <c r="B123" t="inlineStr">
        <is>
          <t>SW-DIFF-091</t>
        </is>
      </c>
      <c r="C123" t="inlineStr">
        <is>
          <t>Khung nhôm định hình (1 lớp BD)</t>
        </is>
      </c>
      <c r="D123" t="inlineStr">
        <is>
          <t>NHÔM_ĐỊNH_HÌNH</t>
        </is>
      </c>
      <c r="E123" t="inlineStr">
        <is>
          <t>MAT-ALU-KHUNG-BD</t>
        </is>
      </c>
      <c r="F123" t="inlineStr">
        <is>
          <t>kg</t>
        </is>
      </c>
      <c r="G123" s="406" t="n">
        <v>0.5536239799121155</v>
      </c>
      <c r="H123" s="402">
        <f>IFERROR(INDEX('00_TONG_HOP_BAO_GIA'!$G$1:$G$5000, MATCH(B123, '00_TONG_HOP_BAO_GIA'!$B$1:$B$5000, 0)), 1)</f>
        <v/>
      </c>
      <c r="I123" s="407">
        <f>G123*H123</f>
        <v/>
      </c>
      <c r="J123" s="402">
        <f>IFERROR(INDEX('06_BANG_GIA_VAT_TU_AP_DUNG'!$E$1:$E$5000, MATCH(E123, '06_BANG_GIA_VAT_TU_AP_DUNG'!$B$1:$B$5000, 0)), 0)</f>
        <v/>
      </c>
      <c r="K123" s="402">
        <f>I123*J123</f>
        <v/>
      </c>
      <c r="L123" t="inlineStr">
        <is>
          <t>Khung bao 460x710mm (cổ 350x600mm)</t>
        </is>
      </c>
    </row>
    <row r="124">
      <c r="A124" t="inlineStr">
        <is>
          <t>SW-DIFF-091-BLADE</t>
        </is>
      </c>
      <c r="B124" t="inlineStr">
        <is>
          <t>SW-DIFF-091</t>
        </is>
      </c>
      <c r="C124" t="inlineStr">
        <is>
          <t>Nan nhôm bầu dục (32 nan)</t>
        </is>
      </c>
      <c r="D124" t="inlineStr">
        <is>
          <t>NHÔM_ĐỊNH_HÌNH</t>
        </is>
      </c>
      <c r="E124" t="inlineStr">
        <is>
          <t>MAT-ALU-NAN-BD</t>
        </is>
      </c>
      <c r="F124" t="inlineStr">
        <is>
          <t>kg</t>
        </is>
      </c>
      <c r="G124" s="406" t="n">
        <v>0.7941594475831766</v>
      </c>
      <c r="H124" s="402">
        <f>IFERROR(INDEX('00_TONG_HOP_BAO_GIA'!$G$1:$G$5000, MATCH(B124, '00_TONG_HOP_BAO_GIA'!$B$1:$B$5000, 0)), 1)</f>
        <v/>
      </c>
      <c r="I124" s="407">
        <f>G124*H124</f>
        <v/>
      </c>
      <c r="J124" s="402">
        <f>IFERROR(INDEX('06_BANG_GIA_VAT_TU_AP_DUNG'!$E$1:$E$5000, MATCH(E124, '06_BANG_GIA_VAT_TU_AP_DUNG'!$B$1:$B$5000, 0)), 0)</f>
        <v/>
      </c>
      <c r="K124" s="402">
        <f>I124*J124</f>
        <v/>
      </c>
      <c r="L124" t="inlineStr">
        <is>
          <t>Nan bầu dục @ 0.058kg/m</t>
        </is>
      </c>
    </row>
    <row r="125">
      <c r="A125" t="inlineStr">
        <is>
          <t>SW-DIFF-091-ACCESSORY</t>
        </is>
      </c>
      <c r="B125" t="inlineStr">
        <is>
          <t>SW-DIFF-091</t>
        </is>
      </c>
      <c r="C125" t="inlineStr">
        <is>
          <t>Phụ kiện lắp ghép / Ke góc cửa gió</t>
        </is>
      </c>
      <c r="D125" t="inlineStr">
        <is>
          <t>PHỤ_KIỆN_CỬA</t>
        </is>
      </c>
      <c r="E125" t="inlineStr">
        <is>
          <t>MAT-DOOR-ACCESSORY</t>
        </is>
      </c>
      <c r="F125" t="inlineStr">
        <is>
          <t>Bộ</t>
        </is>
      </c>
      <c r="G125" s="406" t="n">
        <v>0.8349026993094791</v>
      </c>
      <c r="H125" s="402">
        <f>IFERROR(INDEX('00_TONG_HOP_BAO_GIA'!$G$1:$G$5000, MATCH(B125, '00_TONG_HOP_BAO_GIA'!$B$1:$B$5000, 0)), 1)</f>
        <v/>
      </c>
      <c r="I125" s="407">
        <f>G125*H125</f>
        <v/>
      </c>
      <c r="J125" s="402">
        <f>IFERROR(INDEX('06_BANG_GIA_VAT_TU_AP_DUNG'!$E$1:$E$5000, MATCH(E125, '06_BANG_GIA_VAT_TU_AP_DUNG'!$B$1:$B$5000, 0)), 0)</f>
        <v/>
      </c>
      <c r="K125" s="402">
        <f>I125*J125</f>
        <v/>
      </c>
      <c r="L125" t="inlineStr">
        <is>
          <t>4 ke góc chìm và vít ghép khung</t>
        </is>
      </c>
    </row>
    <row r="126">
      <c r="A126" t="inlineStr">
        <is>
          <t>SW-DIFF-091-PAINT</t>
        </is>
      </c>
      <c r="B126" t="inlineStr">
        <is>
          <t>SW-DIFF-091</t>
        </is>
      </c>
      <c r="C126" t="inlineStr">
        <is>
          <t>Sơn tĩnh điện tiêu chuẩn Polyester</t>
        </is>
      </c>
      <c r="D126" t="inlineStr">
        <is>
          <t>SƠN_TĨNH_ĐIỆN</t>
        </is>
      </c>
      <c r="E126" t="inlineStr">
        <is>
          <t>MAT-PAINT-POWDER</t>
        </is>
      </c>
      <c r="F126" t="inlineStr">
        <is>
          <t>m2</t>
        </is>
      </c>
      <c r="G126" s="406" t="n">
        <v>0.41511729566855</v>
      </c>
      <c r="H126" s="402">
        <f>IFERROR(INDEX('00_TONG_HOP_BAO_GIA'!$G$1:$G$5000, MATCH(B126, '00_TONG_HOP_BAO_GIA'!$B$1:$B$5000, 0)), 1)</f>
        <v/>
      </c>
      <c r="I126" s="407">
        <f>G126*H126</f>
        <v/>
      </c>
      <c r="J126" s="402">
        <f>IFERROR(INDEX('06_BANG_GIA_VAT_TU_AP_DUNG'!$E$1:$E$5000, MATCH(E126, '06_BANG_GIA_VAT_TU_AP_DUNG'!$B$1:$B$5000, 0)), 0)</f>
        <v/>
      </c>
      <c r="K126" s="402">
        <f>I126*J126</f>
        <v/>
      </c>
      <c r="L126" t="inlineStr">
        <is>
          <t>Sơn tĩnh điện hoàn thiện</t>
        </is>
      </c>
    </row>
    <row r="127">
      <c r="A127" t="inlineStr">
        <is>
          <t>SW-DIFF-091-OBD-FRAME</t>
        </is>
      </c>
      <c r="B127" t="inlineStr">
        <is>
          <t>SW-DIFF-091</t>
        </is>
      </c>
      <c r="C127" t="inlineStr">
        <is>
          <t>Khung nhôm van OBD gắn cửa (SOBD)</t>
        </is>
      </c>
      <c r="D127" t="inlineStr">
        <is>
          <t>NHÔM_ĐỊNH_HÌNH</t>
        </is>
      </c>
      <c r="E127" t="inlineStr">
        <is>
          <t>MAT-ALU-KHUNG-OBD</t>
        </is>
      </c>
      <c r="F127" t="inlineStr">
        <is>
          <t>kg</t>
        </is>
      </c>
      <c r="G127" s="406" t="n">
        <v>0.3034036409290647</v>
      </c>
      <c r="H127" s="402">
        <f>IFERROR(INDEX('00_TONG_HOP_BAO_GIA'!$G$1:$G$5000, MATCH(B127, '00_TONG_HOP_BAO_GIA'!$B$1:$B$5000, 0)), 1)</f>
        <v/>
      </c>
      <c r="I127" s="407">
        <f>G127*H127</f>
        <v/>
      </c>
      <c r="J127" s="402">
        <f>IFERROR(INDEX('06_BANG_GIA_VAT_TU_AP_DUNG'!$E$1:$E$5000, MATCH(E127, '06_BANG_GIA_VAT_TU_AP_DUNG'!$B$1:$B$5000, 0)), 0)</f>
        <v/>
      </c>
      <c r="K127" s="402">
        <f>I127*J127</f>
        <v/>
      </c>
      <c r="L127" t="inlineStr">
        <is>
          <t>Khung OBD 335x585mm</t>
        </is>
      </c>
    </row>
    <row r="128">
      <c r="A128" t="inlineStr">
        <is>
          <t>SW-DIFF-091-OBD-BLADE</t>
        </is>
      </c>
      <c r="B128" t="inlineStr">
        <is>
          <t>SW-DIFF-091</t>
        </is>
      </c>
      <c r="C128" t="inlineStr">
        <is>
          <t>Nan nhôm &amp; thanh truyền van OBD (SOBD)</t>
        </is>
      </c>
      <c r="D128" t="inlineStr">
        <is>
          <t>NHÔM_ĐỊNH_HÌNH</t>
        </is>
      </c>
      <c r="E128" t="inlineStr">
        <is>
          <t>MAT-ALU-NAN-OBD</t>
        </is>
      </c>
      <c r="F128" t="inlineStr">
        <is>
          <t>kg</t>
        </is>
      </c>
      <c r="G128" s="406" t="n">
        <v>0.572364936440678</v>
      </c>
      <c r="H128" s="402">
        <f>IFERROR(INDEX('00_TONG_HOP_BAO_GIA'!$G$1:$G$5000, MATCH(B128, '00_TONG_HOP_BAO_GIA'!$B$1:$B$5000, 0)), 1)</f>
        <v/>
      </c>
      <c r="I128" s="407">
        <f>G128*H128</f>
        <v/>
      </c>
      <c r="J128" s="402">
        <f>IFERROR(INDEX('06_BANG_GIA_VAT_TU_AP_DUNG'!$E$1:$E$5000, MATCH(E128, '06_BANG_GIA_VAT_TU_AP_DUNG'!$B$1:$B$5000, 0)), 0)</f>
        <v/>
      </c>
      <c r="K128" s="402">
        <f>I128*J128</f>
        <v/>
      </c>
      <c r="L128" t="inlineStr">
        <is>
          <t>Nan OBD đối xứng &amp; thanh liên kết</t>
        </is>
      </c>
    </row>
    <row r="129">
      <c r="A129" t="inlineStr">
        <is>
          <t>SW-DIFF-091-OBD-ACC</t>
        </is>
      </c>
      <c r="B129" t="inlineStr">
        <is>
          <t>SW-DIFF-091</t>
        </is>
      </c>
      <c r="C129" t="inlineStr">
        <is>
          <t>Bánh răng nhựa &amp; phụ kiện van OBD</t>
        </is>
      </c>
      <c r="D129" t="inlineStr">
        <is>
          <t>PHỤ_KIỆN_CỬA</t>
        </is>
      </c>
      <c r="E129" t="inlineStr">
        <is>
          <t>MAT-DOOR-ACCESSORY</t>
        </is>
      </c>
      <c r="F129" t="inlineStr">
        <is>
          <t>Bộ</t>
        </is>
      </c>
      <c r="G129" s="406" t="n">
        <v>0.9044779242519357</v>
      </c>
      <c r="H129" s="402">
        <f>IFERROR(INDEX('00_TONG_HOP_BAO_GIA'!$G$1:$G$5000, MATCH(B129, '00_TONG_HOP_BAO_GIA'!$B$1:$B$5000, 0)), 1)</f>
        <v/>
      </c>
      <c r="I129" s="407">
        <f>G129*H129</f>
        <v/>
      </c>
      <c r="J129" s="402">
        <f>IFERROR(INDEX('06_BANG_GIA_VAT_TU_AP_DUNG'!$E$1:$E$5000, MATCH(E129, '06_BANG_GIA_VAT_TU_AP_DUNG'!$B$1:$B$5000, 0)), 0)</f>
        <v/>
      </c>
      <c r="K129" s="402">
        <f>I129*J129</f>
        <v/>
      </c>
      <c r="L129" t="inlineStr">
        <is>
          <t>Cơ cấu bánh răng đóng mở OBD</t>
        </is>
      </c>
    </row>
    <row r="130">
      <c r="A130" t="inlineStr">
        <is>
          <t>SW-DIFF-091-OBD-PAINT</t>
        </is>
      </c>
      <c r="B130" t="inlineStr">
        <is>
          <t>SW-DIFF-091</t>
        </is>
      </c>
      <c r="C130" t="inlineStr">
        <is>
          <t>Sơn tĩnh điện van OBD</t>
        </is>
      </c>
      <c r="D130" t="inlineStr">
        <is>
          <t>SƠN_TĨNH_ĐIỆN</t>
        </is>
      </c>
      <c r="E130" t="inlineStr">
        <is>
          <t>MAT-PAINT-POWDER</t>
        </is>
      </c>
      <c r="F130" t="inlineStr">
        <is>
          <t>m2</t>
        </is>
      </c>
      <c r="G130" s="406" t="n">
        <v>0.2697367218298807</v>
      </c>
      <c r="H130" s="402">
        <f>IFERROR(INDEX('00_TONG_HOP_BAO_GIA'!$G$1:$G$5000, MATCH(B130, '00_TONG_HOP_BAO_GIA'!$B$1:$B$5000, 0)), 1)</f>
        <v/>
      </c>
      <c r="I130" s="407">
        <f>G130*H130</f>
        <v/>
      </c>
      <c r="J130" s="402">
        <f>IFERROR(INDEX('06_BANG_GIA_VAT_TU_AP_DUNG'!$E$1:$E$5000, MATCH(E130, '06_BANG_GIA_VAT_TU_AP_DUNG'!$B$1:$B$5000, 0)), 0)</f>
        <v/>
      </c>
      <c r="K130" s="402">
        <f>I130*J130</f>
        <v/>
      </c>
      <c r="L130" t="inlineStr">
        <is>
          <t>Sơn tĩnh điện đen/trắng cho OBD</t>
        </is>
      </c>
    </row>
    <row r="131">
      <c r="A131" t="inlineStr">
        <is>
          <t>SW-DIFF-092-FRAME</t>
        </is>
      </c>
      <c r="B131" t="inlineStr">
        <is>
          <t>SW-DIFF-092</t>
        </is>
      </c>
      <c r="C131" t="inlineStr">
        <is>
          <t>Khung nhôm định hình (1 lớp BD)</t>
        </is>
      </c>
      <c r="D131" t="inlineStr">
        <is>
          <t>NHÔM_ĐỊNH_HÌNH</t>
        </is>
      </c>
      <c r="E131" t="inlineStr">
        <is>
          <t>MAT-ALU-KHUNG-BD</t>
        </is>
      </c>
      <c r="F131" t="inlineStr">
        <is>
          <t>kg</t>
        </is>
      </c>
      <c r="G131" s="406" t="n">
        <v>0.6396189579409919</v>
      </c>
      <c r="H131" s="402">
        <f>IFERROR(INDEX('00_TONG_HOP_BAO_GIA'!$G$1:$G$5000, MATCH(B131, '00_TONG_HOP_BAO_GIA'!$B$1:$B$5000, 0)), 1)</f>
        <v/>
      </c>
      <c r="I131" s="407">
        <f>G131*H131</f>
        <v/>
      </c>
      <c r="J131" s="402">
        <f>IFERROR(INDEX('06_BANG_GIA_VAT_TU_AP_DUNG'!$E$1:$E$5000, MATCH(E131, '06_BANG_GIA_VAT_TU_AP_DUNG'!$B$1:$B$5000, 0)), 0)</f>
        <v/>
      </c>
      <c r="K131" s="402">
        <f>I131*J131</f>
        <v/>
      </c>
      <c r="L131" t="inlineStr">
        <is>
          <t>Khung bao 910x510mm (cổ 800x400mm)</t>
        </is>
      </c>
    </row>
    <row r="132">
      <c r="A132" t="inlineStr">
        <is>
          <t>SW-DIFF-092-BLADE</t>
        </is>
      </c>
      <c r="B132" t="inlineStr">
        <is>
          <t>SW-DIFF-092</t>
        </is>
      </c>
      <c r="C132" t="inlineStr">
        <is>
          <t>Nan nhôm bầu dục (22 nan)</t>
        </is>
      </c>
      <c r="D132" t="inlineStr">
        <is>
          <t>NHÔM_ĐỊNH_HÌNH</t>
        </is>
      </c>
      <c r="E132" t="inlineStr">
        <is>
          <t>MAT-ALU-NAN-BD</t>
        </is>
      </c>
      <c r="F132" t="inlineStr">
        <is>
          <t>kg</t>
        </is>
      </c>
      <c r="G132" s="406" t="n">
        <v>1.145236032642812</v>
      </c>
      <c r="H132" s="402">
        <f>IFERROR(INDEX('00_TONG_HOP_BAO_GIA'!$G$1:$G$5000, MATCH(B132, '00_TONG_HOP_BAO_GIA'!$B$1:$B$5000, 0)), 1)</f>
        <v/>
      </c>
      <c r="I132" s="407">
        <f>G132*H132</f>
        <v/>
      </c>
      <c r="J132" s="402">
        <f>IFERROR(INDEX('06_BANG_GIA_VAT_TU_AP_DUNG'!$E$1:$E$5000, MATCH(E132, '06_BANG_GIA_VAT_TU_AP_DUNG'!$B$1:$B$5000, 0)), 0)</f>
        <v/>
      </c>
      <c r="K132" s="402">
        <f>I132*J132</f>
        <v/>
      </c>
      <c r="L132" t="inlineStr">
        <is>
          <t>Nan bầu dục @ 0.058kg/m</t>
        </is>
      </c>
    </row>
    <row r="133">
      <c r="A133" t="inlineStr">
        <is>
          <t>SW-DIFF-092-ACCESSORY</t>
        </is>
      </c>
      <c r="B133" t="inlineStr">
        <is>
          <t>SW-DIFF-092</t>
        </is>
      </c>
      <c r="C133" t="inlineStr">
        <is>
          <t>Phụ kiện lắp ghép / Ke góc cửa gió</t>
        </is>
      </c>
      <c r="D133" t="inlineStr">
        <is>
          <t>PHỤ_KIỆN_CỬA</t>
        </is>
      </c>
      <c r="E133" t="inlineStr">
        <is>
          <t>MAT-DOOR-ACCESSORY</t>
        </is>
      </c>
      <c r="F133" t="inlineStr">
        <is>
          <t>Bộ</t>
        </is>
      </c>
      <c r="G133" s="406" t="n">
        <v>0.8349026993094791</v>
      </c>
      <c r="H133" s="402">
        <f>IFERROR(INDEX('00_TONG_HOP_BAO_GIA'!$G$1:$G$5000, MATCH(B133, '00_TONG_HOP_BAO_GIA'!$B$1:$B$5000, 0)), 1)</f>
        <v/>
      </c>
      <c r="I133" s="407">
        <f>G133*H133</f>
        <v/>
      </c>
      <c r="J133" s="402">
        <f>IFERROR(INDEX('06_BANG_GIA_VAT_TU_AP_DUNG'!$E$1:$E$5000, MATCH(E133, '06_BANG_GIA_VAT_TU_AP_DUNG'!$B$1:$B$5000, 0)), 0)</f>
        <v/>
      </c>
      <c r="K133" s="402">
        <f>I133*J133</f>
        <v/>
      </c>
      <c r="L133" t="inlineStr">
        <is>
          <t>4 ke góc chìm và vít ghép khung</t>
        </is>
      </c>
    </row>
    <row r="134">
      <c r="A134" t="inlineStr">
        <is>
          <t>SW-DIFF-092-PAINT</t>
        </is>
      </c>
      <c r="B134" t="inlineStr">
        <is>
          <t>SW-DIFF-092</t>
        </is>
      </c>
      <c r="C134" t="inlineStr">
        <is>
          <t>Sơn tĩnh điện tiêu chuẩn Polyester</t>
        </is>
      </c>
      <c r="D134" t="inlineStr">
        <is>
          <t>SƠN_TĨNH_ĐIỆN</t>
        </is>
      </c>
      <c r="E134" t="inlineStr">
        <is>
          <t>MAT-PAINT-POWDER</t>
        </is>
      </c>
      <c r="F134" t="inlineStr">
        <is>
          <t>m2</t>
        </is>
      </c>
      <c r="G134" s="406" t="n">
        <v>0.5497353370998116</v>
      </c>
      <c r="H134" s="402">
        <f>IFERROR(INDEX('00_TONG_HOP_BAO_GIA'!$G$1:$G$5000, MATCH(B134, '00_TONG_HOP_BAO_GIA'!$B$1:$B$5000, 0)), 1)</f>
        <v/>
      </c>
      <c r="I134" s="407">
        <f>G134*H134</f>
        <v/>
      </c>
      <c r="J134" s="402">
        <f>IFERROR(INDEX('06_BANG_GIA_VAT_TU_AP_DUNG'!$E$1:$E$5000, MATCH(E134, '06_BANG_GIA_VAT_TU_AP_DUNG'!$B$1:$B$5000, 0)), 0)</f>
        <v/>
      </c>
      <c r="K134" s="402">
        <f>I134*J134</f>
        <v/>
      </c>
      <c r="L134" t="inlineStr">
        <is>
          <t>Sơn tĩnh điện hoàn thiện</t>
        </is>
      </c>
    </row>
    <row r="135">
      <c r="A135" t="inlineStr">
        <is>
          <t>SW-DIFF-092-OBD-FRAME</t>
        </is>
      </c>
      <c r="B135" t="inlineStr">
        <is>
          <t>SW-DIFF-092</t>
        </is>
      </c>
      <c r="C135" t="inlineStr">
        <is>
          <t>Khung nhôm van OBD gắn cửa (SOBD)</t>
        </is>
      </c>
      <c r="D135" t="inlineStr">
        <is>
          <t>NHÔM_ĐỊNH_HÌNH</t>
        </is>
      </c>
      <c r="E135" t="inlineStr">
        <is>
          <t>MAT-ALU-KHUNG-OBD</t>
        </is>
      </c>
      <c r="F135" t="inlineStr">
        <is>
          <t>kg</t>
        </is>
      </c>
      <c r="G135" s="406" t="n">
        <v>0.3858502824858757</v>
      </c>
      <c r="H135" s="402">
        <f>IFERROR(INDEX('00_TONG_HOP_BAO_GIA'!$G$1:$G$5000, MATCH(B135, '00_TONG_HOP_BAO_GIA'!$B$1:$B$5000, 0)), 1)</f>
        <v/>
      </c>
      <c r="I135" s="407">
        <f>G135*H135</f>
        <v/>
      </c>
      <c r="J135" s="402">
        <f>IFERROR(INDEX('06_BANG_GIA_VAT_TU_AP_DUNG'!$E$1:$E$5000, MATCH(E135, '06_BANG_GIA_VAT_TU_AP_DUNG'!$B$1:$B$5000, 0)), 0)</f>
        <v/>
      </c>
      <c r="K135" s="402">
        <f>I135*J135</f>
        <v/>
      </c>
      <c r="L135" t="inlineStr">
        <is>
          <t>Khung OBD 785x385mm</t>
        </is>
      </c>
    </row>
    <row r="136">
      <c r="A136" t="inlineStr">
        <is>
          <t>SW-DIFF-092-OBD-BLADE</t>
        </is>
      </c>
      <c r="B136" t="inlineStr">
        <is>
          <t>SW-DIFF-092</t>
        </is>
      </c>
      <c r="C136" t="inlineStr">
        <is>
          <t>Nan nhôm &amp; thanh truyền van OBD (SOBD)</t>
        </is>
      </c>
      <c r="D136" t="inlineStr">
        <is>
          <t>NHÔM_ĐỊNH_HÌNH</t>
        </is>
      </c>
      <c r="E136" t="inlineStr">
        <is>
          <t>MAT-ALU-NAN-OBD</t>
        </is>
      </c>
      <c r="F136" t="inlineStr">
        <is>
          <t>kg</t>
        </is>
      </c>
      <c r="G136" s="406" t="n">
        <v>0.8287061558380415</v>
      </c>
      <c r="H136" s="402">
        <f>IFERROR(INDEX('00_TONG_HOP_BAO_GIA'!$G$1:$G$5000, MATCH(B136, '00_TONG_HOP_BAO_GIA'!$B$1:$B$5000, 0)), 1)</f>
        <v/>
      </c>
      <c r="I136" s="407">
        <f>G136*H136</f>
        <v/>
      </c>
      <c r="J136" s="402">
        <f>IFERROR(INDEX('06_BANG_GIA_VAT_TU_AP_DUNG'!$E$1:$E$5000, MATCH(E136, '06_BANG_GIA_VAT_TU_AP_DUNG'!$B$1:$B$5000, 0)), 0)</f>
        <v/>
      </c>
      <c r="K136" s="402">
        <f>I136*J136</f>
        <v/>
      </c>
      <c r="L136" t="inlineStr">
        <is>
          <t>Nan OBD đối xứng &amp; thanh liên kết</t>
        </is>
      </c>
    </row>
    <row r="137">
      <c r="A137" t="inlineStr">
        <is>
          <t>SW-DIFF-092-OBD-ACC</t>
        </is>
      </c>
      <c r="B137" t="inlineStr">
        <is>
          <t>SW-DIFF-092</t>
        </is>
      </c>
      <c r="C137" t="inlineStr">
        <is>
          <t>Bánh răng nhựa &amp; phụ kiện van OBD</t>
        </is>
      </c>
      <c r="D137" t="inlineStr">
        <is>
          <t>PHỤ_KIỆN_CỬA</t>
        </is>
      </c>
      <c r="E137" t="inlineStr">
        <is>
          <t>MAT-DOOR-ACCESSORY</t>
        </is>
      </c>
      <c r="F137" t="inlineStr">
        <is>
          <t>Bộ</t>
        </is>
      </c>
      <c r="G137" s="406" t="n">
        <v>0.9044779242519357</v>
      </c>
      <c r="H137" s="402">
        <f>IFERROR(INDEX('00_TONG_HOP_BAO_GIA'!$G$1:$G$5000, MATCH(B137, '00_TONG_HOP_BAO_GIA'!$B$1:$B$5000, 0)), 1)</f>
        <v/>
      </c>
      <c r="I137" s="407">
        <f>G137*H137</f>
        <v/>
      </c>
      <c r="J137" s="402">
        <f>IFERROR(INDEX('06_BANG_GIA_VAT_TU_AP_DUNG'!$E$1:$E$5000, MATCH(E137, '06_BANG_GIA_VAT_TU_AP_DUNG'!$B$1:$B$5000, 0)), 0)</f>
        <v/>
      </c>
      <c r="K137" s="402">
        <f>I137*J137</f>
        <v/>
      </c>
      <c r="L137" t="inlineStr">
        <is>
          <t>Cơ cấu bánh răng đóng mở OBD</t>
        </is>
      </c>
    </row>
    <row r="138">
      <c r="A138" t="inlineStr">
        <is>
          <t>SW-DIFF-092-OBD-PAINT</t>
        </is>
      </c>
      <c r="B138" t="inlineStr">
        <is>
          <t>SW-DIFF-092</t>
        </is>
      </c>
      <c r="C138" t="inlineStr">
        <is>
          <t>Sơn tĩnh điện van OBD</t>
        </is>
      </c>
      <c r="D138" t="inlineStr">
        <is>
          <t>SƠN_TĨNH_ĐIỆN</t>
        </is>
      </c>
      <c r="E138" t="inlineStr">
        <is>
          <t>MAT-PAINT-POWDER</t>
        </is>
      </c>
      <c r="F138" t="inlineStr">
        <is>
          <t>m2</t>
        </is>
      </c>
      <c r="G138" s="406" t="n">
        <v>0.3740833830037665</v>
      </c>
      <c r="H138" s="402">
        <f>IFERROR(INDEX('00_TONG_HOP_BAO_GIA'!$G$1:$G$5000, MATCH(B138, '00_TONG_HOP_BAO_GIA'!$B$1:$B$5000, 0)), 1)</f>
        <v/>
      </c>
      <c r="I138" s="407">
        <f>G138*H138</f>
        <v/>
      </c>
      <c r="J138" s="402">
        <f>IFERROR(INDEX('06_BANG_GIA_VAT_TU_AP_DUNG'!$E$1:$E$5000, MATCH(E138, '06_BANG_GIA_VAT_TU_AP_DUNG'!$B$1:$B$5000, 0)), 0)</f>
        <v/>
      </c>
      <c r="K138" s="402">
        <f>I138*J138</f>
        <v/>
      </c>
      <c r="L138" t="inlineStr">
        <is>
          <t>Sơn tĩnh điện đen/trắng cho OBD</t>
        </is>
      </c>
    </row>
    <row r="139">
      <c r="A139" t="inlineStr">
        <is>
          <t>SW-DIFF-093-FRAME</t>
        </is>
      </c>
      <c r="B139" t="inlineStr">
        <is>
          <t>SW-DIFF-093</t>
        </is>
      </c>
      <c r="C139" t="inlineStr">
        <is>
          <t>Khung nhôm định hình (1 lớp BD)</t>
        </is>
      </c>
      <c r="D139" t="inlineStr">
        <is>
          <t>NHÔM_ĐỊNH_HÌNH</t>
        </is>
      </c>
      <c r="E139" t="inlineStr">
        <is>
          <t>MAT-ALU-KHUNG-BD</t>
        </is>
      </c>
      <c r="F139" t="inlineStr">
        <is>
          <t>kg</t>
        </is>
      </c>
      <c r="G139" s="406" t="n">
        <v>0.5978738229755181</v>
      </c>
      <c r="H139" s="402">
        <f>IFERROR(INDEX('00_TONG_HOP_BAO_GIA'!$G$1:$G$5000, MATCH(B139, '00_TONG_HOP_BAO_GIA'!$B$1:$B$5000, 0)), 1)</f>
        <v/>
      </c>
      <c r="I139" s="407">
        <f>G139*H139</f>
        <v/>
      </c>
      <c r="J139" s="402">
        <f>IFERROR(INDEX('06_BANG_GIA_VAT_TU_AP_DUNG'!$E$1:$E$5000, MATCH(E139, '06_BANG_GIA_VAT_TU_AP_DUNG'!$B$1:$B$5000, 0)), 0)</f>
        <v/>
      </c>
      <c r="K139" s="402">
        <f>I139*J139</f>
        <v/>
      </c>
      <c r="L139" t="inlineStr">
        <is>
          <t>Khung bao 810x510mm (cổ 700x400mm)</t>
        </is>
      </c>
    </row>
    <row r="140">
      <c r="A140" t="inlineStr">
        <is>
          <t>SW-DIFF-093-BLADE</t>
        </is>
      </c>
      <c r="B140" t="inlineStr">
        <is>
          <t>SW-DIFF-093</t>
        </is>
      </c>
      <c r="C140" t="inlineStr">
        <is>
          <t>Nan nhôm bầu dục (22 nan)</t>
        </is>
      </c>
      <c r="D140" t="inlineStr">
        <is>
          <t>NHÔM_ĐỊNH_HÌNH</t>
        </is>
      </c>
      <c r="E140" t="inlineStr">
        <is>
          <t>MAT-ALU-NAN-BD</t>
        </is>
      </c>
      <c r="F140" t="inlineStr">
        <is>
          <t>kg</t>
        </is>
      </c>
      <c r="G140" s="406" t="n">
        <v>1.012069052102951</v>
      </c>
      <c r="H140" s="402">
        <f>IFERROR(INDEX('00_TONG_HOP_BAO_GIA'!$G$1:$G$5000, MATCH(B140, '00_TONG_HOP_BAO_GIA'!$B$1:$B$5000, 0)), 1)</f>
        <v/>
      </c>
      <c r="I140" s="407">
        <f>G140*H140</f>
        <v/>
      </c>
      <c r="J140" s="402">
        <f>IFERROR(INDEX('06_BANG_GIA_VAT_TU_AP_DUNG'!$E$1:$E$5000, MATCH(E140, '06_BANG_GIA_VAT_TU_AP_DUNG'!$B$1:$B$5000, 0)), 0)</f>
        <v/>
      </c>
      <c r="K140" s="402">
        <f>I140*J140</f>
        <v/>
      </c>
      <c r="L140" t="inlineStr">
        <is>
          <t>Nan bầu dục @ 0.058kg/m</t>
        </is>
      </c>
    </row>
    <row r="141">
      <c r="A141" t="inlineStr">
        <is>
          <t>SW-DIFF-093-ACCESSORY</t>
        </is>
      </c>
      <c r="B141" t="inlineStr">
        <is>
          <t>SW-DIFF-093</t>
        </is>
      </c>
      <c r="C141" t="inlineStr">
        <is>
          <t>Phụ kiện lắp ghép / Ke góc cửa gió</t>
        </is>
      </c>
      <c r="D141" t="inlineStr">
        <is>
          <t>PHỤ_KIỆN_CỬA</t>
        </is>
      </c>
      <c r="E141" t="inlineStr">
        <is>
          <t>MAT-DOOR-ACCESSORY</t>
        </is>
      </c>
      <c r="F141" t="inlineStr">
        <is>
          <t>Bộ</t>
        </is>
      </c>
      <c r="G141" s="406" t="n">
        <v>0.8349026993094791</v>
      </c>
      <c r="H141" s="402">
        <f>IFERROR(INDEX('00_TONG_HOP_BAO_GIA'!$G$1:$G$5000, MATCH(B141, '00_TONG_HOP_BAO_GIA'!$B$1:$B$5000, 0)), 1)</f>
        <v/>
      </c>
      <c r="I141" s="407">
        <f>G141*H141</f>
        <v/>
      </c>
      <c r="J141" s="402">
        <f>IFERROR(INDEX('06_BANG_GIA_VAT_TU_AP_DUNG'!$E$1:$E$5000, MATCH(E141, '06_BANG_GIA_VAT_TU_AP_DUNG'!$B$1:$B$5000, 0)), 0)</f>
        <v/>
      </c>
      <c r="K141" s="402">
        <f>I141*J141</f>
        <v/>
      </c>
      <c r="L141" t="inlineStr">
        <is>
          <t>4 ke góc chìm và vít ghép khung</t>
        </is>
      </c>
    </row>
    <row r="142">
      <c r="A142" t="inlineStr">
        <is>
          <t>SW-DIFF-093-PAINT</t>
        </is>
      </c>
      <c r="B142" t="inlineStr">
        <is>
          <t>SW-DIFF-093</t>
        </is>
      </c>
      <c r="C142" t="inlineStr">
        <is>
          <t>Sơn tĩnh điện tiêu chuẩn Polyester</t>
        </is>
      </c>
      <c r="D142" t="inlineStr">
        <is>
          <t>SƠN_TĨNH_ĐIỆN</t>
        </is>
      </c>
      <c r="E142" t="inlineStr">
        <is>
          <t>MAT-PAINT-POWDER</t>
        </is>
      </c>
      <c r="F142" t="inlineStr">
        <is>
          <t>m2</t>
        </is>
      </c>
      <c r="G142" s="406" t="n">
        <v>0.4958624055241683</v>
      </c>
      <c r="H142" s="402">
        <f>IFERROR(INDEX('00_TONG_HOP_BAO_GIA'!$G$1:$G$5000, MATCH(B142, '00_TONG_HOP_BAO_GIA'!$B$1:$B$5000, 0)), 1)</f>
        <v/>
      </c>
      <c r="I142" s="407">
        <f>G142*H142</f>
        <v/>
      </c>
      <c r="J142" s="402">
        <f>IFERROR(INDEX('06_BANG_GIA_VAT_TU_AP_DUNG'!$E$1:$E$5000, MATCH(E142, '06_BANG_GIA_VAT_TU_AP_DUNG'!$B$1:$B$5000, 0)), 0)</f>
        <v/>
      </c>
      <c r="K142" s="402">
        <f>I142*J142</f>
        <v/>
      </c>
      <c r="L142" t="inlineStr">
        <is>
          <t>Sơn tĩnh điện hoàn thiện</t>
        </is>
      </c>
    </row>
    <row r="143">
      <c r="A143" t="inlineStr">
        <is>
          <t>SW-DIFF-093-OBD-FRAME</t>
        </is>
      </c>
      <c r="B143" t="inlineStr">
        <is>
          <t>SW-DIFF-093</t>
        </is>
      </c>
      <c r="C143" t="inlineStr">
        <is>
          <t>Khung nhôm van OBD gắn cửa (SOBD)</t>
        </is>
      </c>
      <c r="D143" t="inlineStr">
        <is>
          <t>NHÔM_ĐỊNH_HÌNH</t>
        </is>
      </c>
      <c r="E143" t="inlineStr">
        <is>
          <t>MAT-ALU-KHUNG-OBD</t>
        </is>
      </c>
      <c r="F143" t="inlineStr">
        <is>
          <t>kg</t>
        </is>
      </c>
      <c r="G143" s="406" t="n">
        <v>0.3528716258631513</v>
      </c>
      <c r="H143" s="402">
        <f>IFERROR(INDEX('00_TONG_HOP_BAO_GIA'!$G$1:$G$5000, MATCH(B143, '00_TONG_HOP_BAO_GIA'!$B$1:$B$5000, 0)), 1)</f>
        <v/>
      </c>
      <c r="I143" s="407">
        <f>G143*H143</f>
        <v/>
      </c>
      <c r="J143" s="402">
        <f>IFERROR(INDEX('06_BANG_GIA_VAT_TU_AP_DUNG'!$E$1:$E$5000, MATCH(E143, '06_BANG_GIA_VAT_TU_AP_DUNG'!$B$1:$B$5000, 0)), 0)</f>
        <v/>
      </c>
      <c r="K143" s="402">
        <f>I143*J143</f>
        <v/>
      </c>
      <c r="L143" t="inlineStr">
        <is>
          <t>Khung OBD 685x385mm</t>
        </is>
      </c>
    </row>
    <row r="144">
      <c r="A144" t="inlineStr">
        <is>
          <t>SW-DIFF-093-OBD-BLADE</t>
        </is>
      </c>
      <c r="B144" t="inlineStr">
        <is>
          <t>SW-DIFF-093</t>
        </is>
      </c>
      <c r="C144" t="inlineStr">
        <is>
          <t>Nan nhôm &amp; thanh truyền van OBD (SOBD)</t>
        </is>
      </c>
      <c r="D144" t="inlineStr">
        <is>
          <t>NHÔM_ĐỊNH_HÌNH</t>
        </is>
      </c>
      <c r="E144" t="inlineStr">
        <is>
          <t>MAT-ALU-NAN-OBD</t>
        </is>
      </c>
      <c r="F144" t="inlineStr">
        <is>
          <t>kg</t>
        </is>
      </c>
      <c r="G144" s="406" t="n">
        <v>0.7282569248273698</v>
      </c>
      <c r="H144" s="402">
        <f>IFERROR(INDEX('00_TONG_HOP_BAO_GIA'!$G$1:$G$5000, MATCH(B144, '00_TONG_HOP_BAO_GIA'!$B$1:$B$5000, 0)), 1)</f>
        <v/>
      </c>
      <c r="I144" s="407">
        <f>G144*H144</f>
        <v/>
      </c>
      <c r="J144" s="402">
        <f>IFERROR(INDEX('06_BANG_GIA_VAT_TU_AP_DUNG'!$E$1:$E$5000, MATCH(E144, '06_BANG_GIA_VAT_TU_AP_DUNG'!$B$1:$B$5000, 0)), 0)</f>
        <v/>
      </c>
      <c r="K144" s="402">
        <f>I144*J144</f>
        <v/>
      </c>
      <c r="L144" t="inlineStr">
        <is>
          <t>Nan OBD đối xứng &amp; thanh liên kết</t>
        </is>
      </c>
    </row>
    <row r="145">
      <c r="A145" t="inlineStr">
        <is>
          <t>SW-DIFF-093-OBD-ACC</t>
        </is>
      </c>
      <c r="B145" t="inlineStr">
        <is>
          <t>SW-DIFF-093</t>
        </is>
      </c>
      <c r="C145" t="inlineStr">
        <is>
          <t>Bánh răng nhựa &amp; phụ kiện van OBD</t>
        </is>
      </c>
      <c r="D145" t="inlineStr">
        <is>
          <t>PHỤ_KIỆN_CỬA</t>
        </is>
      </c>
      <c r="E145" t="inlineStr">
        <is>
          <t>MAT-DOOR-ACCESSORY</t>
        </is>
      </c>
      <c r="F145" t="inlineStr">
        <is>
          <t>Bộ</t>
        </is>
      </c>
      <c r="G145" s="406" t="n">
        <v>0.9044779242519357</v>
      </c>
      <c r="H145" s="402">
        <f>IFERROR(INDEX('00_TONG_HOP_BAO_GIA'!$G$1:$G$5000, MATCH(B145, '00_TONG_HOP_BAO_GIA'!$B$1:$B$5000, 0)), 1)</f>
        <v/>
      </c>
      <c r="I145" s="407">
        <f>G145*H145</f>
        <v/>
      </c>
      <c r="J145" s="402">
        <f>IFERROR(INDEX('06_BANG_GIA_VAT_TU_AP_DUNG'!$E$1:$E$5000, MATCH(E145, '06_BANG_GIA_VAT_TU_AP_DUNG'!$B$1:$B$5000, 0)), 0)</f>
        <v/>
      </c>
      <c r="K145" s="402">
        <f>I145*J145</f>
        <v/>
      </c>
      <c r="L145" t="inlineStr">
        <is>
          <t>Cơ cấu bánh răng đóng mở OBD</t>
        </is>
      </c>
    </row>
    <row r="146">
      <c r="A146" t="inlineStr">
        <is>
          <t>SW-DIFF-093-OBD-PAINT</t>
        </is>
      </c>
      <c r="B146" t="inlineStr">
        <is>
          <t>SW-DIFF-093</t>
        </is>
      </c>
      <c r="C146" t="inlineStr">
        <is>
          <t>Sơn tĩnh điện van OBD</t>
        </is>
      </c>
      <c r="D146" t="inlineStr">
        <is>
          <t>SƠN_TĨNH_ĐIỆN</t>
        </is>
      </c>
      <c r="E146" t="inlineStr">
        <is>
          <t>MAT-PAINT-POWDER</t>
        </is>
      </c>
      <c r="F146" t="inlineStr">
        <is>
          <t>m2</t>
        </is>
      </c>
      <c r="G146" s="406" t="n">
        <v>0.3329875936126805</v>
      </c>
      <c r="H146" s="402">
        <f>IFERROR(INDEX('00_TONG_HOP_BAO_GIA'!$G$1:$G$5000, MATCH(B146, '00_TONG_HOP_BAO_GIA'!$B$1:$B$5000, 0)), 1)</f>
        <v/>
      </c>
      <c r="I146" s="407">
        <f>G146*H146</f>
        <v/>
      </c>
      <c r="J146" s="402">
        <f>IFERROR(INDEX('06_BANG_GIA_VAT_TU_AP_DUNG'!$E$1:$E$5000, MATCH(E146, '06_BANG_GIA_VAT_TU_AP_DUNG'!$B$1:$B$5000, 0)), 0)</f>
        <v/>
      </c>
      <c r="K146" s="402">
        <f>I146*J146</f>
        <v/>
      </c>
      <c r="L146" t="inlineStr">
        <is>
          <t>Sơn tĩnh điện đen/trắng cho OBD</t>
        </is>
      </c>
    </row>
    <row r="147">
      <c r="A147" t="inlineStr">
        <is>
          <t>SW-DIFF-094-FRAME</t>
        </is>
      </c>
      <c r="B147" t="inlineStr">
        <is>
          <t>SW-DIFF-094</t>
        </is>
      </c>
      <c r="C147" t="inlineStr">
        <is>
          <t>Khung nhôm định hình Louver (SWL)</t>
        </is>
      </c>
      <c r="D147" t="inlineStr">
        <is>
          <t>NHÔM_ĐỊNH_HÌNH</t>
        </is>
      </c>
      <c r="E147" t="inlineStr">
        <is>
          <t>MAT-ALU-KHUNG-Z-2-LOP</t>
        </is>
      </c>
      <c r="F147" t="inlineStr">
        <is>
          <t>kg</t>
        </is>
      </c>
      <c r="G147" s="406" t="n">
        <v>1.178747018204646</v>
      </c>
      <c r="H147" s="402">
        <f>IFERROR(INDEX('00_TONG_HOP_BAO_GIA'!$G$1:$G$5000, MATCH(B147, '00_TONG_HOP_BAO_GIA'!$B$1:$B$5000, 0)), 1)</f>
        <v/>
      </c>
      <c r="I147" s="407">
        <f>G147*H147</f>
        <v/>
      </c>
      <c r="J147" s="402">
        <f>IFERROR(INDEX('06_BANG_GIA_VAT_TU_AP_DUNG'!$E$1:$E$5000, MATCH(E147, '06_BANG_GIA_VAT_TU_AP_DUNG'!$B$1:$B$5000, 0)), 0)</f>
        <v/>
      </c>
      <c r="K147" s="402">
        <f>I147*J147</f>
        <v/>
      </c>
      <c r="L147" t="inlineStr">
        <is>
          <t>Khung Louver phủ bì 1800x550mm</t>
        </is>
      </c>
    </row>
    <row r="148">
      <c r="A148" t="inlineStr">
        <is>
          <t>SW-DIFF-094-BLADE</t>
        </is>
      </c>
      <c r="B148" t="inlineStr">
        <is>
          <t>SW-DIFF-094</t>
        </is>
      </c>
      <c r="C148" t="inlineStr">
        <is>
          <t>Nan Z Louver &amp; thanh tăng cứng (11 nan)</t>
        </is>
      </c>
      <c r="D148" t="inlineStr">
        <is>
          <t>NHÔM_ĐỊNH_HÌNH</t>
        </is>
      </c>
      <c r="E148" t="inlineStr">
        <is>
          <t>MAT-ALU-NAN-Z-DAY</t>
        </is>
      </c>
      <c r="F148" t="inlineStr">
        <is>
          <t>kg</t>
        </is>
      </c>
      <c r="G148" s="406" t="n">
        <v>4.686019334588827</v>
      </c>
      <c r="H148" s="402">
        <f>IFERROR(INDEX('00_TONG_HOP_BAO_GIA'!$G$1:$G$5000, MATCH(B148, '00_TONG_HOP_BAO_GIA'!$B$1:$B$5000, 0)), 1)</f>
        <v/>
      </c>
      <c r="I148" s="407">
        <f>G148*H148</f>
        <v/>
      </c>
      <c r="J148" s="402">
        <f>IFERROR(INDEX('06_BANG_GIA_VAT_TU_AP_DUNG'!$E$1:$E$5000, MATCH(E148, '06_BANG_GIA_VAT_TU_AP_DUNG'!$B$1:$B$5000, 0)), 0)</f>
        <v/>
      </c>
      <c r="K148" s="402">
        <f>I148*J148</f>
        <v/>
      </c>
      <c r="L148" t="inlineStr">
        <is>
          <t>11 nan Z dày @ 0.217kg/m + thanh giằng</t>
        </is>
      </c>
    </row>
    <row r="149">
      <c r="A149" t="inlineStr">
        <is>
          <t>SW-DIFF-094-ACCESSORY</t>
        </is>
      </c>
      <c r="B149" t="inlineStr">
        <is>
          <t>SW-DIFF-094</t>
        </is>
      </c>
      <c r="C149" t="inlineStr">
        <is>
          <t>Phụ kiện lắp ghép / Ke góc cửa gió</t>
        </is>
      </c>
      <c r="D149" t="inlineStr">
        <is>
          <t>PHỤ_KIỆN_CỬA</t>
        </is>
      </c>
      <c r="E149" t="inlineStr">
        <is>
          <t>MAT-DOOR-ACCESSORY</t>
        </is>
      </c>
      <c r="F149" t="inlineStr">
        <is>
          <t>Bộ</t>
        </is>
      </c>
      <c r="G149" s="406" t="n">
        <v>0.8035153797865663</v>
      </c>
      <c r="H149" s="402">
        <f>IFERROR(INDEX('00_TONG_HOP_BAO_GIA'!$G$1:$G$5000, MATCH(B149, '00_TONG_HOP_BAO_GIA'!$B$1:$B$5000, 0)), 1)</f>
        <v/>
      </c>
      <c r="I149" s="407">
        <f>G149*H149</f>
        <v/>
      </c>
      <c r="J149" s="402">
        <f>IFERROR(INDEX('06_BANG_GIA_VAT_TU_AP_DUNG'!$E$1:$E$5000, MATCH(E149, '06_BANG_GIA_VAT_TU_AP_DUNG'!$B$1:$B$5000, 0)), 0)</f>
        <v/>
      </c>
      <c r="K149" s="402">
        <f>I149*J149</f>
        <v/>
      </c>
      <c r="L149" t="inlineStr">
        <is>
          <t>Ke góc và vít ghép khung Louver</t>
        </is>
      </c>
    </row>
    <row r="150">
      <c r="A150" t="inlineStr">
        <is>
          <t>SW-DIFF-094-PAINT</t>
        </is>
      </c>
      <c r="B150" t="inlineStr">
        <is>
          <t>SW-DIFF-094</t>
        </is>
      </c>
      <c r="C150" t="inlineStr">
        <is>
          <t>Sơn tĩnh điện tiêu chuẩn Polyester</t>
        </is>
      </c>
      <c r="D150" t="inlineStr">
        <is>
          <t>SƠN_TĨNH_ĐIỆN</t>
        </is>
      </c>
      <c r="E150" t="inlineStr">
        <is>
          <t>MAT-PAINT-POWDER</t>
        </is>
      </c>
      <c r="F150" t="inlineStr">
        <is>
          <t>m2</t>
        </is>
      </c>
      <c r="G150" s="406" t="n">
        <v>1.776402625486504</v>
      </c>
      <c r="H150" s="402">
        <f>IFERROR(INDEX('00_TONG_HOP_BAO_GIA'!$G$1:$G$5000, MATCH(B150, '00_TONG_HOP_BAO_GIA'!$B$1:$B$5000, 0)), 1)</f>
        <v/>
      </c>
      <c r="I150" s="407">
        <f>G150*H150</f>
        <v/>
      </c>
      <c r="J150" s="402">
        <f>IFERROR(INDEX('06_BANG_GIA_VAT_TU_AP_DUNG'!$E$1:$E$5000, MATCH(E150, '06_BANG_GIA_VAT_TU_AP_DUNG'!$B$1:$B$5000, 0)), 0)</f>
        <v/>
      </c>
      <c r="K150" s="402">
        <f>I150*J150</f>
        <v/>
      </c>
      <c r="L150" t="inlineStr">
        <is>
          <t>Sơn tĩnh điện khung và nan Louver</t>
        </is>
      </c>
    </row>
    <row r="151">
      <c r="A151" t="inlineStr">
        <is>
          <t>SW-DIFF-094-MESH</t>
        </is>
      </c>
      <c r="B151" t="inlineStr">
        <is>
          <t>SW-DIFF-094</t>
        </is>
      </c>
      <c r="C151" t="inlineStr">
        <is>
          <t>Lưới chắn côn trùng Inox 304 (LCCT)</t>
        </is>
      </c>
      <c r="D151" t="inlineStr">
        <is>
          <t>PHỤ_KIỆN_CỬA</t>
        </is>
      </c>
      <c r="E151" t="inlineStr">
        <is>
          <t>MAT-MESH-INOX-304</t>
        </is>
      </c>
      <c r="F151" t="inlineStr">
        <is>
          <t>m2</t>
        </is>
      </c>
      <c r="G151" s="406" t="n">
        <v>0.8788449466415569</v>
      </c>
      <c r="H151" s="402">
        <f>IFERROR(INDEX('00_TONG_HOP_BAO_GIA'!$G$1:$G$5000, MATCH(B151, '00_TONG_HOP_BAO_GIA'!$B$1:$B$5000, 0)), 1)</f>
        <v/>
      </c>
      <c r="I151" s="407">
        <f>G151*H151</f>
        <v/>
      </c>
      <c r="J151" s="402">
        <f>IFERROR(INDEX('06_BANG_GIA_VAT_TU_AP_DUNG'!$E$1:$E$5000, MATCH(E151, '06_BANG_GIA_VAT_TU_AP_DUNG'!$B$1:$B$5000, 0)), 0)</f>
        <v/>
      </c>
      <c r="K151" s="402">
        <f>I151*J151</f>
        <v/>
      </c>
      <c r="L151" t="inlineStr">
        <is>
          <t>Lưới chắn côn trùng cổ 1750x500mm</t>
        </is>
      </c>
    </row>
    <row r="152">
      <c r="A152" t="inlineStr">
        <is>
          <t>SW-DIFF-095-FRAME</t>
        </is>
      </c>
      <c r="B152" t="inlineStr">
        <is>
          <t>SW-DIFF-095</t>
        </is>
      </c>
      <c r="C152" t="inlineStr">
        <is>
          <t>Khung nhôm định hình Louver (SWL)</t>
        </is>
      </c>
      <c r="D152" t="inlineStr">
        <is>
          <t>NHÔM_ĐỊNH_HÌNH</t>
        </is>
      </c>
      <c r="E152" t="inlineStr">
        <is>
          <t>MAT-ALU-KHUNG-Z-2-LOP</t>
        </is>
      </c>
      <c r="F152" t="inlineStr">
        <is>
          <t>kg</t>
        </is>
      </c>
      <c r="G152" s="406" t="n">
        <v>1.304145637162587</v>
      </c>
      <c r="H152" s="402">
        <f>IFERROR(INDEX('00_TONG_HOP_BAO_GIA'!$G$1:$G$5000, MATCH(B152, '00_TONG_HOP_BAO_GIA'!$B$1:$B$5000, 0)), 1)</f>
        <v/>
      </c>
      <c r="I152" s="407">
        <f>G152*H152</f>
        <v/>
      </c>
      <c r="J152" s="402">
        <f>IFERROR(INDEX('06_BANG_GIA_VAT_TU_AP_DUNG'!$E$1:$E$5000, MATCH(E152, '06_BANG_GIA_VAT_TU_AP_DUNG'!$B$1:$B$5000, 0)), 0)</f>
        <v/>
      </c>
      <c r="K152" s="402">
        <f>I152*J152</f>
        <v/>
      </c>
      <c r="L152" t="inlineStr">
        <is>
          <t>Khung Louver phủ bì 1550x1050mm</t>
        </is>
      </c>
    </row>
    <row r="153">
      <c r="A153" t="inlineStr">
        <is>
          <t>SW-DIFF-095-BLADE</t>
        </is>
      </c>
      <c r="B153" t="inlineStr">
        <is>
          <t>SW-DIFF-095</t>
        </is>
      </c>
      <c r="C153" t="inlineStr">
        <is>
          <t>Nan Z Louver &amp; thanh tăng cứng (22 nan)</t>
        </is>
      </c>
      <c r="D153" t="inlineStr">
        <is>
          <t>NHÔM_ĐỊNH_HÌNH</t>
        </is>
      </c>
      <c r="E153" t="inlineStr">
        <is>
          <t>MAT-ALU-NAN-Z-DAY</t>
        </is>
      </c>
      <c r="F153" t="inlineStr">
        <is>
          <t>kg</t>
        </is>
      </c>
      <c r="G153" s="406" t="n">
        <v>8.04458104205901</v>
      </c>
      <c r="H153" s="402">
        <f>IFERROR(INDEX('00_TONG_HOP_BAO_GIA'!$G$1:$G$5000, MATCH(B153, '00_TONG_HOP_BAO_GIA'!$B$1:$B$5000, 0)), 1)</f>
        <v/>
      </c>
      <c r="I153" s="407">
        <f>G153*H153</f>
        <v/>
      </c>
      <c r="J153" s="402">
        <f>IFERROR(INDEX('06_BANG_GIA_VAT_TU_AP_DUNG'!$E$1:$E$5000, MATCH(E153, '06_BANG_GIA_VAT_TU_AP_DUNG'!$B$1:$B$5000, 0)), 0)</f>
        <v/>
      </c>
      <c r="K153" s="402">
        <f>I153*J153</f>
        <v/>
      </c>
      <c r="L153" t="inlineStr">
        <is>
          <t>22 nan Z dày @ 0.217kg/m + thanh giằng</t>
        </is>
      </c>
    </row>
    <row r="154">
      <c r="A154" t="inlineStr">
        <is>
          <t>SW-DIFF-095-ACCESSORY</t>
        </is>
      </c>
      <c r="B154" t="inlineStr">
        <is>
          <t>SW-DIFF-095</t>
        </is>
      </c>
      <c r="C154" t="inlineStr">
        <is>
          <t>Phụ kiện lắp ghép / Ke góc cửa gió</t>
        </is>
      </c>
      <c r="D154" t="inlineStr">
        <is>
          <t>PHỤ_KIỆN_CỬA</t>
        </is>
      </c>
      <c r="E154" t="inlineStr">
        <is>
          <t>MAT-DOOR-ACCESSORY</t>
        </is>
      </c>
      <c r="F154" t="inlineStr">
        <is>
          <t>Bộ</t>
        </is>
      </c>
      <c r="G154" s="406" t="n">
        <v>1.473111529608705</v>
      </c>
      <c r="H154" s="402">
        <f>IFERROR(INDEX('00_TONG_HOP_BAO_GIA'!$G$1:$G$5000, MATCH(B154, '00_TONG_HOP_BAO_GIA'!$B$1:$B$5000, 0)), 1)</f>
        <v/>
      </c>
      <c r="I154" s="407">
        <f>G154*H154</f>
        <v/>
      </c>
      <c r="J154" s="402">
        <f>IFERROR(INDEX('06_BANG_GIA_VAT_TU_AP_DUNG'!$E$1:$E$5000, MATCH(E154, '06_BANG_GIA_VAT_TU_AP_DUNG'!$B$1:$B$5000, 0)), 0)</f>
        <v/>
      </c>
      <c r="K154" s="402">
        <f>I154*J154</f>
        <v/>
      </c>
      <c r="L154" t="inlineStr">
        <is>
          <t>Ke góc và vít ghép khung Louver</t>
        </is>
      </c>
    </row>
    <row r="155">
      <c r="A155" t="inlineStr">
        <is>
          <t>SW-DIFF-095-PAINT</t>
        </is>
      </c>
      <c r="B155" t="inlineStr">
        <is>
          <t>SW-DIFF-095</t>
        </is>
      </c>
      <c r="C155" t="inlineStr">
        <is>
          <t>Sơn tĩnh điện tiêu chuẩn Polyester</t>
        </is>
      </c>
      <c r="D155" t="inlineStr">
        <is>
          <t>SƠN_TĨNH_ĐIỆN</t>
        </is>
      </c>
      <c r="E155" t="inlineStr">
        <is>
          <t>MAT-PAINT-POWDER</t>
        </is>
      </c>
      <c r="F155" t="inlineStr">
        <is>
          <t>m2</t>
        </is>
      </c>
      <c r="G155" s="406" t="n">
        <v>2.822239304959197</v>
      </c>
      <c r="H155" s="402">
        <f>IFERROR(INDEX('00_TONG_HOP_BAO_GIA'!$G$1:$G$5000, MATCH(B155, '00_TONG_HOP_BAO_GIA'!$B$1:$B$5000, 0)), 1)</f>
        <v/>
      </c>
      <c r="I155" s="407">
        <f>G155*H155</f>
        <v/>
      </c>
      <c r="J155" s="402">
        <f>IFERROR(INDEX('06_BANG_GIA_VAT_TU_AP_DUNG'!$E$1:$E$5000, MATCH(E155, '06_BANG_GIA_VAT_TU_AP_DUNG'!$B$1:$B$5000, 0)), 0)</f>
        <v/>
      </c>
      <c r="K155" s="402">
        <f>I155*J155</f>
        <v/>
      </c>
      <c r="L155" t="inlineStr">
        <is>
          <t>Sơn tĩnh điện khung và nan Louver</t>
        </is>
      </c>
    </row>
    <row r="156">
      <c r="A156" t="inlineStr">
        <is>
          <t>SW-DIFF-095-MESH</t>
        </is>
      </c>
      <c r="B156" t="inlineStr">
        <is>
          <t>SW-DIFF-095</t>
        </is>
      </c>
      <c r="C156" t="inlineStr">
        <is>
          <t>Lưới chắn côn trùng Inox 304 (LCCT)</t>
        </is>
      </c>
      <c r="D156" t="inlineStr">
        <is>
          <t>PHỤ_KIỆN_CỬA</t>
        </is>
      </c>
      <c r="E156" t="inlineStr">
        <is>
          <t>MAT-MESH-INOX-304</t>
        </is>
      </c>
      <c r="F156" t="inlineStr">
        <is>
          <t>m2</t>
        </is>
      </c>
      <c r="G156" s="406" t="n">
        <v>1.506591337099812</v>
      </c>
      <c r="H156" s="402">
        <f>IFERROR(INDEX('00_TONG_HOP_BAO_GIA'!$G$1:$G$5000, MATCH(B156, '00_TONG_HOP_BAO_GIA'!$B$1:$B$5000, 0)), 1)</f>
        <v/>
      </c>
      <c r="I156" s="407">
        <f>G156*H156</f>
        <v/>
      </c>
      <c r="J156" s="402">
        <f>IFERROR(INDEX('06_BANG_GIA_VAT_TU_AP_DUNG'!$E$1:$E$5000, MATCH(E156, '06_BANG_GIA_VAT_TU_AP_DUNG'!$B$1:$B$5000, 0)), 0)</f>
        <v/>
      </c>
      <c r="K156" s="402">
        <f>I156*J156</f>
        <v/>
      </c>
      <c r="L156" t="inlineStr">
        <is>
          <t>Lưới chắn côn trùng cổ 1500x1000mm</t>
        </is>
      </c>
    </row>
    <row r="157">
      <c r="A157" t="inlineStr">
        <is>
          <t>SW-DIFF-096-FRAME</t>
        </is>
      </c>
      <c r="B157" t="inlineStr">
        <is>
          <t>SW-DIFF-096</t>
        </is>
      </c>
      <c r="C157" t="inlineStr">
        <is>
          <t>Khung nhôm định hình Louver (SWL)</t>
        </is>
      </c>
      <c r="D157" t="inlineStr">
        <is>
          <t>NHÔM_ĐỊNH_HÌNH</t>
        </is>
      </c>
      <c r="E157" t="inlineStr">
        <is>
          <t>MAT-ALU-KHUNG-Z-2-LOP</t>
        </is>
      </c>
      <c r="F157" t="inlineStr">
        <is>
          <t>kg</t>
        </is>
      </c>
      <c r="G157" s="406" t="n">
        <v>2.307334588826114</v>
      </c>
      <c r="H157" s="402">
        <f>IFERROR(INDEX('00_TONG_HOP_BAO_GIA'!$G$1:$G$5000, MATCH(B157, '00_TONG_HOP_BAO_GIA'!$B$1:$B$5000, 0)), 1)</f>
        <v/>
      </c>
      <c r="I157" s="407">
        <f>G157*H157</f>
        <v/>
      </c>
      <c r="J157" s="402">
        <f>IFERROR(INDEX('06_BANG_GIA_VAT_TU_AP_DUNG'!$E$1:$E$5000, MATCH(E157, '06_BANG_GIA_VAT_TU_AP_DUNG'!$B$1:$B$5000, 0)), 0)</f>
        <v/>
      </c>
      <c r="K157" s="402">
        <f>I157*J157</f>
        <v/>
      </c>
      <c r="L157" t="inlineStr">
        <is>
          <t>Khung Louver phủ bì 3550x1050mm</t>
        </is>
      </c>
    </row>
    <row r="158">
      <c r="A158" t="inlineStr">
        <is>
          <t>SW-DIFF-096-BLADE</t>
        </is>
      </c>
      <c r="B158" t="inlineStr">
        <is>
          <t>SW-DIFF-096</t>
        </is>
      </c>
      <c r="C158" t="inlineStr">
        <is>
          <t>Nan Z Louver &amp; thanh tăng cứng (22 nan)</t>
        </is>
      </c>
      <c r="D158" t="inlineStr">
        <is>
          <t>NHÔM_ĐỊNH_HÌNH</t>
        </is>
      </c>
      <c r="E158" t="inlineStr">
        <is>
          <t>MAT-ALU-NAN-Z-DAY</t>
        </is>
      </c>
      <c r="F158" t="inlineStr">
        <is>
          <t>kg</t>
        </is>
      </c>
      <c r="G158" s="406" t="n">
        <v>18.59353270558695</v>
      </c>
      <c r="H158" s="402">
        <f>IFERROR(INDEX('00_TONG_HOP_BAO_GIA'!$G$1:$G$5000, MATCH(B158, '00_TONG_HOP_BAO_GIA'!$B$1:$B$5000, 0)), 1)</f>
        <v/>
      </c>
      <c r="I158" s="407">
        <f>G158*H158</f>
        <v/>
      </c>
      <c r="J158" s="402">
        <f>IFERROR(INDEX('06_BANG_GIA_VAT_TU_AP_DUNG'!$E$1:$E$5000, MATCH(E158, '06_BANG_GIA_VAT_TU_AP_DUNG'!$B$1:$B$5000, 0)), 0)</f>
        <v/>
      </c>
      <c r="K158" s="402">
        <f>I158*J158</f>
        <v/>
      </c>
      <c r="L158" t="inlineStr">
        <is>
          <t>22 nan Z dày @ 0.217kg/m + thanh giằng</t>
        </is>
      </c>
    </row>
    <row r="159">
      <c r="A159" t="inlineStr">
        <is>
          <t>SW-DIFF-096-ACCESSORY</t>
        </is>
      </c>
      <c r="B159" t="inlineStr">
        <is>
          <t>SW-DIFF-096</t>
        </is>
      </c>
      <c r="C159" t="inlineStr">
        <is>
          <t>Phụ kiện lắp ghép / Ke góc cửa gió</t>
        </is>
      </c>
      <c r="D159" t="inlineStr">
        <is>
          <t>PHỤ_KIỆN_CỬA</t>
        </is>
      </c>
      <c r="E159" t="inlineStr">
        <is>
          <t>MAT-DOOR-ACCESSORY</t>
        </is>
      </c>
      <c r="F159" t="inlineStr">
        <is>
          <t>Bộ</t>
        </is>
      </c>
      <c r="G159" s="406" t="n">
        <v>1.473111529608705</v>
      </c>
      <c r="H159" s="402">
        <f>IFERROR(INDEX('00_TONG_HOP_BAO_GIA'!$G$1:$G$5000, MATCH(B159, '00_TONG_HOP_BAO_GIA'!$B$1:$B$5000, 0)), 1)</f>
        <v/>
      </c>
      <c r="I159" s="407">
        <f>G159*H159</f>
        <v/>
      </c>
      <c r="J159" s="402">
        <f>IFERROR(INDEX('06_BANG_GIA_VAT_TU_AP_DUNG'!$E$1:$E$5000, MATCH(E159, '06_BANG_GIA_VAT_TU_AP_DUNG'!$B$1:$B$5000, 0)), 0)</f>
        <v/>
      </c>
      <c r="K159" s="402">
        <f>I159*J159</f>
        <v/>
      </c>
      <c r="L159" t="inlineStr">
        <is>
          <t>Ke góc và vít ghép khung Louver</t>
        </is>
      </c>
    </row>
    <row r="160">
      <c r="A160" t="inlineStr">
        <is>
          <t>SW-DIFF-096-PAINT</t>
        </is>
      </c>
      <c r="B160" t="inlineStr">
        <is>
          <t>SW-DIFF-096</t>
        </is>
      </c>
      <c r="C160" t="inlineStr">
        <is>
          <t>Sơn tĩnh điện tiêu chuẩn Polyester</t>
        </is>
      </c>
      <c r="D160" t="inlineStr">
        <is>
          <t>SƠN_TĨNH_ĐIỆN</t>
        </is>
      </c>
      <c r="E160" t="inlineStr">
        <is>
          <t>MAT-PAINT-POWDER</t>
        </is>
      </c>
      <c r="F160" t="inlineStr">
        <is>
          <t>m2</t>
        </is>
      </c>
      <c r="G160" s="406" t="n">
        <v>6.380298614438169</v>
      </c>
      <c r="H160" s="402">
        <f>IFERROR(INDEX('00_TONG_HOP_BAO_GIA'!$G$1:$G$5000, MATCH(B160, '00_TONG_HOP_BAO_GIA'!$B$1:$B$5000, 0)), 1)</f>
        <v/>
      </c>
      <c r="I160" s="407">
        <f>G160*H160</f>
        <v/>
      </c>
      <c r="J160" s="402">
        <f>IFERROR(INDEX('06_BANG_GIA_VAT_TU_AP_DUNG'!$E$1:$E$5000, MATCH(E160, '06_BANG_GIA_VAT_TU_AP_DUNG'!$B$1:$B$5000, 0)), 0)</f>
        <v/>
      </c>
      <c r="K160" s="402">
        <f>I160*J160</f>
        <v/>
      </c>
      <c r="L160" t="inlineStr">
        <is>
          <t>Sơn tĩnh điện khung và nan Louver</t>
        </is>
      </c>
    </row>
    <row r="161">
      <c r="A161" t="inlineStr">
        <is>
          <t>SW-DIFF-096-MESH</t>
        </is>
      </c>
      <c r="B161" t="inlineStr">
        <is>
          <t>SW-DIFF-096</t>
        </is>
      </c>
      <c r="C161" t="inlineStr">
        <is>
          <t>Lưới chắn côn trùng Inox 304 (LCCT)</t>
        </is>
      </c>
      <c r="D161" t="inlineStr">
        <is>
          <t>PHỤ_KIỆN_CỬA</t>
        </is>
      </c>
      <c r="E161" t="inlineStr">
        <is>
          <t>MAT-MESH-INOX-304</t>
        </is>
      </c>
      <c r="F161" t="inlineStr">
        <is>
          <t>m2</t>
        </is>
      </c>
      <c r="G161" s="406" t="n">
        <v>3.515379786566228</v>
      </c>
      <c r="H161" s="402">
        <f>IFERROR(INDEX('00_TONG_HOP_BAO_GIA'!$G$1:$G$5000, MATCH(B161, '00_TONG_HOP_BAO_GIA'!$B$1:$B$5000, 0)), 1)</f>
        <v/>
      </c>
      <c r="I161" s="407">
        <f>G161*H161</f>
        <v/>
      </c>
      <c r="J161" s="402">
        <f>IFERROR(INDEX('06_BANG_GIA_VAT_TU_AP_DUNG'!$E$1:$E$5000, MATCH(E161, '06_BANG_GIA_VAT_TU_AP_DUNG'!$B$1:$B$5000, 0)), 0)</f>
        <v/>
      </c>
      <c r="K161" s="402">
        <f>I161*J161</f>
        <v/>
      </c>
      <c r="L161" t="inlineStr">
        <is>
          <t>Lưới chắn côn trùng cổ 3500x1000mm</t>
        </is>
      </c>
    </row>
    <row r="162">
      <c r="A162" t="inlineStr">
        <is>
          <t>SW-DIFF-136-FRAME</t>
        </is>
      </c>
      <c r="B162" t="inlineStr">
        <is>
          <t>SW-DIFF-136</t>
        </is>
      </c>
      <c r="C162" t="inlineStr">
        <is>
          <t>Khung nhôm định hình (1 lớp BD)</t>
        </is>
      </c>
      <c r="D162" t="inlineStr">
        <is>
          <t>NHÔM_ĐỊNH_HÌNH</t>
        </is>
      </c>
      <c r="E162" t="inlineStr">
        <is>
          <t>MAT-ALU-KHUNG-BD</t>
        </is>
      </c>
      <c r="F162" t="inlineStr">
        <is>
          <t>kg</t>
        </is>
      </c>
      <c r="G162" s="406" t="n">
        <v>0.8249673571876963</v>
      </c>
      <c r="H162" s="402">
        <f>IFERROR(INDEX('00_TONG_HOP_BAO_GIA'!$G$1:$G$5000, MATCH(B162, '00_TONG_HOP_BAO_GIA'!$B$1:$B$5000, 0)), 1)</f>
        <v/>
      </c>
      <c r="I162" s="407">
        <f>G162*H162</f>
        <v/>
      </c>
      <c r="J162" s="402">
        <f>IFERROR(INDEX('06_BANG_GIA_VAT_TU_AP_DUNG'!$E$1:$E$5000, MATCH(E162, '06_BANG_GIA_VAT_TU_AP_DUNG'!$B$1:$B$5000, 0)), 0)</f>
        <v/>
      </c>
      <c r="K162" s="402">
        <f>I162*J162</f>
        <v/>
      </c>
      <c r="L162" t="inlineStr">
        <is>
          <t>Khung bao 1110x710mm (cổ 1000x600mm)</t>
        </is>
      </c>
    </row>
    <row r="163">
      <c r="A163" t="inlineStr">
        <is>
          <t>SW-DIFF-136-BLADE</t>
        </is>
      </c>
      <c r="B163" t="inlineStr">
        <is>
          <t>SW-DIFF-136</t>
        </is>
      </c>
      <c r="C163" t="inlineStr">
        <is>
          <t>Nan nhôm bầu dục (32 nan)</t>
        </is>
      </c>
      <c r="D163" t="inlineStr">
        <is>
          <t>NHÔM_ĐỊNH_HÌNH</t>
        </is>
      </c>
      <c r="E163" t="inlineStr">
        <is>
          <t>MAT-ALU-NAN-BD</t>
        </is>
      </c>
      <c r="F163" t="inlineStr">
        <is>
          <t>kg</t>
        </is>
      </c>
      <c r="G163" s="406" t="n">
        <v>2.053192718141871</v>
      </c>
      <c r="H163" s="402">
        <f>IFERROR(INDEX('00_TONG_HOP_BAO_GIA'!$G$1:$G$5000, MATCH(B163, '00_TONG_HOP_BAO_GIA'!$B$1:$B$5000, 0)), 1)</f>
        <v/>
      </c>
      <c r="I163" s="407">
        <f>G163*H163</f>
        <v/>
      </c>
      <c r="J163" s="402">
        <f>IFERROR(INDEX('06_BANG_GIA_VAT_TU_AP_DUNG'!$E$1:$E$5000, MATCH(E163, '06_BANG_GIA_VAT_TU_AP_DUNG'!$B$1:$B$5000, 0)), 0)</f>
        <v/>
      </c>
      <c r="K163" s="402">
        <f>I163*J163</f>
        <v/>
      </c>
      <c r="L163" t="inlineStr">
        <is>
          <t>Nan bầu dục @ 0.058kg/m</t>
        </is>
      </c>
    </row>
    <row r="164">
      <c r="A164" t="inlineStr">
        <is>
          <t>SW-DIFF-136-ACCESSORY</t>
        </is>
      </c>
      <c r="B164" t="inlineStr">
        <is>
          <t>SW-DIFF-136</t>
        </is>
      </c>
      <c r="C164" t="inlineStr">
        <is>
          <t>Phụ kiện lắp ghép / Ke góc cửa gió</t>
        </is>
      </c>
      <c r="D164" t="inlineStr">
        <is>
          <t>PHỤ_KIỆN_CỬA</t>
        </is>
      </c>
      <c r="E164" t="inlineStr">
        <is>
          <t>MAT-DOOR-ACCESSORY</t>
        </is>
      </c>
      <c r="F164" t="inlineStr">
        <is>
          <t>Bộ</t>
        </is>
      </c>
      <c r="G164" s="406" t="n">
        <v>0.8349026993094791</v>
      </c>
      <c r="H164" s="402">
        <f>IFERROR(INDEX('00_TONG_HOP_BAO_GIA'!$G$1:$G$5000, MATCH(B164, '00_TONG_HOP_BAO_GIA'!$B$1:$B$5000, 0)), 1)</f>
        <v/>
      </c>
      <c r="I164" s="407">
        <f>G164*H164</f>
        <v/>
      </c>
      <c r="J164" s="402">
        <f>IFERROR(INDEX('06_BANG_GIA_VAT_TU_AP_DUNG'!$E$1:$E$5000, MATCH(E164, '06_BANG_GIA_VAT_TU_AP_DUNG'!$B$1:$B$5000, 0)), 0)</f>
        <v/>
      </c>
      <c r="K164" s="402">
        <f>I164*J164</f>
        <v/>
      </c>
      <c r="L164" t="inlineStr">
        <is>
          <t>4 ke góc chìm và vít ghép khung</t>
        </is>
      </c>
    </row>
    <row r="165">
      <c r="A165" t="inlineStr">
        <is>
          <t>SW-DIFF-136-PAINT</t>
        </is>
      </c>
      <c r="B165" t="inlineStr">
        <is>
          <t>SW-DIFF-136</t>
        </is>
      </c>
      <c r="C165" t="inlineStr">
        <is>
          <t>Sơn tĩnh điện tiêu chuẩn Polyester</t>
        </is>
      </c>
      <c r="D165" t="inlineStr">
        <is>
          <t>SƠN_TĨNH_ĐIỆN</t>
        </is>
      </c>
      <c r="E165" t="inlineStr">
        <is>
          <t>MAT-PAINT-POWDER</t>
        </is>
      </c>
      <c r="F165" t="inlineStr">
        <is>
          <t>m2</t>
        </is>
      </c>
      <c r="G165" s="406" t="n">
        <v>0.8864733032015067</v>
      </c>
      <c r="H165" s="402">
        <f>IFERROR(INDEX('00_TONG_HOP_BAO_GIA'!$G$1:$G$5000, MATCH(B165, '00_TONG_HOP_BAO_GIA'!$B$1:$B$5000, 0)), 1)</f>
        <v/>
      </c>
      <c r="I165" s="407">
        <f>G165*H165</f>
        <v/>
      </c>
      <c r="J165" s="402">
        <f>IFERROR(INDEX('06_BANG_GIA_VAT_TU_AP_DUNG'!$E$1:$E$5000, MATCH(E165, '06_BANG_GIA_VAT_TU_AP_DUNG'!$B$1:$B$5000, 0)), 0)</f>
        <v/>
      </c>
      <c r="K165" s="402">
        <f>I165*J165</f>
        <v/>
      </c>
      <c r="L165" t="inlineStr">
        <is>
          <t>Sơn tĩnh điện hoàn thiện</t>
        </is>
      </c>
    </row>
    <row r="166">
      <c r="A166" t="inlineStr">
        <is>
          <t>SW-DIFF-136-OBD-FRAME</t>
        </is>
      </c>
      <c r="B166" t="inlineStr">
        <is>
          <t>SW-DIFF-136</t>
        </is>
      </c>
      <c r="C166" t="inlineStr">
        <is>
          <t>Khung nhôm van OBD gắn cửa (SOBD)</t>
        </is>
      </c>
      <c r="D166" t="inlineStr">
        <is>
          <t>NHÔM_ĐỊNH_HÌNH</t>
        </is>
      </c>
      <c r="E166" t="inlineStr">
        <is>
          <t>MAT-ALU-KHUNG-OBD</t>
        </is>
      </c>
      <c r="F166" t="inlineStr">
        <is>
          <t>kg</t>
        </is>
      </c>
      <c r="G166" s="406" t="n">
        <v>0.5177649089767734</v>
      </c>
      <c r="H166" s="402">
        <f>IFERROR(INDEX('00_TONG_HOP_BAO_GIA'!$G$1:$G$5000, MATCH(B166, '00_TONG_HOP_BAO_GIA'!$B$1:$B$5000, 0)), 1)</f>
        <v/>
      </c>
      <c r="I166" s="407">
        <f>G166*H166</f>
        <v/>
      </c>
      <c r="J166" s="402">
        <f>IFERROR(INDEX('06_BANG_GIA_VAT_TU_AP_DUNG'!$E$1:$E$5000, MATCH(E166, '06_BANG_GIA_VAT_TU_AP_DUNG'!$B$1:$B$5000, 0)), 0)</f>
        <v/>
      </c>
      <c r="K166" s="402">
        <f>I166*J166</f>
        <v/>
      </c>
      <c r="L166" t="inlineStr">
        <is>
          <t>Khung OBD 985x585mm</t>
        </is>
      </c>
    </row>
    <row r="167">
      <c r="A167" t="inlineStr">
        <is>
          <t>SW-DIFF-136-OBD-BLADE</t>
        </is>
      </c>
      <c r="B167" t="inlineStr">
        <is>
          <t>SW-DIFF-136</t>
        </is>
      </c>
      <c r="C167" t="inlineStr">
        <is>
          <t>Nan nhôm &amp; thanh truyền van OBD (SOBD)</t>
        </is>
      </c>
      <c r="D167" t="inlineStr">
        <is>
          <t>NHÔM_ĐỊNH_HÌNH</t>
        </is>
      </c>
      <c r="E167" t="inlineStr">
        <is>
          <t>MAT-ALU-NAN-OBD</t>
        </is>
      </c>
      <c r="F167" t="inlineStr">
        <is>
          <t>kg</t>
        </is>
      </c>
      <c r="G167" s="406" t="n">
        <v>1.56446415960452</v>
      </c>
      <c r="H167" s="402">
        <f>IFERROR(INDEX('00_TONG_HOP_BAO_GIA'!$G$1:$G$5000, MATCH(B167, '00_TONG_HOP_BAO_GIA'!$B$1:$B$5000, 0)), 1)</f>
        <v/>
      </c>
      <c r="I167" s="407">
        <f>G167*H167</f>
        <v/>
      </c>
      <c r="J167" s="402">
        <f>IFERROR(INDEX('06_BANG_GIA_VAT_TU_AP_DUNG'!$E$1:$E$5000, MATCH(E167, '06_BANG_GIA_VAT_TU_AP_DUNG'!$B$1:$B$5000, 0)), 0)</f>
        <v/>
      </c>
      <c r="K167" s="402">
        <f>I167*J167</f>
        <v/>
      </c>
      <c r="L167" t="inlineStr">
        <is>
          <t>Nan OBD đối xứng &amp; thanh liên kết</t>
        </is>
      </c>
    </row>
    <row r="168">
      <c r="A168" t="inlineStr">
        <is>
          <t>SW-DIFF-136-OBD-ACC</t>
        </is>
      </c>
      <c r="B168" t="inlineStr">
        <is>
          <t>SW-DIFF-136</t>
        </is>
      </c>
      <c r="C168" t="inlineStr">
        <is>
          <t>Bánh răng nhựa &amp; phụ kiện van OBD</t>
        </is>
      </c>
      <c r="D168" t="inlineStr">
        <is>
          <t>PHỤ_KIỆN_CỬA</t>
        </is>
      </c>
      <c r="E168" t="inlineStr">
        <is>
          <t>MAT-DOOR-ACCESSORY</t>
        </is>
      </c>
      <c r="F168" t="inlineStr">
        <is>
          <t>Bộ</t>
        </is>
      </c>
      <c r="G168" s="406" t="n">
        <v>1.600230173676502</v>
      </c>
      <c r="H168" s="402">
        <f>IFERROR(INDEX('00_TONG_HOP_BAO_GIA'!$G$1:$G$5000, MATCH(B168, '00_TONG_HOP_BAO_GIA'!$B$1:$B$5000, 0)), 1)</f>
        <v/>
      </c>
      <c r="I168" s="407">
        <f>G168*H168</f>
        <v/>
      </c>
      <c r="J168" s="402">
        <f>IFERROR(INDEX('06_BANG_GIA_VAT_TU_AP_DUNG'!$E$1:$E$5000, MATCH(E168, '06_BANG_GIA_VAT_TU_AP_DUNG'!$B$1:$B$5000, 0)), 0)</f>
        <v/>
      </c>
      <c r="K168" s="402">
        <f>I168*J168</f>
        <v/>
      </c>
      <c r="L168" t="inlineStr">
        <is>
          <t>Cơ cấu bánh răng đóng mở OBD</t>
        </is>
      </c>
    </row>
    <row r="169">
      <c r="A169" t="inlineStr">
        <is>
          <t>SW-DIFF-136-OBD-PAINT</t>
        </is>
      </c>
      <c r="B169" t="inlineStr">
        <is>
          <t>SW-DIFF-136</t>
        </is>
      </c>
      <c r="C169" t="inlineStr">
        <is>
          <t>Sơn tĩnh điện van OBD</t>
        </is>
      </c>
      <c r="D169" t="inlineStr">
        <is>
          <t>SƠN_TĨNH_ĐIỆN</t>
        </is>
      </c>
      <c r="E169" t="inlineStr">
        <is>
          <t>MAT-PAINT-POWDER</t>
        </is>
      </c>
      <c r="F169" t="inlineStr">
        <is>
          <t>m2</t>
        </is>
      </c>
      <c r="G169" s="406" t="n">
        <v>0.6413265531230382</v>
      </c>
      <c r="H169" s="402">
        <f>IFERROR(INDEX('00_TONG_HOP_BAO_GIA'!$G$1:$G$5000, MATCH(B169, '00_TONG_HOP_BAO_GIA'!$B$1:$B$5000, 0)), 1)</f>
        <v/>
      </c>
      <c r="I169" s="407">
        <f>G169*H169</f>
        <v/>
      </c>
      <c r="J169" s="402">
        <f>IFERROR(INDEX('06_BANG_GIA_VAT_TU_AP_DUNG'!$E$1:$E$5000, MATCH(E169, '06_BANG_GIA_VAT_TU_AP_DUNG'!$B$1:$B$5000, 0)), 0)</f>
        <v/>
      </c>
      <c r="K169" s="402">
        <f>I169*J169</f>
        <v/>
      </c>
      <c r="L169" t="inlineStr">
        <is>
          <t>Sơn tĩnh điện đen/trắng cho OBD</t>
        </is>
      </c>
    </row>
    <row r="170">
      <c r="A170" t="inlineStr">
        <is>
          <t>SW-DIFF-137-FRAME</t>
        </is>
      </c>
      <c r="B170" t="inlineStr">
        <is>
          <t>SW-DIFF-137</t>
        </is>
      </c>
      <c r="C170" t="inlineStr">
        <is>
          <t>Khung nhôm định hình (1 lớp BD)</t>
        </is>
      </c>
      <c r="D170" t="inlineStr">
        <is>
          <t>NHÔM_ĐỊNH_HÌNH</t>
        </is>
      </c>
      <c r="E170" t="inlineStr">
        <is>
          <t>MAT-ALU-KHUNG-BD</t>
        </is>
      </c>
      <c r="F170" t="inlineStr">
        <is>
          <t>kg</t>
        </is>
      </c>
      <c r="G170" s="406" t="n">
        <v>0.9084576271186442</v>
      </c>
      <c r="H170" s="402">
        <f>IFERROR(INDEX('00_TONG_HOP_BAO_GIA'!$G$1:$G$5000, MATCH(B170, '00_TONG_HOP_BAO_GIA'!$B$1:$B$5000, 0)), 1)</f>
        <v/>
      </c>
      <c r="I170" s="407">
        <f>G170*H170</f>
        <v/>
      </c>
      <c r="J170" s="402">
        <f>IFERROR(INDEX('06_BANG_GIA_VAT_TU_AP_DUNG'!$E$1:$E$5000, MATCH(E170, '06_BANG_GIA_VAT_TU_AP_DUNG'!$B$1:$B$5000, 0)), 0)</f>
        <v/>
      </c>
      <c r="K170" s="402">
        <f>I170*J170</f>
        <v/>
      </c>
      <c r="L170" t="inlineStr">
        <is>
          <t>Khung bao 1310x710mm (cổ 1200x600mm)</t>
        </is>
      </c>
    </row>
    <row r="171">
      <c r="A171" t="inlineStr">
        <is>
          <t>SW-DIFF-137-BLADE</t>
        </is>
      </c>
      <c r="B171" t="inlineStr">
        <is>
          <t>SW-DIFF-137</t>
        </is>
      </c>
      <c r="C171" t="inlineStr">
        <is>
          <t>Nan nhôm bầu dục (32 nan)</t>
        </is>
      </c>
      <c r="D171" t="inlineStr">
        <is>
          <t>NHÔM_ĐỊNH_HÌNH</t>
        </is>
      </c>
      <c r="E171" t="inlineStr">
        <is>
          <t>MAT-ALU-NAN-BD</t>
        </is>
      </c>
      <c r="F171" t="inlineStr">
        <is>
          <t>kg</t>
        </is>
      </c>
      <c r="G171" s="406" t="n">
        <v>2.440587570621469</v>
      </c>
      <c r="H171" s="402">
        <f>IFERROR(INDEX('00_TONG_HOP_BAO_GIA'!$G$1:$G$5000, MATCH(B171, '00_TONG_HOP_BAO_GIA'!$B$1:$B$5000, 0)), 1)</f>
        <v/>
      </c>
      <c r="I171" s="407">
        <f>G171*H171</f>
        <v/>
      </c>
      <c r="J171" s="402">
        <f>IFERROR(INDEX('06_BANG_GIA_VAT_TU_AP_DUNG'!$E$1:$E$5000, MATCH(E171, '06_BANG_GIA_VAT_TU_AP_DUNG'!$B$1:$B$5000, 0)), 0)</f>
        <v/>
      </c>
      <c r="K171" s="402">
        <f>I171*J171</f>
        <v/>
      </c>
      <c r="L171" t="inlineStr">
        <is>
          <t>Nan bầu dục @ 0.058kg/m</t>
        </is>
      </c>
    </row>
    <row r="172">
      <c r="A172" t="inlineStr">
        <is>
          <t>SW-DIFF-137-ACCESSORY</t>
        </is>
      </c>
      <c r="B172" t="inlineStr">
        <is>
          <t>SW-DIFF-137</t>
        </is>
      </c>
      <c r="C172" t="inlineStr">
        <is>
          <t>Phụ kiện lắp ghép / Ke góc cửa gió</t>
        </is>
      </c>
      <c r="D172" t="inlineStr">
        <is>
          <t>PHỤ_KIỆN_CỬA</t>
        </is>
      </c>
      <c r="E172" t="inlineStr">
        <is>
          <t>MAT-DOOR-ACCESSORY</t>
        </is>
      </c>
      <c r="F172" t="inlineStr">
        <is>
          <t>Bộ</t>
        </is>
      </c>
      <c r="G172" s="406" t="n">
        <v>0.8349026993094791</v>
      </c>
      <c r="H172" s="402">
        <f>IFERROR(INDEX('00_TONG_HOP_BAO_GIA'!$G$1:$G$5000, MATCH(B172, '00_TONG_HOP_BAO_GIA'!$B$1:$B$5000, 0)), 1)</f>
        <v/>
      </c>
      <c r="I172" s="407">
        <f>G172*H172</f>
        <v/>
      </c>
      <c r="J172" s="402">
        <f>IFERROR(INDEX('06_BANG_GIA_VAT_TU_AP_DUNG'!$E$1:$E$5000, MATCH(E172, '06_BANG_GIA_VAT_TU_AP_DUNG'!$B$1:$B$5000, 0)), 0)</f>
        <v/>
      </c>
      <c r="K172" s="402">
        <f>I172*J172</f>
        <v/>
      </c>
      <c r="L172" t="inlineStr">
        <is>
          <t>4 ke góc chìm và vít ghép khung</t>
        </is>
      </c>
    </row>
    <row r="173">
      <c r="A173" t="inlineStr">
        <is>
          <t>SW-DIFF-137-PAINT</t>
        </is>
      </c>
      <c r="B173" t="inlineStr">
        <is>
          <t>SW-DIFF-137</t>
        </is>
      </c>
      <c r="C173" t="inlineStr">
        <is>
          <t>Sơn tĩnh điện tiêu chuẩn Polyester</t>
        </is>
      </c>
      <c r="D173" t="inlineStr">
        <is>
          <t>SƠN_TĨNH_ĐIỆN</t>
        </is>
      </c>
      <c r="E173" t="inlineStr">
        <is>
          <t>MAT-PAINT-POWDER</t>
        </is>
      </c>
      <c r="F173" t="inlineStr">
        <is>
          <t>m2</t>
        </is>
      </c>
      <c r="G173" s="406" t="n">
        <v>1.031505920903955</v>
      </c>
      <c r="H173" s="402">
        <f>IFERROR(INDEX('00_TONG_HOP_BAO_GIA'!$G$1:$G$5000, MATCH(B173, '00_TONG_HOP_BAO_GIA'!$B$1:$B$5000, 0)), 1)</f>
        <v/>
      </c>
      <c r="I173" s="407">
        <f>G173*H173</f>
        <v/>
      </c>
      <c r="J173" s="402">
        <f>IFERROR(INDEX('06_BANG_GIA_VAT_TU_AP_DUNG'!$E$1:$E$5000, MATCH(E173, '06_BANG_GIA_VAT_TU_AP_DUNG'!$B$1:$B$5000, 0)), 0)</f>
        <v/>
      </c>
      <c r="K173" s="402">
        <f>I173*J173</f>
        <v/>
      </c>
      <c r="L173" t="inlineStr">
        <is>
          <t>Sơn tĩnh điện hoàn thiện</t>
        </is>
      </c>
    </row>
    <row r="174">
      <c r="A174" t="inlineStr">
        <is>
          <t>SW-DIFF-137-OBD-FRAME</t>
        </is>
      </c>
      <c r="B174" t="inlineStr">
        <is>
          <t>SW-DIFF-137</t>
        </is>
      </c>
      <c r="C174" t="inlineStr">
        <is>
          <t>Khung nhôm van OBD gắn cửa (SOBD)</t>
        </is>
      </c>
      <c r="D174" t="inlineStr">
        <is>
          <t>NHÔM_ĐỊNH_HÌNH</t>
        </is>
      </c>
      <c r="E174" t="inlineStr">
        <is>
          <t>MAT-ALU-KHUNG-OBD</t>
        </is>
      </c>
      <c r="F174" t="inlineStr">
        <is>
          <t>kg</t>
        </is>
      </c>
      <c r="G174" s="406" t="n">
        <v>0.5837222222222224</v>
      </c>
      <c r="H174" s="402">
        <f>IFERROR(INDEX('00_TONG_HOP_BAO_GIA'!$G$1:$G$5000, MATCH(B174, '00_TONG_HOP_BAO_GIA'!$B$1:$B$5000, 0)), 1)</f>
        <v/>
      </c>
      <c r="I174" s="407">
        <f>G174*H174</f>
        <v/>
      </c>
      <c r="J174" s="402">
        <f>IFERROR(INDEX('06_BANG_GIA_VAT_TU_AP_DUNG'!$E$1:$E$5000, MATCH(E174, '06_BANG_GIA_VAT_TU_AP_DUNG'!$B$1:$B$5000, 0)), 0)</f>
        <v/>
      </c>
      <c r="K174" s="402">
        <f>I174*J174</f>
        <v/>
      </c>
      <c r="L174" t="inlineStr">
        <is>
          <t>Khung OBD 1185x585mm</t>
        </is>
      </c>
    </row>
    <row r="175">
      <c r="A175" t="inlineStr">
        <is>
          <t>SW-DIFF-137-OBD-BLADE</t>
        </is>
      </c>
      <c r="B175" t="inlineStr">
        <is>
          <t>SW-DIFF-137</t>
        </is>
      </c>
      <c r="C175" t="inlineStr">
        <is>
          <t>Nan nhôm &amp; thanh truyền van OBD (SOBD)</t>
        </is>
      </c>
      <c r="D175" t="inlineStr">
        <is>
          <t>NHÔM_ĐỊNH_HÌNH</t>
        </is>
      </c>
      <c r="E175" t="inlineStr">
        <is>
          <t>MAT-ALU-NAN-OBD</t>
        </is>
      </c>
      <c r="F175" t="inlineStr">
        <is>
          <t>kg</t>
        </is>
      </c>
      <c r="G175" s="406" t="n">
        <v>1.869725459039548</v>
      </c>
      <c r="H175" s="402">
        <f>IFERROR(INDEX('00_TONG_HOP_BAO_GIA'!$G$1:$G$5000, MATCH(B175, '00_TONG_HOP_BAO_GIA'!$B$1:$B$5000, 0)), 1)</f>
        <v/>
      </c>
      <c r="I175" s="407">
        <f>G175*H175</f>
        <v/>
      </c>
      <c r="J175" s="402">
        <f>IFERROR(INDEX('06_BANG_GIA_VAT_TU_AP_DUNG'!$E$1:$E$5000, MATCH(E175, '06_BANG_GIA_VAT_TU_AP_DUNG'!$B$1:$B$5000, 0)), 0)</f>
        <v/>
      </c>
      <c r="K175" s="402">
        <f>I175*J175</f>
        <v/>
      </c>
      <c r="L175" t="inlineStr">
        <is>
          <t>Nan OBD đối xứng &amp; thanh liên kết</t>
        </is>
      </c>
    </row>
    <row r="176">
      <c r="A176" t="inlineStr">
        <is>
          <t>SW-DIFF-137-OBD-ACC</t>
        </is>
      </c>
      <c r="B176" t="inlineStr">
        <is>
          <t>SW-DIFF-137</t>
        </is>
      </c>
      <c r="C176" t="inlineStr">
        <is>
          <t>Bánh răng nhựa &amp; phụ kiện van OBD</t>
        </is>
      </c>
      <c r="D176" t="inlineStr">
        <is>
          <t>PHỤ_KIỆN_CỬA</t>
        </is>
      </c>
      <c r="E176" t="inlineStr">
        <is>
          <t>MAT-DOOR-ACCESSORY</t>
        </is>
      </c>
      <c r="F176" t="inlineStr">
        <is>
          <t>Bộ</t>
        </is>
      </c>
      <c r="G176" s="406" t="n">
        <v>1.600230173676502</v>
      </c>
      <c r="H176" s="402">
        <f>IFERROR(INDEX('00_TONG_HOP_BAO_GIA'!$G$1:$G$5000, MATCH(B176, '00_TONG_HOP_BAO_GIA'!$B$1:$B$5000, 0)), 1)</f>
        <v/>
      </c>
      <c r="I176" s="407">
        <f>G176*H176</f>
        <v/>
      </c>
      <c r="J176" s="402">
        <f>IFERROR(INDEX('06_BANG_GIA_VAT_TU_AP_DUNG'!$E$1:$E$5000, MATCH(E176, '06_BANG_GIA_VAT_TU_AP_DUNG'!$B$1:$B$5000, 0)), 0)</f>
        <v/>
      </c>
      <c r="K176" s="402">
        <f>I176*J176</f>
        <v/>
      </c>
      <c r="L176" t="inlineStr">
        <is>
          <t>Cơ cấu bánh răng đóng mở OBD</t>
        </is>
      </c>
    </row>
    <row r="177">
      <c r="A177" t="inlineStr">
        <is>
          <t>SW-DIFF-137-OBD-PAINT</t>
        </is>
      </c>
      <c r="B177" t="inlineStr">
        <is>
          <t>SW-DIFF-137</t>
        </is>
      </c>
      <c r="C177" t="inlineStr">
        <is>
          <t>Sơn tĩnh điện van OBD</t>
        </is>
      </c>
      <c r="D177" t="inlineStr">
        <is>
          <t>SƠN_TĨNH_ĐIỆN</t>
        </is>
      </c>
      <c r="E177" t="inlineStr">
        <is>
          <t>MAT-PAINT-POWDER</t>
        </is>
      </c>
      <c r="F177" t="inlineStr">
        <is>
          <t>m2</t>
        </is>
      </c>
      <c r="G177" s="406" t="n">
        <v>0.7556618858286253</v>
      </c>
      <c r="H177" s="402">
        <f>IFERROR(INDEX('00_TONG_HOP_BAO_GIA'!$G$1:$G$5000, MATCH(B177, '00_TONG_HOP_BAO_GIA'!$B$1:$B$5000, 0)), 1)</f>
        <v/>
      </c>
      <c r="I177" s="407">
        <f>G177*H177</f>
        <v/>
      </c>
      <c r="J177" s="402">
        <f>IFERROR(INDEX('06_BANG_GIA_VAT_TU_AP_DUNG'!$E$1:$E$5000, MATCH(E177, '06_BANG_GIA_VAT_TU_AP_DUNG'!$B$1:$B$5000, 0)), 0)</f>
        <v/>
      </c>
      <c r="K177" s="402">
        <f>I177*J177</f>
        <v/>
      </c>
      <c r="L177" t="inlineStr">
        <is>
          <t>Sơn tĩnh điện đen/trắng cho OBD</t>
        </is>
      </c>
    </row>
    <row r="178">
      <c r="A178" t="inlineStr">
        <is>
          <t>SW-DIFF-138-FRAME</t>
        </is>
      </c>
      <c r="B178" t="inlineStr">
        <is>
          <t>SW-DIFF-138</t>
        </is>
      </c>
      <c r="C178" t="inlineStr">
        <is>
          <t>Khung nhôm định hình (1 lớp BD)</t>
        </is>
      </c>
      <c r="D178" t="inlineStr">
        <is>
          <t>NHÔM_ĐỊNH_HÌNH</t>
        </is>
      </c>
      <c r="E178" t="inlineStr">
        <is>
          <t>MAT-ALU-KHUNG-BD</t>
        </is>
      </c>
      <c r="F178" t="inlineStr">
        <is>
          <t>kg</t>
        </is>
      </c>
      <c r="G178" s="406" t="n">
        <v>0.6579868173258003</v>
      </c>
      <c r="H178" s="402">
        <f>IFERROR(INDEX('00_TONG_HOP_BAO_GIA'!$G$1:$G$5000, MATCH(B178, '00_TONG_HOP_BAO_GIA'!$B$1:$B$5000, 0)), 1)</f>
        <v/>
      </c>
      <c r="I178" s="407">
        <f>G178*H178</f>
        <v/>
      </c>
      <c r="J178" s="402">
        <f>IFERROR(INDEX('06_BANG_GIA_VAT_TU_AP_DUNG'!$E$1:$E$5000, MATCH(E178, '06_BANG_GIA_VAT_TU_AP_DUNG'!$B$1:$B$5000, 0)), 0)</f>
        <v/>
      </c>
      <c r="K178" s="402">
        <f>I178*J178</f>
        <v/>
      </c>
      <c r="L178" t="inlineStr">
        <is>
          <t>Khung bao 710x710mm (cổ 600x600mm)</t>
        </is>
      </c>
    </row>
    <row r="179">
      <c r="A179" t="inlineStr">
        <is>
          <t>SW-DIFF-138-BLADE</t>
        </is>
      </c>
      <c r="B179" t="inlineStr">
        <is>
          <t>SW-DIFF-138</t>
        </is>
      </c>
      <c r="C179" t="inlineStr">
        <is>
          <t>Nan nhôm bầu dục (32 nan)</t>
        </is>
      </c>
      <c r="D179" t="inlineStr">
        <is>
          <t>NHÔM_ĐỊNH_HÌNH</t>
        </is>
      </c>
      <c r="E179" t="inlineStr">
        <is>
          <t>MAT-ALU-NAN-BD</t>
        </is>
      </c>
      <c r="F179" t="inlineStr">
        <is>
          <t>kg</t>
        </is>
      </c>
      <c r="G179" s="406" t="n">
        <v>1.278403013182674</v>
      </c>
      <c r="H179" s="402">
        <f>IFERROR(INDEX('00_TONG_HOP_BAO_GIA'!$G$1:$G$5000, MATCH(B179, '00_TONG_HOP_BAO_GIA'!$B$1:$B$5000, 0)), 1)</f>
        <v/>
      </c>
      <c r="I179" s="407">
        <f>G179*H179</f>
        <v/>
      </c>
      <c r="J179" s="402">
        <f>IFERROR(INDEX('06_BANG_GIA_VAT_TU_AP_DUNG'!$E$1:$E$5000, MATCH(E179, '06_BANG_GIA_VAT_TU_AP_DUNG'!$B$1:$B$5000, 0)), 0)</f>
        <v/>
      </c>
      <c r="K179" s="402">
        <f>I179*J179</f>
        <v/>
      </c>
      <c r="L179" t="inlineStr">
        <is>
          <t>Nan bầu dục @ 0.058kg/m</t>
        </is>
      </c>
    </row>
    <row r="180">
      <c r="A180" t="inlineStr">
        <is>
          <t>SW-DIFF-138-ACCESSORY</t>
        </is>
      </c>
      <c r="B180" t="inlineStr">
        <is>
          <t>SW-DIFF-138</t>
        </is>
      </c>
      <c r="C180" t="inlineStr">
        <is>
          <t>Phụ kiện lắp ghép / Ke góc cửa gió</t>
        </is>
      </c>
      <c r="D180" t="inlineStr">
        <is>
          <t>PHỤ_KIỆN_CỬA</t>
        </is>
      </c>
      <c r="E180" t="inlineStr">
        <is>
          <t>MAT-DOOR-ACCESSORY</t>
        </is>
      </c>
      <c r="F180" t="inlineStr">
        <is>
          <t>Bộ</t>
        </is>
      </c>
      <c r="G180" s="406" t="n">
        <v>0.8349026993094791</v>
      </c>
      <c r="H180" s="402">
        <f>IFERROR(INDEX('00_TONG_HOP_BAO_GIA'!$G$1:$G$5000, MATCH(B180, '00_TONG_HOP_BAO_GIA'!$B$1:$B$5000, 0)), 1)</f>
        <v/>
      </c>
      <c r="I180" s="407">
        <f>G180*H180</f>
        <v/>
      </c>
      <c r="J180" s="402">
        <f>IFERROR(INDEX('06_BANG_GIA_VAT_TU_AP_DUNG'!$E$1:$E$5000, MATCH(E180, '06_BANG_GIA_VAT_TU_AP_DUNG'!$B$1:$B$5000, 0)), 0)</f>
        <v/>
      </c>
      <c r="K180" s="402">
        <f>I180*J180</f>
        <v/>
      </c>
      <c r="L180" t="inlineStr">
        <is>
          <t>4 ke góc chìm và vít ghép khung</t>
        </is>
      </c>
    </row>
    <row r="181">
      <c r="A181" t="inlineStr">
        <is>
          <t>SW-DIFF-138-PAINT</t>
        </is>
      </c>
      <c r="B181" t="inlineStr">
        <is>
          <t>SW-DIFF-138</t>
        </is>
      </c>
      <c r="C181" t="inlineStr">
        <is>
          <t>Sơn tĩnh điện tiêu chuẩn Polyester</t>
        </is>
      </c>
      <c r="D181" t="inlineStr">
        <is>
          <t>SƠN_TĨNH_ĐIỆN</t>
        </is>
      </c>
      <c r="E181" t="inlineStr">
        <is>
          <t>MAT-PAINT-POWDER</t>
        </is>
      </c>
      <c r="F181" t="inlineStr">
        <is>
          <t>m2</t>
        </is>
      </c>
      <c r="G181" s="406" t="n">
        <v>0.5964080677966102</v>
      </c>
      <c r="H181" s="402">
        <f>IFERROR(INDEX('00_TONG_HOP_BAO_GIA'!$G$1:$G$5000, MATCH(B181, '00_TONG_HOP_BAO_GIA'!$B$1:$B$5000, 0)), 1)</f>
        <v/>
      </c>
      <c r="I181" s="407">
        <f>G181*H181</f>
        <v/>
      </c>
      <c r="J181" s="402">
        <f>IFERROR(INDEX('06_BANG_GIA_VAT_TU_AP_DUNG'!$E$1:$E$5000, MATCH(E181, '06_BANG_GIA_VAT_TU_AP_DUNG'!$B$1:$B$5000, 0)), 0)</f>
        <v/>
      </c>
      <c r="K181" s="402">
        <f>I181*J181</f>
        <v/>
      </c>
      <c r="L181" t="inlineStr">
        <is>
          <t>Sơn tĩnh điện hoàn thiện</t>
        </is>
      </c>
    </row>
    <row r="182">
      <c r="A182" t="inlineStr">
        <is>
          <t>SW-DIFF-138-OBD-FRAME</t>
        </is>
      </c>
      <c r="B182" t="inlineStr">
        <is>
          <t>SW-DIFF-138</t>
        </is>
      </c>
      <c r="C182" t="inlineStr">
        <is>
          <t>Khung nhôm van OBD gắn cửa (SOBD)</t>
        </is>
      </c>
      <c r="D182" t="inlineStr">
        <is>
          <t>NHÔM_ĐỊNH_HÌNH</t>
        </is>
      </c>
      <c r="E182" t="inlineStr">
        <is>
          <t>MAT-ALU-KHUNG-OBD</t>
        </is>
      </c>
      <c r="F182" t="inlineStr">
        <is>
          <t>kg</t>
        </is>
      </c>
      <c r="G182" s="406" t="n">
        <v>0.3858502824858757</v>
      </c>
      <c r="H182" s="402">
        <f>IFERROR(INDEX('00_TONG_HOP_BAO_GIA'!$G$1:$G$5000, MATCH(B182, '00_TONG_HOP_BAO_GIA'!$B$1:$B$5000, 0)), 1)</f>
        <v/>
      </c>
      <c r="I182" s="407">
        <f>G182*H182</f>
        <v/>
      </c>
      <c r="J182" s="402">
        <f>IFERROR(INDEX('06_BANG_GIA_VAT_TU_AP_DUNG'!$E$1:$E$5000, MATCH(E182, '06_BANG_GIA_VAT_TU_AP_DUNG'!$B$1:$B$5000, 0)), 0)</f>
        <v/>
      </c>
      <c r="K182" s="402">
        <f>I182*J182</f>
        <v/>
      </c>
      <c r="L182" t="inlineStr">
        <is>
          <t>Khung OBD 585x585mm</t>
        </is>
      </c>
    </row>
    <row r="183">
      <c r="A183" t="inlineStr">
        <is>
          <t>SW-DIFF-138-OBD-BLADE</t>
        </is>
      </c>
      <c r="B183" t="inlineStr">
        <is>
          <t>SW-DIFF-138</t>
        </is>
      </c>
      <c r="C183" t="inlineStr">
        <is>
          <t>Nan nhôm &amp; thanh truyền van OBD (SOBD)</t>
        </is>
      </c>
      <c r="D183" t="inlineStr">
        <is>
          <t>NHÔM_ĐỊNH_HÌNH</t>
        </is>
      </c>
      <c r="E183" t="inlineStr">
        <is>
          <t>MAT-ALU-NAN-OBD</t>
        </is>
      </c>
      <c r="F183" t="inlineStr">
        <is>
          <t>kg</t>
        </is>
      </c>
      <c r="G183" s="406" t="n">
        <v>0.9539415607344633</v>
      </c>
      <c r="H183" s="402">
        <f>IFERROR(INDEX('00_TONG_HOP_BAO_GIA'!$G$1:$G$5000, MATCH(B183, '00_TONG_HOP_BAO_GIA'!$B$1:$B$5000, 0)), 1)</f>
        <v/>
      </c>
      <c r="I183" s="407">
        <f>G183*H183</f>
        <v/>
      </c>
      <c r="J183" s="402">
        <f>IFERROR(INDEX('06_BANG_GIA_VAT_TU_AP_DUNG'!$E$1:$E$5000, MATCH(E183, '06_BANG_GIA_VAT_TU_AP_DUNG'!$B$1:$B$5000, 0)), 0)</f>
        <v/>
      </c>
      <c r="K183" s="402">
        <f>I183*J183</f>
        <v/>
      </c>
      <c r="L183" t="inlineStr">
        <is>
          <t>Nan OBD đối xứng &amp; thanh liên kết</t>
        </is>
      </c>
    </row>
    <row r="184">
      <c r="A184" t="inlineStr">
        <is>
          <t>SW-DIFF-138-OBD-ACC</t>
        </is>
      </c>
      <c r="B184" t="inlineStr">
        <is>
          <t>SW-DIFF-138</t>
        </is>
      </c>
      <c r="C184" t="inlineStr">
        <is>
          <t>Bánh răng nhựa &amp; phụ kiện van OBD</t>
        </is>
      </c>
      <c r="D184" t="inlineStr">
        <is>
          <t>PHỤ_KIỆN_CỬA</t>
        </is>
      </c>
      <c r="E184" t="inlineStr">
        <is>
          <t>MAT-DOOR-ACCESSORY</t>
        </is>
      </c>
      <c r="F184" t="inlineStr">
        <is>
          <t>Bộ</t>
        </is>
      </c>
      <c r="G184" s="406" t="n">
        <v>0.9044779242519357</v>
      </c>
      <c r="H184" s="402">
        <f>IFERROR(INDEX('00_TONG_HOP_BAO_GIA'!$G$1:$G$5000, MATCH(B184, '00_TONG_HOP_BAO_GIA'!$B$1:$B$5000, 0)), 1)</f>
        <v/>
      </c>
      <c r="I184" s="407">
        <f>G184*H184</f>
        <v/>
      </c>
      <c r="J184" s="402">
        <f>IFERROR(INDEX('06_BANG_GIA_VAT_TU_AP_DUNG'!$E$1:$E$5000, MATCH(E184, '06_BANG_GIA_VAT_TU_AP_DUNG'!$B$1:$B$5000, 0)), 0)</f>
        <v/>
      </c>
      <c r="K184" s="402">
        <f>I184*J184</f>
        <v/>
      </c>
      <c r="L184" t="inlineStr">
        <is>
          <t>Cơ cấu bánh răng đóng mở OBD</t>
        </is>
      </c>
    </row>
    <row r="185">
      <c r="A185" t="inlineStr">
        <is>
          <t>SW-DIFF-138-OBD-PAINT</t>
        </is>
      </c>
      <c r="B185" t="inlineStr">
        <is>
          <t>SW-DIFF-138</t>
        </is>
      </c>
      <c r="C185" t="inlineStr">
        <is>
          <t>Sơn tĩnh điện van OBD</t>
        </is>
      </c>
      <c r="D185" t="inlineStr">
        <is>
          <t>SƠN_TĨNH_ĐIỆN</t>
        </is>
      </c>
      <c r="E185" t="inlineStr">
        <is>
          <t>MAT-PAINT-POWDER</t>
        </is>
      </c>
      <c r="F185" t="inlineStr">
        <is>
          <t>m2</t>
        </is>
      </c>
      <c r="G185" s="406" t="n">
        <v>0.4126558877118645</v>
      </c>
      <c r="H185" s="402">
        <f>IFERROR(INDEX('00_TONG_HOP_BAO_GIA'!$G$1:$G$5000, MATCH(B185, '00_TONG_HOP_BAO_GIA'!$B$1:$B$5000, 0)), 1)</f>
        <v/>
      </c>
      <c r="I185" s="407">
        <f>G185*H185</f>
        <v/>
      </c>
      <c r="J185" s="402">
        <f>IFERROR(INDEX('06_BANG_GIA_VAT_TU_AP_DUNG'!$E$1:$E$5000, MATCH(E185, '06_BANG_GIA_VAT_TU_AP_DUNG'!$B$1:$B$5000, 0)), 0)</f>
        <v/>
      </c>
      <c r="K185" s="402">
        <f>I185*J185</f>
        <v/>
      </c>
      <c r="L185" t="inlineStr">
        <is>
          <t>Sơn tĩnh điện đen/trắng cho OBD</t>
        </is>
      </c>
    </row>
    <row r="186">
      <c r="A186" t="inlineStr">
        <is>
          <t>SW-DIFF-139-FRAME</t>
        </is>
      </c>
      <c r="B186" t="inlineStr">
        <is>
          <t>SW-DIFF-139</t>
        </is>
      </c>
      <c r="C186" t="inlineStr">
        <is>
          <t>Khung nhôm định hình (1 lớp BD)</t>
        </is>
      </c>
      <c r="D186" t="inlineStr">
        <is>
          <t>NHÔM_ĐỊNH_HÌNH</t>
        </is>
      </c>
      <c r="E186" t="inlineStr">
        <is>
          <t>MAT-ALU-KHUNG-BD</t>
        </is>
      </c>
      <c r="F186" t="inlineStr">
        <is>
          <t>kg</t>
        </is>
      </c>
      <c r="G186" s="406" t="n">
        <v>0.7832222222222224</v>
      </c>
      <c r="H186" s="402">
        <f>IFERROR(INDEX('00_TONG_HOP_BAO_GIA'!$G$1:$G$5000, MATCH(B186, '00_TONG_HOP_BAO_GIA'!$B$1:$B$5000, 0)), 1)</f>
        <v/>
      </c>
      <c r="I186" s="407">
        <f>G186*H186</f>
        <v/>
      </c>
      <c r="J186" s="402">
        <f>IFERROR(INDEX('06_BANG_GIA_VAT_TU_AP_DUNG'!$E$1:$E$5000, MATCH(E186, '06_BANG_GIA_VAT_TU_AP_DUNG'!$B$1:$B$5000, 0)), 0)</f>
        <v/>
      </c>
      <c r="K186" s="402">
        <f>I186*J186</f>
        <v/>
      </c>
      <c r="L186" t="inlineStr">
        <is>
          <t>Khung bao 1010x710mm (cổ 900x600mm)</t>
        </is>
      </c>
    </row>
    <row r="187">
      <c r="A187" t="inlineStr">
        <is>
          <t>SW-DIFF-139-BLADE</t>
        </is>
      </c>
      <c r="B187" t="inlineStr">
        <is>
          <t>SW-DIFF-139</t>
        </is>
      </c>
      <c r="C187" t="inlineStr">
        <is>
          <t>Nan nhôm bầu dục (32 nan)</t>
        </is>
      </c>
      <c r="D187" t="inlineStr">
        <is>
          <t>NHÔM_ĐỊNH_HÌNH</t>
        </is>
      </c>
      <c r="E187" t="inlineStr">
        <is>
          <t>MAT-ALU-NAN-BD</t>
        </is>
      </c>
      <c r="F187" t="inlineStr">
        <is>
          <t>kg</t>
        </is>
      </c>
      <c r="G187" s="406" t="n">
        <v>1.859495291902072</v>
      </c>
      <c r="H187" s="402">
        <f>IFERROR(INDEX('00_TONG_HOP_BAO_GIA'!$G$1:$G$5000, MATCH(B187, '00_TONG_HOP_BAO_GIA'!$B$1:$B$5000, 0)), 1)</f>
        <v/>
      </c>
      <c r="I187" s="407">
        <f>G187*H187</f>
        <v/>
      </c>
      <c r="J187" s="402">
        <f>IFERROR(INDEX('06_BANG_GIA_VAT_TU_AP_DUNG'!$E$1:$E$5000, MATCH(E187, '06_BANG_GIA_VAT_TU_AP_DUNG'!$B$1:$B$5000, 0)), 0)</f>
        <v/>
      </c>
      <c r="K187" s="402">
        <f>I187*J187</f>
        <v/>
      </c>
      <c r="L187" t="inlineStr">
        <is>
          <t>Nan bầu dục @ 0.058kg/m</t>
        </is>
      </c>
    </row>
    <row r="188">
      <c r="A188" t="inlineStr">
        <is>
          <t>SW-DIFF-139-ACCESSORY</t>
        </is>
      </c>
      <c r="B188" t="inlineStr">
        <is>
          <t>SW-DIFF-139</t>
        </is>
      </c>
      <c r="C188" t="inlineStr">
        <is>
          <t>Phụ kiện lắp ghép / Ke góc cửa gió</t>
        </is>
      </c>
      <c r="D188" t="inlineStr">
        <is>
          <t>PHỤ_KIỆN_CỬA</t>
        </is>
      </c>
      <c r="E188" t="inlineStr">
        <is>
          <t>MAT-DOOR-ACCESSORY</t>
        </is>
      </c>
      <c r="F188" t="inlineStr">
        <is>
          <t>Bộ</t>
        </is>
      </c>
      <c r="G188" s="406" t="n">
        <v>0.8349026993094791</v>
      </c>
      <c r="H188" s="402">
        <f>IFERROR(INDEX('00_TONG_HOP_BAO_GIA'!$G$1:$G$5000, MATCH(B188, '00_TONG_HOP_BAO_GIA'!$B$1:$B$5000, 0)), 1)</f>
        <v/>
      </c>
      <c r="I188" s="407">
        <f>G188*H188</f>
        <v/>
      </c>
      <c r="J188" s="402">
        <f>IFERROR(INDEX('06_BANG_GIA_VAT_TU_AP_DUNG'!$E$1:$E$5000, MATCH(E188, '06_BANG_GIA_VAT_TU_AP_DUNG'!$B$1:$B$5000, 0)), 0)</f>
        <v/>
      </c>
      <c r="K188" s="402">
        <f>I188*J188</f>
        <v/>
      </c>
      <c r="L188" t="inlineStr">
        <is>
          <t>4 ke góc chìm và vít ghép khung</t>
        </is>
      </c>
    </row>
    <row r="189">
      <c r="A189" t="inlineStr">
        <is>
          <t>SW-DIFF-139-PAINT</t>
        </is>
      </c>
      <c r="B189" t="inlineStr">
        <is>
          <t>SW-DIFF-139</t>
        </is>
      </c>
      <c r="C189" t="inlineStr">
        <is>
          <t>Sơn tĩnh điện tiêu chuẩn Polyester</t>
        </is>
      </c>
      <c r="D189" t="inlineStr">
        <is>
          <t>SƠN_TĨNH_ĐIỆN</t>
        </is>
      </c>
      <c r="E189" t="inlineStr">
        <is>
          <t>MAT-PAINT-POWDER</t>
        </is>
      </c>
      <c r="F189" t="inlineStr">
        <is>
          <t>m2</t>
        </is>
      </c>
      <c r="G189" s="406" t="n">
        <v>0.8139569943502826</v>
      </c>
      <c r="H189" s="402">
        <f>IFERROR(INDEX('00_TONG_HOP_BAO_GIA'!$G$1:$G$5000, MATCH(B189, '00_TONG_HOP_BAO_GIA'!$B$1:$B$5000, 0)), 1)</f>
        <v/>
      </c>
      <c r="I189" s="407">
        <f>G189*H189</f>
        <v/>
      </c>
      <c r="J189" s="402">
        <f>IFERROR(INDEX('06_BANG_GIA_VAT_TU_AP_DUNG'!$E$1:$E$5000, MATCH(E189, '06_BANG_GIA_VAT_TU_AP_DUNG'!$B$1:$B$5000, 0)), 0)</f>
        <v/>
      </c>
      <c r="K189" s="402">
        <f>I189*J189</f>
        <v/>
      </c>
      <c r="L189" t="inlineStr">
        <is>
          <t>Sơn tĩnh điện hoàn thiện</t>
        </is>
      </c>
    </row>
    <row r="190">
      <c r="A190" t="inlineStr">
        <is>
          <t>SW-DIFF-139-OBD-FRAME</t>
        </is>
      </c>
      <c r="B190" t="inlineStr">
        <is>
          <t>SW-DIFF-139</t>
        </is>
      </c>
      <c r="C190" t="inlineStr">
        <is>
          <t>Khung nhôm van OBD gắn cửa (SOBD)</t>
        </is>
      </c>
      <c r="D190" t="inlineStr">
        <is>
          <t>NHÔM_ĐỊNH_HÌNH</t>
        </is>
      </c>
      <c r="E190" t="inlineStr">
        <is>
          <t>MAT-ALU-KHUNG-OBD</t>
        </is>
      </c>
      <c r="F190" t="inlineStr">
        <is>
          <t>kg</t>
        </is>
      </c>
      <c r="G190" s="406" t="n">
        <v>0.484786252354049</v>
      </c>
      <c r="H190" s="402">
        <f>IFERROR(INDEX('00_TONG_HOP_BAO_GIA'!$G$1:$G$5000, MATCH(B190, '00_TONG_HOP_BAO_GIA'!$B$1:$B$5000, 0)), 1)</f>
        <v/>
      </c>
      <c r="I190" s="407">
        <f>G190*H190</f>
        <v/>
      </c>
      <c r="J190" s="402">
        <f>IFERROR(INDEX('06_BANG_GIA_VAT_TU_AP_DUNG'!$E$1:$E$5000, MATCH(E190, '06_BANG_GIA_VAT_TU_AP_DUNG'!$B$1:$B$5000, 0)), 0)</f>
        <v/>
      </c>
      <c r="K190" s="402">
        <f>I190*J190</f>
        <v/>
      </c>
      <c r="L190" t="inlineStr">
        <is>
          <t>Khung OBD 885x585mm</t>
        </is>
      </c>
    </row>
    <row r="191">
      <c r="A191" t="inlineStr">
        <is>
          <t>SW-DIFF-139-OBD-BLADE</t>
        </is>
      </c>
      <c r="B191" t="inlineStr">
        <is>
          <t>SW-DIFF-139</t>
        </is>
      </c>
      <c r="C191" t="inlineStr">
        <is>
          <t>Nan nhôm &amp; thanh truyền van OBD (SOBD)</t>
        </is>
      </c>
      <c r="D191" t="inlineStr">
        <is>
          <t>NHÔM_ĐỊNH_HÌNH</t>
        </is>
      </c>
      <c r="E191" t="inlineStr">
        <is>
          <t>MAT-ALU-NAN-OBD</t>
        </is>
      </c>
      <c r="F191" t="inlineStr">
        <is>
          <t>kg</t>
        </is>
      </c>
      <c r="G191" s="406" t="n">
        <v>1.411833509887006</v>
      </c>
      <c r="H191" s="402">
        <f>IFERROR(INDEX('00_TONG_HOP_BAO_GIA'!$G$1:$G$5000, MATCH(B191, '00_TONG_HOP_BAO_GIA'!$B$1:$B$5000, 0)), 1)</f>
        <v/>
      </c>
      <c r="I191" s="407">
        <f>G191*H191</f>
        <v/>
      </c>
      <c r="J191" s="402">
        <f>IFERROR(INDEX('06_BANG_GIA_VAT_TU_AP_DUNG'!$E$1:$E$5000, MATCH(E191, '06_BANG_GIA_VAT_TU_AP_DUNG'!$B$1:$B$5000, 0)), 0)</f>
        <v/>
      </c>
      <c r="K191" s="402">
        <f>I191*J191</f>
        <v/>
      </c>
      <c r="L191" t="inlineStr">
        <is>
          <t>Nan OBD đối xứng &amp; thanh liên kết</t>
        </is>
      </c>
    </row>
    <row r="192">
      <c r="A192" t="inlineStr">
        <is>
          <t>SW-DIFF-139-OBD-ACC</t>
        </is>
      </c>
      <c r="B192" t="inlineStr">
        <is>
          <t>SW-DIFF-139</t>
        </is>
      </c>
      <c r="C192" t="inlineStr">
        <is>
          <t>Bánh răng nhựa &amp; phụ kiện van OBD</t>
        </is>
      </c>
      <c r="D192" t="inlineStr">
        <is>
          <t>PHỤ_KIỆN_CỬA</t>
        </is>
      </c>
      <c r="E192" t="inlineStr">
        <is>
          <t>MAT-DOOR-ACCESSORY</t>
        </is>
      </c>
      <c r="F192" t="inlineStr">
        <is>
          <t>Bộ</t>
        </is>
      </c>
      <c r="G192" s="406" t="n">
        <v>1.600230173676502</v>
      </c>
      <c r="H192" s="402">
        <f>IFERROR(INDEX('00_TONG_HOP_BAO_GIA'!$G$1:$G$5000, MATCH(B192, '00_TONG_HOP_BAO_GIA'!$B$1:$B$5000, 0)), 1)</f>
        <v/>
      </c>
      <c r="I192" s="407">
        <f>G192*H192</f>
        <v/>
      </c>
      <c r="J192" s="402">
        <f>IFERROR(INDEX('06_BANG_GIA_VAT_TU_AP_DUNG'!$E$1:$E$5000, MATCH(E192, '06_BANG_GIA_VAT_TU_AP_DUNG'!$B$1:$B$5000, 0)), 0)</f>
        <v/>
      </c>
      <c r="K192" s="402">
        <f>I192*J192</f>
        <v/>
      </c>
      <c r="L192" t="inlineStr">
        <is>
          <t>Cơ cấu bánh răng đóng mở OBD</t>
        </is>
      </c>
    </row>
    <row r="193">
      <c r="A193" t="inlineStr">
        <is>
          <t>SW-DIFF-139-OBD-PAINT</t>
        </is>
      </c>
      <c r="B193" t="inlineStr">
        <is>
          <t>SW-DIFF-139</t>
        </is>
      </c>
      <c r="C193" t="inlineStr">
        <is>
          <t>Sơn tĩnh điện van OBD</t>
        </is>
      </c>
      <c r="D193" t="inlineStr">
        <is>
          <t>SƠN_TĨNH_ĐIỆN</t>
        </is>
      </c>
      <c r="E193" t="inlineStr">
        <is>
          <t>MAT-PAINT-POWDER</t>
        </is>
      </c>
      <c r="F193" t="inlineStr">
        <is>
          <t>m2</t>
        </is>
      </c>
      <c r="G193" s="406" t="n">
        <v>0.5841588867702449</v>
      </c>
      <c r="H193" s="402">
        <f>IFERROR(INDEX('00_TONG_HOP_BAO_GIA'!$G$1:$G$5000, MATCH(B193, '00_TONG_HOP_BAO_GIA'!$B$1:$B$5000, 0)), 1)</f>
        <v/>
      </c>
      <c r="I193" s="407">
        <f>G193*H193</f>
        <v/>
      </c>
      <c r="J193" s="402">
        <f>IFERROR(INDEX('06_BANG_GIA_VAT_TU_AP_DUNG'!$E$1:$E$5000, MATCH(E193, '06_BANG_GIA_VAT_TU_AP_DUNG'!$B$1:$B$5000, 0)), 0)</f>
        <v/>
      </c>
      <c r="K193" s="402">
        <f>I193*J193</f>
        <v/>
      </c>
      <c r="L193" t="inlineStr">
        <is>
          <t>Sơn tĩnh điện đen/trắng cho OBD</t>
        </is>
      </c>
    </row>
    <row r="194">
      <c r="A194" t="inlineStr">
        <is>
          <t>SW-DIFF-140-FRAME</t>
        </is>
      </c>
      <c r="B194" t="inlineStr">
        <is>
          <t>SW-DIFF-140</t>
        </is>
      </c>
      <c r="C194" t="inlineStr">
        <is>
          <t>Khung nhôm định hình (1 lớp BD)</t>
        </is>
      </c>
      <c r="D194" t="inlineStr">
        <is>
          <t>NHÔM_ĐỊNH_HÌNH</t>
        </is>
      </c>
      <c r="E194" t="inlineStr">
        <is>
          <t>MAT-ALU-KHUNG-BD</t>
        </is>
      </c>
      <c r="F194" t="inlineStr">
        <is>
          <t>kg</t>
        </is>
      </c>
      <c r="G194" s="406" t="n">
        <v>0.8896723163841809</v>
      </c>
      <c r="H194" s="402">
        <f>IFERROR(INDEX('00_TONG_HOP_BAO_GIA'!$G$1:$G$5000, MATCH(B194, '00_TONG_HOP_BAO_GIA'!$B$1:$B$5000, 0)), 1)</f>
        <v/>
      </c>
      <c r="I194" s="407">
        <f>G194*H194</f>
        <v/>
      </c>
      <c r="J194" s="402">
        <f>IFERROR(INDEX('06_BANG_GIA_VAT_TU_AP_DUNG'!$E$1:$E$5000, MATCH(E194, '06_BANG_GIA_VAT_TU_AP_DUNG'!$B$1:$B$5000, 0)), 0)</f>
        <v/>
      </c>
      <c r="K194" s="402">
        <f>I194*J194</f>
        <v/>
      </c>
      <c r="L194" t="inlineStr">
        <is>
          <t>Khung bao 960x960mm (cổ 850x850mm)</t>
        </is>
      </c>
    </row>
    <row r="195">
      <c r="A195" t="inlineStr">
        <is>
          <t>SW-DIFF-140-BLADE</t>
        </is>
      </c>
      <c r="B195" t="inlineStr">
        <is>
          <t>SW-DIFF-140</t>
        </is>
      </c>
      <c r="C195" t="inlineStr">
        <is>
          <t>Nan nhôm bầu dục (44 nan)</t>
        </is>
      </c>
      <c r="D195" t="inlineStr">
        <is>
          <t>NHÔM_ĐỊNH_HÌNH</t>
        </is>
      </c>
      <c r="E195" t="inlineStr">
        <is>
          <t>MAT-ALU-NAN-BD</t>
        </is>
      </c>
      <c r="F195" t="inlineStr">
        <is>
          <t>kg</t>
        </is>
      </c>
      <c r="G195" s="406" t="n">
        <v>2.423639045825487</v>
      </c>
      <c r="H195" s="402">
        <f>IFERROR(INDEX('00_TONG_HOP_BAO_GIA'!$G$1:$G$5000, MATCH(B195, '00_TONG_HOP_BAO_GIA'!$B$1:$B$5000, 0)), 1)</f>
        <v/>
      </c>
      <c r="I195" s="407">
        <f>G195*H195</f>
        <v/>
      </c>
      <c r="J195" s="402">
        <f>IFERROR(INDEX('06_BANG_GIA_VAT_TU_AP_DUNG'!$E$1:$E$5000, MATCH(E195, '06_BANG_GIA_VAT_TU_AP_DUNG'!$B$1:$B$5000, 0)), 0)</f>
        <v/>
      </c>
      <c r="K195" s="402">
        <f>I195*J195</f>
        <v/>
      </c>
      <c r="L195" t="inlineStr">
        <is>
          <t>Nan bầu dục @ 0.058kg/m</t>
        </is>
      </c>
    </row>
    <row r="196">
      <c r="A196" t="inlineStr">
        <is>
          <t>SW-DIFF-140-ACCESSORY</t>
        </is>
      </c>
      <c r="B196" t="inlineStr">
        <is>
          <t>SW-DIFF-140</t>
        </is>
      </c>
      <c r="C196" t="inlineStr">
        <is>
          <t>Phụ kiện lắp ghép / Ke góc cửa gió</t>
        </is>
      </c>
      <c r="D196" t="inlineStr">
        <is>
          <t>PHỤ_KIỆN_CỬA</t>
        </is>
      </c>
      <c r="E196" t="inlineStr">
        <is>
          <t>MAT-DOOR-ACCESSORY</t>
        </is>
      </c>
      <c r="F196" t="inlineStr">
        <is>
          <t>Bộ</t>
        </is>
      </c>
      <c r="G196" s="406" t="n">
        <v>0.8349026993094791</v>
      </c>
      <c r="H196" s="402">
        <f>IFERROR(INDEX('00_TONG_HOP_BAO_GIA'!$G$1:$G$5000, MATCH(B196, '00_TONG_HOP_BAO_GIA'!$B$1:$B$5000, 0)), 1)</f>
        <v/>
      </c>
      <c r="I196" s="407">
        <f>G196*H196</f>
        <v/>
      </c>
      <c r="J196" s="402">
        <f>IFERROR(INDEX('06_BANG_GIA_VAT_TU_AP_DUNG'!$E$1:$E$5000, MATCH(E196, '06_BANG_GIA_VAT_TU_AP_DUNG'!$B$1:$B$5000, 0)), 0)</f>
        <v/>
      </c>
      <c r="K196" s="402">
        <f>I196*J196</f>
        <v/>
      </c>
      <c r="L196" t="inlineStr">
        <is>
          <t>4 ke góc chìm và vít ghép khung</t>
        </is>
      </c>
    </row>
    <row r="197">
      <c r="A197" t="inlineStr">
        <is>
          <t>SW-DIFF-140-PAINT</t>
        </is>
      </c>
      <c r="B197" t="inlineStr">
        <is>
          <t>SW-DIFF-140</t>
        </is>
      </c>
      <c r="C197" t="inlineStr">
        <is>
          <t>Sơn tĩnh điện tiêu chuẩn Polyester</t>
        </is>
      </c>
      <c r="D197" t="inlineStr">
        <is>
          <t>SƠN_TĨNH_ĐIỆN</t>
        </is>
      </c>
      <c r="E197" t="inlineStr">
        <is>
          <t>MAT-PAINT-POWDER</t>
        </is>
      </c>
      <c r="F197" t="inlineStr">
        <is>
          <t>m2</t>
        </is>
      </c>
      <c r="G197" s="406" t="n">
        <v>1.020499899560578</v>
      </c>
      <c r="H197" s="402">
        <f>IFERROR(INDEX('00_TONG_HOP_BAO_GIA'!$G$1:$G$5000, MATCH(B197, '00_TONG_HOP_BAO_GIA'!$B$1:$B$5000, 0)), 1)</f>
        <v/>
      </c>
      <c r="I197" s="407">
        <f>G197*H197</f>
        <v/>
      </c>
      <c r="J197" s="402">
        <f>IFERROR(INDEX('06_BANG_GIA_VAT_TU_AP_DUNG'!$E$1:$E$5000, MATCH(E197, '06_BANG_GIA_VAT_TU_AP_DUNG'!$B$1:$B$5000, 0)), 0)</f>
        <v/>
      </c>
      <c r="K197" s="402">
        <f>I197*J197</f>
        <v/>
      </c>
      <c r="L197" t="inlineStr">
        <is>
          <t>Sơn tĩnh điện hoàn thiện</t>
        </is>
      </c>
    </row>
    <row r="198">
      <c r="A198" t="inlineStr">
        <is>
          <t>SW-DIFF-140-OBD-FRAME</t>
        </is>
      </c>
      <c r="B198" t="inlineStr">
        <is>
          <t>SW-DIFF-140</t>
        </is>
      </c>
      <c r="C198" t="inlineStr">
        <is>
          <t>Khung nhôm van OBD gắn cửa (SOBD)</t>
        </is>
      </c>
      <c r="D198" t="inlineStr">
        <is>
          <t>NHÔM_ĐỊNH_HÌNH</t>
        </is>
      </c>
      <c r="E198" t="inlineStr">
        <is>
          <t>MAT-ALU-KHUNG-OBD</t>
        </is>
      </c>
      <c r="F198" t="inlineStr">
        <is>
          <t>kg</t>
        </is>
      </c>
      <c r="G198" s="406" t="n">
        <v>0.5507435655994979</v>
      </c>
      <c r="H198" s="402">
        <f>IFERROR(INDEX('00_TONG_HOP_BAO_GIA'!$G$1:$G$5000, MATCH(B198, '00_TONG_HOP_BAO_GIA'!$B$1:$B$5000, 0)), 1)</f>
        <v/>
      </c>
      <c r="I198" s="407">
        <f>G198*H198</f>
        <v/>
      </c>
      <c r="J198" s="402">
        <f>IFERROR(INDEX('06_BANG_GIA_VAT_TU_AP_DUNG'!$E$1:$E$5000, MATCH(E198, '06_BANG_GIA_VAT_TU_AP_DUNG'!$B$1:$B$5000, 0)), 0)</f>
        <v/>
      </c>
      <c r="K198" s="402">
        <f>I198*J198</f>
        <v/>
      </c>
      <c r="L198" t="inlineStr">
        <is>
          <t>Khung OBD 835x835mm</t>
        </is>
      </c>
    </row>
    <row r="199">
      <c r="A199" t="inlineStr">
        <is>
          <t>SW-DIFF-140-OBD-BLADE</t>
        </is>
      </c>
      <c r="B199" t="inlineStr">
        <is>
          <t>SW-DIFF-140</t>
        </is>
      </c>
      <c r="C199" t="inlineStr">
        <is>
          <t>Nan nhôm &amp; thanh truyền van OBD (SOBD)</t>
        </is>
      </c>
      <c r="D199" t="inlineStr">
        <is>
          <t>NHÔM_ĐỊNH_HÌNH</t>
        </is>
      </c>
      <c r="E199" t="inlineStr">
        <is>
          <t>MAT-ALU-NAN-OBD</t>
        </is>
      </c>
      <c r="F199" t="inlineStr">
        <is>
          <t>kg</t>
        </is>
      </c>
      <c r="G199" s="406" t="n">
        <v>1.906252452134338</v>
      </c>
      <c r="H199" s="402">
        <f>IFERROR(INDEX('00_TONG_HOP_BAO_GIA'!$G$1:$G$5000, MATCH(B199, '00_TONG_HOP_BAO_GIA'!$B$1:$B$5000, 0)), 1)</f>
        <v/>
      </c>
      <c r="I199" s="407">
        <f>G199*H199</f>
        <v/>
      </c>
      <c r="J199" s="402">
        <f>IFERROR(INDEX('06_BANG_GIA_VAT_TU_AP_DUNG'!$E$1:$E$5000, MATCH(E199, '06_BANG_GIA_VAT_TU_AP_DUNG'!$B$1:$B$5000, 0)), 0)</f>
        <v/>
      </c>
      <c r="K199" s="402">
        <f>I199*J199</f>
        <v/>
      </c>
      <c r="L199" t="inlineStr">
        <is>
          <t>Nan OBD đối xứng &amp; thanh liên kết</t>
        </is>
      </c>
    </row>
    <row r="200">
      <c r="A200" t="inlineStr">
        <is>
          <t>SW-DIFF-140-OBD-ACC</t>
        </is>
      </c>
      <c r="B200" t="inlineStr">
        <is>
          <t>SW-DIFF-140</t>
        </is>
      </c>
      <c r="C200" t="inlineStr">
        <is>
          <t>Bánh răng nhựa &amp; phụ kiện van OBD</t>
        </is>
      </c>
      <c r="D200" t="inlineStr">
        <is>
          <t>PHỤ_KIỆN_CỬA</t>
        </is>
      </c>
      <c r="E200" t="inlineStr">
        <is>
          <t>MAT-DOOR-ACCESSORY</t>
        </is>
      </c>
      <c r="F200" t="inlineStr">
        <is>
          <t>Bộ</t>
        </is>
      </c>
      <c r="G200" s="406" t="n">
        <v>1.600230173676502</v>
      </c>
      <c r="H200" s="402">
        <f>IFERROR(INDEX('00_TONG_HOP_BAO_GIA'!$G$1:$G$5000, MATCH(B200, '00_TONG_HOP_BAO_GIA'!$B$1:$B$5000, 0)), 1)</f>
        <v/>
      </c>
      <c r="I200" s="407">
        <f>G200*H200</f>
        <v/>
      </c>
      <c r="J200" s="402">
        <f>IFERROR(INDEX('06_BANG_GIA_VAT_TU_AP_DUNG'!$E$1:$E$5000, MATCH(E200, '06_BANG_GIA_VAT_TU_AP_DUNG'!$B$1:$B$5000, 0)), 0)</f>
        <v/>
      </c>
      <c r="K200" s="402">
        <f>I200*J200</f>
        <v/>
      </c>
      <c r="L200" t="inlineStr">
        <is>
          <t>Cơ cấu bánh răng đóng mở OBD</t>
        </is>
      </c>
    </row>
    <row r="201">
      <c r="A201" t="inlineStr">
        <is>
          <t>SW-DIFF-140-OBD-PAINT</t>
        </is>
      </c>
      <c r="B201" t="inlineStr">
        <is>
          <t>SW-DIFF-140</t>
        </is>
      </c>
      <c r="C201" t="inlineStr">
        <is>
          <t>Sơn tĩnh điện van OBD</t>
        </is>
      </c>
      <c r="D201" t="inlineStr">
        <is>
          <t>SƠN_TĨNH_ĐIỆN</t>
        </is>
      </c>
      <c r="E201" t="inlineStr">
        <is>
          <t>MAT-PAINT-POWDER</t>
        </is>
      </c>
      <c r="F201" t="inlineStr">
        <is>
          <t>m2</t>
        </is>
      </c>
      <c r="G201" s="406" t="n">
        <v>0.7567547734620215</v>
      </c>
      <c r="H201" s="402">
        <f>IFERROR(INDEX('00_TONG_HOP_BAO_GIA'!$G$1:$G$5000, MATCH(B201, '00_TONG_HOP_BAO_GIA'!$B$1:$B$5000, 0)), 1)</f>
        <v/>
      </c>
      <c r="I201" s="407">
        <f>G201*H201</f>
        <v/>
      </c>
      <c r="J201" s="402">
        <f>IFERROR(INDEX('06_BANG_GIA_VAT_TU_AP_DUNG'!$E$1:$E$5000, MATCH(E201, '06_BANG_GIA_VAT_TU_AP_DUNG'!$B$1:$B$5000, 0)), 0)</f>
        <v/>
      </c>
      <c r="K201" s="402">
        <f>I201*J201</f>
        <v/>
      </c>
      <c r="L201" t="inlineStr">
        <is>
          <t>Sơn tĩnh điện đen/trắng cho OBD</t>
        </is>
      </c>
    </row>
    <row r="202">
      <c r="A202" t="inlineStr">
        <is>
          <t>SW-DIFF-141-FRAME</t>
        </is>
      </c>
      <c r="B202" t="inlineStr">
        <is>
          <t>SW-DIFF-141</t>
        </is>
      </c>
      <c r="C202" t="inlineStr">
        <is>
          <t>Khung nhôm định hình (1 lớp BD)</t>
        </is>
      </c>
      <c r="D202" t="inlineStr">
        <is>
          <t>NHÔM_ĐỊNH_HÌNH</t>
        </is>
      </c>
      <c r="E202" t="inlineStr">
        <is>
          <t>MAT-ALU-KHUNG-BD</t>
        </is>
      </c>
      <c r="F202" t="inlineStr">
        <is>
          <t>kg</t>
        </is>
      </c>
      <c r="G202" s="406" t="n">
        <v>0.9476980539861897</v>
      </c>
      <c r="H202" s="402">
        <f>IFERROR(INDEX('00_TONG_HOP_BAO_GIA'!$G$1:$G$5000, MATCH(B202, '00_TONG_HOP_BAO_GIA'!$B$1:$B$5000, 0)), 1)</f>
        <v/>
      </c>
      <c r="I202" s="407">
        <f>G202*H202</f>
        <v/>
      </c>
      <c r="J202" s="402">
        <f>IFERROR(INDEX('06_BANG_GIA_VAT_TU_AP_DUNG'!$E$1:$E$5000, MATCH(E202, '06_BANG_GIA_VAT_TU_AP_DUNG'!$B$1:$B$5000, 0)), 0)</f>
        <v/>
      </c>
      <c r="K202" s="402">
        <f>I202*J202</f>
        <v/>
      </c>
      <c r="L202" t="inlineStr">
        <is>
          <t>Khung bao 1160x910mm (cổ 1050x800mm)</t>
        </is>
      </c>
    </row>
    <row r="203">
      <c r="A203" t="inlineStr">
        <is>
          <t>SW-DIFF-141-BLADE</t>
        </is>
      </c>
      <c r="B203" t="inlineStr">
        <is>
          <t>SW-DIFF-141</t>
        </is>
      </c>
      <c r="C203" t="inlineStr">
        <is>
          <t>Nan nhôm bầu dục (42 nan)</t>
        </is>
      </c>
      <c r="D203" t="inlineStr">
        <is>
          <t>NHÔM_ĐỊNH_HÌNH</t>
        </is>
      </c>
      <c r="E203" t="inlineStr">
        <is>
          <t>MAT-ALU-NAN-BD</t>
        </is>
      </c>
      <c r="F203" t="inlineStr">
        <is>
          <t>kg</t>
        </is>
      </c>
      <c r="G203" s="406" t="n">
        <v>2.821929378531074</v>
      </c>
      <c r="H203" s="402">
        <f>IFERROR(INDEX('00_TONG_HOP_BAO_GIA'!$G$1:$G$5000, MATCH(B203, '00_TONG_HOP_BAO_GIA'!$B$1:$B$5000, 0)), 1)</f>
        <v/>
      </c>
      <c r="I203" s="407">
        <f>G203*H203</f>
        <v/>
      </c>
      <c r="J203" s="402">
        <f>IFERROR(INDEX('06_BANG_GIA_VAT_TU_AP_DUNG'!$E$1:$E$5000, MATCH(E203, '06_BANG_GIA_VAT_TU_AP_DUNG'!$B$1:$B$5000, 0)), 0)</f>
        <v/>
      </c>
      <c r="K203" s="402">
        <f>I203*J203</f>
        <v/>
      </c>
      <c r="L203" t="inlineStr">
        <is>
          <t>Nan bầu dục @ 0.058kg/m</t>
        </is>
      </c>
    </row>
    <row r="204">
      <c r="A204" t="inlineStr">
        <is>
          <t>SW-DIFF-141-ACCESSORY</t>
        </is>
      </c>
      <c r="B204" t="inlineStr">
        <is>
          <t>SW-DIFF-141</t>
        </is>
      </c>
      <c r="C204" t="inlineStr">
        <is>
          <t>Phụ kiện lắp ghép / Ke góc cửa gió</t>
        </is>
      </c>
      <c r="D204" t="inlineStr">
        <is>
          <t>PHỤ_KIỆN_CỬA</t>
        </is>
      </c>
      <c r="E204" t="inlineStr">
        <is>
          <t>MAT-DOOR-ACCESSORY</t>
        </is>
      </c>
      <c r="F204" t="inlineStr">
        <is>
          <t>Bộ</t>
        </is>
      </c>
      <c r="G204" s="406" t="n">
        <v>0.8349026993094791</v>
      </c>
      <c r="H204" s="402">
        <f>IFERROR(INDEX('00_TONG_HOP_BAO_GIA'!$G$1:$G$5000, MATCH(B204, '00_TONG_HOP_BAO_GIA'!$B$1:$B$5000, 0)), 1)</f>
        <v/>
      </c>
      <c r="I204" s="407">
        <f>G204*H204</f>
        <v/>
      </c>
      <c r="J204" s="402">
        <f>IFERROR(INDEX('06_BANG_GIA_VAT_TU_AP_DUNG'!$E$1:$E$5000, MATCH(E204, '06_BANG_GIA_VAT_TU_AP_DUNG'!$B$1:$B$5000, 0)), 0)</f>
        <v/>
      </c>
      <c r="K204" s="402">
        <f>I204*J204</f>
        <v/>
      </c>
      <c r="L204" t="inlineStr">
        <is>
          <t>4 ke góc chìm và vít ghép khung</t>
        </is>
      </c>
    </row>
    <row r="205">
      <c r="A205" t="inlineStr">
        <is>
          <t>SW-DIFF-141-PAINT</t>
        </is>
      </c>
      <c r="B205" t="inlineStr">
        <is>
          <t>SW-DIFF-141</t>
        </is>
      </c>
      <c r="C205" t="inlineStr">
        <is>
          <t>Sơn tĩnh điện tiêu chuẩn Polyester</t>
        </is>
      </c>
      <c r="D205" t="inlineStr">
        <is>
          <t>SƠN_TĨNH_ĐIỆN</t>
        </is>
      </c>
      <c r="E205" t="inlineStr">
        <is>
          <t>MAT-PAINT-POWDER</t>
        </is>
      </c>
      <c r="F205" t="inlineStr">
        <is>
          <t>m2</t>
        </is>
      </c>
      <c r="G205" s="406" t="n">
        <v>1.161045249215317</v>
      </c>
      <c r="H205" s="402">
        <f>IFERROR(INDEX('00_TONG_HOP_BAO_GIA'!$G$1:$G$5000, MATCH(B205, '00_TONG_HOP_BAO_GIA'!$B$1:$B$5000, 0)), 1)</f>
        <v/>
      </c>
      <c r="I205" s="407">
        <f>G205*H205</f>
        <v/>
      </c>
      <c r="J205" s="402">
        <f>IFERROR(INDEX('06_BANG_GIA_VAT_TU_AP_DUNG'!$E$1:$E$5000, MATCH(E205, '06_BANG_GIA_VAT_TU_AP_DUNG'!$B$1:$B$5000, 0)), 0)</f>
        <v/>
      </c>
      <c r="K205" s="402">
        <f>I205*J205</f>
        <v/>
      </c>
      <c r="L205" t="inlineStr">
        <is>
          <t>Sơn tĩnh điện hoàn thiện</t>
        </is>
      </c>
    </row>
    <row r="206">
      <c r="A206" t="inlineStr">
        <is>
          <t>SW-DIFF-141-OBD-FRAME</t>
        </is>
      </c>
      <c r="B206" t="inlineStr">
        <is>
          <t>SW-DIFF-141</t>
        </is>
      </c>
      <c r="C206" t="inlineStr">
        <is>
          <t>Khung nhôm van OBD gắn cửa (SOBD)</t>
        </is>
      </c>
      <c r="D206" t="inlineStr">
        <is>
          <t>NHÔM_ĐỊNH_HÌNH</t>
        </is>
      </c>
      <c r="E206" t="inlineStr">
        <is>
          <t>MAT-ALU-KHUNG-OBD</t>
        </is>
      </c>
      <c r="F206" t="inlineStr">
        <is>
          <t>kg</t>
        </is>
      </c>
      <c r="G206" s="406" t="n">
        <v>0.6002115505335845</v>
      </c>
      <c r="H206" s="402">
        <f>IFERROR(INDEX('00_TONG_HOP_BAO_GIA'!$G$1:$G$5000, MATCH(B206, '00_TONG_HOP_BAO_GIA'!$B$1:$B$5000, 0)), 1)</f>
        <v/>
      </c>
      <c r="I206" s="407">
        <f>G206*H206</f>
        <v/>
      </c>
      <c r="J206" s="402">
        <f>IFERROR(INDEX('06_BANG_GIA_VAT_TU_AP_DUNG'!$E$1:$E$5000, MATCH(E206, '06_BANG_GIA_VAT_TU_AP_DUNG'!$B$1:$B$5000, 0)), 0)</f>
        <v/>
      </c>
      <c r="K206" s="402">
        <f>I206*J206</f>
        <v/>
      </c>
      <c r="L206" t="inlineStr">
        <is>
          <t>Khung OBD 1035x785mm</t>
        </is>
      </c>
    </row>
    <row r="207">
      <c r="A207" t="inlineStr">
        <is>
          <t>SW-DIFF-141-OBD-BLADE</t>
        </is>
      </c>
      <c r="B207" t="inlineStr">
        <is>
          <t>SW-DIFF-141</t>
        </is>
      </c>
      <c r="C207" t="inlineStr">
        <is>
          <t>Nan nhôm &amp; thanh truyền van OBD (SOBD)</t>
        </is>
      </c>
      <c r="D207" t="inlineStr">
        <is>
          <t>NHÔM_ĐỊNH_HÌNH</t>
        </is>
      </c>
      <c r="E207" t="inlineStr">
        <is>
          <t>MAT-ALU-NAN-OBD</t>
        </is>
      </c>
      <c r="F207" t="inlineStr">
        <is>
          <t>kg</t>
        </is>
      </c>
      <c r="G207" s="406" t="n">
        <v>2.201729735561834</v>
      </c>
      <c r="H207" s="402">
        <f>IFERROR(INDEX('00_TONG_HOP_BAO_GIA'!$G$1:$G$5000, MATCH(B207, '00_TONG_HOP_BAO_GIA'!$B$1:$B$5000, 0)), 1)</f>
        <v/>
      </c>
      <c r="I207" s="407">
        <f>G207*H207</f>
        <v/>
      </c>
      <c r="J207" s="402">
        <f>IFERROR(INDEX('06_BANG_GIA_VAT_TU_AP_DUNG'!$E$1:$E$5000, MATCH(E207, '06_BANG_GIA_VAT_TU_AP_DUNG'!$B$1:$B$5000, 0)), 0)</f>
        <v/>
      </c>
      <c r="K207" s="402">
        <f>I207*J207</f>
        <v/>
      </c>
      <c r="L207" t="inlineStr">
        <is>
          <t>Nan OBD đối xứng &amp; thanh liên kết</t>
        </is>
      </c>
    </row>
    <row r="208">
      <c r="A208" t="inlineStr">
        <is>
          <t>SW-DIFF-141-OBD-ACC</t>
        </is>
      </c>
      <c r="B208" t="inlineStr">
        <is>
          <t>SW-DIFF-141</t>
        </is>
      </c>
      <c r="C208" t="inlineStr">
        <is>
          <t>Bánh răng nhựa &amp; phụ kiện van OBD</t>
        </is>
      </c>
      <c r="D208" t="inlineStr">
        <is>
          <t>PHỤ_KIỆN_CỬA</t>
        </is>
      </c>
      <c r="E208" t="inlineStr">
        <is>
          <t>MAT-DOOR-ACCESSORY</t>
        </is>
      </c>
      <c r="F208" t="inlineStr">
        <is>
          <t>Bộ</t>
        </is>
      </c>
      <c r="G208" s="406" t="n">
        <v>1.600230173676502</v>
      </c>
      <c r="H208" s="402">
        <f>IFERROR(INDEX('00_TONG_HOP_BAO_GIA'!$G$1:$G$5000, MATCH(B208, '00_TONG_HOP_BAO_GIA'!$B$1:$B$5000, 0)), 1)</f>
        <v/>
      </c>
      <c r="I208" s="407">
        <f>G208*H208</f>
        <v/>
      </c>
      <c r="J208" s="402">
        <f>IFERROR(INDEX('06_BANG_GIA_VAT_TU_AP_DUNG'!$E$1:$E$5000, MATCH(E208, '06_BANG_GIA_VAT_TU_AP_DUNG'!$B$1:$B$5000, 0)), 0)</f>
        <v/>
      </c>
      <c r="K208" s="402">
        <f>I208*J208</f>
        <v/>
      </c>
      <c r="L208" t="inlineStr">
        <is>
          <t>Cơ cấu bánh răng đóng mở OBD</t>
        </is>
      </c>
    </row>
    <row r="209">
      <c r="A209" t="inlineStr">
        <is>
          <t>SW-DIFF-141-OBD-PAINT</t>
        </is>
      </c>
      <c r="B209" t="inlineStr">
        <is>
          <t>SW-DIFF-141</t>
        </is>
      </c>
      <c r="C209" t="inlineStr">
        <is>
          <t>Sơn tĩnh điện van OBD</t>
        </is>
      </c>
      <c r="D209" t="inlineStr">
        <is>
          <t>SƠN_TĨNH_ĐIỆN</t>
        </is>
      </c>
      <c r="E209" t="inlineStr">
        <is>
          <t>MAT-PAINT-POWDER</t>
        </is>
      </c>
      <c r="F209" t="inlineStr">
        <is>
          <t>m2</t>
        </is>
      </c>
      <c r="G209" s="406" t="n">
        <v>0.862997916117389</v>
      </c>
      <c r="H209" s="402">
        <f>IFERROR(INDEX('00_TONG_HOP_BAO_GIA'!$G$1:$G$5000, MATCH(B209, '00_TONG_HOP_BAO_GIA'!$B$1:$B$5000, 0)), 1)</f>
        <v/>
      </c>
      <c r="I209" s="407">
        <f>G209*H209</f>
        <v/>
      </c>
      <c r="J209" s="402">
        <f>IFERROR(INDEX('06_BANG_GIA_VAT_TU_AP_DUNG'!$E$1:$E$5000, MATCH(E209, '06_BANG_GIA_VAT_TU_AP_DUNG'!$B$1:$B$5000, 0)), 0)</f>
        <v/>
      </c>
      <c r="K209" s="402">
        <f>I209*J209</f>
        <v/>
      </c>
      <c r="L209" t="inlineStr">
        <is>
          <t>Sơn tĩnh điện đen/trắng cho OBD</t>
        </is>
      </c>
    </row>
    <row r="210">
      <c r="A210" t="inlineStr">
        <is>
          <t>SW-DIFF-142-FRAME</t>
        </is>
      </c>
      <c r="B210" t="inlineStr">
        <is>
          <t>SW-DIFF-142</t>
        </is>
      </c>
      <c r="C210" t="inlineStr">
        <is>
          <t>Khung nhôm định hình (1 lớp BD)</t>
        </is>
      </c>
      <c r="D210" t="inlineStr">
        <is>
          <t>NHÔM_ĐỊNH_HÌNH</t>
        </is>
      </c>
      <c r="E210" t="inlineStr">
        <is>
          <t>MAT-ALU-KHUNG-BD</t>
        </is>
      </c>
      <c r="F210" t="inlineStr">
        <is>
          <t>kg</t>
        </is>
      </c>
      <c r="G210" s="406" t="n">
        <v>0.8896723163841809</v>
      </c>
      <c r="H210" s="402">
        <f>IFERROR(INDEX('00_TONG_HOP_BAO_GIA'!$G$1:$G$5000, MATCH(B210, '00_TONG_HOP_BAO_GIA'!$B$1:$B$5000, 0)), 1)</f>
        <v/>
      </c>
      <c r="I210" s="407">
        <f>G210*H210</f>
        <v/>
      </c>
      <c r="J210" s="402">
        <f>IFERROR(INDEX('06_BANG_GIA_VAT_TU_AP_DUNG'!$E$1:$E$5000, MATCH(E210, '06_BANG_GIA_VAT_TU_AP_DUNG'!$B$1:$B$5000, 0)), 0)</f>
        <v/>
      </c>
      <c r="K210" s="402">
        <f>I210*J210</f>
        <v/>
      </c>
      <c r="L210" t="inlineStr">
        <is>
          <t>Khung bao 960x960mm (cổ 850x850mm)</t>
        </is>
      </c>
    </row>
    <row r="211">
      <c r="A211" t="inlineStr">
        <is>
          <t>SW-DIFF-142-BLADE</t>
        </is>
      </c>
      <c r="B211" t="inlineStr">
        <is>
          <t>SW-DIFF-142</t>
        </is>
      </c>
      <c r="C211" t="inlineStr">
        <is>
          <t>Nan nhôm bầu dục (44 nan)</t>
        </is>
      </c>
      <c r="D211" t="inlineStr">
        <is>
          <t>NHÔM_ĐỊNH_HÌNH</t>
        </is>
      </c>
      <c r="E211" t="inlineStr">
        <is>
          <t>MAT-ALU-NAN-BD</t>
        </is>
      </c>
      <c r="F211" t="inlineStr">
        <is>
          <t>kg</t>
        </is>
      </c>
      <c r="G211" s="406" t="n">
        <v>2.423639045825487</v>
      </c>
      <c r="H211" s="402">
        <f>IFERROR(INDEX('00_TONG_HOP_BAO_GIA'!$G$1:$G$5000, MATCH(B211, '00_TONG_HOP_BAO_GIA'!$B$1:$B$5000, 0)), 1)</f>
        <v/>
      </c>
      <c r="I211" s="407">
        <f>G211*H211</f>
        <v/>
      </c>
      <c r="J211" s="402">
        <f>IFERROR(INDEX('06_BANG_GIA_VAT_TU_AP_DUNG'!$E$1:$E$5000, MATCH(E211, '06_BANG_GIA_VAT_TU_AP_DUNG'!$B$1:$B$5000, 0)), 0)</f>
        <v/>
      </c>
      <c r="K211" s="402">
        <f>I211*J211</f>
        <v/>
      </c>
      <c r="L211" t="inlineStr">
        <is>
          <t>Nan bầu dục @ 0.058kg/m</t>
        </is>
      </c>
    </row>
    <row r="212">
      <c r="A212" t="inlineStr">
        <is>
          <t>SW-DIFF-142-ACCESSORY</t>
        </is>
      </c>
      <c r="B212" t="inlineStr">
        <is>
          <t>SW-DIFF-142</t>
        </is>
      </c>
      <c r="C212" t="inlineStr">
        <is>
          <t>Phụ kiện lắp ghép / Ke góc cửa gió</t>
        </is>
      </c>
      <c r="D212" t="inlineStr">
        <is>
          <t>PHỤ_KIỆN_CỬA</t>
        </is>
      </c>
      <c r="E212" t="inlineStr">
        <is>
          <t>MAT-DOOR-ACCESSORY</t>
        </is>
      </c>
      <c r="F212" t="inlineStr">
        <is>
          <t>Bộ</t>
        </is>
      </c>
      <c r="G212" s="406" t="n">
        <v>0.8349026993094791</v>
      </c>
      <c r="H212" s="402">
        <f>IFERROR(INDEX('00_TONG_HOP_BAO_GIA'!$G$1:$G$5000, MATCH(B212, '00_TONG_HOP_BAO_GIA'!$B$1:$B$5000, 0)), 1)</f>
        <v/>
      </c>
      <c r="I212" s="407">
        <f>G212*H212</f>
        <v/>
      </c>
      <c r="J212" s="402">
        <f>IFERROR(INDEX('06_BANG_GIA_VAT_TU_AP_DUNG'!$E$1:$E$5000, MATCH(E212, '06_BANG_GIA_VAT_TU_AP_DUNG'!$B$1:$B$5000, 0)), 0)</f>
        <v/>
      </c>
      <c r="K212" s="402">
        <f>I212*J212</f>
        <v/>
      </c>
      <c r="L212" t="inlineStr">
        <is>
          <t>4 ke góc chìm và vít ghép khung</t>
        </is>
      </c>
    </row>
    <row r="213">
      <c r="A213" t="inlineStr">
        <is>
          <t>SW-DIFF-142-PAINT</t>
        </is>
      </c>
      <c r="B213" t="inlineStr">
        <is>
          <t>SW-DIFF-142</t>
        </is>
      </c>
      <c r="C213" t="inlineStr">
        <is>
          <t>Sơn tĩnh điện tiêu chuẩn Polyester</t>
        </is>
      </c>
      <c r="D213" t="inlineStr">
        <is>
          <t>SƠN_TĨNH_ĐIỆN</t>
        </is>
      </c>
      <c r="E213" t="inlineStr">
        <is>
          <t>MAT-PAINT-POWDER</t>
        </is>
      </c>
      <c r="F213" t="inlineStr">
        <is>
          <t>m2</t>
        </is>
      </c>
      <c r="G213" s="406" t="n">
        <v>1.020499899560578</v>
      </c>
      <c r="H213" s="402">
        <f>IFERROR(INDEX('00_TONG_HOP_BAO_GIA'!$G$1:$G$5000, MATCH(B213, '00_TONG_HOP_BAO_GIA'!$B$1:$B$5000, 0)), 1)</f>
        <v/>
      </c>
      <c r="I213" s="407">
        <f>G213*H213</f>
        <v/>
      </c>
      <c r="J213" s="402">
        <f>IFERROR(INDEX('06_BANG_GIA_VAT_TU_AP_DUNG'!$E$1:$E$5000, MATCH(E213, '06_BANG_GIA_VAT_TU_AP_DUNG'!$B$1:$B$5000, 0)), 0)</f>
        <v/>
      </c>
      <c r="K213" s="402">
        <f>I213*J213</f>
        <v/>
      </c>
      <c r="L213" t="inlineStr">
        <is>
          <t>Sơn tĩnh điện hoàn thiện</t>
        </is>
      </c>
    </row>
    <row r="214">
      <c r="A214" t="inlineStr">
        <is>
          <t>SW-DIFF-142-OBD-FRAME</t>
        </is>
      </c>
      <c r="B214" t="inlineStr">
        <is>
          <t>SW-DIFF-142</t>
        </is>
      </c>
      <c r="C214" t="inlineStr">
        <is>
          <t>Khung nhôm van OBD gắn cửa (SOBD)</t>
        </is>
      </c>
      <c r="D214" t="inlineStr">
        <is>
          <t>NHÔM_ĐỊNH_HÌNH</t>
        </is>
      </c>
      <c r="E214" t="inlineStr">
        <is>
          <t>MAT-ALU-KHUNG-OBD</t>
        </is>
      </c>
      <c r="F214" t="inlineStr">
        <is>
          <t>kg</t>
        </is>
      </c>
      <c r="G214" s="406" t="n">
        <v>0.5507435655994979</v>
      </c>
      <c r="H214" s="402">
        <f>IFERROR(INDEX('00_TONG_HOP_BAO_GIA'!$G$1:$G$5000, MATCH(B214, '00_TONG_HOP_BAO_GIA'!$B$1:$B$5000, 0)), 1)</f>
        <v/>
      </c>
      <c r="I214" s="407">
        <f>G214*H214</f>
        <v/>
      </c>
      <c r="J214" s="402">
        <f>IFERROR(INDEX('06_BANG_GIA_VAT_TU_AP_DUNG'!$E$1:$E$5000, MATCH(E214, '06_BANG_GIA_VAT_TU_AP_DUNG'!$B$1:$B$5000, 0)), 0)</f>
        <v/>
      </c>
      <c r="K214" s="402">
        <f>I214*J214</f>
        <v/>
      </c>
      <c r="L214" t="inlineStr">
        <is>
          <t>Khung OBD 835x835mm</t>
        </is>
      </c>
    </row>
    <row r="215">
      <c r="A215" t="inlineStr">
        <is>
          <t>SW-DIFF-142-OBD-BLADE</t>
        </is>
      </c>
      <c r="B215" t="inlineStr">
        <is>
          <t>SW-DIFF-142</t>
        </is>
      </c>
      <c r="C215" t="inlineStr">
        <is>
          <t>Nan nhôm &amp; thanh truyền van OBD (SOBD)</t>
        </is>
      </c>
      <c r="D215" t="inlineStr">
        <is>
          <t>NHÔM_ĐỊNH_HÌNH</t>
        </is>
      </c>
      <c r="E215" t="inlineStr">
        <is>
          <t>MAT-ALU-NAN-OBD</t>
        </is>
      </c>
      <c r="F215" t="inlineStr">
        <is>
          <t>kg</t>
        </is>
      </c>
      <c r="G215" s="406" t="n">
        <v>1.906252452134338</v>
      </c>
      <c r="H215" s="402">
        <f>IFERROR(INDEX('00_TONG_HOP_BAO_GIA'!$G$1:$G$5000, MATCH(B215, '00_TONG_HOP_BAO_GIA'!$B$1:$B$5000, 0)), 1)</f>
        <v/>
      </c>
      <c r="I215" s="407">
        <f>G215*H215</f>
        <v/>
      </c>
      <c r="J215" s="402">
        <f>IFERROR(INDEX('06_BANG_GIA_VAT_TU_AP_DUNG'!$E$1:$E$5000, MATCH(E215, '06_BANG_GIA_VAT_TU_AP_DUNG'!$B$1:$B$5000, 0)), 0)</f>
        <v/>
      </c>
      <c r="K215" s="402">
        <f>I215*J215</f>
        <v/>
      </c>
      <c r="L215" t="inlineStr">
        <is>
          <t>Nan OBD đối xứng &amp; thanh liên kết</t>
        </is>
      </c>
    </row>
    <row r="216">
      <c r="A216" t="inlineStr">
        <is>
          <t>SW-DIFF-142-OBD-ACC</t>
        </is>
      </c>
      <c r="B216" t="inlineStr">
        <is>
          <t>SW-DIFF-142</t>
        </is>
      </c>
      <c r="C216" t="inlineStr">
        <is>
          <t>Bánh răng nhựa &amp; phụ kiện van OBD</t>
        </is>
      </c>
      <c r="D216" t="inlineStr">
        <is>
          <t>PHỤ_KIỆN_CỬA</t>
        </is>
      </c>
      <c r="E216" t="inlineStr">
        <is>
          <t>MAT-DOOR-ACCESSORY</t>
        </is>
      </c>
      <c r="F216" t="inlineStr">
        <is>
          <t>Bộ</t>
        </is>
      </c>
      <c r="G216" s="406" t="n">
        <v>1.600230173676502</v>
      </c>
      <c r="H216" s="402">
        <f>IFERROR(INDEX('00_TONG_HOP_BAO_GIA'!$G$1:$G$5000, MATCH(B216, '00_TONG_HOP_BAO_GIA'!$B$1:$B$5000, 0)), 1)</f>
        <v/>
      </c>
      <c r="I216" s="407">
        <f>G216*H216</f>
        <v/>
      </c>
      <c r="J216" s="402">
        <f>IFERROR(INDEX('06_BANG_GIA_VAT_TU_AP_DUNG'!$E$1:$E$5000, MATCH(E216, '06_BANG_GIA_VAT_TU_AP_DUNG'!$B$1:$B$5000, 0)), 0)</f>
        <v/>
      </c>
      <c r="K216" s="402">
        <f>I216*J216</f>
        <v/>
      </c>
      <c r="L216" t="inlineStr">
        <is>
          <t>Cơ cấu bánh răng đóng mở OBD</t>
        </is>
      </c>
    </row>
    <row r="217">
      <c r="A217" t="inlineStr">
        <is>
          <t>SW-DIFF-142-OBD-PAINT</t>
        </is>
      </c>
      <c r="B217" t="inlineStr">
        <is>
          <t>SW-DIFF-142</t>
        </is>
      </c>
      <c r="C217" t="inlineStr">
        <is>
          <t>Sơn tĩnh điện van OBD</t>
        </is>
      </c>
      <c r="D217" t="inlineStr">
        <is>
          <t>SƠN_TĨNH_ĐIỆN</t>
        </is>
      </c>
      <c r="E217" t="inlineStr">
        <is>
          <t>MAT-PAINT-POWDER</t>
        </is>
      </c>
      <c r="F217" t="inlineStr">
        <is>
          <t>m2</t>
        </is>
      </c>
      <c r="G217" s="406" t="n">
        <v>0.7567547734620215</v>
      </c>
      <c r="H217" s="402">
        <f>IFERROR(INDEX('00_TONG_HOP_BAO_GIA'!$G$1:$G$5000, MATCH(B217, '00_TONG_HOP_BAO_GIA'!$B$1:$B$5000, 0)), 1)</f>
        <v/>
      </c>
      <c r="I217" s="407">
        <f>G217*H217</f>
        <v/>
      </c>
      <c r="J217" s="402">
        <f>IFERROR(INDEX('06_BANG_GIA_VAT_TU_AP_DUNG'!$E$1:$E$5000, MATCH(E217, '06_BANG_GIA_VAT_TU_AP_DUNG'!$B$1:$B$5000, 0)), 0)</f>
        <v/>
      </c>
      <c r="K217" s="402">
        <f>I217*J217</f>
        <v/>
      </c>
      <c r="L217" t="inlineStr">
        <is>
          <t>Sơn tĩnh điện đen/trắng cho OBD</t>
        </is>
      </c>
    </row>
    <row r="218">
      <c r="A218" t="inlineStr">
        <is>
          <t>SW-DIFF-143-FRAME</t>
        </is>
      </c>
      <c r="B218" t="inlineStr">
        <is>
          <t>SW-DIFF-143</t>
        </is>
      </c>
      <c r="C218" t="inlineStr">
        <is>
          <t>Khung nhôm định hình (1 lớp BD)</t>
        </is>
      </c>
      <c r="D218" t="inlineStr">
        <is>
          <t>NHÔM_ĐỊNH_HÌNH</t>
        </is>
      </c>
      <c r="E218" t="inlineStr">
        <is>
          <t>MAT-ALU-KHUNG-BD</t>
        </is>
      </c>
      <c r="F218" t="inlineStr">
        <is>
          <t>kg</t>
        </is>
      </c>
      <c r="G218" s="406" t="n">
        <v>0.8896723163841809</v>
      </c>
      <c r="H218" s="402">
        <f>IFERROR(INDEX('00_TONG_HOP_BAO_GIA'!$G$1:$G$5000, MATCH(B218, '00_TONG_HOP_BAO_GIA'!$B$1:$B$5000, 0)), 1)</f>
        <v/>
      </c>
      <c r="I218" s="407">
        <f>G218*H218</f>
        <v/>
      </c>
      <c r="J218" s="402">
        <f>IFERROR(INDEX('06_BANG_GIA_VAT_TU_AP_DUNG'!$E$1:$E$5000, MATCH(E218, '06_BANG_GIA_VAT_TU_AP_DUNG'!$B$1:$B$5000, 0)), 0)</f>
        <v/>
      </c>
      <c r="K218" s="402">
        <f>I218*J218</f>
        <v/>
      </c>
      <c r="L218" t="inlineStr">
        <is>
          <t>Khung bao 960x960mm (cổ 850x850mm)</t>
        </is>
      </c>
    </row>
    <row r="219">
      <c r="A219" t="inlineStr">
        <is>
          <t>SW-DIFF-143-BLADE</t>
        </is>
      </c>
      <c r="B219" t="inlineStr">
        <is>
          <t>SW-DIFF-143</t>
        </is>
      </c>
      <c r="C219" t="inlineStr">
        <is>
          <t>Nan nhôm bầu dục (44 nan)</t>
        </is>
      </c>
      <c r="D219" t="inlineStr">
        <is>
          <t>NHÔM_ĐỊNH_HÌNH</t>
        </is>
      </c>
      <c r="E219" t="inlineStr">
        <is>
          <t>MAT-ALU-NAN-BD</t>
        </is>
      </c>
      <c r="F219" t="inlineStr">
        <is>
          <t>kg</t>
        </is>
      </c>
      <c r="G219" s="406" t="n">
        <v>2.423639045825487</v>
      </c>
      <c r="H219" s="402">
        <f>IFERROR(INDEX('00_TONG_HOP_BAO_GIA'!$G$1:$G$5000, MATCH(B219, '00_TONG_HOP_BAO_GIA'!$B$1:$B$5000, 0)), 1)</f>
        <v/>
      </c>
      <c r="I219" s="407">
        <f>G219*H219</f>
        <v/>
      </c>
      <c r="J219" s="402">
        <f>IFERROR(INDEX('06_BANG_GIA_VAT_TU_AP_DUNG'!$E$1:$E$5000, MATCH(E219, '06_BANG_GIA_VAT_TU_AP_DUNG'!$B$1:$B$5000, 0)), 0)</f>
        <v/>
      </c>
      <c r="K219" s="402">
        <f>I219*J219</f>
        <v/>
      </c>
      <c r="L219" t="inlineStr">
        <is>
          <t>Nan bầu dục @ 0.058kg/m</t>
        </is>
      </c>
    </row>
    <row r="220">
      <c r="A220" t="inlineStr">
        <is>
          <t>SW-DIFF-143-ACCESSORY</t>
        </is>
      </c>
      <c r="B220" t="inlineStr">
        <is>
          <t>SW-DIFF-143</t>
        </is>
      </c>
      <c r="C220" t="inlineStr">
        <is>
          <t>Phụ kiện lắp ghép / Ke góc cửa gió</t>
        </is>
      </c>
      <c r="D220" t="inlineStr">
        <is>
          <t>PHỤ_KIỆN_CỬA</t>
        </is>
      </c>
      <c r="E220" t="inlineStr">
        <is>
          <t>MAT-DOOR-ACCESSORY</t>
        </is>
      </c>
      <c r="F220" t="inlineStr">
        <is>
          <t>Bộ</t>
        </is>
      </c>
      <c r="G220" s="406" t="n">
        <v>0.8349026993094791</v>
      </c>
      <c r="H220" s="402">
        <f>IFERROR(INDEX('00_TONG_HOP_BAO_GIA'!$G$1:$G$5000, MATCH(B220, '00_TONG_HOP_BAO_GIA'!$B$1:$B$5000, 0)), 1)</f>
        <v/>
      </c>
      <c r="I220" s="407">
        <f>G220*H220</f>
        <v/>
      </c>
      <c r="J220" s="402">
        <f>IFERROR(INDEX('06_BANG_GIA_VAT_TU_AP_DUNG'!$E$1:$E$5000, MATCH(E220, '06_BANG_GIA_VAT_TU_AP_DUNG'!$B$1:$B$5000, 0)), 0)</f>
        <v/>
      </c>
      <c r="K220" s="402">
        <f>I220*J220</f>
        <v/>
      </c>
      <c r="L220" t="inlineStr">
        <is>
          <t>4 ke góc chìm và vít ghép khung</t>
        </is>
      </c>
    </row>
    <row r="221">
      <c r="A221" t="inlineStr">
        <is>
          <t>SW-DIFF-143-PAINT</t>
        </is>
      </c>
      <c r="B221" t="inlineStr">
        <is>
          <t>SW-DIFF-143</t>
        </is>
      </c>
      <c r="C221" t="inlineStr">
        <is>
          <t>Sơn tĩnh điện tiêu chuẩn Polyester</t>
        </is>
      </c>
      <c r="D221" t="inlineStr">
        <is>
          <t>SƠN_TĨNH_ĐIỆN</t>
        </is>
      </c>
      <c r="E221" t="inlineStr">
        <is>
          <t>MAT-PAINT-POWDER</t>
        </is>
      </c>
      <c r="F221" t="inlineStr">
        <is>
          <t>m2</t>
        </is>
      </c>
      <c r="G221" s="406" t="n">
        <v>1.020499899560578</v>
      </c>
      <c r="H221" s="402">
        <f>IFERROR(INDEX('00_TONG_HOP_BAO_GIA'!$G$1:$G$5000, MATCH(B221, '00_TONG_HOP_BAO_GIA'!$B$1:$B$5000, 0)), 1)</f>
        <v/>
      </c>
      <c r="I221" s="407">
        <f>G221*H221</f>
        <v/>
      </c>
      <c r="J221" s="402">
        <f>IFERROR(INDEX('06_BANG_GIA_VAT_TU_AP_DUNG'!$E$1:$E$5000, MATCH(E221, '06_BANG_GIA_VAT_TU_AP_DUNG'!$B$1:$B$5000, 0)), 0)</f>
        <v/>
      </c>
      <c r="K221" s="402">
        <f>I221*J221</f>
        <v/>
      </c>
      <c r="L221" t="inlineStr">
        <is>
          <t>Sơn tĩnh điện hoàn thiện</t>
        </is>
      </c>
    </row>
    <row r="222">
      <c r="A222" t="inlineStr">
        <is>
          <t>SW-DIFF-143-OBD-FRAME</t>
        </is>
      </c>
      <c r="B222" t="inlineStr">
        <is>
          <t>SW-DIFF-143</t>
        </is>
      </c>
      <c r="C222" t="inlineStr">
        <is>
          <t>Khung nhôm van OBD gắn cửa (SOBD)</t>
        </is>
      </c>
      <c r="D222" t="inlineStr">
        <is>
          <t>NHÔM_ĐỊNH_HÌNH</t>
        </is>
      </c>
      <c r="E222" t="inlineStr">
        <is>
          <t>MAT-ALU-KHUNG-OBD</t>
        </is>
      </c>
      <c r="F222" t="inlineStr">
        <is>
          <t>kg</t>
        </is>
      </c>
      <c r="G222" s="406" t="n">
        <v>0.5507435655994979</v>
      </c>
      <c r="H222" s="402">
        <f>IFERROR(INDEX('00_TONG_HOP_BAO_GIA'!$G$1:$G$5000, MATCH(B222, '00_TONG_HOP_BAO_GIA'!$B$1:$B$5000, 0)), 1)</f>
        <v/>
      </c>
      <c r="I222" s="407">
        <f>G222*H222</f>
        <v/>
      </c>
      <c r="J222" s="402">
        <f>IFERROR(INDEX('06_BANG_GIA_VAT_TU_AP_DUNG'!$E$1:$E$5000, MATCH(E222, '06_BANG_GIA_VAT_TU_AP_DUNG'!$B$1:$B$5000, 0)), 0)</f>
        <v/>
      </c>
      <c r="K222" s="402">
        <f>I222*J222</f>
        <v/>
      </c>
      <c r="L222" t="inlineStr">
        <is>
          <t>Khung OBD 835x835mm</t>
        </is>
      </c>
    </row>
    <row r="223">
      <c r="A223" t="inlineStr">
        <is>
          <t>SW-DIFF-143-OBD-BLADE</t>
        </is>
      </c>
      <c r="B223" t="inlineStr">
        <is>
          <t>SW-DIFF-143</t>
        </is>
      </c>
      <c r="C223" t="inlineStr">
        <is>
          <t>Nan nhôm &amp; thanh truyền van OBD (SOBD)</t>
        </is>
      </c>
      <c r="D223" t="inlineStr">
        <is>
          <t>NHÔM_ĐỊNH_HÌNH</t>
        </is>
      </c>
      <c r="E223" t="inlineStr">
        <is>
          <t>MAT-ALU-NAN-OBD</t>
        </is>
      </c>
      <c r="F223" t="inlineStr">
        <is>
          <t>kg</t>
        </is>
      </c>
      <c r="G223" s="406" t="n">
        <v>1.906252452134338</v>
      </c>
      <c r="H223" s="402">
        <f>IFERROR(INDEX('00_TONG_HOP_BAO_GIA'!$G$1:$G$5000, MATCH(B223, '00_TONG_HOP_BAO_GIA'!$B$1:$B$5000, 0)), 1)</f>
        <v/>
      </c>
      <c r="I223" s="407">
        <f>G223*H223</f>
        <v/>
      </c>
      <c r="J223" s="402">
        <f>IFERROR(INDEX('06_BANG_GIA_VAT_TU_AP_DUNG'!$E$1:$E$5000, MATCH(E223, '06_BANG_GIA_VAT_TU_AP_DUNG'!$B$1:$B$5000, 0)), 0)</f>
        <v/>
      </c>
      <c r="K223" s="402">
        <f>I223*J223</f>
        <v/>
      </c>
      <c r="L223" t="inlineStr">
        <is>
          <t>Nan OBD đối xứng &amp; thanh liên kết</t>
        </is>
      </c>
    </row>
    <row r="224">
      <c r="A224" t="inlineStr">
        <is>
          <t>SW-DIFF-143-OBD-ACC</t>
        </is>
      </c>
      <c r="B224" t="inlineStr">
        <is>
          <t>SW-DIFF-143</t>
        </is>
      </c>
      <c r="C224" t="inlineStr">
        <is>
          <t>Bánh răng nhựa &amp; phụ kiện van OBD</t>
        </is>
      </c>
      <c r="D224" t="inlineStr">
        <is>
          <t>PHỤ_KIỆN_CỬA</t>
        </is>
      </c>
      <c r="E224" t="inlineStr">
        <is>
          <t>MAT-DOOR-ACCESSORY</t>
        </is>
      </c>
      <c r="F224" t="inlineStr">
        <is>
          <t>Bộ</t>
        </is>
      </c>
      <c r="G224" s="406" t="n">
        <v>1.600230173676502</v>
      </c>
      <c r="H224" s="402">
        <f>IFERROR(INDEX('00_TONG_HOP_BAO_GIA'!$G$1:$G$5000, MATCH(B224, '00_TONG_HOP_BAO_GIA'!$B$1:$B$5000, 0)), 1)</f>
        <v/>
      </c>
      <c r="I224" s="407">
        <f>G224*H224</f>
        <v/>
      </c>
      <c r="J224" s="402">
        <f>IFERROR(INDEX('06_BANG_GIA_VAT_TU_AP_DUNG'!$E$1:$E$5000, MATCH(E224, '06_BANG_GIA_VAT_TU_AP_DUNG'!$B$1:$B$5000, 0)), 0)</f>
        <v/>
      </c>
      <c r="K224" s="402">
        <f>I224*J224</f>
        <v/>
      </c>
      <c r="L224" t="inlineStr">
        <is>
          <t>Cơ cấu bánh răng đóng mở OBD</t>
        </is>
      </c>
    </row>
    <row r="225">
      <c r="A225" t="inlineStr">
        <is>
          <t>SW-DIFF-143-OBD-PAINT</t>
        </is>
      </c>
      <c r="B225" t="inlineStr">
        <is>
          <t>SW-DIFF-143</t>
        </is>
      </c>
      <c r="C225" t="inlineStr">
        <is>
          <t>Sơn tĩnh điện van OBD</t>
        </is>
      </c>
      <c r="D225" t="inlineStr">
        <is>
          <t>SƠN_TĨNH_ĐIỆN</t>
        </is>
      </c>
      <c r="E225" t="inlineStr">
        <is>
          <t>MAT-PAINT-POWDER</t>
        </is>
      </c>
      <c r="F225" t="inlineStr">
        <is>
          <t>m2</t>
        </is>
      </c>
      <c r="G225" s="406" t="n">
        <v>0.7567547734620215</v>
      </c>
      <c r="H225" s="402">
        <f>IFERROR(INDEX('00_TONG_HOP_BAO_GIA'!$G$1:$G$5000, MATCH(B225, '00_TONG_HOP_BAO_GIA'!$B$1:$B$5000, 0)), 1)</f>
        <v/>
      </c>
      <c r="I225" s="407">
        <f>G225*H225</f>
        <v/>
      </c>
      <c r="J225" s="402">
        <f>IFERROR(INDEX('06_BANG_GIA_VAT_TU_AP_DUNG'!$E$1:$E$5000, MATCH(E225, '06_BANG_GIA_VAT_TU_AP_DUNG'!$B$1:$B$5000, 0)), 0)</f>
        <v/>
      </c>
      <c r="K225" s="402">
        <f>I225*J225</f>
        <v/>
      </c>
      <c r="L225" t="inlineStr">
        <is>
          <t>Sơn tĩnh điện đen/trắng cho OBD</t>
        </is>
      </c>
    </row>
    <row r="226">
      <c r="A226" t="inlineStr">
        <is>
          <t>SW-DIFF-144-FRAME</t>
        </is>
      </c>
      <c r="B226" t="inlineStr">
        <is>
          <t>SW-DIFF-144</t>
        </is>
      </c>
      <c r="C226" t="inlineStr">
        <is>
          <t>Khung nhôm định hình (1 lớp BD)</t>
        </is>
      </c>
      <c r="D226" t="inlineStr">
        <is>
          <t>NHÔM_ĐỊNH_HÌNH</t>
        </is>
      </c>
      <c r="E226" t="inlineStr">
        <is>
          <t>MAT-ALU-KHUNG-BD</t>
        </is>
      </c>
      <c r="F226" t="inlineStr">
        <is>
          <t>kg</t>
        </is>
      </c>
      <c r="G226" s="406" t="n">
        <v>0.3336271186440678</v>
      </c>
      <c r="H226" s="402">
        <f>IFERROR(INDEX('00_TONG_HOP_BAO_GIA'!$G$1:$G$5000, MATCH(B226, '00_TONG_HOP_BAO_GIA'!$B$1:$B$5000, 0)), 1)</f>
        <v/>
      </c>
      <c r="I226" s="407">
        <f>G226*H226</f>
        <v/>
      </c>
      <c r="J226" s="402">
        <f>IFERROR(INDEX('06_BANG_GIA_VAT_TU_AP_DUNG'!$E$1:$E$5000, MATCH(E226, '06_BANG_GIA_VAT_TU_AP_DUNG'!$B$1:$B$5000, 0)), 0)</f>
        <v/>
      </c>
      <c r="K226" s="402">
        <f>I226*J226</f>
        <v/>
      </c>
      <c r="L226" t="inlineStr">
        <is>
          <t>Khung bao 360x360mm (cổ 250x250mm)</t>
        </is>
      </c>
    </row>
    <row r="227">
      <c r="A227" t="inlineStr">
        <is>
          <t>SW-DIFF-144-BLADE</t>
        </is>
      </c>
      <c r="B227" t="inlineStr">
        <is>
          <t>SW-DIFF-144</t>
        </is>
      </c>
      <c r="C227" t="inlineStr">
        <is>
          <t>Nan nhôm bầu dục (15 nan)</t>
        </is>
      </c>
      <c r="D227" t="inlineStr">
        <is>
          <t>NHÔM_ĐỊNH_HÌNH</t>
        </is>
      </c>
      <c r="E227" t="inlineStr">
        <is>
          <t>MAT-ALU-NAN-BD</t>
        </is>
      </c>
      <c r="F227" t="inlineStr">
        <is>
          <t>kg</t>
        </is>
      </c>
      <c r="G227" s="406" t="n">
        <v>0.2814665725047082</v>
      </c>
      <c r="H227" s="402">
        <f>IFERROR(INDEX('00_TONG_HOP_BAO_GIA'!$G$1:$G$5000, MATCH(B227, '00_TONG_HOP_BAO_GIA'!$B$1:$B$5000, 0)), 1)</f>
        <v/>
      </c>
      <c r="I227" s="407">
        <f>G227*H227</f>
        <v/>
      </c>
      <c r="J227" s="402">
        <f>IFERROR(INDEX('06_BANG_GIA_VAT_TU_AP_DUNG'!$E$1:$E$5000, MATCH(E227, '06_BANG_GIA_VAT_TU_AP_DUNG'!$B$1:$B$5000, 0)), 0)</f>
        <v/>
      </c>
      <c r="K227" s="402">
        <f>I227*J227</f>
        <v/>
      </c>
      <c r="L227" t="inlineStr">
        <is>
          <t>Nan bầu dục @ 0.058kg/m</t>
        </is>
      </c>
    </row>
    <row r="228">
      <c r="A228" t="inlineStr">
        <is>
          <t>SW-DIFF-144-ACCESSORY</t>
        </is>
      </c>
      <c r="B228" t="inlineStr">
        <is>
          <t>SW-DIFF-144</t>
        </is>
      </c>
      <c r="C228" t="inlineStr">
        <is>
          <t>Phụ kiện lắp ghép / Ke góc cửa gió</t>
        </is>
      </c>
      <c r="D228" t="inlineStr">
        <is>
          <t>PHỤ_KIỆN_CỬA</t>
        </is>
      </c>
      <c r="E228" t="inlineStr">
        <is>
          <t>MAT-DOOR-ACCESSORY</t>
        </is>
      </c>
      <c r="F228" t="inlineStr">
        <is>
          <t>Bộ</t>
        </is>
      </c>
      <c r="G228" s="406" t="n">
        <v>0.8349026993094791</v>
      </c>
      <c r="H228" s="402">
        <f>IFERROR(INDEX('00_TONG_HOP_BAO_GIA'!$G$1:$G$5000, MATCH(B228, '00_TONG_HOP_BAO_GIA'!$B$1:$B$5000, 0)), 1)</f>
        <v/>
      </c>
      <c r="I228" s="407">
        <f>G228*H228</f>
        <v/>
      </c>
      <c r="J228" s="402">
        <f>IFERROR(INDEX('06_BANG_GIA_VAT_TU_AP_DUNG'!$E$1:$E$5000, MATCH(E228, '06_BANG_GIA_VAT_TU_AP_DUNG'!$B$1:$B$5000, 0)), 0)</f>
        <v/>
      </c>
      <c r="K228" s="402">
        <f>I228*J228</f>
        <v/>
      </c>
      <c r="L228" t="inlineStr">
        <is>
          <t>4 ke góc chìm và vít ghép khung</t>
        </is>
      </c>
    </row>
    <row r="229">
      <c r="A229" t="inlineStr">
        <is>
          <t>SW-DIFF-144-PAINT</t>
        </is>
      </c>
      <c r="B229" t="inlineStr">
        <is>
          <t>SW-DIFF-144</t>
        </is>
      </c>
      <c r="C229" t="inlineStr">
        <is>
          <t>Sơn tĩnh điện tiêu chuẩn Polyester</t>
        </is>
      </c>
      <c r="D229" t="inlineStr">
        <is>
          <t>SƠN_TĨNH_ĐIỆN</t>
        </is>
      </c>
      <c r="E229" t="inlineStr">
        <is>
          <t>MAT-PAINT-POWDER</t>
        </is>
      </c>
      <c r="F229" t="inlineStr">
        <is>
          <t>m2</t>
        </is>
      </c>
      <c r="G229" s="406" t="n">
        <v>0.189448856873823</v>
      </c>
      <c r="H229" s="402">
        <f>IFERROR(INDEX('00_TONG_HOP_BAO_GIA'!$G$1:$G$5000, MATCH(B229, '00_TONG_HOP_BAO_GIA'!$B$1:$B$5000, 0)), 1)</f>
        <v/>
      </c>
      <c r="I229" s="407">
        <f>G229*H229</f>
        <v/>
      </c>
      <c r="J229" s="402">
        <f>IFERROR(INDEX('06_BANG_GIA_VAT_TU_AP_DUNG'!$E$1:$E$5000, MATCH(E229, '06_BANG_GIA_VAT_TU_AP_DUNG'!$B$1:$B$5000, 0)), 0)</f>
        <v/>
      </c>
      <c r="K229" s="402">
        <f>I229*J229</f>
        <v/>
      </c>
      <c r="L229" t="inlineStr">
        <is>
          <t>Sơn tĩnh điện hoàn thiện</t>
        </is>
      </c>
    </row>
    <row r="230">
      <c r="A230" t="inlineStr">
        <is>
          <t>SW-DIFF-144-OBD-FRAME</t>
        </is>
      </c>
      <c r="B230" t="inlineStr">
        <is>
          <t>SW-DIFF-144</t>
        </is>
      </c>
      <c r="C230" t="inlineStr">
        <is>
          <t>Khung nhôm van OBD gắn cửa (SOBD)</t>
        </is>
      </c>
      <c r="D230" t="inlineStr">
        <is>
          <t>NHÔM_ĐỊNH_HÌNH</t>
        </is>
      </c>
      <c r="E230" t="inlineStr">
        <is>
          <t>MAT-ALU-KHUNG-OBD</t>
        </is>
      </c>
      <c r="F230" t="inlineStr">
        <is>
          <t>kg</t>
        </is>
      </c>
      <c r="G230" s="406" t="n">
        <v>0.1549996861268048</v>
      </c>
      <c r="H230" s="402">
        <f>IFERROR(INDEX('00_TONG_HOP_BAO_GIA'!$G$1:$G$5000, MATCH(B230, '00_TONG_HOP_BAO_GIA'!$B$1:$B$5000, 0)), 1)</f>
        <v/>
      </c>
      <c r="I230" s="407">
        <f>G230*H230</f>
        <v/>
      </c>
      <c r="J230" s="402">
        <f>IFERROR(INDEX('06_BANG_GIA_VAT_TU_AP_DUNG'!$E$1:$E$5000, MATCH(E230, '06_BANG_GIA_VAT_TU_AP_DUNG'!$B$1:$B$5000, 0)), 0)</f>
        <v/>
      </c>
      <c r="K230" s="402">
        <f>I230*J230</f>
        <v/>
      </c>
      <c r="L230" t="inlineStr">
        <is>
          <t>Khung OBD 235x235mm</t>
        </is>
      </c>
    </row>
    <row r="231">
      <c r="A231" t="inlineStr">
        <is>
          <t>SW-DIFF-144-OBD-BLADE</t>
        </is>
      </c>
      <c r="B231" t="inlineStr">
        <is>
          <t>SW-DIFF-144</t>
        </is>
      </c>
      <c r="C231" t="inlineStr">
        <is>
          <t>Nan nhôm &amp; thanh truyền van OBD (SOBD)</t>
        </is>
      </c>
      <c r="D231" t="inlineStr">
        <is>
          <t>NHÔM_ĐỊNH_HÌNH</t>
        </is>
      </c>
      <c r="E231" t="inlineStr">
        <is>
          <t>MAT-ALU-NAN-OBD</t>
        </is>
      </c>
      <c r="F231" t="inlineStr">
        <is>
          <t>kg</t>
        </is>
      </c>
      <c r="G231" s="406" t="n">
        <v>0.1686112091964846</v>
      </c>
      <c r="H231" s="402">
        <f>IFERROR(INDEX('00_TONG_HOP_BAO_GIA'!$G$1:$G$5000, MATCH(B231, '00_TONG_HOP_BAO_GIA'!$B$1:$B$5000, 0)), 1)</f>
        <v/>
      </c>
      <c r="I231" s="407">
        <f>G231*H231</f>
        <v/>
      </c>
      <c r="J231" s="402">
        <f>IFERROR(INDEX('06_BANG_GIA_VAT_TU_AP_DUNG'!$E$1:$E$5000, MATCH(E231, '06_BANG_GIA_VAT_TU_AP_DUNG'!$B$1:$B$5000, 0)), 0)</f>
        <v/>
      </c>
      <c r="K231" s="402">
        <f>I231*J231</f>
        <v/>
      </c>
      <c r="L231" t="inlineStr">
        <is>
          <t>Nan OBD đối xứng &amp; thanh liên kết</t>
        </is>
      </c>
    </row>
    <row r="232">
      <c r="A232" t="inlineStr">
        <is>
          <t>SW-DIFF-144-OBD-ACC</t>
        </is>
      </c>
      <c r="B232" t="inlineStr">
        <is>
          <t>SW-DIFF-144</t>
        </is>
      </c>
      <c r="C232" t="inlineStr">
        <is>
          <t>Bánh răng nhựa &amp; phụ kiện van OBD</t>
        </is>
      </c>
      <c r="D232" t="inlineStr">
        <is>
          <t>PHỤ_KIỆN_CỬA</t>
        </is>
      </c>
      <c r="E232" t="inlineStr">
        <is>
          <t>MAT-DOOR-ACCESSORY</t>
        </is>
      </c>
      <c r="F232" t="inlineStr">
        <is>
          <t>Bộ</t>
        </is>
      </c>
      <c r="G232" s="406" t="n">
        <v>0.9044779242519357</v>
      </c>
      <c r="H232" s="402">
        <f>IFERROR(INDEX('00_TONG_HOP_BAO_GIA'!$G$1:$G$5000, MATCH(B232, '00_TONG_HOP_BAO_GIA'!$B$1:$B$5000, 0)), 1)</f>
        <v/>
      </c>
      <c r="I232" s="407">
        <f>G232*H232</f>
        <v/>
      </c>
      <c r="J232" s="402">
        <f>IFERROR(INDEX('06_BANG_GIA_VAT_TU_AP_DUNG'!$E$1:$E$5000, MATCH(E232, '06_BANG_GIA_VAT_TU_AP_DUNG'!$B$1:$B$5000, 0)), 0)</f>
        <v/>
      </c>
      <c r="K232" s="402">
        <f>I232*J232</f>
        <v/>
      </c>
      <c r="L232" t="inlineStr">
        <is>
          <t>Cơ cấu bánh răng đóng mở OBD</t>
        </is>
      </c>
    </row>
    <row r="233">
      <c r="A233" t="inlineStr">
        <is>
          <t>SW-DIFF-144-OBD-PAINT</t>
        </is>
      </c>
      <c r="B233" t="inlineStr">
        <is>
          <t>SW-DIFF-144</t>
        </is>
      </c>
      <c r="C233" t="inlineStr">
        <is>
          <t>Sơn tĩnh điện van OBD</t>
        </is>
      </c>
      <c r="D233" t="inlineStr">
        <is>
          <t>SƠN_TĨNH_ĐIỆN</t>
        </is>
      </c>
      <c r="E233" t="inlineStr">
        <is>
          <t>MAT-PAINT-POWDER</t>
        </is>
      </c>
      <c r="F233" t="inlineStr">
        <is>
          <t>m2</t>
        </is>
      </c>
      <c r="G233" s="406" t="n">
        <v>0.09967215575957311</v>
      </c>
      <c r="H233" s="402">
        <f>IFERROR(INDEX('00_TONG_HOP_BAO_GIA'!$G$1:$G$5000, MATCH(B233, '00_TONG_HOP_BAO_GIA'!$B$1:$B$5000, 0)), 1)</f>
        <v/>
      </c>
      <c r="I233" s="407">
        <f>G233*H233</f>
        <v/>
      </c>
      <c r="J233" s="402">
        <f>IFERROR(INDEX('06_BANG_GIA_VAT_TU_AP_DUNG'!$E$1:$E$5000, MATCH(E233, '06_BANG_GIA_VAT_TU_AP_DUNG'!$B$1:$B$5000, 0)), 0)</f>
        <v/>
      </c>
      <c r="K233" s="402">
        <f>I233*J233</f>
        <v/>
      </c>
      <c r="L233" t="inlineStr">
        <is>
          <t>Sơn tĩnh điện đen/trắng cho OBD</t>
        </is>
      </c>
    </row>
    <row r="234">
      <c r="A234" t="inlineStr">
        <is>
          <t>SW-DAMPER-145-LV-FRAME</t>
        </is>
      </c>
      <c r="B234" t="inlineStr">
        <is>
          <t>SW-DAMPER-145</t>
        </is>
      </c>
      <c r="C234" t="inlineStr">
        <is>
          <t>Louver kèm cửa sổ bù gió - Khung nhôm định hình Louver (SWL)</t>
        </is>
      </c>
      <c r="D234" t="inlineStr">
        <is>
          <t>NHÔM_ĐỊNH_HÌNH</t>
        </is>
      </c>
      <c r="E234" t="inlineStr">
        <is>
          <t>MAT-ALU-KHUNG-Z-2-LOP</t>
        </is>
      </c>
      <c r="F234" t="inlineStr">
        <is>
          <t>kg</t>
        </is>
      </c>
      <c r="G234" s="406" t="n">
        <v>1.304145637162587</v>
      </c>
      <c r="H234" s="402">
        <f>IFERROR(INDEX('00_TONG_HOP_BAO_GIA'!$G$1:$G$5000, MATCH(B234, '00_TONG_HOP_BAO_GIA'!$B$1:$B$5000, 0)), 1)</f>
        <v/>
      </c>
      <c r="I234" s="407">
        <f>G234*H234</f>
        <v/>
      </c>
      <c r="J234" s="402">
        <f>IFERROR(INDEX('06_BANG_GIA_VAT_TU_AP_DUNG'!$E$1:$E$5000, MATCH(E234, '06_BANG_GIA_VAT_TU_AP_DUNG'!$B$1:$B$5000, 0)), 0)</f>
        <v/>
      </c>
      <c r="K234" s="402">
        <f>I234*J234</f>
        <v/>
      </c>
      <c r="L234" t="inlineStr">
        <is>
          <t>Khung Louver phủ bì 1550x1050mm</t>
        </is>
      </c>
    </row>
    <row r="235">
      <c r="A235" t="inlineStr">
        <is>
          <t>SW-DAMPER-145-LV-BLADE</t>
        </is>
      </c>
      <c r="B235" t="inlineStr">
        <is>
          <t>SW-DAMPER-145</t>
        </is>
      </c>
      <c r="C235" t="inlineStr">
        <is>
          <t>Louver kèm cửa sổ bù gió - Nan Z Louver &amp; thanh tăng cứng (22 nan)</t>
        </is>
      </c>
      <c r="D235" t="inlineStr">
        <is>
          <t>NHÔM_ĐỊNH_HÌNH</t>
        </is>
      </c>
      <c r="E235" t="inlineStr">
        <is>
          <t>MAT-ALU-NAN-Z-DAY</t>
        </is>
      </c>
      <c r="F235" t="inlineStr">
        <is>
          <t>kg</t>
        </is>
      </c>
      <c r="G235" s="406" t="n">
        <v>8.04458104205901</v>
      </c>
      <c r="H235" s="402">
        <f>IFERROR(INDEX('00_TONG_HOP_BAO_GIA'!$G$1:$G$5000, MATCH(B235, '00_TONG_HOP_BAO_GIA'!$B$1:$B$5000, 0)), 1)</f>
        <v/>
      </c>
      <c r="I235" s="407">
        <f>G235*H235</f>
        <v/>
      </c>
      <c r="J235" s="402">
        <f>IFERROR(INDEX('06_BANG_GIA_VAT_TU_AP_DUNG'!$E$1:$E$5000, MATCH(E235, '06_BANG_GIA_VAT_TU_AP_DUNG'!$B$1:$B$5000, 0)), 0)</f>
        <v/>
      </c>
      <c r="K235" s="402">
        <f>I235*J235</f>
        <v/>
      </c>
      <c r="L235" t="inlineStr">
        <is>
          <t>22 nan Z dày @ 0.217kg/m + thanh giằng</t>
        </is>
      </c>
    </row>
    <row r="236">
      <c r="A236" t="inlineStr">
        <is>
          <t>SW-DAMPER-145-LV-ACCESSORY</t>
        </is>
      </c>
      <c r="B236" t="inlineStr">
        <is>
          <t>SW-DAMPER-145</t>
        </is>
      </c>
      <c r="C236" t="inlineStr">
        <is>
          <t>Louver kèm cửa sổ bù gió - Phụ kiện lắp ghép / Ke góc cửa gió</t>
        </is>
      </c>
      <c r="D236" t="inlineStr">
        <is>
          <t>PHỤ_KIỆN_CỬA</t>
        </is>
      </c>
      <c r="E236" t="inlineStr">
        <is>
          <t>MAT-DOOR-ACCESSORY</t>
        </is>
      </c>
      <c r="F236" t="inlineStr">
        <is>
          <t>Bộ</t>
        </is>
      </c>
      <c r="G236" s="406" t="n">
        <v>1.473111529608705</v>
      </c>
      <c r="H236" s="402">
        <f>IFERROR(INDEX('00_TONG_HOP_BAO_GIA'!$G$1:$G$5000, MATCH(B236, '00_TONG_HOP_BAO_GIA'!$B$1:$B$5000, 0)), 1)</f>
        <v/>
      </c>
      <c r="I236" s="407">
        <f>G236*H236</f>
        <v/>
      </c>
      <c r="J236" s="402">
        <f>IFERROR(INDEX('06_BANG_GIA_VAT_TU_AP_DUNG'!$E$1:$E$5000, MATCH(E236, '06_BANG_GIA_VAT_TU_AP_DUNG'!$B$1:$B$5000, 0)), 0)</f>
        <v/>
      </c>
      <c r="K236" s="402">
        <f>I236*J236</f>
        <v/>
      </c>
      <c r="L236" t="inlineStr">
        <is>
          <t>Ke góc và vít ghép khung Louver</t>
        </is>
      </c>
    </row>
    <row r="237">
      <c r="A237" t="inlineStr">
        <is>
          <t>SW-DAMPER-145-LV-PAINT</t>
        </is>
      </c>
      <c r="B237" t="inlineStr">
        <is>
          <t>SW-DAMPER-145</t>
        </is>
      </c>
      <c r="C237" t="inlineStr">
        <is>
          <t>Louver kèm cửa sổ bù gió - Sơn tĩnh điện tiêu chuẩn Polyester</t>
        </is>
      </c>
      <c r="D237" t="inlineStr">
        <is>
          <t>SƠN_TĨNH_ĐIỆN</t>
        </is>
      </c>
      <c r="E237" t="inlineStr">
        <is>
          <t>MAT-PAINT-POWDER</t>
        </is>
      </c>
      <c r="F237" t="inlineStr">
        <is>
          <t>m2</t>
        </is>
      </c>
      <c r="G237" s="406" t="n">
        <v>2.822239304959197</v>
      </c>
      <c r="H237" s="402">
        <f>IFERROR(INDEX('00_TONG_HOP_BAO_GIA'!$G$1:$G$5000, MATCH(B237, '00_TONG_HOP_BAO_GIA'!$B$1:$B$5000, 0)), 1)</f>
        <v/>
      </c>
      <c r="I237" s="407">
        <f>G237*H237</f>
        <v/>
      </c>
      <c r="J237" s="402">
        <f>IFERROR(INDEX('06_BANG_GIA_VAT_TU_AP_DUNG'!$E$1:$E$5000, MATCH(E237, '06_BANG_GIA_VAT_TU_AP_DUNG'!$B$1:$B$5000, 0)), 0)</f>
        <v/>
      </c>
      <c r="K237" s="402">
        <f>I237*J237</f>
        <v/>
      </c>
      <c r="L237" t="inlineStr">
        <is>
          <t>Sơn tĩnh điện khung và nan Louver</t>
        </is>
      </c>
    </row>
    <row r="238">
      <c r="A238" t="inlineStr">
        <is>
          <t>SW-DAMPER-145-LV-MESH</t>
        </is>
      </c>
      <c r="B238" t="inlineStr">
        <is>
          <t>SW-DAMPER-145</t>
        </is>
      </c>
      <c r="C238" t="inlineStr">
        <is>
          <t>Louver kèm cửa sổ bù gió - Lưới chắn côn trùng Inox 304 (LCCT)</t>
        </is>
      </c>
      <c r="D238" t="inlineStr">
        <is>
          <t>PHỤ_KIỆN_CỬA</t>
        </is>
      </c>
      <c r="E238" t="inlineStr">
        <is>
          <t>MAT-MESH-INOX-304</t>
        </is>
      </c>
      <c r="F238" t="inlineStr">
        <is>
          <t>m2</t>
        </is>
      </c>
      <c r="G238" s="406" t="n">
        <v>1.506591337099812</v>
      </c>
      <c r="H238" s="402">
        <f>IFERROR(INDEX('00_TONG_HOP_BAO_GIA'!$G$1:$G$5000, MATCH(B238, '00_TONG_HOP_BAO_GIA'!$B$1:$B$5000, 0)), 1)</f>
        <v/>
      </c>
      <c r="I238" s="407">
        <f>G238*H238</f>
        <v/>
      </c>
      <c r="J238" s="402">
        <f>IFERROR(INDEX('06_BANG_GIA_VAT_TU_AP_DUNG'!$E$1:$E$5000, MATCH(E238, '06_BANG_GIA_VAT_TU_AP_DUNG'!$B$1:$B$5000, 0)), 0)</f>
        <v/>
      </c>
      <c r="K238" s="402">
        <f>I238*J238</f>
        <v/>
      </c>
      <c r="L238" t="inlineStr">
        <is>
          <t>Lưới chắn côn trùng cổ 1500x1000mm</t>
        </is>
      </c>
    </row>
    <row r="239">
      <c r="A239" t="inlineStr">
        <is>
          <t>SW-DAMPER-146-LV-FRAME</t>
        </is>
      </c>
      <c r="B239" t="inlineStr">
        <is>
          <t>SW-DAMPER-146</t>
        </is>
      </c>
      <c r="C239" t="inlineStr">
        <is>
          <t>Louver kèm cửa sổ bù gió - Khung nhôm định hình Louver (SWL)</t>
        </is>
      </c>
      <c r="D239" t="inlineStr">
        <is>
          <t>NHÔM_ĐỊNH_HÌNH</t>
        </is>
      </c>
      <c r="E239" t="inlineStr">
        <is>
          <t>MAT-ALU-KHUNG-Z-2-LOP</t>
        </is>
      </c>
      <c r="F239" t="inlineStr">
        <is>
          <t>kg</t>
        </is>
      </c>
      <c r="G239" s="406" t="n">
        <v>0.9530295040803515</v>
      </c>
      <c r="H239" s="402">
        <f>IFERROR(INDEX('00_TONG_HOP_BAO_GIA'!$G$1:$G$5000, MATCH(B239, '00_TONG_HOP_BAO_GIA'!$B$1:$B$5000, 0)), 1)</f>
        <v/>
      </c>
      <c r="I239" s="407">
        <f>G239*H239</f>
        <v/>
      </c>
      <c r="J239" s="402">
        <f>IFERROR(INDEX('06_BANG_GIA_VAT_TU_AP_DUNG'!$E$1:$E$5000, MATCH(E239, '06_BANG_GIA_VAT_TU_AP_DUNG'!$B$1:$B$5000, 0)), 0)</f>
        <v/>
      </c>
      <c r="K239" s="402">
        <f>I239*J239</f>
        <v/>
      </c>
      <c r="L239" t="inlineStr">
        <is>
          <t>Khung Louver phủ bì 1050x850mm</t>
        </is>
      </c>
    </row>
    <row r="240">
      <c r="A240" t="inlineStr">
        <is>
          <t>SW-DAMPER-146-LV-BLADE</t>
        </is>
      </c>
      <c r="B240" t="inlineStr">
        <is>
          <t>SW-DAMPER-146</t>
        </is>
      </c>
      <c r="C240" t="inlineStr">
        <is>
          <t>Louver kèm cửa sổ bù gió - Nan Z Louver &amp; thanh tăng cứng (18 nan)</t>
        </is>
      </c>
      <c r="D240" t="inlineStr">
        <is>
          <t>NHÔM_ĐỊNH_HÌNH</t>
        </is>
      </c>
      <c r="E240" t="inlineStr">
        <is>
          <t>MAT-ALU-NAN-Z-DAY</t>
        </is>
      </c>
      <c r="F240" t="inlineStr">
        <is>
          <t>kg</t>
        </is>
      </c>
      <c r="G240" s="406" t="n">
        <v>4.422582799748902</v>
      </c>
      <c r="H240" s="402">
        <f>IFERROR(INDEX('00_TONG_HOP_BAO_GIA'!$G$1:$G$5000, MATCH(B240, '00_TONG_HOP_BAO_GIA'!$B$1:$B$5000, 0)), 1)</f>
        <v/>
      </c>
      <c r="I240" s="407">
        <f>G240*H240</f>
        <v/>
      </c>
      <c r="J240" s="402">
        <f>IFERROR(INDEX('06_BANG_GIA_VAT_TU_AP_DUNG'!$E$1:$E$5000, MATCH(E240, '06_BANG_GIA_VAT_TU_AP_DUNG'!$B$1:$B$5000, 0)), 0)</f>
        <v/>
      </c>
      <c r="K240" s="402">
        <f>I240*J240</f>
        <v/>
      </c>
      <c r="L240" t="inlineStr">
        <is>
          <t>18 nan Z dày @ 0.217kg/m + thanh giằng</t>
        </is>
      </c>
    </row>
    <row r="241">
      <c r="A241" t="inlineStr">
        <is>
          <t>SW-DAMPER-146-LV-ACCESSORY</t>
        </is>
      </c>
      <c r="B241" t="inlineStr">
        <is>
          <t>SW-DAMPER-146</t>
        </is>
      </c>
      <c r="C241" t="inlineStr">
        <is>
          <t>Louver kèm cửa sổ bù gió - Phụ kiện lắp ghép / Ke góc cửa gió</t>
        </is>
      </c>
      <c r="D241" t="inlineStr">
        <is>
          <t>PHỤ_KIỆN_CỬA</t>
        </is>
      </c>
      <c r="E241" t="inlineStr">
        <is>
          <t>MAT-DOOR-ACCESSORY</t>
        </is>
      </c>
      <c r="F241" t="inlineStr">
        <is>
          <t>Bộ</t>
        </is>
      </c>
      <c r="G241" s="406" t="n">
        <v>0.8035153797865663</v>
      </c>
      <c r="H241" s="402">
        <f>IFERROR(INDEX('00_TONG_HOP_BAO_GIA'!$G$1:$G$5000, MATCH(B241, '00_TONG_HOP_BAO_GIA'!$B$1:$B$5000, 0)), 1)</f>
        <v/>
      </c>
      <c r="I241" s="407">
        <f>G241*H241</f>
        <v/>
      </c>
      <c r="J241" s="402">
        <f>IFERROR(INDEX('06_BANG_GIA_VAT_TU_AP_DUNG'!$E$1:$E$5000, MATCH(E241, '06_BANG_GIA_VAT_TU_AP_DUNG'!$B$1:$B$5000, 0)), 0)</f>
        <v/>
      </c>
      <c r="K241" s="402">
        <f>I241*J241</f>
        <v/>
      </c>
      <c r="L241" t="inlineStr">
        <is>
          <t>Ke góc và vít ghép khung Louver</t>
        </is>
      </c>
    </row>
    <row r="242">
      <c r="A242" t="inlineStr">
        <is>
          <t>SW-DAMPER-146-LV-PAINT</t>
        </is>
      </c>
      <c r="B242" t="inlineStr">
        <is>
          <t>SW-DAMPER-146</t>
        </is>
      </c>
      <c r="C242" t="inlineStr">
        <is>
          <t>Louver kèm cửa sổ bù gió - Sơn tĩnh điện tiêu chuẩn Polyester</t>
        </is>
      </c>
      <c r="D242" t="inlineStr">
        <is>
          <t>SƠN_TĨNH_ĐIỆN</t>
        </is>
      </c>
      <c r="E242" t="inlineStr">
        <is>
          <t>MAT-PAINT-POWDER</t>
        </is>
      </c>
      <c r="F242" t="inlineStr">
        <is>
          <t>m2</t>
        </is>
      </c>
      <c r="G242" s="406" t="n">
        <v>1.609409317765223</v>
      </c>
      <c r="H242" s="402">
        <f>IFERROR(INDEX('00_TONG_HOP_BAO_GIA'!$G$1:$G$5000, MATCH(B242, '00_TONG_HOP_BAO_GIA'!$B$1:$B$5000, 0)), 1)</f>
        <v/>
      </c>
      <c r="I242" s="407">
        <f>G242*H242</f>
        <v/>
      </c>
      <c r="J242" s="402">
        <f>IFERROR(INDEX('06_BANG_GIA_VAT_TU_AP_DUNG'!$E$1:$E$5000, MATCH(E242, '06_BANG_GIA_VAT_TU_AP_DUNG'!$B$1:$B$5000, 0)), 0)</f>
        <v/>
      </c>
      <c r="K242" s="402">
        <f>I242*J242</f>
        <v/>
      </c>
      <c r="L242" t="inlineStr">
        <is>
          <t>Sơn tĩnh điện khung và nan Louver</t>
        </is>
      </c>
    </row>
    <row r="243">
      <c r="A243" t="inlineStr">
        <is>
          <t>SW-DAMPER-146-LV-MESH</t>
        </is>
      </c>
      <c r="B243" t="inlineStr">
        <is>
          <t>SW-DAMPER-146</t>
        </is>
      </c>
      <c r="C243" t="inlineStr">
        <is>
          <t>Louver kèm cửa sổ bù gió - Lưới chắn côn trùng Inox 304 (LCCT)</t>
        </is>
      </c>
      <c r="D243" t="inlineStr">
        <is>
          <t>PHỤ_KIỆN_CỬA</t>
        </is>
      </c>
      <c r="E243" t="inlineStr">
        <is>
          <t>MAT-MESH-INOX-304</t>
        </is>
      </c>
      <c r="F243" t="inlineStr">
        <is>
          <t>m2</t>
        </is>
      </c>
      <c r="G243" s="406" t="n">
        <v>0.8035153797865663</v>
      </c>
      <c r="H243" s="402">
        <f>IFERROR(INDEX('00_TONG_HOP_BAO_GIA'!$G$1:$G$5000, MATCH(B243, '00_TONG_HOP_BAO_GIA'!$B$1:$B$5000, 0)), 1)</f>
        <v/>
      </c>
      <c r="I243" s="407">
        <f>G243*H243</f>
        <v/>
      </c>
      <c r="J243" s="402">
        <f>IFERROR(INDEX('06_BANG_GIA_VAT_TU_AP_DUNG'!$E$1:$E$5000, MATCH(E243, '06_BANG_GIA_VAT_TU_AP_DUNG'!$B$1:$B$5000, 0)), 0)</f>
        <v/>
      </c>
      <c r="K243" s="402">
        <f>I243*J243</f>
        <v/>
      </c>
      <c r="L243" t="inlineStr">
        <is>
          <t>Lưới chắn côn trùng cổ 1000x800mm</t>
        </is>
      </c>
    </row>
    <row r="244">
      <c r="A244" t="inlineStr">
        <is>
          <t>SW-DAMPER-147-LV-FRAME</t>
        </is>
      </c>
      <c r="B244" t="inlineStr">
        <is>
          <t>SW-DAMPER-147</t>
        </is>
      </c>
      <c r="C244" t="inlineStr">
        <is>
          <t>Louver kèm cửa sổ bù gió - Khung nhôm định hình Louver (SWL)</t>
        </is>
      </c>
      <c r="D244" t="inlineStr">
        <is>
          <t>NHÔM_ĐỊNH_HÌNH</t>
        </is>
      </c>
      <c r="E244" t="inlineStr">
        <is>
          <t>MAT-ALU-KHUNG-Z-2-LOP</t>
        </is>
      </c>
      <c r="F244" t="inlineStr">
        <is>
          <t>kg</t>
        </is>
      </c>
      <c r="G244" s="406" t="n">
        <v>0.9279497802887635</v>
      </c>
      <c r="H244" s="402">
        <f>IFERROR(INDEX('00_TONG_HOP_BAO_GIA'!$G$1:$G$5000, MATCH(B244, '00_TONG_HOP_BAO_GIA'!$B$1:$B$5000, 0)), 1)</f>
        <v/>
      </c>
      <c r="I244" s="407">
        <f>G244*H244</f>
        <v/>
      </c>
      <c r="J244" s="402">
        <f>IFERROR(INDEX('06_BANG_GIA_VAT_TU_AP_DUNG'!$E$1:$E$5000, MATCH(E244, '06_BANG_GIA_VAT_TU_AP_DUNG'!$B$1:$B$5000, 0)), 0)</f>
        <v/>
      </c>
      <c r="K244" s="402">
        <f>I244*J244</f>
        <v/>
      </c>
      <c r="L244" t="inlineStr">
        <is>
          <t>Khung Louver phủ bì 1050x800mm</t>
        </is>
      </c>
    </row>
    <row r="245">
      <c r="A245" t="inlineStr">
        <is>
          <t>SW-DAMPER-147-LV-BLADE</t>
        </is>
      </c>
      <c r="B245" t="inlineStr">
        <is>
          <t>SW-DAMPER-147</t>
        </is>
      </c>
      <c r="C245" t="inlineStr">
        <is>
          <t>Louver kèm cửa sổ bù gió - Nan Z Louver &amp; thanh tăng cứng (17 nan)</t>
        </is>
      </c>
      <c r="D245" t="inlineStr">
        <is>
          <t>NHÔM_ĐỊNH_HÌNH</t>
        </is>
      </c>
      <c r="E245" t="inlineStr">
        <is>
          <t>MAT-ALU-NAN-Z-DAY</t>
        </is>
      </c>
      <c r="F245" t="inlineStr">
        <is>
          <t>kg</t>
        </is>
      </c>
      <c r="G245" s="406" t="n">
        <v>4.17639271814187</v>
      </c>
      <c r="H245" s="402">
        <f>IFERROR(INDEX('00_TONG_HOP_BAO_GIA'!$G$1:$G$5000, MATCH(B245, '00_TONG_HOP_BAO_GIA'!$B$1:$B$5000, 0)), 1)</f>
        <v/>
      </c>
      <c r="I245" s="407">
        <f>G245*H245</f>
        <v/>
      </c>
      <c r="J245" s="402">
        <f>IFERROR(INDEX('06_BANG_GIA_VAT_TU_AP_DUNG'!$E$1:$E$5000, MATCH(E245, '06_BANG_GIA_VAT_TU_AP_DUNG'!$B$1:$B$5000, 0)), 0)</f>
        <v/>
      </c>
      <c r="K245" s="402">
        <f>I245*J245</f>
        <v/>
      </c>
      <c r="L245" t="inlineStr">
        <is>
          <t>17 nan Z dày @ 0.217kg/m + thanh giằng</t>
        </is>
      </c>
    </row>
    <row r="246">
      <c r="A246" t="inlineStr">
        <is>
          <t>SW-DAMPER-147-LV-ACCESSORY</t>
        </is>
      </c>
      <c r="B246" t="inlineStr">
        <is>
          <t>SW-DAMPER-147</t>
        </is>
      </c>
      <c r="C246" t="inlineStr">
        <is>
          <t>Louver kèm cửa sổ bù gió - Phụ kiện lắp ghép / Ke góc cửa gió</t>
        </is>
      </c>
      <c r="D246" t="inlineStr">
        <is>
          <t>PHỤ_KIỆN_CỬA</t>
        </is>
      </c>
      <c r="E246" t="inlineStr">
        <is>
          <t>MAT-DOOR-ACCESSORY</t>
        </is>
      </c>
      <c r="F246" t="inlineStr">
        <is>
          <t>Bộ</t>
        </is>
      </c>
      <c r="G246" s="406" t="n">
        <v>0.8035153797865663</v>
      </c>
      <c r="H246" s="402">
        <f>IFERROR(INDEX('00_TONG_HOP_BAO_GIA'!$G$1:$G$5000, MATCH(B246, '00_TONG_HOP_BAO_GIA'!$B$1:$B$5000, 0)), 1)</f>
        <v/>
      </c>
      <c r="I246" s="407">
        <f>G246*H246</f>
        <v/>
      </c>
      <c r="J246" s="402">
        <f>IFERROR(INDEX('06_BANG_GIA_VAT_TU_AP_DUNG'!$E$1:$E$5000, MATCH(E246, '06_BANG_GIA_VAT_TU_AP_DUNG'!$B$1:$B$5000, 0)), 0)</f>
        <v/>
      </c>
      <c r="K246" s="402">
        <f>I246*J246</f>
        <v/>
      </c>
      <c r="L246" t="inlineStr">
        <is>
          <t>Ke góc và vít ghép khung Louver</t>
        </is>
      </c>
    </row>
    <row r="247">
      <c r="A247" t="inlineStr">
        <is>
          <t>SW-DAMPER-147-LV-PAINT</t>
        </is>
      </c>
      <c r="B247" t="inlineStr">
        <is>
          <t>SW-DAMPER-147</t>
        </is>
      </c>
      <c r="C247" t="inlineStr">
        <is>
          <t>Louver kèm cửa sổ bù gió - Sơn tĩnh điện tiêu chuẩn Polyester</t>
        </is>
      </c>
      <c r="D247" t="inlineStr">
        <is>
          <t>SƠN_TĨNH_ĐIỆN</t>
        </is>
      </c>
      <c r="E247" t="inlineStr">
        <is>
          <t>MAT-PAINT-POWDER</t>
        </is>
      </c>
      <c r="F247" t="inlineStr">
        <is>
          <t>m2</t>
        </is>
      </c>
      <c r="G247" s="406" t="n">
        <v>1.528580527809165</v>
      </c>
      <c r="H247" s="402">
        <f>IFERROR(INDEX('00_TONG_HOP_BAO_GIA'!$G$1:$G$5000, MATCH(B247, '00_TONG_HOP_BAO_GIA'!$B$1:$B$5000, 0)), 1)</f>
        <v/>
      </c>
      <c r="I247" s="407">
        <f>G247*H247</f>
        <v/>
      </c>
      <c r="J247" s="402">
        <f>IFERROR(INDEX('06_BANG_GIA_VAT_TU_AP_DUNG'!$E$1:$E$5000, MATCH(E247, '06_BANG_GIA_VAT_TU_AP_DUNG'!$B$1:$B$5000, 0)), 0)</f>
        <v/>
      </c>
      <c r="K247" s="402">
        <f>I247*J247</f>
        <v/>
      </c>
      <c r="L247" t="inlineStr">
        <is>
          <t>Sơn tĩnh điện khung và nan Louver</t>
        </is>
      </c>
    </row>
    <row r="248">
      <c r="A248" t="inlineStr">
        <is>
          <t>SW-DAMPER-147-LV-MESH</t>
        </is>
      </c>
      <c r="B248" t="inlineStr">
        <is>
          <t>SW-DAMPER-147</t>
        </is>
      </c>
      <c r="C248" t="inlineStr">
        <is>
          <t>Louver kèm cửa sổ bù gió - Lưới chắn côn trùng Inox 304 (LCCT)</t>
        </is>
      </c>
      <c r="D248" t="inlineStr">
        <is>
          <t>PHỤ_KIỆN_CỬA</t>
        </is>
      </c>
      <c r="E248" t="inlineStr">
        <is>
          <t>MAT-MESH-INOX-304</t>
        </is>
      </c>
      <c r="F248" t="inlineStr">
        <is>
          <t>m2</t>
        </is>
      </c>
      <c r="G248" s="406" t="n">
        <v>0.7532956685499059</v>
      </c>
      <c r="H248" s="402">
        <f>IFERROR(INDEX('00_TONG_HOP_BAO_GIA'!$G$1:$G$5000, MATCH(B248, '00_TONG_HOP_BAO_GIA'!$B$1:$B$5000, 0)), 1)</f>
        <v/>
      </c>
      <c r="I248" s="407">
        <f>G248*H248</f>
        <v/>
      </c>
      <c r="J248" s="402">
        <f>IFERROR(INDEX('06_BANG_GIA_VAT_TU_AP_DUNG'!$E$1:$E$5000, MATCH(E248, '06_BANG_GIA_VAT_TU_AP_DUNG'!$B$1:$B$5000, 0)), 0)</f>
        <v/>
      </c>
      <c r="K248" s="402">
        <f>I248*J248</f>
        <v/>
      </c>
      <c r="L248" t="inlineStr">
        <is>
          <t>Lưới chắn côn trùng cổ 1000x750mm</t>
        </is>
      </c>
    </row>
    <row r="249">
      <c r="A249" t="inlineStr">
        <is>
          <t>SW-DIFF-148-FRAME</t>
        </is>
      </c>
      <c r="B249" t="inlineStr">
        <is>
          <t>SW-DIFF-148</t>
        </is>
      </c>
      <c r="C249" t="inlineStr">
        <is>
          <t>Khung nhôm định hình Louver (SWL)</t>
        </is>
      </c>
      <c r="D249" t="inlineStr">
        <is>
          <t>NHÔM_ĐỊNH_HÌNH</t>
        </is>
      </c>
      <c r="E249" t="inlineStr">
        <is>
          <t>MAT-ALU-KHUNG-Z-2-LOP</t>
        </is>
      </c>
      <c r="F249" t="inlineStr">
        <is>
          <t>kg</t>
        </is>
      </c>
      <c r="G249" s="406" t="n">
        <v>0.3511161330822348</v>
      </c>
      <c r="H249" s="402">
        <f>IFERROR(INDEX('00_TONG_HOP_BAO_GIA'!$G$1:$G$5000, MATCH(B249, '00_TONG_HOP_BAO_GIA'!$B$1:$B$5000, 0)), 1)</f>
        <v/>
      </c>
      <c r="I249" s="407">
        <f>G249*H249</f>
        <v/>
      </c>
      <c r="J249" s="402">
        <f>IFERROR(INDEX('06_BANG_GIA_VAT_TU_AP_DUNG'!$E$1:$E$5000, MATCH(E249, '06_BANG_GIA_VAT_TU_AP_DUNG'!$B$1:$B$5000, 0)), 0)</f>
        <v/>
      </c>
      <c r="K249" s="402">
        <f>I249*J249</f>
        <v/>
      </c>
      <c r="L249" t="inlineStr">
        <is>
          <t>Khung Louver phủ bì 350x350mm</t>
        </is>
      </c>
    </row>
    <row r="250">
      <c r="A250" t="inlineStr">
        <is>
          <t>SW-DIFF-148-BLADE</t>
        </is>
      </c>
      <c r="B250" t="inlineStr">
        <is>
          <t>SW-DIFF-148</t>
        </is>
      </c>
      <c r="C250" t="inlineStr">
        <is>
          <t>Nan Z Louver &amp; thanh tăng cứng (7 nan)</t>
        </is>
      </c>
      <c r="D250" t="inlineStr">
        <is>
          <t>NHÔM_ĐỊNH_HÌNH</t>
        </is>
      </c>
      <c r="E250" t="inlineStr">
        <is>
          <t>MAT-ALU-NAN-Z-DAY</t>
        </is>
      </c>
      <c r="F250" t="inlineStr">
        <is>
          <t>kg</t>
        </is>
      </c>
      <c r="G250" s="406" t="n">
        <v>0.5485609541745136</v>
      </c>
      <c r="H250" s="402">
        <f>IFERROR(INDEX('00_TONG_HOP_BAO_GIA'!$G$1:$G$5000, MATCH(B250, '00_TONG_HOP_BAO_GIA'!$B$1:$B$5000, 0)), 1)</f>
        <v/>
      </c>
      <c r="I250" s="407">
        <f>G250*H250</f>
        <v/>
      </c>
      <c r="J250" s="402">
        <f>IFERROR(INDEX('06_BANG_GIA_VAT_TU_AP_DUNG'!$E$1:$E$5000, MATCH(E250, '06_BANG_GIA_VAT_TU_AP_DUNG'!$B$1:$B$5000, 0)), 0)</f>
        <v/>
      </c>
      <c r="K250" s="402">
        <f>I250*J250</f>
        <v/>
      </c>
      <c r="L250" t="inlineStr">
        <is>
          <t>7 nan Z dày @ 0.217kg/m + thanh giằng</t>
        </is>
      </c>
    </row>
    <row r="251">
      <c r="A251" t="inlineStr">
        <is>
          <t>SW-DIFF-148-ACCESSORY</t>
        </is>
      </c>
      <c r="B251" t="inlineStr">
        <is>
          <t>SW-DIFF-148</t>
        </is>
      </c>
      <c r="C251" t="inlineStr">
        <is>
          <t>Phụ kiện lắp ghép / Ke góc cửa gió</t>
        </is>
      </c>
      <c r="D251" t="inlineStr">
        <is>
          <t>PHỤ_KIỆN_CỬA</t>
        </is>
      </c>
      <c r="E251" t="inlineStr">
        <is>
          <t>MAT-DOOR-ACCESSORY</t>
        </is>
      </c>
      <c r="F251" t="inlineStr">
        <is>
          <t>Bộ</t>
        </is>
      </c>
      <c r="G251" s="406" t="n">
        <v>0.8035153797865663</v>
      </c>
      <c r="H251" s="402">
        <f>IFERROR(INDEX('00_TONG_HOP_BAO_GIA'!$G$1:$G$5000, MATCH(B251, '00_TONG_HOP_BAO_GIA'!$B$1:$B$5000, 0)), 1)</f>
        <v/>
      </c>
      <c r="I251" s="407">
        <f>G251*H251</f>
        <v/>
      </c>
      <c r="J251" s="402">
        <f>IFERROR(INDEX('06_BANG_GIA_VAT_TU_AP_DUNG'!$E$1:$E$5000, MATCH(E251, '06_BANG_GIA_VAT_TU_AP_DUNG'!$B$1:$B$5000, 0)), 0)</f>
        <v/>
      </c>
      <c r="K251" s="402">
        <f>I251*J251</f>
        <v/>
      </c>
      <c r="L251" t="inlineStr">
        <is>
          <t>Ke góc và vít ghép khung Louver</t>
        </is>
      </c>
    </row>
    <row r="252">
      <c r="A252" t="inlineStr">
        <is>
          <t>SW-DIFF-148-PAINT</t>
        </is>
      </c>
      <c r="B252" t="inlineStr">
        <is>
          <t>SW-DIFF-148</t>
        </is>
      </c>
      <c r="C252" t="inlineStr">
        <is>
          <t>Sơn tĩnh điện tiêu chuẩn Polyester</t>
        </is>
      </c>
      <c r="D252" t="inlineStr">
        <is>
          <t>SƠN_TĨNH_ĐIỆN</t>
        </is>
      </c>
      <c r="E252" t="inlineStr">
        <is>
          <t>MAT-PAINT-POWDER</t>
        </is>
      </c>
      <c r="F252" t="inlineStr">
        <is>
          <t>m2</t>
        </is>
      </c>
      <c r="G252" s="406" t="n">
        <v>0.2580443721280603</v>
      </c>
      <c r="H252" s="402">
        <f>IFERROR(INDEX('00_TONG_HOP_BAO_GIA'!$G$1:$G$5000, MATCH(B252, '00_TONG_HOP_BAO_GIA'!$B$1:$B$5000, 0)), 1)</f>
        <v/>
      </c>
      <c r="I252" s="407">
        <f>G252*H252</f>
        <v/>
      </c>
      <c r="J252" s="402">
        <f>IFERROR(INDEX('06_BANG_GIA_VAT_TU_AP_DUNG'!$E$1:$E$5000, MATCH(E252, '06_BANG_GIA_VAT_TU_AP_DUNG'!$B$1:$B$5000, 0)), 0)</f>
        <v/>
      </c>
      <c r="K252" s="402">
        <f>I252*J252</f>
        <v/>
      </c>
      <c r="L252" t="inlineStr">
        <is>
          <t>Sơn tĩnh điện khung và nan Louver</t>
        </is>
      </c>
    </row>
    <row r="253">
      <c r="A253" t="inlineStr">
        <is>
          <t>SW-DIFF-148-MESH</t>
        </is>
      </c>
      <c r="B253" t="inlineStr">
        <is>
          <t>SW-DIFF-148</t>
        </is>
      </c>
      <c r="C253" t="inlineStr">
        <is>
          <t>Lưới chắn côn trùng Inox 304 (LCCT)</t>
        </is>
      </c>
      <c r="D253" t="inlineStr">
        <is>
          <t>PHỤ_KIỆN_CỬA</t>
        </is>
      </c>
      <c r="E253" t="inlineStr">
        <is>
          <t>MAT-MESH-INOX-304</t>
        </is>
      </c>
      <c r="F253" t="inlineStr">
        <is>
          <t>m2</t>
        </is>
      </c>
      <c r="G253" s="406" t="n">
        <v>0.0903954802259887</v>
      </c>
      <c r="H253" s="402">
        <f>IFERROR(INDEX('00_TONG_HOP_BAO_GIA'!$G$1:$G$5000, MATCH(B253, '00_TONG_HOP_BAO_GIA'!$B$1:$B$5000, 0)), 1)</f>
        <v/>
      </c>
      <c r="I253" s="407">
        <f>G253*H253</f>
        <v/>
      </c>
      <c r="J253" s="402">
        <f>IFERROR(INDEX('06_BANG_GIA_VAT_TU_AP_DUNG'!$E$1:$E$5000, MATCH(E253, '06_BANG_GIA_VAT_TU_AP_DUNG'!$B$1:$B$5000, 0)), 0)</f>
        <v/>
      </c>
      <c r="K253" s="402">
        <f>I253*J253</f>
        <v/>
      </c>
      <c r="L253" t="inlineStr">
        <is>
          <t>Lưới chắn côn trùng cổ 300x300mm</t>
        </is>
      </c>
    </row>
    <row r="254">
      <c r="A254" t="inlineStr">
        <is>
          <t>SW-DIFF-149-FRAME</t>
        </is>
      </c>
      <c r="B254" t="inlineStr">
        <is>
          <t>SW-DIFF-149</t>
        </is>
      </c>
      <c r="C254" t="inlineStr">
        <is>
          <t>Khung nhôm định hình Louver (SWL)</t>
        </is>
      </c>
      <c r="D254" t="inlineStr">
        <is>
          <t>NHÔM_ĐỊNH_HÌNH</t>
        </is>
      </c>
      <c r="E254" t="inlineStr">
        <is>
          <t>MAT-ALU-KHUNG-Z-2-LOP</t>
        </is>
      </c>
      <c r="F254" t="inlineStr">
        <is>
          <t>kg</t>
        </is>
      </c>
      <c r="G254" s="406" t="n">
        <v>0.4012755806654112</v>
      </c>
      <c r="H254" s="402">
        <f>IFERROR(INDEX('00_TONG_HOP_BAO_GIA'!$G$1:$G$5000, MATCH(B254, '00_TONG_HOP_BAO_GIA'!$B$1:$B$5000, 0)), 1)</f>
        <v/>
      </c>
      <c r="I254" s="407">
        <f>G254*H254</f>
        <v/>
      </c>
      <c r="J254" s="402">
        <f>IFERROR(INDEX('06_BANG_GIA_VAT_TU_AP_DUNG'!$E$1:$E$5000, MATCH(E254, '06_BANG_GIA_VAT_TU_AP_DUNG'!$B$1:$B$5000, 0)), 0)</f>
        <v/>
      </c>
      <c r="K254" s="402">
        <f>I254*J254</f>
        <v/>
      </c>
      <c r="L254" t="inlineStr">
        <is>
          <t>Khung Louver phủ bì 450x350mm</t>
        </is>
      </c>
    </row>
    <row r="255">
      <c r="A255" t="inlineStr">
        <is>
          <t>SW-DIFF-149-BLADE</t>
        </is>
      </c>
      <c r="B255" t="inlineStr">
        <is>
          <t>SW-DIFF-149</t>
        </is>
      </c>
      <c r="C255" t="inlineStr">
        <is>
          <t>Nan Z Louver &amp; thanh tăng cứng (7 nan)</t>
        </is>
      </c>
      <c r="D255" t="inlineStr">
        <is>
          <t>NHÔM_ĐỊNH_HÌNH</t>
        </is>
      </c>
      <c r="E255" t="inlineStr">
        <is>
          <t>MAT-ALU-NAN-Z-DAY</t>
        </is>
      </c>
      <c r="F255" t="inlineStr">
        <is>
          <t>kg</t>
        </is>
      </c>
      <c r="G255" s="406" t="n">
        <v>0.7163851851851852</v>
      </c>
      <c r="H255" s="402">
        <f>IFERROR(INDEX('00_TONG_HOP_BAO_GIA'!$G$1:$G$5000, MATCH(B255, '00_TONG_HOP_BAO_GIA'!$B$1:$B$5000, 0)), 1)</f>
        <v/>
      </c>
      <c r="I255" s="407">
        <f>G255*H255</f>
        <v/>
      </c>
      <c r="J255" s="402">
        <f>IFERROR(INDEX('06_BANG_GIA_VAT_TU_AP_DUNG'!$E$1:$E$5000, MATCH(E255, '06_BANG_GIA_VAT_TU_AP_DUNG'!$B$1:$B$5000, 0)), 0)</f>
        <v/>
      </c>
      <c r="K255" s="402">
        <f>I255*J255</f>
        <v/>
      </c>
      <c r="L255" t="inlineStr">
        <is>
          <t>7 nan Z dày @ 0.217kg/m + thanh giằng</t>
        </is>
      </c>
    </row>
    <row r="256">
      <c r="A256" t="inlineStr">
        <is>
          <t>SW-DIFF-149-ACCESSORY</t>
        </is>
      </c>
      <c r="B256" t="inlineStr">
        <is>
          <t>SW-DIFF-149</t>
        </is>
      </c>
      <c r="C256" t="inlineStr">
        <is>
          <t>Phụ kiện lắp ghép / Ke góc cửa gió</t>
        </is>
      </c>
      <c r="D256" t="inlineStr">
        <is>
          <t>PHỤ_KIỆN_CỬA</t>
        </is>
      </c>
      <c r="E256" t="inlineStr">
        <is>
          <t>MAT-DOOR-ACCESSORY</t>
        </is>
      </c>
      <c r="F256" t="inlineStr">
        <is>
          <t>Bộ</t>
        </is>
      </c>
      <c r="G256" s="406" t="n">
        <v>0.8035153797865663</v>
      </c>
      <c r="H256" s="402">
        <f>IFERROR(INDEX('00_TONG_HOP_BAO_GIA'!$G$1:$G$5000, MATCH(B256, '00_TONG_HOP_BAO_GIA'!$B$1:$B$5000, 0)), 1)</f>
        <v/>
      </c>
      <c r="I256" s="407">
        <f>G256*H256</f>
        <v/>
      </c>
      <c r="J256" s="402">
        <f>IFERROR(INDEX('06_BANG_GIA_VAT_TU_AP_DUNG'!$E$1:$E$5000, MATCH(E256, '06_BANG_GIA_VAT_TU_AP_DUNG'!$B$1:$B$5000, 0)), 0)</f>
        <v/>
      </c>
      <c r="K256" s="402">
        <f>I256*J256</f>
        <v/>
      </c>
      <c r="L256" t="inlineStr">
        <is>
          <t>Ke góc và vít ghép khung Louver</t>
        </is>
      </c>
    </row>
    <row r="257">
      <c r="A257" t="inlineStr">
        <is>
          <t>SW-DIFF-149-PAINT</t>
        </is>
      </c>
      <c r="B257" t="inlineStr">
        <is>
          <t>SW-DIFF-149</t>
        </is>
      </c>
      <c r="C257" t="inlineStr">
        <is>
          <t>Sơn tĩnh điện tiêu chuẩn Polyester</t>
        </is>
      </c>
      <c r="D257" t="inlineStr">
        <is>
          <t>SƠN_TĨNH_ĐIỆN</t>
        </is>
      </c>
      <c r="E257" t="inlineStr">
        <is>
          <t>MAT-PAINT-POWDER</t>
        </is>
      </c>
      <c r="F257" t="inlineStr">
        <is>
          <t>m2</t>
        </is>
      </c>
      <c r="G257" s="406" t="n">
        <v>0.3251833451349655</v>
      </c>
      <c r="H257" s="402">
        <f>IFERROR(INDEX('00_TONG_HOP_BAO_GIA'!$G$1:$G$5000, MATCH(B257, '00_TONG_HOP_BAO_GIA'!$B$1:$B$5000, 0)), 1)</f>
        <v/>
      </c>
      <c r="I257" s="407">
        <f>G257*H257</f>
        <v/>
      </c>
      <c r="J257" s="402">
        <f>IFERROR(INDEX('06_BANG_GIA_VAT_TU_AP_DUNG'!$E$1:$E$5000, MATCH(E257, '06_BANG_GIA_VAT_TU_AP_DUNG'!$B$1:$B$5000, 0)), 0)</f>
        <v/>
      </c>
      <c r="K257" s="402">
        <f>I257*J257</f>
        <v/>
      </c>
      <c r="L257" t="inlineStr">
        <is>
          <t>Sơn tĩnh điện khung và nan Louver</t>
        </is>
      </c>
    </row>
    <row r="258">
      <c r="A258" t="inlineStr">
        <is>
          <t>SW-DIFF-149-MESH</t>
        </is>
      </c>
      <c r="B258" t="inlineStr">
        <is>
          <t>SW-DIFF-149</t>
        </is>
      </c>
      <c r="C258" t="inlineStr">
        <is>
          <t>Lưới chắn côn trùng Inox 304 (LCCT)</t>
        </is>
      </c>
      <c r="D258" t="inlineStr">
        <is>
          <t>PHỤ_KIỆN_CỬA</t>
        </is>
      </c>
      <c r="E258" t="inlineStr">
        <is>
          <t>MAT-MESH-INOX-304</t>
        </is>
      </c>
      <c r="F258" t="inlineStr">
        <is>
          <t>m2</t>
        </is>
      </c>
      <c r="G258" s="406" t="n">
        <v>0.1205273069679849</v>
      </c>
      <c r="H258" s="402">
        <f>IFERROR(INDEX('00_TONG_HOP_BAO_GIA'!$G$1:$G$5000, MATCH(B258, '00_TONG_HOP_BAO_GIA'!$B$1:$B$5000, 0)), 1)</f>
        <v/>
      </c>
      <c r="I258" s="407">
        <f>G258*H258</f>
        <v/>
      </c>
      <c r="J258" s="402">
        <f>IFERROR(INDEX('06_BANG_GIA_VAT_TU_AP_DUNG'!$E$1:$E$5000, MATCH(E258, '06_BANG_GIA_VAT_TU_AP_DUNG'!$B$1:$B$5000, 0)), 0)</f>
        <v/>
      </c>
      <c r="K258" s="402">
        <f>I258*J258</f>
        <v/>
      </c>
      <c r="L258" t="inlineStr">
        <is>
          <t>Lưới chắn côn trùng cổ 400x300mm</t>
        </is>
      </c>
    </row>
    <row r="259">
      <c r="A259" t="inlineStr">
        <is>
          <t>SW-DIFF-150-FRAME</t>
        </is>
      </c>
      <c r="B259" t="inlineStr">
        <is>
          <t>SW-DIFF-150</t>
        </is>
      </c>
      <c r="C259" t="inlineStr">
        <is>
          <t>Khung nhôm định hình Louver (SWL)</t>
        </is>
      </c>
      <c r="D259" t="inlineStr">
        <is>
          <t>NHÔM_ĐỊNH_HÌNH</t>
        </is>
      </c>
      <c r="E259" t="inlineStr">
        <is>
          <t>MAT-ALU-KHUNG-Z-2-LOP</t>
        </is>
      </c>
      <c r="F259" t="inlineStr">
        <is>
          <t>kg</t>
        </is>
      </c>
      <c r="G259" s="406" t="n">
        <v>0.4514350282485877</v>
      </c>
      <c r="H259" s="402">
        <f>IFERROR(INDEX('00_TONG_HOP_BAO_GIA'!$G$1:$G$5000, MATCH(B259, '00_TONG_HOP_BAO_GIA'!$B$1:$B$5000, 0)), 1)</f>
        <v/>
      </c>
      <c r="I259" s="407">
        <f>G259*H259</f>
        <v/>
      </c>
      <c r="J259" s="402">
        <f>IFERROR(INDEX('06_BANG_GIA_VAT_TU_AP_DUNG'!$E$1:$E$5000, MATCH(E259, '06_BANG_GIA_VAT_TU_AP_DUNG'!$B$1:$B$5000, 0)), 0)</f>
        <v/>
      </c>
      <c r="K259" s="402">
        <f>I259*J259</f>
        <v/>
      </c>
      <c r="L259" t="inlineStr">
        <is>
          <t>Khung Louver phủ bì 550x350mm</t>
        </is>
      </c>
    </row>
    <row r="260">
      <c r="A260" t="inlineStr">
        <is>
          <t>SW-DIFF-150-BLADE</t>
        </is>
      </c>
      <c r="B260" t="inlineStr">
        <is>
          <t>SW-DIFF-150</t>
        </is>
      </c>
      <c r="C260" t="inlineStr">
        <is>
          <t>Nan Z Louver &amp; thanh tăng cứng (7 nan)</t>
        </is>
      </c>
      <c r="D260" t="inlineStr">
        <is>
          <t>NHÔM_ĐỊNH_HÌNH</t>
        </is>
      </c>
      <c r="E260" t="inlineStr">
        <is>
          <t>MAT-ALU-NAN-Z-DAY</t>
        </is>
      </c>
      <c r="F260" t="inlineStr">
        <is>
          <t>kg</t>
        </is>
      </c>
      <c r="G260" s="406" t="n">
        <v>0.884209416195857</v>
      </c>
      <c r="H260" s="402">
        <f>IFERROR(INDEX('00_TONG_HOP_BAO_GIA'!$G$1:$G$5000, MATCH(B260, '00_TONG_HOP_BAO_GIA'!$B$1:$B$5000, 0)), 1)</f>
        <v/>
      </c>
      <c r="I260" s="407">
        <f>G260*H260</f>
        <v/>
      </c>
      <c r="J260" s="402">
        <f>IFERROR(INDEX('06_BANG_GIA_VAT_TU_AP_DUNG'!$E$1:$E$5000, MATCH(E260, '06_BANG_GIA_VAT_TU_AP_DUNG'!$B$1:$B$5000, 0)), 0)</f>
        <v/>
      </c>
      <c r="K260" s="402">
        <f>I260*J260</f>
        <v/>
      </c>
      <c r="L260" t="inlineStr">
        <is>
          <t>7 nan Z dày @ 0.217kg/m + thanh giằng</t>
        </is>
      </c>
    </row>
    <row r="261">
      <c r="A261" t="inlineStr">
        <is>
          <t>SW-DIFF-150-ACCESSORY</t>
        </is>
      </c>
      <c r="B261" t="inlineStr">
        <is>
          <t>SW-DIFF-150</t>
        </is>
      </c>
      <c r="C261" t="inlineStr">
        <is>
          <t>Phụ kiện lắp ghép / Ke góc cửa gió</t>
        </is>
      </c>
      <c r="D261" t="inlineStr">
        <is>
          <t>PHỤ_KIỆN_CỬA</t>
        </is>
      </c>
      <c r="E261" t="inlineStr">
        <is>
          <t>MAT-DOOR-ACCESSORY</t>
        </is>
      </c>
      <c r="F261" t="inlineStr">
        <is>
          <t>Bộ</t>
        </is>
      </c>
      <c r="G261" s="406" t="n">
        <v>0.8035153797865663</v>
      </c>
      <c r="H261" s="402">
        <f>IFERROR(INDEX('00_TONG_HOP_BAO_GIA'!$G$1:$G$5000, MATCH(B261, '00_TONG_HOP_BAO_GIA'!$B$1:$B$5000, 0)), 1)</f>
        <v/>
      </c>
      <c r="I261" s="407">
        <f>G261*H261</f>
        <v/>
      </c>
      <c r="J261" s="402">
        <f>IFERROR(INDEX('06_BANG_GIA_VAT_TU_AP_DUNG'!$E$1:$E$5000, MATCH(E261, '06_BANG_GIA_VAT_TU_AP_DUNG'!$B$1:$B$5000, 0)), 0)</f>
        <v/>
      </c>
      <c r="K261" s="402">
        <f>I261*J261</f>
        <v/>
      </c>
      <c r="L261" t="inlineStr">
        <is>
          <t>Ke góc và vít ghép khung Louver</t>
        </is>
      </c>
    </row>
    <row r="262">
      <c r="A262" t="inlineStr">
        <is>
          <t>SW-DIFF-150-PAINT</t>
        </is>
      </c>
      <c r="B262" t="inlineStr">
        <is>
          <t>SW-DIFF-150</t>
        </is>
      </c>
      <c r="C262" t="inlineStr">
        <is>
          <t>Sơn tĩnh điện tiêu chuẩn Polyester</t>
        </is>
      </c>
      <c r="D262" t="inlineStr">
        <is>
          <t>SƠN_TĨNH_ĐIỆN</t>
        </is>
      </c>
      <c r="E262" t="inlineStr">
        <is>
          <t>MAT-PAINT-POWDER</t>
        </is>
      </c>
      <c r="F262" t="inlineStr">
        <is>
          <t>m2</t>
        </is>
      </c>
      <c r="G262" s="406" t="n">
        <v>0.3923223181418708</v>
      </c>
      <c r="H262" s="402">
        <f>IFERROR(INDEX('00_TONG_HOP_BAO_GIA'!$G$1:$G$5000, MATCH(B262, '00_TONG_HOP_BAO_GIA'!$B$1:$B$5000, 0)), 1)</f>
        <v/>
      </c>
      <c r="I262" s="407">
        <f>G262*H262</f>
        <v/>
      </c>
      <c r="J262" s="402">
        <f>IFERROR(INDEX('06_BANG_GIA_VAT_TU_AP_DUNG'!$E$1:$E$5000, MATCH(E262, '06_BANG_GIA_VAT_TU_AP_DUNG'!$B$1:$B$5000, 0)), 0)</f>
        <v/>
      </c>
      <c r="K262" s="402">
        <f>I262*J262</f>
        <v/>
      </c>
      <c r="L262" t="inlineStr">
        <is>
          <t>Sơn tĩnh điện khung và nan Louver</t>
        </is>
      </c>
    </row>
    <row r="263">
      <c r="A263" t="inlineStr">
        <is>
          <t>SW-DIFF-150-MESH</t>
        </is>
      </c>
      <c r="B263" t="inlineStr">
        <is>
          <t>SW-DIFF-150</t>
        </is>
      </c>
      <c r="C263" t="inlineStr">
        <is>
          <t>Lưới chắn côn trùng Inox 304 (LCCT)</t>
        </is>
      </c>
      <c r="D263" t="inlineStr">
        <is>
          <t>PHỤ_KIỆN_CỬA</t>
        </is>
      </c>
      <c r="E263" t="inlineStr">
        <is>
          <t>MAT-MESH-INOX-304</t>
        </is>
      </c>
      <c r="F263" t="inlineStr">
        <is>
          <t>m2</t>
        </is>
      </c>
      <c r="G263" s="406" t="n">
        <v>0.1506591337099812</v>
      </c>
      <c r="H263" s="402">
        <f>IFERROR(INDEX('00_TONG_HOP_BAO_GIA'!$G$1:$G$5000, MATCH(B263, '00_TONG_HOP_BAO_GIA'!$B$1:$B$5000, 0)), 1)</f>
        <v/>
      </c>
      <c r="I263" s="407">
        <f>G263*H263</f>
        <v/>
      </c>
      <c r="J263" s="402">
        <f>IFERROR(INDEX('06_BANG_GIA_VAT_TU_AP_DUNG'!$E$1:$E$5000, MATCH(E263, '06_BANG_GIA_VAT_TU_AP_DUNG'!$B$1:$B$5000, 0)), 0)</f>
        <v/>
      </c>
      <c r="K263" s="402">
        <f>I263*J263</f>
        <v/>
      </c>
      <c r="L263" t="inlineStr">
        <is>
          <t>Lưới chắn côn trùng cổ 500x300mm</t>
        </is>
      </c>
    </row>
    <row r="264">
      <c r="A264" t="inlineStr">
        <is>
          <t>SW-DIFF-151-FRAME</t>
        </is>
      </c>
      <c r="B264" t="inlineStr">
        <is>
          <t>SW-DIFF-151</t>
        </is>
      </c>
      <c r="C264" t="inlineStr">
        <is>
          <t>Khung nhôm định hình Louver (SWL)</t>
        </is>
      </c>
      <c r="D264" t="inlineStr">
        <is>
          <t>NHÔM_ĐỊNH_HÌNH</t>
        </is>
      </c>
      <c r="E264" t="inlineStr">
        <is>
          <t>MAT-ALU-KHUNG-Z-2-LOP</t>
        </is>
      </c>
      <c r="F264" t="inlineStr">
        <is>
          <t>kg</t>
        </is>
      </c>
      <c r="G264" s="406" t="n">
        <v>0.5517539234149405</v>
      </c>
      <c r="H264" s="402">
        <f>IFERROR(INDEX('00_TONG_HOP_BAO_GIA'!$G$1:$G$5000, MATCH(B264, '00_TONG_HOP_BAO_GIA'!$B$1:$B$5000, 0)), 1)</f>
        <v/>
      </c>
      <c r="I264" s="407">
        <f>G264*H264</f>
        <v/>
      </c>
      <c r="J264" s="402">
        <f>IFERROR(INDEX('06_BANG_GIA_VAT_TU_AP_DUNG'!$E$1:$E$5000, MATCH(E264, '06_BANG_GIA_VAT_TU_AP_DUNG'!$B$1:$B$5000, 0)), 0)</f>
        <v/>
      </c>
      <c r="K264" s="402">
        <f>I264*J264</f>
        <v/>
      </c>
      <c r="L264" t="inlineStr">
        <is>
          <t>Khung Louver phủ bì 650x450mm</t>
        </is>
      </c>
    </row>
    <row r="265">
      <c r="A265" t="inlineStr">
        <is>
          <t>SW-DIFF-151-BLADE</t>
        </is>
      </c>
      <c r="B265" t="inlineStr">
        <is>
          <t>SW-DIFF-151</t>
        </is>
      </c>
      <c r="C265" t="inlineStr">
        <is>
          <t>Nan Z Louver &amp; thanh tăng cứng (9 nan)</t>
        </is>
      </c>
      <c r="D265" t="inlineStr">
        <is>
          <t>NHÔM_ĐỊNH_HÌNH</t>
        </is>
      </c>
      <c r="E265" t="inlineStr">
        <is>
          <t>MAT-ALU-NAN-Z-DAY</t>
        </is>
      </c>
      <c r="F265" t="inlineStr">
        <is>
          <t>kg</t>
        </is>
      </c>
      <c r="G265" s="406" t="n">
        <v>1.352614689265537</v>
      </c>
      <c r="H265" s="402">
        <f>IFERROR(INDEX('00_TONG_HOP_BAO_GIA'!$G$1:$G$5000, MATCH(B265, '00_TONG_HOP_BAO_GIA'!$B$1:$B$5000, 0)), 1)</f>
        <v/>
      </c>
      <c r="I265" s="407">
        <f>G265*H265</f>
        <v/>
      </c>
      <c r="J265" s="402">
        <f>IFERROR(INDEX('06_BANG_GIA_VAT_TU_AP_DUNG'!$E$1:$E$5000, MATCH(E265, '06_BANG_GIA_VAT_TU_AP_DUNG'!$B$1:$B$5000, 0)), 0)</f>
        <v/>
      </c>
      <c r="K265" s="402">
        <f>I265*J265</f>
        <v/>
      </c>
      <c r="L265" t="inlineStr">
        <is>
          <t>9 nan Z dày @ 0.217kg/m + thanh giằng</t>
        </is>
      </c>
    </row>
    <row r="266">
      <c r="A266" t="inlineStr">
        <is>
          <t>SW-DIFF-151-ACCESSORY</t>
        </is>
      </c>
      <c r="B266" t="inlineStr">
        <is>
          <t>SW-DIFF-151</t>
        </is>
      </c>
      <c r="C266" t="inlineStr">
        <is>
          <t>Phụ kiện lắp ghép / Ke góc cửa gió</t>
        </is>
      </c>
      <c r="D266" t="inlineStr">
        <is>
          <t>PHỤ_KIỆN_CỬA</t>
        </is>
      </c>
      <c r="E266" t="inlineStr">
        <is>
          <t>MAT-DOOR-ACCESSORY</t>
        </is>
      </c>
      <c r="F266" t="inlineStr">
        <is>
          <t>Bộ</t>
        </is>
      </c>
      <c r="G266" s="406" t="n">
        <v>0.8035153797865663</v>
      </c>
      <c r="H266" s="402">
        <f>IFERROR(INDEX('00_TONG_HOP_BAO_GIA'!$G$1:$G$5000, MATCH(B266, '00_TONG_HOP_BAO_GIA'!$B$1:$B$5000, 0)), 1)</f>
        <v/>
      </c>
      <c r="I266" s="407">
        <f>G266*H266</f>
        <v/>
      </c>
      <c r="J266" s="402">
        <f>IFERROR(INDEX('06_BANG_GIA_VAT_TU_AP_DUNG'!$E$1:$E$5000, MATCH(E266, '06_BANG_GIA_VAT_TU_AP_DUNG'!$B$1:$B$5000, 0)), 0)</f>
        <v/>
      </c>
      <c r="K266" s="402">
        <f>I266*J266</f>
        <v/>
      </c>
      <c r="L266" t="inlineStr">
        <is>
          <t>Ke góc và vít ghép khung Louver</t>
        </is>
      </c>
    </row>
    <row r="267">
      <c r="A267" t="inlineStr">
        <is>
          <t>SW-DIFF-151-PAINT</t>
        </is>
      </c>
      <c r="B267" t="inlineStr">
        <is>
          <t>SW-DIFF-151</t>
        </is>
      </c>
      <c r="C267" t="inlineStr">
        <is>
          <t>Sơn tĩnh điện tiêu chuẩn Polyester</t>
        </is>
      </c>
      <c r="D267" t="inlineStr">
        <is>
          <t>SƠN_TĨNH_ĐIỆN</t>
        </is>
      </c>
      <c r="E267" t="inlineStr">
        <is>
          <t>MAT-PAINT-POWDER</t>
        </is>
      </c>
      <c r="F267" t="inlineStr">
        <is>
          <t>m2</t>
        </is>
      </c>
      <c r="G267" s="406" t="n">
        <v>0.5620447417451351</v>
      </c>
      <c r="H267" s="402">
        <f>IFERROR(INDEX('00_TONG_HOP_BAO_GIA'!$G$1:$G$5000, MATCH(B267, '00_TONG_HOP_BAO_GIA'!$B$1:$B$5000, 0)), 1)</f>
        <v/>
      </c>
      <c r="I267" s="407">
        <f>G267*H267</f>
        <v/>
      </c>
      <c r="J267" s="402">
        <f>IFERROR(INDEX('06_BANG_GIA_VAT_TU_AP_DUNG'!$E$1:$E$5000, MATCH(E267, '06_BANG_GIA_VAT_TU_AP_DUNG'!$B$1:$B$5000, 0)), 0)</f>
        <v/>
      </c>
      <c r="K267" s="402">
        <f>I267*J267</f>
        <v/>
      </c>
      <c r="L267" t="inlineStr">
        <is>
          <t>Sơn tĩnh điện khung và nan Louver</t>
        </is>
      </c>
    </row>
    <row r="268">
      <c r="A268" t="inlineStr">
        <is>
          <t>SW-DIFF-151-MESH</t>
        </is>
      </c>
      <c r="B268" t="inlineStr">
        <is>
          <t>SW-DIFF-151</t>
        </is>
      </c>
      <c r="C268" t="inlineStr">
        <is>
          <t>Lưới chắn côn trùng Inox 304 (LCCT)</t>
        </is>
      </c>
      <c r="D268" t="inlineStr">
        <is>
          <t>PHỤ_KIỆN_CỬA</t>
        </is>
      </c>
      <c r="E268" t="inlineStr">
        <is>
          <t>MAT-MESH-INOX-304</t>
        </is>
      </c>
      <c r="F268" t="inlineStr">
        <is>
          <t>m2</t>
        </is>
      </c>
      <c r="G268" s="406" t="n">
        <v>0.2410546139359699</v>
      </c>
      <c r="H268" s="402">
        <f>IFERROR(INDEX('00_TONG_HOP_BAO_GIA'!$G$1:$G$5000, MATCH(B268, '00_TONG_HOP_BAO_GIA'!$B$1:$B$5000, 0)), 1)</f>
        <v/>
      </c>
      <c r="I268" s="407">
        <f>G268*H268</f>
        <v/>
      </c>
      <c r="J268" s="402">
        <f>IFERROR(INDEX('06_BANG_GIA_VAT_TU_AP_DUNG'!$E$1:$E$5000, MATCH(E268, '06_BANG_GIA_VAT_TU_AP_DUNG'!$B$1:$B$5000, 0)), 0)</f>
        <v/>
      </c>
      <c r="K268" s="402">
        <f>I268*J268</f>
        <v/>
      </c>
      <c r="L268" t="inlineStr">
        <is>
          <t>Lưới chắn côn trùng cổ 600x400mm</t>
        </is>
      </c>
    </row>
    <row r="269">
      <c r="A269" t="inlineStr">
        <is>
          <t>SW-DIFF-152-FRAME</t>
        </is>
      </c>
      <c r="B269" t="inlineStr">
        <is>
          <t>SW-DIFF-152</t>
        </is>
      </c>
      <c r="C269" t="inlineStr">
        <is>
          <t>Khung nhôm định hình Louver (SWL)</t>
        </is>
      </c>
      <c r="D269" t="inlineStr">
        <is>
          <t>NHÔM_ĐỊNH_HÌNH</t>
        </is>
      </c>
      <c r="E269" t="inlineStr">
        <is>
          <t>MAT-ALU-KHUNG-Z-2-LOP</t>
        </is>
      </c>
      <c r="F269" t="inlineStr">
        <is>
          <t>kg</t>
        </is>
      </c>
      <c r="G269" s="406" t="n">
        <v>0.6520728185812933</v>
      </c>
      <c r="H269" s="402">
        <f>IFERROR(INDEX('00_TONG_HOP_BAO_GIA'!$G$1:$G$5000, MATCH(B269, '00_TONG_HOP_BAO_GIA'!$B$1:$B$5000, 0)), 1)</f>
        <v/>
      </c>
      <c r="I269" s="407">
        <f>G269*H269</f>
        <v/>
      </c>
      <c r="J269" s="402">
        <f>IFERROR(INDEX('06_BANG_GIA_VAT_TU_AP_DUNG'!$E$1:$E$5000, MATCH(E269, '06_BANG_GIA_VAT_TU_AP_DUNG'!$B$1:$B$5000, 0)), 0)</f>
        <v/>
      </c>
      <c r="K269" s="402">
        <f>I269*J269</f>
        <v/>
      </c>
      <c r="L269" t="inlineStr">
        <is>
          <t>Khung Louver phủ bì 650x650mm</t>
        </is>
      </c>
    </row>
    <row r="270">
      <c r="A270" t="inlineStr">
        <is>
          <t>SW-DIFF-152-BLADE</t>
        </is>
      </c>
      <c r="B270" t="inlineStr">
        <is>
          <t>SW-DIFF-152</t>
        </is>
      </c>
      <c r="C270" t="inlineStr">
        <is>
          <t>Nan Z Louver &amp; thanh tăng cứng (13 nan)</t>
        </is>
      </c>
      <c r="D270" t="inlineStr">
        <is>
          <t>NHÔM_ĐỊNH_HÌNH</t>
        </is>
      </c>
      <c r="E270" t="inlineStr">
        <is>
          <t>MAT-ALU-NAN-Z-DAY</t>
        </is>
      </c>
      <c r="F270" t="inlineStr">
        <is>
          <t>kg</t>
        </is>
      </c>
      <c r="G270" s="406" t="n">
        <v>1.953776773383553</v>
      </c>
      <c r="H270" s="402">
        <f>IFERROR(INDEX('00_TONG_HOP_BAO_GIA'!$G$1:$G$5000, MATCH(B270, '00_TONG_HOP_BAO_GIA'!$B$1:$B$5000, 0)), 1)</f>
        <v/>
      </c>
      <c r="I270" s="407">
        <f>G270*H270</f>
        <v/>
      </c>
      <c r="J270" s="402">
        <f>IFERROR(INDEX('06_BANG_GIA_VAT_TU_AP_DUNG'!$E$1:$E$5000, MATCH(E270, '06_BANG_GIA_VAT_TU_AP_DUNG'!$B$1:$B$5000, 0)), 0)</f>
        <v/>
      </c>
      <c r="K270" s="402">
        <f>I270*J270</f>
        <v/>
      </c>
      <c r="L270" t="inlineStr">
        <is>
          <t>13 nan Z dày @ 0.217kg/m + thanh giằng</t>
        </is>
      </c>
    </row>
    <row r="271">
      <c r="A271" t="inlineStr">
        <is>
          <t>SW-DIFF-152-ACCESSORY</t>
        </is>
      </c>
      <c r="B271" t="inlineStr">
        <is>
          <t>SW-DIFF-152</t>
        </is>
      </c>
      <c r="C271" t="inlineStr">
        <is>
          <t>Phụ kiện lắp ghép / Ke góc cửa gió</t>
        </is>
      </c>
      <c r="D271" t="inlineStr">
        <is>
          <t>PHỤ_KIỆN_CỬA</t>
        </is>
      </c>
      <c r="E271" t="inlineStr">
        <is>
          <t>MAT-DOOR-ACCESSORY</t>
        </is>
      </c>
      <c r="F271" t="inlineStr">
        <is>
          <t>Bộ</t>
        </is>
      </c>
      <c r="G271" s="406" t="n">
        <v>0.8035153797865663</v>
      </c>
      <c r="H271" s="402">
        <f>IFERROR(INDEX('00_TONG_HOP_BAO_GIA'!$G$1:$G$5000, MATCH(B271, '00_TONG_HOP_BAO_GIA'!$B$1:$B$5000, 0)), 1)</f>
        <v/>
      </c>
      <c r="I271" s="407">
        <f>G271*H271</f>
        <v/>
      </c>
      <c r="J271" s="402">
        <f>IFERROR(INDEX('06_BANG_GIA_VAT_TU_AP_DUNG'!$E$1:$E$5000, MATCH(E271, '06_BANG_GIA_VAT_TU_AP_DUNG'!$B$1:$B$5000, 0)), 0)</f>
        <v/>
      </c>
      <c r="K271" s="402">
        <f>I271*J271</f>
        <v/>
      </c>
      <c r="L271" t="inlineStr">
        <is>
          <t>Ke góc và vít ghép khung Louver</t>
        </is>
      </c>
    </row>
    <row r="272">
      <c r="A272" t="inlineStr">
        <is>
          <t>SW-DIFF-152-PAINT</t>
        </is>
      </c>
      <c r="B272" t="inlineStr">
        <is>
          <t>SW-DIFF-152</t>
        </is>
      </c>
      <c r="C272" t="inlineStr">
        <is>
          <t>Sơn tĩnh điện tiêu chuẩn Polyester</t>
        </is>
      </c>
      <c r="D272" t="inlineStr">
        <is>
          <t>SƠN_TĨNH_ĐIỆN</t>
        </is>
      </c>
      <c r="E272" t="inlineStr">
        <is>
          <t>MAT-PAINT-POWDER</t>
        </is>
      </c>
      <c r="F272" t="inlineStr">
        <is>
          <t>m2</t>
        </is>
      </c>
      <c r="G272" s="406" t="n">
        <v>0.7672116429378532</v>
      </c>
      <c r="H272" s="402">
        <f>IFERROR(INDEX('00_TONG_HOP_BAO_GIA'!$G$1:$G$5000, MATCH(B272, '00_TONG_HOP_BAO_GIA'!$B$1:$B$5000, 0)), 1)</f>
        <v/>
      </c>
      <c r="I272" s="407">
        <f>G272*H272</f>
        <v/>
      </c>
      <c r="J272" s="402">
        <f>IFERROR(INDEX('06_BANG_GIA_VAT_TU_AP_DUNG'!$E$1:$E$5000, MATCH(E272, '06_BANG_GIA_VAT_TU_AP_DUNG'!$B$1:$B$5000, 0)), 0)</f>
        <v/>
      </c>
      <c r="K272" s="402">
        <f>I272*J272</f>
        <v/>
      </c>
      <c r="L272" t="inlineStr">
        <is>
          <t>Sơn tĩnh điện khung và nan Louver</t>
        </is>
      </c>
    </row>
    <row r="273">
      <c r="A273" t="inlineStr">
        <is>
          <t>SW-DIFF-152-MESH</t>
        </is>
      </c>
      <c r="B273" t="inlineStr">
        <is>
          <t>SW-DIFF-152</t>
        </is>
      </c>
      <c r="C273" t="inlineStr">
        <is>
          <t>Lưới chắn côn trùng Inox 304 (LCCT)</t>
        </is>
      </c>
      <c r="D273" t="inlineStr">
        <is>
          <t>PHỤ_KIỆN_CỬA</t>
        </is>
      </c>
      <c r="E273" t="inlineStr">
        <is>
          <t>MAT-MESH-INOX-304</t>
        </is>
      </c>
      <c r="F273" t="inlineStr">
        <is>
          <t>m2</t>
        </is>
      </c>
      <c r="G273" s="406" t="n">
        <v>0.3615819209039548</v>
      </c>
      <c r="H273" s="402">
        <f>IFERROR(INDEX('00_TONG_HOP_BAO_GIA'!$G$1:$G$5000, MATCH(B273, '00_TONG_HOP_BAO_GIA'!$B$1:$B$5000, 0)), 1)</f>
        <v/>
      </c>
      <c r="I273" s="407">
        <f>G273*H273</f>
        <v/>
      </c>
      <c r="J273" s="402">
        <f>IFERROR(INDEX('06_BANG_GIA_VAT_TU_AP_DUNG'!$E$1:$E$5000, MATCH(E273, '06_BANG_GIA_VAT_TU_AP_DUNG'!$B$1:$B$5000, 0)), 0)</f>
        <v/>
      </c>
      <c r="K273" s="402">
        <f>I273*J273</f>
        <v/>
      </c>
      <c r="L273" t="inlineStr">
        <is>
          <t>Lưới chắn côn trùng cổ 600x600mm</t>
        </is>
      </c>
    </row>
    <row r="274">
      <c r="A274" t="inlineStr">
        <is>
          <t>SW-DIFF-153-FRAME</t>
        </is>
      </c>
      <c r="B274" t="inlineStr">
        <is>
          <t>SW-DIFF-153</t>
        </is>
      </c>
      <c r="C274" t="inlineStr">
        <is>
          <t>Khung nhôm định hình Louver (SWL)</t>
        </is>
      </c>
      <c r="D274" t="inlineStr">
        <is>
          <t>NHÔM_ĐỊNH_HÌNH</t>
        </is>
      </c>
      <c r="E274" t="inlineStr">
        <is>
          <t>MAT-ALU-KHUNG-Z-2-LOP</t>
        </is>
      </c>
      <c r="F274" t="inlineStr">
        <is>
          <t>kg</t>
        </is>
      </c>
      <c r="G274" s="406" t="n">
        <v>0.8025511613308225</v>
      </c>
      <c r="H274" s="402">
        <f>IFERROR(INDEX('00_TONG_HOP_BAO_GIA'!$G$1:$G$5000, MATCH(B274, '00_TONG_HOP_BAO_GIA'!$B$1:$B$5000, 0)), 1)</f>
        <v/>
      </c>
      <c r="I274" s="407">
        <f>G274*H274</f>
        <v/>
      </c>
      <c r="J274" s="402">
        <f>IFERROR(INDEX('06_BANG_GIA_VAT_TU_AP_DUNG'!$E$1:$E$5000, MATCH(E274, '06_BANG_GIA_VAT_TU_AP_DUNG'!$B$1:$B$5000, 0)), 0)</f>
        <v/>
      </c>
      <c r="K274" s="402">
        <f>I274*J274</f>
        <v/>
      </c>
      <c r="L274" t="inlineStr">
        <is>
          <t>Khung Louver phủ bì 950x650mm</t>
        </is>
      </c>
    </row>
    <row r="275">
      <c r="A275" t="inlineStr">
        <is>
          <t>SW-DIFF-153-BLADE</t>
        </is>
      </c>
      <c r="B275" t="inlineStr">
        <is>
          <t>SW-DIFF-153</t>
        </is>
      </c>
      <c r="C275" t="inlineStr">
        <is>
          <t>Nan Z Louver &amp; thanh tăng cứng (13 nan)</t>
        </is>
      </c>
      <c r="D275" t="inlineStr">
        <is>
          <t>NHÔM_ĐỊNH_HÌNH</t>
        </is>
      </c>
      <c r="E275" t="inlineStr">
        <is>
          <t>MAT-ALU-NAN-Z-DAY</t>
        </is>
      </c>
      <c r="F275" t="inlineStr">
        <is>
          <t>kg</t>
        </is>
      </c>
      <c r="G275" s="406" t="n">
        <v>2.888797489014438</v>
      </c>
      <c r="H275" s="402">
        <f>IFERROR(INDEX('00_TONG_HOP_BAO_GIA'!$G$1:$G$5000, MATCH(B275, '00_TONG_HOP_BAO_GIA'!$B$1:$B$5000, 0)), 1)</f>
        <v/>
      </c>
      <c r="I275" s="407">
        <f>G275*H275</f>
        <v/>
      </c>
      <c r="J275" s="402">
        <f>IFERROR(INDEX('06_BANG_GIA_VAT_TU_AP_DUNG'!$E$1:$E$5000, MATCH(E275, '06_BANG_GIA_VAT_TU_AP_DUNG'!$B$1:$B$5000, 0)), 0)</f>
        <v/>
      </c>
      <c r="K275" s="402">
        <f>I275*J275</f>
        <v/>
      </c>
      <c r="L275" t="inlineStr">
        <is>
          <t>13 nan Z dày @ 0.217kg/m + thanh giằng</t>
        </is>
      </c>
    </row>
    <row r="276">
      <c r="A276" t="inlineStr">
        <is>
          <t>SW-DIFF-153-ACCESSORY</t>
        </is>
      </c>
      <c r="B276" t="inlineStr">
        <is>
          <t>SW-DIFF-153</t>
        </is>
      </c>
      <c r="C276" t="inlineStr">
        <is>
          <t>Phụ kiện lắp ghép / Ke góc cửa gió</t>
        </is>
      </c>
      <c r="D276" t="inlineStr">
        <is>
          <t>PHỤ_KIỆN_CỬA</t>
        </is>
      </c>
      <c r="E276" t="inlineStr">
        <is>
          <t>MAT-DOOR-ACCESSORY</t>
        </is>
      </c>
      <c r="F276" t="inlineStr">
        <is>
          <t>Bộ</t>
        </is>
      </c>
      <c r="G276" s="406" t="n">
        <v>0.8035153797865663</v>
      </c>
      <c r="H276" s="402">
        <f>IFERROR(INDEX('00_TONG_HOP_BAO_GIA'!$G$1:$G$5000, MATCH(B276, '00_TONG_HOP_BAO_GIA'!$B$1:$B$5000, 0)), 1)</f>
        <v/>
      </c>
      <c r="I276" s="407">
        <f>G276*H276</f>
        <v/>
      </c>
      <c r="J276" s="402">
        <f>IFERROR(INDEX('06_BANG_GIA_VAT_TU_AP_DUNG'!$E$1:$E$5000, MATCH(E276, '06_BANG_GIA_VAT_TU_AP_DUNG'!$B$1:$B$5000, 0)), 0)</f>
        <v/>
      </c>
      <c r="K276" s="402">
        <f>I276*J276</f>
        <v/>
      </c>
      <c r="L276" t="inlineStr">
        <is>
          <t>Ke góc và vít ghép khung Louver</t>
        </is>
      </c>
    </row>
    <row r="277">
      <c r="A277" t="inlineStr">
        <is>
          <t>SW-DIFF-153-PAINT</t>
        </is>
      </c>
      <c r="B277" t="inlineStr">
        <is>
          <t>SW-DIFF-153</t>
        </is>
      </c>
      <c r="C277" t="inlineStr">
        <is>
          <t>Sơn tĩnh điện tiêu chuẩn Polyester</t>
        </is>
      </c>
      <c r="D277" t="inlineStr">
        <is>
          <t>SƠN_TĨNH_ĐIỆN</t>
        </is>
      </c>
      <c r="E277" t="inlineStr">
        <is>
          <t>MAT-PAINT-POWDER</t>
        </is>
      </c>
      <c r="F277" t="inlineStr">
        <is>
          <t>m2</t>
        </is>
      </c>
      <c r="G277" s="406" t="n">
        <v>1.101545352919021</v>
      </c>
      <c r="H277" s="402">
        <f>IFERROR(INDEX('00_TONG_HOP_BAO_GIA'!$G$1:$G$5000, MATCH(B277, '00_TONG_HOP_BAO_GIA'!$B$1:$B$5000, 0)), 1)</f>
        <v/>
      </c>
      <c r="I277" s="407">
        <f>G277*H277</f>
        <v/>
      </c>
      <c r="J277" s="402">
        <f>IFERROR(INDEX('06_BANG_GIA_VAT_TU_AP_DUNG'!$E$1:$E$5000, MATCH(E277, '06_BANG_GIA_VAT_TU_AP_DUNG'!$B$1:$B$5000, 0)), 0)</f>
        <v/>
      </c>
      <c r="K277" s="402">
        <f>I277*J277</f>
        <v/>
      </c>
      <c r="L277" t="inlineStr">
        <is>
          <t>Sơn tĩnh điện khung và nan Louver</t>
        </is>
      </c>
    </row>
    <row r="278">
      <c r="A278" t="inlineStr">
        <is>
          <t>SW-DIFF-153-MESH</t>
        </is>
      </c>
      <c r="B278" t="inlineStr">
        <is>
          <t>SW-DIFF-153</t>
        </is>
      </c>
      <c r="C278" t="inlineStr">
        <is>
          <t>Lưới chắn côn trùng Inox 304 (LCCT)</t>
        </is>
      </c>
      <c r="D278" t="inlineStr">
        <is>
          <t>PHỤ_KIỆN_CỬA</t>
        </is>
      </c>
      <c r="E278" t="inlineStr">
        <is>
          <t>MAT-MESH-INOX-304</t>
        </is>
      </c>
      <c r="F278" t="inlineStr">
        <is>
          <t>m2</t>
        </is>
      </c>
      <c r="G278" s="406" t="n">
        <v>0.5423728813559323</v>
      </c>
      <c r="H278" s="402">
        <f>IFERROR(INDEX('00_TONG_HOP_BAO_GIA'!$G$1:$G$5000, MATCH(B278, '00_TONG_HOP_BAO_GIA'!$B$1:$B$5000, 0)), 1)</f>
        <v/>
      </c>
      <c r="I278" s="407">
        <f>G278*H278</f>
        <v/>
      </c>
      <c r="J278" s="402">
        <f>IFERROR(INDEX('06_BANG_GIA_VAT_TU_AP_DUNG'!$E$1:$E$5000, MATCH(E278, '06_BANG_GIA_VAT_TU_AP_DUNG'!$B$1:$B$5000, 0)), 0)</f>
        <v/>
      </c>
      <c r="K278" s="402">
        <f>I278*J278</f>
        <v/>
      </c>
      <c r="L278" t="inlineStr">
        <is>
          <t>Lưới chắn côn trùng cổ 900x600mm</t>
        </is>
      </c>
    </row>
    <row r="279">
      <c r="A279" t="inlineStr">
        <is>
          <t>SW-DIFF-154-FRAME</t>
        </is>
      </c>
      <c r="B279" t="inlineStr">
        <is>
          <t>SW-DIFF-154</t>
        </is>
      </c>
      <c r="C279" t="inlineStr">
        <is>
          <t>Khung nhôm định hình Louver (SWL)</t>
        </is>
      </c>
      <c r="D279" t="inlineStr">
        <is>
          <t>NHÔM_ĐỊNH_HÌNH</t>
        </is>
      </c>
      <c r="E279" t="inlineStr">
        <is>
          <t>MAT-ALU-KHUNG-Z-2-LOP</t>
        </is>
      </c>
      <c r="F279" t="inlineStr">
        <is>
          <t>kg</t>
        </is>
      </c>
      <c r="G279" s="406" t="n">
        <v>1.554942875078468</v>
      </c>
      <c r="H279" s="402">
        <f>IFERROR(INDEX('00_TONG_HOP_BAO_GIA'!$G$1:$G$5000, MATCH(B279, '00_TONG_HOP_BAO_GIA'!$B$1:$B$5000, 0)), 1)</f>
        <v/>
      </c>
      <c r="I279" s="407">
        <f>G279*H279</f>
        <v/>
      </c>
      <c r="J279" s="402">
        <f>IFERROR(INDEX('06_BANG_GIA_VAT_TU_AP_DUNG'!$E$1:$E$5000, MATCH(E279, '06_BANG_GIA_VAT_TU_AP_DUNG'!$B$1:$B$5000, 0)), 0)</f>
        <v/>
      </c>
      <c r="K279" s="402">
        <f>I279*J279</f>
        <v/>
      </c>
      <c r="L279" t="inlineStr">
        <is>
          <t>Khung Louver phủ bì 2550x550mm</t>
        </is>
      </c>
    </row>
    <row r="280">
      <c r="A280" t="inlineStr">
        <is>
          <t>SW-DIFF-154-BLADE</t>
        </is>
      </c>
      <c r="B280" t="inlineStr">
        <is>
          <t>SW-DIFF-154</t>
        </is>
      </c>
      <c r="C280" t="inlineStr">
        <is>
          <t>Nan Z Louver &amp; thanh tăng cứng (11 nan)</t>
        </is>
      </c>
      <c r="D280" t="inlineStr">
        <is>
          <t>NHÔM_ĐỊNH_HÌNH</t>
        </is>
      </c>
      <c r="E280" t="inlineStr">
        <is>
          <t>MAT-ALU-NAN-Z-DAY</t>
        </is>
      </c>
      <c r="F280" t="inlineStr">
        <is>
          <t>kg</t>
        </is>
      </c>
      <c r="G280" s="406" t="n">
        <v>6.663947771500314</v>
      </c>
      <c r="H280" s="402">
        <f>IFERROR(INDEX('00_TONG_HOP_BAO_GIA'!$G$1:$G$5000, MATCH(B280, '00_TONG_HOP_BAO_GIA'!$B$1:$B$5000, 0)), 1)</f>
        <v/>
      </c>
      <c r="I280" s="407">
        <f>G280*H280</f>
        <v/>
      </c>
      <c r="J280" s="402">
        <f>IFERROR(INDEX('06_BANG_GIA_VAT_TU_AP_DUNG'!$E$1:$E$5000, MATCH(E280, '06_BANG_GIA_VAT_TU_AP_DUNG'!$B$1:$B$5000, 0)), 0)</f>
        <v/>
      </c>
      <c r="K280" s="402">
        <f>I280*J280</f>
        <v/>
      </c>
      <c r="L280" t="inlineStr">
        <is>
          <t>11 nan Z dày @ 0.217kg/m + thanh giằng</t>
        </is>
      </c>
    </row>
    <row r="281">
      <c r="A281" t="inlineStr">
        <is>
          <t>SW-DIFF-154-ACCESSORY</t>
        </is>
      </c>
      <c r="B281" t="inlineStr">
        <is>
          <t>SW-DIFF-154</t>
        </is>
      </c>
      <c r="C281" t="inlineStr">
        <is>
          <t>Phụ kiện lắp ghép / Ke góc cửa gió</t>
        </is>
      </c>
      <c r="D281" t="inlineStr">
        <is>
          <t>PHỤ_KIỆN_CỬA</t>
        </is>
      </c>
      <c r="E281" t="inlineStr">
        <is>
          <t>MAT-DOOR-ACCESSORY</t>
        </is>
      </c>
      <c r="F281" t="inlineStr">
        <is>
          <t>Bộ</t>
        </is>
      </c>
      <c r="G281" s="406" t="n">
        <v>1.473111529608705</v>
      </c>
      <c r="H281" s="402">
        <f>IFERROR(INDEX('00_TONG_HOP_BAO_GIA'!$G$1:$G$5000, MATCH(B281, '00_TONG_HOP_BAO_GIA'!$B$1:$B$5000, 0)), 1)</f>
        <v/>
      </c>
      <c r="I281" s="407">
        <f>G281*H281</f>
        <v/>
      </c>
      <c r="J281" s="402">
        <f>IFERROR(INDEX('06_BANG_GIA_VAT_TU_AP_DUNG'!$E$1:$E$5000, MATCH(E281, '06_BANG_GIA_VAT_TU_AP_DUNG'!$B$1:$B$5000, 0)), 0)</f>
        <v/>
      </c>
      <c r="K281" s="402">
        <f>I281*J281</f>
        <v/>
      </c>
      <c r="L281" t="inlineStr">
        <is>
          <t>Ke góc và vít ghép khung Louver</t>
        </is>
      </c>
    </row>
    <row r="282">
      <c r="A282" t="inlineStr">
        <is>
          <t>SW-DIFF-154-PAINT</t>
        </is>
      </c>
      <c r="B282" t="inlineStr">
        <is>
          <t>SW-DIFF-154</t>
        </is>
      </c>
      <c r="C282" t="inlineStr">
        <is>
          <t>Sơn tĩnh điện tiêu chuẩn Polyester</t>
        </is>
      </c>
      <c r="D282" t="inlineStr">
        <is>
          <t>SƠN_TĨNH_ĐIỆN</t>
        </is>
      </c>
      <c r="E282" t="inlineStr">
        <is>
          <t>MAT-PAINT-POWDER</t>
        </is>
      </c>
      <c r="F282" t="inlineStr">
        <is>
          <t>m2</t>
        </is>
      </c>
      <c r="G282" s="406" t="n">
        <v>2.501472907972379</v>
      </c>
      <c r="H282" s="402">
        <f>IFERROR(INDEX('00_TONG_HOP_BAO_GIA'!$G$1:$G$5000, MATCH(B282, '00_TONG_HOP_BAO_GIA'!$B$1:$B$5000, 0)), 1)</f>
        <v/>
      </c>
      <c r="I282" s="407">
        <f>G282*H282</f>
        <v/>
      </c>
      <c r="J282" s="402">
        <f>IFERROR(INDEX('06_BANG_GIA_VAT_TU_AP_DUNG'!$E$1:$E$5000, MATCH(E282, '06_BANG_GIA_VAT_TU_AP_DUNG'!$B$1:$B$5000, 0)), 0)</f>
        <v/>
      </c>
      <c r="K282" s="402">
        <f>I282*J282</f>
        <v/>
      </c>
      <c r="L282" t="inlineStr">
        <is>
          <t>Sơn tĩnh điện khung và nan Louver</t>
        </is>
      </c>
    </row>
    <row r="283">
      <c r="A283" t="inlineStr">
        <is>
          <t>SW-DIFF-154-MESH</t>
        </is>
      </c>
      <c r="B283" t="inlineStr">
        <is>
          <t>SW-DIFF-154</t>
        </is>
      </c>
      <c r="C283" t="inlineStr">
        <is>
          <t>Lưới chắn côn trùng Inox 304 (LCCT)</t>
        </is>
      </c>
      <c r="D283" t="inlineStr">
        <is>
          <t>PHỤ_KIỆN_CỬA</t>
        </is>
      </c>
      <c r="E283" t="inlineStr">
        <is>
          <t>MAT-MESH-INOX-304</t>
        </is>
      </c>
      <c r="F283" t="inlineStr">
        <is>
          <t>m2</t>
        </is>
      </c>
      <c r="G283" s="406" t="n">
        <v>1.25549278091651</v>
      </c>
      <c r="H283" s="402">
        <f>IFERROR(INDEX('00_TONG_HOP_BAO_GIA'!$G$1:$G$5000, MATCH(B283, '00_TONG_HOP_BAO_GIA'!$B$1:$B$5000, 0)), 1)</f>
        <v/>
      </c>
      <c r="I283" s="407">
        <f>G283*H283</f>
        <v/>
      </c>
      <c r="J283" s="402">
        <f>IFERROR(INDEX('06_BANG_GIA_VAT_TU_AP_DUNG'!$E$1:$E$5000, MATCH(E283, '06_BANG_GIA_VAT_TU_AP_DUNG'!$B$1:$B$5000, 0)), 0)</f>
        <v/>
      </c>
      <c r="K283" s="402">
        <f>I283*J283</f>
        <v/>
      </c>
      <c r="L283" t="inlineStr">
        <is>
          <t>Lưới chắn côn trùng cổ 2500x500mm</t>
        </is>
      </c>
    </row>
    <row r="284">
      <c r="A284" t="inlineStr">
        <is>
          <t>SW-DIFF-155-FRAME</t>
        </is>
      </c>
      <c r="B284" t="inlineStr">
        <is>
          <t>SW-DIFF-155</t>
        </is>
      </c>
      <c r="C284" t="inlineStr">
        <is>
          <t>Khung nhôm định hình Louver (SWL)</t>
        </is>
      </c>
      <c r="D284" t="inlineStr">
        <is>
          <t>NHÔM_ĐỊNH_HÌNH</t>
        </is>
      </c>
      <c r="E284" t="inlineStr">
        <is>
          <t>MAT-ALU-KHUNG-Z-2-LOP</t>
        </is>
      </c>
      <c r="F284" t="inlineStr">
        <is>
          <t>kg</t>
        </is>
      </c>
      <c r="G284" s="406" t="n">
        <v>1.178747018204646</v>
      </c>
      <c r="H284" s="402">
        <f>IFERROR(INDEX('00_TONG_HOP_BAO_GIA'!$G$1:$G$5000, MATCH(B284, '00_TONG_HOP_BAO_GIA'!$B$1:$B$5000, 0)), 1)</f>
        <v/>
      </c>
      <c r="I284" s="407">
        <f>G284*H284</f>
        <v/>
      </c>
      <c r="J284" s="402">
        <f>IFERROR(INDEX('06_BANG_GIA_VAT_TU_AP_DUNG'!$E$1:$E$5000, MATCH(E284, '06_BANG_GIA_VAT_TU_AP_DUNG'!$B$1:$B$5000, 0)), 0)</f>
        <v/>
      </c>
      <c r="K284" s="402">
        <f>I284*J284</f>
        <v/>
      </c>
      <c r="L284" t="inlineStr">
        <is>
          <t>Khung Louver phủ bì 1800x550mm</t>
        </is>
      </c>
    </row>
    <row r="285">
      <c r="A285" t="inlineStr">
        <is>
          <t>SW-DIFF-155-BLADE</t>
        </is>
      </c>
      <c r="B285" t="inlineStr">
        <is>
          <t>SW-DIFF-155</t>
        </is>
      </c>
      <c r="C285" t="inlineStr">
        <is>
          <t>Nan Z Louver &amp; thanh tăng cứng (11 nan)</t>
        </is>
      </c>
      <c r="D285" t="inlineStr">
        <is>
          <t>NHÔM_ĐỊNH_HÌNH</t>
        </is>
      </c>
      <c r="E285" t="inlineStr">
        <is>
          <t>MAT-ALU-NAN-Z-DAY</t>
        </is>
      </c>
      <c r="F285" t="inlineStr">
        <is>
          <t>kg</t>
        </is>
      </c>
      <c r="G285" s="406" t="n">
        <v>4.686019334588827</v>
      </c>
      <c r="H285" s="402">
        <f>IFERROR(INDEX('00_TONG_HOP_BAO_GIA'!$G$1:$G$5000, MATCH(B285, '00_TONG_HOP_BAO_GIA'!$B$1:$B$5000, 0)), 1)</f>
        <v/>
      </c>
      <c r="I285" s="407">
        <f>G285*H285</f>
        <v/>
      </c>
      <c r="J285" s="402">
        <f>IFERROR(INDEX('06_BANG_GIA_VAT_TU_AP_DUNG'!$E$1:$E$5000, MATCH(E285, '06_BANG_GIA_VAT_TU_AP_DUNG'!$B$1:$B$5000, 0)), 0)</f>
        <v/>
      </c>
      <c r="K285" s="402">
        <f>I285*J285</f>
        <v/>
      </c>
      <c r="L285" t="inlineStr">
        <is>
          <t>11 nan Z dày @ 0.217kg/m + thanh giằng</t>
        </is>
      </c>
    </row>
    <row r="286">
      <c r="A286" t="inlineStr">
        <is>
          <t>SW-DIFF-155-ACCESSORY</t>
        </is>
      </c>
      <c r="B286" t="inlineStr">
        <is>
          <t>SW-DIFF-155</t>
        </is>
      </c>
      <c r="C286" t="inlineStr">
        <is>
          <t>Phụ kiện lắp ghép / Ke góc cửa gió</t>
        </is>
      </c>
      <c r="D286" t="inlineStr">
        <is>
          <t>PHỤ_KIỆN_CỬA</t>
        </is>
      </c>
      <c r="E286" t="inlineStr">
        <is>
          <t>MAT-DOOR-ACCESSORY</t>
        </is>
      </c>
      <c r="F286" t="inlineStr">
        <is>
          <t>Bộ</t>
        </is>
      </c>
      <c r="G286" s="406" t="n">
        <v>0.8035153797865663</v>
      </c>
      <c r="H286" s="402">
        <f>IFERROR(INDEX('00_TONG_HOP_BAO_GIA'!$G$1:$G$5000, MATCH(B286, '00_TONG_HOP_BAO_GIA'!$B$1:$B$5000, 0)), 1)</f>
        <v/>
      </c>
      <c r="I286" s="407">
        <f>G286*H286</f>
        <v/>
      </c>
      <c r="J286" s="402">
        <f>IFERROR(INDEX('06_BANG_GIA_VAT_TU_AP_DUNG'!$E$1:$E$5000, MATCH(E286, '06_BANG_GIA_VAT_TU_AP_DUNG'!$B$1:$B$5000, 0)), 0)</f>
        <v/>
      </c>
      <c r="K286" s="402">
        <f>I286*J286</f>
        <v/>
      </c>
      <c r="L286" t="inlineStr">
        <is>
          <t>Ke góc và vít ghép khung Louver</t>
        </is>
      </c>
    </row>
    <row r="287">
      <c r="A287" t="inlineStr">
        <is>
          <t>SW-DIFF-155-PAINT</t>
        </is>
      </c>
      <c r="B287" t="inlineStr">
        <is>
          <t>SW-DIFF-155</t>
        </is>
      </c>
      <c r="C287" t="inlineStr">
        <is>
          <t>Sơn tĩnh điện tiêu chuẩn Polyester</t>
        </is>
      </c>
      <c r="D287" t="inlineStr">
        <is>
          <t>SƠN_TĨNH_ĐIỆN</t>
        </is>
      </c>
      <c r="E287" t="inlineStr">
        <is>
          <t>MAT-PAINT-POWDER</t>
        </is>
      </c>
      <c r="F287" t="inlineStr">
        <is>
          <t>m2</t>
        </is>
      </c>
      <c r="G287" s="406" t="n">
        <v>1.776402625486504</v>
      </c>
      <c r="H287" s="402">
        <f>IFERROR(INDEX('00_TONG_HOP_BAO_GIA'!$G$1:$G$5000, MATCH(B287, '00_TONG_HOP_BAO_GIA'!$B$1:$B$5000, 0)), 1)</f>
        <v/>
      </c>
      <c r="I287" s="407">
        <f>G287*H287</f>
        <v/>
      </c>
      <c r="J287" s="402">
        <f>IFERROR(INDEX('06_BANG_GIA_VAT_TU_AP_DUNG'!$E$1:$E$5000, MATCH(E287, '06_BANG_GIA_VAT_TU_AP_DUNG'!$B$1:$B$5000, 0)), 0)</f>
        <v/>
      </c>
      <c r="K287" s="402">
        <f>I287*J287</f>
        <v/>
      </c>
      <c r="L287" t="inlineStr">
        <is>
          <t>Sơn tĩnh điện khung và nan Louver</t>
        </is>
      </c>
    </row>
    <row r="288">
      <c r="A288" t="inlineStr">
        <is>
          <t>SW-DIFF-155-MESH</t>
        </is>
      </c>
      <c r="B288" t="inlineStr">
        <is>
          <t>SW-DIFF-155</t>
        </is>
      </c>
      <c r="C288" t="inlineStr">
        <is>
          <t>Lưới chắn côn trùng Inox 304 (LCCT)</t>
        </is>
      </c>
      <c r="D288" t="inlineStr">
        <is>
          <t>PHỤ_KIỆN_CỬA</t>
        </is>
      </c>
      <c r="E288" t="inlineStr">
        <is>
          <t>MAT-MESH-INOX-304</t>
        </is>
      </c>
      <c r="F288" t="inlineStr">
        <is>
          <t>m2</t>
        </is>
      </c>
      <c r="G288" s="406" t="n">
        <v>0.8788449466415569</v>
      </c>
      <c r="H288" s="402">
        <f>IFERROR(INDEX('00_TONG_HOP_BAO_GIA'!$G$1:$G$5000, MATCH(B288, '00_TONG_HOP_BAO_GIA'!$B$1:$B$5000, 0)), 1)</f>
        <v/>
      </c>
      <c r="I288" s="407">
        <f>G288*H288</f>
        <v/>
      </c>
      <c r="J288" s="402">
        <f>IFERROR(INDEX('06_BANG_GIA_VAT_TU_AP_DUNG'!$E$1:$E$5000, MATCH(E288, '06_BANG_GIA_VAT_TU_AP_DUNG'!$B$1:$B$5000, 0)), 0)</f>
        <v/>
      </c>
      <c r="K288" s="402">
        <f>I288*J288</f>
        <v/>
      </c>
      <c r="L288" t="inlineStr">
        <is>
          <t>Lưới chắn côn trùng cổ 1750x500mm</t>
        </is>
      </c>
    </row>
    <row r="289">
      <c r="A289" t="inlineStr">
        <is>
          <t>SW-DIFF-156-FRAME</t>
        </is>
      </c>
      <c r="B289" t="inlineStr">
        <is>
          <t>SW-DIFF-156</t>
        </is>
      </c>
      <c r="C289" t="inlineStr">
        <is>
          <t>Khung nhôm định hình Louver (SWL)</t>
        </is>
      </c>
      <c r="D289" t="inlineStr">
        <is>
          <t>NHÔM_ĐỊNH_HÌNH</t>
        </is>
      </c>
      <c r="E289" t="inlineStr">
        <is>
          <t>MAT-ALU-KHUNG-Z-2-LOP</t>
        </is>
      </c>
      <c r="F289" t="inlineStr">
        <is>
          <t>kg</t>
        </is>
      </c>
      <c r="G289" s="406" t="n">
        <v>1.554942875078468</v>
      </c>
      <c r="H289" s="402">
        <f>IFERROR(INDEX('00_TONG_HOP_BAO_GIA'!$G$1:$G$5000, MATCH(B289, '00_TONG_HOP_BAO_GIA'!$B$1:$B$5000, 0)), 1)</f>
        <v/>
      </c>
      <c r="I289" s="407">
        <f>G289*H289</f>
        <v/>
      </c>
      <c r="J289" s="402">
        <f>IFERROR(INDEX('06_BANG_GIA_VAT_TU_AP_DUNG'!$E$1:$E$5000, MATCH(E289, '06_BANG_GIA_VAT_TU_AP_DUNG'!$B$1:$B$5000, 0)), 0)</f>
        <v/>
      </c>
      <c r="K289" s="402">
        <f>I289*J289</f>
        <v/>
      </c>
      <c r="L289" t="inlineStr">
        <is>
          <t>Khung Louver phủ bì 2550x550mm</t>
        </is>
      </c>
    </row>
    <row r="290">
      <c r="A290" t="inlineStr">
        <is>
          <t>SW-DIFF-156-BLADE</t>
        </is>
      </c>
      <c r="B290" t="inlineStr">
        <is>
          <t>SW-DIFF-156</t>
        </is>
      </c>
      <c r="C290" t="inlineStr">
        <is>
          <t>Nan Z Louver &amp; thanh tăng cứng (11 nan)</t>
        </is>
      </c>
      <c r="D290" t="inlineStr">
        <is>
          <t>NHÔM_ĐỊNH_HÌNH</t>
        </is>
      </c>
      <c r="E290" t="inlineStr">
        <is>
          <t>MAT-ALU-NAN-Z-DAY</t>
        </is>
      </c>
      <c r="F290" t="inlineStr">
        <is>
          <t>kg</t>
        </is>
      </c>
      <c r="G290" s="406" t="n">
        <v>6.663947771500314</v>
      </c>
      <c r="H290" s="402">
        <f>IFERROR(INDEX('00_TONG_HOP_BAO_GIA'!$G$1:$G$5000, MATCH(B290, '00_TONG_HOP_BAO_GIA'!$B$1:$B$5000, 0)), 1)</f>
        <v/>
      </c>
      <c r="I290" s="407">
        <f>G290*H290</f>
        <v/>
      </c>
      <c r="J290" s="402">
        <f>IFERROR(INDEX('06_BANG_GIA_VAT_TU_AP_DUNG'!$E$1:$E$5000, MATCH(E290, '06_BANG_GIA_VAT_TU_AP_DUNG'!$B$1:$B$5000, 0)), 0)</f>
        <v/>
      </c>
      <c r="K290" s="402">
        <f>I290*J290</f>
        <v/>
      </c>
      <c r="L290" t="inlineStr">
        <is>
          <t>11 nan Z dày @ 0.217kg/m + thanh giằng</t>
        </is>
      </c>
    </row>
    <row r="291">
      <c r="A291" t="inlineStr">
        <is>
          <t>SW-DIFF-156-ACCESSORY</t>
        </is>
      </c>
      <c r="B291" t="inlineStr">
        <is>
          <t>SW-DIFF-156</t>
        </is>
      </c>
      <c r="C291" t="inlineStr">
        <is>
          <t>Phụ kiện lắp ghép / Ke góc cửa gió</t>
        </is>
      </c>
      <c r="D291" t="inlineStr">
        <is>
          <t>PHỤ_KIỆN_CỬA</t>
        </is>
      </c>
      <c r="E291" t="inlineStr">
        <is>
          <t>MAT-DOOR-ACCESSORY</t>
        </is>
      </c>
      <c r="F291" t="inlineStr">
        <is>
          <t>Bộ</t>
        </is>
      </c>
      <c r="G291" s="406" t="n">
        <v>1.473111529608705</v>
      </c>
      <c r="H291" s="402">
        <f>IFERROR(INDEX('00_TONG_HOP_BAO_GIA'!$G$1:$G$5000, MATCH(B291, '00_TONG_HOP_BAO_GIA'!$B$1:$B$5000, 0)), 1)</f>
        <v/>
      </c>
      <c r="I291" s="407">
        <f>G291*H291</f>
        <v/>
      </c>
      <c r="J291" s="402">
        <f>IFERROR(INDEX('06_BANG_GIA_VAT_TU_AP_DUNG'!$E$1:$E$5000, MATCH(E291, '06_BANG_GIA_VAT_TU_AP_DUNG'!$B$1:$B$5000, 0)), 0)</f>
        <v/>
      </c>
      <c r="K291" s="402">
        <f>I291*J291</f>
        <v/>
      </c>
      <c r="L291" t="inlineStr">
        <is>
          <t>Ke góc và vít ghép khung Louver</t>
        </is>
      </c>
    </row>
    <row r="292">
      <c r="A292" t="inlineStr">
        <is>
          <t>SW-DIFF-156-PAINT</t>
        </is>
      </c>
      <c r="B292" t="inlineStr">
        <is>
          <t>SW-DIFF-156</t>
        </is>
      </c>
      <c r="C292" t="inlineStr">
        <is>
          <t>Sơn tĩnh điện tiêu chuẩn Polyester</t>
        </is>
      </c>
      <c r="D292" t="inlineStr">
        <is>
          <t>SƠN_TĨNH_ĐIỆN</t>
        </is>
      </c>
      <c r="E292" t="inlineStr">
        <is>
          <t>MAT-PAINT-POWDER</t>
        </is>
      </c>
      <c r="F292" t="inlineStr">
        <is>
          <t>m2</t>
        </is>
      </c>
      <c r="G292" s="406" t="n">
        <v>2.501472907972379</v>
      </c>
      <c r="H292" s="402">
        <f>IFERROR(INDEX('00_TONG_HOP_BAO_GIA'!$G$1:$G$5000, MATCH(B292, '00_TONG_HOP_BAO_GIA'!$B$1:$B$5000, 0)), 1)</f>
        <v/>
      </c>
      <c r="I292" s="407">
        <f>G292*H292</f>
        <v/>
      </c>
      <c r="J292" s="402">
        <f>IFERROR(INDEX('06_BANG_GIA_VAT_TU_AP_DUNG'!$E$1:$E$5000, MATCH(E292, '06_BANG_GIA_VAT_TU_AP_DUNG'!$B$1:$B$5000, 0)), 0)</f>
        <v/>
      </c>
      <c r="K292" s="402">
        <f>I292*J292</f>
        <v/>
      </c>
      <c r="L292" t="inlineStr">
        <is>
          <t>Sơn tĩnh điện khung và nan Louver</t>
        </is>
      </c>
    </row>
    <row r="293">
      <c r="A293" t="inlineStr">
        <is>
          <t>SW-DIFF-156-MESH</t>
        </is>
      </c>
      <c r="B293" t="inlineStr">
        <is>
          <t>SW-DIFF-156</t>
        </is>
      </c>
      <c r="C293" t="inlineStr">
        <is>
          <t>Lưới chắn côn trùng Inox 304 (LCCT)</t>
        </is>
      </c>
      <c r="D293" t="inlineStr">
        <is>
          <t>PHỤ_KIỆN_CỬA</t>
        </is>
      </c>
      <c r="E293" t="inlineStr">
        <is>
          <t>MAT-MESH-INOX-304</t>
        </is>
      </c>
      <c r="F293" t="inlineStr">
        <is>
          <t>m2</t>
        </is>
      </c>
      <c r="G293" s="406" t="n">
        <v>1.25549278091651</v>
      </c>
      <c r="H293" s="402">
        <f>IFERROR(INDEX('00_TONG_HOP_BAO_GIA'!$G$1:$G$5000, MATCH(B293, '00_TONG_HOP_BAO_GIA'!$B$1:$B$5000, 0)), 1)</f>
        <v/>
      </c>
      <c r="I293" s="407">
        <f>G293*H293</f>
        <v/>
      </c>
      <c r="J293" s="402">
        <f>IFERROR(INDEX('06_BANG_GIA_VAT_TU_AP_DUNG'!$E$1:$E$5000, MATCH(E293, '06_BANG_GIA_VAT_TU_AP_DUNG'!$B$1:$B$5000, 0)), 0)</f>
        <v/>
      </c>
      <c r="K293" s="402">
        <f>I293*J293</f>
        <v/>
      </c>
      <c r="L293" t="inlineStr">
        <is>
          <t>Lưới chắn côn trùng cổ 2500x500mm</t>
        </is>
      </c>
    </row>
    <row r="294">
      <c r="A294" t="inlineStr">
        <is>
          <t>SW-DIFF-157-FRAME</t>
        </is>
      </c>
      <c r="B294" t="inlineStr">
        <is>
          <t>SW-DIFF-157</t>
        </is>
      </c>
      <c r="C294" t="inlineStr">
        <is>
          <t>Khung nhôm định hình Louver (SWL)</t>
        </is>
      </c>
      <c r="D294" t="inlineStr">
        <is>
          <t>NHÔM_ĐỊNH_HÌNH</t>
        </is>
      </c>
      <c r="E294" t="inlineStr">
        <is>
          <t>MAT-ALU-KHUNG-Z-2-LOP</t>
        </is>
      </c>
      <c r="F294" t="inlineStr">
        <is>
          <t>kg</t>
        </is>
      </c>
      <c r="G294" s="406" t="n">
        <v>1.80574011299435</v>
      </c>
      <c r="H294" s="402">
        <f>IFERROR(INDEX('00_TONG_HOP_BAO_GIA'!$G$1:$G$5000, MATCH(B294, '00_TONG_HOP_BAO_GIA'!$B$1:$B$5000, 0)), 1)</f>
        <v/>
      </c>
      <c r="I294" s="407">
        <f>G294*H294</f>
        <v/>
      </c>
      <c r="J294" s="402">
        <f>IFERROR(INDEX('06_BANG_GIA_VAT_TU_AP_DUNG'!$E$1:$E$5000, MATCH(E294, '06_BANG_GIA_VAT_TU_AP_DUNG'!$B$1:$B$5000, 0)), 0)</f>
        <v/>
      </c>
      <c r="K294" s="402">
        <f>I294*J294</f>
        <v/>
      </c>
      <c r="L294" t="inlineStr">
        <is>
          <t>Khung Louver phủ bì 3050x550mm</t>
        </is>
      </c>
    </row>
    <row r="295">
      <c r="A295" t="inlineStr">
        <is>
          <t>SW-DIFF-157-BLADE</t>
        </is>
      </c>
      <c r="B295" t="inlineStr">
        <is>
          <t>SW-DIFF-157</t>
        </is>
      </c>
      <c r="C295" t="inlineStr">
        <is>
          <t>Nan Z Louver &amp; thanh tăng cứng (11 nan)</t>
        </is>
      </c>
      <c r="D295" t="inlineStr">
        <is>
          <t>NHÔM_ĐỊNH_HÌNH</t>
        </is>
      </c>
      <c r="E295" t="inlineStr">
        <is>
          <t>MAT-ALU-NAN-Z-DAY</t>
        </is>
      </c>
      <c r="F295" t="inlineStr">
        <is>
          <t>kg</t>
        </is>
      </c>
      <c r="G295" s="406" t="n">
        <v>7.982566729441307</v>
      </c>
      <c r="H295" s="402">
        <f>IFERROR(INDEX('00_TONG_HOP_BAO_GIA'!$G$1:$G$5000, MATCH(B295, '00_TONG_HOP_BAO_GIA'!$B$1:$B$5000, 0)), 1)</f>
        <v/>
      </c>
      <c r="I295" s="407">
        <f>G295*H295</f>
        <v/>
      </c>
      <c r="J295" s="402">
        <f>IFERROR(INDEX('06_BANG_GIA_VAT_TU_AP_DUNG'!$E$1:$E$5000, MATCH(E295, '06_BANG_GIA_VAT_TU_AP_DUNG'!$B$1:$B$5000, 0)), 0)</f>
        <v/>
      </c>
      <c r="K295" s="402">
        <f>I295*J295</f>
        <v/>
      </c>
      <c r="L295" t="inlineStr">
        <is>
          <t>11 nan Z dày @ 0.217kg/m + thanh giằng</t>
        </is>
      </c>
    </row>
    <row r="296">
      <c r="A296" t="inlineStr">
        <is>
          <t>SW-DIFF-157-ACCESSORY</t>
        </is>
      </c>
      <c r="B296" t="inlineStr">
        <is>
          <t>SW-DIFF-157</t>
        </is>
      </c>
      <c r="C296" t="inlineStr">
        <is>
          <t>Phụ kiện lắp ghép / Ke góc cửa gió</t>
        </is>
      </c>
      <c r="D296" t="inlineStr">
        <is>
          <t>PHỤ_KIỆN_CỬA</t>
        </is>
      </c>
      <c r="E296" t="inlineStr">
        <is>
          <t>MAT-DOOR-ACCESSORY</t>
        </is>
      </c>
      <c r="F296" t="inlineStr">
        <is>
          <t>Bộ</t>
        </is>
      </c>
      <c r="G296" s="406" t="n">
        <v>1.473111529608705</v>
      </c>
      <c r="H296" s="402">
        <f>IFERROR(INDEX('00_TONG_HOP_BAO_GIA'!$G$1:$G$5000, MATCH(B296, '00_TONG_HOP_BAO_GIA'!$B$1:$B$5000, 0)), 1)</f>
        <v/>
      </c>
      <c r="I296" s="407">
        <f>G296*H296</f>
        <v/>
      </c>
      <c r="J296" s="402">
        <f>IFERROR(INDEX('06_BANG_GIA_VAT_TU_AP_DUNG'!$E$1:$E$5000, MATCH(E296, '06_BANG_GIA_VAT_TU_AP_DUNG'!$B$1:$B$5000, 0)), 0)</f>
        <v/>
      </c>
      <c r="K296" s="402">
        <f>I296*J296</f>
        <v/>
      </c>
      <c r="L296" t="inlineStr">
        <is>
          <t>Ke góc và vít ghép khung Louver</t>
        </is>
      </c>
    </row>
    <row r="297">
      <c r="A297" t="inlineStr">
        <is>
          <t>SW-DIFF-157-PAINT</t>
        </is>
      </c>
      <c r="B297" t="inlineStr">
        <is>
          <t>SW-DIFF-157</t>
        </is>
      </c>
      <c r="C297" t="inlineStr">
        <is>
          <t>Sơn tĩnh điện tiêu chuẩn Polyester</t>
        </is>
      </c>
      <c r="D297" t="inlineStr">
        <is>
          <t>SƠN_TĨNH_ĐIỆN</t>
        </is>
      </c>
      <c r="E297" t="inlineStr">
        <is>
          <t>MAT-PAINT-POWDER</t>
        </is>
      </c>
      <c r="F297" t="inlineStr">
        <is>
          <t>m2</t>
        </is>
      </c>
      <c r="G297" s="406" t="n">
        <v>2.984853096296296</v>
      </c>
      <c r="H297" s="402">
        <f>IFERROR(INDEX('00_TONG_HOP_BAO_GIA'!$G$1:$G$5000, MATCH(B297, '00_TONG_HOP_BAO_GIA'!$B$1:$B$5000, 0)), 1)</f>
        <v/>
      </c>
      <c r="I297" s="407">
        <f>G297*H297</f>
        <v/>
      </c>
      <c r="J297" s="402">
        <f>IFERROR(INDEX('06_BANG_GIA_VAT_TU_AP_DUNG'!$E$1:$E$5000, MATCH(E297, '06_BANG_GIA_VAT_TU_AP_DUNG'!$B$1:$B$5000, 0)), 0)</f>
        <v/>
      </c>
      <c r="K297" s="402">
        <f>I297*J297</f>
        <v/>
      </c>
      <c r="L297" t="inlineStr">
        <is>
          <t>Sơn tĩnh điện khung và nan Louver</t>
        </is>
      </c>
    </row>
    <row r="298">
      <c r="A298" t="inlineStr">
        <is>
          <t>SW-DIFF-157-MESH</t>
        </is>
      </c>
      <c r="B298" t="inlineStr">
        <is>
          <t>SW-DIFF-157</t>
        </is>
      </c>
      <c r="C298" t="inlineStr">
        <is>
          <t>Lưới chắn côn trùng Inox 304 (LCCT)</t>
        </is>
      </c>
      <c r="D298" t="inlineStr">
        <is>
          <t>PHỤ_KIỆN_CỬA</t>
        </is>
      </c>
      <c r="E298" t="inlineStr">
        <is>
          <t>MAT-MESH-INOX-304</t>
        </is>
      </c>
      <c r="F298" t="inlineStr">
        <is>
          <t>m2</t>
        </is>
      </c>
      <c r="G298" s="406" t="n">
        <v>1.506591337099812</v>
      </c>
      <c r="H298" s="402">
        <f>IFERROR(INDEX('00_TONG_HOP_BAO_GIA'!$G$1:$G$5000, MATCH(B298, '00_TONG_HOP_BAO_GIA'!$B$1:$B$5000, 0)), 1)</f>
        <v/>
      </c>
      <c r="I298" s="407">
        <f>G298*H298</f>
        <v/>
      </c>
      <c r="J298" s="402">
        <f>IFERROR(INDEX('06_BANG_GIA_VAT_TU_AP_DUNG'!$E$1:$E$5000, MATCH(E298, '06_BANG_GIA_VAT_TU_AP_DUNG'!$B$1:$B$5000, 0)), 0)</f>
        <v/>
      </c>
      <c r="K298" s="402">
        <f>I298*J298</f>
        <v/>
      </c>
      <c r="L298" t="inlineStr">
        <is>
          <t>Lưới chắn côn trùng cổ 3000x500mm</t>
        </is>
      </c>
    </row>
    <row r="299">
      <c r="A299" t="inlineStr">
        <is>
          <t>SW-DIFF-197-FRAME</t>
        </is>
      </c>
      <c r="B299" t="inlineStr">
        <is>
          <t>SW-DIFF-197</t>
        </is>
      </c>
      <c r="C299" t="inlineStr">
        <is>
          <t>Khung nhôm &amp; nẹp U cửa sọt trứng (SEEG)</t>
        </is>
      </c>
      <c r="D299" t="inlineStr">
        <is>
          <t>NHÔM_ĐỊNH_HÌNH</t>
        </is>
      </c>
      <c r="E299" t="inlineStr">
        <is>
          <t>MAT-ALU-KHUNG-BD</t>
        </is>
      </c>
      <c r="F299" t="inlineStr">
        <is>
          <t>kg</t>
        </is>
      </c>
      <c r="G299" s="406" t="n">
        <v>0.3711977401129944</v>
      </c>
      <c r="H299" s="402">
        <f>IFERROR(INDEX('00_TONG_HOP_BAO_GIA'!$G$1:$G$5000, MATCH(B299, '00_TONG_HOP_BAO_GIA'!$B$1:$B$5000, 0)), 1)</f>
        <v/>
      </c>
      <c r="I299" s="407">
        <f>G299*H299</f>
        <v/>
      </c>
      <c r="J299" s="402">
        <f>IFERROR(INDEX('06_BANG_GIA_VAT_TU_AP_DUNG'!$E$1:$E$5000, MATCH(E299, '06_BANG_GIA_VAT_TU_AP_DUNG'!$B$1:$B$5000, 0)), 0)</f>
        <v/>
      </c>
      <c r="K299" s="402">
        <f>I299*J299</f>
        <v/>
      </c>
      <c r="L299" t="inlineStr">
        <is>
          <t>Khung bao 260x260mm + U bọc lõi</t>
        </is>
      </c>
    </row>
    <row r="300">
      <c r="A300" t="inlineStr">
        <is>
          <t>SW-DIFF-197-CORE</t>
        </is>
      </c>
      <c r="B300" t="inlineStr">
        <is>
          <t>SW-DIFF-197</t>
        </is>
      </c>
      <c r="C300" t="inlineStr">
        <is>
          <t>Lõi nhôm sọt trứng (Eggcrate Core 12.7x12.7mm)</t>
        </is>
      </c>
      <c r="D300" t="inlineStr">
        <is>
          <t>NHÔM_ĐỊNH_HÌNH</t>
        </is>
      </c>
      <c r="E300" t="inlineStr">
        <is>
          <t>MAT-ALU-EGGCRATE-CORE</t>
        </is>
      </c>
      <c r="F300" t="inlineStr">
        <is>
          <t>m2</t>
        </is>
      </c>
      <c r="G300" s="406" t="n">
        <v>0.04602401129943504</v>
      </c>
      <c r="H300" s="402">
        <f>IFERROR(INDEX('00_TONG_HOP_BAO_GIA'!$G$1:$G$5000, MATCH(B300, '00_TONG_HOP_BAO_GIA'!$B$1:$B$5000, 0)), 1)</f>
        <v/>
      </c>
      <c r="I300" s="407">
        <f>G300*H300</f>
        <v/>
      </c>
      <c r="J300" s="402">
        <f>IFERROR(INDEX('06_BANG_GIA_VAT_TU_AP_DUNG'!$E$1:$E$5000, MATCH(E300, '06_BANG_GIA_VAT_TU_AP_DUNG'!$B$1:$B$5000, 0)), 0)</f>
        <v/>
      </c>
      <c r="K300" s="402">
        <f>I300*J300</f>
        <v/>
      </c>
      <c r="L300" t="inlineStr">
        <is>
          <t>Diện tích lõi sọt trứng 0.044m2</t>
        </is>
      </c>
    </row>
    <row r="301">
      <c r="A301" t="inlineStr">
        <is>
          <t>SW-DIFF-197-ACCESSORY</t>
        </is>
      </c>
      <c r="B301" t="inlineStr">
        <is>
          <t>SW-DIFF-197</t>
        </is>
      </c>
      <c r="C301" t="inlineStr">
        <is>
          <t>Phụ kiện lắp ghép / Ke góc cửa gió</t>
        </is>
      </c>
      <c r="D301" t="inlineStr">
        <is>
          <t>PHỤ_KIỆN_CỬA</t>
        </is>
      </c>
      <c r="E301" t="inlineStr">
        <is>
          <t>MAT-DOOR-ACCESSORY</t>
        </is>
      </c>
      <c r="F301" t="inlineStr">
        <is>
          <t>Bộ</t>
        </is>
      </c>
      <c r="G301" s="406" t="n">
        <v>0.8349026993094791</v>
      </c>
      <c r="H301" s="402">
        <f>IFERROR(INDEX('00_TONG_HOP_BAO_GIA'!$G$1:$G$5000, MATCH(B301, '00_TONG_HOP_BAO_GIA'!$B$1:$B$5000, 0)), 1)</f>
        <v/>
      </c>
      <c r="I301" s="407">
        <f>G301*H301</f>
        <v/>
      </c>
      <c r="J301" s="402">
        <f>IFERROR(INDEX('06_BANG_GIA_VAT_TU_AP_DUNG'!$E$1:$E$5000, MATCH(E301, '06_BANG_GIA_VAT_TU_AP_DUNG'!$B$1:$B$5000, 0)), 0)</f>
        <v/>
      </c>
      <c r="K301" s="402">
        <f>I301*J301</f>
        <v/>
      </c>
      <c r="L301" t="inlineStr">
        <is>
          <t>Ke góc chìm và vít ghép khung</t>
        </is>
      </c>
    </row>
    <row r="302">
      <c r="A302" t="inlineStr">
        <is>
          <t>SW-DIFF-197-PAINT</t>
        </is>
      </c>
      <c r="B302" t="inlineStr">
        <is>
          <t>SW-DIFF-197</t>
        </is>
      </c>
      <c r="C302" t="inlineStr">
        <is>
          <t>Sơn tĩnh điện tiêu chuẩn Polyester</t>
        </is>
      </c>
      <c r="D302" t="inlineStr">
        <is>
          <t>SƠN_TĨNH_ĐIỆN</t>
        </is>
      </c>
      <c r="E302" t="inlineStr">
        <is>
          <t>MAT-PAINT-POWDER</t>
        </is>
      </c>
      <c r="F302" t="inlineStr">
        <is>
          <t>m2</t>
        </is>
      </c>
      <c r="G302" s="406" t="n">
        <v>0.06752759824231012</v>
      </c>
      <c r="H302" s="402">
        <f>IFERROR(INDEX('00_TONG_HOP_BAO_GIA'!$G$1:$G$5000, MATCH(B302, '00_TONG_HOP_BAO_GIA'!$B$1:$B$5000, 0)), 1)</f>
        <v/>
      </c>
      <c r="I302" s="407">
        <f>G302*H302</f>
        <v/>
      </c>
      <c r="J302" s="402">
        <f>IFERROR(INDEX('06_BANG_GIA_VAT_TU_AP_DUNG'!$E$1:$E$5000, MATCH(E302, '06_BANG_GIA_VAT_TU_AP_DUNG'!$B$1:$B$5000, 0)), 0)</f>
        <v/>
      </c>
      <c r="K302" s="402">
        <f>I302*J302</f>
        <v/>
      </c>
      <c r="L302" t="inlineStr">
        <is>
          <t>Sơn tĩnh điện khung cửa sọt trứng</t>
        </is>
      </c>
    </row>
    <row r="303">
      <c r="A303" t="inlineStr">
        <is>
          <t>SW-DIFF-197-OBD-FRAME</t>
        </is>
      </c>
      <c r="B303" t="inlineStr">
        <is>
          <t>SW-DIFF-197</t>
        </is>
      </c>
      <c r="C303" t="inlineStr">
        <is>
          <t>Khung nhôm van OBD gắn cửa (SOBD)</t>
        </is>
      </c>
      <c r="D303" t="inlineStr">
        <is>
          <t>NHÔM_ĐỊNH_HÌNH</t>
        </is>
      </c>
      <c r="E303" t="inlineStr">
        <is>
          <t>MAT-ALU-KHUNG-OBD</t>
        </is>
      </c>
      <c r="F303" t="inlineStr">
        <is>
          <t>kg</t>
        </is>
      </c>
      <c r="G303" s="406" t="n">
        <v>0.08904237288135596</v>
      </c>
      <c r="H303" s="402">
        <f>IFERROR(INDEX('00_TONG_HOP_BAO_GIA'!$G$1:$G$5000, MATCH(B303, '00_TONG_HOP_BAO_GIA'!$B$1:$B$5000, 0)), 1)</f>
        <v/>
      </c>
      <c r="I303" s="407">
        <f>G303*H303</f>
        <v/>
      </c>
      <c r="J303" s="402">
        <f>IFERROR(INDEX('06_BANG_GIA_VAT_TU_AP_DUNG'!$E$1:$E$5000, MATCH(E303, '06_BANG_GIA_VAT_TU_AP_DUNG'!$B$1:$B$5000, 0)), 0)</f>
        <v/>
      </c>
      <c r="K303" s="402">
        <f>I303*J303</f>
        <v/>
      </c>
      <c r="L303" t="inlineStr">
        <is>
          <t>Khung OBD 135x135mm</t>
        </is>
      </c>
    </row>
    <row r="304">
      <c r="A304" t="inlineStr">
        <is>
          <t>SW-DIFF-197-OBD-BLADE</t>
        </is>
      </c>
      <c r="B304" t="inlineStr">
        <is>
          <t>SW-DIFF-197</t>
        </is>
      </c>
      <c r="C304" t="inlineStr">
        <is>
          <t>Nan nhôm &amp; thanh truyền van OBD (SOBD)</t>
        </is>
      </c>
      <c r="D304" t="inlineStr">
        <is>
          <t>NHÔM_ĐỊNH_HÌNH</t>
        </is>
      </c>
      <c r="E304" t="inlineStr">
        <is>
          <t>MAT-ALU-NAN-OBD</t>
        </is>
      </c>
      <c r="F304" t="inlineStr">
        <is>
          <t>kg</t>
        </is>
      </c>
      <c r="G304" s="406" t="n">
        <v>0.06163930084745764</v>
      </c>
      <c r="H304" s="402">
        <f>IFERROR(INDEX('00_TONG_HOP_BAO_GIA'!$G$1:$G$5000, MATCH(B304, '00_TONG_HOP_BAO_GIA'!$B$1:$B$5000, 0)), 1)</f>
        <v/>
      </c>
      <c r="I304" s="407">
        <f>G304*H304</f>
        <v/>
      </c>
      <c r="J304" s="402">
        <f>IFERROR(INDEX('06_BANG_GIA_VAT_TU_AP_DUNG'!$E$1:$E$5000, MATCH(E304, '06_BANG_GIA_VAT_TU_AP_DUNG'!$B$1:$B$5000, 0)), 0)</f>
        <v/>
      </c>
      <c r="K304" s="402">
        <f>I304*J304</f>
        <v/>
      </c>
      <c r="L304" t="inlineStr">
        <is>
          <t>Nan OBD đối xứng &amp; thanh liên kết</t>
        </is>
      </c>
    </row>
    <row r="305">
      <c r="A305" t="inlineStr">
        <is>
          <t>SW-DIFF-197-OBD-ACC</t>
        </is>
      </c>
      <c r="B305" t="inlineStr">
        <is>
          <t>SW-DIFF-197</t>
        </is>
      </c>
      <c r="C305" t="inlineStr">
        <is>
          <t>Bánh răng nhựa &amp; phụ kiện van OBD</t>
        </is>
      </c>
      <c r="D305" t="inlineStr">
        <is>
          <t>PHỤ_KIỆN_CỬA</t>
        </is>
      </c>
      <c r="E305" t="inlineStr">
        <is>
          <t>MAT-DOOR-ACCESSORY</t>
        </is>
      </c>
      <c r="F305" t="inlineStr">
        <is>
          <t>Bộ</t>
        </is>
      </c>
      <c r="G305" s="406" t="n">
        <v>0.9044779242519357</v>
      </c>
      <c r="H305" s="402">
        <f>IFERROR(INDEX('00_TONG_HOP_BAO_GIA'!$G$1:$G$5000, MATCH(B305, '00_TONG_HOP_BAO_GIA'!$B$1:$B$5000, 0)), 1)</f>
        <v/>
      </c>
      <c r="I305" s="407">
        <f>G305*H305</f>
        <v/>
      </c>
      <c r="J305" s="402">
        <f>IFERROR(INDEX('06_BANG_GIA_VAT_TU_AP_DUNG'!$E$1:$E$5000, MATCH(E305, '06_BANG_GIA_VAT_TU_AP_DUNG'!$B$1:$B$5000, 0)), 0)</f>
        <v/>
      </c>
      <c r="K305" s="402">
        <f>I305*J305</f>
        <v/>
      </c>
      <c r="L305" t="inlineStr">
        <is>
          <t>Cơ cấu bánh răng đóng mở OBD</t>
        </is>
      </c>
    </row>
    <row r="306">
      <c r="A306" t="inlineStr">
        <is>
          <t>SW-DIFF-197-OBD-PAINT</t>
        </is>
      </c>
      <c r="B306" t="inlineStr">
        <is>
          <t>SW-DIFF-197</t>
        </is>
      </c>
      <c r="C306" t="inlineStr">
        <is>
          <t>Sơn tĩnh điện van OBD</t>
        </is>
      </c>
      <c r="D306" t="inlineStr">
        <is>
          <t>SƠN_TĨNH_ĐIỆN</t>
        </is>
      </c>
      <c r="E306" t="inlineStr">
        <is>
          <t>MAT-PAINT-POWDER</t>
        </is>
      </c>
      <c r="F306" t="inlineStr">
        <is>
          <t>m2</t>
        </is>
      </c>
      <c r="G306" s="406" t="n">
        <v>0.04640995550847458</v>
      </c>
      <c r="H306" s="402">
        <f>IFERROR(INDEX('00_TONG_HOP_BAO_GIA'!$G$1:$G$5000, MATCH(B306, '00_TONG_HOP_BAO_GIA'!$B$1:$B$5000, 0)), 1)</f>
        <v/>
      </c>
      <c r="I306" s="407">
        <f>G306*H306</f>
        <v/>
      </c>
      <c r="J306" s="402">
        <f>IFERROR(INDEX('06_BANG_GIA_VAT_TU_AP_DUNG'!$E$1:$E$5000, MATCH(E306, '06_BANG_GIA_VAT_TU_AP_DUNG'!$B$1:$B$5000, 0)), 0)</f>
        <v/>
      </c>
      <c r="K306" s="402">
        <f>I306*J306</f>
        <v/>
      </c>
      <c r="L306" t="inlineStr">
        <is>
          <t>Sơn tĩnh điện đen/trắng cho OBD</t>
        </is>
      </c>
    </row>
    <row r="307">
      <c r="A307" t="inlineStr">
        <is>
          <t>SW-DIFF-198-FRAME</t>
        </is>
      </c>
      <c r="B307" t="inlineStr">
        <is>
          <t>SW-DIFF-198</t>
        </is>
      </c>
      <c r="C307" t="inlineStr">
        <is>
          <t>Khung nhôm &amp; nẹp U cửa sọt trứng (SEEG)</t>
        </is>
      </c>
      <c r="D307" t="inlineStr">
        <is>
          <t>NHÔM_ĐỊNH_HÌNH</t>
        </is>
      </c>
      <c r="E307" t="inlineStr">
        <is>
          <t>MAT-ALU-KHUNG-BD</t>
        </is>
      </c>
      <c r="F307" t="inlineStr">
        <is>
          <t>kg</t>
        </is>
      </c>
      <c r="G307" s="406" t="n">
        <v>0.5853502824858758</v>
      </c>
      <c r="H307" s="402">
        <f>IFERROR(INDEX('00_TONG_HOP_BAO_GIA'!$G$1:$G$5000, MATCH(B307, '00_TONG_HOP_BAO_GIA'!$B$1:$B$5000, 0)), 1)</f>
        <v/>
      </c>
      <c r="I307" s="407">
        <f>G307*H307</f>
        <v/>
      </c>
      <c r="J307" s="402">
        <f>IFERROR(INDEX('06_BANG_GIA_VAT_TU_AP_DUNG'!$E$1:$E$5000, MATCH(E307, '06_BANG_GIA_VAT_TU_AP_DUNG'!$B$1:$B$5000, 0)), 0)</f>
        <v/>
      </c>
      <c r="K307" s="402">
        <f>I307*J307</f>
        <v/>
      </c>
      <c r="L307" t="inlineStr">
        <is>
          <t>Khung bao 410x410mm + U bọc lõi</t>
        </is>
      </c>
    </row>
    <row r="308">
      <c r="A308" t="inlineStr">
        <is>
          <t>SW-DIFF-198-CORE</t>
        </is>
      </c>
      <c r="B308" t="inlineStr">
        <is>
          <t>SW-DIFF-198</t>
        </is>
      </c>
      <c r="C308" t="inlineStr">
        <is>
          <t>Lõi nhôm sọt trứng (Eggcrate Core 12.7x12.7mm)</t>
        </is>
      </c>
      <c r="D308" t="inlineStr">
        <is>
          <t>NHÔM_ĐỊNH_HÌNH</t>
        </is>
      </c>
      <c r="E308" t="inlineStr">
        <is>
          <t>MAT-ALU-EGGCRATE-CORE</t>
        </is>
      </c>
      <c r="F308" t="inlineStr">
        <is>
          <t>m2</t>
        </is>
      </c>
      <c r="G308" s="406" t="n">
        <v>0.1352542372881356</v>
      </c>
      <c r="H308" s="402">
        <f>IFERROR(INDEX('00_TONG_HOP_BAO_GIA'!$G$1:$G$5000, MATCH(B308, '00_TONG_HOP_BAO_GIA'!$B$1:$B$5000, 0)), 1)</f>
        <v/>
      </c>
      <c r="I308" s="407">
        <f>G308*H308</f>
        <v/>
      </c>
      <c r="J308" s="402">
        <f>IFERROR(INDEX('06_BANG_GIA_VAT_TU_AP_DUNG'!$E$1:$E$5000, MATCH(E308, '06_BANG_GIA_VAT_TU_AP_DUNG'!$B$1:$B$5000, 0)), 0)</f>
        <v/>
      </c>
      <c r="K308" s="402">
        <f>I308*J308</f>
        <v/>
      </c>
      <c r="L308" t="inlineStr">
        <is>
          <t>Diện tích lõi sọt trứng 0.130m2</t>
        </is>
      </c>
    </row>
    <row r="309">
      <c r="A309" t="inlineStr">
        <is>
          <t>SW-DIFF-198-ACCESSORY</t>
        </is>
      </c>
      <c r="B309" t="inlineStr">
        <is>
          <t>SW-DIFF-198</t>
        </is>
      </c>
      <c r="C309" t="inlineStr">
        <is>
          <t>Phụ kiện lắp ghép / Ke góc cửa gió</t>
        </is>
      </c>
      <c r="D309" t="inlineStr">
        <is>
          <t>PHỤ_KIỆN_CỬA</t>
        </is>
      </c>
      <c r="E309" t="inlineStr">
        <is>
          <t>MAT-DOOR-ACCESSORY</t>
        </is>
      </c>
      <c r="F309" t="inlineStr">
        <is>
          <t>Bộ</t>
        </is>
      </c>
      <c r="G309" s="406" t="n">
        <v>0.8349026993094791</v>
      </c>
      <c r="H309" s="402">
        <f>IFERROR(INDEX('00_TONG_HOP_BAO_GIA'!$G$1:$G$5000, MATCH(B309, '00_TONG_HOP_BAO_GIA'!$B$1:$B$5000, 0)), 1)</f>
        <v/>
      </c>
      <c r="I309" s="407">
        <f>G309*H309</f>
        <v/>
      </c>
      <c r="J309" s="402">
        <f>IFERROR(INDEX('06_BANG_GIA_VAT_TU_AP_DUNG'!$E$1:$E$5000, MATCH(E309, '06_BANG_GIA_VAT_TU_AP_DUNG'!$B$1:$B$5000, 0)), 0)</f>
        <v/>
      </c>
      <c r="K309" s="402">
        <f>I309*J309</f>
        <v/>
      </c>
      <c r="L309" t="inlineStr">
        <is>
          <t>Ke góc chìm và vít ghép khung</t>
        </is>
      </c>
    </row>
    <row r="310">
      <c r="A310" t="inlineStr">
        <is>
          <t>SW-DIFF-198-PAINT</t>
        </is>
      </c>
      <c r="B310" t="inlineStr">
        <is>
          <t>SW-DIFF-198</t>
        </is>
      </c>
      <c r="C310" t="inlineStr">
        <is>
          <t>Sơn tĩnh điện tiêu chuẩn Polyester</t>
        </is>
      </c>
      <c r="D310" t="inlineStr">
        <is>
          <t>SƠN_TĨNH_ĐIỆN</t>
        </is>
      </c>
      <c r="E310" t="inlineStr">
        <is>
          <t>MAT-PAINT-POWDER</t>
        </is>
      </c>
      <c r="F310" t="inlineStr">
        <is>
          <t>m2</t>
        </is>
      </c>
      <c r="G310" s="406" t="n">
        <v>0.106485827997489</v>
      </c>
      <c r="H310" s="402">
        <f>IFERROR(INDEX('00_TONG_HOP_BAO_GIA'!$G$1:$G$5000, MATCH(B310, '00_TONG_HOP_BAO_GIA'!$B$1:$B$5000, 0)), 1)</f>
        <v/>
      </c>
      <c r="I310" s="407">
        <f>G310*H310</f>
        <v/>
      </c>
      <c r="J310" s="402">
        <f>IFERROR(INDEX('06_BANG_GIA_VAT_TU_AP_DUNG'!$E$1:$E$5000, MATCH(E310, '06_BANG_GIA_VAT_TU_AP_DUNG'!$B$1:$B$5000, 0)), 0)</f>
        <v/>
      </c>
      <c r="K310" s="402">
        <f>I310*J310</f>
        <v/>
      </c>
      <c r="L310" t="inlineStr">
        <is>
          <t>Sơn tĩnh điện khung cửa sọt trứng</t>
        </is>
      </c>
    </row>
    <row r="311">
      <c r="A311" t="inlineStr">
        <is>
          <t>SW-DIFF-198-OBD-FRAME</t>
        </is>
      </c>
      <c r="B311" t="inlineStr">
        <is>
          <t>SW-DIFF-198</t>
        </is>
      </c>
      <c r="C311" t="inlineStr">
        <is>
          <t>Khung nhôm van OBD gắn cửa (SOBD)</t>
        </is>
      </c>
      <c r="D311" t="inlineStr">
        <is>
          <t>NHÔM_ĐỊNH_HÌNH</t>
        </is>
      </c>
      <c r="E311" t="inlineStr">
        <is>
          <t>MAT-ALU-KHUNG-OBD</t>
        </is>
      </c>
      <c r="F311" t="inlineStr">
        <is>
          <t>kg</t>
        </is>
      </c>
      <c r="G311" s="406" t="n">
        <v>0.1879783427495292</v>
      </c>
      <c r="H311" s="402">
        <f>IFERROR(INDEX('00_TONG_HOP_BAO_GIA'!$G$1:$G$5000, MATCH(B311, '00_TONG_HOP_BAO_GIA'!$B$1:$B$5000, 0)), 1)</f>
        <v/>
      </c>
      <c r="I311" s="407">
        <f>G311*H311</f>
        <v/>
      </c>
      <c r="J311" s="402">
        <f>IFERROR(INDEX('06_BANG_GIA_VAT_TU_AP_DUNG'!$E$1:$E$5000, MATCH(E311, '06_BANG_GIA_VAT_TU_AP_DUNG'!$B$1:$B$5000, 0)), 0)</f>
        <v/>
      </c>
      <c r="K311" s="402">
        <f>I311*J311</f>
        <v/>
      </c>
      <c r="L311" t="inlineStr">
        <is>
          <t>Khung OBD 285x285mm</t>
        </is>
      </c>
    </row>
    <row r="312">
      <c r="A312" t="inlineStr">
        <is>
          <t>SW-DIFF-198-OBD-BLADE</t>
        </is>
      </c>
      <c r="B312" t="inlineStr">
        <is>
          <t>SW-DIFF-198</t>
        </is>
      </c>
      <c r="C312" t="inlineStr">
        <is>
          <t>Nan nhôm &amp; thanh truyền van OBD (SOBD)</t>
        </is>
      </c>
      <c r="D312" t="inlineStr">
        <is>
          <t>NHÔM_ĐỊNH_HÌNH</t>
        </is>
      </c>
      <c r="E312" t="inlineStr">
        <is>
          <t>MAT-ALU-NAN-OBD</t>
        </is>
      </c>
      <c r="F312" t="inlineStr">
        <is>
          <t>kg</t>
        </is>
      </c>
      <c r="G312" s="406" t="n">
        <v>0.241665195386064</v>
      </c>
      <c r="H312" s="402">
        <f>IFERROR(INDEX('00_TONG_HOP_BAO_GIA'!$G$1:$G$5000, MATCH(B312, '00_TONG_HOP_BAO_GIA'!$B$1:$B$5000, 0)), 1)</f>
        <v/>
      </c>
      <c r="I312" s="407">
        <f>G312*H312</f>
        <v/>
      </c>
      <c r="J312" s="402">
        <f>IFERROR(INDEX('06_BANG_GIA_VAT_TU_AP_DUNG'!$E$1:$E$5000, MATCH(E312, '06_BANG_GIA_VAT_TU_AP_DUNG'!$B$1:$B$5000, 0)), 0)</f>
        <v/>
      </c>
      <c r="K312" s="402">
        <f>I312*J312</f>
        <v/>
      </c>
      <c r="L312" t="inlineStr">
        <is>
          <t>Nan OBD đối xứng &amp; thanh liên kết</t>
        </is>
      </c>
    </row>
    <row r="313">
      <c r="A313" t="inlineStr">
        <is>
          <t>SW-DIFF-198-OBD-ACC</t>
        </is>
      </c>
      <c r="B313" t="inlineStr">
        <is>
          <t>SW-DIFF-198</t>
        </is>
      </c>
      <c r="C313" t="inlineStr">
        <is>
          <t>Bánh răng nhựa &amp; phụ kiện van OBD</t>
        </is>
      </c>
      <c r="D313" t="inlineStr">
        <is>
          <t>PHỤ_KIỆN_CỬA</t>
        </is>
      </c>
      <c r="E313" t="inlineStr">
        <is>
          <t>MAT-DOOR-ACCESSORY</t>
        </is>
      </c>
      <c r="F313" t="inlineStr">
        <is>
          <t>Bộ</t>
        </is>
      </c>
      <c r="G313" s="406" t="n">
        <v>0.9044779242519357</v>
      </c>
      <c r="H313" s="402">
        <f>IFERROR(INDEX('00_TONG_HOP_BAO_GIA'!$G$1:$G$5000, MATCH(B313, '00_TONG_HOP_BAO_GIA'!$B$1:$B$5000, 0)), 1)</f>
        <v/>
      </c>
      <c r="I313" s="407">
        <f>G313*H313</f>
        <v/>
      </c>
      <c r="J313" s="402">
        <f>IFERROR(INDEX('06_BANG_GIA_VAT_TU_AP_DUNG'!$E$1:$E$5000, MATCH(E313, '06_BANG_GIA_VAT_TU_AP_DUNG'!$B$1:$B$5000, 0)), 0)</f>
        <v/>
      </c>
      <c r="K313" s="402">
        <f>I313*J313</f>
        <v/>
      </c>
      <c r="L313" t="inlineStr">
        <is>
          <t>Cơ cấu bánh răng đóng mở OBD</t>
        </is>
      </c>
    </row>
    <row r="314">
      <c r="A314" t="inlineStr">
        <is>
          <t>SW-DIFF-198-OBD-PAINT</t>
        </is>
      </c>
      <c r="B314" t="inlineStr">
        <is>
          <t>SW-DIFF-198</t>
        </is>
      </c>
      <c r="C314" t="inlineStr">
        <is>
          <t>Sơn tĩnh điện van OBD</t>
        </is>
      </c>
      <c r="D314" t="inlineStr">
        <is>
          <t>SƠN_TĨNH_ĐIỆN</t>
        </is>
      </c>
      <c r="E314" t="inlineStr">
        <is>
          <t>MAT-PAINT-POWDER</t>
        </is>
      </c>
      <c r="F314" t="inlineStr">
        <is>
          <t>m2</t>
        </is>
      </c>
      <c r="G314" s="406" t="n">
        <v>0.1323302097457627</v>
      </c>
      <c r="H314" s="402">
        <f>IFERROR(INDEX('00_TONG_HOP_BAO_GIA'!$G$1:$G$5000, MATCH(B314, '00_TONG_HOP_BAO_GIA'!$B$1:$B$5000, 0)), 1)</f>
        <v/>
      </c>
      <c r="I314" s="407">
        <f>G314*H314</f>
        <v/>
      </c>
      <c r="J314" s="402">
        <f>IFERROR(INDEX('06_BANG_GIA_VAT_TU_AP_DUNG'!$E$1:$E$5000, MATCH(E314, '06_BANG_GIA_VAT_TU_AP_DUNG'!$B$1:$B$5000, 0)), 0)</f>
        <v/>
      </c>
      <c r="K314" s="402">
        <f>I314*J314</f>
        <v/>
      </c>
      <c r="L314" t="inlineStr">
        <is>
          <t>Sơn tĩnh điện đen/trắng cho OBD</t>
        </is>
      </c>
    </row>
    <row r="315">
      <c r="A315" t="inlineStr">
        <is>
          <t>SW-DIFF-199-FRAME</t>
        </is>
      </c>
      <c r="B315" t="inlineStr">
        <is>
          <t>SW-DIFF-199</t>
        </is>
      </c>
      <c r="C315" t="inlineStr">
        <is>
          <t>Khung nhôm &amp; nẹp U cửa sọt trứng (SEEG)</t>
        </is>
      </c>
      <c r="D315" t="inlineStr">
        <is>
          <t>NHÔM_ĐỊNH_HÌNH</t>
        </is>
      </c>
      <c r="E315" t="inlineStr">
        <is>
          <t>MAT-ALU-KHUNG-BD</t>
        </is>
      </c>
      <c r="F315" t="inlineStr">
        <is>
          <t>kg</t>
        </is>
      </c>
      <c r="G315" s="406" t="n">
        <v>0.6567344632768362</v>
      </c>
      <c r="H315" s="402">
        <f>IFERROR(INDEX('00_TONG_HOP_BAO_GIA'!$G$1:$G$5000, MATCH(B315, '00_TONG_HOP_BAO_GIA'!$B$1:$B$5000, 0)), 1)</f>
        <v/>
      </c>
      <c r="I315" s="407">
        <f>G315*H315</f>
        <v/>
      </c>
      <c r="J315" s="402">
        <f>IFERROR(INDEX('06_BANG_GIA_VAT_TU_AP_DUNG'!$E$1:$E$5000, MATCH(E315, '06_BANG_GIA_VAT_TU_AP_DUNG'!$B$1:$B$5000, 0)), 0)</f>
        <v/>
      </c>
      <c r="K315" s="402">
        <f>I315*J315</f>
        <v/>
      </c>
      <c r="L315" t="inlineStr">
        <is>
          <t>Khung bao 510x410mm + U bọc lõi</t>
        </is>
      </c>
    </row>
    <row r="316">
      <c r="A316" t="inlineStr">
        <is>
          <t>SW-DIFF-199-CORE</t>
        </is>
      </c>
      <c r="B316" t="inlineStr">
        <is>
          <t>SW-DIFF-199</t>
        </is>
      </c>
      <c r="C316" t="inlineStr">
        <is>
          <t>Lõi nhôm sọt trứng (Eggcrate Core 12.7x12.7mm)</t>
        </is>
      </c>
      <c r="D316" t="inlineStr">
        <is>
          <t>NHÔM_ĐỊNH_HÌNH</t>
        </is>
      </c>
      <c r="E316" t="inlineStr">
        <is>
          <t>MAT-ALU-EGGCRATE-CORE</t>
        </is>
      </c>
      <c r="F316" t="inlineStr">
        <is>
          <t>m2</t>
        </is>
      </c>
      <c r="G316" s="406" t="n">
        <v>0.1728248587570622</v>
      </c>
      <c r="H316" s="402">
        <f>IFERROR(INDEX('00_TONG_HOP_BAO_GIA'!$G$1:$G$5000, MATCH(B316, '00_TONG_HOP_BAO_GIA'!$B$1:$B$5000, 0)), 1)</f>
        <v/>
      </c>
      <c r="I316" s="407">
        <f>G316*H316</f>
        <v/>
      </c>
      <c r="J316" s="402">
        <f>IFERROR(INDEX('06_BANG_GIA_VAT_TU_AP_DUNG'!$E$1:$E$5000, MATCH(E316, '06_BANG_GIA_VAT_TU_AP_DUNG'!$B$1:$B$5000, 0)), 0)</f>
        <v/>
      </c>
      <c r="K316" s="402">
        <f>I316*J316</f>
        <v/>
      </c>
      <c r="L316" t="inlineStr">
        <is>
          <t>Diện tích lõi sọt trứng 0.166m2</t>
        </is>
      </c>
    </row>
    <row r="317">
      <c r="A317" t="inlineStr">
        <is>
          <t>SW-DIFF-199-ACCESSORY</t>
        </is>
      </c>
      <c r="B317" t="inlineStr">
        <is>
          <t>SW-DIFF-199</t>
        </is>
      </c>
      <c r="C317" t="inlineStr">
        <is>
          <t>Phụ kiện lắp ghép / Ke góc cửa gió</t>
        </is>
      </c>
      <c r="D317" t="inlineStr">
        <is>
          <t>PHỤ_KIỆN_CỬA</t>
        </is>
      </c>
      <c r="E317" t="inlineStr">
        <is>
          <t>MAT-DOOR-ACCESSORY</t>
        </is>
      </c>
      <c r="F317" t="inlineStr">
        <is>
          <t>Bộ</t>
        </is>
      </c>
      <c r="G317" s="406" t="n">
        <v>0.8349026993094791</v>
      </c>
      <c r="H317" s="402">
        <f>IFERROR(INDEX('00_TONG_HOP_BAO_GIA'!$G$1:$G$5000, MATCH(B317, '00_TONG_HOP_BAO_GIA'!$B$1:$B$5000, 0)), 1)</f>
        <v/>
      </c>
      <c r="I317" s="407">
        <f>G317*H317</f>
        <v/>
      </c>
      <c r="J317" s="402">
        <f>IFERROR(INDEX('06_BANG_GIA_VAT_TU_AP_DUNG'!$E$1:$E$5000, MATCH(E317, '06_BANG_GIA_VAT_TU_AP_DUNG'!$B$1:$B$5000, 0)), 0)</f>
        <v/>
      </c>
      <c r="K317" s="402">
        <f>I317*J317</f>
        <v/>
      </c>
      <c r="L317" t="inlineStr">
        <is>
          <t>Ke góc chìm và vít ghép khung</t>
        </is>
      </c>
    </row>
    <row r="318">
      <c r="A318" t="inlineStr">
        <is>
          <t>SW-DIFF-199-PAINT</t>
        </is>
      </c>
      <c r="B318" t="inlineStr">
        <is>
          <t>SW-DIFF-199</t>
        </is>
      </c>
      <c r="C318" t="inlineStr">
        <is>
          <t>Sơn tĩnh điện tiêu chuẩn Polyester</t>
        </is>
      </c>
      <c r="D318" t="inlineStr">
        <is>
          <t>SƠN_TĨNH_ĐIỆN</t>
        </is>
      </c>
      <c r="E318" t="inlineStr">
        <is>
          <t>MAT-PAINT-POWDER</t>
        </is>
      </c>
      <c r="F318" t="inlineStr">
        <is>
          <t>m2</t>
        </is>
      </c>
      <c r="G318" s="406" t="n">
        <v>0.1194719045825487</v>
      </c>
      <c r="H318" s="402">
        <f>IFERROR(INDEX('00_TONG_HOP_BAO_GIA'!$G$1:$G$5000, MATCH(B318, '00_TONG_HOP_BAO_GIA'!$B$1:$B$5000, 0)), 1)</f>
        <v/>
      </c>
      <c r="I318" s="407">
        <f>G318*H318</f>
        <v/>
      </c>
      <c r="J318" s="402">
        <f>IFERROR(INDEX('06_BANG_GIA_VAT_TU_AP_DUNG'!$E$1:$E$5000, MATCH(E318, '06_BANG_GIA_VAT_TU_AP_DUNG'!$B$1:$B$5000, 0)), 0)</f>
        <v/>
      </c>
      <c r="K318" s="402">
        <f>I318*J318</f>
        <v/>
      </c>
      <c r="L318" t="inlineStr">
        <is>
          <t>Sơn tĩnh điện khung cửa sọt trứng</t>
        </is>
      </c>
    </row>
    <row r="319">
      <c r="A319" t="inlineStr">
        <is>
          <t>SW-DIFF-199-OBD-FRAME</t>
        </is>
      </c>
      <c r="B319" t="inlineStr">
        <is>
          <t>SW-DIFF-199</t>
        </is>
      </c>
      <c r="C319" t="inlineStr">
        <is>
          <t>Khung nhôm van OBD gắn cửa (SOBD)</t>
        </is>
      </c>
      <c r="D319" t="inlineStr">
        <is>
          <t>NHÔM_ĐỊNH_HÌNH</t>
        </is>
      </c>
      <c r="E319" t="inlineStr">
        <is>
          <t>MAT-ALU-KHUNG-OBD</t>
        </is>
      </c>
      <c r="F319" t="inlineStr">
        <is>
          <t>kg</t>
        </is>
      </c>
      <c r="G319" s="406" t="n">
        <v>0.2209569993722536</v>
      </c>
      <c r="H319" s="402">
        <f>IFERROR(INDEX('00_TONG_HOP_BAO_GIA'!$G$1:$G$5000, MATCH(B319, '00_TONG_HOP_BAO_GIA'!$B$1:$B$5000, 0)), 1)</f>
        <v/>
      </c>
      <c r="I319" s="407">
        <f>G319*H319</f>
        <v/>
      </c>
      <c r="J319" s="402">
        <f>IFERROR(INDEX('06_BANG_GIA_VAT_TU_AP_DUNG'!$E$1:$E$5000, MATCH(E319, '06_BANG_GIA_VAT_TU_AP_DUNG'!$B$1:$B$5000, 0)), 0)</f>
        <v/>
      </c>
      <c r="K319" s="402">
        <f>I319*J319</f>
        <v/>
      </c>
      <c r="L319" t="inlineStr">
        <is>
          <t>Khung OBD 385x285mm</t>
        </is>
      </c>
    </row>
    <row r="320">
      <c r="A320" t="inlineStr">
        <is>
          <t>SW-DIFF-199-OBD-BLADE</t>
        </is>
      </c>
      <c r="B320" t="inlineStr">
        <is>
          <t>SW-DIFF-199</t>
        </is>
      </c>
      <c r="C320" t="inlineStr">
        <is>
          <t>Nan nhôm &amp; thanh truyền van OBD (SOBD)</t>
        </is>
      </c>
      <c r="D320" t="inlineStr">
        <is>
          <t>NHÔM_ĐỊNH_HÌNH</t>
        </is>
      </c>
      <c r="E320" t="inlineStr">
        <is>
          <t>MAT-ALU-NAN-OBD</t>
        </is>
      </c>
      <c r="F320" t="inlineStr">
        <is>
          <t>kg</t>
        </is>
      </c>
      <c r="G320" s="406" t="n">
        <v>0.3160237170433144</v>
      </c>
      <c r="H320" s="402">
        <f>IFERROR(INDEX('00_TONG_HOP_BAO_GIA'!$G$1:$G$5000, MATCH(B320, '00_TONG_HOP_BAO_GIA'!$B$1:$B$5000, 0)), 1)</f>
        <v/>
      </c>
      <c r="I320" s="407">
        <f>G320*H320</f>
        <v/>
      </c>
      <c r="J320" s="402">
        <f>IFERROR(INDEX('06_BANG_GIA_VAT_TU_AP_DUNG'!$E$1:$E$5000, MATCH(E320, '06_BANG_GIA_VAT_TU_AP_DUNG'!$B$1:$B$5000, 0)), 0)</f>
        <v/>
      </c>
      <c r="K320" s="402">
        <f>I320*J320</f>
        <v/>
      </c>
      <c r="L320" t="inlineStr">
        <is>
          <t>Nan OBD đối xứng &amp; thanh liên kết</t>
        </is>
      </c>
    </row>
    <row r="321">
      <c r="A321" t="inlineStr">
        <is>
          <t>SW-DIFF-199-OBD-ACC</t>
        </is>
      </c>
      <c r="B321" t="inlineStr">
        <is>
          <t>SW-DIFF-199</t>
        </is>
      </c>
      <c r="C321" t="inlineStr">
        <is>
          <t>Bánh răng nhựa &amp; phụ kiện van OBD</t>
        </is>
      </c>
      <c r="D321" t="inlineStr">
        <is>
          <t>PHỤ_KIỆN_CỬA</t>
        </is>
      </c>
      <c r="E321" t="inlineStr">
        <is>
          <t>MAT-DOOR-ACCESSORY</t>
        </is>
      </c>
      <c r="F321" t="inlineStr">
        <is>
          <t>Bộ</t>
        </is>
      </c>
      <c r="G321" s="406" t="n">
        <v>0.9044779242519357</v>
      </c>
      <c r="H321" s="402">
        <f>IFERROR(INDEX('00_TONG_HOP_BAO_GIA'!$G$1:$G$5000, MATCH(B321, '00_TONG_HOP_BAO_GIA'!$B$1:$B$5000, 0)), 1)</f>
        <v/>
      </c>
      <c r="I321" s="407">
        <f>G321*H321</f>
        <v/>
      </c>
      <c r="J321" s="402">
        <f>IFERROR(INDEX('06_BANG_GIA_VAT_TU_AP_DUNG'!$E$1:$E$5000, MATCH(E321, '06_BANG_GIA_VAT_TU_AP_DUNG'!$B$1:$B$5000, 0)), 0)</f>
        <v/>
      </c>
      <c r="K321" s="402">
        <f>I321*J321</f>
        <v/>
      </c>
      <c r="L321" t="inlineStr">
        <is>
          <t>Cơ cấu bánh răng đóng mở OBD</t>
        </is>
      </c>
    </row>
    <row r="322">
      <c r="A322" t="inlineStr">
        <is>
          <t>SW-DIFF-199-OBD-PAINT</t>
        </is>
      </c>
      <c r="B322" t="inlineStr">
        <is>
          <t>SW-DIFF-199</t>
        </is>
      </c>
      <c r="C322" t="inlineStr">
        <is>
          <t>Sơn tĩnh điện van OBD</t>
        </is>
      </c>
      <c r="D322" t="inlineStr">
        <is>
          <t>SƠN_TĨNH_ĐIỆN</t>
        </is>
      </c>
      <c r="E322" t="inlineStr">
        <is>
          <t>MAT-PAINT-POWDER</t>
        </is>
      </c>
      <c r="F322" t="inlineStr">
        <is>
          <t>m2</t>
        </is>
      </c>
      <c r="G322" s="406" t="n">
        <v>0.165390060655995</v>
      </c>
      <c r="H322" s="402">
        <f>IFERROR(INDEX('00_TONG_HOP_BAO_GIA'!$G$1:$G$5000, MATCH(B322, '00_TONG_HOP_BAO_GIA'!$B$1:$B$5000, 0)), 1)</f>
        <v/>
      </c>
      <c r="I322" s="407">
        <f>G322*H322</f>
        <v/>
      </c>
      <c r="J322" s="402">
        <f>IFERROR(INDEX('06_BANG_GIA_VAT_TU_AP_DUNG'!$E$1:$E$5000, MATCH(E322, '06_BANG_GIA_VAT_TU_AP_DUNG'!$B$1:$B$5000, 0)), 0)</f>
        <v/>
      </c>
      <c r="K322" s="402">
        <f>I322*J322</f>
        <v/>
      </c>
      <c r="L322" t="inlineStr">
        <is>
          <t>Sơn tĩnh điện đen/trắng cho OBD</t>
        </is>
      </c>
    </row>
    <row r="323">
      <c r="A323" t="inlineStr">
        <is>
          <t>SW-DIFF-200-FRAME</t>
        </is>
      </c>
      <c r="B323" t="inlineStr">
        <is>
          <t>SW-DIFF-200</t>
        </is>
      </c>
      <c r="C323" t="inlineStr">
        <is>
          <t>Khung nhôm &amp; nẹp U cửa sọt trứng (SEEG)</t>
        </is>
      </c>
      <c r="D323" t="inlineStr">
        <is>
          <t>NHÔM_ĐỊNH_HÌNH</t>
        </is>
      </c>
      <c r="E323" t="inlineStr">
        <is>
          <t>MAT-ALU-KHUNG-BD</t>
        </is>
      </c>
      <c r="F323" t="inlineStr">
        <is>
          <t>kg</t>
        </is>
      </c>
      <c r="G323" s="406" t="n">
        <v>1.584728813559322</v>
      </c>
      <c r="H323" s="402">
        <f>IFERROR(INDEX('00_TONG_HOP_BAO_GIA'!$G$1:$G$5000, MATCH(B323, '00_TONG_HOP_BAO_GIA'!$B$1:$B$5000, 0)), 1)</f>
        <v/>
      </c>
      <c r="I323" s="407">
        <f>G323*H323</f>
        <v/>
      </c>
      <c r="J323" s="402">
        <f>IFERROR(INDEX('06_BANG_GIA_VAT_TU_AP_DUNG'!$E$1:$E$5000, MATCH(E323, '06_BANG_GIA_VAT_TU_AP_DUNG'!$B$1:$B$5000, 0)), 0)</f>
        <v/>
      </c>
      <c r="K323" s="402">
        <f>I323*J323</f>
        <v/>
      </c>
      <c r="L323" t="inlineStr">
        <is>
          <t>Khung bao 1310x910mm + U bọc lõi</t>
        </is>
      </c>
    </row>
    <row r="324">
      <c r="A324" t="inlineStr">
        <is>
          <t>SW-DIFF-200-CORE</t>
        </is>
      </c>
      <c r="B324" t="inlineStr">
        <is>
          <t>SW-DIFF-200</t>
        </is>
      </c>
      <c r="C324" t="inlineStr">
        <is>
          <t>Lõi nhôm sọt trứng (Eggcrate Core 12.7x12.7mm)</t>
        </is>
      </c>
      <c r="D324" t="inlineStr">
        <is>
          <t>NHÔM_ĐỊNH_HÌNH</t>
        </is>
      </c>
      <c r="E324" t="inlineStr">
        <is>
          <t>MAT-ALU-EGGCRATE-CORE</t>
        </is>
      </c>
      <c r="F324" t="inlineStr">
        <is>
          <t>m2</t>
        </is>
      </c>
      <c r="G324" s="406" t="n">
        <v>1.130875706214689</v>
      </c>
      <c r="H324" s="402">
        <f>IFERROR(INDEX('00_TONG_HOP_BAO_GIA'!$G$1:$G$5000, MATCH(B324, '00_TONG_HOP_BAO_GIA'!$B$1:$B$5000, 0)), 1)</f>
        <v/>
      </c>
      <c r="I324" s="407">
        <f>G324*H324</f>
        <v/>
      </c>
      <c r="J324" s="402">
        <f>IFERROR(INDEX('06_BANG_GIA_VAT_TU_AP_DUNG'!$E$1:$E$5000, MATCH(E324, '06_BANG_GIA_VAT_TU_AP_DUNG'!$B$1:$B$5000, 0)), 0)</f>
        <v/>
      </c>
      <c r="K324" s="402">
        <f>I324*J324</f>
        <v/>
      </c>
      <c r="L324" t="inlineStr">
        <is>
          <t>Diện tích lõi sọt trứng 1.084m2</t>
        </is>
      </c>
    </row>
    <row r="325">
      <c r="A325" t="inlineStr">
        <is>
          <t>SW-DIFF-200-ACCESSORY</t>
        </is>
      </c>
      <c r="B325" t="inlineStr">
        <is>
          <t>SW-DIFF-200</t>
        </is>
      </c>
      <c r="C325" t="inlineStr">
        <is>
          <t>Phụ kiện lắp ghép / Ke góc cửa gió</t>
        </is>
      </c>
      <c r="D325" t="inlineStr">
        <is>
          <t>PHỤ_KIỆN_CỬA</t>
        </is>
      </c>
      <c r="E325" t="inlineStr">
        <is>
          <t>MAT-DOOR-ACCESSORY</t>
        </is>
      </c>
      <c r="F325" t="inlineStr">
        <is>
          <t>Bộ</t>
        </is>
      </c>
      <c r="G325" s="406" t="n">
        <v>0.8349026993094791</v>
      </c>
      <c r="H325" s="402">
        <f>IFERROR(INDEX('00_TONG_HOP_BAO_GIA'!$G$1:$G$5000, MATCH(B325, '00_TONG_HOP_BAO_GIA'!$B$1:$B$5000, 0)), 1)</f>
        <v/>
      </c>
      <c r="I325" s="407">
        <f>G325*H325</f>
        <v/>
      </c>
      <c r="J325" s="402">
        <f>IFERROR(INDEX('06_BANG_GIA_VAT_TU_AP_DUNG'!$E$1:$E$5000, MATCH(E325, '06_BANG_GIA_VAT_TU_AP_DUNG'!$B$1:$B$5000, 0)), 0)</f>
        <v/>
      </c>
      <c r="K325" s="402">
        <f>I325*J325</f>
        <v/>
      </c>
      <c r="L325" t="inlineStr">
        <is>
          <t>Ke góc chìm và vít ghép khung</t>
        </is>
      </c>
    </row>
    <row r="326">
      <c r="A326" t="inlineStr">
        <is>
          <t>SW-DIFF-200-PAINT</t>
        </is>
      </c>
      <c r="B326" t="inlineStr">
        <is>
          <t>SW-DIFF-200</t>
        </is>
      </c>
      <c r="C326" t="inlineStr">
        <is>
          <t>Sơn tĩnh điện tiêu chuẩn Polyester</t>
        </is>
      </c>
      <c r="D326" t="inlineStr">
        <is>
          <t>SƠN_TĨNH_ĐIỆN</t>
        </is>
      </c>
      <c r="E326" t="inlineStr">
        <is>
          <t>MAT-PAINT-POWDER</t>
        </is>
      </c>
      <c r="F326" t="inlineStr">
        <is>
          <t>m2</t>
        </is>
      </c>
      <c r="G326" s="406" t="n">
        <v>0.288290900188324</v>
      </c>
      <c r="H326" s="402">
        <f>IFERROR(INDEX('00_TONG_HOP_BAO_GIA'!$G$1:$G$5000, MATCH(B326, '00_TONG_HOP_BAO_GIA'!$B$1:$B$5000, 0)), 1)</f>
        <v/>
      </c>
      <c r="I326" s="407">
        <f>G326*H326</f>
        <v/>
      </c>
      <c r="J326" s="402">
        <f>IFERROR(INDEX('06_BANG_GIA_VAT_TU_AP_DUNG'!$E$1:$E$5000, MATCH(E326, '06_BANG_GIA_VAT_TU_AP_DUNG'!$B$1:$B$5000, 0)), 0)</f>
        <v/>
      </c>
      <c r="K326" s="402">
        <f>I326*J326</f>
        <v/>
      </c>
      <c r="L326" t="inlineStr">
        <is>
          <t>Sơn tĩnh điện khung cửa sọt trứng</t>
        </is>
      </c>
    </row>
    <row r="327">
      <c r="A327" t="inlineStr">
        <is>
          <t>SW-DIFF-200-OBD-FRAME</t>
        </is>
      </c>
      <c r="B327" t="inlineStr">
        <is>
          <t>SW-DIFF-200</t>
        </is>
      </c>
      <c r="C327" t="inlineStr">
        <is>
          <t>Khung nhôm van OBD gắn cửa (SOBD)</t>
        </is>
      </c>
      <c r="D327" t="inlineStr">
        <is>
          <t>NHÔM_ĐỊNH_HÌNH</t>
        </is>
      </c>
      <c r="E327" t="inlineStr">
        <is>
          <t>MAT-ALU-KHUNG-OBD</t>
        </is>
      </c>
      <c r="F327" t="inlineStr">
        <is>
          <t>kg</t>
        </is>
      </c>
      <c r="G327" s="406" t="n">
        <v>0.6496795354676712</v>
      </c>
      <c r="H327" s="402">
        <f>IFERROR(INDEX('00_TONG_HOP_BAO_GIA'!$G$1:$G$5000, MATCH(B327, '00_TONG_HOP_BAO_GIA'!$B$1:$B$5000, 0)), 1)</f>
        <v/>
      </c>
      <c r="I327" s="407">
        <f>G327*H327</f>
        <v/>
      </c>
      <c r="J327" s="402">
        <f>IFERROR(INDEX('06_BANG_GIA_VAT_TU_AP_DUNG'!$E$1:$E$5000, MATCH(E327, '06_BANG_GIA_VAT_TU_AP_DUNG'!$B$1:$B$5000, 0)), 0)</f>
        <v/>
      </c>
      <c r="K327" s="402">
        <f>I327*J327</f>
        <v/>
      </c>
      <c r="L327" t="inlineStr">
        <is>
          <t>Khung OBD 1185x785mm</t>
        </is>
      </c>
    </row>
    <row r="328">
      <c r="A328" t="inlineStr">
        <is>
          <t>SW-DIFF-200-OBD-BLADE</t>
        </is>
      </c>
      <c r="B328" t="inlineStr">
        <is>
          <t>SW-DIFF-200</t>
        </is>
      </c>
      <c r="C328" t="inlineStr">
        <is>
          <t>Nan nhôm &amp; thanh truyền van OBD (SOBD)</t>
        </is>
      </c>
      <c r="D328" t="inlineStr">
        <is>
          <t>NHÔM_ĐỊNH_HÌNH</t>
        </is>
      </c>
      <c r="E328" t="inlineStr">
        <is>
          <t>MAT-ALU-NAN-OBD</t>
        </is>
      </c>
      <c r="F328" t="inlineStr">
        <is>
          <t>kg</t>
        </is>
      </c>
      <c r="G328" s="406" t="n">
        <v>2.508947838198369</v>
      </c>
      <c r="H328" s="402">
        <f>IFERROR(INDEX('00_TONG_HOP_BAO_GIA'!$G$1:$G$5000, MATCH(B328, '00_TONG_HOP_BAO_GIA'!$B$1:$B$5000, 0)), 1)</f>
        <v/>
      </c>
      <c r="I328" s="407">
        <f>G328*H328</f>
        <v/>
      </c>
      <c r="J328" s="402">
        <f>IFERROR(INDEX('06_BANG_GIA_VAT_TU_AP_DUNG'!$E$1:$E$5000, MATCH(E328, '06_BANG_GIA_VAT_TU_AP_DUNG'!$B$1:$B$5000, 0)), 0)</f>
        <v/>
      </c>
      <c r="K328" s="402">
        <f>I328*J328</f>
        <v/>
      </c>
      <c r="L328" t="inlineStr">
        <is>
          <t>Nan OBD đối xứng &amp; thanh liên kết</t>
        </is>
      </c>
    </row>
    <row r="329">
      <c r="A329" t="inlineStr">
        <is>
          <t>SW-DIFF-200-OBD-ACC</t>
        </is>
      </c>
      <c r="B329" t="inlineStr">
        <is>
          <t>SW-DIFF-200</t>
        </is>
      </c>
      <c r="C329" t="inlineStr">
        <is>
          <t>Bánh răng nhựa &amp; phụ kiện van OBD</t>
        </is>
      </c>
      <c r="D329" t="inlineStr">
        <is>
          <t>PHỤ_KIỆN_CỬA</t>
        </is>
      </c>
      <c r="E329" t="inlineStr">
        <is>
          <t>MAT-DOOR-ACCESSORY</t>
        </is>
      </c>
      <c r="F329" t="inlineStr">
        <is>
          <t>Bộ</t>
        </is>
      </c>
      <c r="G329" s="406" t="n">
        <v>1.600230173676502</v>
      </c>
      <c r="H329" s="402">
        <f>IFERROR(INDEX('00_TONG_HOP_BAO_GIA'!$G$1:$G$5000, MATCH(B329, '00_TONG_HOP_BAO_GIA'!$B$1:$B$5000, 0)), 1)</f>
        <v/>
      </c>
      <c r="I329" s="407">
        <f>G329*H329</f>
        <v/>
      </c>
      <c r="J329" s="402">
        <f>IFERROR(INDEX('06_BANG_GIA_VAT_TU_AP_DUNG'!$E$1:$E$5000, MATCH(E329, '06_BANG_GIA_VAT_TU_AP_DUNG'!$B$1:$B$5000, 0)), 0)</f>
        <v/>
      </c>
      <c r="K329" s="402">
        <f>I329*J329</f>
        <v/>
      </c>
      <c r="L329" t="inlineStr">
        <is>
          <t>Cơ cấu bánh răng đóng mở OBD</t>
        </is>
      </c>
    </row>
    <row r="330">
      <c r="A330" t="inlineStr">
        <is>
          <t>SW-DIFF-200-OBD-PAINT</t>
        </is>
      </c>
      <c r="B330" t="inlineStr">
        <is>
          <t>SW-DIFF-200</t>
        </is>
      </c>
      <c r="C330" t="inlineStr">
        <is>
          <t>Sơn tĩnh điện van OBD</t>
        </is>
      </c>
      <c r="D330" t="inlineStr">
        <is>
          <t>SƠN_TĨNH_ĐIỆN</t>
        </is>
      </c>
      <c r="E330" t="inlineStr">
        <is>
          <t>MAT-PAINT-POWDER</t>
        </is>
      </c>
      <c r="F330" t="inlineStr">
        <is>
          <t>m2</t>
        </is>
      </c>
      <c r="G330" s="406" t="n">
        <v>0.9728572310891402</v>
      </c>
      <c r="H330" s="402">
        <f>IFERROR(INDEX('00_TONG_HOP_BAO_GIA'!$G$1:$G$5000, MATCH(B330, '00_TONG_HOP_BAO_GIA'!$B$1:$B$5000, 0)), 1)</f>
        <v/>
      </c>
      <c r="I330" s="407">
        <f>G330*H330</f>
        <v/>
      </c>
      <c r="J330" s="402">
        <f>IFERROR(INDEX('06_BANG_GIA_VAT_TU_AP_DUNG'!$E$1:$E$5000, MATCH(E330, '06_BANG_GIA_VAT_TU_AP_DUNG'!$B$1:$B$5000, 0)), 0)</f>
        <v/>
      </c>
      <c r="K330" s="402">
        <f>I330*J330</f>
        <v/>
      </c>
      <c r="L330" t="inlineStr">
        <is>
          <t>Sơn tĩnh điện đen/trắng cho OBD</t>
        </is>
      </c>
    </row>
    <row r="331">
      <c r="A331" t="inlineStr">
        <is>
          <t>SW-DIFF-201-FRAME</t>
        </is>
      </c>
      <c r="B331" t="inlineStr">
        <is>
          <t>SW-DIFF-201</t>
        </is>
      </c>
      <c r="C331" t="inlineStr">
        <is>
          <t>Khung nhôm &amp; nẹp U cửa sọt trứng (SEEG)</t>
        </is>
      </c>
      <c r="D331" t="inlineStr">
        <is>
          <t>NHÔM_ĐỊNH_HÌNH</t>
        </is>
      </c>
      <c r="E331" t="inlineStr">
        <is>
          <t>MAT-ALU-KHUNG-BD</t>
        </is>
      </c>
      <c r="F331" t="inlineStr">
        <is>
          <t>kg</t>
        </is>
      </c>
      <c r="G331" s="406" t="n">
        <v>1.15642372881356</v>
      </c>
      <c r="H331" s="402">
        <f>IFERROR(INDEX('00_TONG_HOP_BAO_GIA'!$G$1:$G$5000, MATCH(B331, '00_TONG_HOP_BAO_GIA'!$B$1:$B$5000, 0)), 1)</f>
        <v/>
      </c>
      <c r="I331" s="407">
        <f>G331*H331</f>
        <v/>
      </c>
      <c r="J331" s="402">
        <f>IFERROR(INDEX('06_BANG_GIA_VAT_TU_AP_DUNG'!$E$1:$E$5000, MATCH(E331, '06_BANG_GIA_VAT_TU_AP_DUNG'!$B$1:$B$5000, 0)), 0)</f>
        <v/>
      </c>
      <c r="K331" s="402">
        <f>I331*J331</f>
        <v/>
      </c>
      <c r="L331" t="inlineStr">
        <is>
          <t>Khung bao 1110x510mm + U bọc lõi</t>
        </is>
      </c>
    </row>
    <row r="332">
      <c r="A332" t="inlineStr">
        <is>
          <t>SW-DIFF-201-CORE</t>
        </is>
      </c>
      <c r="B332" t="inlineStr">
        <is>
          <t>SW-DIFF-201</t>
        </is>
      </c>
      <c r="C332" t="inlineStr">
        <is>
          <t>Lõi nhôm sọt trứng (Eggcrate Core 12.7x12.7mm)</t>
        </is>
      </c>
      <c r="D332" t="inlineStr">
        <is>
          <t>NHÔM_ĐỊNH_HÌNH</t>
        </is>
      </c>
      <c r="E332" t="inlineStr">
        <is>
          <t>MAT-ALU-EGGCRATE-CORE</t>
        </is>
      </c>
      <c r="F332" t="inlineStr">
        <is>
          <t>m2</t>
        </is>
      </c>
      <c r="G332" s="406" t="n">
        <v>0.5088731952291276</v>
      </c>
      <c r="H332" s="402">
        <f>IFERROR(INDEX('00_TONG_HOP_BAO_GIA'!$G$1:$G$5000, MATCH(B332, '00_TONG_HOP_BAO_GIA'!$B$1:$B$5000, 0)), 1)</f>
        <v/>
      </c>
      <c r="I332" s="407">
        <f>G332*H332</f>
        <v/>
      </c>
      <c r="J332" s="402">
        <f>IFERROR(INDEX('06_BANG_GIA_VAT_TU_AP_DUNG'!$E$1:$E$5000, MATCH(E332, '06_BANG_GIA_VAT_TU_AP_DUNG'!$B$1:$B$5000, 0)), 0)</f>
        <v/>
      </c>
      <c r="K332" s="402">
        <f>I332*J332</f>
        <v/>
      </c>
      <c r="L332" t="inlineStr">
        <is>
          <t>Diện tích lõi sọt trứng 0.488m2</t>
        </is>
      </c>
    </row>
    <row r="333">
      <c r="A333" t="inlineStr">
        <is>
          <t>SW-DIFF-201-ACCESSORY</t>
        </is>
      </c>
      <c r="B333" t="inlineStr">
        <is>
          <t>SW-DIFF-201</t>
        </is>
      </c>
      <c r="C333" t="inlineStr">
        <is>
          <t>Phụ kiện lắp ghép / Ke góc cửa gió</t>
        </is>
      </c>
      <c r="D333" t="inlineStr">
        <is>
          <t>PHỤ_KIỆN_CỬA</t>
        </is>
      </c>
      <c r="E333" t="inlineStr">
        <is>
          <t>MAT-DOOR-ACCESSORY</t>
        </is>
      </c>
      <c r="F333" t="inlineStr">
        <is>
          <t>Bộ</t>
        </is>
      </c>
      <c r="G333" s="406" t="n">
        <v>0.8349026993094791</v>
      </c>
      <c r="H333" s="402">
        <f>IFERROR(INDEX('00_TONG_HOP_BAO_GIA'!$G$1:$G$5000, MATCH(B333, '00_TONG_HOP_BAO_GIA'!$B$1:$B$5000, 0)), 1)</f>
        <v/>
      </c>
      <c r="I333" s="407">
        <f>G333*H333</f>
        <v/>
      </c>
      <c r="J333" s="402">
        <f>IFERROR(INDEX('06_BANG_GIA_VAT_TU_AP_DUNG'!$E$1:$E$5000, MATCH(E333, '06_BANG_GIA_VAT_TU_AP_DUNG'!$B$1:$B$5000, 0)), 0)</f>
        <v/>
      </c>
      <c r="K333" s="402">
        <f>I333*J333</f>
        <v/>
      </c>
      <c r="L333" t="inlineStr">
        <is>
          <t>Ke góc chìm và vít ghép khung</t>
        </is>
      </c>
    </row>
    <row r="334">
      <c r="A334" t="inlineStr">
        <is>
          <t>SW-DIFF-201-PAINT</t>
        </is>
      </c>
      <c r="B334" t="inlineStr">
        <is>
          <t>SW-DIFF-201</t>
        </is>
      </c>
      <c r="C334" t="inlineStr">
        <is>
          <t>Sơn tĩnh điện tiêu chuẩn Polyester</t>
        </is>
      </c>
      <c r="D334" t="inlineStr">
        <is>
          <t>SƠN_TĨNH_ĐIỆN</t>
        </is>
      </c>
      <c r="E334" t="inlineStr">
        <is>
          <t>MAT-PAINT-POWDER</t>
        </is>
      </c>
      <c r="F334" t="inlineStr">
        <is>
          <t>m2</t>
        </is>
      </c>
      <c r="G334" s="406" t="n">
        <v>0.2103744406779661</v>
      </c>
      <c r="H334" s="402">
        <f>IFERROR(INDEX('00_TONG_HOP_BAO_GIA'!$G$1:$G$5000, MATCH(B334, '00_TONG_HOP_BAO_GIA'!$B$1:$B$5000, 0)), 1)</f>
        <v/>
      </c>
      <c r="I334" s="407">
        <f>G334*H334</f>
        <v/>
      </c>
      <c r="J334" s="402">
        <f>IFERROR(INDEX('06_BANG_GIA_VAT_TU_AP_DUNG'!$E$1:$E$5000, MATCH(E334, '06_BANG_GIA_VAT_TU_AP_DUNG'!$B$1:$B$5000, 0)), 0)</f>
        <v/>
      </c>
      <c r="K334" s="402">
        <f>I334*J334</f>
        <v/>
      </c>
      <c r="L334" t="inlineStr">
        <is>
          <t>Sơn tĩnh điện khung cửa sọt trứng</t>
        </is>
      </c>
    </row>
    <row r="335">
      <c r="A335" t="inlineStr">
        <is>
          <t>SW-DIFF-201-OBD-FRAME</t>
        </is>
      </c>
      <c r="B335" t="inlineStr">
        <is>
          <t>SW-DIFF-201</t>
        </is>
      </c>
      <c r="C335" t="inlineStr">
        <is>
          <t>Khung nhôm van OBD gắn cửa (SOBD)</t>
        </is>
      </c>
      <c r="D335" t="inlineStr">
        <is>
          <t>NHÔM_ĐỊNH_HÌNH</t>
        </is>
      </c>
      <c r="E335" t="inlineStr">
        <is>
          <t>MAT-ALU-KHUNG-OBD</t>
        </is>
      </c>
      <c r="F335" t="inlineStr">
        <is>
          <t>kg</t>
        </is>
      </c>
      <c r="G335" s="406" t="n">
        <v>0.4518075957313246</v>
      </c>
      <c r="H335" s="402">
        <f>IFERROR(INDEX('00_TONG_HOP_BAO_GIA'!$G$1:$G$5000, MATCH(B335, '00_TONG_HOP_BAO_GIA'!$B$1:$B$5000, 0)), 1)</f>
        <v/>
      </c>
      <c r="I335" s="407">
        <f>G335*H335</f>
        <v/>
      </c>
      <c r="J335" s="402">
        <f>IFERROR(INDEX('06_BANG_GIA_VAT_TU_AP_DUNG'!$E$1:$E$5000, MATCH(E335, '06_BANG_GIA_VAT_TU_AP_DUNG'!$B$1:$B$5000, 0)), 0)</f>
        <v/>
      </c>
      <c r="K335" s="402">
        <f>I335*J335</f>
        <v/>
      </c>
      <c r="L335" t="inlineStr">
        <is>
          <t>Khung OBD 985x385mm</t>
        </is>
      </c>
    </row>
    <row r="336">
      <c r="A336" t="inlineStr">
        <is>
          <t>SW-DIFF-201-OBD-BLADE</t>
        </is>
      </c>
      <c r="B336" t="inlineStr">
        <is>
          <t>SW-DIFF-201</t>
        </is>
      </c>
      <c r="C336" t="inlineStr">
        <is>
          <t>Nan nhôm &amp; thanh truyền van OBD (SOBD)</t>
        </is>
      </c>
      <c r="D336" t="inlineStr">
        <is>
          <t>NHÔM_ĐỊNH_HÌNH</t>
        </is>
      </c>
      <c r="E336" t="inlineStr">
        <is>
          <t>MAT-ALU-NAN-OBD</t>
        </is>
      </c>
      <c r="F336" t="inlineStr">
        <is>
          <t>kg</t>
        </is>
      </c>
      <c r="G336" s="406" t="n">
        <v>1.029604617859385</v>
      </c>
      <c r="H336" s="402">
        <f>IFERROR(INDEX('00_TONG_HOP_BAO_GIA'!$G$1:$G$5000, MATCH(B336, '00_TONG_HOP_BAO_GIA'!$B$1:$B$5000, 0)), 1)</f>
        <v/>
      </c>
      <c r="I336" s="407">
        <f>G336*H336</f>
        <v/>
      </c>
      <c r="J336" s="402">
        <f>IFERROR(INDEX('06_BANG_GIA_VAT_TU_AP_DUNG'!$E$1:$E$5000, MATCH(E336, '06_BANG_GIA_VAT_TU_AP_DUNG'!$B$1:$B$5000, 0)), 0)</f>
        <v/>
      </c>
      <c r="K336" s="402">
        <f>I336*J336</f>
        <v/>
      </c>
      <c r="L336" t="inlineStr">
        <is>
          <t>Nan OBD đối xứng &amp; thanh liên kết</t>
        </is>
      </c>
    </row>
    <row r="337">
      <c r="A337" t="inlineStr">
        <is>
          <t>SW-DIFF-201-OBD-ACC</t>
        </is>
      </c>
      <c r="B337" t="inlineStr">
        <is>
          <t>SW-DIFF-201</t>
        </is>
      </c>
      <c r="C337" t="inlineStr">
        <is>
          <t>Bánh răng nhựa &amp; phụ kiện van OBD</t>
        </is>
      </c>
      <c r="D337" t="inlineStr">
        <is>
          <t>PHỤ_KIỆN_CỬA</t>
        </is>
      </c>
      <c r="E337" t="inlineStr">
        <is>
          <t>MAT-DOOR-ACCESSORY</t>
        </is>
      </c>
      <c r="F337" t="inlineStr">
        <is>
          <t>Bộ</t>
        </is>
      </c>
      <c r="G337" s="406" t="n">
        <v>0.9044779242519357</v>
      </c>
      <c r="H337" s="402">
        <f>IFERROR(INDEX('00_TONG_HOP_BAO_GIA'!$G$1:$G$5000, MATCH(B337, '00_TONG_HOP_BAO_GIA'!$B$1:$B$5000, 0)), 1)</f>
        <v/>
      </c>
      <c r="I337" s="407">
        <f>G337*H337</f>
        <v/>
      </c>
      <c r="J337" s="402">
        <f>IFERROR(INDEX('06_BANG_GIA_VAT_TU_AP_DUNG'!$E$1:$E$5000, MATCH(E337, '06_BANG_GIA_VAT_TU_AP_DUNG'!$B$1:$B$5000, 0)), 0)</f>
        <v/>
      </c>
      <c r="K337" s="402">
        <f>I337*J337</f>
        <v/>
      </c>
      <c r="L337" t="inlineStr">
        <is>
          <t>Cơ cấu bánh răng đóng mở OBD</t>
        </is>
      </c>
    </row>
    <row r="338">
      <c r="A338" t="inlineStr">
        <is>
          <t>SW-DIFF-201-OBD-PAINT</t>
        </is>
      </c>
      <c r="B338" t="inlineStr">
        <is>
          <t>SW-DIFF-201</t>
        </is>
      </c>
      <c r="C338" t="inlineStr">
        <is>
          <t>Sơn tĩnh điện van OBD</t>
        </is>
      </c>
      <c r="D338" t="inlineStr">
        <is>
          <t>SƠN_TĨNH_ĐIỆN</t>
        </is>
      </c>
      <c r="E338" t="inlineStr">
        <is>
          <t>MAT-PAINT-POWDER</t>
        </is>
      </c>
      <c r="F338" t="inlineStr">
        <is>
          <t>m2</t>
        </is>
      </c>
      <c r="G338" s="406" t="n">
        <v>0.4562749617859385</v>
      </c>
      <c r="H338" s="402">
        <f>IFERROR(INDEX('00_TONG_HOP_BAO_GIA'!$G$1:$G$5000, MATCH(B338, '00_TONG_HOP_BAO_GIA'!$B$1:$B$5000, 0)), 1)</f>
        <v/>
      </c>
      <c r="I338" s="407">
        <f>G338*H338</f>
        <v/>
      </c>
      <c r="J338" s="402">
        <f>IFERROR(INDEX('06_BANG_GIA_VAT_TU_AP_DUNG'!$E$1:$E$5000, MATCH(E338, '06_BANG_GIA_VAT_TU_AP_DUNG'!$B$1:$B$5000, 0)), 0)</f>
        <v/>
      </c>
      <c r="K338" s="402">
        <f>I338*J338</f>
        <v/>
      </c>
      <c r="L338" t="inlineStr">
        <is>
          <t>Sơn tĩnh điện đen/trắng cho OBD</t>
        </is>
      </c>
    </row>
    <row r="339">
      <c r="A339" t="inlineStr">
        <is>
          <t>SW-DIFF-202-FRAME</t>
        </is>
      </c>
      <c r="B339" t="inlineStr">
        <is>
          <t>SW-DIFF-202</t>
        </is>
      </c>
      <c r="C339" t="inlineStr">
        <is>
          <t>Khung nhôm &amp; nẹp U cửa sọt trứng (SEEG)</t>
        </is>
      </c>
      <c r="D339" t="inlineStr">
        <is>
          <t>NHÔM_ĐỊNH_HÌNH</t>
        </is>
      </c>
      <c r="E339" t="inlineStr">
        <is>
          <t>MAT-ALU-KHUNG-BD</t>
        </is>
      </c>
      <c r="F339" t="inlineStr">
        <is>
          <t>kg</t>
        </is>
      </c>
      <c r="G339" s="406" t="n">
        <v>0.8708870056497177</v>
      </c>
      <c r="H339" s="402">
        <f>IFERROR(INDEX('00_TONG_HOP_BAO_GIA'!$G$1:$G$5000, MATCH(B339, '00_TONG_HOP_BAO_GIA'!$B$1:$B$5000, 0)), 1)</f>
        <v/>
      </c>
      <c r="I339" s="407">
        <f>G339*H339</f>
        <v/>
      </c>
      <c r="J339" s="402">
        <f>IFERROR(INDEX('06_BANG_GIA_VAT_TU_AP_DUNG'!$E$1:$E$5000, MATCH(E339, '06_BANG_GIA_VAT_TU_AP_DUNG'!$B$1:$B$5000, 0)), 0)</f>
        <v/>
      </c>
      <c r="K339" s="402">
        <f>I339*J339</f>
        <v/>
      </c>
      <c r="L339" t="inlineStr">
        <is>
          <t>Khung bao 710x510mm + U bọc lõi</t>
        </is>
      </c>
    </row>
    <row r="340">
      <c r="A340" t="inlineStr">
        <is>
          <t>SW-DIFF-202-CORE</t>
        </is>
      </c>
      <c r="B340" t="inlineStr">
        <is>
          <t>SW-DIFF-202</t>
        </is>
      </c>
      <c r="C340" t="inlineStr">
        <is>
          <t>Lõi nhôm sọt trứng (Eggcrate Core 12.7x12.7mm)</t>
        </is>
      </c>
      <c r="D340" t="inlineStr">
        <is>
          <t>NHÔM_ĐỊNH_HÌNH</t>
        </is>
      </c>
      <c r="E340" t="inlineStr">
        <is>
          <t>MAT-ALU-EGGCRATE-CORE</t>
        </is>
      </c>
      <c r="F340" t="inlineStr">
        <is>
          <t>m2</t>
        </is>
      </c>
      <c r="G340" s="406" t="n">
        <v>0.3168455743879473</v>
      </c>
      <c r="H340" s="402">
        <f>IFERROR(INDEX('00_TONG_HOP_BAO_GIA'!$G$1:$G$5000, MATCH(B340, '00_TONG_HOP_BAO_GIA'!$B$1:$B$5000, 0)), 1)</f>
        <v/>
      </c>
      <c r="I340" s="407">
        <f>G340*H340</f>
        <v/>
      </c>
      <c r="J340" s="402">
        <f>IFERROR(INDEX('06_BANG_GIA_VAT_TU_AP_DUNG'!$E$1:$E$5000, MATCH(E340, '06_BANG_GIA_VAT_TU_AP_DUNG'!$B$1:$B$5000, 0)), 0)</f>
        <v/>
      </c>
      <c r="K340" s="402">
        <f>I340*J340</f>
        <v/>
      </c>
      <c r="L340" t="inlineStr">
        <is>
          <t>Diện tích lõi sọt trứng 0.304m2</t>
        </is>
      </c>
    </row>
    <row r="341">
      <c r="A341" t="inlineStr">
        <is>
          <t>SW-DIFF-202-ACCESSORY</t>
        </is>
      </c>
      <c r="B341" t="inlineStr">
        <is>
          <t>SW-DIFF-202</t>
        </is>
      </c>
      <c r="C341" t="inlineStr">
        <is>
          <t>Phụ kiện lắp ghép / Ke góc cửa gió</t>
        </is>
      </c>
      <c r="D341" t="inlineStr">
        <is>
          <t>PHỤ_KIỆN_CỬA</t>
        </is>
      </c>
      <c r="E341" t="inlineStr">
        <is>
          <t>MAT-DOOR-ACCESSORY</t>
        </is>
      </c>
      <c r="F341" t="inlineStr">
        <is>
          <t>Bộ</t>
        </is>
      </c>
      <c r="G341" s="406" t="n">
        <v>0.8349026993094791</v>
      </c>
      <c r="H341" s="402">
        <f>IFERROR(INDEX('00_TONG_HOP_BAO_GIA'!$G$1:$G$5000, MATCH(B341, '00_TONG_HOP_BAO_GIA'!$B$1:$B$5000, 0)), 1)</f>
        <v/>
      </c>
      <c r="I341" s="407">
        <f>G341*H341</f>
        <v/>
      </c>
      <c r="J341" s="402">
        <f>IFERROR(INDEX('06_BANG_GIA_VAT_TU_AP_DUNG'!$E$1:$E$5000, MATCH(E341, '06_BANG_GIA_VAT_TU_AP_DUNG'!$B$1:$B$5000, 0)), 0)</f>
        <v/>
      </c>
      <c r="K341" s="402">
        <f>I341*J341</f>
        <v/>
      </c>
      <c r="L341" t="inlineStr">
        <is>
          <t>Ke góc chìm và vít ghép khung</t>
        </is>
      </c>
    </row>
    <row r="342">
      <c r="A342" t="inlineStr">
        <is>
          <t>SW-DIFF-202-PAINT</t>
        </is>
      </c>
      <c r="B342" t="inlineStr">
        <is>
          <t>SW-DIFF-202</t>
        </is>
      </c>
      <c r="C342" t="inlineStr">
        <is>
          <t>Sơn tĩnh điện tiêu chuẩn Polyester</t>
        </is>
      </c>
      <c r="D342" t="inlineStr">
        <is>
          <t>SƠN_TĨNH_ĐIỆN</t>
        </is>
      </c>
      <c r="E342" t="inlineStr">
        <is>
          <t>MAT-PAINT-POWDER</t>
        </is>
      </c>
      <c r="F342" t="inlineStr">
        <is>
          <t>m2</t>
        </is>
      </c>
      <c r="G342" s="406" t="n">
        <v>0.1584301343377276</v>
      </c>
      <c r="H342" s="402">
        <f>IFERROR(INDEX('00_TONG_HOP_BAO_GIA'!$G$1:$G$5000, MATCH(B342, '00_TONG_HOP_BAO_GIA'!$B$1:$B$5000, 0)), 1)</f>
        <v/>
      </c>
      <c r="I342" s="407">
        <f>G342*H342</f>
        <v/>
      </c>
      <c r="J342" s="402">
        <f>IFERROR(INDEX('06_BANG_GIA_VAT_TU_AP_DUNG'!$E$1:$E$5000, MATCH(E342, '06_BANG_GIA_VAT_TU_AP_DUNG'!$B$1:$B$5000, 0)), 0)</f>
        <v/>
      </c>
      <c r="K342" s="402">
        <f>I342*J342</f>
        <v/>
      </c>
      <c r="L342" t="inlineStr">
        <is>
          <t>Sơn tĩnh điện khung cửa sọt trứng</t>
        </is>
      </c>
    </row>
    <row r="343">
      <c r="A343" t="inlineStr">
        <is>
          <t>SW-DIFF-202-OBD-FRAME</t>
        </is>
      </c>
      <c r="B343" t="inlineStr">
        <is>
          <t>SW-DIFF-202</t>
        </is>
      </c>
      <c r="C343" t="inlineStr">
        <is>
          <t>Khung nhôm van OBD gắn cửa (SOBD)</t>
        </is>
      </c>
      <c r="D343" t="inlineStr">
        <is>
          <t>NHÔM_ĐỊNH_HÌNH</t>
        </is>
      </c>
      <c r="E343" t="inlineStr">
        <is>
          <t>MAT-ALU-KHUNG-OBD</t>
        </is>
      </c>
      <c r="F343" t="inlineStr">
        <is>
          <t>kg</t>
        </is>
      </c>
      <c r="G343" s="406" t="n">
        <v>0.3198929692404269</v>
      </c>
      <c r="H343" s="402">
        <f>IFERROR(INDEX('00_TONG_HOP_BAO_GIA'!$G$1:$G$5000, MATCH(B343, '00_TONG_HOP_BAO_GIA'!$B$1:$B$5000, 0)), 1)</f>
        <v/>
      </c>
      <c r="I343" s="407">
        <f>G343*H343</f>
        <v/>
      </c>
      <c r="J343" s="402">
        <f>IFERROR(INDEX('06_BANG_GIA_VAT_TU_AP_DUNG'!$E$1:$E$5000, MATCH(E343, '06_BANG_GIA_VAT_TU_AP_DUNG'!$B$1:$B$5000, 0)), 0)</f>
        <v/>
      </c>
      <c r="K343" s="402">
        <f>I343*J343</f>
        <v/>
      </c>
      <c r="L343" t="inlineStr">
        <is>
          <t>Khung OBD 585x385mm</t>
        </is>
      </c>
    </row>
    <row r="344">
      <c r="A344" t="inlineStr">
        <is>
          <t>SW-DIFF-202-OBD-BLADE</t>
        </is>
      </c>
      <c r="B344" t="inlineStr">
        <is>
          <t>SW-DIFF-202</t>
        </is>
      </c>
      <c r="C344" t="inlineStr">
        <is>
          <t>Nan nhôm &amp; thanh truyền van OBD (SOBD)</t>
        </is>
      </c>
      <c r="D344" t="inlineStr">
        <is>
          <t>NHÔM_ĐỊNH_HÌNH</t>
        </is>
      </c>
      <c r="E344" t="inlineStr">
        <is>
          <t>MAT-ALU-NAN-OBD</t>
        </is>
      </c>
      <c r="F344" t="inlineStr">
        <is>
          <t>kg</t>
        </is>
      </c>
      <c r="G344" s="406" t="n">
        <v>0.627807693816698</v>
      </c>
      <c r="H344" s="402">
        <f>IFERROR(INDEX('00_TONG_HOP_BAO_GIA'!$G$1:$G$5000, MATCH(B344, '00_TONG_HOP_BAO_GIA'!$B$1:$B$5000, 0)), 1)</f>
        <v/>
      </c>
      <c r="I344" s="407">
        <f>G344*H344</f>
        <v/>
      </c>
      <c r="J344" s="402">
        <f>IFERROR(INDEX('06_BANG_GIA_VAT_TU_AP_DUNG'!$E$1:$E$5000, MATCH(E344, '06_BANG_GIA_VAT_TU_AP_DUNG'!$B$1:$B$5000, 0)), 0)</f>
        <v/>
      </c>
      <c r="K344" s="402">
        <f>I344*J344</f>
        <v/>
      </c>
      <c r="L344" t="inlineStr">
        <is>
          <t>Nan OBD đối xứng &amp; thanh liên kết</t>
        </is>
      </c>
    </row>
    <row r="345">
      <c r="A345" t="inlineStr">
        <is>
          <t>SW-DIFF-202-OBD-ACC</t>
        </is>
      </c>
      <c r="B345" t="inlineStr">
        <is>
          <t>SW-DIFF-202</t>
        </is>
      </c>
      <c r="C345" t="inlineStr">
        <is>
          <t>Bánh răng nhựa &amp; phụ kiện van OBD</t>
        </is>
      </c>
      <c r="D345" t="inlineStr">
        <is>
          <t>PHỤ_KIỆN_CỬA</t>
        </is>
      </c>
      <c r="E345" t="inlineStr">
        <is>
          <t>MAT-DOOR-ACCESSORY</t>
        </is>
      </c>
      <c r="F345" t="inlineStr">
        <is>
          <t>Bộ</t>
        </is>
      </c>
      <c r="G345" s="406" t="n">
        <v>0.9044779242519357</v>
      </c>
      <c r="H345" s="402">
        <f>IFERROR(INDEX('00_TONG_HOP_BAO_GIA'!$G$1:$G$5000, MATCH(B345, '00_TONG_HOP_BAO_GIA'!$B$1:$B$5000, 0)), 1)</f>
        <v/>
      </c>
      <c r="I345" s="407">
        <f>G345*H345</f>
        <v/>
      </c>
      <c r="J345" s="402">
        <f>IFERROR(INDEX('06_BANG_GIA_VAT_TU_AP_DUNG'!$E$1:$E$5000, MATCH(E345, '06_BANG_GIA_VAT_TU_AP_DUNG'!$B$1:$B$5000, 0)), 0)</f>
        <v/>
      </c>
      <c r="K345" s="402">
        <f>I345*J345</f>
        <v/>
      </c>
      <c r="L345" t="inlineStr">
        <is>
          <t>Cơ cấu bánh răng đóng mở OBD</t>
        </is>
      </c>
    </row>
    <row r="346">
      <c r="A346" t="inlineStr">
        <is>
          <t>SW-DIFF-202-OBD-PAINT</t>
        </is>
      </c>
      <c r="B346" t="inlineStr">
        <is>
          <t>SW-DIFF-202</t>
        </is>
      </c>
      <c r="C346" t="inlineStr">
        <is>
          <t>Sơn tĩnh điện van OBD</t>
        </is>
      </c>
      <c r="D346" t="inlineStr">
        <is>
          <t>SƠN_TĨNH_ĐIỆN</t>
        </is>
      </c>
      <c r="E346" t="inlineStr">
        <is>
          <t>MAT-PAINT-POWDER</t>
        </is>
      </c>
      <c r="F346" t="inlineStr">
        <is>
          <t>m2</t>
        </is>
      </c>
      <c r="G346" s="406" t="n">
        <v>0.2918918042215945</v>
      </c>
      <c r="H346" s="402">
        <f>IFERROR(INDEX('00_TONG_HOP_BAO_GIA'!$G$1:$G$5000, MATCH(B346, '00_TONG_HOP_BAO_GIA'!$B$1:$B$5000, 0)), 1)</f>
        <v/>
      </c>
      <c r="I346" s="407">
        <f>G346*H346</f>
        <v/>
      </c>
      <c r="J346" s="402">
        <f>IFERROR(INDEX('06_BANG_GIA_VAT_TU_AP_DUNG'!$E$1:$E$5000, MATCH(E346, '06_BANG_GIA_VAT_TU_AP_DUNG'!$B$1:$B$5000, 0)), 0)</f>
        <v/>
      </c>
      <c r="K346" s="402">
        <f>I346*J346</f>
        <v/>
      </c>
      <c r="L346" t="inlineStr">
        <is>
          <t>Sơn tĩnh điện đen/trắng cho OBD</t>
        </is>
      </c>
    </row>
    <row r="347">
      <c r="A347" t="inlineStr">
        <is>
          <t>SW-DIFF-203-FRAME</t>
        </is>
      </c>
      <c r="B347" t="inlineStr">
        <is>
          <t>SW-DIFF-203</t>
        </is>
      </c>
      <c r="C347" t="inlineStr">
        <is>
          <t>Khung nhôm &amp; nẹp U cửa sọt trứng (SEEG)</t>
        </is>
      </c>
      <c r="D347" t="inlineStr">
        <is>
          <t>NHÔM_ĐỊNH_HÌNH</t>
        </is>
      </c>
      <c r="E347" t="inlineStr">
        <is>
          <t>MAT-ALU-KHUNG-BD</t>
        </is>
      </c>
      <c r="F347" t="inlineStr">
        <is>
          <t>kg</t>
        </is>
      </c>
      <c r="G347" s="406" t="n">
        <v>0.5853502824858758</v>
      </c>
      <c r="H347" s="402">
        <f>IFERROR(INDEX('00_TONG_HOP_BAO_GIA'!$G$1:$G$5000, MATCH(B347, '00_TONG_HOP_BAO_GIA'!$B$1:$B$5000, 0)), 1)</f>
        <v/>
      </c>
      <c r="I347" s="407">
        <f>G347*H347</f>
        <v/>
      </c>
      <c r="J347" s="402">
        <f>IFERROR(INDEX('06_BANG_GIA_VAT_TU_AP_DUNG'!$E$1:$E$5000, MATCH(E347, '06_BANG_GIA_VAT_TU_AP_DUNG'!$B$1:$B$5000, 0)), 0)</f>
        <v/>
      </c>
      <c r="K347" s="402">
        <f>I347*J347</f>
        <v/>
      </c>
      <c r="L347" t="inlineStr">
        <is>
          <t>Khung bao 410x410mm + U bọc lõi</t>
        </is>
      </c>
    </row>
    <row r="348">
      <c r="A348" t="inlineStr">
        <is>
          <t>SW-DIFF-203-CORE</t>
        </is>
      </c>
      <c r="B348" t="inlineStr">
        <is>
          <t>SW-DIFF-203</t>
        </is>
      </c>
      <c r="C348" t="inlineStr">
        <is>
          <t>Lõi nhôm sọt trứng (Eggcrate Core 12.7x12.7mm)</t>
        </is>
      </c>
      <c r="D348" t="inlineStr">
        <is>
          <t>NHÔM_ĐỊNH_HÌNH</t>
        </is>
      </c>
      <c r="E348" t="inlineStr">
        <is>
          <t>MAT-ALU-EGGCRATE-CORE</t>
        </is>
      </c>
      <c r="F348" t="inlineStr">
        <is>
          <t>m2</t>
        </is>
      </c>
      <c r="G348" s="406" t="n">
        <v>0.1352542372881356</v>
      </c>
      <c r="H348" s="402">
        <f>IFERROR(INDEX('00_TONG_HOP_BAO_GIA'!$G$1:$G$5000, MATCH(B348, '00_TONG_HOP_BAO_GIA'!$B$1:$B$5000, 0)), 1)</f>
        <v/>
      </c>
      <c r="I348" s="407">
        <f>G348*H348</f>
        <v/>
      </c>
      <c r="J348" s="402">
        <f>IFERROR(INDEX('06_BANG_GIA_VAT_TU_AP_DUNG'!$E$1:$E$5000, MATCH(E348, '06_BANG_GIA_VAT_TU_AP_DUNG'!$B$1:$B$5000, 0)), 0)</f>
        <v/>
      </c>
      <c r="K348" s="402">
        <f>I348*J348</f>
        <v/>
      </c>
      <c r="L348" t="inlineStr">
        <is>
          <t>Diện tích lõi sọt trứng 0.130m2</t>
        </is>
      </c>
    </row>
    <row r="349">
      <c r="A349" t="inlineStr">
        <is>
          <t>SW-DIFF-203-ACCESSORY</t>
        </is>
      </c>
      <c r="B349" t="inlineStr">
        <is>
          <t>SW-DIFF-203</t>
        </is>
      </c>
      <c r="C349" t="inlineStr">
        <is>
          <t>Phụ kiện lắp ghép / Ke góc cửa gió</t>
        </is>
      </c>
      <c r="D349" t="inlineStr">
        <is>
          <t>PHỤ_KIỆN_CỬA</t>
        </is>
      </c>
      <c r="E349" t="inlineStr">
        <is>
          <t>MAT-DOOR-ACCESSORY</t>
        </is>
      </c>
      <c r="F349" t="inlineStr">
        <is>
          <t>Bộ</t>
        </is>
      </c>
      <c r="G349" s="406" t="n">
        <v>0.8349026993094791</v>
      </c>
      <c r="H349" s="402">
        <f>IFERROR(INDEX('00_TONG_HOP_BAO_GIA'!$G$1:$G$5000, MATCH(B349, '00_TONG_HOP_BAO_GIA'!$B$1:$B$5000, 0)), 1)</f>
        <v/>
      </c>
      <c r="I349" s="407">
        <f>G349*H349</f>
        <v/>
      </c>
      <c r="J349" s="402">
        <f>IFERROR(INDEX('06_BANG_GIA_VAT_TU_AP_DUNG'!$E$1:$E$5000, MATCH(E349, '06_BANG_GIA_VAT_TU_AP_DUNG'!$B$1:$B$5000, 0)), 0)</f>
        <v/>
      </c>
      <c r="K349" s="402">
        <f>I349*J349</f>
        <v/>
      </c>
      <c r="L349" t="inlineStr">
        <is>
          <t>Ke góc chìm và vít ghép khung</t>
        </is>
      </c>
    </row>
    <row r="350">
      <c r="A350" t="inlineStr">
        <is>
          <t>SW-DIFF-203-PAINT</t>
        </is>
      </c>
      <c r="B350" t="inlineStr">
        <is>
          <t>SW-DIFF-203</t>
        </is>
      </c>
      <c r="C350" t="inlineStr">
        <is>
          <t>Sơn tĩnh điện tiêu chuẩn Polyester</t>
        </is>
      </c>
      <c r="D350" t="inlineStr">
        <is>
          <t>SƠN_TĨNH_ĐIỆN</t>
        </is>
      </c>
      <c r="E350" t="inlineStr">
        <is>
          <t>MAT-PAINT-POWDER</t>
        </is>
      </c>
      <c r="F350" t="inlineStr">
        <is>
          <t>m2</t>
        </is>
      </c>
      <c r="G350" s="406" t="n">
        <v>0.106485827997489</v>
      </c>
      <c r="H350" s="402">
        <f>IFERROR(INDEX('00_TONG_HOP_BAO_GIA'!$G$1:$G$5000, MATCH(B350, '00_TONG_HOP_BAO_GIA'!$B$1:$B$5000, 0)), 1)</f>
        <v/>
      </c>
      <c r="I350" s="407">
        <f>G350*H350</f>
        <v/>
      </c>
      <c r="J350" s="402">
        <f>IFERROR(INDEX('06_BANG_GIA_VAT_TU_AP_DUNG'!$E$1:$E$5000, MATCH(E350, '06_BANG_GIA_VAT_TU_AP_DUNG'!$B$1:$B$5000, 0)), 0)</f>
        <v/>
      </c>
      <c r="K350" s="402">
        <f>I350*J350</f>
        <v/>
      </c>
      <c r="L350" t="inlineStr">
        <is>
          <t>Sơn tĩnh điện khung cửa sọt trứng</t>
        </is>
      </c>
    </row>
    <row r="351">
      <c r="A351" t="inlineStr">
        <is>
          <t>SW-DIFF-203-OBD-FRAME</t>
        </is>
      </c>
      <c r="B351" t="inlineStr">
        <is>
          <t>SW-DIFF-203</t>
        </is>
      </c>
      <c r="C351" t="inlineStr">
        <is>
          <t>Khung nhôm van OBD gắn cửa (SOBD)</t>
        </is>
      </c>
      <c r="D351" t="inlineStr">
        <is>
          <t>NHÔM_ĐỊNH_HÌNH</t>
        </is>
      </c>
      <c r="E351" t="inlineStr">
        <is>
          <t>MAT-ALU-KHUNG-OBD</t>
        </is>
      </c>
      <c r="F351" t="inlineStr">
        <is>
          <t>kg</t>
        </is>
      </c>
      <c r="G351" s="406" t="n">
        <v>0.1879783427495292</v>
      </c>
      <c r="H351" s="402">
        <f>IFERROR(INDEX('00_TONG_HOP_BAO_GIA'!$G$1:$G$5000, MATCH(B351, '00_TONG_HOP_BAO_GIA'!$B$1:$B$5000, 0)), 1)</f>
        <v/>
      </c>
      <c r="I351" s="407">
        <f>G351*H351</f>
        <v/>
      </c>
      <c r="J351" s="402">
        <f>IFERROR(INDEX('06_BANG_GIA_VAT_TU_AP_DUNG'!$E$1:$E$5000, MATCH(E351, '06_BANG_GIA_VAT_TU_AP_DUNG'!$B$1:$B$5000, 0)), 0)</f>
        <v/>
      </c>
      <c r="K351" s="402">
        <f>I351*J351</f>
        <v/>
      </c>
      <c r="L351" t="inlineStr">
        <is>
          <t>Khung OBD 285x285mm</t>
        </is>
      </c>
    </row>
    <row r="352">
      <c r="A352" t="inlineStr">
        <is>
          <t>SW-DIFF-203-OBD-BLADE</t>
        </is>
      </c>
      <c r="B352" t="inlineStr">
        <is>
          <t>SW-DIFF-203</t>
        </is>
      </c>
      <c r="C352" t="inlineStr">
        <is>
          <t>Nan nhôm &amp; thanh truyền van OBD (SOBD)</t>
        </is>
      </c>
      <c r="D352" t="inlineStr">
        <is>
          <t>NHÔM_ĐỊNH_HÌNH</t>
        </is>
      </c>
      <c r="E352" t="inlineStr">
        <is>
          <t>MAT-ALU-NAN-OBD</t>
        </is>
      </c>
      <c r="F352" t="inlineStr">
        <is>
          <t>kg</t>
        </is>
      </c>
      <c r="G352" s="406" t="n">
        <v>0.241665195386064</v>
      </c>
      <c r="H352" s="402">
        <f>IFERROR(INDEX('00_TONG_HOP_BAO_GIA'!$G$1:$G$5000, MATCH(B352, '00_TONG_HOP_BAO_GIA'!$B$1:$B$5000, 0)), 1)</f>
        <v/>
      </c>
      <c r="I352" s="407">
        <f>G352*H352</f>
        <v/>
      </c>
      <c r="J352" s="402">
        <f>IFERROR(INDEX('06_BANG_GIA_VAT_TU_AP_DUNG'!$E$1:$E$5000, MATCH(E352, '06_BANG_GIA_VAT_TU_AP_DUNG'!$B$1:$B$5000, 0)), 0)</f>
        <v/>
      </c>
      <c r="K352" s="402">
        <f>I352*J352</f>
        <v/>
      </c>
      <c r="L352" t="inlineStr">
        <is>
          <t>Nan OBD đối xứng &amp; thanh liên kết</t>
        </is>
      </c>
    </row>
    <row r="353">
      <c r="A353" t="inlineStr">
        <is>
          <t>SW-DIFF-203-OBD-ACC</t>
        </is>
      </c>
      <c r="B353" t="inlineStr">
        <is>
          <t>SW-DIFF-203</t>
        </is>
      </c>
      <c r="C353" t="inlineStr">
        <is>
          <t>Bánh răng nhựa &amp; phụ kiện van OBD</t>
        </is>
      </c>
      <c r="D353" t="inlineStr">
        <is>
          <t>PHỤ_KIỆN_CỬA</t>
        </is>
      </c>
      <c r="E353" t="inlineStr">
        <is>
          <t>MAT-DOOR-ACCESSORY</t>
        </is>
      </c>
      <c r="F353" t="inlineStr">
        <is>
          <t>Bộ</t>
        </is>
      </c>
      <c r="G353" s="406" t="n">
        <v>0.9044779242519357</v>
      </c>
      <c r="H353" s="402">
        <f>IFERROR(INDEX('00_TONG_HOP_BAO_GIA'!$G$1:$G$5000, MATCH(B353, '00_TONG_HOP_BAO_GIA'!$B$1:$B$5000, 0)), 1)</f>
        <v/>
      </c>
      <c r="I353" s="407">
        <f>G353*H353</f>
        <v/>
      </c>
      <c r="J353" s="402">
        <f>IFERROR(INDEX('06_BANG_GIA_VAT_TU_AP_DUNG'!$E$1:$E$5000, MATCH(E353, '06_BANG_GIA_VAT_TU_AP_DUNG'!$B$1:$B$5000, 0)), 0)</f>
        <v/>
      </c>
      <c r="K353" s="402">
        <f>I353*J353</f>
        <v/>
      </c>
      <c r="L353" t="inlineStr">
        <is>
          <t>Cơ cấu bánh răng đóng mở OBD</t>
        </is>
      </c>
    </row>
    <row r="354">
      <c r="A354" t="inlineStr">
        <is>
          <t>SW-DIFF-203-OBD-PAINT</t>
        </is>
      </c>
      <c r="B354" t="inlineStr">
        <is>
          <t>SW-DIFF-203</t>
        </is>
      </c>
      <c r="C354" t="inlineStr">
        <is>
          <t>Sơn tĩnh điện van OBD</t>
        </is>
      </c>
      <c r="D354" t="inlineStr">
        <is>
          <t>SƠN_TĨNH_ĐIỆN</t>
        </is>
      </c>
      <c r="E354" t="inlineStr">
        <is>
          <t>MAT-PAINT-POWDER</t>
        </is>
      </c>
      <c r="F354" t="inlineStr">
        <is>
          <t>m2</t>
        </is>
      </c>
      <c r="G354" s="406" t="n">
        <v>0.1323302097457627</v>
      </c>
      <c r="H354" s="402">
        <f>IFERROR(INDEX('00_TONG_HOP_BAO_GIA'!$G$1:$G$5000, MATCH(B354, '00_TONG_HOP_BAO_GIA'!$B$1:$B$5000, 0)), 1)</f>
        <v/>
      </c>
      <c r="I354" s="407">
        <f>G354*H354</f>
        <v/>
      </c>
      <c r="J354" s="402">
        <f>IFERROR(INDEX('06_BANG_GIA_VAT_TU_AP_DUNG'!$E$1:$E$5000, MATCH(E354, '06_BANG_GIA_VAT_TU_AP_DUNG'!$B$1:$B$5000, 0)), 0)</f>
        <v/>
      </c>
      <c r="K354" s="402">
        <f>I354*J354</f>
        <v/>
      </c>
      <c r="L354" t="inlineStr">
        <is>
          <t>Sơn tĩnh điện đen/trắng cho OBD</t>
        </is>
      </c>
    </row>
    <row r="355">
      <c r="A355" t="inlineStr">
        <is>
          <t>SW-DIFF-204-FRAME</t>
        </is>
      </c>
      <c r="B355" t="inlineStr">
        <is>
          <t>SW-DIFF-204</t>
        </is>
      </c>
      <c r="C355" t="inlineStr">
        <is>
          <t>Khung nhôm định hình Louver (SWL)</t>
        </is>
      </c>
      <c r="D355" t="inlineStr">
        <is>
          <t>NHÔM_ĐỊNH_HÌNH</t>
        </is>
      </c>
      <c r="E355" t="inlineStr">
        <is>
          <t>MAT-ALU-KHUNG-Z-2-LOP</t>
        </is>
      </c>
      <c r="F355" t="inlineStr">
        <is>
          <t>kg</t>
        </is>
      </c>
      <c r="G355" s="406" t="n">
        <v>0.2758769617074702</v>
      </c>
      <c r="H355" s="402">
        <f>IFERROR(INDEX('00_TONG_HOP_BAO_GIA'!$G$1:$G$5000, MATCH(B355, '00_TONG_HOP_BAO_GIA'!$B$1:$B$5000, 0)), 1)</f>
        <v/>
      </c>
      <c r="I355" s="407">
        <f>G355*H355</f>
        <v/>
      </c>
      <c r="J355" s="402">
        <f>IFERROR(INDEX('06_BANG_GIA_VAT_TU_AP_DUNG'!$E$1:$E$5000, MATCH(E355, '06_BANG_GIA_VAT_TU_AP_DUNG'!$B$1:$B$5000, 0)), 0)</f>
        <v/>
      </c>
      <c r="K355" s="402">
        <f>I355*J355</f>
        <v/>
      </c>
      <c r="L355" t="inlineStr">
        <is>
          <t>Khung Louver phủ bì 350x200mm</t>
        </is>
      </c>
    </row>
    <row r="356">
      <c r="A356" t="inlineStr">
        <is>
          <t>SW-DIFF-204-BLADE</t>
        </is>
      </c>
      <c r="B356" t="inlineStr">
        <is>
          <t>SW-DIFF-204</t>
        </is>
      </c>
      <c r="C356" t="inlineStr">
        <is>
          <t>Nan Z Louver &amp; thanh tăng cứng (3 nan)</t>
        </is>
      </c>
      <c r="D356" t="inlineStr">
        <is>
          <t>NHÔM_ĐỊNH_HÌNH</t>
        </is>
      </c>
      <c r="E356" t="inlineStr">
        <is>
          <t>MAT-ALU-NAN-Z-DAY</t>
        </is>
      </c>
      <c r="F356" t="inlineStr">
        <is>
          <t>kg</t>
        </is>
      </c>
      <c r="G356" s="406" t="n">
        <v>0.2439362209667295</v>
      </c>
      <c r="H356" s="402">
        <f>IFERROR(INDEX('00_TONG_HOP_BAO_GIA'!$G$1:$G$5000, MATCH(B356, '00_TONG_HOP_BAO_GIA'!$B$1:$B$5000, 0)), 1)</f>
        <v/>
      </c>
      <c r="I356" s="407">
        <f>G356*H356</f>
        <v/>
      </c>
      <c r="J356" s="402">
        <f>IFERROR(INDEX('06_BANG_GIA_VAT_TU_AP_DUNG'!$E$1:$E$5000, MATCH(E356, '06_BANG_GIA_VAT_TU_AP_DUNG'!$B$1:$B$5000, 0)), 0)</f>
        <v/>
      </c>
      <c r="K356" s="402">
        <f>I356*J356</f>
        <v/>
      </c>
      <c r="L356" t="inlineStr">
        <is>
          <t>3 nan Z dày @ 0.217kg/m + thanh giằng</t>
        </is>
      </c>
    </row>
    <row r="357">
      <c r="A357" t="inlineStr">
        <is>
          <t>SW-DIFF-204-ACCESSORY</t>
        </is>
      </c>
      <c r="B357" t="inlineStr">
        <is>
          <t>SW-DIFF-204</t>
        </is>
      </c>
      <c r="C357" t="inlineStr">
        <is>
          <t>Phụ kiện lắp ghép / Ke góc cửa gió</t>
        </is>
      </c>
      <c r="D357" t="inlineStr">
        <is>
          <t>PHỤ_KIỆN_CỬA</t>
        </is>
      </c>
      <c r="E357" t="inlineStr">
        <is>
          <t>MAT-DOOR-ACCESSORY</t>
        </is>
      </c>
      <c r="F357" t="inlineStr">
        <is>
          <t>Bộ</t>
        </is>
      </c>
      <c r="G357" s="406" t="n">
        <v>0.8035153797865663</v>
      </c>
      <c r="H357" s="402">
        <f>IFERROR(INDEX('00_TONG_HOP_BAO_GIA'!$G$1:$G$5000, MATCH(B357, '00_TONG_HOP_BAO_GIA'!$B$1:$B$5000, 0)), 1)</f>
        <v/>
      </c>
      <c r="I357" s="407">
        <f>G357*H357</f>
        <v/>
      </c>
      <c r="J357" s="402">
        <f>IFERROR(INDEX('06_BANG_GIA_VAT_TU_AP_DUNG'!$E$1:$E$5000, MATCH(E357, '06_BANG_GIA_VAT_TU_AP_DUNG'!$B$1:$B$5000, 0)), 0)</f>
        <v/>
      </c>
      <c r="K357" s="402">
        <f>I357*J357</f>
        <v/>
      </c>
      <c r="L357" t="inlineStr">
        <is>
          <t>Ke góc và vít ghép khung Louver</t>
        </is>
      </c>
    </row>
    <row r="358">
      <c r="A358" t="inlineStr">
        <is>
          <t>SW-DIFF-204-PAINT</t>
        </is>
      </c>
      <c r="B358" t="inlineStr">
        <is>
          <t>SW-DIFF-204</t>
        </is>
      </c>
      <c r="C358" t="inlineStr">
        <is>
          <t>Sơn tĩnh điện tiêu chuẩn Polyester</t>
        </is>
      </c>
      <c r="D358" t="inlineStr">
        <is>
          <t>SƠN_TĨNH_ĐIỆN</t>
        </is>
      </c>
      <c r="E358" t="inlineStr">
        <is>
          <t>MAT-PAINT-POWDER</t>
        </is>
      </c>
      <c r="F358" t="inlineStr">
        <is>
          <t>m2</t>
        </is>
      </c>
      <c r="G358" s="406" t="n">
        <v>0.149213219836786</v>
      </c>
      <c r="H358" s="402">
        <f>IFERROR(INDEX('00_TONG_HOP_BAO_GIA'!$G$1:$G$5000, MATCH(B358, '00_TONG_HOP_BAO_GIA'!$B$1:$B$5000, 0)), 1)</f>
        <v/>
      </c>
      <c r="I358" s="407">
        <f>G358*H358</f>
        <v/>
      </c>
      <c r="J358" s="402">
        <f>IFERROR(INDEX('06_BANG_GIA_VAT_TU_AP_DUNG'!$E$1:$E$5000, MATCH(E358, '06_BANG_GIA_VAT_TU_AP_DUNG'!$B$1:$B$5000, 0)), 0)</f>
        <v/>
      </c>
      <c r="K358" s="402">
        <f>I358*J358</f>
        <v/>
      </c>
      <c r="L358" t="inlineStr">
        <is>
          <t>Sơn tĩnh điện khung và nan Louver</t>
        </is>
      </c>
    </row>
    <row r="359">
      <c r="A359" t="inlineStr">
        <is>
          <t>SW-DIFF-204-MESH</t>
        </is>
      </c>
      <c r="B359" t="inlineStr">
        <is>
          <t>SW-DIFF-204</t>
        </is>
      </c>
      <c r="C359" t="inlineStr">
        <is>
          <t>Lưới chắn côn trùng Inox 304 (LCCT)</t>
        </is>
      </c>
      <c r="D359" t="inlineStr">
        <is>
          <t>PHỤ_KIỆN_CỬA</t>
        </is>
      </c>
      <c r="E359" t="inlineStr">
        <is>
          <t>MAT-MESH-INOX-304</t>
        </is>
      </c>
      <c r="F359" t="inlineStr">
        <is>
          <t>m2</t>
        </is>
      </c>
      <c r="G359" s="406" t="n">
        <v>0.04519774011299435</v>
      </c>
      <c r="H359" s="402">
        <f>IFERROR(INDEX('00_TONG_HOP_BAO_GIA'!$G$1:$G$5000, MATCH(B359, '00_TONG_HOP_BAO_GIA'!$B$1:$B$5000, 0)), 1)</f>
        <v/>
      </c>
      <c r="I359" s="407">
        <f>G359*H359</f>
        <v/>
      </c>
      <c r="J359" s="402">
        <f>IFERROR(INDEX('06_BANG_GIA_VAT_TU_AP_DUNG'!$E$1:$E$5000, MATCH(E359, '06_BANG_GIA_VAT_TU_AP_DUNG'!$B$1:$B$5000, 0)), 0)</f>
        <v/>
      </c>
      <c r="K359" s="402">
        <f>I359*J359</f>
        <v/>
      </c>
      <c r="L359" t="inlineStr">
        <is>
          <t>Lưới chắn côn trùng cổ 300x150mm</t>
        </is>
      </c>
    </row>
    <row r="360">
      <c r="A360" t="inlineStr">
        <is>
          <t>SW-DIFF-205-FRAME</t>
        </is>
      </c>
      <c r="B360" t="inlineStr">
        <is>
          <t>SW-DIFF-205</t>
        </is>
      </c>
      <c r="C360" t="inlineStr">
        <is>
          <t>Khung nhôm định hình Louver (SWL)</t>
        </is>
      </c>
      <c r="D360" t="inlineStr">
        <is>
          <t>NHÔM_ĐỊNH_HÌNH</t>
        </is>
      </c>
      <c r="E360" t="inlineStr">
        <is>
          <t>MAT-ALU-KHUNG-Z-2-LOP</t>
        </is>
      </c>
      <c r="F360" t="inlineStr">
        <is>
          <t>kg</t>
        </is>
      </c>
      <c r="G360" s="406" t="n">
        <v>0.3260364092906466</v>
      </c>
      <c r="H360" s="402">
        <f>IFERROR(INDEX('00_TONG_HOP_BAO_GIA'!$G$1:$G$5000, MATCH(B360, '00_TONG_HOP_BAO_GIA'!$B$1:$B$5000, 0)), 1)</f>
        <v/>
      </c>
      <c r="I360" s="407">
        <f>G360*H360</f>
        <v/>
      </c>
      <c r="J360" s="402">
        <f>IFERROR(INDEX('06_BANG_GIA_VAT_TU_AP_DUNG'!$E$1:$E$5000, MATCH(E360, '06_BANG_GIA_VAT_TU_AP_DUNG'!$B$1:$B$5000, 0)), 0)</f>
        <v/>
      </c>
      <c r="K360" s="402">
        <f>I360*J360</f>
        <v/>
      </c>
      <c r="L360" t="inlineStr">
        <is>
          <t>Khung Louver phủ bì 450x200mm</t>
        </is>
      </c>
    </row>
    <row r="361">
      <c r="A361" t="inlineStr">
        <is>
          <t>SW-DIFF-205-BLADE</t>
        </is>
      </c>
      <c r="B361" t="inlineStr">
        <is>
          <t>SW-DIFF-205</t>
        </is>
      </c>
      <c r="C361" t="inlineStr">
        <is>
          <t>Nan Z Louver &amp; thanh tăng cứng (3 nan)</t>
        </is>
      </c>
      <c r="D361" t="inlineStr">
        <is>
          <t>NHÔM_ĐỊNH_HÌNH</t>
        </is>
      </c>
      <c r="E361" t="inlineStr">
        <is>
          <t>MAT-ALU-NAN-Z-DAY</t>
        </is>
      </c>
      <c r="F361" t="inlineStr">
        <is>
          <t>kg</t>
        </is>
      </c>
      <c r="G361" s="406" t="n">
        <v>0.3158608913998745</v>
      </c>
      <c r="H361" s="402">
        <f>IFERROR(INDEX('00_TONG_HOP_BAO_GIA'!$G$1:$G$5000, MATCH(B361, '00_TONG_HOP_BAO_GIA'!$B$1:$B$5000, 0)), 1)</f>
        <v/>
      </c>
      <c r="I361" s="407">
        <f>G361*H361</f>
        <v/>
      </c>
      <c r="J361" s="402">
        <f>IFERROR(INDEX('06_BANG_GIA_VAT_TU_AP_DUNG'!$E$1:$E$5000, MATCH(E361, '06_BANG_GIA_VAT_TU_AP_DUNG'!$B$1:$B$5000, 0)), 0)</f>
        <v/>
      </c>
      <c r="K361" s="402">
        <f>I361*J361</f>
        <v/>
      </c>
      <c r="L361" t="inlineStr">
        <is>
          <t>3 nan Z dày @ 0.217kg/m + thanh giằng</t>
        </is>
      </c>
    </row>
    <row r="362">
      <c r="A362" t="inlineStr">
        <is>
          <t>SW-DIFF-205-ACCESSORY</t>
        </is>
      </c>
      <c r="B362" t="inlineStr">
        <is>
          <t>SW-DIFF-205</t>
        </is>
      </c>
      <c r="C362" t="inlineStr">
        <is>
          <t>Phụ kiện lắp ghép / Ke góc cửa gió</t>
        </is>
      </c>
      <c r="D362" t="inlineStr">
        <is>
          <t>PHỤ_KIỆN_CỬA</t>
        </is>
      </c>
      <c r="E362" t="inlineStr">
        <is>
          <t>MAT-DOOR-ACCESSORY</t>
        </is>
      </c>
      <c r="F362" t="inlineStr">
        <is>
          <t>Bộ</t>
        </is>
      </c>
      <c r="G362" s="406" t="n">
        <v>0.8035153797865663</v>
      </c>
      <c r="H362" s="402">
        <f>IFERROR(INDEX('00_TONG_HOP_BAO_GIA'!$G$1:$G$5000, MATCH(B362, '00_TONG_HOP_BAO_GIA'!$B$1:$B$5000, 0)), 1)</f>
        <v/>
      </c>
      <c r="I362" s="407">
        <f>G362*H362</f>
        <v/>
      </c>
      <c r="J362" s="402">
        <f>IFERROR(INDEX('06_BANG_GIA_VAT_TU_AP_DUNG'!$E$1:$E$5000, MATCH(E362, '06_BANG_GIA_VAT_TU_AP_DUNG'!$B$1:$B$5000, 0)), 0)</f>
        <v/>
      </c>
      <c r="K362" s="402">
        <f>I362*J362</f>
        <v/>
      </c>
      <c r="L362" t="inlineStr">
        <is>
          <t>Ke góc và vít ghép khung Louver</t>
        </is>
      </c>
    </row>
    <row r="363">
      <c r="A363" t="inlineStr">
        <is>
          <t>SW-DIFF-205-PAINT</t>
        </is>
      </c>
      <c r="B363" t="inlineStr">
        <is>
          <t>SW-DIFF-205</t>
        </is>
      </c>
      <c r="C363" t="inlineStr">
        <is>
          <t>Sơn tĩnh điện tiêu chuẩn Polyester</t>
        </is>
      </c>
      <c r="D363" t="inlineStr">
        <is>
          <t>SƠN_TĨNH_ĐIỆN</t>
        </is>
      </c>
      <c r="E363" t="inlineStr">
        <is>
          <t>MAT-PAINT-POWDER</t>
        </is>
      </c>
      <c r="F363" t="inlineStr">
        <is>
          <t>m2</t>
        </is>
      </c>
      <c r="G363" s="406" t="n">
        <v>0.186815128185813</v>
      </c>
      <c r="H363" s="402">
        <f>IFERROR(INDEX('00_TONG_HOP_BAO_GIA'!$G$1:$G$5000, MATCH(B363, '00_TONG_HOP_BAO_GIA'!$B$1:$B$5000, 0)), 1)</f>
        <v/>
      </c>
      <c r="I363" s="407">
        <f>G363*H363</f>
        <v/>
      </c>
      <c r="J363" s="402">
        <f>IFERROR(INDEX('06_BANG_GIA_VAT_TU_AP_DUNG'!$E$1:$E$5000, MATCH(E363, '06_BANG_GIA_VAT_TU_AP_DUNG'!$B$1:$B$5000, 0)), 0)</f>
        <v/>
      </c>
      <c r="K363" s="402">
        <f>I363*J363</f>
        <v/>
      </c>
      <c r="L363" t="inlineStr">
        <is>
          <t>Sơn tĩnh điện khung và nan Louver</t>
        </is>
      </c>
    </row>
    <row r="364">
      <c r="A364" t="inlineStr">
        <is>
          <t>SW-DIFF-205-MESH</t>
        </is>
      </c>
      <c r="B364" t="inlineStr">
        <is>
          <t>SW-DIFF-205</t>
        </is>
      </c>
      <c r="C364" t="inlineStr">
        <is>
          <t>Lưới chắn côn trùng Inox 304 (LCCT)</t>
        </is>
      </c>
      <c r="D364" t="inlineStr">
        <is>
          <t>PHỤ_KIỆN_CỬA</t>
        </is>
      </c>
      <c r="E364" t="inlineStr">
        <is>
          <t>MAT-MESH-INOX-304</t>
        </is>
      </c>
      <c r="F364" t="inlineStr">
        <is>
          <t>m2</t>
        </is>
      </c>
      <c r="G364" s="406" t="n">
        <v>0.06026365348399246</v>
      </c>
      <c r="H364" s="402">
        <f>IFERROR(INDEX('00_TONG_HOP_BAO_GIA'!$G$1:$G$5000, MATCH(B364, '00_TONG_HOP_BAO_GIA'!$B$1:$B$5000, 0)), 1)</f>
        <v/>
      </c>
      <c r="I364" s="407">
        <f>G364*H364</f>
        <v/>
      </c>
      <c r="J364" s="402">
        <f>IFERROR(INDEX('06_BANG_GIA_VAT_TU_AP_DUNG'!$E$1:$E$5000, MATCH(E364, '06_BANG_GIA_VAT_TU_AP_DUNG'!$B$1:$B$5000, 0)), 0)</f>
        <v/>
      </c>
      <c r="K364" s="402">
        <f>I364*J364</f>
        <v/>
      </c>
      <c r="L364" t="inlineStr">
        <is>
          <t>Lưới chắn côn trùng cổ 400x150mm</t>
        </is>
      </c>
    </row>
    <row r="365">
      <c r="A365" t="inlineStr">
        <is>
          <t>SW-DIFF-206-FRAME</t>
        </is>
      </c>
      <c r="B365" t="inlineStr">
        <is>
          <t>SW-DIFF-206</t>
        </is>
      </c>
      <c r="C365" t="inlineStr">
        <is>
          <t>Khung nhôm định hình Louver (SWL)</t>
        </is>
      </c>
      <c r="D365" t="inlineStr">
        <is>
          <t>NHÔM_ĐỊNH_HÌNH</t>
        </is>
      </c>
      <c r="E365" t="inlineStr">
        <is>
          <t>MAT-ALU-KHUNG-Z-2-LOP</t>
        </is>
      </c>
      <c r="F365" t="inlineStr">
        <is>
          <t>kg</t>
        </is>
      </c>
      <c r="G365" s="406" t="n">
        <v>0.5768336472065285</v>
      </c>
      <c r="H365" s="402">
        <f>IFERROR(INDEX('00_TONG_HOP_BAO_GIA'!$G$1:$G$5000, MATCH(B365, '00_TONG_HOP_BAO_GIA'!$B$1:$B$5000, 0)), 1)</f>
        <v/>
      </c>
      <c r="I365" s="407">
        <f>G365*H365</f>
        <v/>
      </c>
      <c r="J365" s="402">
        <f>IFERROR(INDEX('06_BANG_GIA_VAT_TU_AP_DUNG'!$E$1:$E$5000, MATCH(E365, '06_BANG_GIA_VAT_TU_AP_DUNG'!$B$1:$B$5000, 0)), 0)</f>
        <v/>
      </c>
      <c r="K365" s="402">
        <f>I365*J365</f>
        <v/>
      </c>
      <c r="L365" t="inlineStr">
        <is>
          <t>Khung Louver phủ bì 850x300mm</t>
        </is>
      </c>
    </row>
    <row r="366">
      <c r="A366" t="inlineStr">
        <is>
          <t>SW-DIFF-206-BLADE</t>
        </is>
      </c>
      <c r="B366" t="inlineStr">
        <is>
          <t>SW-DIFF-206</t>
        </is>
      </c>
      <c r="C366" t="inlineStr">
        <is>
          <t>Nan Z Louver &amp; thanh tăng cứng (6 nan)</t>
        </is>
      </c>
      <c r="D366" t="inlineStr">
        <is>
          <t>NHÔM_ĐỊNH_HÌNH</t>
        </is>
      </c>
      <c r="E366" t="inlineStr">
        <is>
          <t>MAT-ALU-NAN-Z-DAY</t>
        </is>
      </c>
      <c r="F366" t="inlineStr">
        <is>
          <t>kg</t>
        </is>
      </c>
      <c r="G366" s="406" t="n">
        <v>1.189441807909605</v>
      </c>
      <c r="H366" s="402">
        <f>IFERROR(INDEX('00_TONG_HOP_BAO_GIA'!$G$1:$G$5000, MATCH(B366, '00_TONG_HOP_BAO_GIA'!$B$1:$B$5000, 0)), 1)</f>
        <v/>
      </c>
      <c r="I366" s="407">
        <f>G366*H366</f>
        <v/>
      </c>
      <c r="J366" s="402">
        <f>IFERROR(INDEX('06_BANG_GIA_VAT_TU_AP_DUNG'!$E$1:$E$5000, MATCH(E366, '06_BANG_GIA_VAT_TU_AP_DUNG'!$B$1:$B$5000, 0)), 0)</f>
        <v/>
      </c>
      <c r="K366" s="402">
        <f>I366*J366</f>
        <v/>
      </c>
      <c r="L366" t="inlineStr">
        <is>
          <t>6 nan Z dày @ 0.217kg/m + thanh giằng</t>
        </is>
      </c>
    </row>
    <row r="367">
      <c r="A367" t="inlineStr">
        <is>
          <t>SW-DIFF-206-ACCESSORY</t>
        </is>
      </c>
      <c r="B367" t="inlineStr">
        <is>
          <t>SW-DIFF-206</t>
        </is>
      </c>
      <c r="C367" t="inlineStr">
        <is>
          <t>Phụ kiện lắp ghép / Ke góc cửa gió</t>
        </is>
      </c>
      <c r="D367" t="inlineStr">
        <is>
          <t>PHỤ_KIỆN_CỬA</t>
        </is>
      </c>
      <c r="E367" t="inlineStr">
        <is>
          <t>MAT-DOOR-ACCESSORY</t>
        </is>
      </c>
      <c r="F367" t="inlineStr">
        <is>
          <t>Bộ</t>
        </is>
      </c>
      <c r="G367" s="406" t="n">
        <v>0.8035153797865663</v>
      </c>
      <c r="H367" s="402">
        <f>IFERROR(INDEX('00_TONG_HOP_BAO_GIA'!$G$1:$G$5000, MATCH(B367, '00_TONG_HOP_BAO_GIA'!$B$1:$B$5000, 0)), 1)</f>
        <v/>
      </c>
      <c r="I367" s="407">
        <f>G367*H367</f>
        <v/>
      </c>
      <c r="J367" s="402">
        <f>IFERROR(INDEX('06_BANG_GIA_VAT_TU_AP_DUNG'!$E$1:$E$5000, MATCH(E367, '06_BANG_GIA_VAT_TU_AP_DUNG'!$B$1:$B$5000, 0)), 0)</f>
        <v/>
      </c>
      <c r="K367" s="402">
        <f>I367*J367</f>
        <v/>
      </c>
      <c r="L367" t="inlineStr">
        <is>
          <t>Ke góc và vít ghép khung Louver</t>
        </is>
      </c>
    </row>
    <row r="368">
      <c r="A368" t="inlineStr">
        <is>
          <t>SW-DIFF-206-PAINT</t>
        </is>
      </c>
      <c r="B368" t="inlineStr">
        <is>
          <t>SW-DIFF-206</t>
        </is>
      </c>
      <c r="C368" t="inlineStr">
        <is>
          <t>Sơn tĩnh điện tiêu chuẩn Polyester</t>
        </is>
      </c>
      <c r="D368" t="inlineStr">
        <is>
          <t>SƠN_TĨNH_ĐIỆN</t>
        </is>
      </c>
      <c r="E368" t="inlineStr">
        <is>
          <t>MAT-PAINT-POWDER</t>
        </is>
      </c>
      <c r="F368" t="inlineStr">
        <is>
          <t>m2</t>
        </is>
      </c>
      <c r="G368" s="406" t="n">
        <v>0.5276789795354677</v>
      </c>
      <c r="H368" s="402">
        <f>IFERROR(INDEX('00_TONG_HOP_BAO_GIA'!$G$1:$G$5000, MATCH(B368, '00_TONG_HOP_BAO_GIA'!$B$1:$B$5000, 0)), 1)</f>
        <v/>
      </c>
      <c r="I368" s="407">
        <f>G368*H368</f>
        <v/>
      </c>
      <c r="J368" s="402">
        <f>IFERROR(INDEX('06_BANG_GIA_VAT_TU_AP_DUNG'!$E$1:$E$5000, MATCH(E368, '06_BANG_GIA_VAT_TU_AP_DUNG'!$B$1:$B$5000, 0)), 0)</f>
        <v/>
      </c>
      <c r="K368" s="402">
        <f>I368*J368</f>
        <v/>
      </c>
      <c r="L368" t="inlineStr">
        <is>
          <t>Sơn tĩnh điện khung và nan Louver</t>
        </is>
      </c>
    </row>
    <row r="369">
      <c r="A369" t="inlineStr">
        <is>
          <t>SW-DIFF-206-MESH</t>
        </is>
      </c>
      <c r="B369" t="inlineStr">
        <is>
          <t>SW-DIFF-206</t>
        </is>
      </c>
      <c r="C369" t="inlineStr">
        <is>
          <t>Lưới chắn côn trùng Inox 304 (LCCT)</t>
        </is>
      </c>
      <c r="D369" t="inlineStr">
        <is>
          <t>PHỤ_KIỆN_CỬA</t>
        </is>
      </c>
      <c r="E369" t="inlineStr">
        <is>
          <t>MAT-MESH-INOX-304</t>
        </is>
      </c>
      <c r="F369" t="inlineStr">
        <is>
          <t>m2</t>
        </is>
      </c>
      <c r="G369" s="406" t="n">
        <v>0.2008788449466416</v>
      </c>
      <c r="H369" s="402">
        <f>IFERROR(INDEX('00_TONG_HOP_BAO_GIA'!$G$1:$G$5000, MATCH(B369, '00_TONG_HOP_BAO_GIA'!$B$1:$B$5000, 0)), 1)</f>
        <v/>
      </c>
      <c r="I369" s="407">
        <f>G369*H369</f>
        <v/>
      </c>
      <c r="J369" s="402">
        <f>IFERROR(INDEX('06_BANG_GIA_VAT_TU_AP_DUNG'!$E$1:$E$5000, MATCH(E369, '06_BANG_GIA_VAT_TU_AP_DUNG'!$B$1:$B$5000, 0)), 0)</f>
        <v/>
      </c>
      <c r="K369" s="402">
        <f>I369*J369</f>
        <v/>
      </c>
      <c r="L369" t="inlineStr">
        <is>
          <t>Lưới chắn côn trùng cổ 800x250mm</t>
        </is>
      </c>
    </row>
    <row r="370">
      <c r="A370" t="inlineStr">
        <is>
          <t>SW-DIFF-207-FRAME</t>
        </is>
      </c>
      <c r="B370" t="inlineStr">
        <is>
          <t>SW-DIFF-207</t>
        </is>
      </c>
      <c r="C370" t="inlineStr">
        <is>
          <t>Khung nhôm định hình Louver (SWL)</t>
        </is>
      </c>
      <c r="D370" t="inlineStr">
        <is>
          <t>NHÔM_ĐỊNH_HÌNH</t>
        </is>
      </c>
      <c r="E370" t="inlineStr">
        <is>
          <t>MAT-ALU-KHUNG-Z-2-LOP</t>
        </is>
      </c>
      <c r="F370" t="inlineStr">
        <is>
          <t>kg</t>
        </is>
      </c>
      <c r="G370" s="406" t="n">
        <v>0.8276308851224106</v>
      </c>
      <c r="H370" s="402">
        <f>IFERROR(INDEX('00_TONG_HOP_BAO_GIA'!$G$1:$G$5000, MATCH(B370, '00_TONG_HOP_BAO_GIA'!$B$1:$B$5000, 0)), 1)</f>
        <v/>
      </c>
      <c r="I370" s="407">
        <f>G370*H370</f>
        <v/>
      </c>
      <c r="J370" s="402">
        <f>IFERROR(INDEX('06_BANG_GIA_VAT_TU_AP_DUNG'!$E$1:$E$5000, MATCH(E370, '06_BANG_GIA_VAT_TU_AP_DUNG'!$B$1:$B$5000, 0)), 0)</f>
        <v/>
      </c>
      <c r="K370" s="402">
        <f>I370*J370</f>
        <v/>
      </c>
      <c r="L370" t="inlineStr">
        <is>
          <t>Khung Louver phủ bì 1250x400mm</t>
        </is>
      </c>
    </row>
    <row r="371">
      <c r="A371" t="inlineStr">
        <is>
          <t>SW-DIFF-207-BLADE</t>
        </is>
      </c>
      <c r="B371" t="inlineStr">
        <is>
          <t>SW-DIFF-207</t>
        </is>
      </c>
      <c r="C371" t="inlineStr">
        <is>
          <t>Nan Z Louver &amp; thanh tăng cứng (8 nan)</t>
        </is>
      </c>
      <c r="D371" t="inlineStr">
        <is>
          <t>NHÔM_ĐỊNH_HÌNH</t>
        </is>
      </c>
      <c r="E371" t="inlineStr">
        <is>
          <t>MAT-ALU-NAN-Z-DAY</t>
        </is>
      </c>
      <c r="F371" t="inlineStr">
        <is>
          <t>kg</t>
        </is>
      </c>
      <c r="G371" s="406" t="n">
        <v>2.353118895166353</v>
      </c>
      <c r="H371" s="402">
        <f>IFERROR(INDEX('00_TONG_HOP_BAO_GIA'!$G$1:$G$5000, MATCH(B371, '00_TONG_HOP_BAO_GIA'!$B$1:$B$5000, 0)), 1)</f>
        <v/>
      </c>
      <c r="I371" s="407">
        <f>G371*H371</f>
        <v/>
      </c>
      <c r="J371" s="402">
        <f>IFERROR(INDEX('06_BANG_GIA_VAT_TU_AP_DUNG'!$E$1:$E$5000, MATCH(E371, '06_BANG_GIA_VAT_TU_AP_DUNG'!$B$1:$B$5000, 0)), 0)</f>
        <v/>
      </c>
      <c r="K371" s="402">
        <f>I371*J371</f>
        <v/>
      </c>
      <c r="L371" t="inlineStr">
        <is>
          <t>8 nan Z dày @ 0.217kg/m + thanh giằng</t>
        </is>
      </c>
    </row>
    <row r="372">
      <c r="A372" t="inlineStr">
        <is>
          <t>SW-DIFF-207-ACCESSORY</t>
        </is>
      </c>
      <c r="B372" t="inlineStr">
        <is>
          <t>SW-DIFF-207</t>
        </is>
      </c>
      <c r="C372" t="inlineStr">
        <is>
          <t>Phụ kiện lắp ghép / Ke góc cửa gió</t>
        </is>
      </c>
      <c r="D372" t="inlineStr">
        <is>
          <t>PHỤ_KIỆN_CỬA</t>
        </is>
      </c>
      <c r="E372" t="inlineStr">
        <is>
          <t>MAT-DOOR-ACCESSORY</t>
        </is>
      </c>
      <c r="F372" t="inlineStr">
        <is>
          <t>Bộ</t>
        </is>
      </c>
      <c r="G372" s="406" t="n">
        <v>0.8035153797865663</v>
      </c>
      <c r="H372" s="402">
        <f>IFERROR(INDEX('00_TONG_HOP_BAO_GIA'!$G$1:$G$5000, MATCH(B372, '00_TONG_HOP_BAO_GIA'!$B$1:$B$5000, 0)), 1)</f>
        <v/>
      </c>
      <c r="I372" s="407">
        <f>G372*H372</f>
        <v/>
      </c>
      <c r="J372" s="402">
        <f>IFERROR(INDEX('06_BANG_GIA_VAT_TU_AP_DUNG'!$E$1:$E$5000, MATCH(E372, '06_BANG_GIA_VAT_TU_AP_DUNG'!$B$1:$B$5000, 0)), 0)</f>
        <v/>
      </c>
      <c r="K372" s="402">
        <f>I372*J372</f>
        <v/>
      </c>
      <c r="L372" t="inlineStr">
        <is>
          <t>Ke góc và vít ghép khung Louver</t>
        </is>
      </c>
    </row>
    <row r="373">
      <c r="A373" t="inlineStr">
        <is>
          <t>SW-DIFF-207-PAINT</t>
        </is>
      </c>
      <c r="B373" t="inlineStr">
        <is>
          <t>SW-DIFF-207</t>
        </is>
      </c>
      <c r="C373" t="inlineStr">
        <is>
          <t>Sơn tĩnh điện tiêu chuẩn Polyester</t>
        </is>
      </c>
      <c r="D373" t="inlineStr">
        <is>
          <t>SƠN_TĨNH_ĐIỆN</t>
        </is>
      </c>
      <c r="E373" t="inlineStr">
        <is>
          <t>MAT-PAINT-POWDER</t>
        </is>
      </c>
      <c r="F373" t="inlineStr">
        <is>
          <t>m2</t>
        </is>
      </c>
      <c r="G373" s="406" t="n">
        <v>0.9578924514752041</v>
      </c>
      <c r="H373" s="402">
        <f>IFERROR(INDEX('00_TONG_HOP_BAO_GIA'!$G$1:$G$5000, MATCH(B373, '00_TONG_HOP_BAO_GIA'!$B$1:$B$5000, 0)), 1)</f>
        <v/>
      </c>
      <c r="I373" s="407">
        <f>G373*H373</f>
        <v/>
      </c>
      <c r="J373" s="402">
        <f>IFERROR(INDEX('06_BANG_GIA_VAT_TU_AP_DUNG'!$E$1:$E$5000, MATCH(E373, '06_BANG_GIA_VAT_TU_AP_DUNG'!$B$1:$B$5000, 0)), 0)</f>
        <v/>
      </c>
      <c r="K373" s="402">
        <f>I373*J373</f>
        <v/>
      </c>
      <c r="L373" t="inlineStr">
        <is>
          <t>Sơn tĩnh điện khung và nan Louver</t>
        </is>
      </c>
    </row>
    <row r="374">
      <c r="A374" t="inlineStr">
        <is>
          <t>SW-DIFF-207-MESH</t>
        </is>
      </c>
      <c r="B374" t="inlineStr">
        <is>
          <t>SW-DIFF-207</t>
        </is>
      </c>
      <c r="C374" t="inlineStr">
        <is>
          <t>Lưới chắn côn trùng Inox 304 (LCCT)</t>
        </is>
      </c>
      <c r="D374" t="inlineStr">
        <is>
          <t>PHỤ_KIỆN_CỬA</t>
        </is>
      </c>
      <c r="E374" t="inlineStr">
        <is>
          <t>MAT-MESH-INOX-304</t>
        </is>
      </c>
      <c r="F374" t="inlineStr">
        <is>
          <t>m2</t>
        </is>
      </c>
      <c r="G374" s="406" t="n">
        <v>0.4218455743879473</v>
      </c>
      <c r="H374" s="402">
        <f>IFERROR(INDEX('00_TONG_HOP_BAO_GIA'!$G$1:$G$5000, MATCH(B374, '00_TONG_HOP_BAO_GIA'!$B$1:$B$5000, 0)), 1)</f>
        <v/>
      </c>
      <c r="I374" s="407">
        <f>G374*H374</f>
        <v/>
      </c>
      <c r="J374" s="402">
        <f>IFERROR(INDEX('06_BANG_GIA_VAT_TU_AP_DUNG'!$E$1:$E$5000, MATCH(E374, '06_BANG_GIA_VAT_TU_AP_DUNG'!$B$1:$B$5000, 0)), 0)</f>
        <v/>
      </c>
      <c r="K374" s="402">
        <f>I374*J374</f>
        <v/>
      </c>
      <c r="L374" t="inlineStr">
        <is>
          <t>Lưới chắn côn trùng cổ 1200x350mm</t>
        </is>
      </c>
    </row>
    <row r="375">
      <c r="A375" t="inlineStr">
        <is>
          <t>SW-DIFF-208-FRAME</t>
        </is>
      </c>
      <c r="B375" t="inlineStr">
        <is>
          <t>SW-DIFF-208</t>
        </is>
      </c>
      <c r="C375" t="inlineStr">
        <is>
          <t>Khung nhôm định hình Louver (SWL)</t>
        </is>
      </c>
      <c r="D375" t="inlineStr">
        <is>
          <t>NHÔM_ĐỊNH_HÌNH</t>
        </is>
      </c>
      <c r="E375" t="inlineStr">
        <is>
          <t>MAT-ALU-KHUNG-Z-2-LOP</t>
        </is>
      </c>
      <c r="F375" t="inlineStr">
        <is>
          <t>kg</t>
        </is>
      </c>
      <c r="G375" s="406" t="n">
        <v>0.7022322661644695</v>
      </c>
      <c r="H375" s="402">
        <f>IFERROR(INDEX('00_TONG_HOP_BAO_GIA'!$G$1:$G$5000, MATCH(B375, '00_TONG_HOP_BAO_GIA'!$B$1:$B$5000, 0)), 1)</f>
        <v/>
      </c>
      <c r="I375" s="407">
        <f>G375*H375</f>
        <v/>
      </c>
      <c r="J375" s="402">
        <f>IFERROR(INDEX('06_BANG_GIA_VAT_TU_AP_DUNG'!$E$1:$E$5000, MATCH(E375, '06_BANG_GIA_VAT_TU_AP_DUNG'!$B$1:$B$5000, 0)), 0)</f>
        <v/>
      </c>
      <c r="K375" s="402">
        <f>I375*J375</f>
        <v/>
      </c>
      <c r="L375" t="inlineStr">
        <is>
          <t>Khung Louver phủ bì 1050x350mm</t>
        </is>
      </c>
    </row>
    <row r="376">
      <c r="A376" t="inlineStr">
        <is>
          <t>SW-DIFF-208-BLADE</t>
        </is>
      </c>
      <c r="B376" t="inlineStr">
        <is>
          <t>SW-DIFF-208</t>
        </is>
      </c>
      <c r="C376" t="inlineStr">
        <is>
          <t>Nan Z Louver &amp; thanh tăng cứng (7 nan)</t>
        </is>
      </c>
      <c r="D376" t="inlineStr">
        <is>
          <t>NHÔM_ĐỊNH_HÌNH</t>
        </is>
      </c>
      <c r="E376" t="inlineStr">
        <is>
          <t>MAT-ALU-NAN-Z-DAY</t>
        </is>
      </c>
      <c r="F376" t="inlineStr">
        <is>
          <t>kg</t>
        </is>
      </c>
      <c r="G376" s="406" t="n">
        <v>1.723330571249216</v>
      </c>
      <c r="H376" s="402">
        <f>IFERROR(INDEX('00_TONG_HOP_BAO_GIA'!$G$1:$G$5000, MATCH(B376, '00_TONG_HOP_BAO_GIA'!$B$1:$B$5000, 0)), 1)</f>
        <v/>
      </c>
      <c r="I376" s="407">
        <f>G376*H376</f>
        <v/>
      </c>
      <c r="J376" s="402">
        <f>IFERROR(INDEX('06_BANG_GIA_VAT_TU_AP_DUNG'!$E$1:$E$5000, MATCH(E376, '06_BANG_GIA_VAT_TU_AP_DUNG'!$B$1:$B$5000, 0)), 0)</f>
        <v/>
      </c>
      <c r="K376" s="402">
        <f>I376*J376</f>
        <v/>
      </c>
      <c r="L376" t="inlineStr">
        <is>
          <t>7 nan Z dày @ 0.217kg/m + thanh giằng</t>
        </is>
      </c>
    </row>
    <row r="377">
      <c r="A377" t="inlineStr">
        <is>
          <t>SW-DIFF-208-ACCESSORY</t>
        </is>
      </c>
      <c r="B377" t="inlineStr">
        <is>
          <t>SW-DIFF-208</t>
        </is>
      </c>
      <c r="C377" t="inlineStr">
        <is>
          <t>Phụ kiện lắp ghép / Ke góc cửa gió</t>
        </is>
      </c>
      <c r="D377" t="inlineStr">
        <is>
          <t>PHỤ_KIỆN_CỬA</t>
        </is>
      </c>
      <c r="E377" t="inlineStr">
        <is>
          <t>MAT-DOOR-ACCESSORY</t>
        </is>
      </c>
      <c r="F377" t="inlineStr">
        <is>
          <t>Bộ</t>
        </is>
      </c>
      <c r="G377" s="406" t="n">
        <v>0.8035153797865663</v>
      </c>
      <c r="H377" s="402">
        <f>IFERROR(INDEX('00_TONG_HOP_BAO_GIA'!$G$1:$G$5000, MATCH(B377, '00_TONG_HOP_BAO_GIA'!$B$1:$B$5000, 0)), 1)</f>
        <v/>
      </c>
      <c r="I377" s="407">
        <f>G377*H377</f>
        <v/>
      </c>
      <c r="J377" s="402">
        <f>IFERROR(INDEX('06_BANG_GIA_VAT_TU_AP_DUNG'!$E$1:$E$5000, MATCH(E377, '06_BANG_GIA_VAT_TU_AP_DUNG'!$B$1:$B$5000, 0)), 0)</f>
        <v/>
      </c>
      <c r="K377" s="402">
        <f>I377*J377</f>
        <v/>
      </c>
      <c r="L377" t="inlineStr">
        <is>
          <t>Ke góc và vít ghép khung Louver</t>
        </is>
      </c>
    </row>
    <row r="378">
      <c r="A378" t="inlineStr">
        <is>
          <t>SW-DIFF-208-PAINT</t>
        </is>
      </c>
      <c r="B378" t="inlineStr">
        <is>
          <t>SW-DIFF-208</t>
        </is>
      </c>
      <c r="C378" t="inlineStr">
        <is>
          <t>Sơn tĩnh điện tiêu chuẩn Polyester</t>
        </is>
      </c>
      <c r="D378" t="inlineStr">
        <is>
          <t>SƠN_TĨNH_ĐIỆN</t>
        </is>
      </c>
      <c r="E378" t="inlineStr">
        <is>
          <t>MAT-PAINT-POWDER</t>
        </is>
      </c>
      <c r="F378" t="inlineStr">
        <is>
          <t>m2</t>
        </is>
      </c>
      <c r="G378" s="406" t="n">
        <v>0.7280171831763967</v>
      </c>
      <c r="H378" s="402">
        <f>IFERROR(INDEX('00_TONG_HOP_BAO_GIA'!$G$1:$G$5000, MATCH(B378, '00_TONG_HOP_BAO_GIA'!$B$1:$B$5000, 0)), 1)</f>
        <v/>
      </c>
      <c r="I378" s="407">
        <f>G378*H378</f>
        <v/>
      </c>
      <c r="J378" s="402">
        <f>IFERROR(INDEX('06_BANG_GIA_VAT_TU_AP_DUNG'!$E$1:$E$5000, MATCH(E378, '06_BANG_GIA_VAT_TU_AP_DUNG'!$B$1:$B$5000, 0)), 0)</f>
        <v/>
      </c>
      <c r="K378" s="402">
        <f>I378*J378</f>
        <v/>
      </c>
      <c r="L378" t="inlineStr">
        <is>
          <t>Sơn tĩnh điện khung và nan Louver</t>
        </is>
      </c>
    </row>
    <row r="379">
      <c r="A379" t="inlineStr">
        <is>
          <t>SW-DIFF-208-MESH</t>
        </is>
      </c>
      <c r="B379" t="inlineStr">
        <is>
          <t>SW-DIFF-208</t>
        </is>
      </c>
      <c r="C379" t="inlineStr">
        <is>
          <t>Lưới chắn côn trùng Inox 304 (LCCT)</t>
        </is>
      </c>
      <c r="D379" t="inlineStr">
        <is>
          <t>PHỤ_KIỆN_CỬA</t>
        </is>
      </c>
      <c r="E379" t="inlineStr">
        <is>
          <t>MAT-MESH-INOX-304</t>
        </is>
      </c>
      <c r="F379" t="inlineStr">
        <is>
          <t>m2</t>
        </is>
      </c>
      <c r="G379" s="406" t="n">
        <v>0.3013182674199623</v>
      </c>
      <c r="H379" s="402">
        <f>IFERROR(INDEX('00_TONG_HOP_BAO_GIA'!$G$1:$G$5000, MATCH(B379, '00_TONG_HOP_BAO_GIA'!$B$1:$B$5000, 0)), 1)</f>
        <v/>
      </c>
      <c r="I379" s="407">
        <f>G379*H379</f>
        <v/>
      </c>
      <c r="J379" s="402">
        <f>IFERROR(INDEX('06_BANG_GIA_VAT_TU_AP_DUNG'!$E$1:$E$5000, MATCH(E379, '06_BANG_GIA_VAT_TU_AP_DUNG'!$B$1:$B$5000, 0)), 0)</f>
        <v/>
      </c>
      <c r="K379" s="402">
        <f>I379*J379</f>
        <v/>
      </c>
      <c r="L379" t="inlineStr">
        <is>
          <t>Lưới chắn côn trùng cổ 1000x300mm</t>
        </is>
      </c>
    </row>
    <row r="380">
      <c r="A380" t="inlineStr">
        <is>
          <t>SW-DIFF-209-FRAME</t>
        </is>
      </c>
      <c r="B380" t="inlineStr">
        <is>
          <t>SW-DIFF-209</t>
        </is>
      </c>
      <c r="C380" t="inlineStr">
        <is>
          <t>Khung nhôm định hình Louver (SWL)</t>
        </is>
      </c>
      <c r="D380" t="inlineStr">
        <is>
          <t>NHÔM_ĐỊNH_HÌNH</t>
        </is>
      </c>
      <c r="E380" t="inlineStr">
        <is>
          <t>MAT-ALU-KHUNG-Z-2-LOP</t>
        </is>
      </c>
      <c r="F380" t="inlineStr">
        <is>
          <t>kg</t>
        </is>
      </c>
      <c r="G380" s="406" t="n">
        <v>0.6019133709981168</v>
      </c>
      <c r="H380" s="402">
        <f>IFERROR(INDEX('00_TONG_HOP_BAO_GIA'!$G$1:$G$5000, MATCH(B380, '00_TONG_HOP_BAO_GIA'!$B$1:$B$5000, 0)), 1)</f>
        <v/>
      </c>
      <c r="I380" s="407">
        <f>G380*H380</f>
        <v/>
      </c>
      <c r="J380" s="402">
        <f>IFERROR(INDEX('06_BANG_GIA_VAT_TU_AP_DUNG'!$E$1:$E$5000, MATCH(E380, '06_BANG_GIA_VAT_TU_AP_DUNG'!$B$1:$B$5000, 0)), 0)</f>
        <v/>
      </c>
      <c r="K380" s="402">
        <f>I380*J380</f>
        <v/>
      </c>
      <c r="L380" t="inlineStr">
        <is>
          <t>Khung Louver phủ bì 850x350mm</t>
        </is>
      </c>
    </row>
    <row r="381">
      <c r="A381" t="inlineStr">
        <is>
          <t>SW-DIFF-209-BLADE</t>
        </is>
      </c>
      <c r="B381" t="inlineStr">
        <is>
          <t>SW-DIFF-209</t>
        </is>
      </c>
      <c r="C381" t="inlineStr">
        <is>
          <t>Nan Z Louver &amp; thanh tăng cứng (7 nan)</t>
        </is>
      </c>
      <c r="D381" t="inlineStr">
        <is>
          <t>NHÔM_ĐỊNH_HÌNH</t>
        </is>
      </c>
      <c r="E381" t="inlineStr">
        <is>
          <t>MAT-ALU-NAN-Z-DAY</t>
        </is>
      </c>
      <c r="F381" t="inlineStr">
        <is>
          <t>kg</t>
        </is>
      </c>
      <c r="G381" s="406" t="n">
        <v>1.387682109227872</v>
      </c>
      <c r="H381" s="402">
        <f>IFERROR(INDEX('00_TONG_HOP_BAO_GIA'!$G$1:$G$5000, MATCH(B381, '00_TONG_HOP_BAO_GIA'!$B$1:$B$5000, 0)), 1)</f>
        <v/>
      </c>
      <c r="I381" s="407">
        <f>G381*H381</f>
        <v/>
      </c>
      <c r="J381" s="402">
        <f>IFERROR(INDEX('06_BANG_GIA_VAT_TU_AP_DUNG'!$E$1:$E$5000, MATCH(E381, '06_BANG_GIA_VAT_TU_AP_DUNG'!$B$1:$B$5000, 0)), 0)</f>
        <v/>
      </c>
      <c r="K381" s="402">
        <f>I381*J381</f>
        <v/>
      </c>
      <c r="L381" t="inlineStr">
        <is>
          <t>7 nan Z dày @ 0.217kg/m + thanh giằng</t>
        </is>
      </c>
    </row>
    <row r="382">
      <c r="A382" t="inlineStr">
        <is>
          <t>SW-DIFF-209-ACCESSORY</t>
        </is>
      </c>
      <c r="B382" t="inlineStr">
        <is>
          <t>SW-DIFF-209</t>
        </is>
      </c>
      <c r="C382" t="inlineStr">
        <is>
          <t>Phụ kiện lắp ghép / Ke góc cửa gió</t>
        </is>
      </c>
      <c r="D382" t="inlineStr">
        <is>
          <t>PHỤ_KIỆN_CỬA</t>
        </is>
      </c>
      <c r="E382" t="inlineStr">
        <is>
          <t>MAT-DOOR-ACCESSORY</t>
        </is>
      </c>
      <c r="F382" t="inlineStr">
        <is>
          <t>Bộ</t>
        </is>
      </c>
      <c r="G382" s="406" t="n">
        <v>0.8035153797865663</v>
      </c>
      <c r="H382" s="402">
        <f>IFERROR(INDEX('00_TONG_HOP_BAO_GIA'!$G$1:$G$5000, MATCH(B382, '00_TONG_HOP_BAO_GIA'!$B$1:$B$5000, 0)), 1)</f>
        <v/>
      </c>
      <c r="I382" s="407">
        <f>G382*H382</f>
        <v/>
      </c>
      <c r="J382" s="402">
        <f>IFERROR(INDEX('06_BANG_GIA_VAT_TU_AP_DUNG'!$E$1:$E$5000, MATCH(E382, '06_BANG_GIA_VAT_TU_AP_DUNG'!$B$1:$B$5000, 0)), 0)</f>
        <v/>
      </c>
      <c r="K382" s="402">
        <f>I382*J382</f>
        <v/>
      </c>
      <c r="L382" t="inlineStr">
        <is>
          <t>Ke góc và vít ghép khung Louver</t>
        </is>
      </c>
    </row>
    <row r="383">
      <c r="A383" t="inlineStr">
        <is>
          <t>SW-DIFF-209-PAINT</t>
        </is>
      </c>
      <c r="B383" t="inlineStr">
        <is>
          <t>SW-DIFF-209</t>
        </is>
      </c>
      <c r="C383" t="inlineStr">
        <is>
          <t>Sơn tĩnh điện tiêu chuẩn Polyester</t>
        </is>
      </c>
      <c r="D383" t="inlineStr">
        <is>
          <t>SƠN_TĨNH_ĐIỆN</t>
        </is>
      </c>
      <c r="E383" t="inlineStr">
        <is>
          <t>MAT-PAINT-POWDER</t>
        </is>
      </c>
      <c r="F383" t="inlineStr">
        <is>
          <t>m2</t>
        </is>
      </c>
      <c r="G383" s="406" t="n">
        <v>0.5937392371625864</v>
      </c>
      <c r="H383" s="402">
        <f>IFERROR(INDEX('00_TONG_HOP_BAO_GIA'!$G$1:$G$5000, MATCH(B383, '00_TONG_HOP_BAO_GIA'!$B$1:$B$5000, 0)), 1)</f>
        <v/>
      </c>
      <c r="I383" s="407">
        <f>G383*H383</f>
        <v/>
      </c>
      <c r="J383" s="402">
        <f>IFERROR(INDEX('06_BANG_GIA_VAT_TU_AP_DUNG'!$E$1:$E$5000, MATCH(E383, '06_BANG_GIA_VAT_TU_AP_DUNG'!$B$1:$B$5000, 0)), 0)</f>
        <v/>
      </c>
      <c r="K383" s="402">
        <f>I383*J383</f>
        <v/>
      </c>
      <c r="L383" t="inlineStr">
        <is>
          <t>Sơn tĩnh điện khung và nan Louver</t>
        </is>
      </c>
    </row>
    <row r="384">
      <c r="A384" t="inlineStr">
        <is>
          <t>SW-DIFF-209-MESH</t>
        </is>
      </c>
      <c r="B384" t="inlineStr">
        <is>
          <t>SW-DIFF-209</t>
        </is>
      </c>
      <c r="C384" t="inlineStr">
        <is>
          <t>Lưới chắn côn trùng Inox 304 (LCCT)</t>
        </is>
      </c>
      <c r="D384" t="inlineStr">
        <is>
          <t>PHỤ_KIỆN_CỬA</t>
        </is>
      </c>
      <c r="E384" t="inlineStr">
        <is>
          <t>MAT-MESH-INOX-304</t>
        </is>
      </c>
      <c r="F384" t="inlineStr">
        <is>
          <t>m2</t>
        </is>
      </c>
      <c r="G384" s="406" t="n">
        <v>0.2410546139359699</v>
      </c>
      <c r="H384" s="402">
        <f>IFERROR(INDEX('00_TONG_HOP_BAO_GIA'!$G$1:$G$5000, MATCH(B384, '00_TONG_HOP_BAO_GIA'!$B$1:$B$5000, 0)), 1)</f>
        <v/>
      </c>
      <c r="I384" s="407">
        <f>G384*H384</f>
        <v/>
      </c>
      <c r="J384" s="402">
        <f>IFERROR(INDEX('06_BANG_GIA_VAT_TU_AP_DUNG'!$E$1:$E$5000, MATCH(E384, '06_BANG_GIA_VAT_TU_AP_DUNG'!$B$1:$B$5000, 0)), 0)</f>
        <v/>
      </c>
      <c r="K384" s="402">
        <f>I384*J384</f>
        <v/>
      </c>
      <c r="L384" t="inlineStr">
        <is>
          <t>Lưới chắn côn trùng cổ 800x300mm</t>
        </is>
      </c>
    </row>
    <row r="385">
      <c r="A385" t="inlineStr">
        <is>
          <t>SW-DIFF-210-FRAME</t>
        </is>
      </c>
      <c r="B385" t="inlineStr">
        <is>
          <t>SW-DIFF-210</t>
        </is>
      </c>
      <c r="C385" t="inlineStr">
        <is>
          <t>Khung nhôm định hình Louver (SWL)</t>
        </is>
      </c>
      <c r="D385" t="inlineStr">
        <is>
          <t>NHÔM_ĐỊNH_HÌNH</t>
        </is>
      </c>
      <c r="E385" t="inlineStr">
        <is>
          <t>MAT-ALU-KHUNG-Z-2-LOP</t>
        </is>
      </c>
      <c r="F385" t="inlineStr">
        <is>
          <t>kg</t>
        </is>
      </c>
      <c r="G385" s="406" t="n">
        <v>0.3511161330822348</v>
      </c>
      <c r="H385" s="402">
        <f>IFERROR(INDEX('00_TONG_HOP_BAO_GIA'!$G$1:$G$5000, MATCH(B385, '00_TONG_HOP_BAO_GIA'!$B$1:$B$5000, 0)), 1)</f>
        <v/>
      </c>
      <c r="I385" s="407">
        <f>G385*H385</f>
        <v/>
      </c>
      <c r="J385" s="402">
        <f>IFERROR(INDEX('06_BANG_GIA_VAT_TU_AP_DUNG'!$E$1:$E$5000, MATCH(E385, '06_BANG_GIA_VAT_TU_AP_DUNG'!$B$1:$B$5000, 0)), 0)</f>
        <v/>
      </c>
      <c r="K385" s="402">
        <f>I385*J385</f>
        <v/>
      </c>
      <c r="L385" t="inlineStr">
        <is>
          <t>Khung Louver phủ bì 450x250mm</t>
        </is>
      </c>
    </row>
    <row r="386">
      <c r="A386" t="inlineStr">
        <is>
          <t>SW-DIFF-210-BLADE</t>
        </is>
      </c>
      <c r="B386" t="inlineStr">
        <is>
          <t>SW-DIFF-210</t>
        </is>
      </c>
      <c r="C386" t="inlineStr">
        <is>
          <t>Nan Z Louver &amp; thanh tăng cứng (4 nan)</t>
        </is>
      </c>
      <c r="D386" t="inlineStr">
        <is>
          <t>NHÔM_ĐỊNH_HÌNH</t>
        </is>
      </c>
      <c r="E386" t="inlineStr">
        <is>
          <t>MAT-ALU-NAN-Z-DAY</t>
        </is>
      </c>
      <c r="F386" t="inlineStr">
        <is>
          <t>kg</t>
        </is>
      </c>
      <c r="G386" s="406" t="n">
        <v>0.4182016321406152</v>
      </c>
      <c r="H386" s="402">
        <f>IFERROR(INDEX('00_TONG_HOP_BAO_GIA'!$G$1:$G$5000, MATCH(B386, '00_TONG_HOP_BAO_GIA'!$B$1:$B$5000, 0)), 1)</f>
        <v/>
      </c>
      <c r="I386" s="407">
        <f>G386*H386</f>
        <v/>
      </c>
      <c r="J386" s="402">
        <f>IFERROR(INDEX('06_BANG_GIA_VAT_TU_AP_DUNG'!$E$1:$E$5000, MATCH(E386, '06_BANG_GIA_VAT_TU_AP_DUNG'!$B$1:$B$5000, 0)), 0)</f>
        <v/>
      </c>
      <c r="K386" s="402">
        <f>I386*J386</f>
        <v/>
      </c>
      <c r="L386" t="inlineStr">
        <is>
          <t>4 nan Z dày @ 0.217kg/m + thanh giằng</t>
        </is>
      </c>
    </row>
    <row r="387">
      <c r="A387" t="inlineStr">
        <is>
          <t>SW-DIFF-210-ACCESSORY</t>
        </is>
      </c>
      <c r="B387" t="inlineStr">
        <is>
          <t>SW-DIFF-210</t>
        </is>
      </c>
      <c r="C387" t="inlineStr">
        <is>
          <t>Phụ kiện lắp ghép / Ke góc cửa gió</t>
        </is>
      </c>
      <c r="D387" t="inlineStr">
        <is>
          <t>PHỤ_KIỆN_CỬA</t>
        </is>
      </c>
      <c r="E387" t="inlineStr">
        <is>
          <t>MAT-DOOR-ACCESSORY</t>
        </is>
      </c>
      <c r="F387" t="inlineStr">
        <is>
          <t>Bộ</t>
        </is>
      </c>
      <c r="G387" s="406" t="n">
        <v>0.8035153797865663</v>
      </c>
      <c r="H387" s="402">
        <f>IFERROR(INDEX('00_TONG_HOP_BAO_GIA'!$G$1:$G$5000, MATCH(B387, '00_TONG_HOP_BAO_GIA'!$B$1:$B$5000, 0)), 1)</f>
        <v/>
      </c>
      <c r="I387" s="407">
        <f>G387*H387</f>
        <v/>
      </c>
      <c r="J387" s="402">
        <f>IFERROR(INDEX('06_BANG_GIA_VAT_TU_AP_DUNG'!$E$1:$E$5000, MATCH(E387, '06_BANG_GIA_VAT_TU_AP_DUNG'!$B$1:$B$5000, 0)), 0)</f>
        <v/>
      </c>
      <c r="K387" s="402">
        <f>I387*J387</f>
        <v/>
      </c>
      <c r="L387" t="inlineStr">
        <is>
          <t>Ke góc và vít ghép khung Louver</t>
        </is>
      </c>
    </row>
    <row r="388">
      <c r="A388" t="inlineStr">
        <is>
          <t>SW-DIFF-210-PAINT</t>
        </is>
      </c>
      <c r="B388" t="inlineStr">
        <is>
          <t>SW-DIFF-210</t>
        </is>
      </c>
      <c r="C388" t="inlineStr">
        <is>
          <t>Sơn tĩnh điện tiêu chuẩn Polyester</t>
        </is>
      </c>
      <c r="D388" t="inlineStr">
        <is>
          <t>SƠN_TĨNH_ĐIỆN</t>
        </is>
      </c>
      <c r="E388" t="inlineStr">
        <is>
          <t>MAT-PAINT-POWDER</t>
        </is>
      </c>
      <c r="F388" t="inlineStr">
        <is>
          <t>m2</t>
        </is>
      </c>
      <c r="G388" s="406" t="n">
        <v>0.2233383211550534</v>
      </c>
      <c r="H388" s="402">
        <f>IFERROR(INDEX('00_TONG_HOP_BAO_GIA'!$G$1:$G$5000, MATCH(B388, '00_TONG_HOP_BAO_GIA'!$B$1:$B$5000, 0)), 1)</f>
        <v/>
      </c>
      <c r="I388" s="407">
        <f>G388*H388</f>
        <v/>
      </c>
      <c r="J388" s="402">
        <f>IFERROR(INDEX('06_BANG_GIA_VAT_TU_AP_DUNG'!$E$1:$E$5000, MATCH(E388, '06_BANG_GIA_VAT_TU_AP_DUNG'!$B$1:$B$5000, 0)), 0)</f>
        <v/>
      </c>
      <c r="K388" s="402">
        <f>I388*J388</f>
        <v/>
      </c>
      <c r="L388" t="inlineStr">
        <is>
          <t>Sơn tĩnh điện khung và nan Louver</t>
        </is>
      </c>
    </row>
    <row r="389">
      <c r="A389" t="inlineStr">
        <is>
          <t>SW-DIFF-210-MESH</t>
        </is>
      </c>
      <c r="B389" t="inlineStr">
        <is>
          <t>SW-DIFF-210</t>
        </is>
      </c>
      <c r="C389" t="inlineStr">
        <is>
          <t>Lưới chắn côn trùng Inox 304 (LCCT)</t>
        </is>
      </c>
      <c r="D389" t="inlineStr">
        <is>
          <t>PHỤ_KIỆN_CỬA</t>
        </is>
      </c>
      <c r="E389" t="inlineStr">
        <is>
          <t>MAT-MESH-INOX-304</t>
        </is>
      </c>
      <c r="F389" t="inlineStr">
        <is>
          <t>m2</t>
        </is>
      </c>
      <c r="G389" s="406" t="n">
        <v>0.08035153797865663</v>
      </c>
      <c r="H389" s="402">
        <f>IFERROR(INDEX('00_TONG_HOP_BAO_GIA'!$G$1:$G$5000, MATCH(B389, '00_TONG_HOP_BAO_GIA'!$B$1:$B$5000, 0)), 1)</f>
        <v/>
      </c>
      <c r="I389" s="407">
        <f>G389*H389</f>
        <v/>
      </c>
      <c r="J389" s="402">
        <f>IFERROR(INDEX('06_BANG_GIA_VAT_TU_AP_DUNG'!$E$1:$E$5000, MATCH(E389, '06_BANG_GIA_VAT_TU_AP_DUNG'!$B$1:$B$5000, 0)), 0)</f>
        <v/>
      </c>
      <c r="K389" s="402">
        <f>I389*J389</f>
        <v/>
      </c>
      <c r="L389" t="inlineStr">
        <is>
          <t>Lưới chắn côn trùng cổ 400x200mm</t>
        </is>
      </c>
    </row>
    <row r="390">
      <c r="A390" t="inlineStr">
        <is>
          <t>SW-DIFF-211-FRAME</t>
        </is>
      </c>
      <c r="B390" t="inlineStr">
        <is>
          <t>SW-DIFF-211</t>
        </is>
      </c>
      <c r="C390" t="inlineStr">
        <is>
          <t>Khung nhôm định hình Louver (SWL)</t>
        </is>
      </c>
      <c r="D390" t="inlineStr">
        <is>
          <t>NHÔM_ĐỊNH_HÌNH</t>
        </is>
      </c>
      <c r="E390" t="inlineStr">
        <is>
          <t>MAT-ALU-KHUNG-Z-2-LOP</t>
        </is>
      </c>
      <c r="F390" t="inlineStr">
        <is>
          <t>kg</t>
        </is>
      </c>
      <c r="G390" s="406" t="n">
        <v>0.3009566854990584</v>
      </c>
      <c r="H390" s="402">
        <f>IFERROR(INDEX('00_TONG_HOP_BAO_GIA'!$G$1:$G$5000, MATCH(B390, '00_TONG_HOP_BAO_GIA'!$B$1:$B$5000, 0)), 1)</f>
        <v/>
      </c>
      <c r="I390" s="407">
        <f>G390*H390</f>
        <v/>
      </c>
      <c r="J390" s="402">
        <f>IFERROR(INDEX('06_BANG_GIA_VAT_TU_AP_DUNG'!$E$1:$E$5000, MATCH(E390, '06_BANG_GIA_VAT_TU_AP_DUNG'!$B$1:$B$5000, 0)), 0)</f>
        <v/>
      </c>
      <c r="K390" s="402">
        <f>I390*J390</f>
        <v/>
      </c>
      <c r="L390" t="inlineStr">
        <is>
          <t>Khung Louver phủ bì 350x250mm</t>
        </is>
      </c>
    </row>
    <row r="391">
      <c r="A391" t="inlineStr">
        <is>
          <t>SW-DIFF-211-BLADE</t>
        </is>
      </c>
      <c r="B391" t="inlineStr">
        <is>
          <t>SW-DIFF-211</t>
        </is>
      </c>
      <c r="C391" t="inlineStr">
        <is>
          <t>Nan Z Louver &amp; thanh tăng cứng (4 nan)</t>
        </is>
      </c>
      <c r="D391" t="inlineStr">
        <is>
          <t>NHÔM_ĐỊNH_HÌNH</t>
        </is>
      </c>
      <c r="E391" t="inlineStr">
        <is>
          <t>MAT-ALU-NAN-Z-DAY</t>
        </is>
      </c>
      <c r="F391" t="inlineStr">
        <is>
          <t>kg</t>
        </is>
      </c>
      <c r="G391" s="406" t="n">
        <v>0.3223020715630885</v>
      </c>
      <c r="H391" s="402">
        <f>IFERROR(INDEX('00_TONG_HOP_BAO_GIA'!$G$1:$G$5000, MATCH(B391, '00_TONG_HOP_BAO_GIA'!$B$1:$B$5000, 0)), 1)</f>
        <v/>
      </c>
      <c r="I391" s="407">
        <f>G391*H391</f>
        <v/>
      </c>
      <c r="J391" s="402">
        <f>IFERROR(INDEX('06_BANG_GIA_VAT_TU_AP_DUNG'!$E$1:$E$5000, MATCH(E391, '06_BANG_GIA_VAT_TU_AP_DUNG'!$B$1:$B$5000, 0)), 0)</f>
        <v/>
      </c>
      <c r="K391" s="402">
        <f>I391*J391</f>
        <v/>
      </c>
      <c r="L391" t="inlineStr">
        <is>
          <t>4 nan Z dày @ 0.217kg/m + thanh giằng</t>
        </is>
      </c>
    </row>
    <row r="392">
      <c r="A392" t="inlineStr">
        <is>
          <t>SW-DIFF-211-ACCESSORY</t>
        </is>
      </c>
      <c r="B392" t="inlineStr">
        <is>
          <t>SW-DIFF-211</t>
        </is>
      </c>
      <c r="C392" t="inlineStr">
        <is>
          <t>Phụ kiện lắp ghép / Ke góc cửa gió</t>
        </is>
      </c>
      <c r="D392" t="inlineStr">
        <is>
          <t>PHỤ_KIỆN_CỬA</t>
        </is>
      </c>
      <c r="E392" t="inlineStr">
        <is>
          <t>MAT-DOOR-ACCESSORY</t>
        </is>
      </c>
      <c r="F392" t="inlineStr">
        <is>
          <t>Bộ</t>
        </is>
      </c>
      <c r="G392" s="406" t="n">
        <v>0.8035153797865663</v>
      </c>
      <c r="H392" s="402">
        <f>IFERROR(INDEX('00_TONG_HOP_BAO_GIA'!$G$1:$G$5000, MATCH(B392, '00_TONG_HOP_BAO_GIA'!$B$1:$B$5000, 0)), 1)</f>
        <v/>
      </c>
      <c r="I392" s="407">
        <f>G392*H392</f>
        <v/>
      </c>
      <c r="J392" s="402">
        <f>IFERROR(INDEX('06_BANG_GIA_VAT_TU_AP_DUNG'!$E$1:$E$5000, MATCH(E392, '06_BANG_GIA_VAT_TU_AP_DUNG'!$B$1:$B$5000, 0)), 0)</f>
        <v/>
      </c>
      <c r="K392" s="402">
        <f>I392*J392</f>
        <v/>
      </c>
      <c r="L392" t="inlineStr">
        <is>
          <t>Ke góc và vít ghép khung Louver</t>
        </is>
      </c>
    </row>
    <row r="393">
      <c r="A393" t="inlineStr">
        <is>
          <t>SW-DIFF-211-PAINT</t>
        </is>
      </c>
      <c r="B393" t="inlineStr">
        <is>
          <t>SW-DIFF-211</t>
        </is>
      </c>
      <c r="C393" t="inlineStr">
        <is>
          <t>Sơn tĩnh điện tiêu chuẩn Polyester</t>
        </is>
      </c>
      <c r="D393" t="inlineStr">
        <is>
          <t>SƠN_TĨNH_ĐIỆN</t>
        </is>
      </c>
      <c r="E393" t="inlineStr">
        <is>
          <t>MAT-PAINT-POWDER</t>
        </is>
      </c>
      <c r="F393" t="inlineStr">
        <is>
          <t>m2</t>
        </is>
      </c>
      <c r="G393" s="406" t="n">
        <v>0.1783521466415568</v>
      </c>
      <c r="H393" s="402">
        <f>IFERROR(INDEX('00_TONG_HOP_BAO_GIA'!$G$1:$G$5000, MATCH(B393, '00_TONG_HOP_BAO_GIA'!$B$1:$B$5000, 0)), 1)</f>
        <v/>
      </c>
      <c r="I393" s="407">
        <f>G393*H393</f>
        <v/>
      </c>
      <c r="J393" s="402">
        <f>IFERROR(INDEX('06_BANG_GIA_VAT_TU_AP_DUNG'!$E$1:$E$5000, MATCH(E393, '06_BANG_GIA_VAT_TU_AP_DUNG'!$B$1:$B$5000, 0)), 0)</f>
        <v/>
      </c>
      <c r="K393" s="402">
        <f>I393*J393</f>
        <v/>
      </c>
      <c r="L393" t="inlineStr">
        <is>
          <t>Sơn tĩnh điện khung và nan Louver</t>
        </is>
      </c>
    </row>
    <row r="394">
      <c r="A394" t="inlineStr">
        <is>
          <t>SW-DIFF-211-MESH</t>
        </is>
      </c>
      <c r="B394" t="inlineStr">
        <is>
          <t>SW-DIFF-211</t>
        </is>
      </c>
      <c r="C394" t="inlineStr">
        <is>
          <t>Lưới chắn côn trùng Inox 304 (LCCT)</t>
        </is>
      </c>
      <c r="D394" t="inlineStr">
        <is>
          <t>PHỤ_KIỆN_CỬA</t>
        </is>
      </c>
      <c r="E394" t="inlineStr">
        <is>
          <t>MAT-MESH-INOX-304</t>
        </is>
      </c>
      <c r="F394" t="inlineStr">
        <is>
          <t>m2</t>
        </is>
      </c>
      <c r="G394" s="406" t="n">
        <v>0.06026365348399246</v>
      </c>
      <c r="H394" s="402">
        <f>IFERROR(INDEX('00_TONG_HOP_BAO_GIA'!$G$1:$G$5000, MATCH(B394, '00_TONG_HOP_BAO_GIA'!$B$1:$B$5000, 0)), 1)</f>
        <v/>
      </c>
      <c r="I394" s="407">
        <f>G394*H394</f>
        <v/>
      </c>
      <c r="J394" s="402">
        <f>IFERROR(INDEX('06_BANG_GIA_VAT_TU_AP_DUNG'!$E$1:$E$5000, MATCH(E394, '06_BANG_GIA_VAT_TU_AP_DUNG'!$B$1:$B$5000, 0)), 0)</f>
        <v/>
      </c>
      <c r="K394" s="402">
        <f>I394*J394</f>
        <v/>
      </c>
      <c r="L394" t="inlineStr">
        <is>
          <t>Lưới chắn côn trùng cổ 300x200mm</t>
        </is>
      </c>
    </row>
    <row r="395">
      <c r="A395" t="inlineStr">
        <is>
          <t>SW-DIFF-212-FRAME</t>
        </is>
      </c>
      <c r="B395" t="inlineStr">
        <is>
          <t>SW-DIFF-212</t>
        </is>
      </c>
      <c r="C395" t="inlineStr">
        <is>
          <t>Khung nhôm định hình Louver (SWL)</t>
        </is>
      </c>
      <c r="D395" t="inlineStr">
        <is>
          <t>NHÔM_ĐỊNH_HÌNH</t>
        </is>
      </c>
      <c r="E395" t="inlineStr">
        <is>
          <t>MAT-ALU-KHUNG-Z-2-LOP</t>
        </is>
      </c>
      <c r="F395" t="inlineStr">
        <is>
          <t>kg</t>
        </is>
      </c>
      <c r="G395" s="406" t="n">
        <v>0.9781092278719399</v>
      </c>
      <c r="H395" s="402">
        <f>IFERROR(INDEX('00_TONG_HOP_BAO_GIA'!$G$1:$G$5000, MATCH(B395, '00_TONG_HOP_BAO_GIA'!$B$1:$B$5000, 0)), 1)</f>
        <v/>
      </c>
      <c r="I395" s="407">
        <f>G395*H395</f>
        <v/>
      </c>
      <c r="J395" s="402">
        <f>IFERROR(INDEX('06_BANG_GIA_VAT_TU_AP_DUNG'!$E$1:$E$5000, MATCH(E395, '06_BANG_GIA_VAT_TU_AP_DUNG'!$B$1:$B$5000, 0)), 0)</f>
        <v/>
      </c>
      <c r="K395" s="402">
        <f>I395*J395</f>
        <v/>
      </c>
      <c r="L395" t="inlineStr">
        <is>
          <t>Khung Louver phủ bì 1250x700mm</t>
        </is>
      </c>
    </row>
    <row r="396">
      <c r="A396" t="inlineStr">
        <is>
          <t>SW-DIFF-212-BLADE</t>
        </is>
      </c>
      <c r="B396" t="inlineStr">
        <is>
          <t>SW-DIFF-212</t>
        </is>
      </c>
      <c r="C396" t="inlineStr">
        <is>
          <t>Nan Z Louver &amp; thanh tăng cứng (14 nan)</t>
        </is>
      </c>
      <c r="D396" t="inlineStr">
        <is>
          <t>NHÔM_ĐỊNH_HÌNH</t>
        </is>
      </c>
      <c r="E396" t="inlineStr">
        <is>
          <t>MAT-ALU-NAN-Z-DAY</t>
        </is>
      </c>
      <c r="F396" t="inlineStr">
        <is>
          <t>kg</t>
        </is>
      </c>
      <c r="G396" s="406" t="n">
        <v>4.117958066541118</v>
      </c>
      <c r="H396" s="402">
        <f>IFERROR(INDEX('00_TONG_HOP_BAO_GIA'!$G$1:$G$5000, MATCH(B396, '00_TONG_HOP_BAO_GIA'!$B$1:$B$5000, 0)), 1)</f>
        <v/>
      </c>
      <c r="I396" s="407">
        <f>G396*H396</f>
        <v/>
      </c>
      <c r="J396" s="402">
        <f>IFERROR(INDEX('06_BANG_GIA_VAT_TU_AP_DUNG'!$E$1:$E$5000, MATCH(E396, '06_BANG_GIA_VAT_TU_AP_DUNG'!$B$1:$B$5000, 0)), 0)</f>
        <v/>
      </c>
      <c r="K396" s="402">
        <f>I396*J396</f>
        <v/>
      </c>
      <c r="L396" t="inlineStr">
        <is>
          <t>14 nan Z dày @ 0.217kg/m + thanh giằng</t>
        </is>
      </c>
    </row>
    <row r="397">
      <c r="A397" t="inlineStr">
        <is>
          <t>SW-DIFF-212-ACCESSORY</t>
        </is>
      </c>
      <c r="B397" t="inlineStr">
        <is>
          <t>SW-DIFF-212</t>
        </is>
      </c>
      <c r="C397" t="inlineStr">
        <is>
          <t>Phụ kiện lắp ghép / Ke góc cửa gió</t>
        </is>
      </c>
      <c r="D397" t="inlineStr">
        <is>
          <t>PHỤ_KIỆN_CỬA</t>
        </is>
      </c>
      <c r="E397" t="inlineStr">
        <is>
          <t>MAT-DOOR-ACCESSORY</t>
        </is>
      </c>
      <c r="F397" t="inlineStr">
        <is>
          <t>Bộ</t>
        </is>
      </c>
      <c r="G397" s="406" t="n">
        <v>0.8035153797865663</v>
      </c>
      <c r="H397" s="402">
        <f>IFERROR(INDEX('00_TONG_HOP_BAO_GIA'!$G$1:$G$5000, MATCH(B397, '00_TONG_HOP_BAO_GIA'!$B$1:$B$5000, 0)), 1)</f>
        <v/>
      </c>
      <c r="I397" s="407">
        <f>G397*H397</f>
        <v/>
      </c>
      <c r="J397" s="402">
        <f>IFERROR(INDEX('06_BANG_GIA_VAT_TU_AP_DUNG'!$E$1:$E$5000, MATCH(E397, '06_BANG_GIA_VAT_TU_AP_DUNG'!$B$1:$B$5000, 0)), 0)</f>
        <v/>
      </c>
      <c r="K397" s="402">
        <f>I397*J397</f>
        <v/>
      </c>
      <c r="L397" t="inlineStr">
        <is>
          <t>Ke góc và vít ghép khung Louver</t>
        </is>
      </c>
    </row>
    <row r="398">
      <c r="A398" t="inlineStr">
        <is>
          <t>SW-DIFF-212-PAINT</t>
        </is>
      </c>
      <c r="B398" t="inlineStr">
        <is>
          <t>SW-DIFF-212</t>
        </is>
      </c>
      <c r="C398" t="inlineStr">
        <is>
          <t>Sơn tĩnh điện tiêu chuẩn Polyester</t>
        </is>
      </c>
      <c r="D398" t="inlineStr">
        <is>
          <t>SƠN_TĨNH_ĐIỆN</t>
        </is>
      </c>
      <c r="E398" t="inlineStr">
        <is>
          <t>MAT-PAINT-POWDER</t>
        </is>
      </c>
      <c r="F398" t="inlineStr">
        <is>
          <t>m2</t>
        </is>
      </c>
      <c r="G398" s="406" t="n">
        <v>1.531476385185185</v>
      </c>
      <c r="H398" s="402">
        <f>IFERROR(INDEX('00_TONG_HOP_BAO_GIA'!$G$1:$G$5000, MATCH(B398, '00_TONG_HOP_BAO_GIA'!$B$1:$B$5000, 0)), 1)</f>
        <v/>
      </c>
      <c r="I398" s="407">
        <f>G398*H398</f>
        <v/>
      </c>
      <c r="J398" s="402">
        <f>IFERROR(INDEX('06_BANG_GIA_VAT_TU_AP_DUNG'!$E$1:$E$5000, MATCH(E398, '06_BANG_GIA_VAT_TU_AP_DUNG'!$B$1:$B$5000, 0)), 0)</f>
        <v/>
      </c>
      <c r="K398" s="402">
        <f>I398*J398</f>
        <v/>
      </c>
      <c r="L398" t="inlineStr">
        <is>
          <t>Sơn tĩnh điện khung và nan Louver</t>
        </is>
      </c>
    </row>
    <row r="399">
      <c r="A399" t="inlineStr">
        <is>
          <t>SW-DIFF-212-MESH</t>
        </is>
      </c>
      <c r="B399" t="inlineStr">
        <is>
          <t>SW-DIFF-212</t>
        </is>
      </c>
      <c r="C399" t="inlineStr">
        <is>
          <t>Lưới chắn côn trùng Inox 304 (LCCT)</t>
        </is>
      </c>
      <c r="D399" t="inlineStr">
        <is>
          <t>PHỤ_KIỆN_CỬA</t>
        </is>
      </c>
      <c r="E399" t="inlineStr">
        <is>
          <t>MAT-MESH-INOX-304</t>
        </is>
      </c>
      <c r="F399" t="inlineStr">
        <is>
          <t>m2</t>
        </is>
      </c>
      <c r="G399" s="406" t="n">
        <v>0.7834274952919021</v>
      </c>
      <c r="H399" s="402">
        <f>IFERROR(INDEX('00_TONG_HOP_BAO_GIA'!$G$1:$G$5000, MATCH(B399, '00_TONG_HOP_BAO_GIA'!$B$1:$B$5000, 0)), 1)</f>
        <v/>
      </c>
      <c r="I399" s="407">
        <f>G399*H399</f>
        <v/>
      </c>
      <c r="J399" s="402">
        <f>IFERROR(INDEX('06_BANG_GIA_VAT_TU_AP_DUNG'!$E$1:$E$5000, MATCH(E399, '06_BANG_GIA_VAT_TU_AP_DUNG'!$B$1:$B$5000, 0)), 0)</f>
        <v/>
      </c>
      <c r="K399" s="402">
        <f>I399*J399</f>
        <v/>
      </c>
      <c r="L399" t="inlineStr">
        <is>
          <t>Lưới chắn côn trùng cổ 1200x650mm</t>
        </is>
      </c>
    </row>
    <row r="400">
      <c r="A400" t="inlineStr">
        <is>
          <t>SW-DIFF-230-FRAME</t>
        </is>
      </c>
      <c r="B400" t="inlineStr">
        <is>
          <t>SW-DIFF-230</t>
        </is>
      </c>
      <c r="C400" t="inlineStr">
        <is>
          <t>Khung nhôm cửa khuếch tán (SCD)</t>
        </is>
      </c>
      <c r="D400" t="inlineStr">
        <is>
          <t>NHÔM_ĐỊNH_HÌNH</t>
        </is>
      </c>
      <c r="E400" t="inlineStr">
        <is>
          <t>MAT-ALU-KHUNG-BD</t>
        </is>
      </c>
      <c r="F400" t="inlineStr">
        <is>
          <t>kg</t>
        </is>
      </c>
      <c r="G400" s="406" t="n">
        <v>0.8055141242937853</v>
      </c>
      <c r="H400" s="402">
        <f>IFERROR(INDEX('00_TONG_HOP_BAO_GIA'!$G$1:$G$5000, MATCH(B400, '00_TONG_HOP_BAO_GIA'!$B$1:$B$5000, 0)), 1)</f>
        <v/>
      </c>
      <c r="I400" s="407">
        <f>G400*H400</f>
        <v/>
      </c>
      <c r="J400" s="402">
        <f>IFERROR(INDEX('06_BANG_GIA_VAT_TU_AP_DUNG'!$E$1:$E$5000, MATCH(E400, '06_BANG_GIA_VAT_TU_AP_DUNG'!$B$1:$B$5000, 0)), 0)</f>
        <v/>
      </c>
      <c r="K400" s="402">
        <f>I400*J400</f>
        <v/>
      </c>
      <c r="L400" t="inlineStr">
        <is>
          <t>Khung khuếch tán 600x600mm (cổ 450x450mm)</t>
        </is>
      </c>
    </row>
    <row r="401">
      <c r="A401" t="inlineStr">
        <is>
          <t>SW-DIFF-230-BLADE</t>
        </is>
      </c>
      <c r="B401" t="inlineStr">
        <is>
          <t>SW-DIFF-230</t>
        </is>
      </c>
      <c r="C401" t="inlineStr">
        <is>
          <t>Chao nhôm khuếch tán (5 chao)</t>
        </is>
      </c>
      <c r="D401" t="inlineStr">
        <is>
          <t>NHÔM_ĐỊNH_HÌNH</t>
        </is>
      </c>
      <c r="E401" t="inlineStr">
        <is>
          <t>MAT-ALU-NAN-T</t>
        </is>
      </c>
      <c r="F401" t="inlineStr">
        <is>
          <t>kg</t>
        </is>
      </c>
      <c r="G401" s="406" t="n">
        <v>0.2087256748273698</v>
      </c>
      <c r="H401" s="402">
        <f>IFERROR(INDEX('00_TONG_HOP_BAO_GIA'!$G$1:$G$5000, MATCH(B401, '00_TONG_HOP_BAO_GIA'!$B$1:$B$5000, 0)), 1)</f>
        <v/>
      </c>
      <c r="I401" s="407">
        <f>G401*H401</f>
        <v/>
      </c>
      <c r="J401" s="402">
        <f>IFERROR(INDEX('06_BANG_GIA_VAT_TU_AP_DUNG'!$E$1:$E$5000, MATCH(E401, '06_BANG_GIA_VAT_TU_AP_DUNG'!$B$1:$B$5000, 0)), 0)</f>
        <v/>
      </c>
      <c r="K401" s="402">
        <f>I401*J401</f>
        <v/>
      </c>
      <c r="L401" t="inlineStr">
        <is>
          <t>5 lớp chao khuếch tán</t>
        </is>
      </c>
    </row>
    <row r="402">
      <c r="A402" t="inlineStr">
        <is>
          <t>SW-DIFF-230-ACCESSORY</t>
        </is>
      </c>
      <c r="B402" t="inlineStr">
        <is>
          <t>SW-DIFF-230</t>
        </is>
      </c>
      <c r="C402" t="inlineStr">
        <is>
          <t>Phụ kiện lắp ghép / Ke góc cửa gió</t>
        </is>
      </c>
      <c r="D402" t="inlineStr">
        <is>
          <t>PHỤ_KIỆN_CỬA</t>
        </is>
      </c>
      <c r="E402" t="inlineStr">
        <is>
          <t>MAT-DOOR-ACCESSORY</t>
        </is>
      </c>
      <c r="F402" t="inlineStr">
        <is>
          <t>Bộ</t>
        </is>
      </c>
      <c r="G402" s="406" t="n">
        <v>1.669805398618958</v>
      </c>
      <c r="H402" s="402">
        <f>IFERROR(INDEX('00_TONG_HOP_BAO_GIA'!$G$1:$G$5000, MATCH(B402, '00_TONG_HOP_BAO_GIA'!$B$1:$B$5000, 0)), 1)</f>
        <v/>
      </c>
      <c r="I402" s="407">
        <f>G402*H402</f>
        <v/>
      </c>
      <c r="J402" s="402">
        <f>IFERROR(INDEX('06_BANG_GIA_VAT_TU_AP_DUNG'!$E$1:$E$5000, MATCH(E402, '06_BANG_GIA_VAT_TU_AP_DUNG'!$B$1:$B$5000, 0)), 0)</f>
        <v/>
      </c>
      <c r="K402" s="402">
        <f>I402*J402</f>
        <v/>
      </c>
      <c r="L402" t="inlineStr">
        <is>
          <t>Ke góc và chốt tháo lắp lõi khuếch tán</t>
        </is>
      </c>
    </row>
    <row r="403">
      <c r="A403" t="inlineStr">
        <is>
          <t>SW-DIFF-230-PAINT</t>
        </is>
      </c>
      <c r="B403" t="inlineStr">
        <is>
          <t>SW-DIFF-230</t>
        </is>
      </c>
      <c r="C403" t="inlineStr">
        <is>
          <t>Sơn tĩnh điện tiêu chuẩn Polyester</t>
        </is>
      </c>
      <c r="D403" t="inlineStr">
        <is>
          <t>SƠN_TĨNH_ĐIỆN</t>
        </is>
      </c>
      <c r="E403" t="inlineStr">
        <is>
          <t>MAT-PAINT-POWDER</t>
        </is>
      </c>
      <c r="F403" t="inlineStr">
        <is>
          <t>m2</t>
        </is>
      </c>
      <c r="G403" s="406" t="n">
        <v>0.3123858581293158</v>
      </c>
      <c r="H403" s="402">
        <f>IFERROR(INDEX('00_TONG_HOP_BAO_GIA'!$G$1:$G$5000, MATCH(B403, '00_TONG_HOP_BAO_GIA'!$B$1:$B$5000, 0)), 1)</f>
        <v/>
      </c>
      <c r="I403" s="407">
        <f>G403*H403</f>
        <v/>
      </c>
      <c r="J403" s="402">
        <f>IFERROR(INDEX('06_BANG_GIA_VAT_TU_AP_DUNG'!$E$1:$E$5000, MATCH(E403, '06_BANG_GIA_VAT_TU_AP_DUNG'!$B$1:$B$5000, 0)), 0)</f>
        <v/>
      </c>
      <c r="K403" s="402">
        <f>I403*J403</f>
        <v/>
      </c>
      <c r="L403" t="inlineStr">
        <is>
          <t>Sơn tĩnh điện hoàn thiện</t>
        </is>
      </c>
    </row>
    <row r="404">
      <c r="A404" t="inlineStr">
        <is>
          <t>SW-DIFF-230-OBD-FRAME</t>
        </is>
      </c>
      <c r="B404" t="inlineStr">
        <is>
          <t>SW-DIFF-230</t>
        </is>
      </c>
      <c r="C404" t="inlineStr">
        <is>
          <t>Khung nhôm van OBD gắn cửa (SOBD)</t>
        </is>
      </c>
      <c r="D404" t="inlineStr">
        <is>
          <t>NHÔM_ĐỊNH_HÌNH</t>
        </is>
      </c>
      <c r="E404" t="inlineStr">
        <is>
          <t>MAT-ALU-KHUNG-OBD</t>
        </is>
      </c>
      <c r="F404" t="inlineStr">
        <is>
          <t>kg</t>
        </is>
      </c>
      <c r="G404" s="406" t="n">
        <v>0.2869143126177025</v>
      </c>
      <c r="H404" s="402">
        <f>IFERROR(INDEX('00_TONG_HOP_BAO_GIA'!$G$1:$G$5000, MATCH(B404, '00_TONG_HOP_BAO_GIA'!$B$1:$B$5000, 0)), 1)</f>
        <v/>
      </c>
      <c r="I404" s="407">
        <f>G404*H404</f>
        <v/>
      </c>
      <c r="J404" s="402">
        <f>IFERROR(INDEX('06_BANG_GIA_VAT_TU_AP_DUNG'!$E$1:$E$5000, MATCH(E404, '06_BANG_GIA_VAT_TU_AP_DUNG'!$B$1:$B$5000, 0)), 0)</f>
        <v/>
      </c>
      <c r="K404" s="402">
        <f>I404*J404</f>
        <v/>
      </c>
      <c r="L404" t="inlineStr">
        <is>
          <t>Khung OBD 435x435mm</t>
        </is>
      </c>
    </row>
    <row r="405">
      <c r="A405" t="inlineStr">
        <is>
          <t>SW-DIFF-230-OBD-BLADE</t>
        </is>
      </c>
      <c r="B405" t="inlineStr">
        <is>
          <t>SW-DIFF-230</t>
        </is>
      </c>
      <c r="C405" t="inlineStr">
        <is>
          <t>Nan nhôm &amp; thanh truyền van OBD (SOBD)</t>
        </is>
      </c>
      <c r="D405" t="inlineStr">
        <is>
          <t>NHÔM_ĐỊNH_HÌNH</t>
        </is>
      </c>
      <c r="E405" t="inlineStr">
        <is>
          <t>MAT-ALU-NAN-OBD</t>
        </is>
      </c>
      <c r="F405" t="inlineStr">
        <is>
          <t>kg</t>
        </is>
      </c>
      <c r="G405" s="406" t="n">
        <v>0.539099282015066</v>
      </c>
      <c r="H405" s="402">
        <f>IFERROR(INDEX('00_TONG_HOP_BAO_GIA'!$G$1:$G$5000, MATCH(B405, '00_TONG_HOP_BAO_GIA'!$B$1:$B$5000, 0)), 1)</f>
        <v/>
      </c>
      <c r="I405" s="407">
        <f>G405*H405</f>
        <v/>
      </c>
      <c r="J405" s="402">
        <f>IFERROR(INDEX('06_BANG_GIA_VAT_TU_AP_DUNG'!$E$1:$E$5000, MATCH(E405, '06_BANG_GIA_VAT_TU_AP_DUNG'!$B$1:$B$5000, 0)), 0)</f>
        <v/>
      </c>
      <c r="K405" s="402">
        <f>I405*J405</f>
        <v/>
      </c>
      <c r="L405" t="inlineStr">
        <is>
          <t>Nan OBD đối xứng &amp; thanh liên kết</t>
        </is>
      </c>
    </row>
    <row r="406">
      <c r="A406" t="inlineStr">
        <is>
          <t>SW-DIFF-230-OBD-ACC</t>
        </is>
      </c>
      <c r="B406" t="inlineStr">
        <is>
          <t>SW-DIFF-230</t>
        </is>
      </c>
      <c r="C406" t="inlineStr">
        <is>
          <t>Bánh răng nhựa &amp; phụ kiện van OBD</t>
        </is>
      </c>
      <c r="D406" t="inlineStr">
        <is>
          <t>PHỤ_KIỆN_CỬA</t>
        </is>
      </c>
      <c r="E406" t="inlineStr">
        <is>
          <t>MAT-DOOR-ACCESSORY</t>
        </is>
      </c>
      <c r="F406" t="inlineStr">
        <is>
          <t>Bộ</t>
        </is>
      </c>
      <c r="G406" s="406" t="n">
        <v>0.9044779242519357</v>
      </c>
      <c r="H406" s="402">
        <f>IFERROR(INDEX('00_TONG_HOP_BAO_GIA'!$G$1:$G$5000, MATCH(B406, '00_TONG_HOP_BAO_GIA'!$B$1:$B$5000, 0)), 1)</f>
        <v/>
      </c>
      <c r="I406" s="407">
        <f>G406*H406</f>
        <v/>
      </c>
      <c r="J406" s="402">
        <f>IFERROR(INDEX('06_BANG_GIA_VAT_TU_AP_DUNG'!$E$1:$E$5000, MATCH(E406, '06_BANG_GIA_VAT_TU_AP_DUNG'!$B$1:$B$5000, 0)), 0)</f>
        <v/>
      </c>
      <c r="K406" s="402">
        <f>I406*J406</f>
        <v/>
      </c>
      <c r="L406" t="inlineStr">
        <is>
          <t>Cơ cấu bánh răng đóng mở OBD</t>
        </is>
      </c>
    </row>
    <row r="407">
      <c r="A407" t="inlineStr">
        <is>
          <t>SW-DIFF-230-OBD-PAINT</t>
        </is>
      </c>
      <c r="B407" t="inlineStr">
        <is>
          <t>SW-DIFF-230</t>
        </is>
      </c>
      <c r="C407" t="inlineStr">
        <is>
          <t>Sơn tĩnh điện van OBD</t>
        </is>
      </c>
      <c r="D407" t="inlineStr">
        <is>
          <t>SƠN_TĨNH_ĐIỆN</t>
        </is>
      </c>
      <c r="E407" t="inlineStr">
        <is>
          <t>MAT-PAINT-POWDER</t>
        </is>
      </c>
      <c r="F407" t="inlineStr">
        <is>
          <t>m2</t>
        </is>
      </c>
      <c r="G407" s="406" t="n">
        <v>0.2544121871468927</v>
      </c>
      <c r="H407" s="402">
        <f>IFERROR(INDEX('00_TONG_HOP_BAO_GIA'!$G$1:$G$5000, MATCH(B407, '00_TONG_HOP_BAO_GIA'!$B$1:$B$5000, 0)), 1)</f>
        <v/>
      </c>
      <c r="I407" s="407">
        <f>G407*H407</f>
        <v/>
      </c>
      <c r="J407" s="402">
        <f>IFERROR(INDEX('06_BANG_GIA_VAT_TU_AP_DUNG'!$E$1:$E$5000, MATCH(E407, '06_BANG_GIA_VAT_TU_AP_DUNG'!$B$1:$B$5000, 0)), 0)</f>
        <v/>
      </c>
      <c r="K407" s="402">
        <f>I407*J407</f>
        <v/>
      </c>
      <c r="L407" t="inlineStr">
        <is>
          <t>Sơn tĩnh điện đen/trắng cho OBD</t>
        </is>
      </c>
    </row>
    <row r="408">
      <c r="A408" t="inlineStr">
        <is>
          <t>SW-DIFF-231-FRAME</t>
        </is>
      </c>
      <c r="B408" t="inlineStr">
        <is>
          <t>SW-DIFF-231</t>
        </is>
      </c>
      <c r="C408" t="inlineStr">
        <is>
          <t>Khung nhôm cửa khuếch tán (SCD)</t>
        </is>
      </c>
      <c r="D408" t="inlineStr">
        <is>
          <t>NHÔM_ĐỊNH_HÌNH</t>
        </is>
      </c>
      <c r="E408" t="inlineStr">
        <is>
          <t>MAT-ALU-KHUNG-BD</t>
        </is>
      </c>
      <c r="F408" t="inlineStr">
        <is>
          <t>kg</t>
        </is>
      </c>
      <c r="G408" s="406" t="n">
        <v>0.8055141242937853</v>
      </c>
      <c r="H408" s="402">
        <f>IFERROR(INDEX('00_TONG_HOP_BAO_GIA'!$G$1:$G$5000, MATCH(B408, '00_TONG_HOP_BAO_GIA'!$B$1:$B$5000, 0)), 1)</f>
        <v/>
      </c>
      <c r="I408" s="407">
        <f>G408*H408</f>
        <v/>
      </c>
      <c r="J408" s="402">
        <f>IFERROR(INDEX('06_BANG_GIA_VAT_TU_AP_DUNG'!$E$1:$E$5000, MATCH(E408, '06_BANG_GIA_VAT_TU_AP_DUNG'!$B$1:$B$5000, 0)), 0)</f>
        <v/>
      </c>
      <c r="K408" s="402">
        <f>I408*J408</f>
        <v/>
      </c>
      <c r="L408" t="inlineStr">
        <is>
          <t>Khung khuếch tán 600x600mm (cổ 450x450mm)</t>
        </is>
      </c>
    </row>
    <row r="409">
      <c r="A409" t="inlineStr">
        <is>
          <t>SW-DIFF-231-BLADE</t>
        </is>
      </c>
      <c r="B409" t="inlineStr">
        <is>
          <t>SW-DIFF-231</t>
        </is>
      </c>
      <c r="C409" t="inlineStr">
        <is>
          <t>Chao nhôm khuếch tán (5 chao)</t>
        </is>
      </c>
      <c r="D409" t="inlineStr">
        <is>
          <t>NHÔM_ĐỊNH_HÌNH</t>
        </is>
      </c>
      <c r="E409" t="inlineStr">
        <is>
          <t>MAT-ALU-NAN-T</t>
        </is>
      </c>
      <c r="F409" t="inlineStr">
        <is>
          <t>kg</t>
        </is>
      </c>
      <c r="G409" s="406" t="n">
        <v>0.2087256748273698</v>
      </c>
      <c r="H409" s="402">
        <f>IFERROR(INDEX('00_TONG_HOP_BAO_GIA'!$G$1:$G$5000, MATCH(B409, '00_TONG_HOP_BAO_GIA'!$B$1:$B$5000, 0)), 1)</f>
        <v/>
      </c>
      <c r="I409" s="407">
        <f>G409*H409</f>
        <v/>
      </c>
      <c r="J409" s="402">
        <f>IFERROR(INDEX('06_BANG_GIA_VAT_TU_AP_DUNG'!$E$1:$E$5000, MATCH(E409, '06_BANG_GIA_VAT_TU_AP_DUNG'!$B$1:$B$5000, 0)), 0)</f>
        <v/>
      </c>
      <c r="K409" s="402">
        <f>I409*J409</f>
        <v/>
      </c>
      <c r="L409" t="inlineStr">
        <is>
          <t>5 lớp chao khuếch tán</t>
        </is>
      </c>
    </row>
    <row r="410">
      <c r="A410" t="inlineStr">
        <is>
          <t>SW-DIFF-231-ACCESSORY</t>
        </is>
      </c>
      <c r="B410" t="inlineStr">
        <is>
          <t>SW-DIFF-231</t>
        </is>
      </c>
      <c r="C410" t="inlineStr">
        <is>
          <t>Phụ kiện lắp ghép / Ke góc cửa gió</t>
        </is>
      </c>
      <c r="D410" t="inlineStr">
        <is>
          <t>PHỤ_KIỆN_CỬA</t>
        </is>
      </c>
      <c r="E410" t="inlineStr">
        <is>
          <t>MAT-DOOR-ACCESSORY</t>
        </is>
      </c>
      <c r="F410" t="inlineStr">
        <is>
          <t>Bộ</t>
        </is>
      </c>
      <c r="G410" s="406" t="n">
        <v>1.669805398618958</v>
      </c>
      <c r="H410" s="402">
        <f>IFERROR(INDEX('00_TONG_HOP_BAO_GIA'!$G$1:$G$5000, MATCH(B410, '00_TONG_HOP_BAO_GIA'!$B$1:$B$5000, 0)), 1)</f>
        <v/>
      </c>
      <c r="I410" s="407">
        <f>G410*H410</f>
        <v/>
      </c>
      <c r="J410" s="402">
        <f>IFERROR(INDEX('06_BANG_GIA_VAT_TU_AP_DUNG'!$E$1:$E$5000, MATCH(E410, '06_BANG_GIA_VAT_TU_AP_DUNG'!$B$1:$B$5000, 0)), 0)</f>
        <v/>
      </c>
      <c r="K410" s="402">
        <f>I410*J410</f>
        <v/>
      </c>
      <c r="L410" t="inlineStr">
        <is>
          <t>Ke góc và chốt tháo lắp lõi khuếch tán</t>
        </is>
      </c>
    </row>
    <row r="411">
      <c r="A411" t="inlineStr">
        <is>
          <t>SW-DIFF-231-PAINT</t>
        </is>
      </c>
      <c r="B411" t="inlineStr">
        <is>
          <t>SW-DIFF-231</t>
        </is>
      </c>
      <c r="C411" t="inlineStr">
        <is>
          <t>Sơn tĩnh điện tiêu chuẩn Polyester</t>
        </is>
      </c>
      <c r="D411" t="inlineStr">
        <is>
          <t>SƠN_TĨNH_ĐIỆN</t>
        </is>
      </c>
      <c r="E411" t="inlineStr">
        <is>
          <t>MAT-PAINT-POWDER</t>
        </is>
      </c>
      <c r="F411" t="inlineStr">
        <is>
          <t>m2</t>
        </is>
      </c>
      <c r="G411" s="406" t="n">
        <v>0.3123858581293158</v>
      </c>
      <c r="H411" s="402">
        <f>IFERROR(INDEX('00_TONG_HOP_BAO_GIA'!$G$1:$G$5000, MATCH(B411, '00_TONG_HOP_BAO_GIA'!$B$1:$B$5000, 0)), 1)</f>
        <v/>
      </c>
      <c r="I411" s="407">
        <f>G411*H411</f>
        <v/>
      </c>
      <c r="J411" s="402">
        <f>IFERROR(INDEX('06_BANG_GIA_VAT_TU_AP_DUNG'!$E$1:$E$5000, MATCH(E411, '06_BANG_GIA_VAT_TU_AP_DUNG'!$B$1:$B$5000, 0)), 0)</f>
        <v/>
      </c>
      <c r="K411" s="402">
        <f>I411*J411</f>
        <v/>
      </c>
      <c r="L411" t="inlineStr">
        <is>
          <t>Sơn tĩnh điện hoàn thiện</t>
        </is>
      </c>
    </row>
    <row r="412">
      <c r="A412" t="inlineStr">
        <is>
          <t>SW-DIFF-231-OBD-FRAME</t>
        </is>
      </c>
      <c r="B412" t="inlineStr">
        <is>
          <t>SW-DIFF-231</t>
        </is>
      </c>
      <c r="C412" t="inlineStr">
        <is>
          <t>Khung nhôm van OBD gắn cửa (SOBD)</t>
        </is>
      </c>
      <c r="D412" t="inlineStr">
        <is>
          <t>NHÔM_ĐỊNH_HÌNH</t>
        </is>
      </c>
      <c r="E412" t="inlineStr">
        <is>
          <t>MAT-ALU-KHUNG-OBD</t>
        </is>
      </c>
      <c r="F412" t="inlineStr">
        <is>
          <t>kg</t>
        </is>
      </c>
      <c r="G412" s="406" t="n">
        <v>0.2869143126177025</v>
      </c>
      <c r="H412" s="402">
        <f>IFERROR(INDEX('00_TONG_HOP_BAO_GIA'!$G$1:$G$5000, MATCH(B412, '00_TONG_HOP_BAO_GIA'!$B$1:$B$5000, 0)), 1)</f>
        <v/>
      </c>
      <c r="I412" s="407">
        <f>G412*H412</f>
        <v/>
      </c>
      <c r="J412" s="402">
        <f>IFERROR(INDEX('06_BANG_GIA_VAT_TU_AP_DUNG'!$E$1:$E$5000, MATCH(E412, '06_BANG_GIA_VAT_TU_AP_DUNG'!$B$1:$B$5000, 0)), 0)</f>
        <v/>
      </c>
      <c r="K412" s="402">
        <f>I412*J412</f>
        <v/>
      </c>
      <c r="L412" t="inlineStr">
        <is>
          <t>Khung OBD 435x435mm</t>
        </is>
      </c>
    </row>
    <row r="413">
      <c r="A413" t="inlineStr">
        <is>
          <t>SW-DIFF-231-OBD-BLADE</t>
        </is>
      </c>
      <c r="B413" t="inlineStr">
        <is>
          <t>SW-DIFF-231</t>
        </is>
      </c>
      <c r="C413" t="inlineStr">
        <is>
          <t>Nan nhôm &amp; thanh truyền van OBD (SOBD)</t>
        </is>
      </c>
      <c r="D413" t="inlineStr">
        <is>
          <t>NHÔM_ĐỊNH_HÌNH</t>
        </is>
      </c>
      <c r="E413" t="inlineStr">
        <is>
          <t>MAT-ALU-NAN-OBD</t>
        </is>
      </c>
      <c r="F413" t="inlineStr">
        <is>
          <t>kg</t>
        </is>
      </c>
      <c r="G413" s="406" t="n">
        <v>0.539099282015066</v>
      </c>
      <c r="H413" s="402">
        <f>IFERROR(INDEX('00_TONG_HOP_BAO_GIA'!$G$1:$G$5000, MATCH(B413, '00_TONG_HOP_BAO_GIA'!$B$1:$B$5000, 0)), 1)</f>
        <v/>
      </c>
      <c r="I413" s="407">
        <f>G413*H413</f>
        <v/>
      </c>
      <c r="J413" s="402">
        <f>IFERROR(INDEX('06_BANG_GIA_VAT_TU_AP_DUNG'!$E$1:$E$5000, MATCH(E413, '06_BANG_GIA_VAT_TU_AP_DUNG'!$B$1:$B$5000, 0)), 0)</f>
        <v/>
      </c>
      <c r="K413" s="402">
        <f>I413*J413</f>
        <v/>
      </c>
      <c r="L413" t="inlineStr">
        <is>
          <t>Nan OBD đối xứng &amp; thanh liên kết</t>
        </is>
      </c>
    </row>
    <row r="414">
      <c r="A414" t="inlineStr">
        <is>
          <t>SW-DIFF-231-OBD-ACC</t>
        </is>
      </c>
      <c r="B414" t="inlineStr">
        <is>
          <t>SW-DIFF-231</t>
        </is>
      </c>
      <c r="C414" t="inlineStr">
        <is>
          <t>Bánh răng nhựa &amp; phụ kiện van OBD</t>
        </is>
      </c>
      <c r="D414" t="inlineStr">
        <is>
          <t>PHỤ_KIỆN_CỬA</t>
        </is>
      </c>
      <c r="E414" t="inlineStr">
        <is>
          <t>MAT-DOOR-ACCESSORY</t>
        </is>
      </c>
      <c r="F414" t="inlineStr">
        <is>
          <t>Bộ</t>
        </is>
      </c>
      <c r="G414" s="406" t="n">
        <v>0.9044779242519357</v>
      </c>
      <c r="H414" s="402">
        <f>IFERROR(INDEX('00_TONG_HOP_BAO_GIA'!$G$1:$G$5000, MATCH(B414, '00_TONG_HOP_BAO_GIA'!$B$1:$B$5000, 0)), 1)</f>
        <v/>
      </c>
      <c r="I414" s="407">
        <f>G414*H414</f>
        <v/>
      </c>
      <c r="J414" s="402">
        <f>IFERROR(INDEX('06_BANG_GIA_VAT_TU_AP_DUNG'!$E$1:$E$5000, MATCH(E414, '06_BANG_GIA_VAT_TU_AP_DUNG'!$B$1:$B$5000, 0)), 0)</f>
        <v/>
      </c>
      <c r="K414" s="402">
        <f>I414*J414</f>
        <v/>
      </c>
      <c r="L414" t="inlineStr">
        <is>
          <t>Cơ cấu bánh răng đóng mở OBD</t>
        </is>
      </c>
    </row>
    <row r="415">
      <c r="A415" t="inlineStr">
        <is>
          <t>SW-DIFF-231-OBD-PAINT</t>
        </is>
      </c>
      <c r="B415" t="inlineStr">
        <is>
          <t>SW-DIFF-231</t>
        </is>
      </c>
      <c r="C415" t="inlineStr">
        <is>
          <t>Sơn tĩnh điện van OBD</t>
        </is>
      </c>
      <c r="D415" t="inlineStr">
        <is>
          <t>SƠN_TĨNH_ĐIỆN</t>
        </is>
      </c>
      <c r="E415" t="inlineStr">
        <is>
          <t>MAT-PAINT-POWDER</t>
        </is>
      </c>
      <c r="F415" t="inlineStr">
        <is>
          <t>m2</t>
        </is>
      </c>
      <c r="G415" s="406" t="n">
        <v>0.2544121871468927</v>
      </c>
      <c r="H415" s="402">
        <f>IFERROR(INDEX('00_TONG_HOP_BAO_GIA'!$G$1:$G$5000, MATCH(B415, '00_TONG_HOP_BAO_GIA'!$B$1:$B$5000, 0)), 1)</f>
        <v/>
      </c>
      <c r="I415" s="407">
        <f>G415*H415</f>
        <v/>
      </c>
      <c r="J415" s="402">
        <f>IFERROR(INDEX('06_BANG_GIA_VAT_TU_AP_DUNG'!$E$1:$E$5000, MATCH(E415, '06_BANG_GIA_VAT_TU_AP_DUNG'!$B$1:$B$5000, 0)), 0)</f>
        <v/>
      </c>
      <c r="K415" s="402">
        <f>I415*J415</f>
        <v/>
      </c>
      <c r="L415" t="inlineStr">
        <is>
          <t>Sơn tĩnh điện đen/trắng cho OBD</t>
        </is>
      </c>
    </row>
    <row r="416">
      <c r="A416" t="inlineStr">
        <is>
          <t>SW-DIFF-268-FRAME</t>
        </is>
      </c>
      <c r="B416" t="inlineStr">
        <is>
          <t>SW-DIFF-268</t>
        </is>
      </c>
      <c r="C416" t="inlineStr">
        <is>
          <t>Khung nhôm định hình Linear (SLB)</t>
        </is>
      </c>
      <c r="D416" t="inlineStr">
        <is>
          <t>NHÔM_ĐỊNH_HÌNH</t>
        </is>
      </c>
      <c r="E416" t="inlineStr">
        <is>
          <t>MAT-ALU-KHUNG-BD</t>
        </is>
      </c>
      <c r="F416" t="inlineStr">
        <is>
          <t>kg</t>
        </is>
      </c>
      <c r="G416" s="406" t="n">
        <v>0.4080378217200251</v>
      </c>
      <c r="H416" s="402">
        <f>IFERROR(INDEX('00_TONG_HOP_BAO_GIA'!$G$1:$G$5000, MATCH(B416, '00_TONG_HOP_BAO_GIA'!$B$1:$B$5000, 0)), 1)</f>
        <v/>
      </c>
      <c r="I416" s="407">
        <f>G416*H416</f>
        <v/>
      </c>
      <c r="J416" s="402">
        <f>IFERROR(INDEX('06_BANG_GIA_VAT_TU_AP_DUNG'!$E$1:$E$5000, MATCH(E416, '06_BANG_GIA_VAT_TU_AP_DUNG'!$B$1:$B$5000, 0)), 0)</f>
        <v/>
      </c>
      <c r="K416" s="402">
        <f>I416*J416</f>
        <v/>
      </c>
      <c r="L416" t="inlineStr">
        <is>
          <t>Khung Linear 965x165mm</t>
        </is>
      </c>
    </row>
    <row r="417">
      <c r="A417" t="inlineStr">
        <is>
          <t>SW-DIFF-268-BLADE</t>
        </is>
      </c>
      <c r="B417" t="inlineStr">
        <is>
          <t>SW-DIFF-268</t>
        </is>
      </c>
      <c r="C417" t="inlineStr">
        <is>
          <t>Nan T nhôm định hình &amp; ty suốt (5 nan)</t>
        </is>
      </c>
      <c r="D417" t="inlineStr">
        <is>
          <t>NHÔM_ĐỊNH_HÌNH</t>
        </is>
      </c>
      <c r="E417" t="inlineStr">
        <is>
          <t>MAT-ALU-NAN-T</t>
        </is>
      </c>
      <c r="F417" t="inlineStr">
        <is>
          <t>kg</t>
        </is>
      </c>
      <c r="G417" s="406" t="n">
        <v>0.4701297342540281</v>
      </c>
      <c r="H417" s="402">
        <f>IFERROR(INDEX('00_TONG_HOP_BAO_GIA'!$G$1:$G$5000, MATCH(B417, '00_TONG_HOP_BAO_GIA'!$B$1:$B$5000, 0)), 1)</f>
        <v/>
      </c>
      <c r="I417" s="407">
        <f>G417*H417</f>
        <v/>
      </c>
      <c r="J417" s="402">
        <f>IFERROR(INDEX('06_BANG_GIA_VAT_TU_AP_DUNG'!$E$1:$E$5000, MATCH(E417, '06_BANG_GIA_VAT_TU_AP_DUNG'!$B$1:$B$5000, 0)), 0)</f>
        <v/>
      </c>
      <c r="K417" s="402">
        <f>I417*J417</f>
        <v/>
      </c>
      <c r="L417" t="inlineStr">
        <is>
          <t>5 nan T + 4 suốt liên kết</t>
        </is>
      </c>
    </row>
    <row r="418">
      <c r="A418" t="inlineStr">
        <is>
          <t>SW-DIFF-268-ACCESSORY</t>
        </is>
      </c>
      <c r="B418" t="inlineStr">
        <is>
          <t>SW-DIFF-268</t>
        </is>
      </c>
      <c r="C418" t="inlineStr">
        <is>
          <t>Phụ kiện lắp ghép / Ke góc cửa gió</t>
        </is>
      </c>
      <c r="D418" t="inlineStr">
        <is>
          <t>PHỤ_KIỆN_CỬA</t>
        </is>
      </c>
      <c r="E418" t="inlineStr">
        <is>
          <t>MAT-DOOR-ACCESSORY</t>
        </is>
      </c>
      <c r="F418" t="inlineStr">
        <is>
          <t>Bộ</t>
        </is>
      </c>
      <c r="G418" s="406" t="n">
        <v>0.8349026993094791</v>
      </c>
      <c r="H418" s="402">
        <f>IFERROR(INDEX('00_TONG_HOP_BAO_GIA'!$G$1:$G$5000, MATCH(B418, '00_TONG_HOP_BAO_GIA'!$B$1:$B$5000, 0)), 1)</f>
        <v/>
      </c>
      <c r="I418" s="407">
        <f>G418*H418</f>
        <v/>
      </c>
      <c r="J418" s="402">
        <f>IFERROR(INDEX('06_BANG_GIA_VAT_TU_AP_DUNG'!$E$1:$E$5000, MATCH(E418, '06_BANG_GIA_VAT_TU_AP_DUNG'!$B$1:$B$5000, 0)), 0)</f>
        <v/>
      </c>
      <c r="K418" s="402">
        <f>I418*J418</f>
        <v/>
      </c>
      <c r="L418" t="inlineStr">
        <is>
          <t>Ke góc chìm và vít ghép khung</t>
        </is>
      </c>
    </row>
    <row r="419">
      <c r="A419" t="inlineStr">
        <is>
          <t>SW-DIFF-268-PAINT</t>
        </is>
      </c>
      <c r="B419" t="inlineStr">
        <is>
          <t>SW-DIFF-268</t>
        </is>
      </c>
      <c r="C419" t="inlineStr">
        <is>
          <t>Sơn tĩnh điện tiêu chuẩn Polyester</t>
        </is>
      </c>
      <c r="D419" t="inlineStr">
        <is>
          <t>SƠN_TĨNH_ĐIỆN</t>
        </is>
      </c>
      <c r="E419" t="inlineStr">
        <is>
          <t>MAT-PAINT-POWDER</t>
        </is>
      </c>
      <c r="F419" t="inlineStr">
        <is>
          <t>m2</t>
        </is>
      </c>
      <c r="G419" s="406" t="n">
        <v>0.2413931632140615</v>
      </c>
      <c r="H419" s="402">
        <f>IFERROR(INDEX('00_TONG_HOP_BAO_GIA'!$G$1:$G$5000, MATCH(B419, '00_TONG_HOP_BAO_GIA'!$B$1:$B$5000, 0)), 1)</f>
        <v/>
      </c>
      <c r="I419" s="407">
        <f>G419*H419</f>
        <v/>
      </c>
      <c r="J419" s="402">
        <f>IFERROR(INDEX('06_BANG_GIA_VAT_TU_AP_DUNG'!$E$1:$E$5000, MATCH(E419, '06_BANG_GIA_VAT_TU_AP_DUNG'!$B$1:$B$5000, 0)), 0)</f>
        <v/>
      </c>
      <c r="K419" s="402">
        <f>I419*J419</f>
        <v/>
      </c>
      <c r="L419" t="inlineStr">
        <is>
          <t>Sơn tĩnh điện hoàn thiện (kèm sơn đen lớp 2 nếu có)</t>
        </is>
      </c>
    </row>
    <row r="420">
      <c r="A420" t="inlineStr">
        <is>
          <t>SW-DIFF-269-FRAME</t>
        </is>
      </c>
      <c r="B420" t="inlineStr">
        <is>
          <t>SW-DIFF-269</t>
        </is>
      </c>
      <c r="C420" t="inlineStr">
        <is>
          <t>Khung nhôm định hình Linear (SLB)</t>
        </is>
      </c>
      <c r="D420" t="inlineStr">
        <is>
          <t>NHÔM_ĐỊNH_HÌNH</t>
        </is>
      </c>
      <c r="E420" t="inlineStr">
        <is>
          <t>MAT-ALU-KHUNG-BD</t>
        </is>
      </c>
      <c r="F420" t="inlineStr">
        <is>
          <t>kg</t>
        </is>
      </c>
      <c r="G420" s="406" t="n">
        <v>0.51636644695543</v>
      </c>
      <c r="H420" s="402">
        <f>IFERROR(INDEX('00_TONG_HOP_BAO_GIA'!$G$1:$G$5000, MATCH(B420, '00_TONG_HOP_BAO_GIA'!$B$1:$B$5000, 0)), 1)</f>
        <v/>
      </c>
      <c r="I420" s="407">
        <f>G420*H420</f>
        <v/>
      </c>
      <c r="J420" s="402">
        <f>IFERROR(INDEX('06_BANG_GIA_VAT_TU_AP_DUNG'!$E$1:$E$5000, MATCH(E420, '06_BANG_GIA_VAT_TU_AP_DUNG'!$B$1:$B$5000, 0)), 0)</f>
        <v/>
      </c>
      <c r="K420" s="402">
        <f>I420*J420</f>
        <v/>
      </c>
      <c r="L420" t="inlineStr">
        <is>
          <t>Khung Linear 1265x165mm</t>
        </is>
      </c>
    </row>
    <row r="421">
      <c r="A421" t="inlineStr">
        <is>
          <t>SW-DIFF-269-BLADE</t>
        </is>
      </c>
      <c r="B421" t="inlineStr">
        <is>
          <t>SW-DIFF-269</t>
        </is>
      </c>
      <c r="C421" t="inlineStr">
        <is>
          <t>Nan T nhôm định hình &amp; ty suốt (5 nan)</t>
        </is>
      </c>
      <c r="D421" t="inlineStr">
        <is>
          <t>NHÔM_ĐỊNH_HÌNH</t>
        </is>
      </c>
      <c r="E421" t="inlineStr">
        <is>
          <t>MAT-ALU-NAN-T</t>
        </is>
      </c>
      <c r="F421" t="inlineStr">
        <is>
          <t>kg</t>
        </is>
      </c>
      <c r="G421" s="406" t="n">
        <v>0.6189710190416406</v>
      </c>
      <c r="H421" s="402">
        <f>IFERROR(INDEX('00_TONG_HOP_BAO_GIA'!$G$1:$G$5000, MATCH(B421, '00_TONG_HOP_BAO_GIA'!$B$1:$B$5000, 0)), 1)</f>
        <v/>
      </c>
      <c r="I421" s="407">
        <f>G421*H421</f>
        <v/>
      </c>
      <c r="J421" s="402">
        <f>IFERROR(INDEX('06_BANG_GIA_VAT_TU_AP_DUNG'!$E$1:$E$5000, MATCH(E421, '06_BANG_GIA_VAT_TU_AP_DUNG'!$B$1:$B$5000, 0)), 0)</f>
        <v/>
      </c>
      <c r="K421" s="402">
        <f>I421*J421</f>
        <v/>
      </c>
      <c r="L421" t="inlineStr">
        <is>
          <t>5 nan T + 5 suốt liên kết</t>
        </is>
      </c>
    </row>
    <row r="422">
      <c r="A422" t="inlineStr">
        <is>
          <t>SW-DIFF-269-ACCESSORY</t>
        </is>
      </c>
      <c r="B422" t="inlineStr">
        <is>
          <t>SW-DIFF-269</t>
        </is>
      </c>
      <c r="C422" t="inlineStr">
        <is>
          <t>Phụ kiện lắp ghép / Ke góc cửa gió</t>
        </is>
      </c>
      <c r="D422" t="inlineStr">
        <is>
          <t>PHỤ_KIỆN_CỬA</t>
        </is>
      </c>
      <c r="E422" t="inlineStr">
        <is>
          <t>MAT-DOOR-ACCESSORY</t>
        </is>
      </c>
      <c r="F422" t="inlineStr">
        <is>
          <t>Bộ</t>
        </is>
      </c>
      <c r="G422" s="406" t="n">
        <v>0.8349026993094791</v>
      </c>
      <c r="H422" s="402">
        <f>IFERROR(INDEX('00_TONG_HOP_BAO_GIA'!$G$1:$G$5000, MATCH(B422, '00_TONG_HOP_BAO_GIA'!$B$1:$B$5000, 0)), 1)</f>
        <v/>
      </c>
      <c r="I422" s="407">
        <f>G422*H422</f>
        <v/>
      </c>
      <c r="J422" s="402">
        <f>IFERROR(INDEX('06_BANG_GIA_VAT_TU_AP_DUNG'!$E$1:$E$5000, MATCH(E422, '06_BANG_GIA_VAT_TU_AP_DUNG'!$B$1:$B$5000, 0)), 0)</f>
        <v/>
      </c>
      <c r="K422" s="402">
        <f>I422*J422</f>
        <v/>
      </c>
      <c r="L422" t="inlineStr">
        <is>
          <t>Ke góc chìm và vít ghép khung</t>
        </is>
      </c>
    </row>
    <row r="423">
      <c r="A423" t="inlineStr">
        <is>
          <t>SW-DIFF-269-PAINT</t>
        </is>
      </c>
      <c r="B423" t="inlineStr">
        <is>
          <t>SW-DIFF-269</t>
        </is>
      </c>
      <c r="C423" t="inlineStr">
        <is>
          <t>Sơn tĩnh điện tiêu chuẩn Polyester</t>
        </is>
      </c>
      <c r="D423" t="inlineStr">
        <is>
          <t>SƠN_TĨNH_ĐIỆN</t>
        </is>
      </c>
      <c r="E423" t="inlineStr">
        <is>
          <t>MAT-PAINT-POWDER</t>
        </is>
      </c>
      <c r="F423" t="inlineStr">
        <is>
          <t>m2</t>
        </is>
      </c>
      <c r="G423" s="406" t="n">
        <v>0.3133308844946642</v>
      </c>
      <c r="H423" s="402">
        <f>IFERROR(INDEX('00_TONG_HOP_BAO_GIA'!$G$1:$G$5000, MATCH(B423, '00_TONG_HOP_BAO_GIA'!$B$1:$B$5000, 0)), 1)</f>
        <v/>
      </c>
      <c r="I423" s="407">
        <f>G423*H423</f>
        <v/>
      </c>
      <c r="J423" s="402">
        <f>IFERROR(INDEX('06_BANG_GIA_VAT_TU_AP_DUNG'!$E$1:$E$5000, MATCH(E423, '06_BANG_GIA_VAT_TU_AP_DUNG'!$B$1:$B$5000, 0)), 0)</f>
        <v/>
      </c>
      <c r="K423" s="402">
        <f>I423*J423</f>
        <v/>
      </c>
      <c r="L423" t="inlineStr">
        <is>
          <t>Sơn tĩnh điện hoàn thiện (kèm sơn đen lớp 2 nếu có)</t>
        </is>
      </c>
    </row>
    <row r="424">
      <c r="A424" t="inlineStr">
        <is>
          <t>SW-DIFF-270-FRAME</t>
        </is>
      </c>
      <c r="B424" t="inlineStr">
        <is>
          <t>SW-DIFF-270</t>
        </is>
      </c>
      <c r="C424" t="inlineStr">
        <is>
          <t>Khung nhôm định hình Linear (SLB)</t>
        </is>
      </c>
      <c r="D424" t="inlineStr">
        <is>
          <t>NHÔM_ĐỊNH_HÌNH</t>
        </is>
      </c>
      <c r="E424" t="inlineStr">
        <is>
          <t>MAT-ALU-KHUNG-BD</t>
        </is>
      </c>
      <c r="F424" t="inlineStr">
        <is>
          <t>kg</t>
        </is>
      </c>
      <c r="G424" s="406" t="n">
        <v>0.8052427809165098</v>
      </c>
      <c r="H424" s="402">
        <f>IFERROR(INDEX('00_TONG_HOP_BAO_GIA'!$G$1:$G$5000, MATCH(B424, '00_TONG_HOP_BAO_GIA'!$B$1:$B$5000, 0)), 1)</f>
        <v/>
      </c>
      <c r="I424" s="407">
        <f>G424*H424</f>
        <v/>
      </c>
      <c r="J424" s="402">
        <f>IFERROR(INDEX('06_BANG_GIA_VAT_TU_AP_DUNG'!$E$1:$E$5000, MATCH(E424, '06_BANG_GIA_VAT_TU_AP_DUNG'!$B$1:$B$5000, 0)), 0)</f>
        <v/>
      </c>
      <c r="K424" s="402">
        <f>I424*J424</f>
        <v/>
      </c>
      <c r="L424" t="inlineStr">
        <is>
          <t>Khung Linear 2065x165mm</t>
        </is>
      </c>
    </row>
    <row r="425">
      <c r="A425" t="inlineStr">
        <is>
          <t>SW-DIFF-270-BLADE</t>
        </is>
      </c>
      <c r="B425" t="inlineStr">
        <is>
          <t>SW-DIFF-270</t>
        </is>
      </c>
      <c r="C425" t="inlineStr">
        <is>
          <t>Nan T nhôm định hình &amp; ty suốt (5 nan)</t>
        </is>
      </c>
      <c r="D425" t="inlineStr">
        <is>
          <t>NHÔM_ĐỊNH_HÌNH</t>
        </is>
      </c>
      <c r="E425" t="inlineStr">
        <is>
          <t>MAT-ALU-NAN-T</t>
        </is>
      </c>
      <c r="F425" t="inlineStr">
        <is>
          <t>kg</t>
        </is>
      </c>
      <c r="G425" s="406" t="n">
        <v>1.023749738439004</v>
      </c>
      <c r="H425" s="402">
        <f>IFERROR(INDEX('00_TONG_HOP_BAO_GIA'!$G$1:$G$5000, MATCH(B425, '00_TONG_HOP_BAO_GIA'!$B$1:$B$5000, 0)), 1)</f>
        <v/>
      </c>
      <c r="I425" s="407">
        <f>G425*H425</f>
        <v/>
      </c>
      <c r="J425" s="402">
        <f>IFERROR(INDEX('06_BANG_GIA_VAT_TU_AP_DUNG'!$E$1:$E$5000, MATCH(E425, '06_BANG_GIA_VAT_TU_AP_DUNG'!$B$1:$B$5000, 0)), 0)</f>
        <v/>
      </c>
      <c r="K425" s="402">
        <f>I425*J425</f>
        <v/>
      </c>
      <c r="L425" t="inlineStr">
        <is>
          <t>5 nan T + 8 suốt liên kết</t>
        </is>
      </c>
    </row>
    <row r="426">
      <c r="A426" t="inlineStr">
        <is>
          <t>SW-DIFF-270-ACCESSORY</t>
        </is>
      </c>
      <c r="B426" t="inlineStr">
        <is>
          <t>SW-DIFF-270</t>
        </is>
      </c>
      <c r="C426" t="inlineStr">
        <is>
          <t>Phụ kiện lắp ghép / Ke góc cửa gió</t>
        </is>
      </c>
      <c r="D426" t="inlineStr">
        <is>
          <t>PHỤ_KIỆN_CỬA</t>
        </is>
      </c>
      <c r="E426" t="inlineStr">
        <is>
          <t>MAT-DOOR-ACCESSORY</t>
        </is>
      </c>
      <c r="F426" t="inlineStr">
        <is>
          <t>Bộ</t>
        </is>
      </c>
      <c r="G426" s="406" t="n">
        <v>0.8349026993094791</v>
      </c>
      <c r="H426" s="402">
        <f>IFERROR(INDEX('00_TONG_HOP_BAO_GIA'!$G$1:$G$5000, MATCH(B426, '00_TONG_HOP_BAO_GIA'!$B$1:$B$5000, 0)), 1)</f>
        <v/>
      </c>
      <c r="I426" s="407">
        <f>G426*H426</f>
        <v/>
      </c>
      <c r="J426" s="402">
        <f>IFERROR(INDEX('06_BANG_GIA_VAT_TU_AP_DUNG'!$E$1:$E$5000, MATCH(E426, '06_BANG_GIA_VAT_TU_AP_DUNG'!$B$1:$B$5000, 0)), 0)</f>
        <v/>
      </c>
      <c r="K426" s="402">
        <f>I426*J426</f>
        <v/>
      </c>
      <c r="L426" t="inlineStr">
        <is>
          <t>Ke góc chìm và vít ghép khung</t>
        </is>
      </c>
    </row>
    <row r="427">
      <c r="A427" t="inlineStr">
        <is>
          <t>SW-DIFF-270-PAINT</t>
        </is>
      </c>
      <c r="B427" t="inlineStr">
        <is>
          <t>SW-DIFF-270</t>
        </is>
      </c>
      <c r="C427" t="inlineStr">
        <is>
          <t>Sơn tĩnh điện tiêu chuẩn Polyester</t>
        </is>
      </c>
      <c r="D427" t="inlineStr">
        <is>
          <t>SƠN_TĨNH_ĐIỆN</t>
        </is>
      </c>
      <c r="E427" t="inlineStr">
        <is>
          <t>MAT-PAINT-POWDER</t>
        </is>
      </c>
      <c r="F427" t="inlineStr">
        <is>
          <t>m2</t>
        </is>
      </c>
      <c r="G427" s="406" t="n">
        <v>0.5051648079096045</v>
      </c>
      <c r="H427" s="402">
        <f>IFERROR(INDEX('00_TONG_HOP_BAO_GIA'!$G$1:$G$5000, MATCH(B427, '00_TONG_HOP_BAO_GIA'!$B$1:$B$5000, 0)), 1)</f>
        <v/>
      </c>
      <c r="I427" s="407">
        <f>G427*H427</f>
        <v/>
      </c>
      <c r="J427" s="402">
        <f>IFERROR(INDEX('06_BANG_GIA_VAT_TU_AP_DUNG'!$E$1:$E$5000, MATCH(E427, '06_BANG_GIA_VAT_TU_AP_DUNG'!$B$1:$B$5000, 0)), 0)</f>
        <v/>
      </c>
      <c r="K427" s="402">
        <f>I427*J427</f>
        <v/>
      </c>
      <c r="L427" t="inlineStr">
        <is>
          <t>Sơn tĩnh điện hoàn thiện (kèm sơn đen lớp 2 nếu có)</t>
        </is>
      </c>
    </row>
    <row r="428">
      <c r="A428" t="inlineStr">
        <is>
          <t>SW-DIFF-271-FRAME</t>
        </is>
      </c>
      <c r="B428" t="inlineStr">
        <is>
          <t>SW-DIFF-271</t>
        </is>
      </c>
      <c r="C428" t="inlineStr">
        <is>
          <t>Khung nhôm định hình Linear (SLB)</t>
        </is>
      </c>
      <c r="D428" t="inlineStr">
        <is>
          <t>NHÔM_ĐỊNH_HÌNH</t>
        </is>
      </c>
      <c r="E428" t="inlineStr">
        <is>
          <t>MAT-ALU-KHUNG-BD</t>
        </is>
      </c>
      <c r="F428" t="inlineStr">
        <is>
          <t>kg</t>
        </is>
      </c>
      <c r="G428" s="406" t="n">
        <v>0.6120567325800377</v>
      </c>
      <c r="H428" s="402">
        <f>IFERROR(INDEX('00_TONG_HOP_BAO_GIA'!$G$1:$G$5000, MATCH(B428, '00_TONG_HOP_BAO_GIA'!$B$1:$B$5000, 0)), 1)</f>
        <v/>
      </c>
      <c r="I428" s="407">
        <f>G428*H428</f>
        <v/>
      </c>
      <c r="J428" s="402">
        <f>IFERROR(INDEX('06_BANG_GIA_VAT_TU_AP_DUNG'!$E$1:$E$5000, MATCH(E428, '06_BANG_GIA_VAT_TU_AP_DUNG'!$B$1:$B$5000, 0)), 0)</f>
        <v/>
      </c>
      <c r="K428" s="402">
        <f>I428*J428</f>
        <v/>
      </c>
      <c r="L428" t="inlineStr">
        <is>
          <t>Khung Linear 965x165mm</t>
        </is>
      </c>
    </row>
    <row r="429">
      <c r="A429" t="inlineStr">
        <is>
          <t>SW-DIFF-271-BLADE</t>
        </is>
      </c>
      <c r="B429" t="inlineStr">
        <is>
          <t>SW-DIFF-271</t>
        </is>
      </c>
      <c r="C429" t="inlineStr">
        <is>
          <t>Nan T nhôm định hình &amp; ty suốt (5 nan)</t>
        </is>
      </c>
      <c r="D429" t="inlineStr">
        <is>
          <t>NHÔM_ĐỊNH_HÌNH</t>
        </is>
      </c>
      <c r="E429" t="inlineStr">
        <is>
          <t>MAT-ALU-NAN-T</t>
        </is>
      </c>
      <c r="F429" t="inlineStr">
        <is>
          <t>kg</t>
        </is>
      </c>
      <c r="G429" s="406" t="n">
        <v>0.7051946013810422</v>
      </c>
      <c r="H429" s="402">
        <f>IFERROR(INDEX('00_TONG_HOP_BAO_GIA'!$G$1:$G$5000, MATCH(B429, '00_TONG_HOP_BAO_GIA'!$B$1:$B$5000, 0)), 1)</f>
        <v/>
      </c>
      <c r="I429" s="407">
        <f>G429*H429</f>
        <v/>
      </c>
      <c r="J429" s="402">
        <f>IFERROR(INDEX('06_BANG_GIA_VAT_TU_AP_DUNG'!$E$1:$E$5000, MATCH(E429, '06_BANG_GIA_VAT_TU_AP_DUNG'!$B$1:$B$5000, 0)), 0)</f>
        <v/>
      </c>
      <c r="K429" s="402">
        <f>I429*J429</f>
        <v/>
      </c>
      <c r="L429" t="inlineStr">
        <is>
          <t>5 nan T + 4 suốt liên kết</t>
        </is>
      </c>
    </row>
    <row r="430">
      <c r="A430" t="inlineStr">
        <is>
          <t>SW-DIFF-271-ACCESSORY</t>
        </is>
      </c>
      <c r="B430" t="inlineStr">
        <is>
          <t>SW-DIFF-271</t>
        </is>
      </c>
      <c r="C430" t="inlineStr">
        <is>
          <t>Phụ kiện lắp ghép / Ke góc cửa gió</t>
        </is>
      </c>
      <c r="D430" t="inlineStr">
        <is>
          <t>PHỤ_KIỆN_CỬA</t>
        </is>
      </c>
      <c r="E430" t="inlineStr">
        <is>
          <t>MAT-DOOR-ACCESSORY</t>
        </is>
      </c>
      <c r="F430" t="inlineStr">
        <is>
          <t>Bộ</t>
        </is>
      </c>
      <c r="G430" s="406" t="n">
        <v>1.252354048964219</v>
      </c>
      <c r="H430" s="402">
        <f>IFERROR(INDEX('00_TONG_HOP_BAO_GIA'!$G$1:$G$5000, MATCH(B430, '00_TONG_HOP_BAO_GIA'!$B$1:$B$5000, 0)), 1)</f>
        <v/>
      </c>
      <c r="I430" s="407">
        <f>G430*H430</f>
        <v/>
      </c>
      <c r="J430" s="402">
        <f>IFERROR(INDEX('06_BANG_GIA_VAT_TU_AP_DUNG'!$E$1:$E$5000, MATCH(E430, '06_BANG_GIA_VAT_TU_AP_DUNG'!$B$1:$B$5000, 0)), 0)</f>
        <v/>
      </c>
      <c r="K430" s="402">
        <f>I430*J430</f>
        <v/>
      </c>
      <c r="L430" t="inlineStr">
        <is>
          <t>Ke góc chìm và vít ghép khung</t>
        </is>
      </c>
    </row>
    <row r="431">
      <c r="A431" t="inlineStr">
        <is>
          <t>SW-DIFF-271-PAINT</t>
        </is>
      </c>
      <c r="B431" t="inlineStr">
        <is>
          <t>SW-DIFF-271</t>
        </is>
      </c>
      <c r="C431" t="inlineStr">
        <is>
          <t>Sơn tĩnh điện tiêu chuẩn Polyester</t>
        </is>
      </c>
      <c r="D431" t="inlineStr">
        <is>
          <t>SƠN_TĨNH_ĐIỆN</t>
        </is>
      </c>
      <c r="E431" t="inlineStr">
        <is>
          <t>MAT-PAINT-POWDER</t>
        </is>
      </c>
      <c r="F431" t="inlineStr">
        <is>
          <t>m2</t>
        </is>
      </c>
      <c r="G431" s="406" t="n">
        <v>0.3620897448210923</v>
      </c>
      <c r="H431" s="402">
        <f>IFERROR(INDEX('00_TONG_HOP_BAO_GIA'!$G$1:$G$5000, MATCH(B431, '00_TONG_HOP_BAO_GIA'!$B$1:$B$5000, 0)), 1)</f>
        <v/>
      </c>
      <c r="I431" s="407">
        <f>G431*H431</f>
        <v/>
      </c>
      <c r="J431" s="402">
        <f>IFERROR(INDEX('06_BANG_GIA_VAT_TU_AP_DUNG'!$E$1:$E$5000, MATCH(E431, '06_BANG_GIA_VAT_TU_AP_DUNG'!$B$1:$B$5000, 0)), 0)</f>
        <v/>
      </c>
      <c r="K431" s="402">
        <f>I431*J431</f>
        <v/>
      </c>
      <c r="L431" t="inlineStr">
        <is>
          <t>Sơn tĩnh điện hoàn thiện (kèm sơn đen lớp 2 nếu có)</t>
        </is>
      </c>
    </row>
    <row r="432">
      <c r="A432" t="inlineStr">
        <is>
          <t>SW-DIFF-272-FRAME</t>
        </is>
      </c>
      <c r="B432" t="inlineStr">
        <is>
          <t>SW-DIFF-272</t>
        </is>
      </c>
      <c r="C432" t="inlineStr">
        <is>
          <t>Khung nhôm định hình Linear (SLB)</t>
        </is>
      </c>
      <c r="D432" t="inlineStr">
        <is>
          <t>NHÔM_ĐỊNH_HÌNH</t>
        </is>
      </c>
      <c r="E432" t="inlineStr">
        <is>
          <t>MAT-ALU-KHUNG-BD</t>
        </is>
      </c>
      <c r="F432" t="inlineStr">
        <is>
          <t>kg</t>
        </is>
      </c>
      <c r="G432" s="406" t="n">
        <v>0.774549670433145</v>
      </c>
      <c r="H432" s="402">
        <f>IFERROR(INDEX('00_TONG_HOP_BAO_GIA'!$G$1:$G$5000, MATCH(B432, '00_TONG_HOP_BAO_GIA'!$B$1:$B$5000, 0)), 1)</f>
        <v/>
      </c>
      <c r="I432" s="407">
        <f>G432*H432</f>
        <v/>
      </c>
      <c r="J432" s="402">
        <f>IFERROR(INDEX('06_BANG_GIA_VAT_TU_AP_DUNG'!$E$1:$E$5000, MATCH(E432, '06_BANG_GIA_VAT_TU_AP_DUNG'!$B$1:$B$5000, 0)), 0)</f>
        <v/>
      </c>
      <c r="K432" s="402">
        <f>I432*J432</f>
        <v/>
      </c>
      <c r="L432" t="inlineStr">
        <is>
          <t>Khung Linear 1265x165mm</t>
        </is>
      </c>
    </row>
    <row r="433">
      <c r="A433" t="inlineStr">
        <is>
          <t>SW-DIFF-272-BLADE</t>
        </is>
      </c>
      <c r="B433" t="inlineStr">
        <is>
          <t>SW-DIFF-272</t>
        </is>
      </c>
      <c r="C433" t="inlineStr">
        <is>
          <t>Nan T nhôm định hình &amp; ty suốt (5 nan)</t>
        </is>
      </c>
      <c r="D433" t="inlineStr">
        <is>
          <t>NHÔM_ĐỊNH_HÌNH</t>
        </is>
      </c>
      <c r="E433" t="inlineStr">
        <is>
          <t>MAT-ALU-NAN-T</t>
        </is>
      </c>
      <c r="F433" t="inlineStr">
        <is>
          <t>kg</t>
        </is>
      </c>
      <c r="G433" s="406" t="n">
        <v>0.928456528562461</v>
      </c>
      <c r="H433" s="402">
        <f>IFERROR(INDEX('00_TONG_HOP_BAO_GIA'!$G$1:$G$5000, MATCH(B433, '00_TONG_HOP_BAO_GIA'!$B$1:$B$5000, 0)), 1)</f>
        <v/>
      </c>
      <c r="I433" s="407">
        <f>G433*H433</f>
        <v/>
      </c>
      <c r="J433" s="402">
        <f>IFERROR(INDEX('06_BANG_GIA_VAT_TU_AP_DUNG'!$E$1:$E$5000, MATCH(E433, '06_BANG_GIA_VAT_TU_AP_DUNG'!$B$1:$B$5000, 0)), 0)</f>
        <v/>
      </c>
      <c r="K433" s="402">
        <f>I433*J433</f>
        <v/>
      </c>
      <c r="L433" t="inlineStr">
        <is>
          <t>5 nan T + 5 suốt liên kết</t>
        </is>
      </c>
    </row>
    <row r="434">
      <c r="A434" t="inlineStr">
        <is>
          <t>SW-DIFF-272-ACCESSORY</t>
        </is>
      </c>
      <c r="B434" t="inlineStr">
        <is>
          <t>SW-DIFF-272</t>
        </is>
      </c>
      <c r="C434" t="inlineStr">
        <is>
          <t>Phụ kiện lắp ghép / Ke góc cửa gió</t>
        </is>
      </c>
      <c r="D434" t="inlineStr">
        <is>
          <t>PHỤ_KIỆN_CỬA</t>
        </is>
      </c>
      <c r="E434" t="inlineStr">
        <is>
          <t>MAT-DOOR-ACCESSORY</t>
        </is>
      </c>
      <c r="F434" t="inlineStr">
        <is>
          <t>Bộ</t>
        </is>
      </c>
      <c r="G434" s="406" t="n">
        <v>1.252354048964219</v>
      </c>
      <c r="H434" s="402">
        <f>IFERROR(INDEX('00_TONG_HOP_BAO_GIA'!$G$1:$G$5000, MATCH(B434, '00_TONG_HOP_BAO_GIA'!$B$1:$B$5000, 0)), 1)</f>
        <v/>
      </c>
      <c r="I434" s="407">
        <f>G434*H434</f>
        <v/>
      </c>
      <c r="J434" s="402">
        <f>IFERROR(INDEX('06_BANG_GIA_VAT_TU_AP_DUNG'!$E$1:$E$5000, MATCH(E434, '06_BANG_GIA_VAT_TU_AP_DUNG'!$B$1:$B$5000, 0)), 0)</f>
        <v/>
      </c>
      <c r="K434" s="402">
        <f>I434*J434</f>
        <v/>
      </c>
      <c r="L434" t="inlineStr">
        <is>
          <t>Ke góc chìm và vít ghép khung</t>
        </is>
      </c>
    </row>
    <row r="435">
      <c r="A435" t="inlineStr">
        <is>
          <t>SW-DIFF-272-PAINT</t>
        </is>
      </c>
      <c r="B435" t="inlineStr">
        <is>
          <t>SW-DIFF-272</t>
        </is>
      </c>
      <c r="C435" t="inlineStr">
        <is>
          <t>Sơn tĩnh điện tiêu chuẩn Polyester</t>
        </is>
      </c>
      <c r="D435" t="inlineStr">
        <is>
          <t>SƠN_TĨNH_ĐIỆN</t>
        </is>
      </c>
      <c r="E435" t="inlineStr">
        <is>
          <t>MAT-PAINT-POWDER</t>
        </is>
      </c>
      <c r="F435" t="inlineStr">
        <is>
          <t>m2</t>
        </is>
      </c>
      <c r="G435" s="406" t="n">
        <v>0.4699963267419963</v>
      </c>
      <c r="H435" s="402">
        <f>IFERROR(INDEX('00_TONG_HOP_BAO_GIA'!$G$1:$G$5000, MATCH(B435, '00_TONG_HOP_BAO_GIA'!$B$1:$B$5000, 0)), 1)</f>
        <v/>
      </c>
      <c r="I435" s="407">
        <f>G435*H435</f>
        <v/>
      </c>
      <c r="J435" s="402">
        <f>IFERROR(INDEX('06_BANG_GIA_VAT_TU_AP_DUNG'!$E$1:$E$5000, MATCH(E435, '06_BANG_GIA_VAT_TU_AP_DUNG'!$B$1:$B$5000, 0)), 0)</f>
        <v/>
      </c>
      <c r="K435" s="402">
        <f>I435*J435</f>
        <v/>
      </c>
      <c r="L435" t="inlineStr">
        <is>
          <t>Sơn tĩnh điện hoàn thiện (kèm sơn đen lớp 2 nếu có)</t>
        </is>
      </c>
    </row>
    <row r="436">
      <c r="A436" t="inlineStr">
        <is>
          <t>SW-DIFF-273-FRAME</t>
        </is>
      </c>
      <c r="B436" t="inlineStr">
        <is>
          <t>SW-DIFF-273</t>
        </is>
      </c>
      <c r="C436" t="inlineStr">
        <is>
          <t>Khung nhôm định hình Linear (SLB)</t>
        </is>
      </c>
      <c r="D436" t="inlineStr">
        <is>
          <t>NHÔM_ĐỊNH_HÌNH</t>
        </is>
      </c>
      <c r="E436" t="inlineStr">
        <is>
          <t>MAT-ALU-KHUNG-BD</t>
        </is>
      </c>
      <c r="F436" t="inlineStr">
        <is>
          <t>kg</t>
        </is>
      </c>
      <c r="G436" s="406" t="n">
        <v>0.8828782956685501</v>
      </c>
      <c r="H436" s="402">
        <f>IFERROR(INDEX('00_TONG_HOP_BAO_GIA'!$G$1:$G$5000, MATCH(B436, '00_TONG_HOP_BAO_GIA'!$B$1:$B$5000, 0)), 1)</f>
        <v/>
      </c>
      <c r="I436" s="407">
        <f>G436*H436</f>
        <v/>
      </c>
      <c r="J436" s="402">
        <f>IFERROR(INDEX('06_BANG_GIA_VAT_TU_AP_DUNG'!$E$1:$E$5000, MATCH(E436, '06_BANG_GIA_VAT_TU_AP_DUNG'!$B$1:$B$5000, 0)), 0)</f>
        <v/>
      </c>
      <c r="K436" s="402">
        <f>I436*J436</f>
        <v/>
      </c>
      <c r="L436" t="inlineStr">
        <is>
          <t>Khung Linear 1465x165mm</t>
        </is>
      </c>
    </row>
    <row r="437">
      <c r="A437" t="inlineStr">
        <is>
          <t>SW-DIFF-273-BLADE</t>
        </is>
      </c>
      <c r="B437" t="inlineStr">
        <is>
          <t>SW-DIFF-273</t>
        </is>
      </c>
      <c r="C437" t="inlineStr">
        <is>
          <t>Nan T nhôm định hình &amp; ty suốt (5 nan)</t>
        </is>
      </c>
      <c r="D437" t="inlineStr">
        <is>
          <t>NHÔM_ĐỊNH_HÌNH</t>
        </is>
      </c>
      <c r="E437" t="inlineStr">
        <is>
          <t>MAT-ALU-NAN-T</t>
        </is>
      </c>
      <c r="F437" t="inlineStr">
        <is>
          <t>kg</t>
        </is>
      </c>
      <c r="G437" s="406" t="n">
        <v>1.089100753295669</v>
      </c>
      <c r="H437" s="402">
        <f>IFERROR(INDEX('00_TONG_HOP_BAO_GIA'!$G$1:$G$5000, MATCH(B437, '00_TONG_HOP_BAO_GIA'!$B$1:$B$5000, 0)), 1)</f>
        <v/>
      </c>
      <c r="I437" s="407">
        <f>G437*H437</f>
        <v/>
      </c>
      <c r="J437" s="402">
        <f>IFERROR(INDEX('06_BANG_GIA_VAT_TU_AP_DUNG'!$E$1:$E$5000, MATCH(E437, '06_BANG_GIA_VAT_TU_AP_DUNG'!$B$1:$B$5000, 0)), 0)</f>
        <v/>
      </c>
      <c r="K437" s="402">
        <f>I437*J437</f>
        <v/>
      </c>
      <c r="L437" t="inlineStr">
        <is>
          <t>5 nan T + 6 suốt liên kết</t>
        </is>
      </c>
    </row>
    <row r="438">
      <c r="A438" t="inlineStr">
        <is>
          <t>SW-DIFF-273-ACCESSORY</t>
        </is>
      </c>
      <c r="B438" t="inlineStr">
        <is>
          <t>SW-DIFF-273</t>
        </is>
      </c>
      <c r="C438" t="inlineStr">
        <is>
          <t>Phụ kiện lắp ghép / Ke góc cửa gió</t>
        </is>
      </c>
      <c r="D438" t="inlineStr">
        <is>
          <t>PHỤ_KIỆN_CỬA</t>
        </is>
      </c>
      <c r="E438" t="inlineStr">
        <is>
          <t>MAT-DOOR-ACCESSORY</t>
        </is>
      </c>
      <c r="F438" t="inlineStr">
        <is>
          <t>Bộ</t>
        </is>
      </c>
      <c r="G438" s="406" t="n">
        <v>1.252354048964219</v>
      </c>
      <c r="H438" s="402">
        <f>IFERROR(INDEX('00_TONG_HOP_BAO_GIA'!$G$1:$G$5000, MATCH(B438, '00_TONG_HOP_BAO_GIA'!$B$1:$B$5000, 0)), 1)</f>
        <v/>
      </c>
      <c r="I438" s="407">
        <f>G438*H438</f>
        <v/>
      </c>
      <c r="J438" s="402">
        <f>IFERROR(INDEX('06_BANG_GIA_VAT_TU_AP_DUNG'!$E$1:$E$5000, MATCH(E438, '06_BANG_GIA_VAT_TU_AP_DUNG'!$B$1:$B$5000, 0)), 0)</f>
        <v/>
      </c>
      <c r="K438" s="402">
        <f>I438*J438</f>
        <v/>
      </c>
      <c r="L438" t="inlineStr">
        <is>
          <t>Ke góc chìm và vít ghép khung</t>
        </is>
      </c>
    </row>
    <row r="439">
      <c r="A439" t="inlineStr">
        <is>
          <t>SW-DIFF-273-PAINT</t>
        </is>
      </c>
      <c r="B439" t="inlineStr">
        <is>
          <t>SW-DIFF-273</t>
        </is>
      </c>
      <c r="C439" t="inlineStr">
        <is>
          <t>Sơn tĩnh điện tiêu chuẩn Polyester</t>
        </is>
      </c>
      <c r="D439" t="inlineStr">
        <is>
          <t>SƠN_TĨNH_ĐIỆN</t>
        </is>
      </c>
      <c r="E439" t="inlineStr">
        <is>
          <t>MAT-PAINT-POWDER</t>
        </is>
      </c>
      <c r="F439" t="inlineStr">
        <is>
          <t>m2</t>
        </is>
      </c>
      <c r="G439" s="406" t="n">
        <v>0.5419340480225989</v>
      </c>
      <c r="H439" s="402">
        <f>IFERROR(INDEX('00_TONG_HOP_BAO_GIA'!$G$1:$G$5000, MATCH(B439, '00_TONG_HOP_BAO_GIA'!$B$1:$B$5000, 0)), 1)</f>
        <v/>
      </c>
      <c r="I439" s="407">
        <f>G439*H439</f>
        <v/>
      </c>
      <c r="J439" s="402">
        <f>IFERROR(INDEX('06_BANG_GIA_VAT_TU_AP_DUNG'!$E$1:$E$5000, MATCH(E439, '06_BANG_GIA_VAT_TU_AP_DUNG'!$B$1:$B$5000, 0)), 0)</f>
        <v/>
      </c>
      <c r="K439" s="402">
        <f>I439*J439</f>
        <v/>
      </c>
      <c r="L439" t="inlineStr">
        <is>
          <t>Sơn tĩnh điện hoàn thiện (kèm sơn đen lớp 2 nếu có)</t>
        </is>
      </c>
    </row>
    <row r="440">
      <c r="A440" t="inlineStr">
        <is>
          <t>SW-DIFF-274-FRAME</t>
        </is>
      </c>
      <c r="B440" t="inlineStr">
        <is>
          <t>SW-DIFF-274</t>
        </is>
      </c>
      <c r="C440" t="inlineStr">
        <is>
          <t>Khung nhôm định hình Linear (SLB)</t>
        </is>
      </c>
      <c r="D440" t="inlineStr">
        <is>
          <t>NHÔM_ĐỊNH_HÌNH</t>
        </is>
      </c>
      <c r="E440" t="inlineStr">
        <is>
          <t>MAT-ALU-KHUNG-BD</t>
        </is>
      </c>
      <c r="F440" t="inlineStr">
        <is>
          <t>kg</t>
        </is>
      </c>
      <c r="G440" s="406" t="n">
        <v>1.207864171374765</v>
      </c>
      <c r="H440" s="402">
        <f>IFERROR(INDEX('00_TONG_HOP_BAO_GIA'!$G$1:$G$5000, MATCH(B440, '00_TONG_HOP_BAO_GIA'!$B$1:$B$5000, 0)), 1)</f>
        <v/>
      </c>
      <c r="I440" s="407">
        <f>G440*H440</f>
        <v/>
      </c>
      <c r="J440" s="402">
        <f>IFERROR(INDEX('06_BANG_GIA_VAT_TU_AP_DUNG'!$E$1:$E$5000, MATCH(E440, '06_BANG_GIA_VAT_TU_AP_DUNG'!$B$1:$B$5000, 0)), 0)</f>
        <v/>
      </c>
      <c r="K440" s="402">
        <f>I440*J440</f>
        <v/>
      </c>
      <c r="L440" t="inlineStr">
        <is>
          <t>Khung Linear 2065x165mm</t>
        </is>
      </c>
    </row>
    <row r="441">
      <c r="A441" t="inlineStr">
        <is>
          <t>SW-DIFF-274-BLADE</t>
        </is>
      </c>
      <c r="B441" t="inlineStr">
        <is>
          <t>SW-DIFF-274</t>
        </is>
      </c>
      <c r="C441" t="inlineStr">
        <is>
          <t>Nan T nhôm định hình &amp; ty suốt (5 nan)</t>
        </is>
      </c>
      <c r="D441" t="inlineStr">
        <is>
          <t>NHÔM_ĐỊNH_HÌNH</t>
        </is>
      </c>
      <c r="E441" t="inlineStr">
        <is>
          <t>MAT-ALU-NAN-T</t>
        </is>
      </c>
      <c r="F441" t="inlineStr">
        <is>
          <t>kg</t>
        </is>
      </c>
      <c r="G441" s="406" t="n">
        <v>1.535624607658506</v>
      </c>
      <c r="H441" s="402">
        <f>IFERROR(INDEX('00_TONG_HOP_BAO_GIA'!$G$1:$G$5000, MATCH(B441, '00_TONG_HOP_BAO_GIA'!$B$1:$B$5000, 0)), 1)</f>
        <v/>
      </c>
      <c r="I441" s="407">
        <f>G441*H441</f>
        <v/>
      </c>
      <c r="J441" s="402">
        <f>IFERROR(INDEX('06_BANG_GIA_VAT_TU_AP_DUNG'!$E$1:$E$5000, MATCH(E441, '06_BANG_GIA_VAT_TU_AP_DUNG'!$B$1:$B$5000, 0)), 0)</f>
        <v/>
      </c>
      <c r="K441" s="402">
        <f>I441*J441</f>
        <v/>
      </c>
      <c r="L441" t="inlineStr">
        <is>
          <t>5 nan T + 8 suốt liên kết</t>
        </is>
      </c>
    </row>
    <row r="442">
      <c r="A442" t="inlineStr">
        <is>
          <t>SW-DIFF-274-ACCESSORY</t>
        </is>
      </c>
      <c r="B442" t="inlineStr">
        <is>
          <t>SW-DIFF-274</t>
        </is>
      </c>
      <c r="C442" t="inlineStr">
        <is>
          <t>Phụ kiện lắp ghép / Ke góc cửa gió</t>
        </is>
      </c>
      <c r="D442" t="inlineStr">
        <is>
          <t>PHỤ_KIỆN_CỬA</t>
        </is>
      </c>
      <c r="E442" t="inlineStr">
        <is>
          <t>MAT-DOOR-ACCESSORY</t>
        </is>
      </c>
      <c r="F442" t="inlineStr">
        <is>
          <t>Bộ</t>
        </is>
      </c>
      <c r="G442" s="406" t="n">
        <v>1.252354048964219</v>
      </c>
      <c r="H442" s="402">
        <f>IFERROR(INDEX('00_TONG_HOP_BAO_GIA'!$G$1:$G$5000, MATCH(B442, '00_TONG_HOP_BAO_GIA'!$B$1:$B$5000, 0)), 1)</f>
        <v/>
      </c>
      <c r="I442" s="407">
        <f>G442*H442</f>
        <v/>
      </c>
      <c r="J442" s="402">
        <f>IFERROR(INDEX('06_BANG_GIA_VAT_TU_AP_DUNG'!$E$1:$E$5000, MATCH(E442, '06_BANG_GIA_VAT_TU_AP_DUNG'!$B$1:$B$5000, 0)), 0)</f>
        <v/>
      </c>
      <c r="K442" s="402">
        <f>I442*J442</f>
        <v/>
      </c>
      <c r="L442" t="inlineStr">
        <is>
          <t>Ke góc chìm và vít ghép khung</t>
        </is>
      </c>
    </row>
    <row r="443">
      <c r="A443" t="inlineStr">
        <is>
          <t>SW-DIFF-274-PAINT</t>
        </is>
      </c>
      <c r="B443" t="inlineStr">
        <is>
          <t>SW-DIFF-274</t>
        </is>
      </c>
      <c r="C443" t="inlineStr">
        <is>
          <t>Sơn tĩnh điện tiêu chuẩn Polyester</t>
        </is>
      </c>
      <c r="D443" t="inlineStr">
        <is>
          <t>SƠN_TĨNH_ĐIỆN</t>
        </is>
      </c>
      <c r="E443" t="inlineStr">
        <is>
          <t>MAT-PAINT-POWDER</t>
        </is>
      </c>
      <c r="F443" t="inlineStr">
        <is>
          <t>m2</t>
        </is>
      </c>
      <c r="G443" s="406" t="n">
        <v>0.7577472118644069</v>
      </c>
      <c r="H443" s="402">
        <f>IFERROR(INDEX('00_TONG_HOP_BAO_GIA'!$G$1:$G$5000, MATCH(B443, '00_TONG_HOP_BAO_GIA'!$B$1:$B$5000, 0)), 1)</f>
        <v/>
      </c>
      <c r="I443" s="407">
        <f>G443*H443</f>
        <v/>
      </c>
      <c r="J443" s="402">
        <f>IFERROR(INDEX('06_BANG_GIA_VAT_TU_AP_DUNG'!$E$1:$E$5000, MATCH(E443, '06_BANG_GIA_VAT_TU_AP_DUNG'!$B$1:$B$5000, 0)), 0)</f>
        <v/>
      </c>
      <c r="K443" s="402">
        <f>I443*J443</f>
        <v/>
      </c>
      <c r="L443" t="inlineStr">
        <is>
          <t>Sơn tĩnh điện hoàn thiện (kèm sơn đen lớp 2 nếu có)</t>
        </is>
      </c>
    </row>
    <row r="444">
      <c r="A444" t="inlineStr">
        <is>
          <t>SW-DIFF-275-FRAME</t>
        </is>
      </c>
      <c r="B444" t="inlineStr">
        <is>
          <t>SW-DIFF-275</t>
        </is>
      </c>
      <c r="C444" t="inlineStr">
        <is>
          <t>Khung nhôm định hình Linear (SLB)</t>
        </is>
      </c>
      <c r="D444" t="inlineStr">
        <is>
          <t>NHÔM_ĐỊNH_HÌNH</t>
        </is>
      </c>
      <c r="E444" t="inlineStr">
        <is>
          <t>MAT-ALU-KHUNG-BD</t>
        </is>
      </c>
      <c r="F444" t="inlineStr">
        <is>
          <t>kg</t>
        </is>
      </c>
      <c r="G444" s="406" t="n">
        <v>2.399479048964219</v>
      </c>
      <c r="H444" s="402">
        <f>IFERROR(INDEX('00_TONG_HOP_BAO_GIA'!$G$1:$G$5000, MATCH(B444, '00_TONG_HOP_BAO_GIA'!$B$1:$B$5000, 0)), 1)</f>
        <v/>
      </c>
      <c r="I444" s="407">
        <f>G444*H444</f>
        <v/>
      </c>
      <c r="J444" s="402">
        <f>IFERROR(INDEX('06_BANG_GIA_VAT_TU_AP_DUNG'!$E$1:$E$5000, MATCH(E444, '06_BANG_GIA_VAT_TU_AP_DUNG'!$B$1:$B$5000, 0)), 0)</f>
        <v/>
      </c>
      <c r="K444" s="402">
        <f>I444*J444</f>
        <v/>
      </c>
      <c r="L444" t="inlineStr">
        <is>
          <t>Khung Linear 4265x165mm</t>
        </is>
      </c>
    </row>
    <row r="445">
      <c r="A445" t="inlineStr">
        <is>
          <t>SW-DIFF-275-BLADE</t>
        </is>
      </c>
      <c r="B445" t="inlineStr">
        <is>
          <t>SW-DIFF-275</t>
        </is>
      </c>
      <c r="C445" t="inlineStr">
        <is>
          <t>Nan T nhôm định hình &amp; ty suốt (5 nan)</t>
        </is>
      </c>
      <c r="D445" t="inlineStr">
        <is>
          <t>NHÔM_ĐỊNH_HÌNH</t>
        </is>
      </c>
      <c r="E445" t="inlineStr">
        <is>
          <t>MAT-ALU-NAN-T</t>
        </is>
      </c>
      <c r="F445" t="inlineStr">
        <is>
          <t>kg</t>
        </is>
      </c>
      <c r="G445" s="406" t="n">
        <v>3.161075800376648</v>
      </c>
      <c r="H445" s="402">
        <f>IFERROR(INDEX('00_TONG_HOP_BAO_GIA'!$G$1:$G$5000, MATCH(B445, '00_TONG_HOP_BAO_GIA'!$B$1:$B$5000, 0)), 1)</f>
        <v/>
      </c>
      <c r="I445" s="407">
        <f>G445*H445</f>
        <v/>
      </c>
      <c r="J445" s="402">
        <f>IFERROR(INDEX('06_BANG_GIA_VAT_TU_AP_DUNG'!$E$1:$E$5000, MATCH(E445, '06_BANG_GIA_VAT_TU_AP_DUNG'!$B$1:$B$5000, 0)), 0)</f>
        <v/>
      </c>
      <c r="K445" s="402">
        <f>I445*J445</f>
        <v/>
      </c>
      <c r="L445" t="inlineStr">
        <is>
          <t>5 nan T + 15 suốt liên kết</t>
        </is>
      </c>
    </row>
    <row r="446">
      <c r="A446" t="inlineStr">
        <is>
          <t>SW-DIFF-275-ACCESSORY</t>
        </is>
      </c>
      <c r="B446" t="inlineStr">
        <is>
          <t>SW-DIFF-275</t>
        </is>
      </c>
      <c r="C446" t="inlineStr">
        <is>
          <t>Phụ kiện lắp ghép / Ke góc cửa gió</t>
        </is>
      </c>
      <c r="D446" t="inlineStr">
        <is>
          <t>PHỤ_KIỆN_CỬA</t>
        </is>
      </c>
      <c r="E446" t="inlineStr">
        <is>
          <t>MAT-DOOR-ACCESSORY</t>
        </is>
      </c>
      <c r="F446" t="inlineStr">
        <is>
          <t>Bộ</t>
        </is>
      </c>
      <c r="G446" s="406" t="n">
        <v>1.252354048964219</v>
      </c>
      <c r="H446" s="402">
        <f>IFERROR(INDEX('00_TONG_HOP_BAO_GIA'!$G$1:$G$5000, MATCH(B446, '00_TONG_HOP_BAO_GIA'!$B$1:$B$5000, 0)), 1)</f>
        <v/>
      </c>
      <c r="I446" s="407">
        <f>G446*H446</f>
        <v/>
      </c>
      <c r="J446" s="402">
        <f>IFERROR(INDEX('06_BANG_GIA_VAT_TU_AP_DUNG'!$E$1:$E$5000, MATCH(E446, '06_BANG_GIA_VAT_TU_AP_DUNG'!$B$1:$B$5000, 0)), 0)</f>
        <v/>
      </c>
      <c r="K446" s="402">
        <f>I446*J446</f>
        <v/>
      </c>
      <c r="L446" t="inlineStr">
        <is>
          <t>Ke góc chìm và vít ghép khung</t>
        </is>
      </c>
    </row>
    <row r="447">
      <c r="A447" t="inlineStr">
        <is>
          <t>SW-DIFF-275-PAINT</t>
        </is>
      </c>
      <c r="B447" t="inlineStr">
        <is>
          <t>SW-DIFF-275</t>
        </is>
      </c>
      <c r="C447" t="inlineStr">
        <is>
          <t>Sơn tĩnh điện tiêu chuẩn Polyester</t>
        </is>
      </c>
      <c r="D447" t="inlineStr">
        <is>
          <t>SƠN_TĨNH_ĐIỆN</t>
        </is>
      </c>
      <c r="E447" t="inlineStr">
        <is>
          <t>MAT-PAINT-POWDER</t>
        </is>
      </c>
      <c r="F447" t="inlineStr">
        <is>
          <t>m2</t>
        </is>
      </c>
      <c r="G447" s="406" t="n">
        <v>1.549062145951036</v>
      </c>
      <c r="H447" s="402">
        <f>IFERROR(INDEX('00_TONG_HOP_BAO_GIA'!$G$1:$G$5000, MATCH(B447, '00_TONG_HOP_BAO_GIA'!$B$1:$B$5000, 0)), 1)</f>
        <v/>
      </c>
      <c r="I447" s="407">
        <f>G447*H447</f>
        <v/>
      </c>
      <c r="J447" s="402">
        <f>IFERROR(INDEX('06_BANG_GIA_VAT_TU_AP_DUNG'!$E$1:$E$5000, MATCH(E447, '06_BANG_GIA_VAT_TU_AP_DUNG'!$B$1:$B$5000, 0)), 0)</f>
        <v/>
      </c>
      <c r="K447" s="402">
        <f>I447*J447</f>
        <v/>
      </c>
      <c r="L447" t="inlineStr">
        <is>
          <t>Sơn tĩnh điện hoàn thiện (kèm sơn đen lớp 2 nếu có)</t>
        </is>
      </c>
    </row>
    <row r="448">
      <c r="A448" t="inlineStr">
        <is>
          <t>SW-DIFF-276-FRAME</t>
        </is>
      </c>
      <c r="B448" t="inlineStr">
        <is>
          <t>SW-DIFF-276</t>
        </is>
      </c>
      <c r="C448" t="inlineStr">
        <is>
          <t>Khung nhôm định hình Linear (SLB)</t>
        </is>
      </c>
      <c r="D448" t="inlineStr">
        <is>
          <t>NHÔM_ĐỊNH_HÌNH</t>
        </is>
      </c>
      <c r="E448" t="inlineStr">
        <is>
          <t>MAT-ALU-KHUNG-BD</t>
        </is>
      </c>
      <c r="F448" t="inlineStr">
        <is>
          <t>kg</t>
        </is>
      </c>
      <c r="G448" s="406" t="n">
        <v>5.089278813559322</v>
      </c>
      <c r="H448" s="402">
        <f>IFERROR(INDEX('00_TONG_HOP_BAO_GIA'!$G$1:$G$5000, MATCH(B448, '00_TONG_HOP_BAO_GIA'!$B$1:$B$5000, 0)), 1)</f>
        <v/>
      </c>
      <c r="I448" s="407">
        <f>G448*H448</f>
        <v/>
      </c>
      <c r="J448" s="402">
        <f>IFERROR(INDEX('06_BANG_GIA_VAT_TU_AP_DUNG'!$E$1:$E$5000, MATCH(E448, '06_BANG_GIA_VAT_TU_AP_DUNG'!$B$1:$B$5000, 0)), 0)</f>
        <v/>
      </c>
      <c r="K448" s="402">
        <f>I448*J448</f>
        <v/>
      </c>
      <c r="L448" t="inlineStr">
        <is>
          <t>Khung Linear 7665x165mm</t>
        </is>
      </c>
    </row>
    <row r="449">
      <c r="A449" t="inlineStr">
        <is>
          <t>SW-DIFF-276-BLADE</t>
        </is>
      </c>
      <c r="B449" t="inlineStr">
        <is>
          <t>SW-DIFF-276</t>
        </is>
      </c>
      <c r="C449" t="inlineStr">
        <is>
          <t>Nan T nhôm định hình &amp; ty suốt (5 nan)</t>
        </is>
      </c>
      <c r="D449" t="inlineStr">
        <is>
          <t>NHÔM_ĐỊNH_HÌNH</t>
        </is>
      </c>
      <c r="E449" t="inlineStr">
        <is>
          <t>MAT-ALU-NAN-T</t>
        </is>
      </c>
      <c r="F449" t="inlineStr">
        <is>
          <t>kg</t>
        </is>
      </c>
      <c r="G449" s="406" t="n">
        <v>6.815489642184558</v>
      </c>
      <c r="H449" s="402">
        <f>IFERROR(INDEX('00_TONG_HOP_BAO_GIA'!$G$1:$G$5000, MATCH(B449, '00_TONG_HOP_BAO_GIA'!$B$1:$B$5000, 0)), 1)</f>
        <v/>
      </c>
      <c r="I449" s="407">
        <f>G449*H449</f>
        <v/>
      </c>
      <c r="J449" s="402">
        <f>IFERROR(INDEX('06_BANG_GIA_VAT_TU_AP_DUNG'!$E$1:$E$5000, MATCH(E449, '06_BANG_GIA_VAT_TU_AP_DUNG'!$B$1:$B$5000, 0)), 0)</f>
        <v/>
      </c>
      <c r="K449" s="402">
        <f>I449*J449</f>
        <v/>
      </c>
      <c r="L449" t="inlineStr">
        <is>
          <t>5 nan T + 26 suốt liên kết</t>
        </is>
      </c>
    </row>
    <row r="450">
      <c r="A450" t="inlineStr">
        <is>
          <t>SW-DIFF-276-ACCESSORY</t>
        </is>
      </c>
      <c r="B450" t="inlineStr">
        <is>
          <t>SW-DIFF-276</t>
        </is>
      </c>
      <c r="C450" t="inlineStr">
        <is>
          <t>Phụ kiện lắp ghép / Ke góc cửa gió</t>
        </is>
      </c>
      <c r="D450" t="inlineStr">
        <is>
          <t>PHỤ_KIỆN_CỬA</t>
        </is>
      </c>
      <c r="E450" t="inlineStr">
        <is>
          <t>MAT-DOOR-ACCESSORY</t>
        </is>
      </c>
      <c r="F450" t="inlineStr">
        <is>
          <t>Bộ</t>
        </is>
      </c>
      <c r="G450" s="406" t="n">
        <v>1.502824858757062</v>
      </c>
      <c r="H450" s="402">
        <f>IFERROR(INDEX('00_TONG_HOP_BAO_GIA'!$G$1:$G$5000, MATCH(B450, '00_TONG_HOP_BAO_GIA'!$B$1:$B$5000, 0)), 1)</f>
        <v/>
      </c>
      <c r="I450" s="407">
        <f>G450*H450</f>
        <v/>
      </c>
      <c r="J450" s="402">
        <f>IFERROR(INDEX('06_BANG_GIA_VAT_TU_AP_DUNG'!$E$1:$E$5000, MATCH(E450, '06_BANG_GIA_VAT_TU_AP_DUNG'!$B$1:$B$5000, 0)), 0)</f>
        <v/>
      </c>
      <c r="K450" s="402">
        <f>I450*J450</f>
        <v/>
      </c>
      <c r="L450" t="inlineStr">
        <is>
          <t>Ke góc chìm và vít ghép khung</t>
        </is>
      </c>
    </row>
    <row r="451">
      <c r="A451" t="inlineStr">
        <is>
          <t>SW-DIFF-276-PAINT</t>
        </is>
      </c>
      <c r="B451" t="inlineStr">
        <is>
          <t>SW-DIFF-276</t>
        </is>
      </c>
      <c r="C451" t="inlineStr">
        <is>
          <t>Sơn tĩnh điện tiêu chuẩn Polyester</t>
        </is>
      </c>
      <c r="D451" t="inlineStr">
        <is>
          <t>SƠN_TĨNH_ĐIỆN</t>
        </is>
      </c>
      <c r="E451" t="inlineStr">
        <is>
          <t>MAT-PAINT-POWDER</t>
        </is>
      </c>
      <c r="F451" t="inlineStr">
        <is>
          <t>m2</t>
        </is>
      </c>
      <c r="G451" s="406" t="n">
        <v>3.326404089265537</v>
      </c>
      <c r="H451" s="402">
        <f>IFERROR(INDEX('00_TONG_HOP_BAO_GIA'!$G$1:$G$5000, MATCH(B451, '00_TONG_HOP_BAO_GIA'!$B$1:$B$5000, 0)), 1)</f>
        <v/>
      </c>
      <c r="I451" s="407">
        <f>G451*H451</f>
        <v/>
      </c>
      <c r="J451" s="402">
        <f>IFERROR(INDEX('06_BANG_GIA_VAT_TU_AP_DUNG'!$E$1:$E$5000, MATCH(E451, '06_BANG_GIA_VAT_TU_AP_DUNG'!$B$1:$B$5000, 0)), 0)</f>
        <v/>
      </c>
      <c r="K451" s="402">
        <f>I451*J451</f>
        <v/>
      </c>
      <c r="L451" t="inlineStr">
        <is>
          <t>Sơn tĩnh điện hoàn thiện (kèm sơn đen lớp 2 nếu có)</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67"/>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1" t="inlineStr">
        <is>
          <t>SUB_KEY</t>
        </is>
      </c>
      <c r="B1" s="401" t="inlineStr">
        <is>
          <t>PARENT_ITEM_ID</t>
        </is>
      </c>
      <c r="C1" s="401" t="inlineStr">
        <is>
          <t>TÊN CẤU KIỆN</t>
        </is>
      </c>
      <c r="D1" s="401" t="inlineStr">
        <is>
          <t>PHÂN LOẠI</t>
        </is>
      </c>
      <c r="E1" s="401" t="inlineStr">
        <is>
          <t>MÃ VẬT TƯ (MAT_ID)</t>
        </is>
      </c>
      <c r="F1" s="401" t="inlineStr">
        <is>
          <t>ĐVT</t>
        </is>
      </c>
      <c r="G1" s="401" t="inlineStr">
        <is>
          <t>ĐỊNH MỨC / 1 SP</t>
        </is>
      </c>
      <c r="H1" s="401" t="inlineStr">
        <is>
          <t>SL DỰ ÁN</t>
        </is>
      </c>
      <c r="I1" s="401" t="inlineStr">
        <is>
          <t>TỔNG NHU CẦU</t>
        </is>
      </c>
      <c r="J1" s="401" t="inlineStr">
        <is>
          <t>ĐƠN GIÁ GỐC</t>
        </is>
      </c>
      <c r="K1" s="401" t="inlineStr">
        <is>
          <t>THÀNH TIỀN (VNĐ)</t>
        </is>
      </c>
      <c r="L1" s="401" t="inlineStr">
        <is>
          <t>GHI CHÚ KỸ THUẬT</t>
        </is>
      </c>
    </row>
    <row r="2">
      <c r="A2" t="inlineStr">
        <is>
          <t>SW-DAMPER-008-BODY</t>
        </is>
      </c>
      <c r="B2" t="inlineStr">
        <is>
          <t>SW-DAMPER-008</t>
        </is>
      </c>
      <c r="C2" t="inlineStr">
        <is>
          <t>Thân vỏ van NRD bích C30/TDF (0.75mm)</t>
        </is>
      </c>
      <c r="D2" t="inlineStr">
        <is>
          <t>TÔN_CUỘN_MẠ_KẼM</t>
        </is>
      </c>
      <c r="E2" t="inlineStr">
        <is>
          <t>MAT-STEEL-PN-0.75</t>
        </is>
      </c>
      <c r="F2" t="inlineStr">
        <is>
          <t>kg</t>
        </is>
      </c>
      <c r="G2" s="406" t="n">
        <v>17.586198</v>
      </c>
      <c r="H2" s="402">
        <f>IFERROR(INDEX('00_TONG_HOP_BAO_GIA'!$G$1:$G$5000, MATCH(B2, '00_TONG_HOP_BAO_GIA'!$B$1:$B$5000, 0)), 1)</f>
        <v/>
      </c>
      <c r="I2" s="407">
        <f>G2*H2</f>
        <v/>
      </c>
      <c r="J2" s="402">
        <f>IFERROR(INDEX('06_BANG_GIA_VAT_TU_AP_DUNG'!$E$1:$E$5000, MATCH(E2, '06_BANG_GIA_VAT_TU_AP_DUNG'!$B$1:$B$5000, 0)), 0)</f>
        <v/>
      </c>
      <c r="K2" s="402">
        <f>I2*J2</f>
        <v/>
      </c>
      <c r="L2" t="inlineStr">
        <is>
          <t>Kích thước vỏ 1250x1250x210mm (4 modul 625x625mm)</t>
        </is>
      </c>
    </row>
    <row r="3">
      <c r="A3" t="inlineStr">
        <is>
          <t>SW-DAMPER-008-BLADE</t>
        </is>
      </c>
      <c r="B3" t="inlineStr">
        <is>
          <t>SW-DAMPER-008</t>
        </is>
      </c>
      <c r="C3" t="inlineStr">
        <is>
          <t>Lá cánh / Tôn tấm bọc van (16 cánh)</t>
        </is>
      </c>
      <c r="D3" t="inlineStr">
        <is>
          <t>TÔN_CUỘN_MẠ_KẼM</t>
        </is>
      </c>
      <c r="E3" t="inlineStr">
        <is>
          <t>MAT-STEEL-PN-0.75</t>
        </is>
      </c>
      <c r="F3" t="inlineStr">
        <is>
          <t>kg</t>
        </is>
      </c>
      <c r="G3" s="406" t="n">
        <v>11.20685625</v>
      </c>
      <c r="H3" s="402">
        <f>IFERROR(INDEX('00_TONG_HOP_BAO_GIA'!$G$1:$G$5000, MATCH(B3, '00_TONG_HOP_BAO_GIA'!$B$1:$B$5000, 0)), 1)</f>
        <v/>
      </c>
      <c r="I3" s="407">
        <f>G3*H3</f>
        <v/>
      </c>
      <c r="J3" s="402">
        <f>IFERROR(INDEX('06_BANG_GIA_VAT_TU_AP_DUNG'!$E$1:$E$5000, MATCH(E3, '06_BANG_GIA_VAT_TU_AP_DUNG'!$B$1:$B$5000, 0)), 0)</f>
        <v/>
      </c>
      <c r="K3" s="402">
        <f>I3*J3</f>
        <v/>
      </c>
      <c r="L3" t="inlineStr">
        <is>
          <t>16 cánh cao 176mm (4 modul 625x625mm)</t>
        </is>
      </c>
    </row>
    <row r="4">
      <c r="A4" t="inlineStr">
        <is>
          <t>SW-DAMPER-008-AXLE</t>
        </is>
      </c>
      <c r="B4" t="inlineStr">
        <is>
          <t>SW-DAMPER-008</t>
        </is>
      </c>
      <c r="C4" t="inlineStr">
        <is>
          <t>Trục Sus 201 D10</t>
        </is>
      </c>
      <c r="D4" t="inlineStr">
        <is>
          <t>PHỤ_KIỆN_VAN</t>
        </is>
      </c>
      <c r="E4" t="inlineStr">
        <is>
          <t>MAT-DAMPER-TRUC-SUS-201-D10</t>
        </is>
      </c>
      <c r="F4" t="inlineStr">
        <is>
          <t>m</t>
        </is>
      </c>
      <c r="G4" s="406" t="n">
        <v>10.96</v>
      </c>
      <c r="H4" s="402">
        <f>IFERROR(INDEX('00_TONG_HOP_BAO_GIA'!$G$1:$G$5000, MATCH(B4, '00_TONG_HOP_BAO_GIA'!$B$1:$B$5000, 0)), 1)</f>
        <v/>
      </c>
      <c r="I4" s="407">
        <f>G4*H4</f>
        <v/>
      </c>
      <c r="J4" s="402">
        <f>IFERROR(INDEX('06_BANG_GIA_VAT_TU_AP_DUNG'!$E$1:$E$5000, MATCH(E4, '06_BANG_GIA_VAT_TU_AP_DUNG'!$B$1:$B$5000, 0)), 0)</f>
        <v/>
      </c>
      <c r="K4" s="402">
        <f>I4*J4</f>
        <v/>
      </c>
      <c r="L4" t="inlineStr">
        <is>
          <t>16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406" t="n">
        <v>16</v>
      </c>
      <c r="H5" s="402">
        <f>IFERROR(INDEX('00_TONG_HOP_BAO_GIA'!$G$1:$G$5000, MATCH(B5, '00_TONG_HOP_BAO_GIA'!$B$1:$B$5000, 0)), 1)</f>
        <v/>
      </c>
      <c r="I5" s="407">
        <f>G5*H5</f>
        <v/>
      </c>
      <c r="J5" s="402">
        <f>IFERROR(INDEX('06_BANG_GIA_VAT_TU_AP_DUNG'!$E$1:$E$5000, MATCH(E5, '06_BANG_GIA_VAT_TU_AP_DUNG'!$B$1:$B$5000, 0)), 0)</f>
        <v/>
      </c>
      <c r="K5" s="402">
        <f>I5*J5</f>
        <v/>
      </c>
      <c r="L5" t="inlineStr">
        <is>
          <t>16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406" t="n">
        <v>4</v>
      </c>
      <c r="H6" s="402">
        <f>IFERROR(INDEX('00_TONG_HOP_BAO_GIA'!$G$1:$G$5000, MATCH(B6, '00_TONG_HOP_BAO_GIA'!$B$1:$B$5000, 0)), 1)</f>
        <v/>
      </c>
      <c r="I6" s="407">
        <f>G6*H6</f>
        <v/>
      </c>
      <c r="J6" s="402">
        <f>IFERROR(INDEX('06_BANG_GIA_VAT_TU_AP_DUNG'!$E$1:$E$5000, MATCH(E6, '06_BANG_GIA_VAT_TU_AP_DUNG'!$B$1:$B$5000, 0)), 0)</f>
        <v/>
      </c>
      <c r="K6" s="402">
        <f>I6*J6</f>
        <v/>
      </c>
      <c r="L6" t="inlineStr">
        <is>
          <t>Cơ cấu liên động cánh (4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406" t="n">
        <v>4</v>
      </c>
      <c r="H7" s="402">
        <f>IFERROR(INDEX('00_TONG_HOP_BAO_GIA'!$G$1:$G$5000, MATCH(B7, '00_TONG_HOP_BAO_GIA'!$B$1:$B$5000, 0)), 1)</f>
        <v/>
      </c>
      <c r="I7" s="407">
        <f>G7*H7</f>
        <v/>
      </c>
      <c r="J7" s="402">
        <f>IFERROR(INDEX('06_BANG_GIA_VAT_TU_AP_DUNG'!$E$1:$E$5000, MATCH(E7, '06_BANG_GIA_VAT_TU_AP_DUNG'!$B$1:$B$5000, 0)), 0)</f>
        <v/>
      </c>
      <c r="K7" s="402">
        <f>I7*J7</f>
        <v/>
      </c>
      <c r="L7" t="inlineStr">
        <is>
          <t>Cơ cấu đóng mở một chiều</t>
        </is>
      </c>
    </row>
    <row r="8">
      <c r="A8" t="inlineStr">
        <is>
          <t>SW-DAMPER-008-FB10-EI</t>
        </is>
      </c>
      <c r="B8" t="inlineStr">
        <is>
          <t>SW-DAMPER-008</t>
        </is>
      </c>
      <c r="C8" t="inlineStr">
        <is>
          <t>Tấm chống cháy dày 10mm bọc thân van NRD (EI60)</t>
        </is>
      </c>
      <c r="D8" t="inlineStr">
        <is>
          <t>VẬT_LIỆU_CÁCH_NHIỆT</t>
        </is>
      </c>
      <c r="E8" t="inlineStr">
        <is>
          <t>MAT-FIREBOARD-10MM-BODY</t>
        </is>
      </c>
      <c r="F8" t="inlineStr">
        <is>
          <t>m2</t>
        </is>
      </c>
      <c r="G8" s="406" t="n">
        <v>2.99</v>
      </c>
      <c r="H8" s="402">
        <f>IFERROR(INDEX('00_TONG_HOP_BAO_GIA'!$G$1:$G$5000, MATCH(B8, '00_TONG_HOP_BAO_GIA'!$B$1:$B$5000, 0)), 1)</f>
        <v/>
      </c>
      <c r="I8" s="407">
        <f>G8*H8</f>
        <v/>
      </c>
      <c r="J8" s="402">
        <f>IFERROR(INDEX('06_BANG_GIA_VAT_TU_AP_DUNG'!$E$1:$E$5000, MATCH(E8, '06_BANG_GIA_VAT_TU_AP_DUNG'!$B$1:$B$5000, 0)), 0)</f>
        <v/>
      </c>
      <c r="K8" s="402">
        <f>I8*J8</f>
        <v/>
      </c>
      <c r="L8" t="inlineStr">
        <is>
          <t>Bọc chống cháy EI60 quanh thân van (4 modul 625x625mm)</t>
        </is>
      </c>
    </row>
    <row r="9">
      <c r="A9" t="inlineStr">
        <is>
          <t>SW-DAMPER-009-BODY</t>
        </is>
      </c>
      <c r="B9" t="inlineStr">
        <is>
          <t>SW-DAMPER-009</t>
        </is>
      </c>
      <c r="C9" t="inlineStr">
        <is>
          <t>Thân vỏ van NRD bích C30/TDF (0.95mm)</t>
        </is>
      </c>
      <c r="D9" t="inlineStr">
        <is>
          <t>TÔN_CUỘN_MẠ_KẼM</t>
        </is>
      </c>
      <c r="E9" t="inlineStr">
        <is>
          <t>MAT-STEEL-PN-0.95</t>
        </is>
      </c>
      <c r="F9" t="inlineStr">
        <is>
          <t>kg</t>
        </is>
      </c>
      <c r="G9" s="406" t="n">
        <v>12.8919294</v>
      </c>
      <c r="H9" s="402">
        <f>IFERROR(INDEX('00_TONG_HOP_BAO_GIA'!$G$1:$G$5000, MATCH(B9, '00_TONG_HOP_BAO_GIA'!$B$1:$B$5000, 0)), 1)</f>
        <v/>
      </c>
      <c r="I9" s="407">
        <f>G9*H9</f>
        <v/>
      </c>
      <c r="J9" s="402">
        <f>IFERROR(INDEX('06_BANG_GIA_VAT_TU_AP_DUNG'!$E$1:$E$5000, MATCH(E9, '06_BANG_GIA_VAT_TU_AP_DUNG'!$B$1:$B$5000, 0)), 0)</f>
        <v/>
      </c>
      <c r="K9" s="402">
        <f>I9*J9</f>
        <v/>
      </c>
      <c r="L9" t="inlineStr">
        <is>
          <t>Kích thước vỏ 1700x600x210mm (2 modul 850x600mm)</t>
        </is>
      </c>
    </row>
    <row r="10">
      <c r="A10" t="inlineStr">
        <is>
          <t>SW-DAMPER-009-BLADE</t>
        </is>
      </c>
      <c r="B10" t="inlineStr">
        <is>
          <t>SW-DAMPER-009</t>
        </is>
      </c>
      <c r="C10" t="inlineStr">
        <is>
          <t>Lá cánh / Tôn tấm bọc van (8 cánh)</t>
        </is>
      </c>
      <c r="D10" t="inlineStr">
        <is>
          <t>TÔN_CUỘN_MẠ_KẼM</t>
        </is>
      </c>
      <c r="E10" t="inlineStr">
        <is>
          <t>MAT-STEEL-PN-0.75</t>
        </is>
      </c>
      <c r="F10" t="inlineStr">
        <is>
          <t>kg</t>
        </is>
      </c>
      <c r="G10" s="406" t="n">
        <v>7.350426000000001</v>
      </c>
      <c r="H10" s="402">
        <f>IFERROR(INDEX('00_TONG_HOP_BAO_GIA'!$G$1:$G$5000, MATCH(B10, '00_TONG_HOP_BAO_GIA'!$B$1:$B$5000, 0)), 1)</f>
        <v/>
      </c>
      <c r="I10" s="407">
        <f>G10*H10</f>
        <v/>
      </c>
      <c r="J10" s="402">
        <f>IFERROR(INDEX('06_BANG_GIA_VAT_TU_AP_DUNG'!$E$1:$E$5000, MATCH(E10, '06_BANG_GIA_VAT_TU_AP_DUNG'!$B$1:$B$5000, 0)), 0)</f>
        <v/>
      </c>
      <c r="K10" s="402">
        <f>I10*J10</f>
        <v/>
      </c>
      <c r="L10" t="inlineStr">
        <is>
          <t>8 cánh cao 170mm (2 modul 850x600mm)</t>
        </is>
      </c>
    </row>
    <row r="11">
      <c r="A11" t="inlineStr">
        <is>
          <t>SW-DAMPER-009-AXLE</t>
        </is>
      </c>
      <c r="B11" t="inlineStr">
        <is>
          <t>SW-DAMPER-009</t>
        </is>
      </c>
      <c r="C11" t="inlineStr">
        <is>
          <t>Trục Sus 201 D10</t>
        </is>
      </c>
      <c r="D11" t="inlineStr">
        <is>
          <t>PHỤ_KIỆN_VAN</t>
        </is>
      </c>
      <c r="E11" t="inlineStr">
        <is>
          <t>MAT-DAMPER-TRUC-SUS-201-D10</t>
        </is>
      </c>
      <c r="F11" t="inlineStr">
        <is>
          <t>m</t>
        </is>
      </c>
      <c r="G11" s="406" t="n">
        <v>7.28</v>
      </c>
      <c r="H11" s="402">
        <f>IFERROR(INDEX('00_TONG_HOP_BAO_GIA'!$G$1:$G$5000, MATCH(B11, '00_TONG_HOP_BAO_GIA'!$B$1:$B$5000, 0)), 1)</f>
        <v/>
      </c>
      <c r="I11" s="407">
        <f>G11*H11</f>
        <v/>
      </c>
      <c r="J11" s="402">
        <f>IFERROR(INDEX('06_BANG_GIA_VAT_TU_AP_DUNG'!$E$1:$E$5000, MATCH(E11, '06_BANG_GIA_VAT_TU_AP_DUNG'!$B$1:$B$5000, 0)), 0)</f>
        <v/>
      </c>
      <c r="K11" s="402">
        <f>I11*J11</f>
        <v/>
      </c>
      <c r="L11" t="inlineStr">
        <is>
          <t>8 trục dài 910mm</t>
        </is>
      </c>
    </row>
    <row r="12">
      <c r="A12" t="inlineStr">
        <is>
          <t>SW-DAMPER-009-BEARING</t>
        </is>
      </c>
      <c r="B12" t="inlineStr">
        <is>
          <t>SW-DAMPER-009</t>
        </is>
      </c>
      <c r="C12" t="inlineStr">
        <is>
          <t>Bạc đồng D10</t>
        </is>
      </c>
      <c r="D12" t="inlineStr">
        <is>
          <t>PHỤ_KIỆN_VAN</t>
        </is>
      </c>
      <c r="E12" t="inlineStr">
        <is>
          <t>MAT-DAMPER-BAC-DONG-D10</t>
        </is>
      </c>
      <c r="F12" t="inlineStr">
        <is>
          <t>Đôi</t>
        </is>
      </c>
      <c r="G12" s="406" t="n">
        <v>8</v>
      </c>
      <c r="H12" s="402">
        <f>IFERROR(INDEX('00_TONG_HOP_BAO_GIA'!$G$1:$G$5000, MATCH(B12, '00_TONG_HOP_BAO_GIA'!$B$1:$B$5000, 0)), 1)</f>
        <v/>
      </c>
      <c r="I12" s="407">
        <f>G12*H12</f>
        <v/>
      </c>
      <c r="J12" s="402">
        <f>IFERROR(INDEX('06_BANG_GIA_VAT_TU_AP_DUNG'!$E$1:$E$5000, MATCH(E12, '06_BANG_GIA_VAT_TU_AP_DUNG'!$B$1:$B$5000, 0)), 0)</f>
        <v/>
      </c>
      <c r="K12" s="402">
        <f>I12*J12</f>
        <v/>
      </c>
      <c r="L12" t="inlineStr">
        <is>
          <t>8 đôi bạc đỡ 2 bên thân</t>
        </is>
      </c>
    </row>
    <row r="13">
      <c r="A13" t="inlineStr">
        <is>
          <t>SW-DAMPER-009-GEAR</t>
        </is>
      </c>
      <c r="B13" t="inlineStr">
        <is>
          <t>SW-DAMPER-009</t>
        </is>
      </c>
      <c r="C13" t="inlineStr">
        <is>
          <t>Bánh răng van nhôm</t>
        </is>
      </c>
      <c r="D13" t="inlineStr">
        <is>
          <t>PHỤ_KIỆN_VAN</t>
        </is>
      </c>
      <c r="E13" t="inlineStr">
        <is>
          <t>MAT-DAMPER-BANH-RANG-VAN-NHOM</t>
        </is>
      </c>
      <c r="F13" t="inlineStr">
        <is>
          <t>Bộ</t>
        </is>
      </c>
      <c r="G13" s="406" t="n">
        <v>2</v>
      </c>
      <c r="H13" s="402">
        <f>IFERROR(INDEX('00_TONG_HOP_BAO_GIA'!$G$1:$G$5000, MATCH(B13, '00_TONG_HOP_BAO_GIA'!$B$1:$B$5000, 0)), 1)</f>
        <v/>
      </c>
      <c r="I13" s="407">
        <f>G13*H13</f>
        <v/>
      </c>
      <c r="J13" s="402">
        <f>IFERROR(INDEX('06_BANG_GIA_VAT_TU_AP_DUNG'!$E$1:$E$5000, MATCH(E13, '06_BANG_GIA_VAT_TU_AP_DUNG'!$B$1:$B$5000, 0)), 0)</f>
        <v/>
      </c>
      <c r="K13" s="402">
        <f>I13*J13</f>
        <v/>
      </c>
      <c r="L13" t="inlineStr">
        <is>
          <t>Cơ cấu liên động cánh (2 bộ)</t>
        </is>
      </c>
    </row>
    <row r="14">
      <c r="A14" t="inlineStr">
        <is>
          <t>SW-DAMPER-009-ECCENTRIC</t>
        </is>
      </c>
      <c r="B14" t="inlineStr">
        <is>
          <t>SW-DAMPER-009</t>
        </is>
      </c>
      <c r="C14" t="inlineStr">
        <is>
          <t>Cơ cấu lệch tâm / Lò xo đóng mở (NRD)</t>
        </is>
      </c>
      <c r="D14" t="inlineStr">
        <is>
          <t>PHỤ_KIỆN_VAN</t>
        </is>
      </c>
      <c r="E14" t="inlineStr">
        <is>
          <t>ECCENTRIC_SHAFT</t>
        </is>
      </c>
      <c r="F14" t="inlineStr">
        <is>
          <t>Bộ</t>
        </is>
      </c>
      <c r="G14" s="406" t="n">
        <v>2</v>
      </c>
      <c r="H14" s="402">
        <f>IFERROR(INDEX('00_TONG_HOP_BAO_GIA'!$G$1:$G$5000, MATCH(B14, '00_TONG_HOP_BAO_GIA'!$B$1:$B$5000, 0)), 1)</f>
        <v/>
      </c>
      <c r="I14" s="407">
        <f>G14*H14</f>
        <v/>
      </c>
      <c r="J14" s="402">
        <f>IFERROR(INDEX('06_BANG_GIA_VAT_TU_AP_DUNG'!$E$1:$E$5000, MATCH(E14, '06_BANG_GIA_VAT_TU_AP_DUNG'!$B$1:$B$5000, 0)), 0)</f>
        <v/>
      </c>
      <c r="K14" s="402">
        <f>I14*J14</f>
        <v/>
      </c>
      <c r="L14" t="inlineStr">
        <is>
          <t>Cơ cấu đóng mở một chiều</t>
        </is>
      </c>
    </row>
    <row r="15">
      <c r="A15" t="inlineStr">
        <is>
          <t>SW-DAMPER-009-FB10-EI</t>
        </is>
      </c>
      <c r="B15" t="inlineStr">
        <is>
          <t>SW-DAMPER-009</t>
        </is>
      </c>
      <c r="C15" t="inlineStr">
        <is>
          <t>Tấm chống cháy dày 10mm bọc thân van NRD (EI60)</t>
        </is>
      </c>
      <c r="D15" t="inlineStr">
        <is>
          <t>VẬT_LIỆU_CÁCH_NHIỆT</t>
        </is>
      </c>
      <c r="E15" t="inlineStr">
        <is>
          <t>MAT-FIREBOARD-10MM-BODY</t>
        </is>
      </c>
      <c r="F15" t="inlineStr">
        <is>
          <t>m2</t>
        </is>
      </c>
      <c r="G15" s="406" t="n">
        <v>1.7342</v>
      </c>
      <c r="H15" s="402">
        <f>IFERROR(INDEX('00_TONG_HOP_BAO_GIA'!$G$1:$G$5000, MATCH(B15, '00_TONG_HOP_BAO_GIA'!$B$1:$B$5000, 0)), 1)</f>
        <v/>
      </c>
      <c r="I15" s="407">
        <f>G15*H15</f>
        <v/>
      </c>
      <c r="J15" s="402">
        <f>IFERROR(INDEX('06_BANG_GIA_VAT_TU_AP_DUNG'!$E$1:$E$5000, MATCH(E15, '06_BANG_GIA_VAT_TU_AP_DUNG'!$B$1:$B$5000, 0)), 0)</f>
        <v/>
      </c>
      <c r="K15" s="402">
        <f>I15*J15</f>
        <v/>
      </c>
      <c r="L15" t="inlineStr">
        <is>
          <t>Bọc chống cháy EI60 quanh thân van (2 modul 850x600mm)</t>
        </is>
      </c>
    </row>
    <row r="16">
      <c r="A16" t="inlineStr">
        <is>
          <t>SW-DAMPER-010-BODY</t>
        </is>
      </c>
      <c r="B16" t="inlineStr">
        <is>
          <t>SW-DAMPER-010</t>
        </is>
      </c>
      <c r="C16" t="inlineStr">
        <is>
          <t>Thân vỏ van NRD bích C30/TDF (1.15mm)</t>
        </is>
      </c>
      <c r="D16" t="inlineStr">
        <is>
          <t>TÔN_CUỘN_MẠ_KẼM</t>
        </is>
      </c>
      <c r="E16" t="inlineStr">
        <is>
          <t>MAT-STEEL-PN-1.15</t>
        </is>
      </c>
      <c r="F16" t="inlineStr">
        <is>
          <t>kg</t>
        </is>
      </c>
      <c r="G16" s="406" t="n">
        <v>8.333826899999998</v>
      </c>
      <c r="H16" s="402">
        <f>IFERROR(INDEX('00_TONG_HOP_BAO_GIA'!$G$1:$G$5000, MATCH(B16, '00_TONG_HOP_BAO_GIA'!$B$1:$B$5000, 0)), 1)</f>
        <v/>
      </c>
      <c r="I16" s="407">
        <f>G16*H16</f>
        <v/>
      </c>
      <c r="J16" s="402">
        <f>IFERROR(INDEX('06_BANG_GIA_VAT_TU_AP_DUNG'!$E$1:$E$5000, MATCH(E16, '06_BANG_GIA_VAT_TU_AP_DUNG'!$B$1:$B$5000, 0)), 0)</f>
        <v/>
      </c>
      <c r="K16" s="402">
        <f>I16*J16</f>
        <v/>
      </c>
      <c r="L16" t="inlineStr">
        <is>
          <t>Kích thước vỏ 1200x350x210mm</t>
        </is>
      </c>
    </row>
    <row r="17">
      <c r="A17" t="inlineStr">
        <is>
          <t>SW-DAMPER-010-BLADE</t>
        </is>
      </c>
      <c r="B17" t="inlineStr">
        <is>
          <t>SW-DAMPER-010</t>
        </is>
      </c>
      <c r="C17" t="inlineStr">
        <is>
          <t>Lá cánh / Tôn tấm bọc van (2 cánh)</t>
        </is>
      </c>
      <c r="D17" t="inlineStr">
        <is>
          <t>TÔN_CUỘN_MẠ_KẼM</t>
        </is>
      </c>
      <c r="E17" t="inlineStr">
        <is>
          <t>MAT-STEEL-PN-0.75</t>
        </is>
      </c>
      <c r="F17" t="inlineStr">
        <is>
          <t>kg</t>
        </is>
      </c>
      <c r="G17" s="406" t="n">
        <v>2.975778</v>
      </c>
      <c r="H17" s="402">
        <f>IFERROR(INDEX('00_TONG_HOP_BAO_GIA'!$G$1:$G$5000, MATCH(B17, '00_TONG_HOP_BAO_GIA'!$B$1:$B$5000, 0)), 1)</f>
        <v/>
      </c>
      <c r="I17" s="407">
        <f>G17*H17</f>
        <v/>
      </c>
      <c r="J17" s="402">
        <f>IFERROR(INDEX('06_BANG_GIA_VAT_TU_AP_DUNG'!$E$1:$E$5000, MATCH(E17, '06_BANG_GIA_VAT_TU_AP_DUNG'!$B$1:$B$5000, 0)), 0)</f>
        <v/>
      </c>
      <c r="K17" s="402">
        <f>I17*J17</f>
        <v/>
      </c>
      <c r="L17" t="inlineStr">
        <is>
          <t>2 cánh cao 195mm</t>
        </is>
      </c>
    </row>
    <row r="18">
      <c r="A18" t="inlineStr">
        <is>
          <t>SW-DAMPER-010-AXLE</t>
        </is>
      </c>
      <c r="B18" t="inlineStr">
        <is>
          <t>SW-DAMPER-010</t>
        </is>
      </c>
      <c r="C18" t="inlineStr">
        <is>
          <t>Trục Sus 201 D10</t>
        </is>
      </c>
      <c r="D18" t="inlineStr">
        <is>
          <t>PHỤ_KIỆN_VAN</t>
        </is>
      </c>
      <c r="E18" t="inlineStr">
        <is>
          <t>MAT-DAMPER-TRUC-SUS-201-D10</t>
        </is>
      </c>
      <c r="F18" t="inlineStr">
        <is>
          <t>m</t>
        </is>
      </c>
      <c r="G18" s="406" t="n">
        <v>2.52</v>
      </c>
      <c r="H18" s="402">
        <f>IFERROR(INDEX('00_TONG_HOP_BAO_GIA'!$G$1:$G$5000, MATCH(B18, '00_TONG_HOP_BAO_GIA'!$B$1:$B$5000, 0)), 1)</f>
        <v/>
      </c>
      <c r="I18" s="407">
        <f>G18*H18</f>
        <v/>
      </c>
      <c r="J18" s="402">
        <f>IFERROR(INDEX('06_BANG_GIA_VAT_TU_AP_DUNG'!$E$1:$E$5000, MATCH(E18, '06_BANG_GIA_VAT_TU_AP_DUNG'!$B$1:$B$5000, 0)), 0)</f>
        <v/>
      </c>
      <c r="K18" s="402">
        <f>I18*J18</f>
        <v/>
      </c>
      <c r="L18" t="inlineStr">
        <is>
          <t>2 trục dài 1260mm</t>
        </is>
      </c>
    </row>
    <row r="19">
      <c r="A19" t="inlineStr">
        <is>
          <t>SW-DAMPER-010-BEARING</t>
        </is>
      </c>
      <c r="B19" t="inlineStr">
        <is>
          <t>SW-DAMPER-010</t>
        </is>
      </c>
      <c r="C19" t="inlineStr">
        <is>
          <t>Bạc đồng D10</t>
        </is>
      </c>
      <c r="D19" t="inlineStr">
        <is>
          <t>PHỤ_KIỆN_VAN</t>
        </is>
      </c>
      <c r="E19" t="inlineStr">
        <is>
          <t>MAT-DAMPER-BAC-DONG-D10</t>
        </is>
      </c>
      <c r="F19" t="inlineStr">
        <is>
          <t>Đôi</t>
        </is>
      </c>
      <c r="G19" s="406" t="n">
        <v>2</v>
      </c>
      <c r="H19" s="402">
        <f>IFERROR(INDEX('00_TONG_HOP_BAO_GIA'!$G$1:$G$5000, MATCH(B19, '00_TONG_HOP_BAO_GIA'!$B$1:$B$5000, 0)), 1)</f>
        <v/>
      </c>
      <c r="I19" s="407">
        <f>G19*H19</f>
        <v/>
      </c>
      <c r="J19" s="402">
        <f>IFERROR(INDEX('06_BANG_GIA_VAT_TU_AP_DUNG'!$E$1:$E$5000, MATCH(E19, '06_BANG_GIA_VAT_TU_AP_DUNG'!$B$1:$B$5000, 0)), 0)</f>
        <v/>
      </c>
      <c r="K19" s="402">
        <f>I19*J19</f>
        <v/>
      </c>
      <c r="L19" t="inlineStr">
        <is>
          <t>2 đôi bạc đỡ 2 bên thân</t>
        </is>
      </c>
    </row>
    <row r="20">
      <c r="A20" t="inlineStr">
        <is>
          <t>SW-DAMPER-010-GEAR</t>
        </is>
      </c>
      <c r="B20" t="inlineStr">
        <is>
          <t>SW-DAMPER-010</t>
        </is>
      </c>
      <c r="C20" t="inlineStr">
        <is>
          <t>Bánh răng van nhôm</t>
        </is>
      </c>
      <c r="D20" t="inlineStr">
        <is>
          <t>PHỤ_KIỆN_VAN</t>
        </is>
      </c>
      <c r="E20" t="inlineStr">
        <is>
          <t>MAT-DAMPER-BANH-RANG-VAN-NHOM</t>
        </is>
      </c>
      <c r="F20" t="inlineStr">
        <is>
          <t>Bộ</t>
        </is>
      </c>
      <c r="G20" s="406" t="n">
        <v>1</v>
      </c>
      <c r="H20" s="402">
        <f>IFERROR(INDEX('00_TONG_HOP_BAO_GIA'!$G$1:$G$5000, MATCH(B20, '00_TONG_HOP_BAO_GIA'!$B$1:$B$5000, 0)), 1)</f>
        <v/>
      </c>
      <c r="I20" s="407">
        <f>G20*H20</f>
        <v/>
      </c>
      <c r="J20" s="402">
        <f>IFERROR(INDEX('06_BANG_GIA_VAT_TU_AP_DUNG'!$E$1:$E$5000, MATCH(E20, '06_BANG_GIA_VAT_TU_AP_DUNG'!$B$1:$B$5000, 0)), 0)</f>
        <v/>
      </c>
      <c r="K20" s="402">
        <f>I20*J20</f>
        <v/>
      </c>
      <c r="L20" t="inlineStr">
        <is>
          <t>Cơ cấu liên động cánh (1 bộ)</t>
        </is>
      </c>
    </row>
    <row r="21">
      <c r="A21" t="inlineStr">
        <is>
          <t>SW-DAMPER-010-ECCENTRIC</t>
        </is>
      </c>
      <c r="B21" t="inlineStr">
        <is>
          <t>SW-DAMPER-010</t>
        </is>
      </c>
      <c r="C21" t="inlineStr">
        <is>
          <t>Cơ cấu lệch tâm / Lò xo đóng mở (NRD)</t>
        </is>
      </c>
      <c r="D21" t="inlineStr">
        <is>
          <t>PHỤ_KIỆN_VAN</t>
        </is>
      </c>
      <c r="E21" t="inlineStr">
        <is>
          <t>ECCENTRIC_SHAFT</t>
        </is>
      </c>
      <c r="F21" t="inlineStr">
        <is>
          <t>Bộ</t>
        </is>
      </c>
      <c r="G21" s="406" t="n">
        <v>1</v>
      </c>
      <c r="H21" s="402">
        <f>IFERROR(INDEX('00_TONG_HOP_BAO_GIA'!$G$1:$G$5000, MATCH(B21, '00_TONG_HOP_BAO_GIA'!$B$1:$B$5000, 0)), 1)</f>
        <v/>
      </c>
      <c r="I21" s="407">
        <f>G21*H21</f>
        <v/>
      </c>
      <c r="J21" s="402">
        <f>IFERROR(INDEX('06_BANG_GIA_VAT_TU_AP_DUNG'!$E$1:$E$5000, MATCH(E21, '06_BANG_GIA_VAT_TU_AP_DUNG'!$B$1:$B$5000, 0)), 0)</f>
        <v/>
      </c>
      <c r="K21" s="402">
        <f>I21*J21</f>
        <v/>
      </c>
      <c r="L21" t="inlineStr">
        <is>
          <t>Cơ cấu đóng mở một chiều</t>
        </is>
      </c>
    </row>
    <row r="22">
      <c r="A22" t="inlineStr">
        <is>
          <t>SW-DAMPER-010-FB10-EI</t>
        </is>
      </c>
      <c r="B22" t="inlineStr">
        <is>
          <t>SW-DAMPER-010</t>
        </is>
      </c>
      <c r="C22" t="inlineStr">
        <is>
          <t>Tấm chống cháy dày 10mm bọc thân van NRD (EI60)</t>
        </is>
      </c>
      <c r="D22" t="inlineStr">
        <is>
          <t>VẬT_LIỆU_CÁCH_NHIỆT</t>
        </is>
      </c>
      <c r="E22" t="inlineStr">
        <is>
          <t>MAT-FIREBOARD-10MM-BODY</t>
        </is>
      </c>
      <c r="F22" t="inlineStr">
        <is>
          <t>m2</t>
        </is>
      </c>
      <c r="G22" s="406" t="n">
        <v>0.9268999999999999</v>
      </c>
      <c r="H22" s="402">
        <f>IFERROR(INDEX('00_TONG_HOP_BAO_GIA'!$G$1:$G$5000, MATCH(B22, '00_TONG_HOP_BAO_GIA'!$B$1:$B$5000, 0)), 1)</f>
        <v/>
      </c>
      <c r="I22" s="407">
        <f>G22*H22</f>
        <v/>
      </c>
      <c r="J22" s="402">
        <f>IFERROR(INDEX('06_BANG_GIA_VAT_TU_AP_DUNG'!$E$1:$E$5000, MATCH(E22, '06_BANG_GIA_VAT_TU_AP_DUNG'!$B$1:$B$5000, 0)), 0)</f>
        <v/>
      </c>
      <c r="K22" s="402">
        <f>I22*J22</f>
        <v/>
      </c>
      <c r="L22" t="inlineStr">
        <is>
          <t>Bọc chống cháy EI60 quanh thân van</t>
        </is>
      </c>
    </row>
    <row r="23">
      <c r="A23" t="inlineStr">
        <is>
          <t>SW-DAMPER-011-BODY</t>
        </is>
      </c>
      <c r="B23" t="inlineStr">
        <is>
          <t>SW-DAMPER-011</t>
        </is>
      </c>
      <c r="C23" t="inlineStr">
        <is>
          <t>Thân vỏ van MFD bích C30/TDF (1.15mm)</t>
        </is>
      </c>
      <c r="D23" t="inlineStr">
        <is>
          <t>TÔN_CUỘN_MẠ_KẼM</t>
        </is>
      </c>
      <c r="E23" t="inlineStr">
        <is>
          <t>MAT-STEEL-PN-1.15</t>
        </is>
      </c>
      <c r="F23" t="inlineStr">
        <is>
          <t>kg</t>
        </is>
      </c>
      <c r="G23" s="406" t="n">
        <v>19.399465575</v>
      </c>
      <c r="H23" s="402">
        <f>IFERROR(INDEX('00_TONG_HOP_BAO_GIA'!$G$1:$G$5000, MATCH(B23, '00_TONG_HOP_BAO_GIA'!$B$1:$B$5000, 0)), 1)</f>
        <v/>
      </c>
      <c r="I23" s="407">
        <f>G23*H23</f>
        <v/>
      </c>
      <c r="J23" s="402">
        <f>IFERROR(INDEX('06_BANG_GIA_VAT_TU_AP_DUNG'!$E$1:$E$5000, MATCH(E23, '06_BANG_GIA_VAT_TU_AP_DUNG'!$B$1:$B$5000, 0)), 0)</f>
        <v/>
      </c>
      <c r="K23" s="402">
        <f>I23*J23</f>
        <v/>
      </c>
      <c r="L23" t="inlineStr">
        <is>
          <t>Kích thước vỏ 1250x1250x200mm (2 modul 1250x625mm)</t>
        </is>
      </c>
    </row>
    <row r="24">
      <c r="A24" t="inlineStr">
        <is>
          <t>SW-DAMPER-011-BLADE</t>
        </is>
      </c>
      <c r="B24" t="inlineStr">
        <is>
          <t>SW-DAMPER-011</t>
        </is>
      </c>
      <c r="C24" t="inlineStr">
        <is>
          <t>Lá cánh / Tôn tấm bọc van (8 cánh)</t>
        </is>
      </c>
      <c r="D24" t="inlineStr">
        <is>
          <t>TÔN_CUỘN_MẠ_KẼM</t>
        </is>
      </c>
      <c r="E24" t="inlineStr">
        <is>
          <t>MAT-STEEL-PN-1.15</t>
        </is>
      </c>
      <c r="F24" t="inlineStr">
        <is>
          <t>kg</t>
        </is>
      </c>
      <c r="G24" s="406" t="n">
        <v>28.21093749999999</v>
      </c>
      <c r="H24" s="402">
        <f>IFERROR(INDEX('00_TONG_HOP_BAO_GIA'!$G$1:$G$5000, MATCH(B24, '00_TONG_HOP_BAO_GIA'!$B$1:$B$5000, 0)), 1)</f>
        <v/>
      </c>
      <c r="I24" s="407">
        <f>G24*H24</f>
        <v/>
      </c>
      <c r="J24" s="402">
        <f>IFERROR(INDEX('06_BANG_GIA_VAT_TU_AP_DUNG'!$E$1:$E$5000, MATCH(E24, '06_BANG_GIA_VAT_TU_AP_DUNG'!$B$1:$B$5000, 0)), 0)</f>
        <v/>
      </c>
      <c r="K24" s="402">
        <f>I24*J24</f>
        <v/>
      </c>
      <c r="L24" t="inlineStr">
        <is>
          <t>Tôn bọc cánh &amp; thân (4 cánh/modul (2 modul 1250x625mm))</t>
        </is>
      </c>
    </row>
    <row r="25">
      <c r="A25" t="inlineStr">
        <is>
          <t>SW-DAMPER-011-AXLE</t>
        </is>
      </c>
      <c r="B25" t="inlineStr">
        <is>
          <t>SW-DAMPER-011</t>
        </is>
      </c>
      <c r="C25" t="inlineStr">
        <is>
          <t>Trục Sus 201 D10</t>
        </is>
      </c>
      <c r="D25" t="inlineStr">
        <is>
          <t>PHỤ_KIỆN_VAN</t>
        </is>
      </c>
      <c r="E25" t="inlineStr">
        <is>
          <t>MAT-DAMPER-TRUC-SUS-201-D10</t>
        </is>
      </c>
      <c r="F25" t="inlineStr">
        <is>
          <t>m</t>
        </is>
      </c>
      <c r="G25" s="406" t="n">
        <v>10.48</v>
      </c>
      <c r="H25" s="402">
        <f>IFERROR(INDEX('00_TONG_HOP_BAO_GIA'!$G$1:$G$5000, MATCH(B25, '00_TONG_HOP_BAO_GIA'!$B$1:$B$5000, 0)), 1)</f>
        <v/>
      </c>
      <c r="I25" s="407">
        <f>G25*H25</f>
        <v/>
      </c>
      <c r="J25" s="402">
        <f>IFERROR(INDEX('06_BANG_GIA_VAT_TU_AP_DUNG'!$E$1:$E$5000, MATCH(E25, '06_BANG_GIA_VAT_TU_AP_DUNG'!$B$1:$B$5000, 0)), 0)</f>
        <v/>
      </c>
      <c r="K25" s="402">
        <f>I25*J25</f>
        <v/>
      </c>
      <c r="L25" t="inlineStr">
        <is>
          <t>8 trục dài 1310mm</t>
        </is>
      </c>
    </row>
    <row r="26">
      <c r="A26" t="inlineStr">
        <is>
          <t>SW-DAMPER-011-BEARING</t>
        </is>
      </c>
      <c r="B26" t="inlineStr">
        <is>
          <t>SW-DAMPER-011</t>
        </is>
      </c>
      <c r="C26" t="inlineStr">
        <is>
          <t>Bạc đồng D10</t>
        </is>
      </c>
      <c r="D26" t="inlineStr">
        <is>
          <t>PHỤ_KIỆN_VAN</t>
        </is>
      </c>
      <c r="E26" t="inlineStr">
        <is>
          <t>MAT-DAMPER-BAC-DONG-D10</t>
        </is>
      </c>
      <c r="F26" t="inlineStr">
        <is>
          <t>Đôi</t>
        </is>
      </c>
      <c r="G26" s="406" t="n">
        <v>8</v>
      </c>
      <c r="H26" s="402">
        <f>IFERROR(INDEX('00_TONG_HOP_BAO_GIA'!$G$1:$G$5000, MATCH(B26, '00_TONG_HOP_BAO_GIA'!$B$1:$B$5000, 0)), 1)</f>
        <v/>
      </c>
      <c r="I26" s="407">
        <f>G26*H26</f>
        <v/>
      </c>
      <c r="J26" s="402">
        <f>IFERROR(INDEX('06_BANG_GIA_VAT_TU_AP_DUNG'!$E$1:$E$5000, MATCH(E26, '06_BANG_GIA_VAT_TU_AP_DUNG'!$B$1:$B$5000, 0)), 0)</f>
        <v/>
      </c>
      <c r="K26" s="402">
        <f>I26*J26</f>
        <v/>
      </c>
      <c r="L26" t="inlineStr">
        <is>
          <t>8 đôi bạc đỡ 2 bên thân</t>
        </is>
      </c>
    </row>
    <row r="27">
      <c r="A27" t="inlineStr">
        <is>
          <t>SW-DAMPER-011-GEAR</t>
        </is>
      </c>
      <c r="B27" t="inlineStr">
        <is>
          <t>SW-DAMPER-011</t>
        </is>
      </c>
      <c r="C27" t="inlineStr">
        <is>
          <t>Bánh răng van nhôm</t>
        </is>
      </c>
      <c r="D27" t="inlineStr">
        <is>
          <t>PHỤ_KIỆN_VAN</t>
        </is>
      </c>
      <c r="E27" t="inlineStr">
        <is>
          <t>MAT-DAMPER-BANH-RANG-VAN-NHOM</t>
        </is>
      </c>
      <c r="F27" t="inlineStr">
        <is>
          <t>Bộ</t>
        </is>
      </c>
      <c r="G27" s="406" t="n">
        <v>2</v>
      </c>
      <c r="H27" s="402">
        <f>IFERROR(INDEX('00_TONG_HOP_BAO_GIA'!$G$1:$G$5000, MATCH(B27, '00_TONG_HOP_BAO_GIA'!$B$1:$B$5000, 0)), 1)</f>
        <v/>
      </c>
      <c r="I27" s="407">
        <f>G27*H27</f>
        <v/>
      </c>
      <c r="J27" s="402">
        <f>IFERROR(INDEX('06_BANG_GIA_VAT_TU_AP_DUNG'!$E$1:$E$5000, MATCH(E27, '06_BANG_GIA_VAT_TU_AP_DUNG'!$B$1:$B$5000, 0)), 0)</f>
        <v/>
      </c>
      <c r="K27" s="402">
        <f>I27*J27</f>
        <v/>
      </c>
      <c r="L27" t="inlineStr">
        <is>
          <t>Cơ cấu liên động cánh (2 bộ)</t>
        </is>
      </c>
    </row>
    <row r="28">
      <c r="A28" t="inlineStr">
        <is>
          <t>SW-DAMPER-011-ACTUATOR</t>
        </is>
      </c>
      <c r="B28" t="inlineStr">
        <is>
          <t>SW-DAMPER-011</t>
        </is>
      </c>
      <c r="C28" t="inlineStr">
        <is>
          <t>Động cơ chặn lửa ON/OFF 9Nm, 230V/24V (BELIMO BFN24 / BFN230)</t>
        </is>
      </c>
      <c r="D28" t="inlineStr">
        <is>
          <t>ĐỘNG_CƠ_VÀ_CẢM_BIẾN</t>
        </is>
      </c>
      <c r="E28" t="inlineStr">
        <is>
          <t>MAT-ACTUATOR-BELIMO-BFN24</t>
        </is>
      </c>
      <c r="F28" t="inlineStr">
        <is>
          <t>Cái</t>
        </is>
      </c>
      <c r="G28" s="406" t="n">
        <v>2</v>
      </c>
      <c r="H28" s="402">
        <f>IFERROR(INDEX('00_TONG_HOP_BAO_GIA'!$G$1:$G$5000, MATCH(B28, '00_TONG_HOP_BAO_GIA'!$B$1:$B$5000, 0)), 1)</f>
        <v/>
      </c>
      <c r="I28" s="407">
        <f>G28*H28</f>
        <v/>
      </c>
      <c r="J28" s="402">
        <f>IFERROR(INDEX('06_BANG_GIA_VAT_TU_AP_DUNG'!$E$1:$E$5000, MATCH(E28, '06_BANG_GIA_VAT_TU_AP_DUNG'!$B$1:$B$5000, 0)), 0)</f>
        <v/>
      </c>
      <c r="K28" s="402">
        <f>I28*J28</f>
        <v/>
      </c>
      <c r="L28" t="inlineStr">
        <is>
          <t>Động cơ lò xo phản hồi MFD (2 bộ (2 modul 1250x625mm))</t>
        </is>
      </c>
    </row>
    <row r="29">
      <c r="A29" t="inlineStr">
        <is>
          <t>SW-DAMPER-011-FB10-BODY</t>
        </is>
      </c>
      <c r="B29" t="inlineStr">
        <is>
          <t>SW-DAMPER-011</t>
        </is>
      </c>
      <c r="C29" t="inlineStr">
        <is>
          <t>Tấm chống cháy dày 10mm bọc thân van FD/MFD (2 lớp)</t>
        </is>
      </c>
      <c r="D29" t="inlineStr">
        <is>
          <t>VẬT_LIỆU_CÁCH_NHIỆT</t>
        </is>
      </c>
      <c r="E29" t="inlineStr">
        <is>
          <t>MAT-FIREBOARD-10MM-BODY</t>
        </is>
      </c>
      <c r="F29" t="inlineStr">
        <is>
          <t>m2</t>
        </is>
      </c>
      <c r="G29" s="406" t="n">
        <v>4.5</v>
      </c>
      <c r="H29" s="402">
        <f>IFERROR(INDEX('00_TONG_HOP_BAO_GIA'!$G$1:$G$5000, MATCH(B29, '00_TONG_HOP_BAO_GIA'!$B$1:$B$5000, 0)), 1)</f>
        <v/>
      </c>
      <c r="I29" s="407">
        <f>G29*H29</f>
        <v/>
      </c>
      <c r="J29" s="402">
        <f>IFERROR(INDEX('06_BANG_GIA_VAT_TU_AP_DUNG'!$E$1:$E$5000, MATCH(E29, '06_BANG_GIA_VAT_TU_AP_DUNG'!$B$1:$B$5000, 0)), 0)</f>
        <v/>
      </c>
      <c r="K29" s="402">
        <f>I29*J29</f>
        <v/>
      </c>
      <c r="L29" t="inlineStr">
        <is>
          <t>Bọc 2 lớp tấm 10mm quanh thân L=300mm (2 modul 1250x625mm)</t>
        </is>
      </c>
    </row>
    <row r="30">
      <c r="A30" t="inlineStr">
        <is>
          <t>SW-DAMPER-011-FB20-BLADE</t>
        </is>
      </c>
      <c r="B30" t="inlineStr">
        <is>
          <t>SW-DAMPER-011</t>
        </is>
      </c>
      <c r="C30" t="inlineStr">
        <is>
          <t>Tấm chống cháy dày 20mm làm lõi cánh van FD/MFD</t>
        </is>
      </c>
      <c r="D30" t="inlineStr">
        <is>
          <t>VẬT_LIỆU_CÁCH_NHIỆT</t>
        </is>
      </c>
      <c r="E30" t="inlineStr">
        <is>
          <t>MAT-FIREBOARD-20MM-BLADE</t>
        </is>
      </c>
      <c r="F30" t="inlineStr">
        <is>
          <t>m2</t>
        </is>
      </c>
      <c r="G30" s="406" t="n">
        <v>2.364571812080537</v>
      </c>
      <c r="H30" s="402">
        <f>IFERROR(INDEX('00_TONG_HOP_BAO_GIA'!$G$1:$G$5000, MATCH(B30, '00_TONG_HOP_BAO_GIA'!$B$1:$B$5000, 0)), 1)</f>
        <v/>
      </c>
      <c r="I30" s="407">
        <f>G30*H30</f>
        <v/>
      </c>
      <c r="J30" s="402">
        <f>IFERROR(INDEX('06_BANG_GIA_VAT_TU_AP_DUNG'!$E$1:$E$5000, MATCH(E30, '06_BANG_GIA_VAT_TU_AP_DUNG'!$B$1:$B$5000, 0)), 0)</f>
        <v/>
      </c>
      <c r="K30" s="402">
        <f>I30*J30</f>
        <v/>
      </c>
      <c r="L30" t="inlineStr">
        <is>
          <t>Lõi cánh tấm 20mm (Đa cánh hệ số (H-5)/149=4.16, bản rộng 210mm, hao hụt 10% (2 modul 1250x625mm))</t>
        </is>
      </c>
    </row>
    <row r="31">
      <c r="A31" t="inlineStr">
        <is>
          <t>SW-DAMPER-011-FB10-BLADE</t>
        </is>
      </c>
      <c r="B31" t="inlineStr">
        <is>
          <t>SW-DAMPER-011</t>
        </is>
      </c>
      <c r="C31" t="inlineStr">
        <is>
          <t>Tấm chống cháy dày 10mm ốp 2 mặt cánh van FD/MFD</t>
        </is>
      </c>
      <c r="D31" t="inlineStr">
        <is>
          <t>VẬT_LIỆU_CÁCH_NHIỆT</t>
        </is>
      </c>
      <c r="E31" t="inlineStr">
        <is>
          <t>MAT-FIREBOARD-10MM-BLADE</t>
        </is>
      </c>
      <c r="F31" t="inlineStr">
        <is>
          <t>m2</t>
        </is>
      </c>
      <c r="G31" s="406" t="n">
        <v>4.806040268456377</v>
      </c>
      <c r="H31" s="402">
        <f>IFERROR(INDEX('00_TONG_HOP_BAO_GIA'!$G$1:$G$5000, MATCH(B31, '00_TONG_HOP_BAO_GIA'!$B$1:$B$5000, 0)), 1)</f>
        <v/>
      </c>
      <c r="I31" s="407">
        <f>G31*H31</f>
        <v/>
      </c>
      <c r="J31" s="402">
        <f>IFERROR(INDEX('06_BANG_GIA_VAT_TU_AP_DUNG'!$E$1:$E$5000, MATCH(E31, '06_BANG_GIA_VAT_TU_AP_DUNG'!$B$1:$B$5000, 0)), 0)</f>
        <v/>
      </c>
      <c r="K31" s="402">
        <f>I31*J31</f>
        <v/>
      </c>
      <c r="L31" t="inlineStr">
        <is>
          <t>Ốp 2 mặt cánh tấm 10mm (Đa cánh hệ số (H-5)/149=4.16, bản rộng 210mm, hao hụt 10% (2 modul 1250x625mm))</t>
        </is>
      </c>
    </row>
    <row r="32">
      <c r="A32" t="inlineStr">
        <is>
          <t>SW-DAMPER-011-SPRING-BOX</t>
        </is>
      </c>
      <c r="B32" t="inlineStr">
        <is>
          <t>SW-DAMPER-011</t>
        </is>
      </c>
      <c r="C32" t="inlineStr">
        <is>
          <t>Hộp lò xo van chặn lửa FD/MFD</t>
        </is>
      </c>
      <c r="D32" t="inlineStr">
        <is>
          <t>PHỤ_KIỆN_VAN</t>
        </is>
      </c>
      <c r="E32" t="inlineStr">
        <is>
          <t>MAT-DAMPER-HOP-LO-XO</t>
        </is>
      </c>
      <c r="F32" t="inlineStr">
        <is>
          <t>Bộ</t>
        </is>
      </c>
      <c r="G32" s="406" t="n">
        <v>2</v>
      </c>
      <c r="H32" s="402">
        <f>IFERROR(INDEX('00_TONG_HOP_BAO_GIA'!$G$1:$G$5000, MATCH(B32, '00_TONG_HOP_BAO_GIA'!$B$1:$B$5000, 0)), 1)</f>
        <v/>
      </c>
      <c r="I32" s="407">
        <f>G32*H32</f>
        <v/>
      </c>
      <c r="J32" s="402">
        <f>IFERROR(INDEX('06_BANG_GIA_VAT_TU_AP_DUNG'!$E$1:$E$5000, MATCH(E32, '06_BANG_GIA_VAT_TU_AP_DUNG'!$B$1:$B$5000, 0)), 0)</f>
        <v/>
      </c>
      <c r="K32" s="402">
        <f>I32*J32</f>
        <v/>
      </c>
      <c r="L32" t="inlineStr">
        <is>
          <t>Hộp lò xo cơ cấu đóng sập (2 bộ)</t>
        </is>
      </c>
    </row>
    <row r="33">
      <c r="A33" t="inlineStr">
        <is>
          <t>SW-DAMPER-011-SILICON-BOLT</t>
        </is>
      </c>
      <c r="B33" t="inlineStr">
        <is>
          <t>SW-DAMPER-011</t>
        </is>
      </c>
      <c r="C33" t="inlineStr">
        <is>
          <t>Silicon chống cháy + bu lông, ốc vít van FD/MFD</t>
        </is>
      </c>
      <c r="D33" t="inlineStr">
        <is>
          <t>PHỤ_KIỆN_VAN</t>
        </is>
      </c>
      <c r="E33" t="inlineStr">
        <is>
          <t>MAT-DAMPER-SILICON-BULONG-VIT</t>
        </is>
      </c>
      <c r="F33" t="inlineStr">
        <is>
          <t>Bộ</t>
        </is>
      </c>
      <c r="G33" s="406" t="n">
        <v>2</v>
      </c>
      <c r="H33" s="402">
        <f>IFERROR(INDEX('00_TONG_HOP_BAO_GIA'!$G$1:$G$5000, MATCH(B33, '00_TONG_HOP_BAO_GIA'!$B$1:$B$5000, 0)), 1)</f>
        <v/>
      </c>
      <c r="I33" s="407">
        <f>G33*H33</f>
        <v/>
      </c>
      <c r="J33" s="402">
        <f>IFERROR(INDEX('06_BANG_GIA_VAT_TU_AP_DUNG'!$E$1:$E$5000, MATCH(E33, '06_BANG_GIA_VAT_TU_AP_DUNG'!$B$1:$B$5000, 0)), 0)</f>
        <v/>
      </c>
      <c r="K33" s="402">
        <f>I33*J33</f>
        <v/>
      </c>
      <c r="L33" t="inlineStr">
        <is>
          <t>Keo silicon chống cháy &amp; phụ kiện lắp ghép (2 bộ)</t>
        </is>
      </c>
    </row>
    <row r="34">
      <c r="A34" t="inlineStr">
        <is>
          <t>SW-DAMPER-012-BODY</t>
        </is>
      </c>
      <c r="B34" t="inlineStr">
        <is>
          <t>SW-DAMPER-012</t>
        </is>
      </c>
      <c r="C34" t="inlineStr">
        <is>
          <t>Thân vỏ van MFD bích C30/TDF (1.15mm)</t>
        </is>
      </c>
      <c r="D34" t="inlineStr">
        <is>
          <t>TÔN_CUỘN_MẠ_KẼM</t>
        </is>
      </c>
      <c r="E34" t="inlineStr">
        <is>
          <t>MAT-STEEL-PN-1.15</t>
        </is>
      </c>
      <c r="F34" t="inlineStr">
        <is>
          <t>kg</t>
        </is>
      </c>
      <c r="G34" s="406" t="n">
        <v>15.04866195</v>
      </c>
      <c r="H34" s="402">
        <f>IFERROR(INDEX('00_TONG_HOP_BAO_GIA'!$G$1:$G$5000, MATCH(B34, '00_TONG_HOP_BAO_GIA'!$B$1:$B$5000, 0)), 1)</f>
        <v/>
      </c>
      <c r="I34" s="407">
        <f>G34*H34</f>
        <v/>
      </c>
      <c r="J34" s="402">
        <f>IFERROR(INDEX('06_BANG_GIA_VAT_TU_AP_DUNG'!$E$1:$E$5000, MATCH(E34, '06_BANG_GIA_VAT_TU_AP_DUNG'!$B$1:$B$5000, 0)), 0)</f>
        <v/>
      </c>
      <c r="K34" s="402">
        <f>I34*J34</f>
        <v/>
      </c>
      <c r="L34" t="inlineStr">
        <is>
          <t>Kích thước vỏ 1700x600x200mm (2 modul 850x600mm)</t>
        </is>
      </c>
    </row>
    <row r="35">
      <c r="A35" t="inlineStr">
        <is>
          <t>SW-DAMPER-012-BLADE</t>
        </is>
      </c>
      <c r="B35" t="inlineStr">
        <is>
          <t>SW-DAMPER-012</t>
        </is>
      </c>
      <c r="C35" t="inlineStr">
        <is>
          <t>Lá cánh / Tôn tấm bọc van (8 cánh)</t>
        </is>
      </c>
      <c r="D35" t="inlineStr">
        <is>
          <t>TÔN_CUỘN_MẠ_KẼM</t>
        </is>
      </c>
      <c r="E35" t="inlineStr">
        <is>
          <t>MAT-STEEL-PN-1.15</t>
        </is>
      </c>
      <c r="F35" t="inlineStr">
        <is>
          <t>kg</t>
        </is>
      </c>
      <c r="G35" s="406" t="n">
        <v>18.4161</v>
      </c>
      <c r="H35" s="402">
        <f>IFERROR(INDEX('00_TONG_HOP_BAO_GIA'!$G$1:$G$5000, MATCH(B35, '00_TONG_HOP_BAO_GIA'!$B$1:$B$5000, 0)), 1)</f>
        <v/>
      </c>
      <c r="I35" s="407">
        <f>G35*H35</f>
        <v/>
      </c>
      <c r="J35" s="402">
        <f>IFERROR(INDEX('06_BANG_GIA_VAT_TU_AP_DUNG'!$E$1:$E$5000, MATCH(E35, '06_BANG_GIA_VAT_TU_AP_DUNG'!$B$1:$B$5000, 0)), 0)</f>
        <v/>
      </c>
      <c r="K35" s="402">
        <f>I35*J35</f>
        <v/>
      </c>
      <c r="L35" t="inlineStr">
        <is>
          <t>Tôn bọc cánh &amp; thân (4 cánh/modul (2 modul 850x600mm))</t>
        </is>
      </c>
    </row>
    <row r="36">
      <c r="A36" t="inlineStr">
        <is>
          <t>SW-DAMPER-012-AXLE</t>
        </is>
      </c>
      <c r="B36" t="inlineStr">
        <is>
          <t>SW-DAMPER-012</t>
        </is>
      </c>
      <c r="C36" t="inlineStr">
        <is>
          <t>Trục Sus 201 D10</t>
        </is>
      </c>
      <c r="D36" t="inlineStr">
        <is>
          <t>PHỤ_KIỆN_VAN</t>
        </is>
      </c>
      <c r="E36" t="inlineStr">
        <is>
          <t>MAT-DAMPER-TRUC-SUS-201-D10</t>
        </is>
      </c>
      <c r="F36" t="inlineStr">
        <is>
          <t>m</t>
        </is>
      </c>
      <c r="G36" s="406" t="n">
        <v>7.28</v>
      </c>
      <c r="H36" s="402">
        <f>IFERROR(INDEX('00_TONG_HOP_BAO_GIA'!$G$1:$G$5000, MATCH(B36, '00_TONG_HOP_BAO_GIA'!$B$1:$B$5000, 0)), 1)</f>
        <v/>
      </c>
      <c r="I36" s="407">
        <f>G36*H36</f>
        <v/>
      </c>
      <c r="J36" s="402">
        <f>IFERROR(INDEX('06_BANG_GIA_VAT_TU_AP_DUNG'!$E$1:$E$5000, MATCH(E36, '06_BANG_GIA_VAT_TU_AP_DUNG'!$B$1:$B$5000, 0)), 0)</f>
        <v/>
      </c>
      <c r="K36" s="402">
        <f>I36*J36</f>
        <v/>
      </c>
      <c r="L36" t="inlineStr">
        <is>
          <t>8 trục dài 910mm</t>
        </is>
      </c>
    </row>
    <row r="37">
      <c r="A37" t="inlineStr">
        <is>
          <t>SW-DAMPER-012-BEARING</t>
        </is>
      </c>
      <c r="B37" t="inlineStr">
        <is>
          <t>SW-DAMPER-012</t>
        </is>
      </c>
      <c r="C37" t="inlineStr">
        <is>
          <t>Bạc đồng D10</t>
        </is>
      </c>
      <c r="D37" t="inlineStr">
        <is>
          <t>PHỤ_KIỆN_VAN</t>
        </is>
      </c>
      <c r="E37" t="inlineStr">
        <is>
          <t>MAT-DAMPER-BAC-DONG-D10</t>
        </is>
      </c>
      <c r="F37" t="inlineStr">
        <is>
          <t>Đôi</t>
        </is>
      </c>
      <c r="G37" s="406" t="n">
        <v>8</v>
      </c>
      <c r="H37" s="402">
        <f>IFERROR(INDEX('00_TONG_HOP_BAO_GIA'!$G$1:$G$5000, MATCH(B37, '00_TONG_HOP_BAO_GIA'!$B$1:$B$5000, 0)), 1)</f>
        <v/>
      </c>
      <c r="I37" s="407">
        <f>G37*H37</f>
        <v/>
      </c>
      <c r="J37" s="402">
        <f>IFERROR(INDEX('06_BANG_GIA_VAT_TU_AP_DUNG'!$E$1:$E$5000, MATCH(E37, '06_BANG_GIA_VAT_TU_AP_DUNG'!$B$1:$B$5000, 0)), 0)</f>
        <v/>
      </c>
      <c r="K37" s="402">
        <f>I37*J37</f>
        <v/>
      </c>
      <c r="L37" t="inlineStr">
        <is>
          <t>8 đôi bạc đỡ 2 bên thân</t>
        </is>
      </c>
    </row>
    <row r="38">
      <c r="A38" t="inlineStr">
        <is>
          <t>SW-DAMPER-012-GEAR</t>
        </is>
      </c>
      <c r="B38" t="inlineStr">
        <is>
          <t>SW-DAMPER-012</t>
        </is>
      </c>
      <c r="C38" t="inlineStr">
        <is>
          <t>Bánh răng van nhôm</t>
        </is>
      </c>
      <c r="D38" t="inlineStr">
        <is>
          <t>PHỤ_KIỆN_VAN</t>
        </is>
      </c>
      <c r="E38" t="inlineStr">
        <is>
          <t>MAT-DAMPER-BANH-RANG-VAN-NHOM</t>
        </is>
      </c>
      <c r="F38" t="inlineStr">
        <is>
          <t>Bộ</t>
        </is>
      </c>
      <c r="G38" s="406" t="n">
        <v>2</v>
      </c>
      <c r="H38" s="402">
        <f>IFERROR(INDEX('00_TONG_HOP_BAO_GIA'!$G$1:$G$5000, MATCH(B38, '00_TONG_HOP_BAO_GIA'!$B$1:$B$5000, 0)), 1)</f>
        <v/>
      </c>
      <c r="I38" s="407">
        <f>G38*H38</f>
        <v/>
      </c>
      <c r="J38" s="402">
        <f>IFERROR(INDEX('06_BANG_GIA_VAT_TU_AP_DUNG'!$E$1:$E$5000, MATCH(E38, '06_BANG_GIA_VAT_TU_AP_DUNG'!$B$1:$B$5000, 0)), 0)</f>
        <v/>
      </c>
      <c r="K38" s="402">
        <f>I38*J38</f>
        <v/>
      </c>
      <c r="L38" t="inlineStr">
        <is>
          <t>Cơ cấu liên động cánh (2 bộ)</t>
        </is>
      </c>
    </row>
    <row r="39">
      <c r="A39" t="inlineStr">
        <is>
          <t>SW-DAMPER-012-ACTUATOR</t>
        </is>
      </c>
      <c r="B39" t="inlineStr">
        <is>
          <t>SW-DAMPER-012</t>
        </is>
      </c>
      <c r="C39" t="inlineStr">
        <is>
          <t>Động cơ chặn lửa ON/OFF 9Nm, 230V/24V (BELIMO BFN24 / BFN230)</t>
        </is>
      </c>
      <c r="D39" t="inlineStr">
        <is>
          <t>ĐỘNG_CƠ_VÀ_CẢM_BIẾN</t>
        </is>
      </c>
      <c r="E39" t="inlineStr">
        <is>
          <t>MAT-ACTUATOR-BELIMO-BFN24</t>
        </is>
      </c>
      <c r="F39" t="inlineStr">
        <is>
          <t>Cái</t>
        </is>
      </c>
      <c r="G39" s="406" t="n">
        <v>2</v>
      </c>
      <c r="H39" s="402">
        <f>IFERROR(INDEX('00_TONG_HOP_BAO_GIA'!$G$1:$G$5000, MATCH(B39, '00_TONG_HOP_BAO_GIA'!$B$1:$B$5000, 0)), 1)</f>
        <v/>
      </c>
      <c r="I39" s="407">
        <f>G39*H39</f>
        <v/>
      </c>
      <c r="J39" s="402">
        <f>IFERROR(INDEX('06_BANG_GIA_VAT_TU_AP_DUNG'!$E$1:$E$5000, MATCH(E39, '06_BANG_GIA_VAT_TU_AP_DUNG'!$B$1:$B$5000, 0)), 0)</f>
        <v/>
      </c>
      <c r="K39" s="402">
        <f>I39*J39</f>
        <v/>
      </c>
      <c r="L39" t="inlineStr">
        <is>
          <t>Động cơ lò xo phản hồi MFD (2 bộ (2 modul 850x600mm))</t>
        </is>
      </c>
    </row>
    <row r="40">
      <c r="A40" t="inlineStr">
        <is>
          <t>SW-DAMPER-012-FB10-BODY</t>
        </is>
      </c>
      <c r="B40" t="inlineStr">
        <is>
          <t>SW-DAMPER-012</t>
        </is>
      </c>
      <c r="C40" t="inlineStr">
        <is>
          <t>Tấm chống cháy dày 10mm bọc thân van FD/MFD (2 lớp)</t>
        </is>
      </c>
      <c r="D40" t="inlineStr">
        <is>
          <t>VẬT_LIỆU_CÁCH_NHIỆT</t>
        </is>
      </c>
      <c r="E40" t="inlineStr">
        <is>
          <t>MAT-FIREBOARD-10MM-BODY</t>
        </is>
      </c>
      <c r="F40" t="inlineStr">
        <is>
          <t>m2</t>
        </is>
      </c>
      <c r="G40" s="406" t="n">
        <v>3.48</v>
      </c>
      <c r="H40" s="402">
        <f>IFERROR(INDEX('00_TONG_HOP_BAO_GIA'!$G$1:$G$5000, MATCH(B40, '00_TONG_HOP_BAO_GIA'!$B$1:$B$5000, 0)), 1)</f>
        <v/>
      </c>
      <c r="I40" s="407">
        <f>G40*H40</f>
        <v/>
      </c>
      <c r="J40" s="402">
        <f>IFERROR(INDEX('06_BANG_GIA_VAT_TU_AP_DUNG'!$E$1:$E$5000, MATCH(E40, '06_BANG_GIA_VAT_TU_AP_DUNG'!$B$1:$B$5000, 0)), 0)</f>
        <v/>
      </c>
      <c r="K40" s="402">
        <f>I40*J40</f>
        <v/>
      </c>
      <c r="L40" t="inlineStr">
        <is>
          <t>Bọc 2 lớp tấm 10mm quanh thân L=300mm (2 modul 850x600mm)</t>
        </is>
      </c>
    </row>
    <row r="41">
      <c r="A41" t="inlineStr">
        <is>
          <t>SW-DAMPER-012-FB20-BLADE</t>
        </is>
      </c>
      <c r="B41" t="inlineStr">
        <is>
          <t>SW-DAMPER-012</t>
        </is>
      </c>
      <c r="C41" t="inlineStr">
        <is>
          <t>Tấm chống cháy dày 20mm làm lõi cánh van FD/MFD</t>
        </is>
      </c>
      <c r="D41" t="inlineStr">
        <is>
          <t>VẬT_LIỆU_CÁCH_NHIỆT</t>
        </is>
      </c>
      <c r="E41" t="inlineStr">
        <is>
          <t>MAT-FIREBOARD-20MM-BLADE</t>
        </is>
      </c>
      <c r="F41" t="inlineStr">
        <is>
          <t>m2</t>
        </is>
      </c>
      <c r="G41" s="406" t="n">
        <v>1.53126644295302</v>
      </c>
      <c r="H41" s="402">
        <f>IFERROR(INDEX('00_TONG_HOP_BAO_GIA'!$G$1:$G$5000, MATCH(B41, '00_TONG_HOP_BAO_GIA'!$B$1:$B$5000, 0)), 1)</f>
        <v/>
      </c>
      <c r="I41" s="407">
        <f>G41*H41</f>
        <v/>
      </c>
      <c r="J41" s="402">
        <f>IFERROR(INDEX('06_BANG_GIA_VAT_TU_AP_DUNG'!$E$1:$E$5000, MATCH(E41, '06_BANG_GIA_VAT_TU_AP_DUNG'!$B$1:$B$5000, 0)), 0)</f>
        <v/>
      </c>
      <c r="K41" s="402">
        <f>I41*J41</f>
        <v/>
      </c>
      <c r="L41" t="inlineStr">
        <is>
          <t>Lõi cánh tấm 20mm (Đa cánh hệ số (H-5)/149=3.99, bản rộng 210mm, hao hụt 10% (2 modul 850x600mm))</t>
        </is>
      </c>
    </row>
    <row r="42">
      <c r="A42" t="inlineStr">
        <is>
          <t>SW-DAMPER-012-FB10-BLADE</t>
        </is>
      </c>
      <c r="B42" t="inlineStr">
        <is>
          <t>SW-DAMPER-012</t>
        </is>
      </c>
      <c r="C42" t="inlineStr">
        <is>
          <t>Tấm chống cháy dày 10mm ốp 2 mặt cánh van FD/MFD</t>
        </is>
      </c>
      <c r="D42" t="inlineStr">
        <is>
          <t>VẬT_LIỆU_CÁCH_NHIỆT</t>
        </is>
      </c>
      <c r="E42" t="inlineStr">
        <is>
          <t>MAT-FIREBOARD-10MM-BLADE</t>
        </is>
      </c>
      <c r="F42" t="inlineStr">
        <is>
          <t>m2</t>
        </is>
      </c>
      <c r="G42" s="406" t="n">
        <v>3.136328859060403</v>
      </c>
      <c r="H42" s="402">
        <f>IFERROR(INDEX('00_TONG_HOP_BAO_GIA'!$G$1:$G$5000, MATCH(B42, '00_TONG_HOP_BAO_GIA'!$B$1:$B$5000, 0)), 1)</f>
        <v/>
      </c>
      <c r="I42" s="407">
        <f>G42*H42</f>
        <v/>
      </c>
      <c r="J42" s="402">
        <f>IFERROR(INDEX('06_BANG_GIA_VAT_TU_AP_DUNG'!$E$1:$E$5000, MATCH(E42, '06_BANG_GIA_VAT_TU_AP_DUNG'!$B$1:$B$5000, 0)), 0)</f>
        <v/>
      </c>
      <c r="K42" s="402">
        <f>I42*J42</f>
        <v/>
      </c>
      <c r="L42" t="inlineStr">
        <is>
          <t>Ốp 2 mặt cánh tấm 10mm (Đa cánh hệ số (H-5)/149=3.99, bản rộng 210mm, hao hụt 10% (2 modul 850x600mm))</t>
        </is>
      </c>
    </row>
    <row r="43">
      <c r="A43" t="inlineStr">
        <is>
          <t>SW-DAMPER-012-SPRING-BOX</t>
        </is>
      </c>
      <c r="B43" t="inlineStr">
        <is>
          <t>SW-DAMPER-012</t>
        </is>
      </c>
      <c r="C43" t="inlineStr">
        <is>
          <t>Hộp lò xo van chặn lửa FD/MFD</t>
        </is>
      </c>
      <c r="D43" t="inlineStr">
        <is>
          <t>PHỤ_KIỆN_VAN</t>
        </is>
      </c>
      <c r="E43" t="inlineStr">
        <is>
          <t>MAT-DAMPER-HOP-LO-XO</t>
        </is>
      </c>
      <c r="F43" t="inlineStr">
        <is>
          <t>Bộ</t>
        </is>
      </c>
      <c r="G43" s="406" t="n">
        <v>2</v>
      </c>
      <c r="H43" s="402">
        <f>IFERROR(INDEX('00_TONG_HOP_BAO_GIA'!$G$1:$G$5000, MATCH(B43, '00_TONG_HOP_BAO_GIA'!$B$1:$B$5000, 0)), 1)</f>
        <v/>
      </c>
      <c r="I43" s="407">
        <f>G43*H43</f>
        <v/>
      </c>
      <c r="J43" s="402">
        <f>IFERROR(INDEX('06_BANG_GIA_VAT_TU_AP_DUNG'!$E$1:$E$5000, MATCH(E43, '06_BANG_GIA_VAT_TU_AP_DUNG'!$B$1:$B$5000, 0)), 0)</f>
        <v/>
      </c>
      <c r="K43" s="402">
        <f>I43*J43</f>
        <v/>
      </c>
      <c r="L43" t="inlineStr">
        <is>
          <t>Hộp lò xo cơ cấu đóng sập (2 bộ)</t>
        </is>
      </c>
    </row>
    <row r="44">
      <c r="A44" t="inlineStr">
        <is>
          <t>SW-DAMPER-012-SILICON-BOLT</t>
        </is>
      </c>
      <c r="B44" t="inlineStr">
        <is>
          <t>SW-DAMPER-012</t>
        </is>
      </c>
      <c r="C44" t="inlineStr">
        <is>
          <t>Silicon chống cháy + bu lông, ốc vít van FD/MFD</t>
        </is>
      </c>
      <c r="D44" t="inlineStr">
        <is>
          <t>PHỤ_KIỆN_VAN</t>
        </is>
      </c>
      <c r="E44" t="inlineStr">
        <is>
          <t>MAT-DAMPER-SILICON-BULONG-VIT</t>
        </is>
      </c>
      <c r="F44" t="inlineStr">
        <is>
          <t>Bộ</t>
        </is>
      </c>
      <c r="G44" s="406" t="n">
        <v>2</v>
      </c>
      <c r="H44" s="402">
        <f>IFERROR(INDEX('00_TONG_HOP_BAO_GIA'!$G$1:$G$5000, MATCH(B44, '00_TONG_HOP_BAO_GIA'!$B$1:$B$5000, 0)), 1)</f>
        <v/>
      </c>
      <c r="I44" s="407">
        <f>G44*H44</f>
        <v/>
      </c>
      <c r="J44" s="402">
        <f>IFERROR(INDEX('06_BANG_GIA_VAT_TU_AP_DUNG'!$E$1:$E$5000, MATCH(E44, '06_BANG_GIA_VAT_TU_AP_DUNG'!$B$1:$B$5000, 0)), 0)</f>
        <v/>
      </c>
      <c r="K44" s="402">
        <f>I44*J44</f>
        <v/>
      </c>
      <c r="L44" t="inlineStr">
        <is>
          <t>Keo silicon chống cháy &amp; phụ kiện lắp ghép (2 bộ)</t>
        </is>
      </c>
    </row>
    <row r="45">
      <c r="A45" t="inlineStr">
        <is>
          <t>SW-DAMPER-013-BODY</t>
        </is>
      </c>
      <c r="B45" t="inlineStr">
        <is>
          <t>SW-DAMPER-013</t>
        </is>
      </c>
      <c r="C45" t="inlineStr">
        <is>
          <t>Thân vỏ van MFD bích C30/TDF (1.15mm)</t>
        </is>
      </c>
      <c r="D45" t="inlineStr">
        <is>
          <t>TÔN_CUỘN_MẠ_KẼM</t>
        </is>
      </c>
      <c r="E45" t="inlineStr">
        <is>
          <t>MAT-STEEL-PN-1.15</t>
        </is>
      </c>
      <c r="F45" t="inlineStr">
        <is>
          <t>kg</t>
        </is>
      </c>
      <c r="G45" s="406" t="n">
        <v>8.036190225</v>
      </c>
      <c r="H45" s="402">
        <f>IFERROR(INDEX('00_TONG_HOP_BAO_GIA'!$G$1:$G$5000, MATCH(B45, '00_TONG_HOP_BAO_GIA'!$B$1:$B$5000, 0)), 1)</f>
        <v/>
      </c>
      <c r="I45" s="407">
        <f>G45*H45</f>
        <v/>
      </c>
      <c r="J45" s="402">
        <f>IFERROR(INDEX('06_BANG_GIA_VAT_TU_AP_DUNG'!$E$1:$E$5000, MATCH(E45, '06_BANG_GIA_VAT_TU_AP_DUNG'!$B$1:$B$5000, 0)), 0)</f>
        <v/>
      </c>
      <c r="K45" s="402">
        <f>I45*J45</f>
        <v/>
      </c>
      <c r="L45" t="inlineStr">
        <is>
          <t>Kích thước vỏ 1200x350x200mm</t>
        </is>
      </c>
    </row>
    <row r="46">
      <c r="A46" t="inlineStr">
        <is>
          <t>SW-DAMPER-013-BLADE</t>
        </is>
      </c>
      <c r="B46" t="inlineStr">
        <is>
          <t>SW-DAMPER-013</t>
        </is>
      </c>
      <c r="C46" t="inlineStr">
        <is>
          <t>Lá cánh / Tôn tấm bọc van (2 cánh)</t>
        </is>
      </c>
      <c r="D46" t="inlineStr">
        <is>
          <t>TÔN_CUỘN_MẠ_KẼM</t>
        </is>
      </c>
      <c r="E46" t="inlineStr">
        <is>
          <t>MAT-STEEL-PN-1.15</t>
        </is>
      </c>
      <c r="F46" t="inlineStr">
        <is>
          <t>kg</t>
        </is>
      </c>
      <c r="G46" s="406" t="n">
        <v>7.583099999999998</v>
      </c>
      <c r="H46" s="402">
        <f>IFERROR(INDEX('00_TONG_HOP_BAO_GIA'!$G$1:$G$5000, MATCH(B46, '00_TONG_HOP_BAO_GIA'!$B$1:$B$5000, 0)), 1)</f>
        <v/>
      </c>
      <c r="I46" s="407">
        <f>G46*H46</f>
        <v/>
      </c>
      <c r="J46" s="402">
        <f>IFERROR(INDEX('06_BANG_GIA_VAT_TU_AP_DUNG'!$E$1:$E$5000, MATCH(E46, '06_BANG_GIA_VAT_TU_AP_DUNG'!$B$1:$B$5000, 0)), 0)</f>
        <v/>
      </c>
      <c r="K46" s="402">
        <f>I46*J46</f>
        <v/>
      </c>
      <c r="L46" t="inlineStr">
        <is>
          <t>Tôn bọc cánh &amp; thân (2 cánh/modul)</t>
        </is>
      </c>
    </row>
    <row r="47">
      <c r="A47" t="inlineStr">
        <is>
          <t>SW-DAMPER-013-AXLE</t>
        </is>
      </c>
      <c r="B47" t="inlineStr">
        <is>
          <t>SW-DAMPER-013</t>
        </is>
      </c>
      <c r="C47" t="inlineStr">
        <is>
          <t>Trục Sus 201 D10</t>
        </is>
      </c>
      <c r="D47" t="inlineStr">
        <is>
          <t>PHỤ_KIỆN_VAN</t>
        </is>
      </c>
      <c r="E47" t="inlineStr">
        <is>
          <t>MAT-DAMPER-TRUC-SUS-201-D10</t>
        </is>
      </c>
      <c r="F47" t="inlineStr">
        <is>
          <t>m</t>
        </is>
      </c>
      <c r="G47" s="406" t="n">
        <v>2.52</v>
      </c>
      <c r="H47" s="402">
        <f>IFERROR(INDEX('00_TONG_HOP_BAO_GIA'!$G$1:$G$5000, MATCH(B47, '00_TONG_HOP_BAO_GIA'!$B$1:$B$5000, 0)), 1)</f>
        <v/>
      </c>
      <c r="I47" s="407">
        <f>G47*H47</f>
        <v/>
      </c>
      <c r="J47" s="402">
        <f>IFERROR(INDEX('06_BANG_GIA_VAT_TU_AP_DUNG'!$E$1:$E$5000, MATCH(E47, '06_BANG_GIA_VAT_TU_AP_DUNG'!$B$1:$B$5000, 0)), 0)</f>
        <v/>
      </c>
      <c r="K47" s="402">
        <f>I47*J47</f>
        <v/>
      </c>
      <c r="L47" t="inlineStr">
        <is>
          <t>2 trục dài 1260mm</t>
        </is>
      </c>
    </row>
    <row r="48">
      <c r="A48" t="inlineStr">
        <is>
          <t>SW-DAMPER-013-BEARING</t>
        </is>
      </c>
      <c r="B48" t="inlineStr">
        <is>
          <t>SW-DAMPER-013</t>
        </is>
      </c>
      <c r="C48" t="inlineStr">
        <is>
          <t>Bạc đồng D10</t>
        </is>
      </c>
      <c r="D48" t="inlineStr">
        <is>
          <t>PHỤ_KIỆN_VAN</t>
        </is>
      </c>
      <c r="E48" t="inlineStr">
        <is>
          <t>MAT-DAMPER-BAC-DONG-D10</t>
        </is>
      </c>
      <c r="F48" t="inlineStr">
        <is>
          <t>Đôi</t>
        </is>
      </c>
      <c r="G48" s="406" t="n">
        <v>2</v>
      </c>
      <c r="H48" s="402">
        <f>IFERROR(INDEX('00_TONG_HOP_BAO_GIA'!$G$1:$G$5000, MATCH(B48, '00_TONG_HOP_BAO_GIA'!$B$1:$B$5000, 0)), 1)</f>
        <v/>
      </c>
      <c r="I48" s="407">
        <f>G48*H48</f>
        <v/>
      </c>
      <c r="J48" s="402">
        <f>IFERROR(INDEX('06_BANG_GIA_VAT_TU_AP_DUNG'!$E$1:$E$5000, MATCH(E48, '06_BANG_GIA_VAT_TU_AP_DUNG'!$B$1:$B$5000, 0)), 0)</f>
        <v/>
      </c>
      <c r="K48" s="402">
        <f>I48*J48</f>
        <v/>
      </c>
      <c r="L48" t="inlineStr">
        <is>
          <t>2 đôi bạc đỡ 2 bên thân</t>
        </is>
      </c>
    </row>
    <row r="49">
      <c r="A49" t="inlineStr">
        <is>
          <t>SW-DAMPER-013-GEAR</t>
        </is>
      </c>
      <c r="B49" t="inlineStr">
        <is>
          <t>SW-DAMPER-013</t>
        </is>
      </c>
      <c r="C49" t="inlineStr">
        <is>
          <t>Bánh răng van nhôm</t>
        </is>
      </c>
      <c r="D49" t="inlineStr">
        <is>
          <t>PHỤ_KIỆN_VAN</t>
        </is>
      </c>
      <c r="E49" t="inlineStr">
        <is>
          <t>MAT-DAMPER-BANH-RANG-VAN-NHOM</t>
        </is>
      </c>
      <c r="F49" t="inlineStr">
        <is>
          <t>Bộ</t>
        </is>
      </c>
      <c r="G49" s="406" t="n">
        <v>1</v>
      </c>
      <c r="H49" s="402">
        <f>IFERROR(INDEX('00_TONG_HOP_BAO_GIA'!$G$1:$G$5000, MATCH(B49, '00_TONG_HOP_BAO_GIA'!$B$1:$B$5000, 0)), 1)</f>
        <v/>
      </c>
      <c r="I49" s="407">
        <f>G49*H49</f>
        <v/>
      </c>
      <c r="J49" s="402">
        <f>IFERROR(INDEX('06_BANG_GIA_VAT_TU_AP_DUNG'!$E$1:$E$5000, MATCH(E49, '06_BANG_GIA_VAT_TU_AP_DUNG'!$B$1:$B$5000, 0)), 0)</f>
        <v/>
      </c>
      <c r="K49" s="402">
        <f>I49*J49</f>
        <v/>
      </c>
      <c r="L49" t="inlineStr">
        <is>
          <t>Cơ cấu liên động cánh (1 bộ)</t>
        </is>
      </c>
    </row>
    <row r="50">
      <c r="A50" t="inlineStr">
        <is>
          <t>SW-DAMPER-013-ACTUATOR</t>
        </is>
      </c>
      <c r="B50" t="inlineStr">
        <is>
          <t>SW-DAMPER-013</t>
        </is>
      </c>
      <c r="C50" t="inlineStr">
        <is>
          <t>Động cơ chặn lửa ON/OFF 9Nm, 230V/24V (BELIMO BFN24 / BFN230)</t>
        </is>
      </c>
      <c r="D50" t="inlineStr">
        <is>
          <t>ĐỘNG_CƠ_VÀ_CẢM_BIẾN</t>
        </is>
      </c>
      <c r="E50" t="inlineStr">
        <is>
          <t>MAT-ACTUATOR-BELIMO-BFN24</t>
        </is>
      </c>
      <c r="F50" t="inlineStr">
        <is>
          <t>Cái</t>
        </is>
      </c>
      <c r="G50" s="406" t="n">
        <v>1</v>
      </c>
      <c r="H50" s="402">
        <f>IFERROR(INDEX('00_TONG_HOP_BAO_GIA'!$G$1:$G$5000, MATCH(B50, '00_TONG_HOP_BAO_GIA'!$B$1:$B$5000, 0)), 1)</f>
        <v/>
      </c>
      <c r="I50" s="407">
        <f>G50*H50</f>
        <v/>
      </c>
      <c r="J50" s="402">
        <f>IFERROR(INDEX('06_BANG_GIA_VAT_TU_AP_DUNG'!$E$1:$E$5000, MATCH(E50, '06_BANG_GIA_VAT_TU_AP_DUNG'!$B$1:$B$5000, 0)), 0)</f>
        <v/>
      </c>
      <c r="K50" s="402">
        <f>I50*J50</f>
        <v/>
      </c>
      <c r="L50" t="inlineStr">
        <is>
          <t>Động cơ lò xo phản hồi MFD (1 bộ)</t>
        </is>
      </c>
    </row>
    <row r="51">
      <c r="A51" t="inlineStr">
        <is>
          <t>SW-DAMPER-013-FB10-BODY</t>
        </is>
      </c>
      <c r="B51" t="inlineStr">
        <is>
          <t>SW-DAMPER-013</t>
        </is>
      </c>
      <c r="C51" t="inlineStr">
        <is>
          <t>Tấm chống cháy dày 10mm bọc thân van FD/MFD (2 lớp)</t>
        </is>
      </c>
      <c r="D51" t="inlineStr">
        <is>
          <t>VẬT_LIỆU_CÁCH_NHIỆT</t>
        </is>
      </c>
      <c r="E51" t="inlineStr">
        <is>
          <t>MAT-FIREBOARD-10MM-BODY</t>
        </is>
      </c>
      <c r="F51" t="inlineStr">
        <is>
          <t>m2</t>
        </is>
      </c>
      <c r="G51" s="406" t="n">
        <v>1.86</v>
      </c>
      <c r="H51" s="402">
        <f>IFERROR(INDEX('00_TONG_HOP_BAO_GIA'!$G$1:$G$5000, MATCH(B51, '00_TONG_HOP_BAO_GIA'!$B$1:$B$5000, 0)), 1)</f>
        <v/>
      </c>
      <c r="I51" s="407">
        <f>G51*H51</f>
        <v/>
      </c>
      <c r="J51" s="402">
        <f>IFERROR(INDEX('06_BANG_GIA_VAT_TU_AP_DUNG'!$E$1:$E$5000, MATCH(E51, '06_BANG_GIA_VAT_TU_AP_DUNG'!$B$1:$B$5000, 0)), 0)</f>
        <v/>
      </c>
      <c r="K51" s="402">
        <f>I51*J51</f>
        <v/>
      </c>
      <c r="L51" t="inlineStr">
        <is>
          <t>Bọc 2 lớp tấm 10mm quanh thân L=300mm</t>
        </is>
      </c>
    </row>
    <row r="52">
      <c r="A52" t="inlineStr">
        <is>
          <t>SW-DAMPER-013-FB20-BLADE</t>
        </is>
      </c>
      <c r="B52" t="inlineStr">
        <is>
          <t>SW-DAMPER-013</t>
        </is>
      </c>
      <c r="C52" t="inlineStr">
        <is>
          <t>Tấm chống cháy dày 20mm làm lõi cánh van FD/MFD</t>
        </is>
      </c>
      <c r="D52" t="inlineStr">
        <is>
          <t>VẬT_LIỆU_CÁCH_NHIỆT</t>
        </is>
      </c>
      <c r="E52" t="inlineStr">
        <is>
          <t>MAT-FIREBOARD-20MM-BLADE</t>
        </is>
      </c>
      <c r="F52" t="inlineStr">
        <is>
          <t>m2</t>
        </is>
      </c>
      <c r="G52" s="406" t="n">
        <v>0.6311416107382549</v>
      </c>
      <c r="H52" s="402">
        <f>IFERROR(INDEX('00_TONG_HOP_BAO_GIA'!$G$1:$G$5000, MATCH(B52, '00_TONG_HOP_BAO_GIA'!$B$1:$B$5000, 0)), 1)</f>
        <v/>
      </c>
      <c r="I52" s="407">
        <f>G52*H52</f>
        <v/>
      </c>
      <c r="J52" s="402">
        <f>IFERROR(INDEX('06_BANG_GIA_VAT_TU_AP_DUNG'!$E$1:$E$5000, MATCH(E52, '06_BANG_GIA_VAT_TU_AP_DUNG'!$B$1:$B$5000, 0)), 0)</f>
        <v/>
      </c>
      <c r="K52" s="402">
        <f>I52*J52</f>
        <v/>
      </c>
      <c r="L52" t="inlineStr">
        <is>
          <t>Lõi cánh tấm 20mm (Đa cánh hệ số (H-5)/149=2.32, bản rộng 210mm, hao hụt 10%)</t>
        </is>
      </c>
    </row>
    <row r="53">
      <c r="A53" t="inlineStr">
        <is>
          <t>SW-DAMPER-013-FB10-BLADE</t>
        </is>
      </c>
      <c r="B53" t="inlineStr">
        <is>
          <t>SW-DAMPER-013</t>
        </is>
      </c>
      <c r="C53" t="inlineStr">
        <is>
          <t>Tấm chống cháy dày 10mm ốp 2 mặt cánh van FD/MFD</t>
        </is>
      </c>
      <c r="D53" t="inlineStr">
        <is>
          <t>VẬT_LIỆU_CÁCH_NHIỆT</t>
        </is>
      </c>
      <c r="E53" t="inlineStr">
        <is>
          <t>MAT-FIREBOARD-10MM-BLADE</t>
        </is>
      </c>
      <c r="F53" t="inlineStr">
        <is>
          <t>m2</t>
        </is>
      </c>
      <c r="G53" s="406" t="n">
        <v>1.283677852348993</v>
      </c>
      <c r="H53" s="402">
        <f>IFERROR(INDEX('00_TONG_HOP_BAO_GIA'!$G$1:$G$5000, MATCH(B53, '00_TONG_HOP_BAO_GIA'!$B$1:$B$5000, 0)), 1)</f>
        <v/>
      </c>
      <c r="I53" s="407">
        <f>G53*H53</f>
        <v/>
      </c>
      <c r="J53" s="402">
        <f>IFERROR(INDEX('06_BANG_GIA_VAT_TU_AP_DUNG'!$E$1:$E$5000, MATCH(E53, '06_BANG_GIA_VAT_TU_AP_DUNG'!$B$1:$B$5000, 0)), 0)</f>
        <v/>
      </c>
      <c r="K53" s="402">
        <f>I53*J53</f>
        <v/>
      </c>
      <c r="L53" t="inlineStr">
        <is>
          <t>Ốp 2 mặt cánh tấm 10mm (Đa cánh hệ số (H-5)/149=2.32, bản rộng 210mm, hao hụt 10%)</t>
        </is>
      </c>
    </row>
    <row r="54">
      <c r="A54" t="inlineStr">
        <is>
          <t>SW-DAMPER-013-SPRING-BOX</t>
        </is>
      </c>
      <c r="B54" t="inlineStr">
        <is>
          <t>SW-DAMPER-013</t>
        </is>
      </c>
      <c r="C54" t="inlineStr">
        <is>
          <t>Hộp lò xo van chặn lửa FD/MFD</t>
        </is>
      </c>
      <c r="D54" t="inlineStr">
        <is>
          <t>PHỤ_KIỆN_VAN</t>
        </is>
      </c>
      <c r="E54" t="inlineStr">
        <is>
          <t>MAT-DAMPER-HOP-LO-XO</t>
        </is>
      </c>
      <c r="F54" t="inlineStr">
        <is>
          <t>Bộ</t>
        </is>
      </c>
      <c r="G54" s="406" t="n">
        <v>1</v>
      </c>
      <c r="H54" s="402">
        <f>IFERROR(INDEX('00_TONG_HOP_BAO_GIA'!$G$1:$G$5000, MATCH(B54, '00_TONG_HOP_BAO_GIA'!$B$1:$B$5000, 0)), 1)</f>
        <v/>
      </c>
      <c r="I54" s="407">
        <f>G54*H54</f>
        <v/>
      </c>
      <c r="J54" s="402">
        <f>IFERROR(INDEX('06_BANG_GIA_VAT_TU_AP_DUNG'!$E$1:$E$5000, MATCH(E54, '06_BANG_GIA_VAT_TU_AP_DUNG'!$B$1:$B$5000, 0)), 0)</f>
        <v/>
      </c>
      <c r="K54" s="402">
        <f>I54*J54</f>
        <v/>
      </c>
      <c r="L54" t="inlineStr">
        <is>
          <t>Hộp lò xo cơ cấu đóng sập (1 bộ)</t>
        </is>
      </c>
    </row>
    <row r="55">
      <c r="A55" t="inlineStr">
        <is>
          <t>SW-DAMPER-013-SILICON-BOLT</t>
        </is>
      </c>
      <c r="B55" t="inlineStr">
        <is>
          <t>SW-DAMPER-013</t>
        </is>
      </c>
      <c r="C55" t="inlineStr">
        <is>
          <t>Silicon chống cháy + bu lông, ốc vít van FD/MFD</t>
        </is>
      </c>
      <c r="D55" t="inlineStr">
        <is>
          <t>PHỤ_KIỆN_VAN</t>
        </is>
      </c>
      <c r="E55" t="inlineStr">
        <is>
          <t>MAT-DAMPER-SILICON-BULONG-VIT</t>
        </is>
      </c>
      <c r="F55" t="inlineStr">
        <is>
          <t>Bộ</t>
        </is>
      </c>
      <c r="G55" s="406" t="n">
        <v>1</v>
      </c>
      <c r="H55" s="402">
        <f>IFERROR(INDEX('00_TONG_HOP_BAO_GIA'!$G$1:$G$5000, MATCH(B55, '00_TONG_HOP_BAO_GIA'!$B$1:$B$5000, 0)), 1)</f>
        <v/>
      </c>
      <c r="I55" s="407">
        <f>G55*H55</f>
        <v/>
      </c>
      <c r="J55" s="402">
        <f>IFERROR(INDEX('06_BANG_GIA_VAT_TU_AP_DUNG'!$E$1:$E$5000, MATCH(E55, '06_BANG_GIA_VAT_TU_AP_DUNG'!$B$1:$B$5000, 0)), 0)</f>
        <v/>
      </c>
      <c r="K55" s="402">
        <f>I55*J55</f>
        <v/>
      </c>
      <c r="L55" t="inlineStr">
        <is>
          <t>Keo silicon chống cháy &amp; phụ kiện lắp ghép (1 bộ)</t>
        </is>
      </c>
    </row>
    <row r="56">
      <c r="A56" t="inlineStr">
        <is>
          <t>SW-DAMPER-014-BODY</t>
        </is>
      </c>
      <c r="B56" t="inlineStr">
        <is>
          <t>SW-DAMPER-014</t>
        </is>
      </c>
      <c r="C56" t="inlineStr">
        <is>
          <t>Thân vỏ van MFD bích C30/TDF (1.15mm)</t>
        </is>
      </c>
      <c r="D56" t="inlineStr">
        <is>
          <t>TÔN_CUỘN_MẠ_KẼM</t>
        </is>
      </c>
      <c r="E56" t="inlineStr">
        <is>
          <t>MAT-STEEL-PN-1.15</t>
        </is>
      </c>
      <c r="F56" t="inlineStr">
        <is>
          <t>kg</t>
        </is>
      </c>
      <c r="G56" s="406" t="n">
        <v>7.012471725</v>
      </c>
      <c r="H56" s="402">
        <f>IFERROR(INDEX('00_TONG_HOP_BAO_GIA'!$G$1:$G$5000, MATCH(B56, '00_TONG_HOP_BAO_GIA'!$B$1:$B$5000, 0)), 1)</f>
        <v/>
      </c>
      <c r="I56" s="407">
        <f>G56*H56</f>
        <v/>
      </c>
      <c r="J56" s="402">
        <f>IFERROR(INDEX('06_BANG_GIA_VAT_TU_AP_DUNG'!$E$1:$E$5000, MATCH(E56, '06_BANG_GIA_VAT_TU_AP_DUNG'!$B$1:$B$5000, 0)), 0)</f>
        <v/>
      </c>
      <c r="K56" s="402">
        <f>I56*J56</f>
        <v/>
      </c>
      <c r="L56" t="inlineStr">
        <is>
          <t>Kích thước vỏ 950x400x200mm</t>
        </is>
      </c>
    </row>
    <row r="57">
      <c r="A57" t="inlineStr">
        <is>
          <t>SW-DAMPER-014-BLADE</t>
        </is>
      </c>
      <c r="B57" t="inlineStr">
        <is>
          <t>SW-DAMPER-014</t>
        </is>
      </c>
      <c r="C57" t="inlineStr">
        <is>
          <t>Lá cánh / Tôn tấm bọc van (3 cánh)</t>
        </is>
      </c>
      <c r="D57" t="inlineStr">
        <is>
          <t>TÔN_CUỘN_MẠ_KẼM</t>
        </is>
      </c>
      <c r="E57" t="inlineStr">
        <is>
          <t>MAT-STEEL-PN-1.15</t>
        </is>
      </c>
      <c r="F57" t="inlineStr">
        <is>
          <t>kg</t>
        </is>
      </c>
      <c r="G57" s="406" t="n">
        <v>6.860899999999998</v>
      </c>
      <c r="H57" s="402">
        <f>IFERROR(INDEX('00_TONG_HOP_BAO_GIA'!$G$1:$G$5000, MATCH(B57, '00_TONG_HOP_BAO_GIA'!$B$1:$B$5000, 0)), 1)</f>
        <v/>
      </c>
      <c r="I57" s="407">
        <f>G57*H57</f>
        <v/>
      </c>
      <c r="J57" s="402">
        <f>IFERROR(INDEX('06_BANG_GIA_VAT_TU_AP_DUNG'!$E$1:$E$5000, MATCH(E57, '06_BANG_GIA_VAT_TU_AP_DUNG'!$B$1:$B$5000, 0)), 0)</f>
        <v/>
      </c>
      <c r="K57" s="402">
        <f>I57*J57</f>
        <v/>
      </c>
      <c r="L57" t="inlineStr">
        <is>
          <t>Tôn bọc cánh &amp; thân (3 cánh/modul)</t>
        </is>
      </c>
    </row>
    <row r="58">
      <c r="A58" t="inlineStr">
        <is>
          <t>SW-DAMPER-014-AXLE</t>
        </is>
      </c>
      <c r="B58" t="inlineStr">
        <is>
          <t>SW-DAMPER-014</t>
        </is>
      </c>
      <c r="C58" t="inlineStr">
        <is>
          <t>Trục Sus 201 D10</t>
        </is>
      </c>
      <c r="D58" t="inlineStr">
        <is>
          <t>PHỤ_KIỆN_VAN</t>
        </is>
      </c>
      <c r="E58" t="inlineStr">
        <is>
          <t>MAT-DAMPER-TRUC-SUS-201-D10</t>
        </is>
      </c>
      <c r="F58" t="inlineStr">
        <is>
          <t>m</t>
        </is>
      </c>
      <c r="G58" s="406" t="n">
        <v>3.03</v>
      </c>
      <c r="H58" s="402">
        <f>IFERROR(INDEX('00_TONG_HOP_BAO_GIA'!$G$1:$G$5000, MATCH(B58, '00_TONG_HOP_BAO_GIA'!$B$1:$B$5000, 0)), 1)</f>
        <v/>
      </c>
      <c r="I58" s="407">
        <f>G58*H58</f>
        <v/>
      </c>
      <c r="J58" s="402">
        <f>IFERROR(INDEX('06_BANG_GIA_VAT_TU_AP_DUNG'!$E$1:$E$5000, MATCH(E58, '06_BANG_GIA_VAT_TU_AP_DUNG'!$B$1:$B$5000, 0)), 0)</f>
        <v/>
      </c>
      <c r="K58" s="402">
        <f>I58*J58</f>
        <v/>
      </c>
      <c r="L58" t="inlineStr">
        <is>
          <t>3 trục dài 1010mm</t>
        </is>
      </c>
    </row>
    <row r="59">
      <c r="A59" t="inlineStr">
        <is>
          <t>SW-DAMPER-014-BEARING</t>
        </is>
      </c>
      <c r="B59" t="inlineStr">
        <is>
          <t>SW-DAMPER-014</t>
        </is>
      </c>
      <c r="C59" t="inlineStr">
        <is>
          <t>Bạc đồng D10</t>
        </is>
      </c>
      <c r="D59" t="inlineStr">
        <is>
          <t>PHỤ_KIỆN_VAN</t>
        </is>
      </c>
      <c r="E59" t="inlineStr">
        <is>
          <t>MAT-DAMPER-BAC-DONG-D10</t>
        </is>
      </c>
      <c r="F59" t="inlineStr">
        <is>
          <t>Đôi</t>
        </is>
      </c>
      <c r="G59" s="406" t="n">
        <v>3</v>
      </c>
      <c r="H59" s="402">
        <f>IFERROR(INDEX('00_TONG_HOP_BAO_GIA'!$G$1:$G$5000, MATCH(B59, '00_TONG_HOP_BAO_GIA'!$B$1:$B$5000, 0)), 1)</f>
        <v/>
      </c>
      <c r="I59" s="407">
        <f>G59*H59</f>
        <v/>
      </c>
      <c r="J59" s="402">
        <f>IFERROR(INDEX('06_BANG_GIA_VAT_TU_AP_DUNG'!$E$1:$E$5000, MATCH(E59, '06_BANG_GIA_VAT_TU_AP_DUNG'!$B$1:$B$5000, 0)), 0)</f>
        <v/>
      </c>
      <c r="K59" s="402">
        <f>I59*J59</f>
        <v/>
      </c>
      <c r="L59" t="inlineStr">
        <is>
          <t>3 đôi bạc đỡ 2 bên thân</t>
        </is>
      </c>
    </row>
    <row r="60">
      <c r="A60" t="inlineStr">
        <is>
          <t>SW-DAMPER-014-GEAR</t>
        </is>
      </c>
      <c r="B60" t="inlineStr">
        <is>
          <t>SW-DAMPER-014</t>
        </is>
      </c>
      <c r="C60" t="inlineStr">
        <is>
          <t>Bánh răng van nhôm</t>
        </is>
      </c>
      <c r="D60" t="inlineStr">
        <is>
          <t>PHỤ_KIỆN_VAN</t>
        </is>
      </c>
      <c r="E60" t="inlineStr">
        <is>
          <t>MAT-DAMPER-BANH-RANG-VAN-NHOM</t>
        </is>
      </c>
      <c r="F60" t="inlineStr">
        <is>
          <t>Bộ</t>
        </is>
      </c>
      <c r="G60" s="406" t="n">
        <v>1</v>
      </c>
      <c r="H60" s="402">
        <f>IFERROR(INDEX('00_TONG_HOP_BAO_GIA'!$G$1:$G$5000, MATCH(B60, '00_TONG_HOP_BAO_GIA'!$B$1:$B$5000, 0)), 1)</f>
        <v/>
      </c>
      <c r="I60" s="407">
        <f>G60*H60</f>
        <v/>
      </c>
      <c r="J60" s="402">
        <f>IFERROR(INDEX('06_BANG_GIA_VAT_TU_AP_DUNG'!$E$1:$E$5000, MATCH(E60, '06_BANG_GIA_VAT_TU_AP_DUNG'!$B$1:$B$5000, 0)), 0)</f>
        <v/>
      </c>
      <c r="K60" s="402">
        <f>I60*J60</f>
        <v/>
      </c>
      <c r="L60" t="inlineStr">
        <is>
          <t>Cơ cấu liên động cánh (1 bộ)</t>
        </is>
      </c>
    </row>
    <row r="61">
      <c r="A61" t="inlineStr">
        <is>
          <t>SW-DAMPER-014-ACTUATOR</t>
        </is>
      </c>
      <c r="B61" t="inlineStr">
        <is>
          <t>SW-DAMPER-014</t>
        </is>
      </c>
      <c r="C61" t="inlineStr">
        <is>
          <t>Động cơ chặn lửa ON/OFF 9Nm, 230V/24V (BELIMO BFN24 / BFN230)</t>
        </is>
      </c>
      <c r="D61" t="inlineStr">
        <is>
          <t>ĐỘNG_CƠ_VÀ_CẢM_BIẾN</t>
        </is>
      </c>
      <c r="E61" t="inlineStr">
        <is>
          <t>MAT-ACTUATOR-BELIMO-BFN24</t>
        </is>
      </c>
      <c r="F61" t="inlineStr">
        <is>
          <t>Cái</t>
        </is>
      </c>
      <c r="G61" s="406" t="n">
        <v>1</v>
      </c>
      <c r="H61" s="402">
        <f>IFERROR(INDEX('00_TONG_HOP_BAO_GIA'!$G$1:$G$5000, MATCH(B61, '00_TONG_HOP_BAO_GIA'!$B$1:$B$5000, 0)), 1)</f>
        <v/>
      </c>
      <c r="I61" s="407">
        <f>G61*H61</f>
        <v/>
      </c>
      <c r="J61" s="402">
        <f>IFERROR(INDEX('06_BANG_GIA_VAT_TU_AP_DUNG'!$E$1:$E$5000, MATCH(E61, '06_BANG_GIA_VAT_TU_AP_DUNG'!$B$1:$B$5000, 0)), 0)</f>
        <v/>
      </c>
      <c r="K61" s="402">
        <f>I61*J61</f>
        <v/>
      </c>
      <c r="L61" t="inlineStr">
        <is>
          <t>Động cơ lò xo phản hồi MFD (1 bộ)</t>
        </is>
      </c>
    </row>
    <row r="62">
      <c r="A62" t="inlineStr">
        <is>
          <t>SW-DAMPER-014-FB10-BODY</t>
        </is>
      </c>
      <c r="B62" t="inlineStr">
        <is>
          <t>SW-DAMPER-014</t>
        </is>
      </c>
      <c r="C62" t="inlineStr">
        <is>
          <t>Tấm chống cháy dày 10mm bọc thân van FD/MFD (2 lớp)</t>
        </is>
      </c>
      <c r="D62" t="inlineStr">
        <is>
          <t>VẬT_LIỆU_CÁCH_NHIỆT</t>
        </is>
      </c>
      <c r="E62" t="inlineStr">
        <is>
          <t>MAT-FIREBOARD-10MM-BODY</t>
        </is>
      </c>
      <c r="F62" t="inlineStr">
        <is>
          <t>m2</t>
        </is>
      </c>
      <c r="G62" s="406" t="n">
        <v>1.62</v>
      </c>
      <c r="H62" s="402">
        <f>IFERROR(INDEX('00_TONG_HOP_BAO_GIA'!$G$1:$G$5000, MATCH(B62, '00_TONG_HOP_BAO_GIA'!$B$1:$B$5000, 0)), 1)</f>
        <v/>
      </c>
      <c r="I62" s="407">
        <f>G62*H62</f>
        <v/>
      </c>
      <c r="J62" s="402">
        <f>IFERROR(INDEX('06_BANG_GIA_VAT_TU_AP_DUNG'!$E$1:$E$5000, MATCH(E62, '06_BANG_GIA_VAT_TU_AP_DUNG'!$B$1:$B$5000, 0)), 0)</f>
        <v/>
      </c>
      <c r="K62" s="402">
        <f>I62*J62</f>
        <v/>
      </c>
      <c r="L62" t="inlineStr">
        <is>
          <t>Bọc 2 lớp tấm 10mm quanh thân L=300mm</t>
        </is>
      </c>
    </row>
    <row r="63">
      <c r="A63" t="inlineStr">
        <is>
          <t>SW-DAMPER-014-FB20-BLADE</t>
        </is>
      </c>
      <c r="B63" t="inlineStr">
        <is>
          <t>SW-DAMPER-014</t>
        </is>
      </c>
      <c r="C63" t="inlineStr">
        <is>
          <t>Tấm chống cháy dày 20mm làm lõi cánh van FD/MFD</t>
        </is>
      </c>
      <c r="D63" t="inlineStr">
        <is>
          <t>VẬT_LIỆU_CÁCH_NHIỆT</t>
        </is>
      </c>
      <c r="E63" t="inlineStr">
        <is>
          <t>MAT-FIREBOARD-20MM-BLADE</t>
        </is>
      </c>
      <c r="F63" t="inlineStr">
        <is>
          <t>m2</t>
        </is>
      </c>
      <c r="G63" s="406" t="n">
        <v>0.5695157718120807</v>
      </c>
      <c r="H63" s="402">
        <f>IFERROR(INDEX('00_TONG_HOP_BAO_GIA'!$G$1:$G$5000, MATCH(B63, '00_TONG_HOP_BAO_GIA'!$B$1:$B$5000, 0)), 1)</f>
        <v/>
      </c>
      <c r="I63" s="407">
        <f>G63*H63</f>
        <v/>
      </c>
      <c r="J63" s="402">
        <f>IFERROR(INDEX('06_BANG_GIA_VAT_TU_AP_DUNG'!$E$1:$E$5000, MATCH(E63, '06_BANG_GIA_VAT_TU_AP_DUNG'!$B$1:$B$5000, 0)), 0)</f>
        <v/>
      </c>
      <c r="K63" s="402">
        <f>I63*J63</f>
        <v/>
      </c>
      <c r="L63" t="inlineStr">
        <is>
          <t>Lõi cánh tấm 20mm (Đa cánh hệ số (H-5)/149=2.65, bản rộng 210mm, hao hụt 10%)</t>
        </is>
      </c>
    </row>
    <row r="64">
      <c r="A64" t="inlineStr">
        <is>
          <t>SW-DAMPER-014-FB10-BLADE</t>
        </is>
      </c>
      <c r="B64" t="inlineStr">
        <is>
          <t>SW-DAMPER-014</t>
        </is>
      </c>
      <c r="C64" t="inlineStr">
        <is>
          <t>Tấm chống cháy dày 10mm ốp 2 mặt cánh van FD/MFD</t>
        </is>
      </c>
      <c r="D64" t="inlineStr">
        <is>
          <t>VẬT_LIỆU_CÁCH_NHIỆT</t>
        </is>
      </c>
      <c r="E64" t="inlineStr">
        <is>
          <t>MAT-FIREBOARD-10MM-BLADE</t>
        </is>
      </c>
      <c r="F64" t="inlineStr">
        <is>
          <t>m2</t>
        </is>
      </c>
      <c r="G64" s="406" t="n">
        <v>1.163526845637584</v>
      </c>
      <c r="H64" s="402">
        <f>IFERROR(INDEX('00_TONG_HOP_BAO_GIA'!$G$1:$G$5000, MATCH(B64, '00_TONG_HOP_BAO_GIA'!$B$1:$B$5000, 0)), 1)</f>
        <v/>
      </c>
      <c r="I64" s="407">
        <f>G64*H64</f>
        <v/>
      </c>
      <c r="J64" s="402">
        <f>IFERROR(INDEX('06_BANG_GIA_VAT_TU_AP_DUNG'!$E$1:$E$5000, MATCH(E64, '06_BANG_GIA_VAT_TU_AP_DUNG'!$B$1:$B$5000, 0)), 0)</f>
        <v/>
      </c>
      <c r="K64" s="402">
        <f>I64*J64</f>
        <v/>
      </c>
      <c r="L64" t="inlineStr">
        <is>
          <t>Ốp 2 mặt cánh tấm 10mm (Đa cánh hệ số (H-5)/149=2.65, bản rộng 210mm, hao hụt 10%)</t>
        </is>
      </c>
    </row>
    <row r="65">
      <c r="A65" t="inlineStr">
        <is>
          <t>SW-DAMPER-014-SPRING-BOX</t>
        </is>
      </c>
      <c r="B65" t="inlineStr">
        <is>
          <t>SW-DAMPER-014</t>
        </is>
      </c>
      <c r="C65" t="inlineStr">
        <is>
          <t>Hộp lò xo van chặn lửa FD/MFD</t>
        </is>
      </c>
      <c r="D65" t="inlineStr">
        <is>
          <t>PHỤ_KIỆN_VAN</t>
        </is>
      </c>
      <c r="E65" t="inlineStr">
        <is>
          <t>MAT-DAMPER-HOP-LO-XO</t>
        </is>
      </c>
      <c r="F65" t="inlineStr">
        <is>
          <t>Bộ</t>
        </is>
      </c>
      <c r="G65" s="406" t="n">
        <v>1</v>
      </c>
      <c r="H65" s="402">
        <f>IFERROR(INDEX('00_TONG_HOP_BAO_GIA'!$G$1:$G$5000, MATCH(B65, '00_TONG_HOP_BAO_GIA'!$B$1:$B$5000, 0)), 1)</f>
        <v/>
      </c>
      <c r="I65" s="407">
        <f>G65*H65</f>
        <v/>
      </c>
      <c r="J65" s="402">
        <f>IFERROR(INDEX('06_BANG_GIA_VAT_TU_AP_DUNG'!$E$1:$E$5000, MATCH(E65, '06_BANG_GIA_VAT_TU_AP_DUNG'!$B$1:$B$5000, 0)), 0)</f>
        <v/>
      </c>
      <c r="K65" s="402">
        <f>I65*J65</f>
        <v/>
      </c>
      <c r="L65" t="inlineStr">
        <is>
          <t>Hộp lò xo cơ cấu đóng sập (1 bộ)</t>
        </is>
      </c>
    </row>
    <row r="66">
      <c r="A66" t="inlineStr">
        <is>
          <t>SW-DAMPER-014-SILICON-BOLT</t>
        </is>
      </c>
      <c r="B66" t="inlineStr">
        <is>
          <t>SW-DAMPER-014</t>
        </is>
      </c>
      <c r="C66" t="inlineStr">
        <is>
          <t>Silicon chống cháy + bu lông, ốc vít van FD/MFD</t>
        </is>
      </c>
      <c r="D66" t="inlineStr">
        <is>
          <t>PHỤ_KIỆN_VAN</t>
        </is>
      </c>
      <c r="E66" t="inlineStr">
        <is>
          <t>MAT-DAMPER-SILICON-BULONG-VIT</t>
        </is>
      </c>
      <c r="F66" t="inlineStr">
        <is>
          <t>Bộ</t>
        </is>
      </c>
      <c r="G66" s="406" t="n">
        <v>1</v>
      </c>
      <c r="H66" s="402">
        <f>IFERROR(INDEX('00_TONG_HOP_BAO_GIA'!$G$1:$G$5000, MATCH(B66, '00_TONG_HOP_BAO_GIA'!$B$1:$B$5000, 0)), 1)</f>
        <v/>
      </c>
      <c r="I66" s="407">
        <f>G66*H66</f>
        <v/>
      </c>
      <c r="J66" s="402">
        <f>IFERROR(INDEX('06_BANG_GIA_VAT_TU_AP_DUNG'!$E$1:$E$5000, MATCH(E66, '06_BANG_GIA_VAT_TU_AP_DUNG'!$B$1:$B$5000, 0)), 0)</f>
        <v/>
      </c>
      <c r="K66" s="402">
        <f>I66*J66</f>
        <v/>
      </c>
      <c r="L66" t="inlineStr">
        <is>
          <t>Keo silicon chống cháy &amp; phụ kiện lắp ghép (1 bộ)</t>
        </is>
      </c>
    </row>
    <row r="67">
      <c r="A67" t="inlineStr">
        <is>
          <t>SW-DAMPER-015-BODY</t>
        </is>
      </c>
      <c r="B67" t="inlineStr">
        <is>
          <t>SW-DAMPER-015</t>
        </is>
      </c>
      <c r="C67" t="inlineStr">
        <is>
          <t>Thân vỏ van MFD bích C30/TDF (1.15mm)</t>
        </is>
      </c>
      <c r="D67" t="inlineStr">
        <is>
          <t>TÔN_CUỘN_MẠ_KẼM</t>
        </is>
      </c>
      <c r="E67" t="inlineStr">
        <is>
          <t>MAT-STEEL-PN-1.15</t>
        </is>
      </c>
      <c r="F67" t="inlineStr">
        <is>
          <t>kg</t>
        </is>
      </c>
      <c r="G67" s="406" t="n">
        <v>7.524330974999999</v>
      </c>
      <c r="H67" s="402">
        <f>IFERROR(INDEX('00_TONG_HOP_BAO_GIA'!$G$1:$G$5000, MATCH(B67, '00_TONG_HOP_BAO_GIA'!$B$1:$B$5000, 0)), 1)</f>
        <v/>
      </c>
      <c r="I67" s="407">
        <f>G67*H67</f>
        <v/>
      </c>
      <c r="J67" s="402">
        <f>IFERROR(INDEX('06_BANG_GIA_VAT_TU_AP_DUNG'!$E$1:$E$5000, MATCH(E67, '06_BANG_GIA_VAT_TU_AP_DUNG'!$B$1:$B$5000, 0)), 0)</f>
        <v/>
      </c>
      <c r="K67" s="402">
        <f>I67*J67</f>
        <v/>
      </c>
      <c r="L67" t="inlineStr">
        <is>
          <t>Kích thước vỏ 950x500x200mm</t>
        </is>
      </c>
    </row>
    <row r="68">
      <c r="A68" t="inlineStr">
        <is>
          <t>SW-DAMPER-015-BLADE</t>
        </is>
      </c>
      <c r="B68" t="inlineStr">
        <is>
          <t>SW-DAMPER-015</t>
        </is>
      </c>
      <c r="C68" t="inlineStr">
        <is>
          <t>Lá cánh / Tôn tấm bọc van (3 cánh)</t>
        </is>
      </c>
      <c r="D68" t="inlineStr">
        <is>
          <t>TÔN_CUỘN_MẠ_KẼM</t>
        </is>
      </c>
      <c r="E68" t="inlineStr">
        <is>
          <t>MAT-STEEL-PN-1.15</t>
        </is>
      </c>
      <c r="F68" t="inlineStr">
        <is>
          <t>kg</t>
        </is>
      </c>
      <c r="G68" s="406" t="n">
        <v>8.576124999999998</v>
      </c>
      <c r="H68" s="402">
        <f>IFERROR(INDEX('00_TONG_HOP_BAO_GIA'!$G$1:$G$5000, MATCH(B68, '00_TONG_HOP_BAO_GIA'!$B$1:$B$5000, 0)), 1)</f>
        <v/>
      </c>
      <c r="I68" s="407">
        <f>G68*H68</f>
        <v/>
      </c>
      <c r="J68" s="402">
        <f>IFERROR(INDEX('06_BANG_GIA_VAT_TU_AP_DUNG'!$E$1:$E$5000, MATCH(E68, '06_BANG_GIA_VAT_TU_AP_DUNG'!$B$1:$B$5000, 0)), 0)</f>
        <v/>
      </c>
      <c r="K68" s="402">
        <f>I68*J68</f>
        <v/>
      </c>
      <c r="L68" t="inlineStr">
        <is>
          <t>Tôn bọc cánh &amp; thân (3 cánh/modul)</t>
        </is>
      </c>
    </row>
    <row r="69">
      <c r="A69" t="inlineStr">
        <is>
          <t>SW-DAMPER-015-AXLE</t>
        </is>
      </c>
      <c r="B69" t="inlineStr">
        <is>
          <t>SW-DAMPER-015</t>
        </is>
      </c>
      <c r="C69" t="inlineStr">
        <is>
          <t>Trục Sus 201 D10</t>
        </is>
      </c>
      <c r="D69" t="inlineStr">
        <is>
          <t>PHỤ_KIỆN_VAN</t>
        </is>
      </c>
      <c r="E69" t="inlineStr">
        <is>
          <t>MAT-DAMPER-TRUC-SUS-201-D10</t>
        </is>
      </c>
      <c r="F69" t="inlineStr">
        <is>
          <t>m</t>
        </is>
      </c>
      <c r="G69" s="406" t="n">
        <v>3.03</v>
      </c>
      <c r="H69" s="402">
        <f>IFERROR(INDEX('00_TONG_HOP_BAO_GIA'!$G$1:$G$5000, MATCH(B69, '00_TONG_HOP_BAO_GIA'!$B$1:$B$5000, 0)), 1)</f>
        <v/>
      </c>
      <c r="I69" s="407">
        <f>G69*H69</f>
        <v/>
      </c>
      <c r="J69" s="402">
        <f>IFERROR(INDEX('06_BANG_GIA_VAT_TU_AP_DUNG'!$E$1:$E$5000, MATCH(E69, '06_BANG_GIA_VAT_TU_AP_DUNG'!$B$1:$B$5000, 0)), 0)</f>
        <v/>
      </c>
      <c r="K69" s="402">
        <f>I69*J69</f>
        <v/>
      </c>
      <c r="L69" t="inlineStr">
        <is>
          <t>3 trục dài 1010mm</t>
        </is>
      </c>
    </row>
    <row r="70">
      <c r="A70" t="inlineStr">
        <is>
          <t>SW-DAMPER-015-BEARING</t>
        </is>
      </c>
      <c r="B70" t="inlineStr">
        <is>
          <t>SW-DAMPER-015</t>
        </is>
      </c>
      <c r="C70" t="inlineStr">
        <is>
          <t>Bạc đồng D10</t>
        </is>
      </c>
      <c r="D70" t="inlineStr">
        <is>
          <t>PHỤ_KIỆN_VAN</t>
        </is>
      </c>
      <c r="E70" t="inlineStr">
        <is>
          <t>MAT-DAMPER-BAC-DONG-D10</t>
        </is>
      </c>
      <c r="F70" t="inlineStr">
        <is>
          <t>Đôi</t>
        </is>
      </c>
      <c r="G70" s="406" t="n">
        <v>3</v>
      </c>
      <c r="H70" s="402">
        <f>IFERROR(INDEX('00_TONG_HOP_BAO_GIA'!$G$1:$G$5000, MATCH(B70, '00_TONG_HOP_BAO_GIA'!$B$1:$B$5000, 0)), 1)</f>
        <v/>
      </c>
      <c r="I70" s="407">
        <f>G70*H70</f>
        <v/>
      </c>
      <c r="J70" s="402">
        <f>IFERROR(INDEX('06_BANG_GIA_VAT_TU_AP_DUNG'!$E$1:$E$5000, MATCH(E70, '06_BANG_GIA_VAT_TU_AP_DUNG'!$B$1:$B$5000, 0)), 0)</f>
        <v/>
      </c>
      <c r="K70" s="402">
        <f>I70*J70</f>
        <v/>
      </c>
      <c r="L70" t="inlineStr">
        <is>
          <t>3 đôi bạc đỡ 2 bên thân</t>
        </is>
      </c>
    </row>
    <row r="71">
      <c r="A71" t="inlineStr">
        <is>
          <t>SW-DAMPER-015-GEAR</t>
        </is>
      </c>
      <c r="B71" t="inlineStr">
        <is>
          <t>SW-DAMPER-015</t>
        </is>
      </c>
      <c r="C71" t="inlineStr">
        <is>
          <t>Bánh răng van nhôm</t>
        </is>
      </c>
      <c r="D71" t="inlineStr">
        <is>
          <t>PHỤ_KIỆN_VAN</t>
        </is>
      </c>
      <c r="E71" t="inlineStr">
        <is>
          <t>MAT-DAMPER-BANH-RANG-VAN-NHOM</t>
        </is>
      </c>
      <c r="F71" t="inlineStr">
        <is>
          <t>Bộ</t>
        </is>
      </c>
      <c r="G71" s="406" t="n">
        <v>1</v>
      </c>
      <c r="H71" s="402">
        <f>IFERROR(INDEX('00_TONG_HOP_BAO_GIA'!$G$1:$G$5000, MATCH(B71, '00_TONG_HOP_BAO_GIA'!$B$1:$B$5000, 0)), 1)</f>
        <v/>
      </c>
      <c r="I71" s="407">
        <f>G71*H71</f>
        <v/>
      </c>
      <c r="J71" s="402">
        <f>IFERROR(INDEX('06_BANG_GIA_VAT_TU_AP_DUNG'!$E$1:$E$5000, MATCH(E71, '06_BANG_GIA_VAT_TU_AP_DUNG'!$B$1:$B$5000, 0)), 0)</f>
        <v/>
      </c>
      <c r="K71" s="402">
        <f>I71*J71</f>
        <v/>
      </c>
      <c r="L71" t="inlineStr">
        <is>
          <t>Cơ cấu liên động cánh (1 bộ)</t>
        </is>
      </c>
    </row>
    <row r="72">
      <c r="A72" t="inlineStr">
        <is>
          <t>SW-DAMPER-015-ACTUATOR</t>
        </is>
      </c>
      <c r="B72" t="inlineStr">
        <is>
          <t>SW-DAMPER-015</t>
        </is>
      </c>
      <c r="C72" t="inlineStr">
        <is>
          <t>Động cơ chặn lửa ON/OFF 9Nm, 230V/24V (BELIMO BFN24 / BFN230)</t>
        </is>
      </c>
      <c r="D72" t="inlineStr">
        <is>
          <t>ĐỘNG_CƠ_VÀ_CẢM_BIẾN</t>
        </is>
      </c>
      <c r="E72" t="inlineStr">
        <is>
          <t>MAT-ACTUATOR-BELIMO-BFN24</t>
        </is>
      </c>
      <c r="F72" t="inlineStr">
        <is>
          <t>Cái</t>
        </is>
      </c>
      <c r="G72" s="406" t="n">
        <v>1</v>
      </c>
      <c r="H72" s="402">
        <f>IFERROR(INDEX('00_TONG_HOP_BAO_GIA'!$G$1:$G$5000, MATCH(B72, '00_TONG_HOP_BAO_GIA'!$B$1:$B$5000, 0)), 1)</f>
        <v/>
      </c>
      <c r="I72" s="407">
        <f>G72*H72</f>
        <v/>
      </c>
      <c r="J72" s="402">
        <f>IFERROR(INDEX('06_BANG_GIA_VAT_TU_AP_DUNG'!$E$1:$E$5000, MATCH(E72, '06_BANG_GIA_VAT_TU_AP_DUNG'!$B$1:$B$5000, 0)), 0)</f>
        <v/>
      </c>
      <c r="K72" s="402">
        <f>I72*J72</f>
        <v/>
      </c>
      <c r="L72" t="inlineStr">
        <is>
          <t>Động cơ lò xo phản hồi MFD (1 bộ)</t>
        </is>
      </c>
    </row>
    <row r="73">
      <c r="A73" t="inlineStr">
        <is>
          <t>SW-DAMPER-015-FB10-BODY</t>
        </is>
      </c>
      <c r="B73" t="inlineStr">
        <is>
          <t>SW-DAMPER-015</t>
        </is>
      </c>
      <c r="C73" t="inlineStr">
        <is>
          <t>Tấm chống cháy dày 10mm bọc thân van FD/MFD (2 lớp)</t>
        </is>
      </c>
      <c r="D73" t="inlineStr">
        <is>
          <t>VẬT_LIỆU_CÁCH_NHIỆT</t>
        </is>
      </c>
      <c r="E73" t="inlineStr">
        <is>
          <t>MAT-FIREBOARD-10MM-BODY</t>
        </is>
      </c>
      <c r="F73" t="inlineStr">
        <is>
          <t>m2</t>
        </is>
      </c>
      <c r="G73" s="406" t="n">
        <v>1.74</v>
      </c>
      <c r="H73" s="402">
        <f>IFERROR(INDEX('00_TONG_HOP_BAO_GIA'!$G$1:$G$5000, MATCH(B73, '00_TONG_HOP_BAO_GIA'!$B$1:$B$5000, 0)), 1)</f>
        <v/>
      </c>
      <c r="I73" s="407">
        <f>G73*H73</f>
        <v/>
      </c>
      <c r="J73" s="402">
        <f>IFERROR(INDEX('06_BANG_GIA_VAT_TU_AP_DUNG'!$E$1:$E$5000, MATCH(E73, '06_BANG_GIA_VAT_TU_AP_DUNG'!$B$1:$B$5000, 0)), 0)</f>
        <v/>
      </c>
      <c r="K73" s="402">
        <f>I73*J73</f>
        <v/>
      </c>
      <c r="L73" t="inlineStr">
        <is>
          <t>Bọc 2 lớp tấm 10mm quanh thân L=300mm</t>
        </is>
      </c>
    </row>
    <row r="74">
      <c r="A74" t="inlineStr">
        <is>
          <t>SW-DAMPER-015-FB20-BLADE</t>
        </is>
      </c>
      <c r="B74" t="inlineStr">
        <is>
          <t>SW-DAMPER-015</t>
        </is>
      </c>
      <c r="C74" t="inlineStr">
        <is>
          <t>Tấm chống cháy dày 20mm làm lõi cánh van FD/MFD</t>
        </is>
      </c>
      <c r="D74" t="inlineStr">
        <is>
          <t>VẬT_LIỆU_CÁCH_NHIỆT</t>
        </is>
      </c>
      <c r="E74" t="inlineStr">
        <is>
          <t>MAT-FIREBOARD-20MM-BLADE</t>
        </is>
      </c>
      <c r="F74" t="inlineStr">
        <is>
          <t>m2</t>
        </is>
      </c>
      <c r="G74" s="406" t="n">
        <v>0.7136969798657719</v>
      </c>
      <c r="H74" s="402">
        <f>IFERROR(INDEX('00_TONG_HOP_BAO_GIA'!$G$1:$G$5000, MATCH(B74, '00_TONG_HOP_BAO_GIA'!$B$1:$B$5000, 0)), 1)</f>
        <v/>
      </c>
      <c r="I74" s="407">
        <f>G74*H74</f>
        <v/>
      </c>
      <c r="J74" s="402">
        <f>IFERROR(INDEX('06_BANG_GIA_VAT_TU_AP_DUNG'!$E$1:$E$5000, MATCH(E74, '06_BANG_GIA_VAT_TU_AP_DUNG'!$B$1:$B$5000, 0)), 0)</f>
        <v/>
      </c>
      <c r="K74" s="402">
        <f>I74*J74</f>
        <v/>
      </c>
      <c r="L74" t="inlineStr">
        <is>
          <t>Lõi cánh tấm 20mm (Đa cánh hệ số (H-5)/149=3.32, bản rộng 210mm, hao hụt 10%)</t>
        </is>
      </c>
    </row>
    <row r="75">
      <c r="A75" t="inlineStr">
        <is>
          <t>SW-DAMPER-015-FB10-BLADE</t>
        </is>
      </c>
      <c r="B75" t="inlineStr">
        <is>
          <t>SW-DAMPER-015</t>
        </is>
      </c>
      <c r="C75" t="inlineStr">
        <is>
          <t>Tấm chống cháy dày 10mm ốp 2 mặt cánh van FD/MFD</t>
        </is>
      </c>
      <c r="D75" t="inlineStr">
        <is>
          <t>VẬT_LIỆU_CÁCH_NHIỆT</t>
        </is>
      </c>
      <c r="E75" t="inlineStr">
        <is>
          <t>MAT-FIREBOARD-10MM-BLADE</t>
        </is>
      </c>
      <c r="F75" t="inlineStr">
        <is>
          <t>m2</t>
        </is>
      </c>
      <c r="G75" s="406" t="n">
        <v>1.458090604026846</v>
      </c>
      <c r="H75" s="402">
        <f>IFERROR(INDEX('00_TONG_HOP_BAO_GIA'!$G$1:$G$5000, MATCH(B75, '00_TONG_HOP_BAO_GIA'!$B$1:$B$5000, 0)), 1)</f>
        <v/>
      </c>
      <c r="I75" s="407">
        <f>G75*H75</f>
        <v/>
      </c>
      <c r="J75" s="402">
        <f>IFERROR(INDEX('06_BANG_GIA_VAT_TU_AP_DUNG'!$E$1:$E$5000, MATCH(E75, '06_BANG_GIA_VAT_TU_AP_DUNG'!$B$1:$B$5000, 0)), 0)</f>
        <v/>
      </c>
      <c r="K75" s="402">
        <f>I75*J75</f>
        <v/>
      </c>
      <c r="L75" t="inlineStr">
        <is>
          <t>Ốp 2 mặt cánh tấm 10mm (Đa cánh hệ số (H-5)/149=3.32, bản rộng 210mm, hao hụt 10%)</t>
        </is>
      </c>
    </row>
    <row r="76">
      <c r="A76" t="inlineStr">
        <is>
          <t>SW-DAMPER-015-SPRING-BOX</t>
        </is>
      </c>
      <c r="B76" t="inlineStr">
        <is>
          <t>SW-DAMPER-015</t>
        </is>
      </c>
      <c r="C76" t="inlineStr">
        <is>
          <t>Hộp lò xo van chặn lửa FD/MFD</t>
        </is>
      </c>
      <c r="D76" t="inlineStr">
        <is>
          <t>PHỤ_KIỆN_VAN</t>
        </is>
      </c>
      <c r="E76" t="inlineStr">
        <is>
          <t>MAT-DAMPER-HOP-LO-XO</t>
        </is>
      </c>
      <c r="F76" t="inlineStr">
        <is>
          <t>Bộ</t>
        </is>
      </c>
      <c r="G76" s="406" t="n">
        <v>1</v>
      </c>
      <c r="H76" s="402">
        <f>IFERROR(INDEX('00_TONG_HOP_BAO_GIA'!$G$1:$G$5000, MATCH(B76, '00_TONG_HOP_BAO_GIA'!$B$1:$B$5000, 0)), 1)</f>
        <v/>
      </c>
      <c r="I76" s="407">
        <f>G76*H76</f>
        <v/>
      </c>
      <c r="J76" s="402">
        <f>IFERROR(INDEX('06_BANG_GIA_VAT_TU_AP_DUNG'!$E$1:$E$5000, MATCH(E76, '06_BANG_GIA_VAT_TU_AP_DUNG'!$B$1:$B$5000, 0)), 0)</f>
        <v/>
      </c>
      <c r="K76" s="402">
        <f>I76*J76</f>
        <v/>
      </c>
      <c r="L76" t="inlineStr">
        <is>
          <t>Hộp lò xo cơ cấu đóng sập (1 bộ)</t>
        </is>
      </c>
    </row>
    <row r="77">
      <c r="A77" t="inlineStr">
        <is>
          <t>SW-DAMPER-015-SILICON-BOLT</t>
        </is>
      </c>
      <c r="B77" t="inlineStr">
        <is>
          <t>SW-DAMPER-015</t>
        </is>
      </c>
      <c r="C77" t="inlineStr">
        <is>
          <t>Silicon chống cháy + bu lông, ốc vít van FD/MFD</t>
        </is>
      </c>
      <c r="D77" t="inlineStr">
        <is>
          <t>PHỤ_KIỆN_VAN</t>
        </is>
      </c>
      <c r="E77" t="inlineStr">
        <is>
          <t>MAT-DAMPER-SILICON-BULONG-VIT</t>
        </is>
      </c>
      <c r="F77" t="inlineStr">
        <is>
          <t>Bộ</t>
        </is>
      </c>
      <c r="G77" s="406" t="n">
        <v>1</v>
      </c>
      <c r="H77" s="402">
        <f>IFERROR(INDEX('00_TONG_HOP_BAO_GIA'!$G$1:$G$5000, MATCH(B77, '00_TONG_HOP_BAO_GIA'!$B$1:$B$5000, 0)), 1)</f>
        <v/>
      </c>
      <c r="I77" s="407">
        <f>G77*H77</f>
        <v/>
      </c>
      <c r="J77" s="402">
        <f>IFERROR(INDEX('06_BANG_GIA_VAT_TU_AP_DUNG'!$E$1:$E$5000, MATCH(E77, '06_BANG_GIA_VAT_TU_AP_DUNG'!$B$1:$B$5000, 0)), 0)</f>
        <v/>
      </c>
      <c r="K77" s="402">
        <f>I77*J77</f>
        <v/>
      </c>
      <c r="L77" t="inlineStr">
        <is>
          <t>Keo silicon chống cháy &amp; phụ kiện lắp ghép (1 bộ)</t>
        </is>
      </c>
    </row>
    <row r="78">
      <c r="A78" t="inlineStr">
        <is>
          <t>SW-DAMPER-016-BODY</t>
        </is>
      </c>
      <c r="B78" t="inlineStr">
        <is>
          <t>SW-DAMPER-016</t>
        </is>
      </c>
      <c r="C78" t="inlineStr">
        <is>
          <t>Thân vỏ van MFD bích C30/TDF (1.15mm)</t>
        </is>
      </c>
      <c r="D78" t="inlineStr">
        <is>
          <t>TÔN_CUỘN_MẠ_KẼM</t>
        </is>
      </c>
      <c r="E78" t="inlineStr">
        <is>
          <t>MAT-STEEL-PN-1.15</t>
        </is>
      </c>
      <c r="F78" t="inlineStr">
        <is>
          <t>kg</t>
        </is>
      </c>
      <c r="G78" s="406" t="n">
        <v>5.988753224999999</v>
      </c>
      <c r="H78" s="402">
        <f>IFERROR(INDEX('00_TONG_HOP_BAO_GIA'!$G$1:$G$5000, MATCH(B78, '00_TONG_HOP_BAO_GIA'!$B$1:$B$5000, 0)), 1)</f>
        <v/>
      </c>
      <c r="I78" s="407">
        <f>G78*H78</f>
        <v/>
      </c>
      <c r="J78" s="402">
        <f>IFERROR(INDEX('06_BANG_GIA_VAT_TU_AP_DUNG'!$E$1:$E$5000, MATCH(E78, '06_BANG_GIA_VAT_TU_AP_DUNG'!$B$1:$B$5000, 0)), 0)</f>
        <v/>
      </c>
      <c r="K78" s="402">
        <f>I78*J78</f>
        <v/>
      </c>
      <c r="L78" t="inlineStr">
        <is>
          <t>Kích thước vỏ 950x200x200mm</t>
        </is>
      </c>
    </row>
    <row r="79">
      <c r="A79" t="inlineStr">
        <is>
          <t>SW-DAMPER-016-BLADE</t>
        </is>
      </c>
      <c r="B79" t="inlineStr">
        <is>
          <t>SW-DAMPER-016</t>
        </is>
      </c>
      <c r="C79" t="inlineStr">
        <is>
          <t>Lá cánh / Tôn tấm bọc van (1 cánh)</t>
        </is>
      </c>
      <c r="D79" t="inlineStr">
        <is>
          <t>TÔN_CUỘN_MẠ_KẼM</t>
        </is>
      </c>
      <c r="E79" t="inlineStr">
        <is>
          <t>MAT-STEEL-PN-1.15</t>
        </is>
      </c>
      <c r="F79" t="inlineStr">
        <is>
          <t>kg</t>
        </is>
      </c>
      <c r="G79" s="406" t="n">
        <v>3.430449999999999</v>
      </c>
      <c r="H79" s="402">
        <f>IFERROR(INDEX('00_TONG_HOP_BAO_GIA'!$G$1:$G$5000, MATCH(B79, '00_TONG_HOP_BAO_GIA'!$B$1:$B$5000, 0)), 1)</f>
        <v/>
      </c>
      <c r="I79" s="407">
        <f>G79*H79</f>
        <v/>
      </c>
      <c r="J79" s="402">
        <f>IFERROR(INDEX('06_BANG_GIA_VAT_TU_AP_DUNG'!$E$1:$E$5000, MATCH(E79, '06_BANG_GIA_VAT_TU_AP_DUNG'!$B$1:$B$5000, 0)), 0)</f>
        <v/>
      </c>
      <c r="K79" s="402">
        <f>I79*J79</f>
        <v/>
      </c>
      <c r="L79" t="inlineStr">
        <is>
          <t>Tôn bọc cánh &amp; thân (1 cánh/modul)</t>
        </is>
      </c>
    </row>
    <row r="80">
      <c r="A80" t="inlineStr">
        <is>
          <t>SW-DAMPER-016-AXLE</t>
        </is>
      </c>
      <c r="B80" t="inlineStr">
        <is>
          <t>SW-DAMPER-016</t>
        </is>
      </c>
      <c r="C80" t="inlineStr">
        <is>
          <t>Trục Sus 201 D10</t>
        </is>
      </c>
      <c r="D80" t="inlineStr">
        <is>
          <t>PHỤ_KIỆN_VAN</t>
        </is>
      </c>
      <c r="E80" t="inlineStr">
        <is>
          <t>MAT-DAMPER-TRUC-SUS-201-D10</t>
        </is>
      </c>
      <c r="F80" t="inlineStr">
        <is>
          <t>m</t>
        </is>
      </c>
      <c r="G80" s="406" t="n">
        <v>1.01</v>
      </c>
      <c r="H80" s="402">
        <f>IFERROR(INDEX('00_TONG_HOP_BAO_GIA'!$G$1:$G$5000, MATCH(B80, '00_TONG_HOP_BAO_GIA'!$B$1:$B$5000, 0)), 1)</f>
        <v/>
      </c>
      <c r="I80" s="407">
        <f>G80*H80</f>
        <v/>
      </c>
      <c r="J80" s="402">
        <f>IFERROR(INDEX('06_BANG_GIA_VAT_TU_AP_DUNG'!$E$1:$E$5000, MATCH(E80, '06_BANG_GIA_VAT_TU_AP_DUNG'!$B$1:$B$5000, 0)), 0)</f>
        <v/>
      </c>
      <c r="K80" s="402">
        <f>I80*J80</f>
        <v/>
      </c>
      <c r="L80" t="inlineStr">
        <is>
          <t>1 trục dài 1010mm</t>
        </is>
      </c>
    </row>
    <row r="81">
      <c r="A81" t="inlineStr">
        <is>
          <t>SW-DAMPER-016-BEARING</t>
        </is>
      </c>
      <c r="B81" t="inlineStr">
        <is>
          <t>SW-DAMPER-016</t>
        </is>
      </c>
      <c r="C81" t="inlineStr">
        <is>
          <t>Bạc đồng D10</t>
        </is>
      </c>
      <c r="D81" t="inlineStr">
        <is>
          <t>PHỤ_KIỆN_VAN</t>
        </is>
      </c>
      <c r="E81" t="inlineStr">
        <is>
          <t>MAT-DAMPER-BAC-DONG-D10</t>
        </is>
      </c>
      <c r="F81" t="inlineStr">
        <is>
          <t>Đôi</t>
        </is>
      </c>
      <c r="G81" s="406" t="n">
        <v>1</v>
      </c>
      <c r="H81" s="402">
        <f>IFERROR(INDEX('00_TONG_HOP_BAO_GIA'!$G$1:$G$5000, MATCH(B81, '00_TONG_HOP_BAO_GIA'!$B$1:$B$5000, 0)), 1)</f>
        <v/>
      </c>
      <c r="I81" s="407">
        <f>G81*H81</f>
        <v/>
      </c>
      <c r="J81" s="402">
        <f>IFERROR(INDEX('06_BANG_GIA_VAT_TU_AP_DUNG'!$E$1:$E$5000, MATCH(E81, '06_BANG_GIA_VAT_TU_AP_DUNG'!$B$1:$B$5000, 0)), 0)</f>
        <v/>
      </c>
      <c r="K81" s="402">
        <f>I81*J81</f>
        <v/>
      </c>
      <c r="L81" t="inlineStr">
        <is>
          <t>1 đôi bạc đỡ 2 bên thân</t>
        </is>
      </c>
    </row>
    <row r="82">
      <c r="A82" t="inlineStr">
        <is>
          <t>SW-DAMPER-016-ACTUATOR</t>
        </is>
      </c>
      <c r="B82" t="inlineStr">
        <is>
          <t>SW-DAMPER-016</t>
        </is>
      </c>
      <c r="C82" t="inlineStr">
        <is>
          <t>Động cơ chặn lửa ON/OFF 3.5Nm, 230V/24V (BELIMO FSLF24 / FSLF230)</t>
        </is>
      </c>
      <c r="D82" t="inlineStr">
        <is>
          <t>ĐỘNG_CƠ_VÀ_CẢM_BIẾN</t>
        </is>
      </c>
      <c r="E82" t="inlineStr">
        <is>
          <t>MAT-ACTUATOR-BELIMO-FSLF24</t>
        </is>
      </c>
      <c r="F82" t="inlineStr">
        <is>
          <t>Cái</t>
        </is>
      </c>
      <c r="G82" s="406" t="n">
        <v>1</v>
      </c>
      <c r="H82" s="402">
        <f>IFERROR(INDEX('00_TONG_HOP_BAO_GIA'!$G$1:$G$5000, MATCH(B82, '00_TONG_HOP_BAO_GIA'!$B$1:$B$5000, 0)), 1)</f>
        <v/>
      </c>
      <c r="I82" s="407">
        <f>G82*H82</f>
        <v/>
      </c>
      <c r="J82" s="402">
        <f>IFERROR(INDEX('06_BANG_GIA_VAT_TU_AP_DUNG'!$E$1:$E$5000, MATCH(E82, '06_BANG_GIA_VAT_TU_AP_DUNG'!$B$1:$B$5000, 0)), 0)</f>
        <v/>
      </c>
      <c r="K82" s="402">
        <f>I82*J82</f>
        <v/>
      </c>
      <c r="L82" t="inlineStr">
        <is>
          <t>Động cơ lò xo phản hồi MFD (1 bộ)</t>
        </is>
      </c>
    </row>
    <row r="83">
      <c r="A83" t="inlineStr">
        <is>
          <t>SW-DAMPER-016-FB10-BODY</t>
        </is>
      </c>
      <c r="B83" t="inlineStr">
        <is>
          <t>SW-DAMPER-016</t>
        </is>
      </c>
      <c r="C83" t="inlineStr">
        <is>
          <t>Tấm chống cháy dày 10mm bọc thân van FD/MFD (2 lớp)</t>
        </is>
      </c>
      <c r="D83" t="inlineStr">
        <is>
          <t>VẬT_LIỆU_CÁCH_NHIỆT</t>
        </is>
      </c>
      <c r="E83" t="inlineStr">
        <is>
          <t>MAT-FIREBOARD-10MM-BODY</t>
        </is>
      </c>
      <c r="F83" t="inlineStr">
        <is>
          <t>m2</t>
        </is>
      </c>
      <c r="G83" s="406" t="n">
        <v>1.38</v>
      </c>
      <c r="H83" s="402">
        <f>IFERROR(INDEX('00_TONG_HOP_BAO_GIA'!$G$1:$G$5000, MATCH(B83, '00_TONG_HOP_BAO_GIA'!$B$1:$B$5000, 0)), 1)</f>
        <v/>
      </c>
      <c r="I83" s="407">
        <f>G83*H83</f>
        <v/>
      </c>
      <c r="J83" s="402">
        <f>IFERROR(INDEX('06_BANG_GIA_VAT_TU_AP_DUNG'!$E$1:$E$5000, MATCH(E83, '06_BANG_GIA_VAT_TU_AP_DUNG'!$B$1:$B$5000, 0)), 0)</f>
        <v/>
      </c>
      <c r="K83" s="402">
        <f>I83*J83</f>
        <v/>
      </c>
      <c r="L83" t="inlineStr">
        <is>
          <t>Bọc 2 lớp tấm 10mm quanh thân L=300mm</t>
        </is>
      </c>
    </row>
    <row r="84">
      <c r="A84" t="inlineStr">
        <is>
          <t>SW-DAMPER-016-FB20-BLADE</t>
        </is>
      </c>
      <c r="B84" t="inlineStr">
        <is>
          <t>SW-DAMPER-016</t>
        </is>
      </c>
      <c r="C84" t="inlineStr">
        <is>
          <t>Tấm chống cháy dày 20mm làm lõi cánh van FD/MFD</t>
        </is>
      </c>
      <c r="D84" t="inlineStr">
        <is>
          <t>VẬT_LIỆU_CÁCH_NHIỆT</t>
        </is>
      </c>
      <c r="E84" t="inlineStr">
        <is>
          <t>MAT-FIREBOARD-20MM-BLADE</t>
        </is>
      </c>
      <c r="F84" t="inlineStr">
        <is>
          <t>m2</t>
        </is>
      </c>
      <c r="G84" s="406" t="n">
        <v>0.19</v>
      </c>
      <c r="H84" s="402">
        <f>IFERROR(INDEX('00_TONG_HOP_BAO_GIA'!$G$1:$G$5000, MATCH(B84, '00_TONG_HOP_BAO_GIA'!$B$1:$B$5000, 0)), 1)</f>
        <v/>
      </c>
      <c r="I84" s="407">
        <f>G84*H84</f>
        <v/>
      </c>
      <c r="J84" s="402">
        <f>IFERROR(INDEX('06_BANG_GIA_VAT_TU_AP_DUNG'!$E$1:$E$5000, MATCH(E84, '06_BANG_GIA_VAT_TU_AP_DUNG'!$B$1:$B$5000, 0)), 0)</f>
        <v/>
      </c>
      <c r="K84" s="402">
        <f>I84*J84</f>
        <v/>
      </c>
      <c r="L84" t="inlineStr">
        <is>
          <t>Lõi cánh tấm 20mm (Cánh đơn 950x200mm)</t>
        </is>
      </c>
    </row>
    <row r="85">
      <c r="A85" t="inlineStr">
        <is>
          <t>SW-DAMPER-016-FB10-BLADE</t>
        </is>
      </c>
      <c r="B85" t="inlineStr">
        <is>
          <t>SW-DAMPER-016</t>
        </is>
      </c>
      <c r="C85" t="inlineStr">
        <is>
          <t>Tấm chống cháy dày 10mm ốp 2 mặt cánh van FD/MFD</t>
        </is>
      </c>
      <c r="D85" t="inlineStr">
        <is>
          <t>VẬT_LIỆU_CÁCH_NHIỆT</t>
        </is>
      </c>
      <c r="E85" t="inlineStr">
        <is>
          <t>MAT-FIREBOARD-10MM-BLADE</t>
        </is>
      </c>
      <c r="F85" t="inlineStr">
        <is>
          <t>m2</t>
        </is>
      </c>
      <c r="G85" s="406" t="n">
        <v>0.38</v>
      </c>
      <c r="H85" s="402">
        <f>IFERROR(INDEX('00_TONG_HOP_BAO_GIA'!$G$1:$G$5000, MATCH(B85, '00_TONG_HOP_BAO_GIA'!$B$1:$B$5000, 0)), 1)</f>
        <v/>
      </c>
      <c r="I85" s="407">
        <f>G85*H85</f>
        <v/>
      </c>
      <c r="J85" s="402">
        <f>IFERROR(INDEX('06_BANG_GIA_VAT_TU_AP_DUNG'!$E$1:$E$5000, MATCH(E85, '06_BANG_GIA_VAT_TU_AP_DUNG'!$B$1:$B$5000, 0)), 0)</f>
        <v/>
      </c>
      <c r="K85" s="402">
        <f>I85*J85</f>
        <v/>
      </c>
      <c r="L85" t="inlineStr">
        <is>
          <t>Ốp 2 mặt cánh tấm 10mm (Cánh đơn 950x200mm)</t>
        </is>
      </c>
    </row>
    <row r="86">
      <c r="A86" t="inlineStr">
        <is>
          <t>SW-DAMPER-016-SPRING-BOX</t>
        </is>
      </c>
      <c r="B86" t="inlineStr">
        <is>
          <t>SW-DAMPER-016</t>
        </is>
      </c>
      <c r="C86" t="inlineStr">
        <is>
          <t>Hộp lò xo van chặn lửa FD/MFD</t>
        </is>
      </c>
      <c r="D86" t="inlineStr">
        <is>
          <t>PHỤ_KIỆN_VAN</t>
        </is>
      </c>
      <c r="E86" t="inlineStr">
        <is>
          <t>MAT-DAMPER-HOP-LO-XO</t>
        </is>
      </c>
      <c r="F86" t="inlineStr">
        <is>
          <t>Bộ</t>
        </is>
      </c>
      <c r="G86" s="406" t="n">
        <v>1</v>
      </c>
      <c r="H86" s="402">
        <f>IFERROR(INDEX('00_TONG_HOP_BAO_GIA'!$G$1:$G$5000, MATCH(B86, '00_TONG_HOP_BAO_GIA'!$B$1:$B$5000, 0)), 1)</f>
        <v/>
      </c>
      <c r="I86" s="407">
        <f>G86*H86</f>
        <v/>
      </c>
      <c r="J86" s="402">
        <f>IFERROR(INDEX('06_BANG_GIA_VAT_TU_AP_DUNG'!$E$1:$E$5000, MATCH(E86, '06_BANG_GIA_VAT_TU_AP_DUNG'!$B$1:$B$5000, 0)), 0)</f>
        <v/>
      </c>
      <c r="K86" s="402">
        <f>I86*J86</f>
        <v/>
      </c>
      <c r="L86" t="inlineStr">
        <is>
          <t>Hộp lò xo cơ cấu đóng sập (1 bộ)</t>
        </is>
      </c>
    </row>
    <row r="87">
      <c r="A87" t="inlineStr">
        <is>
          <t>SW-DAMPER-016-SILICON-BOLT</t>
        </is>
      </c>
      <c r="B87" t="inlineStr">
        <is>
          <t>SW-DAMPER-016</t>
        </is>
      </c>
      <c r="C87" t="inlineStr">
        <is>
          <t>Silicon chống cháy + bu lông, ốc vít van FD/MFD</t>
        </is>
      </c>
      <c r="D87" t="inlineStr">
        <is>
          <t>PHỤ_KIỆN_VAN</t>
        </is>
      </c>
      <c r="E87" t="inlineStr">
        <is>
          <t>MAT-DAMPER-SILICON-BULONG-VIT</t>
        </is>
      </c>
      <c r="F87" t="inlineStr">
        <is>
          <t>Bộ</t>
        </is>
      </c>
      <c r="G87" s="406" t="n">
        <v>1</v>
      </c>
      <c r="H87" s="402">
        <f>IFERROR(INDEX('00_TONG_HOP_BAO_GIA'!$G$1:$G$5000, MATCH(B87, '00_TONG_HOP_BAO_GIA'!$B$1:$B$5000, 0)), 1)</f>
        <v/>
      </c>
      <c r="I87" s="407">
        <f>G87*H87</f>
        <v/>
      </c>
      <c r="J87" s="402">
        <f>IFERROR(INDEX('06_BANG_GIA_VAT_TU_AP_DUNG'!$E$1:$E$5000, MATCH(E87, '06_BANG_GIA_VAT_TU_AP_DUNG'!$B$1:$B$5000, 0)), 0)</f>
        <v/>
      </c>
      <c r="K87" s="402">
        <f>I87*J87</f>
        <v/>
      </c>
      <c r="L87" t="inlineStr">
        <is>
          <t>Keo silicon chống cháy &amp; phụ kiện lắp ghép (1 bộ)</t>
        </is>
      </c>
    </row>
    <row r="88">
      <c r="A88" t="inlineStr">
        <is>
          <t>SW-DAMPER-017-BODY</t>
        </is>
      </c>
      <c r="B88" t="inlineStr">
        <is>
          <t>SW-DAMPER-017</t>
        </is>
      </c>
      <c r="C88" t="inlineStr">
        <is>
          <t>Thân vỏ van MFD bích C30/TDF (1.15mm)</t>
        </is>
      </c>
      <c r="D88" t="inlineStr">
        <is>
          <t>TÔN_CUỘN_MẠ_KẼM</t>
        </is>
      </c>
      <c r="E88" t="inlineStr">
        <is>
          <t>MAT-STEEL-PN-1.15</t>
        </is>
      </c>
      <c r="F88" t="inlineStr">
        <is>
          <t>kg</t>
        </is>
      </c>
      <c r="G88" s="406" t="n">
        <v>6.500612475</v>
      </c>
      <c r="H88" s="402">
        <f>IFERROR(INDEX('00_TONG_HOP_BAO_GIA'!$G$1:$G$5000, MATCH(B88, '00_TONG_HOP_BAO_GIA'!$B$1:$B$5000, 0)), 1)</f>
        <v/>
      </c>
      <c r="I88" s="407">
        <f>G88*H88</f>
        <v/>
      </c>
      <c r="J88" s="402">
        <f>IFERROR(INDEX('06_BANG_GIA_VAT_TU_AP_DUNG'!$E$1:$E$5000, MATCH(E88, '06_BANG_GIA_VAT_TU_AP_DUNG'!$B$1:$B$5000, 0)), 0)</f>
        <v/>
      </c>
      <c r="K88" s="402">
        <f>I88*J88</f>
        <v/>
      </c>
      <c r="L88" t="inlineStr">
        <is>
          <t>Kích thước vỏ 950x300x200mm</t>
        </is>
      </c>
    </row>
    <row r="89">
      <c r="A89" t="inlineStr">
        <is>
          <t>SW-DAMPER-017-BLADE</t>
        </is>
      </c>
      <c r="B89" t="inlineStr">
        <is>
          <t>SW-DAMPER-017</t>
        </is>
      </c>
      <c r="C89" t="inlineStr">
        <is>
          <t>Lá cánh / Tôn tấm bọc van (2 cánh)</t>
        </is>
      </c>
      <c r="D89" t="inlineStr">
        <is>
          <t>TÔN_CUỘN_MẠ_KẼM</t>
        </is>
      </c>
      <c r="E89" t="inlineStr">
        <is>
          <t>MAT-STEEL-PN-1.15</t>
        </is>
      </c>
      <c r="F89" t="inlineStr">
        <is>
          <t>kg</t>
        </is>
      </c>
      <c r="G89" s="406" t="n">
        <v>5.145674999999999</v>
      </c>
      <c r="H89" s="402">
        <f>IFERROR(INDEX('00_TONG_HOP_BAO_GIA'!$G$1:$G$5000, MATCH(B89, '00_TONG_HOP_BAO_GIA'!$B$1:$B$5000, 0)), 1)</f>
        <v/>
      </c>
      <c r="I89" s="407">
        <f>G89*H89</f>
        <v/>
      </c>
      <c r="J89" s="402">
        <f>IFERROR(INDEX('06_BANG_GIA_VAT_TU_AP_DUNG'!$E$1:$E$5000, MATCH(E89, '06_BANG_GIA_VAT_TU_AP_DUNG'!$B$1:$B$5000, 0)), 0)</f>
        <v/>
      </c>
      <c r="K89" s="402">
        <f>I89*J89</f>
        <v/>
      </c>
      <c r="L89" t="inlineStr">
        <is>
          <t>Tôn bọc cánh &amp; thân (2 cánh/modul)</t>
        </is>
      </c>
    </row>
    <row r="90">
      <c r="A90" t="inlineStr">
        <is>
          <t>SW-DAMPER-017-AXLE</t>
        </is>
      </c>
      <c r="B90" t="inlineStr">
        <is>
          <t>SW-DAMPER-017</t>
        </is>
      </c>
      <c r="C90" t="inlineStr">
        <is>
          <t>Trục Sus 201 D10</t>
        </is>
      </c>
      <c r="D90" t="inlineStr">
        <is>
          <t>PHỤ_KIỆN_VAN</t>
        </is>
      </c>
      <c r="E90" t="inlineStr">
        <is>
          <t>MAT-DAMPER-TRUC-SUS-201-D10</t>
        </is>
      </c>
      <c r="F90" t="inlineStr">
        <is>
          <t>m</t>
        </is>
      </c>
      <c r="G90" s="406" t="n">
        <v>2.02</v>
      </c>
      <c r="H90" s="402">
        <f>IFERROR(INDEX('00_TONG_HOP_BAO_GIA'!$G$1:$G$5000, MATCH(B90, '00_TONG_HOP_BAO_GIA'!$B$1:$B$5000, 0)), 1)</f>
        <v/>
      </c>
      <c r="I90" s="407">
        <f>G90*H90</f>
        <v/>
      </c>
      <c r="J90" s="402">
        <f>IFERROR(INDEX('06_BANG_GIA_VAT_TU_AP_DUNG'!$E$1:$E$5000, MATCH(E90, '06_BANG_GIA_VAT_TU_AP_DUNG'!$B$1:$B$5000, 0)), 0)</f>
        <v/>
      </c>
      <c r="K90" s="402">
        <f>I90*J90</f>
        <v/>
      </c>
      <c r="L90" t="inlineStr">
        <is>
          <t>2 trục dài 1010mm</t>
        </is>
      </c>
    </row>
    <row r="91">
      <c r="A91" t="inlineStr">
        <is>
          <t>SW-DAMPER-017-BEARING</t>
        </is>
      </c>
      <c r="B91" t="inlineStr">
        <is>
          <t>SW-DAMPER-017</t>
        </is>
      </c>
      <c r="C91" t="inlineStr">
        <is>
          <t>Bạc đồng D10</t>
        </is>
      </c>
      <c r="D91" t="inlineStr">
        <is>
          <t>PHỤ_KIỆN_VAN</t>
        </is>
      </c>
      <c r="E91" t="inlineStr">
        <is>
          <t>MAT-DAMPER-BAC-DONG-D10</t>
        </is>
      </c>
      <c r="F91" t="inlineStr">
        <is>
          <t>Đôi</t>
        </is>
      </c>
      <c r="G91" s="406" t="n">
        <v>2</v>
      </c>
      <c r="H91" s="402">
        <f>IFERROR(INDEX('00_TONG_HOP_BAO_GIA'!$G$1:$G$5000, MATCH(B91, '00_TONG_HOP_BAO_GIA'!$B$1:$B$5000, 0)), 1)</f>
        <v/>
      </c>
      <c r="I91" s="407">
        <f>G91*H91</f>
        <v/>
      </c>
      <c r="J91" s="402">
        <f>IFERROR(INDEX('06_BANG_GIA_VAT_TU_AP_DUNG'!$E$1:$E$5000, MATCH(E91, '06_BANG_GIA_VAT_TU_AP_DUNG'!$B$1:$B$5000, 0)), 0)</f>
        <v/>
      </c>
      <c r="K91" s="402">
        <f>I91*J91</f>
        <v/>
      </c>
      <c r="L91" t="inlineStr">
        <is>
          <t>2 đôi bạc đỡ 2 bên thân</t>
        </is>
      </c>
    </row>
    <row r="92">
      <c r="A92" t="inlineStr">
        <is>
          <t>SW-DAMPER-017-GEAR</t>
        </is>
      </c>
      <c r="B92" t="inlineStr">
        <is>
          <t>SW-DAMPER-017</t>
        </is>
      </c>
      <c r="C92" t="inlineStr">
        <is>
          <t>Bánh răng van nhôm</t>
        </is>
      </c>
      <c r="D92" t="inlineStr">
        <is>
          <t>PHỤ_KIỆN_VAN</t>
        </is>
      </c>
      <c r="E92" t="inlineStr">
        <is>
          <t>MAT-DAMPER-BANH-RANG-VAN-NHOM</t>
        </is>
      </c>
      <c r="F92" t="inlineStr">
        <is>
          <t>Bộ</t>
        </is>
      </c>
      <c r="G92" s="406" t="n">
        <v>1</v>
      </c>
      <c r="H92" s="402">
        <f>IFERROR(INDEX('00_TONG_HOP_BAO_GIA'!$G$1:$G$5000, MATCH(B92, '00_TONG_HOP_BAO_GIA'!$B$1:$B$5000, 0)), 1)</f>
        <v/>
      </c>
      <c r="I92" s="407">
        <f>G92*H92</f>
        <v/>
      </c>
      <c r="J92" s="402">
        <f>IFERROR(INDEX('06_BANG_GIA_VAT_TU_AP_DUNG'!$E$1:$E$5000, MATCH(E92, '06_BANG_GIA_VAT_TU_AP_DUNG'!$B$1:$B$5000, 0)), 0)</f>
        <v/>
      </c>
      <c r="K92" s="402">
        <f>I92*J92</f>
        <v/>
      </c>
      <c r="L92" t="inlineStr">
        <is>
          <t>Cơ cấu liên động cánh (1 bộ)</t>
        </is>
      </c>
    </row>
    <row r="93">
      <c r="A93" t="inlineStr">
        <is>
          <t>SW-DAMPER-017-ACTUATOR</t>
        </is>
      </c>
      <c r="B93" t="inlineStr">
        <is>
          <t>SW-DAMPER-017</t>
        </is>
      </c>
      <c r="C93" t="inlineStr">
        <is>
          <t>Động cơ chặn lửa ON/OFF 9Nm, 230V/24V (BELIMO BFN24 / BFN230)</t>
        </is>
      </c>
      <c r="D93" t="inlineStr">
        <is>
          <t>ĐỘNG_CƠ_VÀ_CẢM_BIẾN</t>
        </is>
      </c>
      <c r="E93" t="inlineStr">
        <is>
          <t>MAT-ACTUATOR-BELIMO-BFN24</t>
        </is>
      </c>
      <c r="F93" t="inlineStr">
        <is>
          <t>Cái</t>
        </is>
      </c>
      <c r="G93" s="406" t="n">
        <v>1</v>
      </c>
      <c r="H93" s="402">
        <f>IFERROR(INDEX('00_TONG_HOP_BAO_GIA'!$G$1:$G$5000, MATCH(B93, '00_TONG_HOP_BAO_GIA'!$B$1:$B$5000, 0)), 1)</f>
        <v/>
      </c>
      <c r="I93" s="407">
        <f>G93*H93</f>
        <v/>
      </c>
      <c r="J93" s="402">
        <f>IFERROR(INDEX('06_BANG_GIA_VAT_TU_AP_DUNG'!$E$1:$E$5000, MATCH(E93, '06_BANG_GIA_VAT_TU_AP_DUNG'!$B$1:$B$5000, 0)), 0)</f>
        <v/>
      </c>
      <c r="K93" s="402">
        <f>I93*J93</f>
        <v/>
      </c>
      <c r="L93" t="inlineStr">
        <is>
          <t>Động cơ lò xo phản hồi MFD (1 bộ)</t>
        </is>
      </c>
    </row>
    <row r="94">
      <c r="A94" t="inlineStr">
        <is>
          <t>SW-DAMPER-017-FB10-BODY</t>
        </is>
      </c>
      <c r="B94" t="inlineStr">
        <is>
          <t>SW-DAMPER-017</t>
        </is>
      </c>
      <c r="C94" t="inlineStr">
        <is>
          <t>Tấm chống cháy dày 10mm bọc thân van FD/MFD (2 lớp)</t>
        </is>
      </c>
      <c r="D94" t="inlineStr">
        <is>
          <t>VẬT_LIỆU_CÁCH_NHIỆT</t>
        </is>
      </c>
      <c r="E94" t="inlineStr">
        <is>
          <t>MAT-FIREBOARD-10MM-BODY</t>
        </is>
      </c>
      <c r="F94" t="inlineStr">
        <is>
          <t>m2</t>
        </is>
      </c>
      <c r="G94" s="406" t="n">
        <v>1.5</v>
      </c>
      <c r="H94" s="402">
        <f>IFERROR(INDEX('00_TONG_HOP_BAO_GIA'!$G$1:$G$5000, MATCH(B94, '00_TONG_HOP_BAO_GIA'!$B$1:$B$5000, 0)), 1)</f>
        <v/>
      </c>
      <c r="I94" s="407">
        <f>G94*H94</f>
        <v/>
      </c>
      <c r="J94" s="402">
        <f>IFERROR(INDEX('06_BANG_GIA_VAT_TU_AP_DUNG'!$E$1:$E$5000, MATCH(E94, '06_BANG_GIA_VAT_TU_AP_DUNG'!$B$1:$B$5000, 0)), 0)</f>
        <v/>
      </c>
      <c r="K94" s="402">
        <f>I94*J94</f>
        <v/>
      </c>
      <c r="L94" t="inlineStr">
        <is>
          <t>Bọc 2 lớp tấm 10mm quanh thân L=300mm</t>
        </is>
      </c>
    </row>
    <row r="95">
      <c r="A95" t="inlineStr">
        <is>
          <t>SW-DAMPER-017-FB20-BLADE</t>
        </is>
      </c>
      <c r="B95" t="inlineStr">
        <is>
          <t>SW-DAMPER-017</t>
        </is>
      </c>
      <c r="C95" t="inlineStr">
        <is>
          <t>Tấm chống cháy dày 20mm làm lõi cánh van FD/MFD</t>
        </is>
      </c>
      <c r="D95" t="inlineStr">
        <is>
          <t>VẬT_LIỆU_CÁCH_NHIỆT</t>
        </is>
      </c>
      <c r="E95" t="inlineStr">
        <is>
          <t>MAT-FIREBOARD-20MM-BLADE</t>
        </is>
      </c>
      <c r="F95" t="inlineStr">
        <is>
          <t>m2</t>
        </is>
      </c>
      <c r="G95" s="406" t="n">
        <v>0.4253345637583893</v>
      </c>
      <c r="H95" s="402">
        <f>IFERROR(INDEX('00_TONG_HOP_BAO_GIA'!$G$1:$G$5000, MATCH(B95, '00_TONG_HOP_BAO_GIA'!$B$1:$B$5000, 0)), 1)</f>
        <v/>
      </c>
      <c r="I95" s="407">
        <f>G95*H95</f>
        <v/>
      </c>
      <c r="J95" s="402">
        <f>IFERROR(INDEX('06_BANG_GIA_VAT_TU_AP_DUNG'!$E$1:$E$5000, MATCH(E95, '06_BANG_GIA_VAT_TU_AP_DUNG'!$B$1:$B$5000, 0)), 0)</f>
        <v/>
      </c>
      <c r="K95" s="402">
        <f>I95*J95</f>
        <v/>
      </c>
      <c r="L95" t="inlineStr">
        <is>
          <t>Lõi cánh tấm 20mm (Đa cánh hệ số (H-5)/149=1.98, bản rộng 210mm, hao hụt 10%)</t>
        </is>
      </c>
    </row>
    <row r="96">
      <c r="A96" t="inlineStr">
        <is>
          <t>SW-DAMPER-017-FB10-BLADE</t>
        </is>
      </c>
      <c r="B96" t="inlineStr">
        <is>
          <t>SW-DAMPER-017</t>
        </is>
      </c>
      <c r="C96" t="inlineStr">
        <is>
          <t>Tấm chống cháy dày 10mm ốp 2 mặt cánh van FD/MFD</t>
        </is>
      </c>
      <c r="D96" t="inlineStr">
        <is>
          <t>VẬT_LIỆU_CÁCH_NHIỆT</t>
        </is>
      </c>
      <c r="E96" t="inlineStr">
        <is>
          <t>MAT-FIREBOARD-10MM-BLADE</t>
        </is>
      </c>
      <c r="F96" t="inlineStr">
        <is>
          <t>m2</t>
        </is>
      </c>
      <c r="G96" s="406" t="n">
        <v>0.8689630872483221</v>
      </c>
      <c r="H96" s="402">
        <f>IFERROR(INDEX('00_TONG_HOP_BAO_GIA'!$G$1:$G$5000, MATCH(B96, '00_TONG_HOP_BAO_GIA'!$B$1:$B$5000, 0)), 1)</f>
        <v/>
      </c>
      <c r="I96" s="407">
        <f>G96*H96</f>
        <v/>
      </c>
      <c r="J96" s="402">
        <f>IFERROR(INDEX('06_BANG_GIA_VAT_TU_AP_DUNG'!$E$1:$E$5000, MATCH(E96, '06_BANG_GIA_VAT_TU_AP_DUNG'!$B$1:$B$5000, 0)), 0)</f>
        <v/>
      </c>
      <c r="K96" s="402">
        <f>I96*J96</f>
        <v/>
      </c>
      <c r="L96" t="inlineStr">
        <is>
          <t>Ốp 2 mặt cánh tấm 10mm (Đa cánh hệ số (H-5)/149=1.98, bản rộng 210mm, hao hụt 10%)</t>
        </is>
      </c>
    </row>
    <row r="97">
      <c r="A97" t="inlineStr">
        <is>
          <t>SW-DAMPER-017-SPRING-BOX</t>
        </is>
      </c>
      <c r="B97" t="inlineStr">
        <is>
          <t>SW-DAMPER-017</t>
        </is>
      </c>
      <c r="C97" t="inlineStr">
        <is>
          <t>Hộp lò xo van chặn lửa FD/MFD</t>
        </is>
      </c>
      <c r="D97" t="inlineStr">
        <is>
          <t>PHỤ_KIỆN_VAN</t>
        </is>
      </c>
      <c r="E97" t="inlineStr">
        <is>
          <t>MAT-DAMPER-HOP-LO-XO</t>
        </is>
      </c>
      <c r="F97" t="inlineStr">
        <is>
          <t>Bộ</t>
        </is>
      </c>
      <c r="G97" s="406" t="n">
        <v>1</v>
      </c>
      <c r="H97" s="402">
        <f>IFERROR(INDEX('00_TONG_HOP_BAO_GIA'!$G$1:$G$5000, MATCH(B97, '00_TONG_HOP_BAO_GIA'!$B$1:$B$5000, 0)), 1)</f>
        <v/>
      </c>
      <c r="I97" s="407">
        <f>G97*H97</f>
        <v/>
      </c>
      <c r="J97" s="402">
        <f>IFERROR(INDEX('06_BANG_GIA_VAT_TU_AP_DUNG'!$E$1:$E$5000, MATCH(E97, '06_BANG_GIA_VAT_TU_AP_DUNG'!$B$1:$B$5000, 0)), 0)</f>
        <v/>
      </c>
      <c r="K97" s="402">
        <f>I97*J97</f>
        <v/>
      </c>
      <c r="L97" t="inlineStr">
        <is>
          <t>Hộp lò xo cơ cấu đóng sập (1 bộ)</t>
        </is>
      </c>
    </row>
    <row r="98">
      <c r="A98" t="inlineStr">
        <is>
          <t>SW-DAMPER-017-SILICON-BOLT</t>
        </is>
      </c>
      <c r="B98" t="inlineStr">
        <is>
          <t>SW-DAMPER-017</t>
        </is>
      </c>
      <c r="C98" t="inlineStr">
        <is>
          <t>Silicon chống cháy + bu lông, ốc vít van FD/MFD</t>
        </is>
      </c>
      <c r="D98" t="inlineStr">
        <is>
          <t>PHỤ_KIỆN_VAN</t>
        </is>
      </c>
      <c r="E98" t="inlineStr">
        <is>
          <t>MAT-DAMPER-SILICON-BULONG-VIT</t>
        </is>
      </c>
      <c r="F98" t="inlineStr">
        <is>
          <t>Bộ</t>
        </is>
      </c>
      <c r="G98" s="406" t="n">
        <v>1</v>
      </c>
      <c r="H98" s="402">
        <f>IFERROR(INDEX('00_TONG_HOP_BAO_GIA'!$G$1:$G$5000, MATCH(B98, '00_TONG_HOP_BAO_GIA'!$B$1:$B$5000, 0)), 1)</f>
        <v/>
      </c>
      <c r="I98" s="407">
        <f>G98*H98</f>
        <v/>
      </c>
      <c r="J98" s="402">
        <f>IFERROR(INDEX('06_BANG_GIA_VAT_TU_AP_DUNG'!$E$1:$E$5000, MATCH(E98, '06_BANG_GIA_VAT_TU_AP_DUNG'!$B$1:$B$5000, 0)), 0)</f>
        <v/>
      </c>
      <c r="K98" s="402">
        <f>I98*J98</f>
        <v/>
      </c>
      <c r="L98" t="inlineStr">
        <is>
          <t>Keo silicon chống cháy &amp; phụ kiện lắp ghép (1 bộ)</t>
        </is>
      </c>
    </row>
    <row r="99">
      <c r="A99" t="inlineStr">
        <is>
          <t>SW-DAMPER-018-BODY</t>
        </is>
      </c>
      <c r="B99" t="inlineStr">
        <is>
          <t>SW-DAMPER-018</t>
        </is>
      </c>
      <c r="C99" t="inlineStr">
        <is>
          <t>Thân vỏ van VCD bích C30/TDF (1.15mm)</t>
        </is>
      </c>
      <c r="D99" t="inlineStr">
        <is>
          <t>TÔN_CUỘN_MẠ_KẼM</t>
        </is>
      </c>
      <c r="E99" t="inlineStr">
        <is>
          <t>MAT-STEEL-PN-1.15</t>
        </is>
      </c>
      <c r="F99" t="inlineStr">
        <is>
          <t>kg</t>
        </is>
      </c>
      <c r="G99" s="406" t="n">
        <v>16.1368368</v>
      </c>
      <c r="H99" s="402">
        <f>IFERROR(INDEX('00_TONG_HOP_BAO_GIA'!$G$1:$G$5000, MATCH(B99, '00_TONG_HOP_BAO_GIA'!$B$1:$B$5000, 0)), 1)</f>
        <v/>
      </c>
      <c r="I99" s="407">
        <f>G99*H99</f>
        <v/>
      </c>
      <c r="J99" s="402">
        <f>IFERROR(INDEX('06_BANG_GIA_VAT_TU_AP_DUNG'!$E$1:$E$5000, MATCH(E99, '06_BANG_GIA_VAT_TU_AP_DUNG'!$B$1:$B$5000, 0)), 0)</f>
        <v/>
      </c>
      <c r="K99" s="402">
        <f>I99*J99</f>
        <v/>
      </c>
      <c r="L99" t="inlineStr">
        <is>
          <t>Kích thước vỏ 2000x500x210mm (2 modul 1000x500mm)</t>
        </is>
      </c>
    </row>
    <row r="100">
      <c r="A100" t="inlineStr">
        <is>
          <t>SW-DAMPER-018-BLADE</t>
        </is>
      </c>
      <c r="B100" t="inlineStr">
        <is>
          <t>SW-DAMPER-018</t>
        </is>
      </c>
      <c r="C100" t="inlineStr">
        <is>
          <t>Lá cánh / Tôn tấm bọc van (6 cánh)</t>
        </is>
      </c>
      <c r="D100" t="inlineStr">
        <is>
          <t>TÔN_CUỘN_MẠ_KẼM</t>
        </is>
      </c>
      <c r="E100" t="inlineStr">
        <is>
          <t>MAT-STEEL-PN-0.75</t>
        </is>
      </c>
      <c r="F100" t="inlineStr">
        <is>
          <t>kg</t>
        </is>
      </c>
      <c r="G100" s="406" t="n">
        <v>7.121519999999999</v>
      </c>
      <c r="H100" s="402">
        <f>IFERROR(INDEX('00_TONG_HOP_BAO_GIA'!$G$1:$G$5000, MATCH(B100, '00_TONG_HOP_BAO_GIA'!$B$1:$B$5000, 0)), 1)</f>
        <v/>
      </c>
      <c r="I100" s="407">
        <f>G100*H100</f>
        <v/>
      </c>
      <c r="J100" s="402">
        <f>IFERROR(INDEX('06_BANG_GIA_VAT_TU_AP_DUNG'!$E$1:$E$5000, MATCH(E100, '06_BANG_GIA_VAT_TU_AP_DUNG'!$B$1:$B$5000, 0)), 0)</f>
        <v/>
      </c>
      <c r="K100" s="402">
        <f>I100*J100</f>
        <v/>
      </c>
      <c r="L100" t="inlineStr">
        <is>
          <t>6 cánh cao 187mm (2 modul 1000x500mm)</t>
        </is>
      </c>
    </row>
    <row r="101">
      <c r="A101" t="inlineStr">
        <is>
          <t>SW-DAMPER-018-AXLE</t>
        </is>
      </c>
      <c r="B101" t="inlineStr">
        <is>
          <t>SW-DAMPER-018</t>
        </is>
      </c>
      <c r="C101" t="inlineStr">
        <is>
          <t>Trục Sus 201 D10</t>
        </is>
      </c>
      <c r="D101" t="inlineStr">
        <is>
          <t>PHỤ_KIỆN_VAN</t>
        </is>
      </c>
      <c r="E101" t="inlineStr">
        <is>
          <t>MAT-DAMPER-TRUC-SUS-201-D10</t>
        </is>
      </c>
      <c r="F101" t="inlineStr">
        <is>
          <t>m</t>
        </is>
      </c>
      <c r="G101" s="406" t="n">
        <v>6.36</v>
      </c>
      <c r="H101" s="402">
        <f>IFERROR(INDEX('00_TONG_HOP_BAO_GIA'!$G$1:$G$5000, MATCH(B101, '00_TONG_HOP_BAO_GIA'!$B$1:$B$5000, 0)), 1)</f>
        <v/>
      </c>
      <c r="I101" s="407">
        <f>G101*H101</f>
        <v/>
      </c>
      <c r="J101" s="402">
        <f>IFERROR(INDEX('06_BANG_GIA_VAT_TU_AP_DUNG'!$E$1:$E$5000, MATCH(E101, '06_BANG_GIA_VAT_TU_AP_DUNG'!$B$1:$B$5000, 0)), 0)</f>
        <v/>
      </c>
      <c r="K101" s="402">
        <f>I101*J101</f>
        <v/>
      </c>
      <c r="L101" t="inlineStr">
        <is>
          <t>6 trục dài 1060mm</t>
        </is>
      </c>
    </row>
    <row r="102">
      <c r="A102" t="inlineStr">
        <is>
          <t>SW-DAMPER-018-BEARING</t>
        </is>
      </c>
      <c r="B102" t="inlineStr">
        <is>
          <t>SW-DAMPER-018</t>
        </is>
      </c>
      <c r="C102" t="inlineStr">
        <is>
          <t>Bạc đồng D10</t>
        </is>
      </c>
      <c r="D102" t="inlineStr">
        <is>
          <t>PHỤ_KIỆN_VAN</t>
        </is>
      </c>
      <c r="E102" t="inlineStr">
        <is>
          <t>MAT-DAMPER-BAC-DONG-D10</t>
        </is>
      </c>
      <c r="F102" t="inlineStr">
        <is>
          <t>Đôi</t>
        </is>
      </c>
      <c r="G102" s="406" t="n">
        <v>6</v>
      </c>
      <c r="H102" s="402">
        <f>IFERROR(INDEX('00_TONG_HOP_BAO_GIA'!$G$1:$G$5000, MATCH(B102, '00_TONG_HOP_BAO_GIA'!$B$1:$B$5000, 0)), 1)</f>
        <v/>
      </c>
      <c r="I102" s="407">
        <f>G102*H102</f>
        <v/>
      </c>
      <c r="J102" s="402">
        <f>IFERROR(INDEX('06_BANG_GIA_VAT_TU_AP_DUNG'!$E$1:$E$5000, MATCH(E102, '06_BANG_GIA_VAT_TU_AP_DUNG'!$B$1:$B$5000, 0)), 0)</f>
        <v/>
      </c>
      <c r="K102" s="402">
        <f>I102*J102</f>
        <v/>
      </c>
      <c r="L102" t="inlineStr">
        <is>
          <t>6 đôi bạc đỡ 2 bên thân</t>
        </is>
      </c>
    </row>
    <row r="103">
      <c r="A103" t="inlineStr">
        <is>
          <t>SW-DAMPER-018-GEAR</t>
        </is>
      </c>
      <c r="B103" t="inlineStr">
        <is>
          <t>SW-DAMPER-018</t>
        </is>
      </c>
      <c r="C103" t="inlineStr">
        <is>
          <t>Bánh răng van nhôm</t>
        </is>
      </c>
      <c r="D103" t="inlineStr">
        <is>
          <t>PHỤ_KIỆN_VAN</t>
        </is>
      </c>
      <c r="E103" t="inlineStr">
        <is>
          <t>MAT-DAMPER-BANH-RANG-VAN-NHOM</t>
        </is>
      </c>
      <c r="F103" t="inlineStr">
        <is>
          <t>Bộ</t>
        </is>
      </c>
      <c r="G103" s="406" t="n">
        <v>2</v>
      </c>
      <c r="H103" s="402">
        <f>IFERROR(INDEX('00_TONG_HOP_BAO_GIA'!$G$1:$G$5000, MATCH(B103, '00_TONG_HOP_BAO_GIA'!$B$1:$B$5000, 0)), 1)</f>
        <v/>
      </c>
      <c r="I103" s="407">
        <f>G103*H103</f>
        <v/>
      </c>
      <c r="J103" s="402">
        <f>IFERROR(INDEX('06_BANG_GIA_VAT_TU_AP_DUNG'!$E$1:$E$5000, MATCH(E103, '06_BANG_GIA_VAT_TU_AP_DUNG'!$B$1:$B$5000, 0)), 0)</f>
        <v/>
      </c>
      <c r="K103" s="402">
        <f>I103*J103</f>
        <v/>
      </c>
      <c r="L103" t="inlineStr">
        <is>
          <t>Cơ cấu liên động cánh (2 bộ)</t>
        </is>
      </c>
    </row>
    <row r="104">
      <c r="A104" t="inlineStr">
        <is>
          <t>SW-DAMPER-018-HANDLE</t>
        </is>
      </c>
      <c r="B104" t="inlineStr">
        <is>
          <t>SW-DAMPER-018</t>
        </is>
      </c>
      <c r="C104" t="inlineStr">
        <is>
          <t>Tay gạt nhỏ</t>
        </is>
      </c>
      <c r="D104" t="inlineStr">
        <is>
          <t>PHỤ_KIỆN_VAN</t>
        </is>
      </c>
      <c r="E104" t="inlineStr">
        <is>
          <t>MAT-DAMPER-TAY-GAT-NHO</t>
        </is>
      </c>
      <c r="F104" t="inlineStr">
        <is>
          <t>Bộ</t>
        </is>
      </c>
      <c r="G104" s="406" t="n">
        <v>2</v>
      </c>
      <c r="H104" s="402">
        <f>IFERROR(INDEX('00_TONG_HOP_BAO_GIA'!$G$1:$G$5000, MATCH(B104, '00_TONG_HOP_BAO_GIA'!$B$1:$B$5000, 0)), 1)</f>
        <v/>
      </c>
      <c r="I104" s="407">
        <f>G104*H104</f>
        <v/>
      </c>
      <c r="J104" s="402">
        <f>IFERROR(INDEX('06_BANG_GIA_VAT_TU_AP_DUNG'!$E$1:$E$5000, MATCH(E104, '06_BANG_GIA_VAT_TU_AP_DUNG'!$B$1:$B$5000, 0)), 0)</f>
        <v/>
      </c>
      <c r="K104" s="402">
        <f>I104*J104</f>
        <v/>
      </c>
      <c r="L104" t="inlineStr">
        <is>
          <t>Tay gạt khóa vị trí nan (S=0.50m2)</t>
        </is>
      </c>
    </row>
    <row r="105">
      <c r="A105" t="inlineStr">
        <is>
          <t>SW-DAMPER-018-FB10-EI</t>
        </is>
      </c>
      <c r="B105" t="inlineStr">
        <is>
          <t>SW-DAMPER-018</t>
        </is>
      </c>
      <c r="C105" t="inlineStr">
        <is>
          <t>Tấm chống cháy dày 10mm bọc thân van VCD (EI60)</t>
        </is>
      </c>
      <c r="D105" t="inlineStr">
        <is>
          <t>VẬT_LIỆU_CÁCH_NHIỆT</t>
        </is>
      </c>
      <c r="E105" t="inlineStr">
        <is>
          <t>MAT-FIREBOARD-10MM-BODY</t>
        </is>
      </c>
      <c r="F105" t="inlineStr">
        <is>
          <t>m2</t>
        </is>
      </c>
      <c r="G105" s="406" t="n">
        <v>1.794</v>
      </c>
      <c r="H105" s="402">
        <f>IFERROR(INDEX('00_TONG_HOP_BAO_GIA'!$G$1:$G$5000, MATCH(B105, '00_TONG_HOP_BAO_GIA'!$B$1:$B$5000, 0)), 1)</f>
        <v/>
      </c>
      <c r="I105" s="407">
        <f>G105*H105</f>
        <v/>
      </c>
      <c r="J105" s="402">
        <f>IFERROR(INDEX('06_BANG_GIA_VAT_TU_AP_DUNG'!$E$1:$E$5000, MATCH(E105, '06_BANG_GIA_VAT_TU_AP_DUNG'!$B$1:$B$5000, 0)), 0)</f>
        <v/>
      </c>
      <c r="K105" s="402">
        <f>I105*J105</f>
        <v/>
      </c>
      <c r="L105" t="inlineStr">
        <is>
          <t>Bọc chống cháy EI60 quanh thân van (2 modul 1000x500mm)</t>
        </is>
      </c>
    </row>
    <row r="106">
      <c r="A106" t="inlineStr">
        <is>
          <t>SW-DAMPER-019-BODY</t>
        </is>
      </c>
      <c r="B106" t="inlineStr">
        <is>
          <t>SW-DAMPER-019</t>
        </is>
      </c>
      <c r="C106" t="inlineStr">
        <is>
          <t>Thân vỏ van VCD bích C30/TDF (0.75mm)</t>
        </is>
      </c>
      <c r="D106" t="inlineStr">
        <is>
          <t>TÔN_CUỘN_MẠ_KẼM</t>
        </is>
      </c>
      <c r="E106" t="inlineStr">
        <is>
          <t>MAT-STEEL-PN-0.75</t>
        </is>
      </c>
      <c r="F106" t="inlineStr">
        <is>
          <t>kg</t>
        </is>
      </c>
      <c r="G106" s="406" t="n">
        <v>7.408359</v>
      </c>
      <c r="H106" s="402">
        <f>IFERROR(INDEX('00_TONG_HOP_BAO_GIA'!$G$1:$G$5000, MATCH(B106, '00_TONG_HOP_BAO_GIA'!$B$1:$B$5000, 0)), 1)</f>
        <v/>
      </c>
      <c r="I106" s="407">
        <f>G106*H106</f>
        <v/>
      </c>
      <c r="J106" s="402">
        <f>IFERROR(INDEX('06_BANG_GIA_VAT_TU_AP_DUNG'!$E$1:$E$5000, MATCH(E106, '06_BANG_GIA_VAT_TU_AP_DUNG'!$B$1:$B$5000, 0)), 0)</f>
        <v/>
      </c>
      <c r="K106" s="402">
        <f>I106*J106</f>
        <v/>
      </c>
      <c r="L106" t="inlineStr">
        <is>
          <t>Kích thước vỏ 1300x400x210mm (2 modul 650x400mm)</t>
        </is>
      </c>
    </row>
    <row r="107">
      <c r="A107" t="inlineStr">
        <is>
          <t>SW-DAMPER-019-BLADE</t>
        </is>
      </c>
      <c r="B107" t="inlineStr">
        <is>
          <t>SW-DAMPER-019</t>
        </is>
      </c>
      <c r="C107" t="inlineStr">
        <is>
          <t>Lá cánh / Tôn tấm bọc van (6 cánh)</t>
        </is>
      </c>
      <c r="D107" t="inlineStr">
        <is>
          <t>TÔN_CUỘN_MẠ_KẼM</t>
        </is>
      </c>
      <c r="E107" t="inlineStr">
        <is>
          <t>MAT-STEEL-PN-0.75</t>
        </is>
      </c>
      <c r="F107" t="inlineStr">
        <is>
          <t>kg</t>
        </is>
      </c>
      <c r="G107" s="406" t="n">
        <v>3.802383000000001</v>
      </c>
      <c r="H107" s="402">
        <f>IFERROR(INDEX('00_TONG_HOP_BAO_GIA'!$G$1:$G$5000, MATCH(B107, '00_TONG_HOP_BAO_GIA'!$B$1:$B$5000, 0)), 1)</f>
        <v/>
      </c>
      <c r="I107" s="407">
        <f>G107*H107</f>
        <v/>
      </c>
      <c r="J107" s="402">
        <f>IFERROR(INDEX('06_BANG_GIA_VAT_TU_AP_DUNG'!$E$1:$E$5000, MATCH(E107, '06_BANG_GIA_VAT_TU_AP_DUNG'!$B$1:$B$5000, 0)), 0)</f>
        <v/>
      </c>
      <c r="K107" s="402">
        <f>I107*J107</f>
        <v/>
      </c>
      <c r="L107" t="inlineStr">
        <is>
          <t>6 cánh cao 153mm (2 modul 650x400mm)</t>
        </is>
      </c>
    </row>
    <row r="108">
      <c r="A108" t="inlineStr">
        <is>
          <t>SW-DAMPER-019-AXLE</t>
        </is>
      </c>
      <c r="B108" t="inlineStr">
        <is>
          <t>SW-DAMPER-019</t>
        </is>
      </c>
      <c r="C108" t="inlineStr">
        <is>
          <t>Trục Sus 201 D10</t>
        </is>
      </c>
      <c r="D108" t="inlineStr">
        <is>
          <t>PHỤ_KIỆN_VAN</t>
        </is>
      </c>
      <c r="E108" t="inlineStr">
        <is>
          <t>MAT-DAMPER-TRUC-SUS-201-D10</t>
        </is>
      </c>
      <c r="F108" t="inlineStr">
        <is>
          <t>m</t>
        </is>
      </c>
      <c r="G108" s="406" t="n">
        <v>4.26</v>
      </c>
      <c r="H108" s="402">
        <f>IFERROR(INDEX('00_TONG_HOP_BAO_GIA'!$G$1:$G$5000, MATCH(B108, '00_TONG_HOP_BAO_GIA'!$B$1:$B$5000, 0)), 1)</f>
        <v/>
      </c>
      <c r="I108" s="407">
        <f>G108*H108</f>
        <v/>
      </c>
      <c r="J108" s="402">
        <f>IFERROR(INDEX('06_BANG_GIA_VAT_TU_AP_DUNG'!$E$1:$E$5000, MATCH(E108, '06_BANG_GIA_VAT_TU_AP_DUNG'!$B$1:$B$5000, 0)), 0)</f>
        <v/>
      </c>
      <c r="K108" s="402">
        <f>I108*J108</f>
        <v/>
      </c>
      <c r="L108" t="inlineStr">
        <is>
          <t>6 trục dài 710mm</t>
        </is>
      </c>
    </row>
    <row r="109">
      <c r="A109" t="inlineStr">
        <is>
          <t>SW-DAMPER-019-BEARING</t>
        </is>
      </c>
      <c r="B109" t="inlineStr">
        <is>
          <t>SW-DAMPER-019</t>
        </is>
      </c>
      <c r="C109" t="inlineStr">
        <is>
          <t>Bạc đồng D10</t>
        </is>
      </c>
      <c r="D109" t="inlineStr">
        <is>
          <t>PHỤ_KIỆN_VAN</t>
        </is>
      </c>
      <c r="E109" t="inlineStr">
        <is>
          <t>MAT-DAMPER-BAC-DONG-D10</t>
        </is>
      </c>
      <c r="F109" t="inlineStr">
        <is>
          <t>Đôi</t>
        </is>
      </c>
      <c r="G109" s="406" t="n">
        <v>6</v>
      </c>
      <c r="H109" s="402">
        <f>IFERROR(INDEX('00_TONG_HOP_BAO_GIA'!$G$1:$G$5000, MATCH(B109, '00_TONG_HOP_BAO_GIA'!$B$1:$B$5000, 0)), 1)</f>
        <v/>
      </c>
      <c r="I109" s="407">
        <f>G109*H109</f>
        <v/>
      </c>
      <c r="J109" s="402">
        <f>IFERROR(INDEX('06_BANG_GIA_VAT_TU_AP_DUNG'!$E$1:$E$5000, MATCH(E109, '06_BANG_GIA_VAT_TU_AP_DUNG'!$B$1:$B$5000, 0)), 0)</f>
        <v/>
      </c>
      <c r="K109" s="402">
        <f>I109*J109</f>
        <v/>
      </c>
      <c r="L109" t="inlineStr">
        <is>
          <t>6 đôi bạc đỡ 2 bên thân</t>
        </is>
      </c>
    </row>
    <row r="110">
      <c r="A110" t="inlineStr">
        <is>
          <t>SW-DAMPER-019-GEAR</t>
        </is>
      </c>
      <c r="B110" t="inlineStr">
        <is>
          <t>SW-DAMPER-019</t>
        </is>
      </c>
      <c r="C110" t="inlineStr">
        <is>
          <t>Bánh răng van nhôm</t>
        </is>
      </c>
      <c r="D110" t="inlineStr">
        <is>
          <t>PHỤ_KIỆN_VAN</t>
        </is>
      </c>
      <c r="E110" t="inlineStr">
        <is>
          <t>MAT-DAMPER-BANH-RANG-VAN-NHOM</t>
        </is>
      </c>
      <c r="F110" t="inlineStr">
        <is>
          <t>Bộ</t>
        </is>
      </c>
      <c r="G110" s="406" t="n">
        <v>2</v>
      </c>
      <c r="H110" s="402">
        <f>IFERROR(INDEX('00_TONG_HOP_BAO_GIA'!$G$1:$G$5000, MATCH(B110, '00_TONG_HOP_BAO_GIA'!$B$1:$B$5000, 0)), 1)</f>
        <v/>
      </c>
      <c r="I110" s="407">
        <f>G110*H110</f>
        <v/>
      </c>
      <c r="J110" s="402">
        <f>IFERROR(INDEX('06_BANG_GIA_VAT_TU_AP_DUNG'!$E$1:$E$5000, MATCH(E110, '06_BANG_GIA_VAT_TU_AP_DUNG'!$B$1:$B$5000, 0)), 0)</f>
        <v/>
      </c>
      <c r="K110" s="402">
        <f>I110*J110</f>
        <v/>
      </c>
      <c r="L110" t="inlineStr">
        <is>
          <t>Cơ cấu liên động cánh (2 bộ)</t>
        </is>
      </c>
    </row>
    <row r="111">
      <c r="A111" t="inlineStr">
        <is>
          <t>SW-DAMPER-019-HANDLE</t>
        </is>
      </c>
      <c r="B111" t="inlineStr">
        <is>
          <t>SW-DAMPER-019</t>
        </is>
      </c>
      <c r="C111" t="inlineStr">
        <is>
          <t>Tay gạt nhỏ</t>
        </is>
      </c>
      <c r="D111" t="inlineStr">
        <is>
          <t>PHỤ_KIỆN_VAN</t>
        </is>
      </c>
      <c r="E111" t="inlineStr">
        <is>
          <t>MAT-DAMPER-TAY-GAT-NHO</t>
        </is>
      </c>
      <c r="F111" t="inlineStr">
        <is>
          <t>Bộ</t>
        </is>
      </c>
      <c r="G111" s="406" t="n">
        <v>2</v>
      </c>
      <c r="H111" s="402">
        <f>IFERROR(INDEX('00_TONG_HOP_BAO_GIA'!$G$1:$G$5000, MATCH(B111, '00_TONG_HOP_BAO_GIA'!$B$1:$B$5000, 0)), 1)</f>
        <v/>
      </c>
      <c r="I111" s="407">
        <f>G111*H111</f>
        <v/>
      </c>
      <c r="J111" s="402">
        <f>IFERROR(INDEX('06_BANG_GIA_VAT_TU_AP_DUNG'!$E$1:$E$5000, MATCH(E111, '06_BANG_GIA_VAT_TU_AP_DUNG'!$B$1:$B$5000, 0)), 0)</f>
        <v/>
      </c>
      <c r="K111" s="402">
        <f>I111*J111</f>
        <v/>
      </c>
      <c r="L111" t="inlineStr">
        <is>
          <t>Tay gạt khóa vị trí nan (S=0.26m2)</t>
        </is>
      </c>
    </row>
    <row r="112">
      <c r="A112" t="inlineStr">
        <is>
          <t>SW-DAMPER-019-FB10-EI</t>
        </is>
      </c>
      <c r="B112" t="inlineStr">
        <is>
          <t>SW-DAMPER-019</t>
        </is>
      </c>
      <c r="C112" t="inlineStr">
        <is>
          <t>Tấm chống cháy dày 10mm bọc thân van VCD (EI60)</t>
        </is>
      </c>
      <c r="D112" t="inlineStr">
        <is>
          <t>VẬT_LIỆU_CÁCH_NHIỆT</t>
        </is>
      </c>
      <c r="E112" t="inlineStr">
        <is>
          <t>MAT-FIREBOARD-10MM-BODY</t>
        </is>
      </c>
      <c r="F112" t="inlineStr">
        <is>
          <t>m2</t>
        </is>
      </c>
      <c r="G112" s="406" t="n">
        <v>1.2558</v>
      </c>
      <c r="H112" s="402">
        <f>IFERROR(INDEX('00_TONG_HOP_BAO_GIA'!$G$1:$G$5000, MATCH(B112, '00_TONG_HOP_BAO_GIA'!$B$1:$B$5000, 0)), 1)</f>
        <v/>
      </c>
      <c r="I112" s="407">
        <f>G112*H112</f>
        <v/>
      </c>
      <c r="J112" s="402">
        <f>IFERROR(INDEX('06_BANG_GIA_VAT_TU_AP_DUNG'!$E$1:$E$5000, MATCH(E112, '06_BANG_GIA_VAT_TU_AP_DUNG'!$B$1:$B$5000, 0)), 0)</f>
        <v/>
      </c>
      <c r="K112" s="402">
        <f>I112*J112</f>
        <v/>
      </c>
      <c r="L112" t="inlineStr">
        <is>
          <t>Bọc chống cháy EI60 quanh thân van (2 modul 650x400mm)</t>
        </is>
      </c>
    </row>
    <row r="113">
      <c r="A113" t="inlineStr">
        <is>
          <t>SW-DAMPER-020-BODY</t>
        </is>
      </c>
      <c r="B113" t="inlineStr">
        <is>
          <t>SW-DAMPER-020</t>
        </is>
      </c>
      <c r="C113" t="inlineStr">
        <is>
          <t>Thân vỏ van VCD bích C30/TDF (0.95mm)</t>
        </is>
      </c>
      <c r="D113" t="inlineStr">
        <is>
          <t>TÔN_CUỘN_MẠ_KẼM</t>
        </is>
      </c>
      <c r="E113" t="inlineStr">
        <is>
          <t>MAT-STEEL-PN-0.95</t>
        </is>
      </c>
      <c r="F113" t="inlineStr">
        <is>
          <t>kg</t>
        </is>
      </c>
      <c r="G113" s="406" t="n">
        <v>10.6994244</v>
      </c>
      <c r="H113" s="402">
        <f>IFERROR(INDEX('00_TONG_HOP_BAO_GIA'!$G$1:$G$5000, MATCH(B113, '00_TONG_HOP_BAO_GIA'!$B$1:$B$5000, 0)), 1)</f>
        <v/>
      </c>
      <c r="I113" s="407">
        <f>G113*H113</f>
        <v/>
      </c>
      <c r="J113" s="402">
        <f>IFERROR(INDEX('06_BANG_GIA_VAT_TU_AP_DUNG'!$E$1:$E$5000, MATCH(E113, '06_BANG_GIA_VAT_TU_AP_DUNG'!$B$1:$B$5000, 0)), 0)</f>
        <v/>
      </c>
      <c r="K113" s="402">
        <f>I113*J113</f>
        <v/>
      </c>
      <c r="L113" t="inlineStr">
        <is>
          <t>Kích thước vỏ 1600x400x210mm (2 modul 800x400mm)</t>
        </is>
      </c>
    </row>
    <row r="114">
      <c r="A114" t="inlineStr">
        <is>
          <t>SW-DAMPER-020-BLADE</t>
        </is>
      </c>
      <c r="B114" t="inlineStr">
        <is>
          <t>SW-DAMPER-020</t>
        </is>
      </c>
      <c r="C114" t="inlineStr">
        <is>
          <t>Lá cánh / Tôn tấm bọc van (6 cánh)</t>
        </is>
      </c>
      <c r="D114" t="inlineStr">
        <is>
          <t>TÔN_CUỘN_MẠ_KẼM</t>
        </is>
      </c>
      <c r="E114" t="inlineStr">
        <is>
          <t>MAT-STEEL-PN-0.75</t>
        </is>
      </c>
      <c r="F114" t="inlineStr">
        <is>
          <t>kg</t>
        </is>
      </c>
      <c r="G114" s="406" t="n">
        <v>4.679856000000001</v>
      </c>
      <c r="H114" s="402">
        <f>IFERROR(INDEX('00_TONG_HOP_BAO_GIA'!$G$1:$G$5000, MATCH(B114, '00_TONG_HOP_BAO_GIA'!$B$1:$B$5000, 0)), 1)</f>
        <v/>
      </c>
      <c r="I114" s="407">
        <f>G114*H114</f>
        <v/>
      </c>
      <c r="J114" s="402">
        <f>IFERROR(INDEX('06_BANG_GIA_VAT_TU_AP_DUNG'!$E$1:$E$5000, MATCH(E114, '06_BANG_GIA_VAT_TU_AP_DUNG'!$B$1:$B$5000, 0)), 0)</f>
        <v/>
      </c>
      <c r="K114" s="402">
        <f>I114*J114</f>
        <v/>
      </c>
      <c r="L114" t="inlineStr">
        <is>
          <t>6 cánh cao 153mm (2 modul 800x400mm)</t>
        </is>
      </c>
    </row>
    <row r="115">
      <c r="A115" t="inlineStr">
        <is>
          <t>SW-DAMPER-020-AXLE</t>
        </is>
      </c>
      <c r="B115" t="inlineStr">
        <is>
          <t>SW-DAMPER-020</t>
        </is>
      </c>
      <c r="C115" t="inlineStr">
        <is>
          <t>Trục Sus 201 D10</t>
        </is>
      </c>
      <c r="D115" t="inlineStr">
        <is>
          <t>PHỤ_KIỆN_VAN</t>
        </is>
      </c>
      <c r="E115" t="inlineStr">
        <is>
          <t>MAT-DAMPER-TRUC-SUS-201-D10</t>
        </is>
      </c>
      <c r="F115" t="inlineStr">
        <is>
          <t>m</t>
        </is>
      </c>
      <c r="G115" s="406" t="n">
        <v>5.16</v>
      </c>
      <c r="H115" s="402">
        <f>IFERROR(INDEX('00_TONG_HOP_BAO_GIA'!$G$1:$G$5000, MATCH(B115, '00_TONG_HOP_BAO_GIA'!$B$1:$B$5000, 0)), 1)</f>
        <v/>
      </c>
      <c r="I115" s="407">
        <f>G115*H115</f>
        <v/>
      </c>
      <c r="J115" s="402">
        <f>IFERROR(INDEX('06_BANG_GIA_VAT_TU_AP_DUNG'!$E$1:$E$5000, MATCH(E115, '06_BANG_GIA_VAT_TU_AP_DUNG'!$B$1:$B$5000, 0)), 0)</f>
        <v/>
      </c>
      <c r="K115" s="402">
        <f>I115*J115</f>
        <v/>
      </c>
      <c r="L115" t="inlineStr">
        <is>
          <t>6 trục dài 860mm</t>
        </is>
      </c>
    </row>
    <row r="116">
      <c r="A116" t="inlineStr">
        <is>
          <t>SW-DAMPER-020-BEARING</t>
        </is>
      </c>
      <c r="B116" t="inlineStr">
        <is>
          <t>SW-DAMPER-020</t>
        </is>
      </c>
      <c r="C116" t="inlineStr">
        <is>
          <t>Bạc đồng D10</t>
        </is>
      </c>
      <c r="D116" t="inlineStr">
        <is>
          <t>PHỤ_KIỆN_VAN</t>
        </is>
      </c>
      <c r="E116" t="inlineStr">
        <is>
          <t>MAT-DAMPER-BAC-DONG-D10</t>
        </is>
      </c>
      <c r="F116" t="inlineStr">
        <is>
          <t>Đôi</t>
        </is>
      </c>
      <c r="G116" s="406" t="n">
        <v>6</v>
      </c>
      <c r="H116" s="402">
        <f>IFERROR(INDEX('00_TONG_HOP_BAO_GIA'!$G$1:$G$5000, MATCH(B116, '00_TONG_HOP_BAO_GIA'!$B$1:$B$5000, 0)), 1)</f>
        <v/>
      </c>
      <c r="I116" s="407">
        <f>G116*H116</f>
        <v/>
      </c>
      <c r="J116" s="402">
        <f>IFERROR(INDEX('06_BANG_GIA_VAT_TU_AP_DUNG'!$E$1:$E$5000, MATCH(E116, '06_BANG_GIA_VAT_TU_AP_DUNG'!$B$1:$B$5000, 0)), 0)</f>
        <v/>
      </c>
      <c r="K116" s="402">
        <f>I116*J116</f>
        <v/>
      </c>
      <c r="L116" t="inlineStr">
        <is>
          <t>6 đôi bạc đỡ 2 bên thân</t>
        </is>
      </c>
    </row>
    <row r="117">
      <c r="A117" t="inlineStr">
        <is>
          <t>SW-DAMPER-020-GEAR</t>
        </is>
      </c>
      <c r="B117" t="inlineStr">
        <is>
          <t>SW-DAMPER-020</t>
        </is>
      </c>
      <c r="C117" t="inlineStr">
        <is>
          <t>Bánh răng van nhôm</t>
        </is>
      </c>
      <c r="D117" t="inlineStr">
        <is>
          <t>PHỤ_KIỆN_VAN</t>
        </is>
      </c>
      <c r="E117" t="inlineStr">
        <is>
          <t>MAT-DAMPER-BANH-RANG-VAN-NHOM</t>
        </is>
      </c>
      <c r="F117" t="inlineStr">
        <is>
          <t>Bộ</t>
        </is>
      </c>
      <c r="G117" s="406" t="n">
        <v>2</v>
      </c>
      <c r="H117" s="402">
        <f>IFERROR(INDEX('00_TONG_HOP_BAO_GIA'!$G$1:$G$5000, MATCH(B117, '00_TONG_HOP_BAO_GIA'!$B$1:$B$5000, 0)), 1)</f>
        <v/>
      </c>
      <c r="I117" s="407">
        <f>G117*H117</f>
        <v/>
      </c>
      <c r="J117" s="402">
        <f>IFERROR(INDEX('06_BANG_GIA_VAT_TU_AP_DUNG'!$E$1:$E$5000, MATCH(E117, '06_BANG_GIA_VAT_TU_AP_DUNG'!$B$1:$B$5000, 0)), 0)</f>
        <v/>
      </c>
      <c r="K117" s="402">
        <f>I117*J117</f>
        <v/>
      </c>
      <c r="L117" t="inlineStr">
        <is>
          <t>Cơ cấu liên động cánh (2 bộ)</t>
        </is>
      </c>
    </row>
    <row r="118">
      <c r="A118" t="inlineStr">
        <is>
          <t>SW-DAMPER-020-HANDLE</t>
        </is>
      </c>
      <c r="B118" t="inlineStr">
        <is>
          <t>SW-DAMPER-020</t>
        </is>
      </c>
      <c r="C118" t="inlineStr">
        <is>
          <t>Tay gạt nhỏ</t>
        </is>
      </c>
      <c r="D118" t="inlineStr">
        <is>
          <t>PHỤ_KIỆN_VAN</t>
        </is>
      </c>
      <c r="E118" t="inlineStr">
        <is>
          <t>MAT-DAMPER-TAY-GAT-NHO</t>
        </is>
      </c>
      <c r="F118" t="inlineStr">
        <is>
          <t>Bộ</t>
        </is>
      </c>
      <c r="G118" s="406" t="n">
        <v>2</v>
      </c>
      <c r="H118" s="402">
        <f>IFERROR(INDEX('00_TONG_HOP_BAO_GIA'!$G$1:$G$5000, MATCH(B118, '00_TONG_HOP_BAO_GIA'!$B$1:$B$5000, 0)), 1)</f>
        <v/>
      </c>
      <c r="I118" s="407">
        <f>G118*H118</f>
        <v/>
      </c>
      <c r="J118" s="402">
        <f>IFERROR(INDEX('06_BANG_GIA_VAT_TU_AP_DUNG'!$E$1:$E$5000, MATCH(E118, '06_BANG_GIA_VAT_TU_AP_DUNG'!$B$1:$B$5000, 0)), 0)</f>
        <v/>
      </c>
      <c r="K118" s="402">
        <f>I118*J118</f>
        <v/>
      </c>
      <c r="L118" t="inlineStr">
        <is>
          <t>Tay gạt khóa vị trí nan (S=0.32m2)</t>
        </is>
      </c>
    </row>
    <row r="119">
      <c r="A119" t="inlineStr">
        <is>
          <t>SW-DAMPER-020-FB10-EI</t>
        </is>
      </c>
      <c r="B119" t="inlineStr">
        <is>
          <t>SW-DAMPER-020</t>
        </is>
      </c>
      <c r="C119" t="inlineStr">
        <is>
          <t>Tấm chống cháy dày 10mm bọc thân van VCD (EI60)</t>
        </is>
      </c>
      <c r="D119" t="inlineStr">
        <is>
          <t>VẬT_LIỆU_CÁCH_NHIỆT</t>
        </is>
      </c>
      <c r="E119" t="inlineStr">
        <is>
          <t>MAT-FIREBOARD-10MM-BODY</t>
        </is>
      </c>
      <c r="F119" t="inlineStr">
        <is>
          <t>m2</t>
        </is>
      </c>
      <c r="G119" s="406" t="n">
        <v>1.4352</v>
      </c>
      <c r="H119" s="402">
        <f>IFERROR(INDEX('00_TONG_HOP_BAO_GIA'!$G$1:$G$5000, MATCH(B119, '00_TONG_HOP_BAO_GIA'!$B$1:$B$5000, 0)), 1)</f>
        <v/>
      </c>
      <c r="I119" s="407">
        <f>G119*H119</f>
        <v/>
      </c>
      <c r="J119" s="402">
        <f>IFERROR(INDEX('06_BANG_GIA_VAT_TU_AP_DUNG'!$E$1:$E$5000, MATCH(E119, '06_BANG_GIA_VAT_TU_AP_DUNG'!$B$1:$B$5000, 0)), 0)</f>
        <v/>
      </c>
      <c r="K119" s="402">
        <f>I119*J119</f>
        <v/>
      </c>
      <c r="L119" t="inlineStr">
        <is>
          <t>Bọc chống cháy EI60 quanh thân van (2 modul 800x400mm)</t>
        </is>
      </c>
    </row>
    <row r="120">
      <c r="A120" t="inlineStr">
        <is>
          <t>SW-DAMPER-021-BODY</t>
        </is>
      </c>
      <c r="B120" t="inlineStr">
        <is>
          <t>SW-DAMPER-021</t>
        </is>
      </c>
      <c r="C120" t="inlineStr">
        <is>
          <t>Thân vỏ van VCD bích C30/TDF (0.95mm)</t>
        </is>
      </c>
      <c r="D120" t="inlineStr">
        <is>
          <t>TÔN_CUỘN_MẠ_KẼM</t>
        </is>
      </c>
      <c r="E120" t="inlineStr">
        <is>
          <t>MAT-STEEL-PN-0.95</t>
        </is>
      </c>
      <c r="F120" t="inlineStr">
        <is>
          <t>kg</t>
        </is>
      </c>
      <c r="G120" s="406" t="n">
        <v>11.1379254</v>
      </c>
      <c r="H120" s="402">
        <f>IFERROR(INDEX('00_TONG_HOP_BAO_GIA'!$G$1:$G$5000, MATCH(B120, '00_TONG_HOP_BAO_GIA'!$B$1:$B$5000, 0)), 1)</f>
        <v/>
      </c>
      <c r="I120" s="407">
        <f>G120*H120</f>
        <v/>
      </c>
      <c r="J120" s="402">
        <f>IFERROR(INDEX('06_BANG_GIA_VAT_TU_AP_DUNG'!$E$1:$E$5000, MATCH(E120, '06_BANG_GIA_VAT_TU_AP_DUNG'!$B$1:$B$5000, 0)), 0)</f>
        <v/>
      </c>
      <c r="K120" s="402">
        <f>I120*J120</f>
        <v/>
      </c>
      <c r="L120" t="inlineStr">
        <is>
          <t>Kích thước vỏ 1600x450x210mm (2 modul 800x450mm)</t>
        </is>
      </c>
    </row>
    <row r="121">
      <c r="A121" t="inlineStr">
        <is>
          <t>SW-DAMPER-021-BLADE</t>
        </is>
      </c>
      <c r="B121" t="inlineStr">
        <is>
          <t>SW-DAMPER-021</t>
        </is>
      </c>
      <c r="C121" t="inlineStr">
        <is>
          <t>Lá cánh / Tôn tấm bọc van (6 cánh)</t>
        </is>
      </c>
      <c r="D121" t="inlineStr">
        <is>
          <t>TÔN_CUỘN_MẠ_KẼM</t>
        </is>
      </c>
      <c r="E121" t="inlineStr">
        <is>
          <t>MAT-STEEL-PN-0.75</t>
        </is>
      </c>
      <c r="F121" t="inlineStr">
        <is>
          <t>kg</t>
        </is>
      </c>
      <c r="G121" s="406" t="n">
        <v>5.188536000000001</v>
      </c>
      <c r="H121" s="402">
        <f>IFERROR(INDEX('00_TONG_HOP_BAO_GIA'!$G$1:$G$5000, MATCH(B121, '00_TONG_HOP_BAO_GIA'!$B$1:$B$5000, 0)), 1)</f>
        <v/>
      </c>
      <c r="I121" s="407">
        <f>G121*H121</f>
        <v/>
      </c>
      <c r="J121" s="402">
        <f>IFERROR(INDEX('06_BANG_GIA_VAT_TU_AP_DUNG'!$E$1:$E$5000, MATCH(E121, '06_BANG_GIA_VAT_TU_AP_DUNG'!$B$1:$B$5000, 0)), 0)</f>
        <v/>
      </c>
      <c r="K121" s="402">
        <f>I121*J121</f>
        <v/>
      </c>
      <c r="L121" t="inlineStr">
        <is>
          <t>6 cánh cao 170mm (2 modul 800x450mm)</t>
        </is>
      </c>
    </row>
    <row r="122">
      <c r="A122" t="inlineStr">
        <is>
          <t>SW-DAMPER-021-AXLE</t>
        </is>
      </c>
      <c r="B122" t="inlineStr">
        <is>
          <t>SW-DAMPER-021</t>
        </is>
      </c>
      <c r="C122" t="inlineStr">
        <is>
          <t>Trục Sus 201 D10</t>
        </is>
      </c>
      <c r="D122" t="inlineStr">
        <is>
          <t>PHỤ_KIỆN_VAN</t>
        </is>
      </c>
      <c r="E122" t="inlineStr">
        <is>
          <t>MAT-DAMPER-TRUC-SUS-201-D10</t>
        </is>
      </c>
      <c r="F122" t="inlineStr">
        <is>
          <t>m</t>
        </is>
      </c>
      <c r="G122" s="406" t="n">
        <v>5.16</v>
      </c>
      <c r="H122" s="402">
        <f>IFERROR(INDEX('00_TONG_HOP_BAO_GIA'!$G$1:$G$5000, MATCH(B122, '00_TONG_HOP_BAO_GIA'!$B$1:$B$5000, 0)), 1)</f>
        <v/>
      </c>
      <c r="I122" s="407">
        <f>G122*H122</f>
        <v/>
      </c>
      <c r="J122" s="402">
        <f>IFERROR(INDEX('06_BANG_GIA_VAT_TU_AP_DUNG'!$E$1:$E$5000, MATCH(E122, '06_BANG_GIA_VAT_TU_AP_DUNG'!$B$1:$B$5000, 0)), 0)</f>
        <v/>
      </c>
      <c r="K122" s="402">
        <f>I122*J122</f>
        <v/>
      </c>
      <c r="L122" t="inlineStr">
        <is>
          <t>6 trục dài 860mm</t>
        </is>
      </c>
    </row>
    <row r="123">
      <c r="A123" t="inlineStr">
        <is>
          <t>SW-DAMPER-021-BEARING</t>
        </is>
      </c>
      <c r="B123" t="inlineStr">
        <is>
          <t>SW-DAMPER-021</t>
        </is>
      </c>
      <c r="C123" t="inlineStr">
        <is>
          <t>Bạc đồng D10</t>
        </is>
      </c>
      <c r="D123" t="inlineStr">
        <is>
          <t>PHỤ_KIỆN_VAN</t>
        </is>
      </c>
      <c r="E123" t="inlineStr">
        <is>
          <t>MAT-DAMPER-BAC-DONG-D10</t>
        </is>
      </c>
      <c r="F123" t="inlineStr">
        <is>
          <t>Đôi</t>
        </is>
      </c>
      <c r="G123" s="406" t="n">
        <v>6</v>
      </c>
      <c r="H123" s="402">
        <f>IFERROR(INDEX('00_TONG_HOP_BAO_GIA'!$G$1:$G$5000, MATCH(B123, '00_TONG_HOP_BAO_GIA'!$B$1:$B$5000, 0)), 1)</f>
        <v/>
      </c>
      <c r="I123" s="407">
        <f>G123*H123</f>
        <v/>
      </c>
      <c r="J123" s="402">
        <f>IFERROR(INDEX('06_BANG_GIA_VAT_TU_AP_DUNG'!$E$1:$E$5000, MATCH(E123, '06_BANG_GIA_VAT_TU_AP_DUNG'!$B$1:$B$5000, 0)), 0)</f>
        <v/>
      </c>
      <c r="K123" s="402">
        <f>I123*J123</f>
        <v/>
      </c>
      <c r="L123" t="inlineStr">
        <is>
          <t>6 đôi bạc đỡ 2 bên thân</t>
        </is>
      </c>
    </row>
    <row r="124">
      <c r="A124" t="inlineStr">
        <is>
          <t>SW-DAMPER-021-GEAR</t>
        </is>
      </c>
      <c r="B124" t="inlineStr">
        <is>
          <t>SW-DAMPER-021</t>
        </is>
      </c>
      <c r="C124" t="inlineStr">
        <is>
          <t>Bánh răng van nhôm</t>
        </is>
      </c>
      <c r="D124" t="inlineStr">
        <is>
          <t>PHỤ_KIỆN_VAN</t>
        </is>
      </c>
      <c r="E124" t="inlineStr">
        <is>
          <t>MAT-DAMPER-BANH-RANG-VAN-NHOM</t>
        </is>
      </c>
      <c r="F124" t="inlineStr">
        <is>
          <t>Bộ</t>
        </is>
      </c>
      <c r="G124" s="406" t="n">
        <v>2</v>
      </c>
      <c r="H124" s="402">
        <f>IFERROR(INDEX('00_TONG_HOP_BAO_GIA'!$G$1:$G$5000, MATCH(B124, '00_TONG_HOP_BAO_GIA'!$B$1:$B$5000, 0)), 1)</f>
        <v/>
      </c>
      <c r="I124" s="407">
        <f>G124*H124</f>
        <v/>
      </c>
      <c r="J124" s="402">
        <f>IFERROR(INDEX('06_BANG_GIA_VAT_TU_AP_DUNG'!$E$1:$E$5000, MATCH(E124, '06_BANG_GIA_VAT_TU_AP_DUNG'!$B$1:$B$5000, 0)), 0)</f>
        <v/>
      </c>
      <c r="K124" s="402">
        <f>I124*J124</f>
        <v/>
      </c>
      <c r="L124" t="inlineStr">
        <is>
          <t>Cơ cấu liên động cánh (2 bộ)</t>
        </is>
      </c>
    </row>
    <row r="125">
      <c r="A125" t="inlineStr">
        <is>
          <t>SW-DAMPER-021-HANDLE</t>
        </is>
      </c>
      <c r="B125" t="inlineStr">
        <is>
          <t>SW-DAMPER-021</t>
        </is>
      </c>
      <c r="C125" t="inlineStr">
        <is>
          <t>Tay gạt nhỏ</t>
        </is>
      </c>
      <c r="D125" t="inlineStr">
        <is>
          <t>PHỤ_KIỆN_VAN</t>
        </is>
      </c>
      <c r="E125" t="inlineStr">
        <is>
          <t>MAT-DAMPER-TAY-GAT-NHO</t>
        </is>
      </c>
      <c r="F125" t="inlineStr">
        <is>
          <t>Bộ</t>
        </is>
      </c>
      <c r="G125" s="406" t="n">
        <v>2</v>
      </c>
      <c r="H125" s="402">
        <f>IFERROR(INDEX('00_TONG_HOP_BAO_GIA'!$G$1:$G$5000, MATCH(B125, '00_TONG_HOP_BAO_GIA'!$B$1:$B$5000, 0)), 1)</f>
        <v/>
      </c>
      <c r="I125" s="407">
        <f>G125*H125</f>
        <v/>
      </c>
      <c r="J125" s="402">
        <f>IFERROR(INDEX('06_BANG_GIA_VAT_TU_AP_DUNG'!$E$1:$E$5000, MATCH(E125, '06_BANG_GIA_VAT_TU_AP_DUNG'!$B$1:$B$5000, 0)), 0)</f>
        <v/>
      </c>
      <c r="K125" s="402">
        <f>I125*J125</f>
        <v/>
      </c>
      <c r="L125" t="inlineStr">
        <is>
          <t>Tay gạt khóa vị trí nan (S=0.36m2)</t>
        </is>
      </c>
    </row>
    <row r="126">
      <c r="A126" t="inlineStr">
        <is>
          <t>SW-DAMPER-021-FB10-EI</t>
        </is>
      </c>
      <c r="B126" t="inlineStr">
        <is>
          <t>SW-DAMPER-021</t>
        </is>
      </c>
      <c r="C126" t="inlineStr">
        <is>
          <t>Tấm chống cháy dày 10mm bọc thân van VCD (EI60)</t>
        </is>
      </c>
      <c r="D126" t="inlineStr">
        <is>
          <t>VẬT_LIỆU_CÁCH_NHIỆT</t>
        </is>
      </c>
      <c r="E126" t="inlineStr">
        <is>
          <t>MAT-FIREBOARD-10MM-BODY</t>
        </is>
      </c>
      <c r="F126" t="inlineStr">
        <is>
          <t>m2</t>
        </is>
      </c>
      <c r="G126" s="406" t="n">
        <v>1.495</v>
      </c>
      <c r="H126" s="402">
        <f>IFERROR(INDEX('00_TONG_HOP_BAO_GIA'!$G$1:$G$5000, MATCH(B126, '00_TONG_HOP_BAO_GIA'!$B$1:$B$5000, 0)), 1)</f>
        <v/>
      </c>
      <c r="I126" s="407">
        <f>G126*H126</f>
        <v/>
      </c>
      <c r="J126" s="402">
        <f>IFERROR(INDEX('06_BANG_GIA_VAT_TU_AP_DUNG'!$E$1:$E$5000, MATCH(E126, '06_BANG_GIA_VAT_TU_AP_DUNG'!$B$1:$B$5000, 0)), 0)</f>
        <v/>
      </c>
      <c r="K126" s="402">
        <f>I126*J126</f>
        <v/>
      </c>
      <c r="L126" t="inlineStr">
        <is>
          <t>Bọc chống cháy EI60 quanh thân van (2 modul 800x450mm)</t>
        </is>
      </c>
    </row>
    <row r="127">
      <c r="A127" t="inlineStr">
        <is>
          <t>SW-DAMPER-022-BODY</t>
        </is>
      </c>
      <c r="B127" t="inlineStr">
        <is>
          <t>SW-DAMPER-022</t>
        </is>
      </c>
      <c r="C127" t="inlineStr">
        <is>
          <t>Thân vỏ van VCD bích C30/TDF (0.95mm)</t>
        </is>
      </c>
      <c r="D127" t="inlineStr">
        <is>
          <t>TÔN_CUỘN_MẠ_KẼM</t>
        </is>
      </c>
      <c r="E127" t="inlineStr">
        <is>
          <t>MAT-STEEL-PN-0.95</t>
        </is>
      </c>
      <c r="F127" t="inlineStr">
        <is>
          <t>kg</t>
        </is>
      </c>
      <c r="G127" s="406" t="n">
        <v>5.5689627</v>
      </c>
      <c r="H127" s="402">
        <f>IFERROR(INDEX('00_TONG_HOP_BAO_GIA'!$G$1:$G$5000, MATCH(B127, '00_TONG_HOP_BAO_GIA'!$B$1:$B$5000, 0)), 1)</f>
        <v/>
      </c>
      <c r="I127" s="407">
        <f>G127*H127</f>
        <v/>
      </c>
      <c r="J127" s="402">
        <f>IFERROR(INDEX('06_BANG_GIA_VAT_TU_AP_DUNG'!$E$1:$E$5000, MATCH(E127, '06_BANG_GIA_VAT_TU_AP_DUNG'!$B$1:$B$5000, 0)), 0)</f>
        <v/>
      </c>
      <c r="K127" s="402">
        <f>I127*J127</f>
        <v/>
      </c>
      <c r="L127" t="inlineStr">
        <is>
          <t>Kích thước vỏ 900x350x210mm</t>
        </is>
      </c>
    </row>
    <row r="128">
      <c r="A128" t="inlineStr">
        <is>
          <t>SW-DAMPER-022-BLADE</t>
        </is>
      </c>
      <c r="B128" t="inlineStr">
        <is>
          <t>SW-DAMPER-022</t>
        </is>
      </c>
      <c r="C128" t="inlineStr">
        <is>
          <t>Lá cánh / Tôn tấm bọc van (2 cánh)</t>
        </is>
      </c>
      <c r="D128" t="inlineStr">
        <is>
          <t>TÔN_CUỘN_MẠ_KẼM</t>
        </is>
      </c>
      <c r="E128" t="inlineStr">
        <is>
          <t>MAT-STEEL-PN-0.75</t>
        </is>
      </c>
      <c r="F128" t="inlineStr">
        <is>
          <t>kg</t>
        </is>
      </c>
      <c r="G128" s="406" t="n">
        <v>2.2318335</v>
      </c>
      <c r="H128" s="402">
        <f>IFERROR(INDEX('00_TONG_HOP_BAO_GIA'!$G$1:$G$5000, MATCH(B128, '00_TONG_HOP_BAO_GIA'!$B$1:$B$5000, 0)), 1)</f>
        <v/>
      </c>
      <c r="I128" s="407">
        <f>G128*H128</f>
        <v/>
      </c>
      <c r="J128" s="402">
        <f>IFERROR(INDEX('06_BANG_GIA_VAT_TU_AP_DUNG'!$E$1:$E$5000, MATCH(E128, '06_BANG_GIA_VAT_TU_AP_DUNG'!$B$1:$B$5000, 0)), 0)</f>
        <v/>
      </c>
      <c r="K128" s="402">
        <f>I128*J128</f>
        <v/>
      </c>
      <c r="L128" t="inlineStr">
        <is>
          <t>2 cánh cao 195mm</t>
        </is>
      </c>
    </row>
    <row r="129">
      <c r="A129" t="inlineStr">
        <is>
          <t>SW-DAMPER-022-AXLE</t>
        </is>
      </c>
      <c r="B129" t="inlineStr">
        <is>
          <t>SW-DAMPER-022</t>
        </is>
      </c>
      <c r="C129" t="inlineStr">
        <is>
          <t>Trục Sus 201 D10</t>
        </is>
      </c>
      <c r="D129" t="inlineStr">
        <is>
          <t>PHỤ_KIỆN_VAN</t>
        </is>
      </c>
      <c r="E129" t="inlineStr">
        <is>
          <t>MAT-DAMPER-TRUC-SUS-201-D10</t>
        </is>
      </c>
      <c r="F129" t="inlineStr">
        <is>
          <t>m</t>
        </is>
      </c>
      <c r="G129" s="406" t="n">
        <v>1.92</v>
      </c>
      <c r="H129" s="402">
        <f>IFERROR(INDEX('00_TONG_HOP_BAO_GIA'!$G$1:$G$5000, MATCH(B129, '00_TONG_HOP_BAO_GIA'!$B$1:$B$5000, 0)), 1)</f>
        <v/>
      </c>
      <c r="I129" s="407">
        <f>G129*H129</f>
        <v/>
      </c>
      <c r="J129" s="402">
        <f>IFERROR(INDEX('06_BANG_GIA_VAT_TU_AP_DUNG'!$E$1:$E$5000, MATCH(E129, '06_BANG_GIA_VAT_TU_AP_DUNG'!$B$1:$B$5000, 0)), 0)</f>
        <v/>
      </c>
      <c r="K129" s="402">
        <f>I129*J129</f>
        <v/>
      </c>
      <c r="L129" t="inlineStr">
        <is>
          <t>2 trục dài 960mm</t>
        </is>
      </c>
    </row>
    <row r="130">
      <c r="A130" t="inlineStr">
        <is>
          <t>SW-DAMPER-022-BEARING</t>
        </is>
      </c>
      <c r="B130" t="inlineStr">
        <is>
          <t>SW-DAMPER-022</t>
        </is>
      </c>
      <c r="C130" t="inlineStr">
        <is>
          <t>Bạc đồng D10</t>
        </is>
      </c>
      <c r="D130" t="inlineStr">
        <is>
          <t>PHỤ_KIỆN_VAN</t>
        </is>
      </c>
      <c r="E130" t="inlineStr">
        <is>
          <t>MAT-DAMPER-BAC-DONG-D10</t>
        </is>
      </c>
      <c r="F130" t="inlineStr">
        <is>
          <t>Đôi</t>
        </is>
      </c>
      <c r="G130" s="406" t="n">
        <v>2</v>
      </c>
      <c r="H130" s="402">
        <f>IFERROR(INDEX('00_TONG_HOP_BAO_GIA'!$G$1:$G$5000, MATCH(B130, '00_TONG_HOP_BAO_GIA'!$B$1:$B$5000, 0)), 1)</f>
        <v/>
      </c>
      <c r="I130" s="407">
        <f>G130*H130</f>
        <v/>
      </c>
      <c r="J130" s="402">
        <f>IFERROR(INDEX('06_BANG_GIA_VAT_TU_AP_DUNG'!$E$1:$E$5000, MATCH(E130, '06_BANG_GIA_VAT_TU_AP_DUNG'!$B$1:$B$5000, 0)), 0)</f>
        <v/>
      </c>
      <c r="K130" s="402">
        <f>I130*J130</f>
        <v/>
      </c>
      <c r="L130" t="inlineStr">
        <is>
          <t>2 đôi bạc đỡ 2 bên thân</t>
        </is>
      </c>
    </row>
    <row r="131">
      <c r="A131" t="inlineStr">
        <is>
          <t>SW-DAMPER-022-GEAR</t>
        </is>
      </c>
      <c r="B131" t="inlineStr">
        <is>
          <t>SW-DAMPER-022</t>
        </is>
      </c>
      <c r="C131" t="inlineStr">
        <is>
          <t>Bánh răng van nhôm</t>
        </is>
      </c>
      <c r="D131" t="inlineStr">
        <is>
          <t>PHỤ_KIỆN_VAN</t>
        </is>
      </c>
      <c r="E131" t="inlineStr">
        <is>
          <t>MAT-DAMPER-BANH-RANG-VAN-NHOM</t>
        </is>
      </c>
      <c r="F131" t="inlineStr">
        <is>
          <t>Bộ</t>
        </is>
      </c>
      <c r="G131" s="406" t="n">
        <v>1</v>
      </c>
      <c r="H131" s="402">
        <f>IFERROR(INDEX('00_TONG_HOP_BAO_GIA'!$G$1:$G$5000, MATCH(B131, '00_TONG_HOP_BAO_GIA'!$B$1:$B$5000, 0)), 1)</f>
        <v/>
      </c>
      <c r="I131" s="407">
        <f>G131*H131</f>
        <v/>
      </c>
      <c r="J131" s="402">
        <f>IFERROR(INDEX('06_BANG_GIA_VAT_TU_AP_DUNG'!$E$1:$E$5000, MATCH(E131, '06_BANG_GIA_VAT_TU_AP_DUNG'!$B$1:$B$5000, 0)), 0)</f>
        <v/>
      </c>
      <c r="K131" s="402">
        <f>I131*J131</f>
        <v/>
      </c>
      <c r="L131" t="inlineStr">
        <is>
          <t>Cơ cấu liên động cánh (1 bộ)</t>
        </is>
      </c>
    </row>
    <row r="132">
      <c r="A132" t="inlineStr">
        <is>
          <t>SW-DAMPER-022-HANDLE</t>
        </is>
      </c>
      <c r="B132" t="inlineStr">
        <is>
          <t>SW-DAMPER-022</t>
        </is>
      </c>
      <c r="C132" t="inlineStr">
        <is>
          <t>Tay gạt nhỏ</t>
        </is>
      </c>
      <c r="D132" t="inlineStr">
        <is>
          <t>PHỤ_KIỆN_VAN</t>
        </is>
      </c>
      <c r="E132" t="inlineStr">
        <is>
          <t>MAT-DAMPER-TAY-GAT-NHO</t>
        </is>
      </c>
      <c r="F132" t="inlineStr">
        <is>
          <t>Bộ</t>
        </is>
      </c>
      <c r="G132" s="406" t="n">
        <v>1</v>
      </c>
      <c r="H132" s="402">
        <f>IFERROR(INDEX('00_TONG_HOP_BAO_GIA'!$G$1:$G$5000, MATCH(B132, '00_TONG_HOP_BAO_GIA'!$B$1:$B$5000, 0)), 1)</f>
        <v/>
      </c>
      <c r="I132" s="407">
        <f>G132*H132</f>
        <v/>
      </c>
      <c r="J132" s="402">
        <f>IFERROR(INDEX('06_BANG_GIA_VAT_TU_AP_DUNG'!$E$1:$E$5000, MATCH(E132, '06_BANG_GIA_VAT_TU_AP_DUNG'!$B$1:$B$5000, 0)), 0)</f>
        <v/>
      </c>
      <c r="K132" s="402">
        <f>I132*J132</f>
        <v/>
      </c>
      <c r="L132" t="inlineStr">
        <is>
          <t>Tay gạt khóa vị trí nan (S=0.32m2)</t>
        </is>
      </c>
    </row>
    <row r="133">
      <c r="A133" t="inlineStr">
        <is>
          <t>SW-DAMPER-022-FB10-EI</t>
        </is>
      </c>
      <c r="B133" t="inlineStr">
        <is>
          <t>SW-DAMPER-022</t>
        </is>
      </c>
      <c r="C133" t="inlineStr">
        <is>
          <t>Tấm chống cháy dày 10mm bọc thân van VCD (EI60)</t>
        </is>
      </c>
      <c r="D133" t="inlineStr">
        <is>
          <t>VẬT_LIỆU_CÁCH_NHIỆT</t>
        </is>
      </c>
      <c r="E133" t="inlineStr">
        <is>
          <t>MAT-FIREBOARD-10MM-BODY</t>
        </is>
      </c>
      <c r="F133" t="inlineStr">
        <is>
          <t>m2</t>
        </is>
      </c>
      <c r="G133" s="406" t="n">
        <v>0.7474999999999999</v>
      </c>
      <c r="H133" s="402">
        <f>IFERROR(INDEX('00_TONG_HOP_BAO_GIA'!$G$1:$G$5000, MATCH(B133, '00_TONG_HOP_BAO_GIA'!$B$1:$B$5000, 0)), 1)</f>
        <v/>
      </c>
      <c r="I133" s="407">
        <f>G133*H133</f>
        <v/>
      </c>
      <c r="J133" s="402">
        <f>IFERROR(INDEX('06_BANG_GIA_VAT_TU_AP_DUNG'!$E$1:$E$5000, MATCH(E133, '06_BANG_GIA_VAT_TU_AP_DUNG'!$B$1:$B$5000, 0)), 0)</f>
        <v/>
      </c>
      <c r="K133" s="402">
        <f>I133*J133</f>
        <v/>
      </c>
      <c r="L133" t="inlineStr">
        <is>
          <t>Bọc chống cháy EI60 quanh thân van</t>
        </is>
      </c>
    </row>
    <row r="134">
      <c r="A134" t="inlineStr">
        <is>
          <t>SW-DAMPER-023-BODY</t>
        </is>
      </c>
      <c r="B134" t="inlineStr">
        <is>
          <t>SW-DAMPER-023</t>
        </is>
      </c>
      <c r="C134" t="inlineStr">
        <is>
          <t>Thân vỏ van VCD bích C30/TDF (0.75mm)</t>
        </is>
      </c>
      <c r="D134" t="inlineStr">
        <is>
          <t>TÔN_CUỘN_MẠ_KẼM</t>
        </is>
      </c>
      <c r="E134" t="inlineStr">
        <is>
          <t>MAT-STEEL-PN-0.75</t>
        </is>
      </c>
      <c r="F134" t="inlineStr">
        <is>
          <t>kg</t>
        </is>
      </c>
      <c r="G134" s="406" t="n">
        <v>3.184902</v>
      </c>
      <c r="H134" s="402">
        <f>IFERROR(INDEX('00_TONG_HOP_BAO_GIA'!$G$1:$G$5000, MATCH(B134, '00_TONG_HOP_BAO_GIA'!$B$1:$B$5000, 0)), 1)</f>
        <v/>
      </c>
      <c r="I134" s="407">
        <f>G134*H134</f>
        <v/>
      </c>
      <c r="J134" s="402">
        <f>IFERROR(INDEX('06_BANG_GIA_VAT_TU_AP_DUNG'!$E$1:$E$5000, MATCH(E134, '06_BANG_GIA_VAT_TU_AP_DUNG'!$B$1:$B$5000, 0)), 0)</f>
        <v/>
      </c>
      <c r="K134" s="402">
        <f>I134*J134</f>
        <v/>
      </c>
      <c r="L134" t="inlineStr">
        <is>
          <t>Kích thước vỏ 600x300x210mm</t>
        </is>
      </c>
    </row>
    <row r="135">
      <c r="A135" t="inlineStr">
        <is>
          <t>SW-DAMPER-023-BLADE</t>
        </is>
      </c>
      <c r="B135" t="inlineStr">
        <is>
          <t>SW-DAMPER-023</t>
        </is>
      </c>
      <c r="C135" t="inlineStr">
        <is>
          <t>Lá cánh / Tôn tấm bọc van (2 cánh)</t>
        </is>
      </c>
      <c r="D135" t="inlineStr">
        <is>
          <t>TÔN_CUỘN_MẠ_KẼM</t>
        </is>
      </c>
      <c r="E135" t="inlineStr">
        <is>
          <t>MAT-STEEL-PN-0.75</t>
        </is>
      </c>
      <c r="F135" t="inlineStr">
        <is>
          <t>kg</t>
        </is>
      </c>
      <c r="G135" s="406" t="n">
        <v>1.297134</v>
      </c>
      <c r="H135" s="402">
        <f>IFERROR(INDEX('00_TONG_HOP_BAO_GIA'!$G$1:$G$5000, MATCH(B135, '00_TONG_HOP_BAO_GIA'!$B$1:$B$5000, 0)), 1)</f>
        <v/>
      </c>
      <c r="I135" s="407">
        <f>G135*H135</f>
        <v/>
      </c>
      <c r="J135" s="402">
        <f>IFERROR(INDEX('06_BANG_GIA_VAT_TU_AP_DUNG'!$E$1:$E$5000, MATCH(E135, '06_BANG_GIA_VAT_TU_AP_DUNG'!$B$1:$B$5000, 0)), 0)</f>
        <v/>
      </c>
      <c r="K135" s="402">
        <f>I135*J135</f>
        <v/>
      </c>
      <c r="L135" t="inlineStr">
        <is>
          <t>2 cánh cao 170mm</t>
        </is>
      </c>
    </row>
    <row r="136">
      <c r="A136" t="inlineStr">
        <is>
          <t>SW-DAMPER-023-AXLE</t>
        </is>
      </c>
      <c r="B136" t="inlineStr">
        <is>
          <t>SW-DAMPER-023</t>
        </is>
      </c>
      <c r="C136" t="inlineStr">
        <is>
          <t>Trục Sus 201 D10</t>
        </is>
      </c>
      <c r="D136" t="inlineStr">
        <is>
          <t>PHỤ_KIỆN_VAN</t>
        </is>
      </c>
      <c r="E136" t="inlineStr">
        <is>
          <t>MAT-DAMPER-TRUC-SUS-201-D10</t>
        </is>
      </c>
      <c r="F136" t="inlineStr">
        <is>
          <t>m</t>
        </is>
      </c>
      <c r="G136" s="406" t="n">
        <v>1.32</v>
      </c>
      <c r="H136" s="402">
        <f>IFERROR(INDEX('00_TONG_HOP_BAO_GIA'!$G$1:$G$5000, MATCH(B136, '00_TONG_HOP_BAO_GIA'!$B$1:$B$5000, 0)), 1)</f>
        <v/>
      </c>
      <c r="I136" s="407">
        <f>G136*H136</f>
        <v/>
      </c>
      <c r="J136" s="402">
        <f>IFERROR(INDEX('06_BANG_GIA_VAT_TU_AP_DUNG'!$E$1:$E$5000, MATCH(E136, '06_BANG_GIA_VAT_TU_AP_DUNG'!$B$1:$B$5000, 0)), 0)</f>
        <v/>
      </c>
      <c r="K136" s="402">
        <f>I136*J136</f>
        <v/>
      </c>
      <c r="L136" t="inlineStr">
        <is>
          <t>2 trục dài 660mm</t>
        </is>
      </c>
    </row>
    <row r="137">
      <c r="A137" t="inlineStr">
        <is>
          <t>SW-DAMPER-023-BEARING</t>
        </is>
      </c>
      <c r="B137" t="inlineStr">
        <is>
          <t>SW-DAMPER-023</t>
        </is>
      </c>
      <c r="C137" t="inlineStr">
        <is>
          <t>Bạc đồng D10</t>
        </is>
      </c>
      <c r="D137" t="inlineStr">
        <is>
          <t>PHỤ_KIỆN_VAN</t>
        </is>
      </c>
      <c r="E137" t="inlineStr">
        <is>
          <t>MAT-DAMPER-BAC-DONG-D10</t>
        </is>
      </c>
      <c r="F137" t="inlineStr">
        <is>
          <t>Đôi</t>
        </is>
      </c>
      <c r="G137" s="406" t="n">
        <v>2</v>
      </c>
      <c r="H137" s="402">
        <f>IFERROR(INDEX('00_TONG_HOP_BAO_GIA'!$G$1:$G$5000, MATCH(B137, '00_TONG_HOP_BAO_GIA'!$B$1:$B$5000, 0)), 1)</f>
        <v/>
      </c>
      <c r="I137" s="407">
        <f>G137*H137</f>
        <v/>
      </c>
      <c r="J137" s="402">
        <f>IFERROR(INDEX('06_BANG_GIA_VAT_TU_AP_DUNG'!$E$1:$E$5000, MATCH(E137, '06_BANG_GIA_VAT_TU_AP_DUNG'!$B$1:$B$5000, 0)), 0)</f>
        <v/>
      </c>
      <c r="K137" s="402">
        <f>I137*J137</f>
        <v/>
      </c>
      <c r="L137" t="inlineStr">
        <is>
          <t>2 đôi bạc đỡ 2 bên thân</t>
        </is>
      </c>
    </row>
    <row r="138">
      <c r="A138" t="inlineStr">
        <is>
          <t>SW-DAMPER-023-GEAR</t>
        </is>
      </c>
      <c r="B138" t="inlineStr">
        <is>
          <t>SW-DAMPER-023</t>
        </is>
      </c>
      <c r="C138" t="inlineStr">
        <is>
          <t>Bánh răng van nhôm</t>
        </is>
      </c>
      <c r="D138" t="inlineStr">
        <is>
          <t>PHỤ_KIỆN_VAN</t>
        </is>
      </c>
      <c r="E138" t="inlineStr">
        <is>
          <t>MAT-DAMPER-BANH-RANG-VAN-NHOM</t>
        </is>
      </c>
      <c r="F138" t="inlineStr">
        <is>
          <t>Bộ</t>
        </is>
      </c>
      <c r="G138" s="406" t="n">
        <v>1</v>
      </c>
      <c r="H138" s="402">
        <f>IFERROR(INDEX('00_TONG_HOP_BAO_GIA'!$G$1:$G$5000, MATCH(B138, '00_TONG_HOP_BAO_GIA'!$B$1:$B$5000, 0)), 1)</f>
        <v/>
      </c>
      <c r="I138" s="407">
        <f>G138*H138</f>
        <v/>
      </c>
      <c r="J138" s="402">
        <f>IFERROR(INDEX('06_BANG_GIA_VAT_TU_AP_DUNG'!$E$1:$E$5000, MATCH(E138, '06_BANG_GIA_VAT_TU_AP_DUNG'!$B$1:$B$5000, 0)), 0)</f>
        <v/>
      </c>
      <c r="K138" s="402">
        <f>I138*J138</f>
        <v/>
      </c>
      <c r="L138" t="inlineStr">
        <is>
          <t>Cơ cấu liên động cánh (1 bộ)</t>
        </is>
      </c>
    </row>
    <row r="139">
      <c r="A139" t="inlineStr">
        <is>
          <t>SW-DAMPER-023-HANDLE</t>
        </is>
      </c>
      <c r="B139" t="inlineStr">
        <is>
          <t>SW-DAMPER-023</t>
        </is>
      </c>
      <c r="C139" t="inlineStr">
        <is>
          <t>Tay gạt nhỏ</t>
        </is>
      </c>
      <c r="D139" t="inlineStr">
        <is>
          <t>PHỤ_KIỆN_VAN</t>
        </is>
      </c>
      <c r="E139" t="inlineStr">
        <is>
          <t>MAT-DAMPER-TAY-GAT-NHO</t>
        </is>
      </c>
      <c r="F139" t="inlineStr">
        <is>
          <t>Bộ</t>
        </is>
      </c>
      <c r="G139" s="406" t="n">
        <v>1</v>
      </c>
      <c r="H139" s="402">
        <f>IFERROR(INDEX('00_TONG_HOP_BAO_GIA'!$G$1:$G$5000, MATCH(B139, '00_TONG_HOP_BAO_GIA'!$B$1:$B$5000, 0)), 1)</f>
        <v/>
      </c>
      <c r="I139" s="407">
        <f>G139*H139</f>
        <v/>
      </c>
      <c r="J139" s="402">
        <f>IFERROR(INDEX('06_BANG_GIA_VAT_TU_AP_DUNG'!$E$1:$E$5000, MATCH(E139, '06_BANG_GIA_VAT_TU_AP_DUNG'!$B$1:$B$5000, 0)), 0)</f>
        <v/>
      </c>
      <c r="K139" s="402">
        <f>I139*J139</f>
        <v/>
      </c>
      <c r="L139" t="inlineStr">
        <is>
          <t>Tay gạt khóa vị trí nan (S=0.18m2)</t>
        </is>
      </c>
    </row>
    <row r="140">
      <c r="A140" t="inlineStr">
        <is>
          <t>SW-DAMPER-023-FB10-EI</t>
        </is>
      </c>
      <c r="B140" t="inlineStr">
        <is>
          <t>SW-DAMPER-023</t>
        </is>
      </c>
      <c r="C140" t="inlineStr">
        <is>
          <t>Tấm chống cháy dày 10mm bọc thân van VCD (EI60)</t>
        </is>
      </c>
      <c r="D140" t="inlineStr">
        <is>
          <t>VẬT_LIỆU_CÁCH_NHIỆT</t>
        </is>
      </c>
      <c r="E140" t="inlineStr">
        <is>
          <t>MAT-FIREBOARD-10MM-BODY</t>
        </is>
      </c>
      <c r="F140" t="inlineStr">
        <is>
          <t>m2</t>
        </is>
      </c>
      <c r="G140" s="406" t="n">
        <v>0.5382</v>
      </c>
      <c r="H140" s="402">
        <f>IFERROR(INDEX('00_TONG_HOP_BAO_GIA'!$G$1:$G$5000, MATCH(B140, '00_TONG_HOP_BAO_GIA'!$B$1:$B$5000, 0)), 1)</f>
        <v/>
      </c>
      <c r="I140" s="407">
        <f>G140*H140</f>
        <v/>
      </c>
      <c r="J140" s="402">
        <f>IFERROR(INDEX('06_BANG_GIA_VAT_TU_AP_DUNG'!$E$1:$E$5000, MATCH(E140, '06_BANG_GIA_VAT_TU_AP_DUNG'!$B$1:$B$5000, 0)), 0)</f>
        <v/>
      </c>
      <c r="K140" s="402">
        <f>I140*J140</f>
        <v/>
      </c>
      <c r="L140" t="inlineStr">
        <is>
          <t>Bọc chống cháy EI60 quanh thân van</t>
        </is>
      </c>
    </row>
    <row r="141">
      <c r="A141" t="inlineStr">
        <is>
          <t>SW-DAMPER-044-BODY</t>
        </is>
      </c>
      <c r="B141" t="inlineStr">
        <is>
          <t>SW-DAMPER-044</t>
        </is>
      </c>
      <c r="C141" t="inlineStr">
        <is>
          <t>Thân vỏ van NRD bích C30/TDF (0.75mm)</t>
        </is>
      </c>
      <c r="D141" t="inlineStr">
        <is>
          <t>TÔN_CUỘN_MẠ_KẼM</t>
        </is>
      </c>
      <c r="E141" t="inlineStr">
        <is>
          <t>MAT-STEEL-PN-0.75</t>
        </is>
      </c>
      <c r="F141" t="inlineStr">
        <is>
          <t>kg</t>
        </is>
      </c>
      <c r="G141" s="406" t="n">
        <v>1.800162</v>
      </c>
      <c r="H141" s="402">
        <f>IFERROR(INDEX('00_TONG_HOP_BAO_GIA'!$G$1:$G$5000, MATCH(B141, '00_TONG_HOP_BAO_GIA'!$B$1:$B$5000, 0)), 1)</f>
        <v/>
      </c>
      <c r="I141" s="407">
        <f>G141*H141</f>
        <v/>
      </c>
      <c r="J141" s="402">
        <f>IFERROR(INDEX('06_BANG_GIA_VAT_TU_AP_DUNG'!$E$1:$E$5000, MATCH(E141, '06_BANG_GIA_VAT_TU_AP_DUNG'!$B$1:$B$5000, 0)), 0)</f>
        <v/>
      </c>
      <c r="K141" s="402">
        <f>I141*J141</f>
        <v/>
      </c>
      <c r="L141" t="inlineStr">
        <is>
          <t>Kích thước vỏ 300x200x210mm</t>
        </is>
      </c>
    </row>
    <row r="142">
      <c r="A142" t="inlineStr">
        <is>
          <t>SW-DAMPER-044-BLADE</t>
        </is>
      </c>
      <c r="B142" t="inlineStr">
        <is>
          <t>SW-DAMPER-044</t>
        </is>
      </c>
      <c r="C142" t="inlineStr">
        <is>
          <t>Lá cánh / Tôn tấm bọc van (2 cánh)</t>
        </is>
      </c>
      <c r="D142" t="inlineStr">
        <is>
          <t>TÔN_CUỘN_MẠ_KẼM</t>
        </is>
      </c>
      <c r="E142" t="inlineStr">
        <is>
          <t>MAT-STEEL-PN-0.75</t>
        </is>
      </c>
      <c r="F142" t="inlineStr">
        <is>
          <t>kg</t>
        </is>
      </c>
      <c r="G142" s="406" t="n">
        <v>0.4578119999999999</v>
      </c>
      <c r="H142" s="402">
        <f>IFERROR(INDEX('00_TONG_HOP_BAO_GIA'!$G$1:$G$5000, MATCH(B142, '00_TONG_HOP_BAO_GIA'!$B$1:$B$5000, 0)), 1)</f>
        <v/>
      </c>
      <c r="I142" s="407">
        <f>G142*H142</f>
        <v/>
      </c>
      <c r="J142" s="402">
        <f>IFERROR(INDEX('06_BANG_GIA_VAT_TU_AP_DUNG'!$E$1:$E$5000, MATCH(E142, '06_BANG_GIA_VAT_TU_AP_DUNG'!$B$1:$B$5000, 0)), 0)</f>
        <v/>
      </c>
      <c r="K142" s="402">
        <f>I142*J142</f>
        <v/>
      </c>
      <c r="L142" t="inlineStr">
        <is>
          <t>2 cánh cao 120mm</t>
        </is>
      </c>
    </row>
    <row r="143">
      <c r="A143" t="inlineStr">
        <is>
          <t>SW-DAMPER-044-AXLE</t>
        </is>
      </c>
      <c r="B143" t="inlineStr">
        <is>
          <t>SW-DAMPER-044</t>
        </is>
      </c>
      <c r="C143" t="inlineStr">
        <is>
          <t>Trục Sus 201 D10</t>
        </is>
      </c>
      <c r="D143" t="inlineStr">
        <is>
          <t>PHỤ_KIỆN_VAN</t>
        </is>
      </c>
      <c r="E143" t="inlineStr">
        <is>
          <t>MAT-DAMPER-TRUC-SUS-201-D10</t>
        </is>
      </c>
      <c r="F143" t="inlineStr">
        <is>
          <t>m</t>
        </is>
      </c>
      <c r="G143" s="406" t="n">
        <v>0.72</v>
      </c>
      <c r="H143" s="402">
        <f>IFERROR(INDEX('00_TONG_HOP_BAO_GIA'!$G$1:$G$5000, MATCH(B143, '00_TONG_HOP_BAO_GIA'!$B$1:$B$5000, 0)), 1)</f>
        <v/>
      </c>
      <c r="I143" s="407">
        <f>G143*H143</f>
        <v/>
      </c>
      <c r="J143" s="402">
        <f>IFERROR(INDEX('06_BANG_GIA_VAT_TU_AP_DUNG'!$E$1:$E$5000, MATCH(E143, '06_BANG_GIA_VAT_TU_AP_DUNG'!$B$1:$B$5000, 0)), 0)</f>
        <v/>
      </c>
      <c r="K143" s="402">
        <f>I143*J143</f>
        <v/>
      </c>
      <c r="L143" t="inlineStr">
        <is>
          <t>2 trục dài 360mm</t>
        </is>
      </c>
    </row>
    <row r="144">
      <c r="A144" t="inlineStr">
        <is>
          <t>SW-DAMPER-044-BEARING</t>
        </is>
      </c>
      <c r="B144" t="inlineStr">
        <is>
          <t>SW-DAMPER-044</t>
        </is>
      </c>
      <c r="C144" t="inlineStr">
        <is>
          <t>Bạc đồng D10</t>
        </is>
      </c>
      <c r="D144" t="inlineStr">
        <is>
          <t>PHỤ_KIỆN_VAN</t>
        </is>
      </c>
      <c r="E144" t="inlineStr">
        <is>
          <t>MAT-DAMPER-BAC-DONG-D10</t>
        </is>
      </c>
      <c r="F144" t="inlineStr">
        <is>
          <t>Đôi</t>
        </is>
      </c>
      <c r="G144" s="406" t="n">
        <v>2</v>
      </c>
      <c r="H144" s="402">
        <f>IFERROR(INDEX('00_TONG_HOP_BAO_GIA'!$G$1:$G$5000, MATCH(B144, '00_TONG_HOP_BAO_GIA'!$B$1:$B$5000, 0)), 1)</f>
        <v/>
      </c>
      <c r="I144" s="407">
        <f>G144*H144</f>
        <v/>
      </c>
      <c r="J144" s="402">
        <f>IFERROR(INDEX('06_BANG_GIA_VAT_TU_AP_DUNG'!$E$1:$E$5000, MATCH(E144, '06_BANG_GIA_VAT_TU_AP_DUNG'!$B$1:$B$5000, 0)), 0)</f>
        <v/>
      </c>
      <c r="K144" s="402">
        <f>I144*J144</f>
        <v/>
      </c>
      <c r="L144" t="inlineStr">
        <is>
          <t>2 đôi bạc đỡ 2 bên thân</t>
        </is>
      </c>
    </row>
    <row r="145">
      <c r="A145" t="inlineStr">
        <is>
          <t>SW-DAMPER-044-GEAR</t>
        </is>
      </c>
      <c r="B145" t="inlineStr">
        <is>
          <t>SW-DAMPER-044</t>
        </is>
      </c>
      <c r="C145" t="inlineStr">
        <is>
          <t>Bánh răng van nhôm</t>
        </is>
      </c>
      <c r="D145" t="inlineStr">
        <is>
          <t>PHỤ_KIỆN_VAN</t>
        </is>
      </c>
      <c r="E145" t="inlineStr">
        <is>
          <t>MAT-DAMPER-BANH-RANG-VAN-NHOM</t>
        </is>
      </c>
      <c r="F145" t="inlineStr">
        <is>
          <t>Bộ</t>
        </is>
      </c>
      <c r="G145" s="406" t="n">
        <v>1</v>
      </c>
      <c r="H145" s="402">
        <f>IFERROR(INDEX('00_TONG_HOP_BAO_GIA'!$G$1:$G$5000, MATCH(B145, '00_TONG_HOP_BAO_GIA'!$B$1:$B$5000, 0)), 1)</f>
        <v/>
      </c>
      <c r="I145" s="407">
        <f>G145*H145</f>
        <v/>
      </c>
      <c r="J145" s="402">
        <f>IFERROR(INDEX('06_BANG_GIA_VAT_TU_AP_DUNG'!$E$1:$E$5000, MATCH(E145, '06_BANG_GIA_VAT_TU_AP_DUNG'!$B$1:$B$5000, 0)), 0)</f>
        <v/>
      </c>
      <c r="K145" s="402">
        <f>I145*J145</f>
        <v/>
      </c>
      <c r="L145" t="inlineStr">
        <is>
          <t>Cơ cấu liên động cánh (1 bộ)</t>
        </is>
      </c>
    </row>
    <row r="146">
      <c r="A146" t="inlineStr">
        <is>
          <t>SW-DAMPER-044-ECCENTRIC</t>
        </is>
      </c>
      <c r="B146" t="inlineStr">
        <is>
          <t>SW-DAMPER-044</t>
        </is>
      </c>
      <c r="C146" t="inlineStr">
        <is>
          <t>Cơ cấu lệch tâm / Lò xo đóng mở (NRD)</t>
        </is>
      </c>
      <c r="D146" t="inlineStr">
        <is>
          <t>PHỤ_KIỆN_VAN</t>
        </is>
      </c>
      <c r="E146" t="inlineStr">
        <is>
          <t>ECCENTRIC_SHAFT</t>
        </is>
      </c>
      <c r="F146" t="inlineStr">
        <is>
          <t>Bộ</t>
        </is>
      </c>
      <c r="G146" s="406" t="n">
        <v>1</v>
      </c>
      <c r="H146" s="402">
        <f>IFERROR(INDEX('00_TONG_HOP_BAO_GIA'!$G$1:$G$5000, MATCH(B146, '00_TONG_HOP_BAO_GIA'!$B$1:$B$5000, 0)), 1)</f>
        <v/>
      </c>
      <c r="I146" s="407">
        <f>G146*H146</f>
        <v/>
      </c>
      <c r="J146" s="402">
        <f>IFERROR(INDEX('06_BANG_GIA_VAT_TU_AP_DUNG'!$E$1:$E$5000, MATCH(E146, '06_BANG_GIA_VAT_TU_AP_DUNG'!$B$1:$B$5000, 0)), 0)</f>
        <v/>
      </c>
      <c r="K146" s="402">
        <f>I146*J146</f>
        <v/>
      </c>
      <c r="L146" t="inlineStr">
        <is>
          <t>Cơ cấu đóng mở một chiều</t>
        </is>
      </c>
    </row>
    <row r="147">
      <c r="A147" t="inlineStr">
        <is>
          <t>SW-DAMPER-044-FB10-EI</t>
        </is>
      </c>
      <c r="B147" t="inlineStr">
        <is>
          <t>SW-DAMPER-044</t>
        </is>
      </c>
      <c r="C147" t="inlineStr">
        <is>
          <t>Tấm chống cháy dày 10mm bọc thân van NRD (EI60)</t>
        </is>
      </c>
      <c r="D147" t="inlineStr">
        <is>
          <t>VẬT_LIỆU_CÁCH_NHIỆT</t>
        </is>
      </c>
      <c r="E147" t="inlineStr">
        <is>
          <t>MAT-FIREBOARD-10MM-BODY</t>
        </is>
      </c>
      <c r="F147" t="inlineStr">
        <is>
          <t>m2</t>
        </is>
      </c>
      <c r="G147" s="406" t="n">
        <v>0.299</v>
      </c>
      <c r="H147" s="402">
        <f>IFERROR(INDEX('00_TONG_HOP_BAO_GIA'!$G$1:$G$5000, MATCH(B147, '00_TONG_HOP_BAO_GIA'!$B$1:$B$5000, 0)), 1)</f>
        <v/>
      </c>
      <c r="I147" s="407">
        <f>G147*H147</f>
        <v/>
      </c>
      <c r="J147" s="402">
        <f>IFERROR(INDEX('06_BANG_GIA_VAT_TU_AP_DUNG'!$E$1:$E$5000, MATCH(E147, '06_BANG_GIA_VAT_TU_AP_DUNG'!$B$1:$B$5000, 0)), 0)</f>
        <v/>
      </c>
      <c r="K147" s="402">
        <f>I147*J147</f>
        <v/>
      </c>
      <c r="L147" t="inlineStr">
        <is>
          <t>Bọc chống cháy EI60 quanh thân van</t>
        </is>
      </c>
    </row>
    <row r="148">
      <c r="A148" t="inlineStr">
        <is>
          <t>SW-DAMPER-045-BODY</t>
        </is>
      </c>
      <c r="B148" t="inlineStr">
        <is>
          <t>SW-DAMPER-045</t>
        </is>
      </c>
      <c r="C148" t="inlineStr">
        <is>
          <t>Thân vỏ van NRD bích C30/TDF (0.95mm)</t>
        </is>
      </c>
      <c r="D148" t="inlineStr">
        <is>
          <t>TÔN_CUỘN_MẠ_KẼM</t>
        </is>
      </c>
      <c r="E148" t="inlineStr">
        <is>
          <t>MAT-STEEL-PN-0.95</t>
        </is>
      </c>
      <c r="F148" t="inlineStr">
        <is>
          <t>kg</t>
        </is>
      </c>
      <c r="G148" s="406" t="n">
        <v>5.349712200000001</v>
      </c>
      <c r="H148" s="402">
        <f>IFERROR(INDEX('00_TONG_HOP_BAO_GIA'!$G$1:$G$5000, MATCH(B148, '00_TONG_HOP_BAO_GIA'!$B$1:$B$5000, 0)), 1)</f>
        <v/>
      </c>
      <c r="I148" s="407">
        <f>G148*H148</f>
        <v/>
      </c>
      <c r="J148" s="402">
        <f>IFERROR(INDEX('06_BANG_GIA_VAT_TU_AP_DUNG'!$E$1:$E$5000, MATCH(E148, '06_BANG_GIA_VAT_TU_AP_DUNG'!$B$1:$B$5000, 0)), 0)</f>
        <v/>
      </c>
      <c r="K148" s="402">
        <f>I148*J148</f>
        <v/>
      </c>
      <c r="L148" t="inlineStr">
        <is>
          <t>Kích thước vỏ 700x500x210mm</t>
        </is>
      </c>
    </row>
    <row r="149">
      <c r="A149" t="inlineStr">
        <is>
          <t>SW-DAMPER-045-BLADE</t>
        </is>
      </c>
      <c r="B149" t="inlineStr">
        <is>
          <t>SW-DAMPER-045</t>
        </is>
      </c>
      <c r="C149" t="inlineStr">
        <is>
          <t>Lá cánh / Tôn tấm bọc van (3 cánh)</t>
        </is>
      </c>
      <c r="D149" t="inlineStr">
        <is>
          <t>TÔN_CUỘN_MẠ_KẼM</t>
        </is>
      </c>
      <c r="E149" t="inlineStr">
        <is>
          <t>MAT-STEEL-PN-0.75</t>
        </is>
      </c>
      <c r="F149" t="inlineStr">
        <is>
          <t>kg</t>
        </is>
      </c>
      <c r="G149" s="406" t="n">
        <v>2.492531999999999</v>
      </c>
      <c r="H149" s="402">
        <f>IFERROR(INDEX('00_TONG_HOP_BAO_GIA'!$G$1:$G$5000, MATCH(B149, '00_TONG_HOP_BAO_GIA'!$B$1:$B$5000, 0)), 1)</f>
        <v/>
      </c>
      <c r="I149" s="407">
        <f>G149*H149</f>
        <v/>
      </c>
      <c r="J149" s="402">
        <f>IFERROR(INDEX('06_BANG_GIA_VAT_TU_AP_DUNG'!$E$1:$E$5000, MATCH(E149, '06_BANG_GIA_VAT_TU_AP_DUNG'!$B$1:$B$5000, 0)), 0)</f>
        <v/>
      </c>
      <c r="K149" s="402">
        <f>I149*J149</f>
        <v/>
      </c>
      <c r="L149" t="inlineStr">
        <is>
          <t>3 cánh cao 187mm</t>
        </is>
      </c>
    </row>
    <row r="150">
      <c r="A150" t="inlineStr">
        <is>
          <t>SW-DAMPER-045-AXLE</t>
        </is>
      </c>
      <c r="B150" t="inlineStr">
        <is>
          <t>SW-DAMPER-045</t>
        </is>
      </c>
      <c r="C150" t="inlineStr">
        <is>
          <t>Trục Sus 201 D10</t>
        </is>
      </c>
      <c r="D150" t="inlineStr">
        <is>
          <t>PHỤ_KIỆN_VAN</t>
        </is>
      </c>
      <c r="E150" t="inlineStr">
        <is>
          <t>MAT-DAMPER-TRUC-SUS-201-D10</t>
        </is>
      </c>
      <c r="F150" t="inlineStr">
        <is>
          <t>m</t>
        </is>
      </c>
      <c r="G150" s="406" t="n">
        <v>2.28</v>
      </c>
      <c r="H150" s="402">
        <f>IFERROR(INDEX('00_TONG_HOP_BAO_GIA'!$G$1:$G$5000, MATCH(B150, '00_TONG_HOP_BAO_GIA'!$B$1:$B$5000, 0)), 1)</f>
        <v/>
      </c>
      <c r="I150" s="407">
        <f>G150*H150</f>
        <v/>
      </c>
      <c r="J150" s="402">
        <f>IFERROR(INDEX('06_BANG_GIA_VAT_TU_AP_DUNG'!$E$1:$E$5000, MATCH(E150, '06_BANG_GIA_VAT_TU_AP_DUNG'!$B$1:$B$5000, 0)), 0)</f>
        <v/>
      </c>
      <c r="K150" s="402">
        <f>I150*J150</f>
        <v/>
      </c>
      <c r="L150" t="inlineStr">
        <is>
          <t>3 trục dài 760mm</t>
        </is>
      </c>
    </row>
    <row r="151">
      <c r="A151" t="inlineStr">
        <is>
          <t>SW-DAMPER-045-BEARING</t>
        </is>
      </c>
      <c r="B151" t="inlineStr">
        <is>
          <t>SW-DAMPER-045</t>
        </is>
      </c>
      <c r="C151" t="inlineStr">
        <is>
          <t>Bạc đồng D10</t>
        </is>
      </c>
      <c r="D151" t="inlineStr">
        <is>
          <t>PHỤ_KIỆN_VAN</t>
        </is>
      </c>
      <c r="E151" t="inlineStr">
        <is>
          <t>MAT-DAMPER-BAC-DONG-D10</t>
        </is>
      </c>
      <c r="F151" t="inlineStr">
        <is>
          <t>Đôi</t>
        </is>
      </c>
      <c r="G151" s="406" t="n">
        <v>3</v>
      </c>
      <c r="H151" s="402">
        <f>IFERROR(INDEX('00_TONG_HOP_BAO_GIA'!$G$1:$G$5000, MATCH(B151, '00_TONG_HOP_BAO_GIA'!$B$1:$B$5000, 0)), 1)</f>
        <v/>
      </c>
      <c r="I151" s="407">
        <f>G151*H151</f>
        <v/>
      </c>
      <c r="J151" s="402">
        <f>IFERROR(INDEX('06_BANG_GIA_VAT_TU_AP_DUNG'!$E$1:$E$5000, MATCH(E151, '06_BANG_GIA_VAT_TU_AP_DUNG'!$B$1:$B$5000, 0)), 0)</f>
        <v/>
      </c>
      <c r="K151" s="402">
        <f>I151*J151</f>
        <v/>
      </c>
      <c r="L151" t="inlineStr">
        <is>
          <t>3 đôi bạc đỡ 2 bên thân</t>
        </is>
      </c>
    </row>
    <row r="152">
      <c r="A152" t="inlineStr">
        <is>
          <t>SW-DAMPER-045-GEAR</t>
        </is>
      </c>
      <c r="B152" t="inlineStr">
        <is>
          <t>SW-DAMPER-045</t>
        </is>
      </c>
      <c r="C152" t="inlineStr">
        <is>
          <t>Bánh răng van nhôm</t>
        </is>
      </c>
      <c r="D152" t="inlineStr">
        <is>
          <t>PHỤ_KIỆN_VAN</t>
        </is>
      </c>
      <c r="E152" t="inlineStr">
        <is>
          <t>MAT-DAMPER-BANH-RANG-VAN-NHOM</t>
        </is>
      </c>
      <c r="F152" t="inlineStr">
        <is>
          <t>Bộ</t>
        </is>
      </c>
      <c r="G152" s="406" t="n">
        <v>1</v>
      </c>
      <c r="H152" s="402">
        <f>IFERROR(INDEX('00_TONG_HOP_BAO_GIA'!$G$1:$G$5000, MATCH(B152, '00_TONG_HOP_BAO_GIA'!$B$1:$B$5000, 0)), 1)</f>
        <v/>
      </c>
      <c r="I152" s="407">
        <f>G152*H152</f>
        <v/>
      </c>
      <c r="J152" s="402">
        <f>IFERROR(INDEX('06_BANG_GIA_VAT_TU_AP_DUNG'!$E$1:$E$5000, MATCH(E152, '06_BANG_GIA_VAT_TU_AP_DUNG'!$B$1:$B$5000, 0)), 0)</f>
        <v/>
      </c>
      <c r="K152" s="402">
        <f>I152*J152</f>
        <v/>
      </c>
      <c r="L152" t="inlineStr">
        <is>
          <t>Cơ cấu liên động cánh (1 bộ)</t>
        </is>
      </c>
    </row>
    <row r="153">
      <c r="A153" t="inlineStr">
        <is>
          <t>SW-DAMPER-045-ECCENTRIC</t>
        </is>
      </c>
      <c r="B153" t="inlineStr">
        <is>
          <t>SW-DAMPER-045</t>
        </is>
      </c>
      <c r="C153" t="inlineStr">
        <is>
          <t>Cơ cấu lệch tâm / Lò xo đóng mở (NRD)</t>
        </is>
      </c>
      <c r="D153" t="inlineStr">
        <is>
          <t>PHỤ_KIỆN_VAN</t>
        </is>
      </c>
      <c r="E153" t="inlineStr">
        <is>
          <t>ECCENTRIC_SHAFT</t>
        </is>
      </c>
      <c r="F153" t="inlineStr">
        <is>
          <t>Bộ</t>
        </is>
      </c>
      <c r="G153" s="406" t="n">
        <v>1</v>
      </c>
      <c r="H153" s="402">
        <f>IFERROR(INDEX('00_TONG_HOP_BAO_GIA'!$G$1:$G$5000, MATCH(B153, '00_TONG_HOP_BAO_GIA'!$B$1:$B$5000, 0)), 1)</f>
        <v/>
      </c>
      <c r="I153" s="407">
        <f>G153*H153</f>
        <v/>
      </c>
      <c r="J153" s="402">
        <f>IFERROR(INDEX('06_BANG_GIA_VAT_TU_AP_DUNG'!$E$1:$E$5000, MATCH(E153, '06_BANG_GIA_VAT_TU_AP_DUNG'!$B$1:$B$5000, 0)), 0)</f>
        <v/>
      </c>
      <c r="K153" s="402">
        <f>I153*J153</f>
        <v/>
      </c>
      <c r="L153" t="inlineStr">
        <is>
          <t>Cơ cấu đóng mở một chiều</t>
        </is>
      </c>
    </row>
    <row r="154">
      <c r="A154" t="inlineStr">
        <is>
          <t>SW-DAMPER-045-FB10-EI</t>
        </is>
      </c>
      <c r="B154" t="inlineStr">
        <is>
          <t>SW-DAMPER-045</t>
        </is>
      </c>
      <c r="C154" t="inlineStr">
        <is>
          <t>Tấm chống cháy dày 10mm bọc thân van NRD (EI60)</t>
        </is>
      </c>
      <c r="D154" t="inlineStr">
        <is>
          <t>VẬT_LIỆU_CÁCH_NHIỆT</t>
        </is>
      </c>
      <c r="E154" t="inlineStr">
        <is>
          <t>MAT-FIREBOARD-10MM-BODY</t>
        </is>
      </c>
      <c r="F154" t="inlineStr">
        <is>
          <t>m2</t>
        </is>
      </c>
      <c r="G154" s="406" t="n">
        <v>0.7175999999999999</v>
      </c>
      <c r="H154" s="402">
        <f>IFERROR(INDEX('00_TONG_HOP_BAO_GIA'!$G$1:$G$5000, MATCH(B154, '00_TONG_HOP_BAO_GIA'!$B$1:$B$5000, 0)), 1)</f>
        <v/>
      </c>
      <c r="I154" s="407">
        <f>G154*H154</f>
        <v/>
      </c>
      <c r="J154" s="402">
        <f>IFERROR(INDEX('06_BANG_GIA_VAT_TU_AP_DUNG'!$E$1:$E$5000, MATCH(E154, '06_BANG_GIA_VAT_TU_AP_DUNG'!$B$1:$B$5000, 0)), 0)</f>
        <v/>
      </c>
      <c r="K154" s="402">
        <f>I154*J154</f>
        <v/>
      </c>
      <c r="L154" t="inlineStr">
        <is>
          <t>Bọc chống cháy EI60 quanh thân van</t>
        </is>
      </c>
    </row>
    <row r="155">
      <c r="A155" t="inlineStr">
        <is>
          <t>SW-DAMPER-046-BODY</t>
        </is>
      </c>
      <c r="B155" t="inlineStr">
        <is>
          <t>SW-DAMPER-046</t>
        </is>
      </c>
      <c r="C155" t="inlineStr">
        <is>
          <t>Thân vỏ van NRD bích C30/TDF (0.95mm)</t>
        </is>
      </c>
      <c r="D155" t="inlineStr">
        <is>
          <t>TÔN_CUỘN_MẠ_KẼM</t>
        </is>
      </c>
      <c r="E155" t="inlineStr">
        <is>
          <t>MAT-STEEL-PN-0.95</t>
        </is>
      </c>
      <c r="F155" t="inlineStr">
        <is>
          <t>kg</t>
        </is>
      </c>
      <c r="G155" s="406" t="n">
        <v>6.6652152</v>
      </c>
      <c r="H155" s="402">
        <f>IFERROR(INDEX('00_TONG_HOP_BAO_GIA'!$G$1:$G$5000, MATCH(B155, '00_TONG_HOP_BAO_GIA'!$B$1:$B$5000, 0)), 1)</f>
        <v/>
      </c>
      <c r="I155" s="407">
        <f>G155*H155</f>
        <v/>
      </c>
      <c r="J155" s="402">
        <f>IFERROR(INDEX('06_BANG_GIA_VAT_TU_AP_DUNG'!$E$1:$E$5000, MATCH(E155, '06_BANG_GIA_VAT_TU_AP_DUNG'!$B$1:$B$5000, 0)), 0)</f>
        <v/>
      </c>
      <c r="K155" s="402">
        <f>I155*J155</f>
        <v/>
      </c>
      <c r="L155" t="inlineStr">
        <is>
          <t>Kích thước vỏ 700x800x210mm</t>
        </is>
      </c>
    </row>
    <row r="156">
      <c r="A156" t="inlineStr">
        <is>
          <t>SW-DAMPER-046-BLADE</t>
        </is>
      </c>
      <c r="B156" t="inlineStr">
        <is>
          <t>SW-DAMPER-046</t>
        </is>
      </c>
      <c r="C156" t="inlineStr">
        <is>
          <t>Lá cánh / Tôn tấm bọc van (5 cánh)</t>
        </is>
      </c>
      <c r="D156" t="inlineStr">
        <is>
          <t>TÔN_CUỘN_MẠ_KẼM</t>
        </is>
      </c>
      <c r="E156" t="inlineStr">
        <is>
          <t>MAT-STEEL-PN-0.75</t>
        </is>
      </c>
      <c r="F156" t="inlineStr">
        <is>
          <t>kg</t>
        </is>
      </c>
      <c r="G156" s="406" t="n">
        <v>4.005854999999999</v>
      </c>
      <c r="H156" s="402">
        <f>IFERROR(INDEX('00_TONG_HOP_BAO_GIA'!$G$1:$G$5000, MATCH(B156, '00_TONG_HOP_BAO_GIA'!$B$1:$B$5000, 0)), 1)</f>
        <v/>
      </c>
      <c r="I156" s="407">
        <f>G156*H156</f>
        <v/>
      </c>
      <c r="J156" s="402">
        <f>IFERROR(INDEX('06_BANG_GIA_VAT_TU_AP_DUNG'!$E$1:$E$5000, MATCH(E156, '06_BANG_GIA_VAT_TU_AP_DUNG'!$B$1:$B$5000, 0)), 0)</f>
        <v/>
      </c>
      <c r="K156" s="402">
        <f>I156*J156</f>
        <v/>
      </c>
      <c r="L156" t="inlineStr">
        <is>
          <t>5 cánh cao 180mm</t>
        </is>
      </c>
    </row>
    <row r="157">
      <c r="A157" t="inlineStr">
        <is>
          <t>SW-DAMPER-046-AXLE</t>
        </is>
      </c>
      <c r="B157" t="inlineStr">
        <is>
          <t>SW-DAMPER-046</t>
        </is>
      </c>
      <c r="C157" t="inlineStr">
        <is>
          <t>Trục Sus 201 D10</t>
        </is>
      </c>
      <c r="D157" t="inlineStr">
        <is>
          <t>PHỤ_KIỆN_VAN</t>
        </is>
      </c>
      <c r="E157" t="inlineStr">
        <is>
          <t>MAT-DAMPER-TRUC-SUS-201-D10</t>
        </is>
      </c>
      <c r="F157" t="inlineStr">
        <is>
          <t>m</t>
        </is>
      </c>
      <c r="G157" s="406" t="n">
        <v>3.8</v>
      </c>
      <c r="H157" s="402">
        <f>IFERROR(INDEX('00_TONG_HOP_BAO_GIA'!$G$1:$G$5000, MATCH(B157, '00_TONG_HOP_BAO_GIA'!$B$1:$B$5000, 0)), 1)</f>
        <v/>
      </c>
      <c r="I157" s="407">
        <f>G157*H157</f>
        <v/>
      </c>
      <c r="J157" s="402">
        <f>IFERROR(INDEX('06_BANG_GIA_VAT_TU_AP_DUNG'!$E$1:$E$5000, MATCH(E157, '06_BANG_GIA_VAT_TU_AP_DUNG'!$B$1:$B$5000, 0)), 0)</f>
        <v/>
      </c>
      <c r="K157" s="402">
        <f>I157*J157</f>
        <v/>
      </c>
      <c r="L157" t="inlineStr">
        <is>
          <t>5 trục dài 760mm</t>
        </is>
      </c>
    </row>
    <row r="158">
      <c r="A158" t="inlineStr">
        <is>
          <t>SW-DAMPER-046-BEARING</t>
        </is>
      </c>
      <c r="B158" t="inlineStr">
        <is>
          <t>SW-DAMPER-046</t>
        </is>
      </c>
      <c r="C158" t="inlineStr">
        <is>
          <t>Bạc đồng D10</t>
        </is>
      </c>
      <c r="D158" t="inlineStr">
        <is>
          <t>PHỤ_KIỆN_VAN</t>
        </is>
      </c>
      <c r="E158" t="inlineStr">
        <is>
          <t>MAT-DAMPER-BAC-DONG-D10</t>
        </is>
      </c>
      <c r="F158" t="inlineStr">
        <is>
          <t>Đôi</t>
        </is>
      </c>
      <c r="G158" s="406" t="n">
        <v>5</v>
      </c>
      <c r="H158" s="402">
        <f>IFERROR(INDEX('00_TONG_HOP_BAO_GIA'!$G$1:$G$5000, MATCH(B158, '00_TONG_HOP_BAO_GIA'!$B$1:$B$5000, 0)), 1)</f>
        <v/>
      </c>
      <c r="I158" s="407">
        <f>G158*H158</f>
        <v/>
      </c>
      <c r="J158" s="402">
        <f>IFERROR(INDEX('06_BANG_GIA_VAT_TU_AP_DUNG'!$E$1:$E$5000, MATCH(E158, '06_BANG_GIA_VAT_TU_AP_DUNG'!$B$1:$B$5000, 0)), 0)</f>
        <v/>
      </c>
      <c r="K158" s="402">
        <f>I158*J158</f>
        <v/>
      </c>
      <c r="L158" t="inlineStr">
        <is>
          <t>5 đôi bạc đỡ 2 bên thân</t>
        </is>
      </c>
    </row>
    <row r="159">
      <c r="A159" t="inlineStr">
        <is>
          <t>SW-DAMPER-046-GEAR</t>
        </is>
      </c>
      <c r="B159" t="inlineStr">
        <is>
          <t>SW-DAMPER-046</t>
        </is>
      </c>
      <c r="C159" t="inlineStr">
        <is>
          <t>Bánh răng van nhôm</t>
        </is>
      </c>
      <c r="D159" t="inlineStr">
        <is>
          <t>PHỤ_KIỆN_VAN</t>
        </is>
      </c>
      <c r="E159" t="inlineStr">
        <is>
          <t>MAT-DAMPER-BANH-RANG-VAN-NHOM</t>
        </is>
      </c>
      <c r="F159" t="inlineStr">
        <is>
          <t>Bộ</t>
        </is>
      </c>
      <c r="G159" s="406" t="n">
        <v>1</v>
      </c>
      <c r="H159" s="402">
        <f>IFERROR(INDEX('00_TONG_HOP_BAO_GIA'!$G$1:$G$5000, MATCH(B159, '00_TONG_HOP_BAO_GIA'!$B$1:$B$5000, 0)), 1)</f>
        <v/>
      </c>
      <c r="I159" s="407">
        <f>G159*H159</f>
        <v/>
      </c>
      <c r="J159" s="402">
        <f>IFERROR(INDEX('06_BANG_GIA_VAT_TU_AP_DUNG'!$E$1:$E$5000, MATCH(E159, '06_BANG_GIA_VAT_TU_AP_DUNG'!$B$1:$B$5000, 0)), 0)</f>
        <v/>
      </c>
      <c r="K159" s="402">
        <f>I159*J159</f>
        <v/>
      </c>
      <c r="L159" t="inlineStr">
        <is>
          <t>Cơ cấu liên động cánh (1 bộ)</t>
        </is>
      </c>
    </row>
    <row r="160">
      <c r="A160" t="inlineStr">
        <is>
          <t>SW-DAMPER-046-ECCENTRIC</t>
        </is>
      </c>
      <c r="B160" t="inlineStr">
        <is>
          <t>SW-DAMPER-046</t>
        </is>
      </c>
      <c r="C160" t="inlineStr">
        <is>
          <t>Cơ cấu lệch tâm / Lò xo đóng mở (NRD)</t>
        </is>
      </c>
      <c r="D160" t="inlineStr">
        <is>
          <t>PHỤ_KIỆN_VAN</t>
        </is>
      </c>
      <c r="E160" t="inlineStr">
        <is>
          <t>ECCENTRIC_SHAFT</t>
        </is>
      </c>
      <c r="F160" t="inlineStr">
        <is>
          <t>Bộ</t>
        </is>
      </c>
      <c r="G160" s="406" t="n">
        <v>1</v>
      </c>
      <c r="H160" s="402">
        <f>IFERROR(INDEX('00_TONG_HOP_BAO_GIA'!$G$1:$G$5000, MATCH(B160, '00_TONG_HOP_BAO_GIA'!$B$1:$B$5000, 0)), 1)</f>
        <v/>
      </c>
      <c r="I160" s="407">
        <f>G160*H160</f>
        <v/>
      </c>
      <c r="J160" s="402">
        <f>IFERROR(INDEX('06_BANG_GIA_VAT_TU_AP_DUNG'!$E$1:$E$5000, MATCH(E160, '06_BANG_GIA_VAT_TU_AP_DUNG'!$B$1:$B$5000, 0)), 0)</f>
        <v/>
      </c>
      <c r="K160" s="402">
        <f>I160*J160</f>
        <v/>
      </c>
      <c r="L160" t="inlineStr">
        <is>
          <t>Cơ cấu đóng mở một chiều</t>
        </is>
      </c>
    </row>
    <row r="161">
      <c r="A161" t="inlineStr">
        <is>
          <t>SW-DAMPER-046-FB10-EI</t>
        </is>
      </c>
      <c r="B161" t="inlineStr">
        <is>
          <t>SW-DAMPER-046</t>
        </is>
      </c>
      <c r="C161" t="inlineStr">
        <is>
          <t>Tấm chống cháy dày 10mm bọc thân van NRD (EI60)</t>
        </is>
      </c>
      <c r="D161" t="inlineStr">
        <is>
          <t>VẬT_LIỆU_CÁCH_NHIỆT</t>
        </is>
      </c>
      <c r="E161" t="inlineStr">
        <is>
          <t>MAT-FIREBOARD-10MM-BODY</t>
        </is>
      </c>
      <c r="F161" t="inlineStr">
        <is>
          <t>m2</t>
        </is>
      </c>
      <c r="G161" s="406" t="n">
        <v>0.8969999999999999</v>
      </c>
      <c r="H161" s="402">
        <f>IFERROR(INDEX('00_TONG_HOP_BAO_GIA'!$G$1:$G$5000, MATCH(B161, '00_TONG_HOP_BAO_GIA'!$B$1:$B$5000, 0)), 1)</f>
        <v/>
      </c>
      <c r="I161" s="407">
        <f>G161*H161</f>
        <v/>
      </c>
      <c r="J161" s="402">
        <f>IFERROR(INDEX('06_BANG_GIA_VAT_TU_AP_DUNG'!$E$1:$E$5000, MATCH(E161, '06_BANG_GIA_VAT_TU_AP_DUNG'!$B$1:$B$5000, 0)), 0)</f>
        <v/>
      </c>
      <c r="K161" s="402">
        <f>I161*J161</f>
        <v/>
      </c>
      <c r="L161" t="inlineStr">
        <is>
          <t>Bọc chống cháy EI60 quanh thân van</t>
        </is>
      </c>
    </row>
    <row r="162">
      <c r="A162" t="inlineStr">
        <is>
          <t>SW-DAMPER-047-BODY</t>
        </is>
      </c>
      <c r="B162" t="inlineStr">
        <is>
          <t>SW-DAMPER-047</t>
        </is>
      </c>
      <c r="C162" t="inlineStr">
        <is>
          <t>Thân vỏ van NRD bích C30/TDF (0.75mm)</t>
        </is>
      </c>
      <c r="D162" t="inlineStr">
        <is>
          <t>TÔN_CUỘN_MẠ_KẼM</t>
        </is>
      </c>
      <c r="E162" t="inlineStr">
        <is>
          <t>MAT-STEEL-PN-0.75</t>
        </is>
      </c>
      <c r="F162" t="inlineStr">
        <is>
          <t>kg</t>
        </is>
      </c>
      <c r="G162" s="406" t="n">
        <v>1.6270695</v>
      </c>
      <c r="H162" s="402">
        <f>IFERROR(INDEX('00_TONG_HOP_BAO_GIA'!$G$1:$G$5000, MATCH(B162, '00_TONG_HOP_BAO_GIA'!$B$1:$B$5000, 0)), 1)</f>
        <v/>
      </c>
      <c r="I162" s="407">
        <f>G162*H162</f>
        <v/>
      </c>
      <c r="J162" s="402">
        <f>IFERROR(INDEX('06_BANG_GIA_VAT_TU_AP_DUNG'!$E$1:$E$5000, MATCH(E162, '06_BANG_GIA_VAT_TU_AP_DUNG'!$B$1:$B$5000, 0)), 0)</f>
        <v/>
      </c>
      <c r="K162" s="402">
        <f>I162*J162</f>
        <v/>
      </c>
      <c r="L162" t="inlineStr">
        <is>
          <t>Kích thước vỏ 250x200x210mm</t>
        </is>
      </c>
    </row>
    <row r="163">
      <c r="A163" t="inlineStr">
        <is>
          <t>SW-DAMPER-047-BLADE</t>
        </is>
      </c>
      <c r="B163" t="inlineStr">
        <is>
          <t>SW-DAMPER-047</t>
        </is>
      </c>
      <c r="C163" t="inlineStr">
        <is>
          <t>Lá cánh / Tôn tấm bọc van (2 cánh)</t>
        </is>
      </c>
      <c r="D163" t="inlineStr">
        <is>
          <t>TÔN_CUỘN_MẠ_KẼM</t>
        </is>
      </c>
      <c r="E163" t="inlineStr">
        <is>
          <t>MAT-STEEL-PN-0.75</t>
        </is>
      </c>
      <c r="F163" t="inlineStr">
        <is>
          <t>kg</t>
        </is>
      </c>
      <c r="G163" s="406" t="n">
        <v>0.38151</v>
      </c>
      <c r="H163" s="402">
        <f>IFERROR(INDEX('00_TONG_HOP_BAO_GIA'!$G$1:$G$5000, MATCH(B163, '00_TONG_HOP_BAO_GIA'!$B$1:$B$5000, 0)), 1)</f>
        <v/>
      </c>
      <c r="I163" s="407">
        <f>G163*H163</f>
        <v/>
      </c>
      <c r="J163" s="402">
        <f>IFERROR(INDEX('06_BANG_GIA_VAT_TU_AP_DUNG'!$E$1:$E$5000, MATCH(E163, '06_BANG_GIA_VAT_TU_AP_DUNG'!$B$1:$B$5000, 0)), 0)</f>
        <v/>
      </c>
      <c r="K163" s="402">
        <f>I163*J163</f>
        <v/>
      </c>
      <c r="L163" t="inlineStr">
        <is>
          <t>2 cánh cao 120mm</t>
        </is>
      </c>
    </row>
    <row r="164">
      <c r="A164" t="inlineStr">
        <is>
          <t>SW-DAMPER-047-AXLE</t>
        </is>
      </c>
      <c r="B164" t="inlineStr">
        <is>
          <t>SW-DAMPER-047</t>
        </is>
      </c>
      <c r="C164" t="inlineStr">
        <is>
          <t>Trục Sus 201 D10</t>
        </is>
      </c>
      <c r="D164" t="inlineStr">
        <is>
          <t>PHỤ_KIỆN_VAN</t>
        </is>
      </c>
      <c r="E164" t="inlineStr">
        <is>
          <t>MAT-DAMPER-TRUC-SUS-201-D10</t>
        </is>
      </c>
      <c r="F164" t="inlineStr">
        <is>
          <t>m</t>
        </is>
      </c>
      <c r="G164" s="406" t="n">
        <v>0.62</v>
      </c>
      <c r="H164" s="402">
        <f>IFERROR(INDEX('00_TONG_HOP_BAO_GIA'!$G$1:$G$5000, MATCH(B164, '00_TONG_HOP_BAO_GIA'!$B$1:$B$5000, 0)), 1)</f>
        <v/>
      </c>
      <c r="I164" s="407">
        <f>G164*H164</f>
        <v/>
      </c>
      <c r="J164" s="402">
        <f>IFERROR(INDEX('06_BANG_GIA_VAT_TU_AP_DUNG'!$E$1:$E$5000, MATCH(E164, '06_BANG_GIA_VAT_TU_AP_DUNG'!$B$1:$B$5000, 0)), 0)</f>
        <v/>
      </c>
      <c r="K164" s="402">
        <f>I164*J164</f>
        <v/>
      </c>
      <c r="L164" t="inlineStr">
        <is>
          <t>2 trục dài 310mm</t>
        </is>
      </c>
    </row>
    <row r="165">
      <c r="A165" t="inlineStr">
        <is>
          <t>SW-DAMPER-047-BEARING</t>
        </is>
      </c>
      <c r="B165" t="inlineStr">
        <is>
          <t>SW-DAMPER-047</t>
        </is>
      </c>
      <c r="C165" t="inlineStr">
        <is>
          <t>Bạc đồng D10</t>
        </is>
      </c>
      <c r="D165" t="inlineStr">
        <is>
          <t>PHỤ_KIỆN_VAN</t>
        </is>
      </c>
      <c r="E165" t="inlineStr">
        <is>
          <t>MAT-DAMPER-BAC-DONG-D10</t>
        </is>
      </c>
      <c r="F165" t="inlineStr">
        <is>
          <t>Đôi</t>
        </is>
      </c>
      <c r="G165" s="406" t="n">
        <v>2</v>
      </c>
      <c r="H165" s="402">
        <f>IFERROR(INDEX('00_TONG_HOP_BAO_GIA'!$G$1:$G$5000, MATCH(B165, '00_TONG_HOP_BAO_GIA'!$B$1:$B$5000, 0)), 1)</f>
        <v/>
      </c>
      <c r="I165" s="407">
        <f>G165*H165</f>
        <v/>
      </c>
      <c r="J165" s="402">
        <f>IFERROR(INDEX('06_BANG_GIA_VAT_TU_AP_DUNG'!$E$1:$E$5000, MATCH(E165, '06_BANG_GIA_VAT_TU_AP_DUNG'!$B$1:$B$5000, 0)), 0)</f>
        <v/>
      </c>
      <c r="K165" s="402">
        <f>I165*J165</f>
        <v/>
      </c>
      <c r="L165" t="inlineStr">
        <is>
          <t>2 đôi bạc đỡ 2 bên thân</t>
        </is>
      </c>
    </row>
    <row r="166">
      <c r="A166" t="inlineStr">
        <is>
          <t>SW-DAMPER-047-GEAR</t>
        </is>
      </c>
      <c r="B166" t="inlineStr">
        <is>
          <t>SW-DAMPER-047</t>
        </is>
      </c>
      <c r="C166" t="inlineStr">
        <is>
          <t>Bánh răng van nhôm</t>
        </is>
      </c>
      <c r="D166" t="inlineStr">
        <is>
          <t>PHỤ_KIỆN_VAN</t>
        </is>
      </c>
      <c r="E166" t="inlineStr">
        <is>
          <t>MAT-DAMPER-BANH-RANG-VAN-NHOM</t>
        </is>
      </c>
      <c r="F166" t="inlineStr">
        <is>
          <t>Bộ</t>
        </is>
      </c>
      <c r="G166" s="406" t="n">
        <v>1</v>
      </c>
      <c r="H166" s="402">
        <f>IFERROR(INDEX('00_TONG_HOP_BAO_GIA'!$G$1:$G$5000, MATCH(B166, '00_TONG_HOP_BAO_GIA'!$B$1:$B$5000, 0)), 1)</f>
        <v/>
      </c>
      <c r="I166" s="407">
        <f>G166*H166</f>
        <v/>
      </c>
      <c r="J166" s="402">
        <f>IFERROR(INDEX('06_BANG_GIA_VAT_TU_AP_DUNG'!$E$1:$E$5000, MATCH(E166, '06_BANG_GIA_VAT_TU_AP_DUNG'!$B$1:$B$5000, 0)), 0)</f>
        <v/>
      </c>
      <c r="K166" s="402">
        <f>I166*J166</f>
        <v/>
      </c>
      <c r="L166" t="inlineStr">
        <is>
          <t>Cơ cấu liên động cánh (1 bộ)</t>
        </is>
      </c>
    </row>
    <row r="167">
      <c r="A167" t="inlineStr">
        <is>
          <t>SW-DAMPER-047-ECCENTRIC</t>
        </is>
      </c>
      <c r="B167" t="inlineStr">
        <is>
          <t>SW-DAMPER-047</t>
        </is>
      </c>
      <c r="C167" t="inlineStr">
        <is>
          <t>Cơ cấu lệch tâm / Lò xo đóng mở (NRD)</t>
        </is>
      </c>
      <c r="D167" t="inlineStr">
        <is>
          <t>PHỤ_KIỆN_VAN</t>
        </is>
      </c>
      <c r="E167" t="inlineStr">
        <is>
          <t>ECCENTRIC_SHAFT</t>
        </is>
      </c>
      <c r="F167" t="inlineStr">
        <is>
          <t>Bộ</t>
        </is>
      </c>
      <c r="G167" s="406" t="n">
        <v>1</v>
      </c>
      <c r="H167" s="402">
        <f>IFERROR(INDEX('00_TONG_HOP_BAO_GIA'!$G$1:$G$5000, MATCH(B167, '00_TONG_HOP_BAO_GIA'!$B$1:$B$5000, 0)), 1)</f>
        <v/>
      </c>
      <c r="I167" s="407">
        <f>G167*H167</f>
        <v/>
      </c>
      <c r="J167" s="402">
        <f>IFERROR(INDEX('06_BANG_GIA_VAT_TU_AP_DUNG'!$E$1:$E$5000, MATCH(E167, '06_BANG_GIA_VAT_TU_AP_DUNG'!$B$1:$B$5000, 0)), 0)</f>
        <v/>
      </c>
      <c r="K167" s="402">
        <f>I167*J167</f>
        <v/>
      </c>
      <c r="L167" t="inlineStr">
        <is>
          <t>Cơ cấu đóng mở một chiều</t>
        </is>
      </c>
    </row>
    <row r="168">
      <c r="A168" t="inlineStr">
        <is>
          <t>SW-DAMPER-047-FB10-EI</t>
        </is>
      </c>
      <c r="B168" t="inlineStr">
        <is>
          <t>SW-DAMPER-047</t>
        </is>
      </c>
      <c r="C168" t="inlineStr">
        <is>
          <t>Tấm chống cháy dày 10mm bọc thân van NRD (EI60)</t>
        </is>
      </c>
      <c r="D168" t="inlineStr">
        <is>
          <t>VẬT_LIỆU_CÁCH_NHIỆT</t>
        </is>
      </c>
      <c r="E168" t="inlineStr">
        <is>
          <t>MAT-FIREBOARD-10MM-BODY</t>
        </is>
      </c>
      <c r="F168" t="inlineStr">
        <is>
          <t>m2</t>
        </is>
      </c>
      <c r="G168" s="406" t="n">
        <v>0.2691</v>
      </c>
      <c r="H168" s="402">
        <f>IFERROR(INDEX('00_TONG_HOP_BAO_GIA'!$G$1:$G$5000, MATCH(B168, '00_TONG_HOP_BAO_GIA'!$B$1:$B$5000, 0)), 1)</f>
        <v/>
      </c>
      <c r="I168" s="407">
        <f>G168*H168</f>
        <v/>
      </c>
      <c r="J168" s="402">
        <f>IFERROR(INDEX('06_BANG_GIA_VAT_TU_AP_DUNG'!$E$1:$E$5000, MATCH(E168, '06_BANG_GIA_VAT_TU_AP_DUNG'!$B$1:$B$5000, 0)), 0)</f>
        <v/>
      </c>
      <c r="K168" s="402">
        <f>I168*J168</f>
        <v/>
      </c>
      <c r="L168" t="inlineStr">
        <is>
          <t>Bọc chống cháy EI60 quanh thân van</t>
        </is>
      </c>
    </row>
    <row r="169">
      <c r="A169" t="inlineStr">
        <is>
          <t>SW-DAMPER-048-BODY</t>
        </is>
      </c>
      <c r="B169" t="inlineStr">
        <is>
          <t>SW-DAMPER-048</t>
        </is>
      </c>
      <c r="C169" t="inlineStr">
        <is>
          <t>Thân vỏ van NRD bích C30/TDF (0.95mm)</t>
        </is>
      </c>
      <c r="D169" t="inlineStr">
        <is>
          <t>TÔN_CUỘN_MẠ_KẼM</t>
        </is>
      </c>
      <c r="E169" t="inlineStr">
        <is>
          <t>MAT-STEEL-PN-0.95</t>
        </is>
      </c>
      <c r="F169" t="inlineStr">
        <is>
          <t>kg</t>
        </is>
      </c>
      <c r="G169" s="406" t="n">
        <v>5.7882132</v>
      </c>
      <c r="H169" s="402">
        <f>IFERROR(INDEX('00_TONG_HOP_BAO_GIA'!$G$1:$G$5000, MATCH(B169, '00_TONG_HOP_BAO_GIA'!$B$1:$B$5000, 0)), 1)</f>
        <v/>
      </c>
      <c r="I169" s="407">
        <f>G169*H169</f>
        <v/>
      </c>
      <c r="J169" s="402">
        <f>IFERROR(INDEX('06_BANG_GIA_VAT_TU_AP_DUNG'!$E$1:$E$5000, MATCH(E169, '06_BANG_GIA_VAT_TU_AP_DUNG'!$B$1:$B$5000, 0)), 0)</f>
        <v/>
      </c>
      <c r="K169" s="402">
        <f>I169*J169</f>
        <v/>
      </c>
      <c r="L169" t="inlineStr">
        <is>
          <t>Kích thước vỏ 900x400x210mm</t>
        </is>
      </c>
    </row>
    <row r="170">
      <c r="A170" t="inlineStr">
        <is>
          <t>SW-DAMPER-048-BLADE</t>
        </is>
      </c>
      <c r="B170" t="inlineStr">
        <is>
          <t>SW-DAMPER-048</t>
        </is>
      </c>
      <c r="C170" t="inlineStr">
        <is>
          <t>Lá cánh / Tôn tấm bọc van (3 cánh)</t>
        </is>
      </c>
      <c r="D170" t="inlineStr">
        <is>
          <t>TÔN_CUỘN_MẠ_KẼM</t>
        </is>
      </c>
      <c r="E170" t="inlineStr">
        <is>
          <t>MAT-STEEL-PN-0.75</t>
        </is>
      </c>
      <c r="F170" t="inlineStr">
        <is>
          <t>kg</t>
        </is>
      </c>
      <c r="G170" s="406" t="n">
        <v>2.632419000000001</v>
      </c>
      <c r="H170" s="402">
        <f>IFERROR(INDEX('00_TONG_HOP_BAO_GIA'!$G$1:$G$5000, MATCH(B170, '00_TONG_HOP_BAO_GIA'!$B$1:$B$5000, 0)), 1)</f>
        <v/>
      </c>
      <c r="I170" s="407">
        <f>G170*H170</f>
        <v/>
      </c>
      <c r="J170" s="402">
        <f>IFERROR(INDEX('06_BANG_GIA_VAT_TU_AP_DUNG'!$E$1:$E$5000, MATCH(E170, '06_BANG_GIA_VAT_TU_AP_DUNG'!$B$1:$B$5000, 0)), 0)</f>
        <v/>
      </c>
      <c r="K170" s="402">
        <f>I170*J170</f>
        <v/>
      </c>
      <c r="L170" t="inlineStr">
        <is>
          <t>3 cánh cao 153mm</t>
        </is>
      </c>
    </row>
    <row r="171">
      <c r="A171" t="inlineStr">
        <is>
          <t>SW-DAMPER-048-AXLE</t>
        </is>
      </c>
      <c r="B171" t="inlineStr">
        <is>
          <t>SW-DAMPER-048</t>
        </is>
      </c>
      <c r="C171" t="inlineStr">
        <is>
          <t>Trục Sus 201 D10</t>
        </is>
      </c>
      <c r="D171" t="inlineStr">
        <is>
          <t>PHỤ_KIỆN_VAN</t>
        </is>
      </c>
      <c r="E171" t="inlineStr">
        <is>
          <t>MAT-DAMPER-TRUC-SUS-201-D10</t>
        </is>
      </c>
      <c r="F171" t="inlineStr">
        <is>
          <t>m</t>
        </is>
      </c>
      <c r="G171" s="406" t="n">
        <v>2.88</v>
      </c>
      <c r="H171" s="402">
        <f>IFERROR(INDEX('00_TONG_HOP_BAO_GIA'!$G$1:$G$5000, MATCH(B171, '00_TONG_HOP_BAO_GIA'!$B$1:$B$5000, 0)), 1)</f>
        <v/>
      </c>
      <c r="I171" s="407">
        <f>G171*H171</f>
        <v/>
      </c>
      <c r="J171" s="402">
        <f>IFERROR(INDEX('06_BANG_GIA_VAT_TU_AP_DUNG'!$E$1:$E$5000, MATCH(E171, '06_BANG_GIA_VAT_TU_AP_DUNG'!$B$1:$B$5000, 0)), 0)</f>
        <v/>
      </c>
      <c r="K171" s="402">
        <f>I171*J171</f>
        <v/>
      </c>
      <c r="L171" t="inlineStr">
        <is>
          <t>3 trục dài 960mm</t>
        </is>
      </c>
    </row>
    <row r="172">
      <c r="A172" t="inlineStr">
        <is>
          <t>SW-DAMPER-048-BEARING</t>
        </is>
      </c>
      <c r="B172" t="inlineStr">
        <is>
          <t>SW-DAMPER-048</t>
        </is>
      </c>
      <c r="C172" t="inlineStr">
        <is>
          <t>Bạc đồng D10</t>
        </is>
      </c>
      <c r="D172" t="inlineStr">
        <is>
          <t>PHỤ_KIỆN_VAN</t>
        </is>
      </c>
      <c r="E172" t="inlineStr">
        <is>
          <t>MAT-DAMPER-BAC-DONG-D10</t>
        </is>
      </c>
      <c r="F172" t="inlineStr">
        <is>
          <t>Đôi</t>
        </is>
      </c>
      <c r="G172" s="406" t="n">
        <v>3</v>
      </c>
      <c r="H172" s="402">
        <f>IFERROR(INDEX('00_TONG_HOP_BAO_GIA'!$G$1:$G$5000, MATCH(B172, '00_TONG_HOP_BAO_GIA'!$B$1:$B$5000, 0)), 1)</f>
        <v/>
      </c>
      <c r="I172" s="407">
        <f>G172*H172</f>
        <v/>
      </c>
      <c r="J172" s="402">
        <f>IFERROR(INDEX('06_BANG_GIA_VAT_TU_AP_DUNG'!$E$1:$E$5000, MATCH(E172, '06_BANG_GIA_VAT_TU_AP_DUNG'!$B$1:$B$5000, 0)), 0)</f>
        <v/>
      </c>
      <c r="K172" s="402">
        <f>I172*J172</f>
        <v/>
      </c>
      <c r="L172" t="inlineStr">
        <is>
          <t>3 đôi bạc đỡ 2 bên thân</t>
        </is>
      </c>
    </row>
    <row r="173">
      <c r="A173" t="inlineStr">
        <is>
          <t>SW-DAMPER-048-GEAR</t>
        </is>
      </c>
      <c r="B173" t="inlineStr">
        <is>
          <t>SW-DAMPER-048</t>
        </is>
      </c>
      <c r="C173" t="inlineStr">
        <is>
          <t>Bánh răng van nhôm</t>
        </is>
      </c>
      <c r="D173" t="inlineStr">
        <is>
          <t>PHỤ_KIỆN_VAN</t>
        </is>
      </c>
      <c r="E173" t="inlineStr">
        <is>
          <t>MAT-DAMPER-BANH-RANG-VAN-NHOM</t>
        </is>
      </c>
      <c r="F173" t="inlineStr">
        <is>
          <t>Bộ</t>
        </is>
      </c>
      <c r="G173" s="406" t="n">
        <v>1</v>
      </c>
      <c r="H173" s="402">
        <f>IFERROR(INDEX('00_TONG_HOP_BAO_GIA'!$G$1:$G$5000, MATCH(B173, '00_TONG_HOP_BAO_GIA'!$B$1:$B$5000, 0)), 1)</f>
        <v/>
      </c>
      <c r="I173" s="407">
        <f>G173*H173</f>
        <v/>
      </c>
      <c r="J173" s="402">
        <f>IFERROR(INDEX('06_BANG_GIA_VAT_TU_AP_DUNG'!$E$1:$E$5000, MATCH(E173, '06_BANG_GIA_VAT_TU_AP_DUNG'!$B$1:$B$5000, 0)), 0)</f>
        <v/>
      </c>
      <c r="K173" s="402">
        <f>I173*J173</f>
        <v/>
      </c>
      <c r="L173" t="inlineStr">
        <is>
          <t>Cơ cấu liên động cánh (1 bộ)</t>
        </is>
      </c>
    </row>
    <row r="174">
      <c r="A174" t="inlineStr">
        <is>
          <t>SW-DAMPER-048-ECCENTRIC</t>
        </is>
      </c>
      <c r="B174" t="inlineStr">
        <is>
          <t>SW-DAMPER-048</t>
        </is>
      </c>
      <c r="C174" t="inlineStr">
        <is>
          <t>Cơ cấu lệch tâm / Lò xo đóng mở (NRD)</t>
        </is>
      </c>
      <c r="D174" t="inlineStr">
        <is>
          <t>PHỤ_KIỆN_VAN</t>
        </is>
      </c>
      <c r="E174" t="inlineStr">
        <is>
          <t>ECCENTRIC_SHAFT</t>
        </is>
      </c>
      <c r="F174" t="inlineStr">
        <is>
          <t>Bộ</t>
        </is>
      </c>
      <c r="G174" s="406" t="n">
        <v>1</v>
      </c>
      <c r="H174" s="402">
        <f>IFERROR(INDEX('00_TONG_HOP_BAO_GIA'!$G$1:$G$5000, MATCH(B174, '00_TONG_HOP_BAO_GIA'!$B$1:$B$5000, 0)), 1)</f>
        <v/>
      </c>
      <c r="I174" s="407">
        <f>G174*H174</f>
        <v/>
      </c>
      <c r="J174" s="402">
        <f>IFERROR(INDEX('06_BANG_GIA_VAT_TU_AP_DUNG'!$E$1:$E$5000, MATCH(E174, '06_BANG_GIA_VAT_TU_AP_DUNG'!$B$1:$B$5000, 0)), 0)</f>
        <v/>
      </c>
      <c r="K174" s="402">
        <f>I174*J174</f>
        <v/>
      </c>
      <c r="L174" t="inlineStr">
        <is>
          <t>Cơ cấu đóng mở một chiều</t>
        </is>
      </c>
    </row>
    <row r="175">
      <c r="A175" t="inlineStr">
        <is>
          <t>SW-DAMPER-048-FB10-EI</t>
        </is>
      </c>
      <c r="B175" t="inlineStr">
        <is>
          <t>SW-DAMPER-048</t>
        </is>
      </c>
      <c r="C175" t="inlineStr">
        <is>
          <t>Tấm chống cháy dày 10mm bọc thân van NRD (EI60)</t>
        </is>
      </c>
      <c r="D175" t="inlineStr">
        <is>
          <t>VẬT_LIỆU_CÁCH_NHIỆT</t>
        </is>
      </c>
      <c r="E175" t="inlineStr">
        <is>
          <t>MAT-FIREBOARD-10MM-BODY</t>
        </is>
      </c>
      <c r="F175" t="inlineStr">
        <is>
          <t>m2</t>
        </is>
      </c>
      <c r="G175" s="406" t="n">
        <v>0.7774</v>
      </c>
      <c r="H175" s="402">
        <f>IFERROR(INDEX('00_TONG_HOP_BAO_GIA'!$G$1:$G$5000, MATCH(B175, '00_TONG_HOP_BAO_GIA'!$B$1:$B$5000, 0)), 1)</f>
        <v/>
      </c>
      <c r="I175" s="407">
        <f>G175*H175</f>
        <v/>
      </c>
      <c r="J175" s="402">
        <f>IFERROR(INDEX('06_BANG_GIA_VAT_TU_AP_DUNG'!$E$1:$E$5000, MATCH(E175, '06_BANG_GIA_VAT_TU_AP_DUNG'!$B$1:$B$5000, 0)), 0)</f>
        <v/>
      </c>
      <c r="K175" s="402">
        <f>I175*J175</f>
        <v/>
      </c>
      <c r="L175" t="inlineStr">
        <is>
          <t>Bọc chống cháy EI60 quanh thân van</t>
        </is>
      </c>
    </row>
    <row r="176">
      <c r="A176" t="inlineStr">
        <is>
          <t>SW-DAMPER-049-BODY</t>
        </is>
      </c>
      <c r="B176" t="inlineStr">
        <is>
          <t>SW-DAMPER-049</t>
        </is>
      </c>
      <c r="C176" t="inlineStr">
        <is>
          <t>Thân vỏ van NRD bích C30/TDF (0.75mm)</t>
        </is>
      </c>
      <c r="D176" t="inlineStr">
        <is>
          <t>TÔN_CUỘN_MẠ_KẼM</t>
        </is>
      </c>
      <c r="E176" t="inlineStr">
        <is>
          <t>MAT-STEEL-PN-0.75</t>
        </is>
      </c>
      <c r="F176" t="inlineStr">
        <is>
          <t>kg</t>
        </is>
      </c>
      <c r="G176" s="406" t="n">
        <v>2.146347</v>
      </c>
      <c r="H176" s="402">
        <f>IFERROR(INDEX('00_TONG_HOP_BAO_GIA'!$G$1:$G$5000, MATCH(B176, '00_TONG_HOP_BAO_GIA'!$B$1:$B$5000, 0)), 1)</f>
        <v/>
      </c>
      <c r="I176" s="407">
        <f>G176*H176</f>
        <v/>
      </c>
      <c r="J176" s="402">
        <f>IFERROR(INDEX('06_BANG_GIA_VAT_TU_AP_DUNG'!$E$1:$E$5000, MATCH(E176, '06_BANG_GIA_VAT_TU_AP_DUNG'!$B$1:$B$5000, 0)), 0)</f>
        <v/>
      </c>
      <c r="K176" s="402">
        <f>I176*J176</f>
        <v/>
      </c>
      <c r="L176" t="inlineStr">
        <is>
          <t>Kích thước vỏ 300x300x210mm</t>
        </is>
      </c>
    </row>
    <row r="177">
      <c r="A177" t="inlineStr">
        <is>
          <t>SW-DAMPER-049-BLADE</t>
        </is>
      </c>
      <c r="B177" t="inlineStr">
        <is>
          <t>SW-DAMPER-049</t>
        </is>
      </c>
      <c r="C177" t="inlineStr">
        <is>
          <t>Lá cánh / Tôn tấm bọc van (2 cánh)</t>
        </is>
      </c>
      <c r="D177" t="inlineStr">
        <is>
          <t>TÔN_CUỘN_MẠ_KẼM</t>
        </is>
      </c>
      <c r="E177" t="inlineStr">
        <is>
          <t>MAT-STEEL-PN-0.75</t>
        </is>
      </c>
      <c r="F177" t="inlineStr">
        <is>
          <t>kg</t>
        </is>
      </c>
      <c r="G177" s="406" t="n">
        <v>0.648567</v>
      </c>
      <c r="H177" s="402">
        <f>IFERROR(INDEX('00_TONG_HOP_BAO_GIA'!$G$1:$G$5000, MATCH(B177, '00_TONG_HOP_BAO_GIA'!$B$1:$B$5000, 0)), 1)</f>
        <v/>
      </c>
      <c r="I177" s="407">
        <f>G177*H177</f>
        <v/>
      </c>
      <c r="J177" s="402">
        <f>IFERROR(INDEX('06_BANG_GIA_VAT_TU_AP_DUNG'!$E$1:$E$5000, MATCH(E177, '06_BANG_GIA_VAT_TU_AP_DUNG'!$B$1:$B$5000, 0)), 0)</f>
        <v/>
      </c>
      <c r="K177" s="402">
        <f>I177*J177</f>
        <v/>
      </c>
      <c r="L177" t="inlineStr">
        <is>
          <t>2 cánh cao 170mm</t>
        </is>
      </c>
    </row>
    <row r="178">
      <c r="A178" t="inlineStr">
        <is>
          <t>SW-DAMPER-049-AXLE</t>
        </is>
      </c>
      <c r="B178" t="inlineStr">
        <is>
          <t>SW-DAMPER-049</t>
        </is>
      </c>
      <c r="C178" t="inlineStr">
        <is>
          <t>Trục Sus 201 D10</t>
        </is>
      </c>
      <c r="D178" t="inlineStr">
        <is>
          <t>PHỤ_KIỆN_VAN</t>
        </is>
      </c>
      <c r="E178" t="inlineStr">
        <is>
          <t>MAT-DAMPER-TRUC-SUS-201-D10</t>
        </is>
      </c>
      <c r="F178" t="inlineStr">
        <is>
          <t>m</t>
        </is>
      </c>
      <c r="G178" s="406" t="n">
        <v>0.72</v>
      </c>
      <c r="H178" s="402">
        <f>IFERROR(INDEX('00_TONG_HOP_BAO_GIA'!$G$1:$G$5000, MATCH(B178, '00_TONG_HOP_BAO_GIA'!$B$1:$B$5000, 0)), 1)</f>
        <v/>
      </c>
      <c r="I178" s="407">
        <f>G178*H178</f>
        <v/>
      </c>
      <c r="J178" s="402">
        <f>IFERROR(INDEX('06_BANG_GIA_VAT_TU_AP_DUNG'!$E$1:$E$5000, MATCH(E178, '06_BANG_GIA_VAT_TU_AP_DUNG'!$B$1:$B$5000, 0)), 0)</f>
        <v/>
      </c>
      <c r="K178" s="402">
        <f>I178*J178</f>
        <v/>
      </c>
      <c r="L178" t="inlineStr">
        <is>
          <t>2 trục dài 360mm</t>
        </is>
      </c>
    </row>
    <row r="179">
      <c r="A179" t="inlineStr">
        <is>
          <t>SW-DAMPER-049-BEARING</t>
        </is>
      </c>
      <c r="B179" t="inlineStr">
        <is>
          <t>SW-DAMPER-049</t>
        </is>
      </c>
      <c r="C179" t="inlineStr">
        <is>
          <t>Bạc đồng D10</t>
        </is>
      </c>
      <c r="D179" t="inlineStr">
        <is>
          <t>PHỤ_KIỆN_VAN</t>
        </is>
      </c>
      <c r="E179" t="inlineStr">
        <is>
          <t>MAT-DAMPER-BAC-DONG-D10</t>
        </is>
      </c>
      <c r="F179" t="inlineStr">
        <is>
          <t>Đôi</t>
        </is>
      </c>
      <c r="G179" s="406" t="n">
        <v>2</v>
      </c>
      <c r="H179" s="402">
        <f>IFERROR(INDEX('00_TONG_HOP_BAO_GIA'!$G$1:$G$5000, MATCH(B179, '00_TONG_HOP_BAO_GIA'!$B$1:$B$5000, 0)), 1)</f>
        <v/>
      </c>
      <c r="I179" s="407">
        <f>G179*H179</f>
        <v/>
      </c>
      <c r="J179" s="402">
        <f>IFERROR(INDEX('06_BANG_GIA_VAT_TU_AP_DUNG'!$E$1:$E$5000, MATCH(E179, '06_BANG_GIA_VAT_TU_AP_DUNG'!$B$1:$B$5000, 0)), 0)</f>
        <v/>
      </c>
      <c r="K179" s="402">
        <f>I179*J179</f>
        <v/>
      </c>
      <c r="L179" t="inlineStr">
        <is>
          <t>2 đôi bạc đỡ 2 bên thân</t>
        </is>
      </c>
    </row>
    <row r="180">
      <c r="A180" t="inlineStr">
        <is>
          <t>SW-DAMPER-049-GEAR</t>
        </is>
      </c>
      <c r="B180" t="inlineStr">
        <is>
          <t>SW-DAMPER-049</t>
        </is>
      </c>
      <c r="C180" t="inlineStr">
        <is>
          <t>Bánh răng van nhôm</t>
        </is>
      </c>
      <c r="D180" t="inlineStr">
        <is>
          <t>PHỤ_KIỆN_VAN</t>
        </is>
      </c>
      <c r="E180" t="inlineStr">
        <is>
          <t>MAT-DAMPER-BANH-RANG-VAN-NHOM</t>
        </is>
      </c>
      <c r="F180" t="inlineStr">
        <is>
          <t>Bộ</t>
        </is>
      </c>
      <c r="G180" s="406" t="n">
        <v>1</v>
      </c>
      <c r="H180" s="402">
        <f>IFERROR(INDEX('00_TONG_HOP_BAO_GIA'!$G$1:$G$5000, MATCH(B180, '00_TONG_HOP_BAO_GIA'!$B$1:$B$5000, 0)), 1)</f>
        <v/>
      </c>
      <c r="I180" s="407">
        <f>G180*H180</f>
        <v/>
      </c>
      <c r="J180" s="402">
        <f>IFERROR(INDEX('06_BANG_GIA_VAT_TU_AP_DUNG'!$E$1:$E$5000, MATCH(E180, '06_BANG_GIA_VAT_TU_AP_DUNG'!$B$1:$B$5000, 0)), 0)</f>
        <v/>
      </c>
      <c r="K180" s="402">
        <f>I180*J180</f>
        <v/>
      </c>
      <c r="L180" t="inlineStr">
        <is>
          <t>Cơ cấu liên động cánh (1 bộ)</t>
        </is>
      </c>
    </row>
    <row r="181">
      <c r="A181" t="inlineStr">
        <is>
          <t>SW-DAMPER-049-ECCENTRIC</t>
        </is>
      </c>
      <c r="B181" t="inlineStr">
        <is>
          <t>SW-DAMPER-049</t>
        </is>
      </c>
      <c r="C181" t="inlineStr">
        <is>
          <t>Cơ cấu lệch tâm / Lò xo đóng mở (NRD)</t>
        </is>
      </c>
      <c r="D181" t="inlineStr">
        <is>
          <t>PHỤ_KIỆN_VAN</t>
        </is>
      </c>
      <c r="E181" t="inlineStr">
        <is>
          <t>ECCENTRIC_SHAFT</t>
        </is>
      </c>
      <c r="F181" t="inlineStr">
        <is>
          <t>Bộ</t>
        </is>
      </c>
      <c r="G181" s="406" t="n">
        <v>1</v>
      </c>
      <c r="H181" s="402">
        <f>IFERROR(INDEX('00_TONG_HOP_BAO_GIA'!$G$1:$G$5000, MATCH(B181, '00_TONG_HOP_BAO_GIA'!$B$1:$B$5000, 0)), 1)</f>
        <v/>
      </c>
      <c r="I181" s="407">
        <f>G181*H181</f>
        <v/>
      </c>
      <c r="J181" s="402">
        <f>IFERROR(INDEX('06_BANG_GIA_VAT_TU_AP_DUNG'!$E$1:$E$5000, MATCH(E181, '06_BANG_GIA_VAT_TU_AP_DUNG'!$B$1:$B$5000, 0)), 0)</f>
        <v/>
      </c>
      <c r="K181" s="402">
        <f>I181*J181</f>
        <v/>
      </c>
      <c r="L181" t="inlineStr">
        <is>
          <t>Cơ cấu đóng mở một chiều</t>
        </is>
      </c>
    </row>
    <row r="182">
      <c r="A182" t="inlineStr">
        <is>
          <t>SW-DAMPER-049-FB10-EI</t>
        </is>
      </c>
      <c r="B182" t="inlineStr">
        <is>
          <t>SW-DAMPER-049</t>
        </is>
      </c>
      <c r="C182" t="inlineStr">
        <is>
          <t>Tấm chống cháy dày 10mm bọc thân van NRD (EI60)</t>
        </is>
      </c>
      <c r="D182" t="inlineStr">
        <is>
          <t>VẬT_LIỆU_CÁCH_NHIỆT</t>
        </is>
      </c>
      <c r="E182" t="inlineStr">
        <is>
          <t>MAT-FIREBOARD-10MM-BODY</t>
        </is>
      </c>
      <c r="F182" t="inlineStr">
        <is>
          <t>m2</t>
        </is>
      </c>
      <c r="G182" s="406" t="n">
        <v>0.3588</v>
      </c>
      <c r="H182" s="402">
        <f>IFERROR(INDEX('00_TONG_HOP_BAO_GIA'!$G$1:$G$5000, MATCH(B182, '00_TONG_HOP_BAO_GIA'!$B$1:$B$5000, 0)), 1)</f>
        <v/>
      </c>
      <c r="I182" s="407">
        <f>G182*H182</f>
        <v/>
      </c>
      <c r="J182" s="402">
        <f>IFERROR(INDEX('06_BANG_GIA_VAT_TU_AP_DUNG'!$E$1:$E$5000, MATCH(E182, '06_BANG_GIA_VAT_TU_AP_DUNG'!$B$1:$B$5000, 0)), 0)</f>
        <v/>
      </c>
      <c r="K182" s="402">
        <f>I182*J182</f>
        <v/>
      </c>
      <c r="L182" t="inlineStr">
        <is>
          <t>Bọc chống cháy EI60 quanh thân van</t>
        </is>
      </c>
    </row>
    <row r="183">
      <c r="A183" t="inlineStr">
        <is>
          <t>SW-DAMPER-050-BODY</t>
        </is>
      </c>
      <c r="B183" t="inlineStr">
        <is>
          <t>SW-DAMPER-050</t>
        </is>
      </c>
      <c r="C183" t="inlineStr">
        <is>
          <t>Thân vỏ van NRD bích C30/TDF (0.75mm)</t>
        </is>
      </c>
      <c r="D183" t="inlineStr">
        <is>
          <t>TÔN_CUỘN_MẠ_KẼM</t>
        </is>
      </c>
      <c r="E183" t="inlineStr">
        <is>
          <t>MAT-STEEL-PN-0.75</t>
        </is>
      </c>
      <c r="F183" t="inlineStr">
        <is>
          <t>kg</t>
        </is>
      </c>
      <c r="G183" s="406" t="n">
        <v>2.146347</v>
      </c>
      <c r="H183" s="402">
        <f>IFERROR(INDEX('00_TONG_HOP_BAO_GIA'!$G$1:$G$5000, MATCH(B183, '00_TONG_HOP_BAO_GIA'!$B$1:$B$5000, 0)), 1)</f>
        <v/>
      </c>
      <c r="I183" s="407">
        <f>G183*H183</f>
        <v/>
      </c>
      <c r="J183" s="402">
        <f>IFERROR(INDEX('06_BANG_GIA_VAT_TU_AP_DUNG'!$E$1:$E$5000, MATCH(E183, '06_BANG_GIA_VAT_TU_AP_DUNG'!$B$1:$B$5000, 0)), 0)</f>
        <v/>
      </c>
      <c r="K183" s="402">
        <f>I183*J183</f>
        <v/>
      </c>
      <c r="L183" t="inlineStr">
        <is>
          <t>Kích thước vỏ 350x250x210mm</t>
        </is>
      </c>
    </row>
    <row r="184">
      <c r="A184" t="inlineStr">
        <is>
          <t>SW-DAMPER-050-BLADE</t>
        </is>
      </c>
      <c r="B184" t="inlineStr">
        <is>
          <t>SW-DAMPER-050</t>
        </is>
      </c>
      <c r="C184" t="inlineStr">
        <is>
          <t>Lá cánh / Tôn tấm bọc van (2 cánh)</t>
        </is>
      </c>
      <c r="D184" t="inlineStr">
        <is>
          <t>TÔN_CUỘN_MẠ_KẼM</t>
        </is>
      </c>
      <c r="E184" t="inlineStr">
        <is>
          <t>MAT-STEEL-PN-0.75</t>
        </is>
      </c>
      <c r="F184" t="inlineStr">
        <is>
          <t>kg</t>
        </is>
      </c>
      <c r="G184" s="406" t="n">
        <v>0.6453877499999999</v>
      </c>
      <c r="H184" s="402">
        <f>IFERROR(INDEX('00_TONG_HOP_BAO_GIA'!$G$1:$G$5000, MATCH(B184, '00_TONG_HOP_BAO_GIA'!$B$1:$B$5000, 0)), 1)</f>
        <v/>
      </c>
      <c r="I184" s="407">
        <f>G184*H184</f>
        <v/>
      </c>
      <c r="J184" s="402">
        <f>IFERROR(INDEX('06_BANG_GIA_VAT_TU_AP_DUNG'!$E$1:$E$5000, MATCH(E184, '06_BANG_GIA_VAT_TU_AP_DUNG'!$B$1:$B$5000, 0)), 0)</f>
        <v/>
      </c>
      <c r="K184" s="402">
        <f>I184*J184</f>
        <v/>
      </c>
      <c r="L184" t="inlineStr">
        <is>
          <t>2 cánh cao 145mm</t>
        </is>
      </c>
    </row>
    <row r="185">
      <c r="A185" t="inlineStr">
        <is>
          <t>SW-DAMPER-050-AXLE</t>
        </is>
      </c>
      <c r="B185" t="inlineStr">
        <is>
          <t>SW-DAMPER-050</t>
        </is>
      </c>
      <c r="C185" t="inlineStr">
        <is>
          <t>Trục Sus 201 D10</t>
        </is>
      </c>
      <c r="D185" t="inlineStr">
        <is>
          <t>PHỤ_KIỆN_VAN</t>
        </is>
      </c>
      <c r="E185" t="inlineStr">
        <is>
          <t>MAT-DAMPER-TRUC-SUS-201-D10</t>
        </is>
      </c>
      <c r="F185" t="inlineStr">
        <is>
          <t>m</t>
        </is>
      </c>
      <c r="G185" s="406" t="n">
        <v>0.82</v>
      </c>
      <c r="H185" s="402">
        <f>IFERROR(INDEX('00_TONG_HOP_BAO_GIA'!$G$1:$G$5000, MATCH(B185, '00_TONG_HOP_BAO_GIA'!$B$1:$B$5000, 0)), 1)</f>
        <v/>
      </c>
      <c r="I185" s="407">
        <f>G185*H185</f>
        <v/>
      </c>
      <c r="J185" s="402">
        <f>IFERROR(INDEX('06_BANG_GIA_VAT_TU_AP_DUNG'!$E$1:$E$5000, MATCH(E185, '06_BANG_GIA_VAT_TU_AP_DUNG'!$B$1:$B$5000, 0)), 0)</f>
        <v/>
      </c>
      <c r="K185" s="402">
        <f>I185*J185</f>
        <v/>
      </c>
      <c r="L185" t="inlineStr">
        <is>
          <t>2 trục dài 410mm</t>
        </is>
      </c>
    </row>
    <row r="186">
      <c r="A186" t="inlineStr">
        <is>
          <t>SW-DAMPER-050-BEARING</t>
        </is>
      </c>
      <c r="B186" t="inlineStr">
        <is>
          <t>SW-DAMPER-050</t>
        </is>
      </c>
      <c r="C186" t="inlineStr">
        <is>
          <t>Bạc đồng D10</t>
        </is>
      </c>
      <c r="D186" t="inlineStr">
        <is>
          <t>PHỤ_KIỆN_VAN</t>
        </is>
      </c>
      <c r="E186" t="inlineStr">
        <is>
          <t>MAT-DAMPER-BAC-DONG-D10</t>
        </is>
      </c>
      <c r="F186" t="inlineStr">
        <is>
          <t>Đôi</t>
        </is>
      </c>
      <c r="G186" s="406" t="n">
        <v>2</v>
      </c>
      <c r="H186" s="402">
        <f>IFERROR(INDEX('00_TONG_HOP_BAO_GIA'!$G$1:$G$5000, MATCH(B186, '00_TONG_HOP_BAO_GIA'!$B$1:$B$5000, 0)), 1)</f>
        <v/>
      </c>
      <c r="I186" s="407">
        <f>G186*H186</f>
        <v/>
      </c>
      <c r="J186" s="402">
        <f>IFERROR(INDEX('06_BANG_GIA_VAT_TU_AP_DUNG'!$E$1:$E$5000, MATCH(E186, '06_BANG_GIA_VAT_TU_AP_DUNG'!$B$1:$B$5000, 0)), 0)</f>
        <v/>
      </c>
      <c r="K186" s="402">
        <f>I186*J186</f>
        <v/>
      </c>
      <c r="L186" t="inlineStr">
        <is>
          <t>2 đôi bạc đỡ 2 bên thân</t>
        </is>
      </c>
    </row>
    <row r="187">
      <c r="A187" t="inlineStr">
        <is>
          <t>SW-DAMPER-050-GEAR</t>
        </is>
      </c>
      <c r="B187" t="inlineStr">
        <is>
          <t>SW-DAMPER-050</t>
        </is>
      </c>
      <c r="C187" t="inlineStr">
        <is>
          <t>Bánh răng van nhôm</t>
        </is>
      </c>
      <c r="D187" t="inlineStr">
        <is>
          <t>PHỤ_KIỆN_VAN</t>
        </is>
      </c>
      <c r="E187" t="inlineStr">
        <is>
          <t>MAT-DAMPER-BANH-RANG-VAN-NHOM</t>
        </is>
      </c>
      <c r="F187" t="inlineStr">
        <is>
          <t>Bộ</t>
        </is>
      </c>
      <c r="G187" s="406" t="n">
        <v>1</v>
      </c>
      <c r="H187" s="402">
        <f>IFERROR(INDEX('00_TONG_HOP_BAO_GIA'!$G$1:$G$5000, MATCH(B187, '00_TONG_HOP_BAO_GIA'!$B$1:$B$5000, 0)), 1)</f>
        <v/>
      </c>
      <c r="I187" s="407">
        <f>G187*H187</f>
        <v/>
      </c>
      <c r="J187" s="402">
        <f>IFERROR(INDEX('06_BANG_GIA_VAT_TU_AP_DUNG'!$E$1:$E$5000, MATCH(E187, '06_BANG_GIA_VAT_TU_AP_DUNG'!$B$1:$B$5000, 0)), 0)</f>
        <v/>
      </c>
      <c r="K187" s="402">
        <f>I187*J187</f>
        <v/>
      </c>
      <c r="L187" t="inlineStr">
        <is>
          <t>Cơ cấu liên động cánh (1 bộ)</t>
        </is>
      </c>
    </row>
    <row r="188">
      <c r="A188" t="inlineStr">
        <is>
          <t>SW-DAMPER-050-ECCENTRIC</t>
        </is>
      </c>
      <c r="B188" t="inlineStr">
        <is>
          <t>SW-DAMPER-050</t>
        </is>
      </c>
      <c r="C188" t="inlineStr">
        <is>
          <t>Cơ cấu lệch tâm / Lò xo đóng mở (NRD)</t>
        </is>
      </c>
      <c r="D188" t="inlineStr">
        <is>
          <t>PHỤ_KIỆN_VAN</t>
        </is>
      </c>
      <c r="E188" t="inlineStr">
        <is>
          <t>ECCENTRIC_SHAFT</t>
        </is>
      </c>
      <c r="F188" t="inlineStr">
        <is>
          <t>Bộ</t>
        </is>
      </c>
      <c r="G188" s="406" t="n">
        <v>1</v>
      </c>
      <c r="H188" s="402">
        <f>IFERROR(INDEX('00_TONG_HOP_BAO_GIA'!$G$1:$G$5000, MATCH(B188, '00_TONG_HOP_BAO_GIA'!$B$1:$B$5000, 0)), 1)</f>
        <v/>
      </c>
      <c r="I188" s="407">
        <f>G188*H188</f>
        <v/>
      </c>
      <c r="J188" s="402">
        <f>IFERROR(INDEX('06_BANG_GIA_VAT_TU_AP_DUNG'!$E$1:$E$5000, MATCH(E188, '06_BANG_GIA_VAT_TU_AP_DUNG'!$B$1:$B$5000, 0)), 0)</f>
        <v/>
      </c>
      <c r="K188" s="402">
        <f>I188*J188</f>
        <v/>
      </c>
      <c r="L188" t="inlineStr">
        <is>
          <t>Cơ cấu đóng mở một chiều</t>
        </is>
      </c>
    </row>
    <row r="189">
      <c r="A189" t="inlineStr">
        <is>
          <t>SW-DAMPER-050-FB10-EI</t>
        </is>
      </c>
      <c r="B189" t="inlineStr">
        <is>
          <t>SW-DAMPER-050</t>
        </is>
      </c>
      <c r="C189" t="inlineStr">
        <is>
          <t>Tấm chống cháy dày 10mm bọc thân van NRD (EI60)</t>
        </is>
      </c>
      <c r="D189" t="inlineStr">
        <is>
          <t>VẬT_LIỆU_CÁCH_NHIỆT</t>
        </is>
      </c>
      <c r="E189" t="inlineStr">
        <is>
          <t>MAT-FIREBOARD-10MM-BODY</t>
        </is>
      </c>
      <c r="F189" t="inlineStr">
        <is>
          <t>m2</t>
        </is>
      </c>
      <c r="G189" s="406" t="n">
        <v>0.3588</v>
      </c>
      <c r="H189" s="402">
        <f>IFERROR(INDEX('00_TONG_HOP_BAO_GIA'!$G$1:$G$5000, MATCH(B189, '00_TONG_HOP_BAO_GIA'!$B$1:$B$5000, 0)), 1)</f>
        <v/>
      </c>
      <c r="I189" s="407">
        <f>G189*H189</f>
        <v/>
      </c>
      <c r="J189" s="402">
        <f>IFERROR(INDEX('06_BANG_GIA_VAT_TU_AP_DUNG'!$E$1:$E$5000, MATCH(E189, '06_BANG_GIA_VAT_TU_AP_DUNG'!$B$1:$B$5000, 0)), 0)</f>
        <v/>
      </c>
      <c r="K189" s="402">
        <f>I189*J189</f>
        <v/>
      </c>
      <c r="L189" t="inlineStr">
        <is>
          <t>Bọc chống cháy EI60 quanh thân van</t>
        </is>
      </c>
    </row>
    <row r="190">
      <c r="A190" t="inlineStr">
        <is>
          <t>SW-DAMPER-051-BODY</t>
        </is>
      </c>
      <c r="B190" t="inlineStr">
        <is>
          <t>SW-DAMPER-051</t>
        </is>
      </c>
      <c r="C190" t="inlineStr">
        <is>
          <t>Thân vỏ van NRD bích C30/TDF (0.75mm)</t>
        </is>
      </c>
      <c r="D190" t="inlineStr">
        <is>
          <t>TÔN_CUỘN_MẠ_KẼM</t>
        </is>
      </c>
      <c r="E190" t="inlineStr">
        <is>
          <t>MAT-STEEL-PN-0.75</t>
        </is>
      </c>
      <c r="F190" t="inlineStr">
        <is>
          <t>kg</t>
        </is>
      </c>
      <c r="G190" s="406" t="n">
        <v>1.800162</v>
      </c>
      <c r="H190" s="402">
        <f>IFERROR(INDEX('00_TONG_HOP_BAO_GIA'!$G$1:$G$5000, MATCH(B190, '00_TONG_HOP_BAO_GIA'!$B$1:$B$5000, 0)), 1)</f>
        <v/>
      </c>
      <c r="I190" s="407">
        <f>G190*H190</f>
        <v/>
      </c>
      <c r="J190" s="402">
        <f>IFERROR(INDEX('06_BANG_GIA_VAT_TU_AP_DUNG'!$E$1:$E$5000, MATCH(E190, '06_BANG_GIA_VAT_TU_AP_DUNG'!$B$1:$B$5000, 0)), 0)</f>
        <v/>
      </c>
      <c r="K190" s="402">
        <f>I190*J190</f>
        <v/>
      </c>
      <c r="L190" t="inlineStr">
        <is>
          <t>Kích thước vỏ 350x150x210mm</t>
        </is>
      </c>
    </row>
    <row r="191">
      <c r="A191" t="inlineStr">
        <is>
          <t>SW-DAMPER-051-BLADE</t>
        </is>
      </c>
      <c r="B191" t="inlineStr">
        <is>
          <t>SW-DAMPER-051</t>
        </is>
      </c>
      <c r="C191" t="inlineStr">
        <is>
          <t>Lá cánh / Tôn tấm bọc van (1 cánh)</t>
        </is>
      </c>
      <c r="D191" t="inlineStr">
        <is>
          <t>TÔN_CUỘN_MẠ_KẼM</t>
        </is>
      </c>
      <c r="E191" t="inlineStr">
        <is>
          <t>MAT-STEEL-PN-0.75</t>
        </is>
      </c>
      <c r="F191" t="inlineStr">
        <is>
          <t>kg</t>
        </is>
      </c>
      <c r="G191" s="406" t="n">
        <v>0.3783307499999999</v>
      </c>
      <c r="H191" s="402">
        <f>IFERROR(INDEX('00_TONG_HOP_BAO_GIA'!$G$1:$G$5000, MATCH(B191, '00_TONG_HOP_BAO_GIA'!$B$1:$B$5000, 0)), 1)</f>
        <v/>
      </c>
      <c r="I191" s="407">
        <f>G191*H191</f>
        <v/>
      </c>
      <c r="J191" s="402">
        <f>IFERROR(INDEX('06_BANG_GIA_VAT_TU_AP_DUNG'!$E$1:$E$5000, MATCH(E191, '06_BANG_GIA_VAT_TU_AP_DUNG'!$B$1:$B$5000, 0)), 0)</f>
        <v/>
      </c>
      <c r="K191" s="402">
        <f>I191*J191</f>
        <v/>
      </c>
      <c r="L191" t="inlineStr">
        <is>
          <t>1 cánh cao 170mm</t>
        </is>
      </c>
    </row>
    <row r="192">
      <c r="A192" t="inlineStr">
        <is>
          <t>SW-DAMPER-051-AXLE</t>
        </is>
      </c>
      <c r="B192" t="inlineStr">
        <is>
          <t>SW-DAMPER-051</t>
        </is>
      </c>
      <c r="C192" t="inlineStr">
        <is>
          <t>Trục Sus 201 D10</t>
        </is>
      </c>
      <c r="D192" t="inlineStr">
        <is>
          <t>PHỤ_KIỆN_VAN</t>
        </is>
      </c>
      <c r="E192" t="inlineStr">
        <is>
          <t>MAT-DAMPER-TRUC-SUS-201-D10</t>
        </is>
      </c>
      <c r="F192" t="inlineStr">
        <is>
          <t>m</t>
        </is>
      </c>
      <c r="G192" s="406" t="n">
        <v>0.41</v>
      </c>
      <c r="H192" s="402">
        <f>IFERROR(INDEX('00_TONG_HOP_BAO_GIA'!$G$1:$G$5000, MATCH(B192, '00_TONG_HOP_BAO_GIA'!$B$1:$B$5000, 0)), 1)</f>
        <v/>
      </c>
      <c r="I192" s="407">
        <f>G192*H192</f>
        <v/>
      </c>
      <c r="J192" s="402">
        <f>IFERROR(INDEX('06_BANG_GIA_VAT_TU_AP_DUNG'!$E$1:$E$5000, MATCH(E192, '06_BANG_GIA_VAT_TU_AP_DUNG'!$B$1:$B$5000, 0)), 0)</f>
        <v/>
      </c>
      <c r="K192" s="402">
        <f>I192*J192</f>
        <v/>
      </c>
      <c r="L192" t="inlineStr">
        <is>
          <t>1 trục dài 410mm</t>
        </is>
      </c>
    </row>
    <row r="193">
      <c r="A193" t="inlineStr">
        <is>
          <t>SW-DAMPER-051-BEARING</t>
        </is>
      </c>
      <c r="B193" t="inlineStr">
        <is>
          <t>SW-DAMPER-051</t>
        </is>
      </c>
      <c r="C193" t="inlineStr">
        <is>
          <t>Bạc đồng D10</t>
        </is>
      </c>
      <c r="D193" t="inlineStr">
        <is>
          <t>PHỤ_KIỆN_VAN</t>
        </is>
      </c>
      <c r="E193" t="inlineStr">
        <is>
          <t>MAT-DAMPER-BAC-DONG-D10</t>
        </is>
      </c>
      <c r="F193" t="inlineStr">
        <is>
          <t>Đôi</t>
        </is>
      </c>
      <c r="G193" s="406" t="n">
        <v>1</v>
      </c>
      <c r="H193" s="402">
        <f>IFERROR(INDEX('00_TONG_HOP_BAO_GIA'!$G$1:$G$5000, MATCH(B193, '00_TONG_HOP_BAO_GIA'!$B$1:$B$5000, 0)), 1)</f>
        <v/>
      </c>
      <c r="I193" s="407">
        <f>G193*H193</f>
        <v/>
      </c>
      <c r="J193" s="402">
        <f>IFERROR(INDEX('06_BANG_GIA_VAT_TU_AP_DUNG'!$E$1:$E$5000, MATCH(E193, '06_BANG_GIA_VAT_TU_AP_DUNG'!$B$1:$B$5000, 0)), 0)</f>
        <v/>
      </c>
      <c r="K193" s="402">
        <f>I193*J193</f>
        <v/>
      </c>
      <c r="L193" t="inlineStr">
        <is>
          <t>1 đôi bạc đỡ 2 bên thân</t>
        </is>
      </c>
    </row>
    <row r="194">
      <c r="A194" t="inlineStr">
        <is>
          <t>SW-DAMPER-051-ECCENTRIC</t>
        </is>
      </c>
      <c r="B194" t="inlineStr">
        <is>
          <t>SW-DAMPER-051</t>
        </is>
      </c>
      <c r="C194" t="inlineStr">
        <is>
          <t>Cơ cấu lệch tâm / Lò xo đóng mở (NRD)</t>
        </is>
      </c>
      <c r="D194" t="inlineStr">
        <is>
          <t>PHỤ_KIỆN_VAN</t>
        </is>
      </c>
      <c r="E194" t="inlineStr">
        <is>
          <t>ECCENTRIC_SHAFT</t>
        </is>
      </c>
      <c r="F194" t="inlineStr">
        <is>
          <t>Bộ</t>
        </is>
      </c>
      <c r="G194" s="406" t="n">
        <v>1</v>
      </c>
      <c r="H194" s="402">
        <f>IFERROR(INDEX('00_TONG_HOP_BAO_GIA'!$G$1:$G$5000, MATCH(B194, '00_TONG_HOP_BAO_GIA'!$B$1:$B$5000, 0)), 1)</f>
        <v/>
      </c>
      <c r="I194" s="407">
        <f>G194*H194</f>
        <v/>
      </c>
      <c r="J194" s="402">
        <f>IFERROR(INDEX('06_BANG_GIA_VAT_TU_AP_DUNG'!$E$1:$E$5000, MATCH(E194, '06_BANG_GIA_VAT_TU_AP_DUNG'!$B$1:$B$5000, 0)), 0)</f>
        <v/>
      </c>
      <c r="K194" s="402">
        <f>I194*J194</f>
        <v/>
      </c>
      <c r="L194" t="inlineStr">
        <is>
          <t>Cơ cấu đóng mở một chiều</t>
        </is>
      </c>
    </row>
    <row r="195">
      <c r="A195" t="inlineStr">
        <is>
          <t>SW-DAMPER-051-FB10-EI</t>
        </is>
      </c>
      <c r="B195" t="inlineStr">
        <is>
          <t>SW-DAMPER-051</t>
        </is>
      </c>
      <c r="C195" t="inlineStr">
        <is>
          <t>Tấm chống cháy dày 10mm bọc thân van NRD (EI60)</t>
        </is>
      </c>
      <c r="D195" t="inlineStr">
        <is>
          <t>VẬT_LIỆU_CÁCH_NHIỆT</t>
        </is>
      </c>
      <c r="E195" t="inlineStr">
        <is>
          <t>MAT-FIREBOARD-10MM-BODY</t>
        </is>
      </c>
      <c r="F195" t="inlineStr">
        <is>
          <t>m2</t>
        </is>
      </c>
      <c r="G195" s="406" t="n">
        <v>0.299</v>
      </c>
      <c r="H195" s="402">
        <f>IFERROR(INDEX('00_TONG_HOP_BAO_GIA'!$G$1:$G$5000, MATCH(B195, '00_TONG_HOP_BAO_GIA'!$B$1:$B$5000, 0)), 1)</f>
        <v/>
      </c>
      <c r="I195" s="407">
        <f>G195*H195</f>
        <v/>
      </c>
      <c r="J195" s="402">
        <f>IFERROR(INDEX('06_BANG_GIA_VAT_TU_AP_DUNG'!$E$1:$E$5000, MATCH(E195, '06_BANG_GIA_VAT_TU_AP_DUNG'!$B$1:$B$5000, 0)), 0)</f>
        <v/>
      </c>
      <c r="K195" s="402">
        <f>I195*J195</f>
        <v/>
      </c>
      <c r="L195" t="inlineStr">
        <is>
          <t>Bọc chống cháy EI60 quanh thân van</t>
        </is>
      </c>
    </row>
    <row r="196">
      <c r="A196" t="inlineStr">
        <is>
          <t>SW-DAMPER-052-BODY</t>
        </is>
      </c>
      <c r="B196" t="inlineStr">
        <is>
          <t>SW-DAMPER-052</t>
        </is>
      </c>
      <c r="C196" t="inlineStr">
        <is>
          <t>Thân vỏ van MFD bích C30/TDF (1.15mm)</t>
        </is>
      </c>
      <c r="D196" t="inlineStr">
        <is>
          <t>TÔN_CUỘN_MẠ_KẼM</t>
        </is>
      </c>
      <c r="E196" t="inlineStr">
        <is>
          <t>MAT-STEEL-PN-1.15</t>
        </is>
      </c>
      <c r="F196" t="inlineStr">
        <is>
          <t>kg</t>
        </is>
      </c>
      <c r="G196" s="406" t="n">
        <v>2.917597725</v>
      </c>
      <c r="H196" s="402">
        <f>IFERROR(INDEX('00_TONG_HOP_BAO_GIA'!$G$1:$G$5000, MATCH(B196, '00_TONG_HOP_BAO_GIA'!$B$1:$B$5000, 0)), 1)</f>
        <v/>
      </c>
      <c r="I196" s="407">
        <f>G196*H196</f>
        <v/>
      </c>
      <c r="J196" s="402">
        <f>IFERROR(INDEX('06_BANG_GIA_VAT_TU_AP_DUNG'!$E$1:$E$5000, MATCH(E196, '06_BANG_GIA_VAT_TU_AP_DUNG'!$B$1:$B$5000, 0)), 0)</f>
        <v/>
      </c>
      <c r="K196" s="402">
        <f>I196*J196</f>
        <v/>
      </c>
      <c r="L196" t="inlineStr">
        <is>
          <t>Kích thước vỏ 350x200x200mm</t>
        </is>
      </c>
    </row>
    <row r="197">
      <c r="A197" t="inlineStr">
        <is>
          <t>SW-DAMPER-052-BLADE</t>
        </is>
      </c>
      <c r="B197" t="inlineStr">
        <is>
          <t>SW-DAMPER-052</t>
        </is>
      </c>
      <c r="C197" t="inlineStr">
        <is>
          <t>Lá cánh / Tôn tấm bọc van (1 cánh)</t>
        </is>
      </c>
      <c r="D197" t="inlineStr">
        <is>
          <t>TÔN_CUỘN_MẠ_KẼM</t>
        </is>
      </c>
      <c r="E197" t="inlineStr">
        <is>
          <t>MAT-STEEL-PN-1.15</t>
        </is>
      </c>
      <c r="F197" t="inlineStr">
        <is>
          <t>kg</t>
        </is>
      </c>
      <c r="G197" s="406" t="n">
        <v>1.26385</v>
      </c>
      <c r="H197" s="402">
        <f>IFERROR(INDEX('00_TONG_HOP_BAO_GIA'!$G$1:$G$5000, MATCH(B197, '00_TONG_HOP_BAO_GIA'!$B$1:$B$5000, 0)), 1)</f>
        <v/>
      </c>
      <c r="I197" s="407">
        <f>G197*H197</f>
        <v/>
      </c>
      <c r="J197" s="402">
        <f>IFERROR(INDEX('06_BANG_GIA_VAT_TU_AP_DUNG'!$E$1:$E$5000, MATCH(E197, '06_BANG_GIA_VAT_TU_AP_DUNG'!$B$1:$B$5000, 0)), 0)</f>
        <v/>
      </c>
      <c r="K197" s="402">
        <f>I197*J197</f>
        <v/>
      </c>
      <c r="L197" t="inlineStr">
        <is>
          <t>Tôn bọc cánh &amp; thân (1 cánh/modul)</t>
        </is>
      </c>
    </row>
    <row r="198">
      <c r="A198" t="inlineStr">
        <is>
          <t>SW-DAMPER-052-AXLE</t>
        </is>
      </c>
      <c r="B198" t="inlineStr">
        <is>
          <t>SW-DAMPER-052</t>
        </is>
      </c>
      <c r="C198" t="inlineStr">
        <is>
          <t>Trục Sus 201 D10</t>
        </is>
      </c>
      <c r="D198" t="inlineStr">
        <is>
          <t>PHỤ_KIỆN_VAN</t>
        </is>
      </c>
      <c r="E198" t="inlineStr">
        <is>
          <t>MAT-DAMPER-TRUC-SUS-201-D10</t>
        </is>
      </c>
      <c r="F198" t="inlineStr">
        <is>
          <t>m</t>
        </is>
      </c>
      <c r="G198" s="406" t="n">
        <v>0.41</v>
      </c>
      <c r="H198" s="402">
        <f>IFERROR(INDEX('00_TONG_HOP_BAO_GIA'!$G$1:$G$5000, MATCH(B198, '00_TONG_HOP_BAO_GIA'!$B$1:$B$5000, 0)), 1)</f>
        <v/>
      </c>
      <c r="I198" s="407">
        <f>G198*H198</f>
        <v/>
      </c>
      <c r="J198" s="402">
        <f>IFERROR(INDEX('06_BANG_GIA_VAT_TU_AP_DUNG'!$E$1:$E$5000, MATCH(E198, '06_BANG_GIA_VAT_TU_AP_DUNG'!$B$1:$B$5000, 0)), 0)</f>
        <v/>
      </c>
      <c r="K198" s="402">
        <f>I198*J198</f>
        <v/>
      </c>
      <c r="L198" t="inlineStr">
        <is>
          <t>1 trục dài 410mm</t>
        </is>
      </c>
    </row>
    <row r="199">
      <c r="A199" t="inlineStr">
        <is>
          <t>SW-DAMPER-052-BEARING</t>
        </is>
      </c>
      <c r="B199" t="inlineStr">
        <is>
          <t>SW-DAMPER-052</t>
        </is>
      </c>
      <c r="C199" t="inlineStr">
        <is>
          <t>Bạc đồng D10</t>
        </is>
      </c>
      <c r="D199" t="inlineStr">
        <is>
          <t>PHỤ_KIỆN_VAN</t>
        </is>
      </c>
      <c r="E199" t="inlineStr">
        <is>
          <t>MAT-DAMPER-BAC-DONG-D10</t>
        </is>
      </c>
      <c r="F199" t="inlineStr">
        <is>
          <t>Đôi</t>
        </is>
      </c>
      <c r="G199" s="406" t="n">
        <v>1</v>
      </c>
      <c r="H199" s="402">
        <f>IFERROR(INDEX('00_TONG_HOP_BAO_GIA'!$G$1:$G$5000, MATCH(B199, '00_TONG_HOP_BAO_GIA'!$B$1:$B$5000, 0)), 1)</f>
        <v/>
      </c>
      <c r="I199" s="407">
        <f>G199*H199</f>
        <v/>
      </c>
      <c r="J199" s="402">
        <f>IFERROR(INDEX('06_BANG_GIA_VAT_TU_AP_DUNG'!$E$1:$E$5000, MATCH(E199, '06_BANG_GIA_VAT_TU_AP_DUNG'!$B$1:$B$5000, 0)), 0)</f>
        <v/>
      </c>
      <c r="K199" s="402">
        <f>I199*J199</f>
        <v/>
      </c>
      <c r="L199" t="inlineStr">
        <is>
          <t>1 đôi bạc đỡ 2 bên thân</t>
        </is>
      </c>
    </row>
    <row r="200">
      <c r="A200" t="inlineStr">
        <is>
          <t>SW-DAMPER-052-ACTUATOR</t>
        </is>
      </c>
      <c r="B200" t="inlineStr">
        <is>
          <t>SW-DAMPER-052</t>
        </is>
      </c>
      <c r="C200" t="inlineStr">
        <is>
          <t>Động cơ chặn lửa ON/OFF 3.5Nm, 230V/24V (BELIMO FSLF24 / FSLF230)</t>
        </is>
      </c>
      <c r="D200" t="inlineStr">
        <is>
          <t>ĐỘNG_CƠ_VÀ_CẢM_BIẾN</t>
        </is>
      </c>
      <c r="E200" t="inlineStr">
        <is>
          <t>MAT-ACTUATOR-BELIMO-FSLF24</t>
        </is>
      </c>
      <c r="F200" t="inlineStr">
        <is>
          <t>Cái</t>
        </is>
      </c>
      <c r="G200" s="406" t="n">
        <v>1</v>
      </c>
      <c r="H200" s="402">
        <f>IFERROR(INDEX('00_TONG_HOP_BAO_GIA'!$G$1:$G$5000, MATCH(B200, '00_TONG_HOP_BAO_GIA'!$B$1:$B$5000, 0)), 1)</f>
        <v/>
      </c>
      <c r="I200" s="407">
        <f>G200*H200</f>
        <v/>
      </c>
      <c r="J200" s="402">
        <f>IFERROR(INDEX('06_BANG_GIA_VAT_TU_AP_DUNG'!$E$1:$E$5000, MATCH(E200, '06_BANG_GIA_VAT_TU_AP_DUNG'!$B$1:$B$5000, 0)), 0)</f>
        <v/>
      </c>
      <c r="K200" s="402">
        <f>I200*J200</f>
        <v/>
      </c>
      <c r="L200" t="inlineStr">
        <is>
          <t>Động cơ lò xo phản hồi MFD (1 bộ)</t>
        </is>
      </c>
    </row>
    <row r="201">
      <c r="A201" t="inlineStr">
        <is>
          <t>SW-DAMPER-052-FB10-BODY</t>
        </is>
      </c>
      <c r="B201" t="inlineStr">
        <is>
          <t>SW-DAMPER-052</t>
        </is>
      </c>
      <c r="C201" t="inlineStr">
        <is>
          <t>Tấm chống cháy dày 10mm bọc thân van FD/MFD (2 lớp)</t>
        </is>
      </c>
      <c r="D201" t="inlineStr">
        <is>
          <t>VẬT_LIỆU_CÁCH_NHIỆT</t>
        </is>
      </c>
      <c r="E201" t="inlineStr">
        <is>
          <t>MAT-FIREBOARD-10MM-BODY</t>
        </is>
      </c>
      <c r="F201" t="inlineStr">
        <is>
          <t>m2</t>
        </is>
      </c>
      <c r="G201" s="406" t="n">
        <v>0.66</v>
      </c>
      <c r="H201" s="402">
        <f>IFERROR(INDEX('00_TONG_HOP_BAO_GIA'!$G$1:$G$5000, MATCH(B201, '00_TONG_HOP_BAO_GIA'!$B$1:$B$5000, 0)), 1)</f>
        <v/>
      </c>
      <c r="I201" s="407">
        <f>G201*H201</f>
        <v/>
      </c>
      <c r="J201" s="402">
        <f>IFERROR(INDEX('06_BANG_GIA_VAT_TU_AP_DUNG'!$E$1:$E$5000, MATCH(E201, '06_BANG_GIA_VAT_TU_AP_DUNG'!$B$1:$B$5000, 0)), 0)</f>
        <v/>
      </c>
      <c r="K201" s="402">
        <f>I201*J201</f>
        <v/>
      </c>
      <c r="L201" t="inlineStr">
        <is>
          <t>Bọc 2 lớp tấm 10mm quanh thân L=300mm</t>
        </is>
      </c>
    </row>
    <row r="202">
      <c r="A202" t="inlineStr">
        <is>
          <t>SW-DAMPER-052-FB20-BLADE</t>
        </is>
      </c>
      <c r="B202" t="inlineStr">
        <is>
          <t>SW-DAMPER-052</t>
        </is>
      </c>
      <c r="C202" t="inlineStr">
        <is>
          <t>Tấm chống cháy dày 20mm làm lõi cánh van FD/MFD</t>
        </is>
      </c>
      <c r="D202" t="inlineStr">
        <is>
          <t>VẬT_LIỆU_CÁCH_NHIỆT</t>
        </is>
      </c>
      <c r="E202" t="inlineStr">
        <is>
          <t>MAT-FIREBOARD-20MM-BLADE</t>
        </is>
      </c>
      <c r="F202" t="inlineStr">
        <is>
          <t>m2</t>
        </is>
      </c>
      <c r="G202" s="406" t="n">
        <v>0.06999999999999999</v>
      </c>
      <c r="H202" s="402">
        <f>IFERROR(INDEX('00_TONG_HOP_BAO_GIA'!$G$1:$G$5000, MATCH(B202, '00_TONG_HOP_BAO_GIA'!$B$1:$B$5000, 0)), 1)</f>
        <v/>
      </c>
      <c r="I202" s="407">
        <f>G202*H202</f>
        <v/>
      </c>
      <c r="J202" s="402">
        <f>IFERROR(INDEX('06_BANG_GIA_VAT_TU_AP_DUNG'!$E$1:$E$5000, MATCH(E202, '06_BANG_GIA_VAT_TU_AP_DUNG'!$B$1:$B$5000, 0)), 0)</f>
        <v/>
      </c>
      <c r="K202" s="402">
        <f>I202*J202</f>
        <v/>
      </c>
      <c r="L202" t="inlineStr">
        <is>
          <t>Lõi cánh tấm 20mm (Cánh đơn 350x200mm)</t>
        </is>
      </c>
    </row>
    <row r="203">
      <c r="A203" t="inlineStr">
        <is>
          <t>SW-DAMPER-052-FB10-BLADE</t>
        </is>
      </c>
      <c r="B203" t="inlineStr">
        <is>
          <t>SW-DAMPER-052</t>
        </is>
      </c>
      <c r="C203" t="inlineStr">
        <is>
          <t>Tấm chống cháy dày 10mm ốp 2 mặt cánh van FD/MFD</t>
        </is>
      </c>
      <c r="D203" t="inlineStr">
        <is>
          <t>VẬT_LIỆU_CÁCH_NHIỆT</t>
        </is>
      </c>
      <c r="E203" t="inlineStr">
        <is>
          <t>MAT-FIREBOARD-10MM-BLADE</t>
        </is>
      </c>
      <c r="F203" t="inlineStr">
        <is>
          <t>m2</t>
        </is>
      </c>
      <c r="G203" s="406" t="n">
        <v>0.14</v>
      </c>
      <c r="H203" s="402">
        <f>IFERROR(INDEX('00_TONG_HOP_BAO_GIA'!$G$1:$G$5000, MATCH(B203, '00_TONG_HOP_BAO_GIA'!$B$1:$B$5000, 0)), 1)</f>
        <v/>
      </c>
      <c r="I203" s="407">
        <f>G203*H203</f>
        <v/>
      </c>
      <c r="J203" s="402">
        <f>IFERROR(INDEX('06_BANG_GIA_VAT_TU_AP_DUNG'!$E$1:$E$5000, MATCH(E203, '06_BANG_GIA_VAT_TU_AP_DUNG'!$B$1:$B$5000, 0)), 0)</f>
        <v/>
      </c>
      <c r="K203" s="402">
        <f>I203*J203</f>
        <v/>
      </c>
      <c r="L203" t="inlineStr">
        <is>
          <t>Ốp 2 mặt cánh tấm 10mm (Cánh đơn 350x200mm)</t>
        </is>
      </c>
    </row>
    <row r="204">
      <c r="A204" t="inlineStr">
        <is>
          <t>SW-DAMPER-052-SPRING-BOX</t>
        </is>
      </c>
      <c r="B204" t="inlineStr">
        <is>
          <t>SW-DAMPER-052</t>
        </is>
      </c>
      <c r="C204" t="inlineStr">
        <is>
          <t>Hộp lò xo van chặn lửa FD/MFD</t>
        </is>
      </c>
      <c r="D204" t="inlineStr">
        <is>
          <t>PHỤ_KIỆN_VAN</t>
        </is>
      </c>
      <c r="E204" t="inlineStr">
        <is>
          <t>MAT-DAMPER-HOP-LO-XO</t>
        </is>
      </c>
      <c r="F204" t="inlineStr">
        <is>
          <t>Bộ</t>
        </is>
      </c>
      <c r="G204" s="406" t="n">
        <v>1</v>
      </c>
      <c r="H204" s="402">
        <f>IFERROR(INDEX('00_TONG_HOP_BAO_GIA'!$G$1:$G$5000, MATCH(B204, '00_TONG_HOP_BAO_GIA'!$B$1:$B$5000, 0)), 1)</f>
        <v/>
      </c>
      <c r="I204" s="407">
        <f>G204*H204</f>
        <v/>
      </c>
      <c r="J204" s="402">
        <f>IFERROR(INDEX('06_BANG_GIA_VAT_TU_AP_DUNG'!$E$1:$E$5000, MATCH(E204, '06_BANG_GIA_VAT_TU_AP_DUNG'!$B$1:$B$5000, 0)), 0)</f>
        <v/>
      </c>
      <c r="K204" s="402">
        <f>I204*J204</f>
        <v/>
      </c>
      <c r="L204" t="inlineStr">
        <is>
          <t>Hộp lò xo cơ cấu đóng sập (1 bộ)</t>
        </is>
      </c>
    </row>
    <row r="205">
      <c r="A205" t="inlineStr">
        <is>
          <t>SW-DAMPER-052-SILICON-BOLT</t>
        </is>
      </c>
      <c r="B205" t="inlineStr">
        <is>
          <t>SW-DAMPER-052</t>
        </is>
      </c>
      <c r="C205" t="inlineStr">
        <is>
          <t>Silicon chống cháy + bu lông, ốc vít van FD/MFD</t>
        </is>
      </c>
      <c r="D205" t="inlineStr">
        <is>
          <t>PHỤ_KIỆN_VAN</t>
        </is>
      </c>
      <c r="E205" t="inlineStr">
        <is>
          <t>MAT-DAMPER-SILICON-BULONG-VIT</t>
        </is>
      </c>
      <c r="F205" t="inlineStr">
        <is>
          <t>Bộ</t>
        </is>
      </c>
      <c r="G205" s="406" t="n">
        <v>1</v>
      </c>
      <c r="H205" s="402">
        <f>IFERROR(INDEX('00_TONG_HOP_BAO_GIA'!$G$1:$G$5000, MATCH(B205, '00_TONG_HOP_BAO_GIA'!$B$1:$B$5000, 0)), 1)</f>
        <v/>
      </c>
      <c r="I205" s="407">
        <f>G205*H205</f>
        <v/>
      </c>
      <c r="J205" s="402">
        <f>IFERROR(INDEX('06_BANG_GIA_VAT_TU_AP_DUNG'!$E$1:$E$5000, MATCH(E205, '06_BANG_GIA_VAT_TU_AP_DUNG'!$B$1:$B$5000, 0)), 0)</f>
        <v/>
      </c>
      <c r="K205" s="402">
        <f>I205*J205</f>
        <v/>
      </c>
      <c r="L205" t="inlineStr">
        <is>
          <t>Keo silicon chống cháy &amp; phụ kiện lắp ghép (1 bộ)</t>
        </is>
      </c>
    </row>
    <row r="206">
      <c r="A206" t="inlineStr">
        <is>
          <t>SW-DAMPER-053-BODY</t>
        </is>
      </c>
      <c r="B206" t="inlineStr">
        <is>
          <t>SW-DAMPER-053</t>
        </is>
      </c>
      <c r="C206" t="inlineStr">
        <is>
          <t>Thân vỏ van MFD bích C30/TDF (1.15mm)</t>
        </is>
      </c>
      <c r="D206" t="inlineStr">
        <is>
          <t>TÔN_CUỘN_MẠ_KẼM</t>
        </is>
      </c>
      <c r="E206" t="inlineStr">
        <is>
          <t>MAT-STEEL-PN-1.15</t>
        </is>
      </c>
      <c r="F206" t="inlineStr">
        <is>
          <t>kg</t>
        </is>
      </c>
      <c r="G206" s="406" t="n">
        <v>6.24468285</v>
      </c>
      <c r="H206" s="402">
        <f>IFERROR(INDEX('00_TONG_HOP_BAO_GIA'!$G$1:$G$5000, MATCH(B206, '00_TONG_HOP_BAO_GIA'!$B$1:$B$5000, 0)), 1)</f>
        <v/>
      </c>
      <c r="I206" s="407">
        <f>G206*H206</f>
        <v/>
      </c>
      <c r="J206" s="402">
        <f>IFERROR(INDEX('06_BANG_GIA_VAT_TU_AP_DUNG'!$E$1:$E$5000, MATCH(E206, '06_BANG_GIA_VAT_TU_AP_DUNG'!$B$1:$B$5000, 0)), 0)</f>
        <v/>
      </c>
      <c r="K206" s="402">
        <f>I206*J206</f>
        <v/>
      </c>
      <c r="L206" t="inlineStr">
        <is>
          <t>Kích thước vỏ 700x500x200mm</t>
        </is>
      </c>
    </row>
    <row r="207">
      <c r="A207" t="inlineStr">
        <is>
          <t>SW-DAMPER-053-BLADE</t>
        </is>
      </c>
      <c r="B207" t="inlineStr">
        <is>
          <t>SW-DAMPER-053</t>
        </is>
      </c>
      <c r="C207" t="inlineStr">
        <is>
          <t>Lá cánh / Tôn tấm bọc van (3 cánh)</t>
        </is>
      </c>
      <c r="D207" t="inlineStr">
        <is>
          <t>TÔN_CUỘN_MẠ_KẼM</t>
        </is>
      </c>
      <c r="E207" t="inlineStr">
        <is>
          <t>MAT-STEEL-PN-1.15</t>
        </is>
      </c>
      <c r="F207" t="inlineStr">
        <is>
          <t>kg</t>
        </is>
      </c>
      <c r="G207" s="406" t="n">
        <v>6.319249999999998</v>
      </c>
      <c r="H207" s="402">
        <f>IFERROR(INDEX('00_TONG_HOP_BAO_GIA'!$G$1:$G$5000, MATCH(B207, '00_TONG_HOP_BAO_GIA'!$B$1:$B$5000, 0)), 1)</f>
        <v/>
      </c>
      <c r="I207" s="407">
        <f>G207*H207</f>
        <v/>
      </c>
      <c r="J207" s="402">
        <f>IFERROR(INDEX('06_BANG_GIA_VAT_TU_AP_DUNG'!$E$1:$E$5000, MATCH(E207, '06_BANG_GIA_VAT_TU_AP_DUNG'!$B$1:$B$5000, 0)), 0)</f>
        <v/>
      </c>
      <c r="K207" s="402">
        <f>I207*J207</f>
        <v/>
      </c>
      <c r="L207" t="inlineStr">
        <is>
          <t>Tôn bọc cánh &amp; thân (3 cánh/modul)</t>
        </is>
      </c>
    </row>
    <row r="208">
      <c r="A208" t="inlineStr">
        <is>
          <t>SW-DAMPER-053-AXLE</t>
        </is>
      </c>
      <c r="B208" t="inlineStr">
        <is>
          <t>SW-DAMPER-053</t>
        </is>
      </c>
      <c r="C208" t="inlineStr">
        <is>
          <t>Trục Sus 201 D10</t>
        </is>
      </c>
      <c r="D208" t="inlineStr">
        <is>
          <t>PHỤ_KIỆN_VAN</t>
        </is>
      </c>
      <c r="E208" t="inlineStr">
        <is>
          <t>MAT-DAMPER-TRUC-SUS-201-D10</t>
        </is>
      </c>
      <c r="F208" t="inlineStr">
        <is>
          <t>m</t>
        </is>
      </c>
      <c r="G208" s="406" t="n">
        <v>2.28</v>
      </c>
      <c r="H208" s="402">
        <f>IFERROR(INDEX('00_TONG_HOP_BAO_GIA'!$G$1:$G$5000, MATCH(B208, '00_TONG_HOP_BAO_GIA'!$B$1:$B$5000, 0)), 1)</f>
        <v/>
      </c>
      <c r="I208" s="407">
        <f>G208*H208</f>
        <v/>
      </c>
      <c r="J208" s="402">
        <f>IFERROR(INDEX('06_BANG_GIA_VAT_TU_AP_DUNG'!$E$1:$E$5000, MATCH(E208, '06_BANG_GIA_VAT_TU_AP_DUNG'!$B$1:$B$5000, 0)), 0)</f>
        <v/>
      </c>
      <c r="K208" s="402">
        <f>I208*J208</f>
        <v/>
      </c>
      <c r="L208" t="inlineStr">
        <is>
          <t>3 trục dài 760mm</t>
        </is>
      </c>
    </row>
    <row r="209">
      <c r="A209" t="inlineStr">
        <is>
          <t>SW-DAMPER-053-BEARING</t>
        </is>
      </c>
      <c r="B209" t="inlineStr">
        <is>
          <t>SW-DAMPER-053</t>
        </is>
      </c>
      <c r="C209" t="inlineStr">
        <is>
          <t>Bạc đồng D10</t>
        </is>
      </c>
      <c r="D209" t="inlineStr">
        <is>
          <t>PHỤ_KIỆN_VAN</t>
        </is>
      </c>
      <c r="E209" t="inlineStr">
        <is>
          <t>MAT-DAMPER-BAC-DONG-D10</t>
        </is>
      </c>
      <c r="F209" t="inlineStr">
        <is>
          <t>Đôi</t>
        </is>
      </c>
      <c r="G209" s="406" t="n">
        <v>3</v>
      </c>
      <c r="H209" s="402">
        <f>IFERROR(INDEX('00_TONG_HOP_BAO_GIA'!$G$1:$G$5000, MATCH(B209, '00_TONG_HOP_BAO_GIA'!$B$1:$B$5000, 0)), 1)</f>
        <v/>
      </c>
      <c r="I209" s="407">
        <f>G209*H209</f>
        <v/>
      </c>
      <c r="J209" s="402">
        <f>IFERROR(INDEX('06_BANG_GIA_VAT_TU_AP_DUNG'!$E$1:$E$5000, MATCH(E209, '06_BANG_GIA_VAT_TU_AP_DUNG'!$B$1:$B$5000, 0)), 0)</f>
        <v/>
      </c>
      <c r="K209" s="402">
        <f>I209*J209</f>
        <v/>
      </c>
      <c r="L209" t="inlineStr">
        <is>
          <t>3 đôi bạc đỡ 2 bên thân</t>
        </is>
      </c>
    </row>
    <row r="210">
      <c r="A210" t="inlineStr">
        <is>
          <t>SW-DAMPER-053-GEAR</t>
        </is>
      </c>
      <c r="B210" t="inlineStr">
        <is>
          <t>SW-DAMPER-053</t>
        </is>
      </c>
      <c r="C210" t="inlineStr">
        <is>
          <t>Bánh răng van nhôm</t>
        </is>
      </c>
      <c r="D210" t="inlineStr">
        <is>
          <t>PHỤ_KIỆN_VAN</t>
        </is>
      </c>
      <c r="E210" t="inlineStr">
        <is>
          <t>MAT-DAMPER-BANH-RANG-VAN-NHOM</t>
        </is>
      </c>
      <c r="F210" t="inlineStr">
        <is>
          <t>Bộ</t>
        </is>
      </c>
      <c r="G210" s="406" t="n">
        <v>1</v>
      </c>
      <c r="H210" s="402">
        <f>IFERROR(INDEX('00_TONG_HOP_BAO_GIA'!$G$1:$G$5000, MATCH(B210, '00_TONG_HOP_BAO_GIA'!$B$1:$B$5000, 0)), 1)</f>
        <v/>
      </c>
      <c r="I210" s="407">
        <f>G210*H210</f>
        <v/>
      </c>
      <c r="J210" s="402">
        <f>IFERROR(INDEX('06_BANG_GIA_VAT_TU_AP_DUNG'!$E$1:$E$5000, MATCH(E210, '06_BANG_GIA_VAT_TU_AP_DUNG'!$B$1:$B$5000, 0)), 0)</f>
        <v/>
      </c>
      <c r="K210" s="402">
        <f>I210*J210</f>
        <v/>
      </c>
      <c r="L210" t="inlineStr">
        <is>
          <t>Cơ cấu liên động cánh (1 bộ)</t>
        </is>
      </c>
    </row>
    <row r="211">
      <c r="A211" t="inlineStr">
        <is>
          <t>SW-DAMPER-053-ACTUATOR</t>
        </is>
      </c>
      <c r="B211" t="inlineStr">
        <is>
          <t>SW-DAMPER-053</t>
        </is>
      </c>
      <c r="C211" t="inlineStr">
        <is>
          <t>Động cơ chặn lửa ON/OFF 9Nm, 230V/24V (BELIMO BFN24 / BFN230)</t>
        </is>
      </c>
      <c r="D211" t="inlineStr">
        <is>
          <t>ĐỘNG_CƠ_VÀ_CẢM_BIẾN</t>
        </is>
      </c>
      <c r="E211" t="inlineStr">
        <is>
          <t>MAT-ACTUATOR-BELIMO-BFN24</t>
        </is>
      </c>
      <c r="F211" t="inlineStr">
        <is>
          <t>Cái</t>
        </is>
      </c>
      <c r="G211" s="406" t="n">
        <v>1</v>
      </c>
      <c r="H211" s="402">
        <f>IFERROR(INDEX('00_TONG_HOP_BAO_GIA'!$G$1:$G$5000, MATCH(B211, '00_TONG_HOP_BAO_GIA'!$B$1:$B$5000, 0)), 1)</f>
        <v/>
      </c>
      <c r="I211" s="407">
        <f>G211*H211</f>
        <v/>
      </c>
      <c r="J211" s="402">
        <f>IFERROR(INDEX('06_BANG_GIA_VAT_TU_AP_DUNG'!$E$1:$E$5000, MATCH(E211, '06_BANG_GIA_VAT_TU_AP_DUNG'!$B$1:$B$5000, 0)), 0)</f>
        <v/>
      </c>
      <c r="K211" s="402">
        <f>I211*J211</f>
        <v/>
      </c>
      <c r="L211" t="inlineStr">
        <is>
          <t>Động cơ lò xo phản hồi MFD (1 bộ)</t>
        </is>
      </c>
    </row>
    <row r="212">
      <c r="A212" t="inlineStr">
        <is>
          <t>SW-DAMPER-053-FB10-BODY</t>
        </is>
      </c>
      <c r="B212" t="inlineStr">
        <is>
          <t>SW-DAMPER-053</t>
        </is>
      </c>
      <c r="C212" t="inlineStr">
        <is>
          <t>Tấm chống cháy dày 10mm bọc thân van FD/MFD (2 lớp)</t>
        </is>
      </c>
      <c r="D212" t="inlineStr">
        <is>
          <t>VẬT_LIỆU_CÁCH_NHIỆT</t>
        </is>
      </c>
      <c r="E212" t="inlineStr">
        <is>
          <t>MAT-FIREBOARD-10MM-BODY</t>
        </is>
      </c>
      <c r="F212" t="inlineStr">
        <is>
          <t>m2</t>
        </is>
      </c>
      <c r="G212" s="406" t="n">
        <v>1.44</v>
      </c>
      <c r="H212" s="402">
        <f>IFERROR(INDEX('00_TONG_HOP_BAO_GIA'!$G$1:$G$5000, MATCH(B212, '00_TONG_HOP_BAO_GIA'!$B$1:$B$5000, 0)), 1)</f>
        <v/>
      </c>
      <c r="I212" s="407">
        <f>G212*H212</f>
        <v/>
      </c>
      <c r="J212" s="402">
        <f>IFERROR(INDEX('06_BANG_GIA_VAT_TU_AP_DUNG'!$E$1:$E$5000, MATCH(E212, '06_BANG_GIA_VAT_TU_AP_DUNG'!$B$1:$B$5000, 0)), 0)</f>
        <v/>
      </c>
      <c r="K212" s="402">
        <f>I212*J212</f>
        <v/>
      </c>
      <c r="L212" t="inlineStr">
        <is>
          <t>Bọc 2 lớp tấm 10mm quanh thân L=300mm</t>
        </is>
      </c>
    </row>
    <row r="213">
      <c r="A213" t="inlineStr">
        <is>
          <t>SW-DAMPER-053-FB20-BLADE</t>
        </is>
      </c>
      <c r="B213" t="inlineStr">
        <is>
          <t>SW-DAMPER-053</t>
        </is>
      </c>
      <c r="C213" t="inlineStr">
        <is>
          <t>Tấm chống cháy dày 20mm làm lõi cánh van FD/MFD</t>
        </is>
      </c>
      <c r="D213" t="inlineStr">
        <is>
          <t>VẬT_LIỆU_CÁCH_NHIỆT</t>
        </is>
      </c>
      <c r="E213" t="inlineStr">
        <is>
          <t>MAT-FIREBOARD-20MM-BLADE</t>
        </is>
      </c>
      <c r="F213" t="inlineStr">
        <is>
          <t>m2</t>
        </is>
      </c>
      <c r="G213" s="406" t="n">
        <v>0.5218429530201343</v>
      </c>
      <c r="H213" s="402">
        <f>IFERROR(INDEX('00_TONG_HOP_BAO_GIA'!$G$1:$G$5000, MATCH(B213, '00_TONG_HOP_BAO_GIA'!$B$1:$B$5000, 0)), 1)</f>
        <v/>
      </c>
      <c r="I213" s="407">
        <f>G213*H213</f>
        <v/>
      </c>
      <c r="J213" s="402">
        <f>IFERROR(INDEX('06_BANG_GIA_VAT_TU_AP_DUNG'!$E$1:$E$5000, MATCH(E213, '06_BANG_GIA_VAT_TU_AP_DUNG'!$B$1:$B$5000, 0)), 0)</f>
        <v/>
      </c>
      <c r="K213" s="402">
        <f>I213*J213</f>
        <v/>
      </c>
      <c r="L213" t="inlineStr">
        <is>
          <t>Lõi cánh tấm 20mm (Đa cánh hệ số (H-5)/149=3.32, bản rộng 210mm, hao hụt 10%)</t>
        </is>
      </c>
    </row>
    <row r="214">
      <c r="A214" t="inlineStr">
        <is>
          <t>SW-DAMPER-053-FB10-BLADE</t>
        </is>
      </c>
      <c r="B214" t="inlineStr">
        <is>
          <t>SW-DAMPER-053</t>
        </is>
      </c>
      <c r="C214" t="inlineStr">
        <is>
          <t>Tấm chống cháy dày 10mm ốp 2 mặt cánh van FD/MFD</t>
        </is>
      </c>
      <c r="D214" t="inlineStr">
        <is>
          <t>VẬT_LIỆU_CÁCH_NHIỆT</t>
        </is>
      </c>
      <c r="E214" t="inlineStr">
        <is>
          <t>MAT-FIREBOARD-10MM-BLADE</t>
        </is>
      </c>
      <c r="F214" t="inlineStr">
        <is>
          <t>m2</t>
        </is>
      </c>
      <c r="G214" s="406" t="n">
        <v>1.074382550335571</v>
      </c>
      <c r="H214" s="402">
        <f>IFERROR(INDEX('00_TONG_HOP_BAO_GIA'!$G$1:$G$5000, MATCH(B214, '00_TONG_HOP_BAO_GIA'!$B$1:$B$5000, 0)), 1)</f>
        <v/>
      </c>
      <c r="I214" s="407">
        <f>G214*H214</f>
        <v/>
      </c>
      <c r="J214" s="402">
        <f>IFERROR(INDEX('06_BANG_GIA_VAT_TU_AP_DUNG'!$E$1:$E$5000, MATCH(E214, '06_BANG_GIA_VAT_TU_AP_DUNG'!$B$1:$B$5000, 0)), 0)</f>
        <v/>
      </c>
      <c r="K214" s="402">
        <f>I214*J214</f>
        <v/>
      </c>
      <c r="L214" t="inlineStr">
        <is>
          <t>Ốp 2 mặt cánh tấm 10mm (Đa cánh hệ số (H-5)/149=3.32, bản rộng 210mm, hao hụt 10%)</t>
        </is>
      </c>
    </row>
    <row r="215">
      <c r="A215" t="inlineStr">
        <is>
          <t>SW-DAMPER-053-SPRING-BOX</t>
        </is>
      </c>
      <c r="B215" t="inlineStr">
        <is>
          <t>SW-DAMPER-053</t>
        </is>
      </c>
      <c r="C215" t="inlineStr">
        <is>
          <t>Hộp lò xo van chặn lửa FD/MFD</t>
        </is>
      </c>
      <c r="D215" t="inlineStr">
        <is>
          <t>PHỤ_KIỆN_VAN</t>
        </is>
      </c>
      <c r="E215" t="inlineStr">
        <is>
          <t>MAT-DAMPER-HOP-LO-XO</t>
        </is>
      </c>
      <c r="F215" t="inlineStr">
        <is>
          <t>Bộ</t>
        </is>
      </c>
      <c r="G215" s="406" t="n">
        <v>1</v>
      </c>
      <c r="H215" s="402">
        <f>IFERROR(INDEX('00_TONG_HOP_BAO_GIA'!$G$1:$G$5000, MATCH(B215, '00_TONG_HOP_BAO_GIA'!$B$1:$B$5000, 0)), 1)</f>
        <v/>
      </c>
      <c r="I215" s="407">
        <f>G215*H215</f>
        <v/>
      </c>
      <c r="J215" s="402">
        <f>IFERROR(INDEX('06_BANG_GIA_VAT_TU_AP_DUNG'!$E$1:$E$5000, MATCH(E215, '06_BANG_GIA_VAT_TU_AP_DUNG'!$B$1:$B$5000, 0)), 0)</f>
        <v/>
      </c>
      <c r="K215" s="402">
        <f>I215*J215</f>
        <v/>
      </c>
      <c r="L215" t="inlineStr">
        <is>
          <t>Hộp lò xo cơ cấu đóng sập (1 bộ)</t>
        </is>
      </c>
    </row>
    <row r="216">
      <c r="A216" t="inlineStr">
        <is>
          <t>SW-DAMPER-053-SILICON-BOLT</t>
        </is>
      </c>
      <c r="B216" t="inlineStr">
        <is>
          <t>SW-DAMPER-053</t>
        </is>
      </c>
      <c r="C216" t="inlineStr">
        <is>
          <t>Silicon chống cháy + bu lông, ốc vít van FD/MFD</t>
        </is>
      </c>
      <c r="D216" t="inlineStr">
        <is>
          <t>PHỤ_KIỆN_VAN</t>
        </is>
      </c>
      <c r="E216" t="inlineStr">
        <is>
          <t>MAT-DAMPER-SILICON-BULONG-VIT</t>
        </is>
      </c>
      <c r="F216" t="inlineStr">
        <is>
          <t>Bộ</t>
        </is>
      </c>
      <c r="G216" s="406" t="n">
        <v>1</v>
      </c>
      <c r="H216" s="402">
        <f>IFERROR(INDEX('00_TONG_HOP_BAO_GIA'!$G$1:$G$5000, MATCH(B216, '00_TONG_HOP_BAO_GIA'!$B$1:$B$5000, 0)), 1)</f>
        <v/>
      </c>
      <c r="I216" s="407">
        <f>G216*H216</f>
        <v/>
      </c>
      <c r="J216" s="402">
        <f>IFERROR(INDEX('06_BANG_GIA_VAT_TU_AP_DUNG'!$E$1:$E$5000, MATCH(E216, '06_BANG_GIA_VAT_TU_AP_DUNG'!$B$1:$B$5000, 0)), 0)</f>
        <v/>
      </c>
      <c r="K216" s="402">
        <f>I216*J216</f>
        <v/>
      </c>
      <c r="L216" t="inlineStr">
        <is>
          <t>Keo silicon chống cháy &amp; phụ kiện lắp ghép (1 bộ)</t>
        </is>
      </c>
    </row>
    <row r="217">
      <c r="A217" t="inlineStr">
        <is>
          <t>SW-DAMPER-054-BODY</t>
        </is>
      </c>
      <c r="B217" t="inlineStr">
        <is>
          <t>SW-DAMPER-054</t>
        </is>
      </c>
      <c r="C217" t="inlineStr">
        <is>
          <t>Thân vỏ van MFD bích C30/TDF (1.15mm)</t>
        </is>
      </c>
      <c r="D217" t="inlineStr">
        <is>
          <t>TÔN_CUỘN_MẠ_KẼM</t>
        </is>
      </c>
      <c r="E217" t="inlineStr">
        <is>
          <t>MAT-STEEL-PN-1.15</t>
        </is>
      </c>
      <c r="F217" t="inlineStr">
        <is>
          <t>kg</t>
        </is>
      </c>
      <c r="G217" s="406" t="n">
        <v>7.7802606</v>
      </c>
      <c r="H217" s="402">
        <f>IFERROR(INDEX('00_TONG_HOP_BAO_GIA'!$G$1:$G$5000, MATCH(B217, '00_TONG_HOP_BAO_GIA'!$B$1:$B$5000, 0)), 1)</f>
        <v/>
      </c>
      <c r="I217" s="407">
        <f>G217*H217</f>
        <v/>
      </c>
      <c r="J217" s="402">
        <f>IFERROR(INDEX('06_BANG_GIA_VAT_TU_AP_DUNG'!$E$1:$E$5000, MATCH(E217, '06_BANG_GIA_VAT_TU_AP_DUNG'!$B$1:$B$5000, 0)), 0)</f>
        <v/>
      </c>
      <c r="K217" s="402">
        <f>I217*J217</f>
        <v/>
      </c>
      <c r="L217" t="inlineStr">
        <is>
          <t>Kích thước vỏ 700x800x200mm</t>
        </is>
      </c>
    </row>
    <row r="218">
      <c r="A218" t="inlineStr">
        <is>
          <t>SW-DAMPER-054-BLADE</t>
        </is>
      </c>
      <c r="B218" t="inlineStr">
        <is>
          <t>SW-DAMPER-054</t>
        </is>
      </c>
      <c r="C218" t="inlineStr">
        <is>
          <t>Lá cánh / Tôn tấm bọc van (5 cánh)</t>
        </is>
      </c>
      <c r="D218" t="inlineStr">
        <is>
          <t>TÔN_CUỘN_MẠ_KẼM</t>
        </is>
      </c>
      <c r="E218" t="inlineStr">
        <is>
          <t>MAT-STEEL-PN-1.15</t>
        </is>
      </c>
      <c r="F218" t="inlineStr">
        <is>
          <t>kg</t>
        </is>
      </c>
      <c r="G218" s="406" t="n">
        <v>10.1108</v>
      </c>
      <c r="H218" s="402">
        <f>IFERROR(INDEX('00_TONG_HOP_BAO_GIA'!$G$1:$G$5000, MATCH(B218, '00_TONG_HOP_BAO_GIA'!$B$1:$B$5000, 0)), 1)</f>
        <v/>
      </c>
      <c r="I218" s="407">
        <f>G218*H218</f>
        <v/>
      </c>
      <c r="J218" s="402">
        <f>IFERROR(INDEX('06_BANG_GIA_VAT_TU_AP_DUNG'!$E$1:$E$5000, MATCH(E218, '06_BANG_GIA_VAT_TU_AP_DUNG'!$B$1:$B$5000, 0)), 0)</f>
        <v/>
      </c>
      <c r="K218" s="402">
        <f>I218*J218</f>
        <v/>
      </c>
      <c r="L218" t="inlineStr">
        <is>
          <t>Tôn bọc cánh &amp; thân (5 cánh/modul)</t>
        </is>
      </c>
    </row>
    <row r="219">
      <c r="A219" t="inlineStr">
        <is>
          <t>SW-DAMPER-054-AXLE</t>
        </is>
      </c>
      <c r="B219" t="inlineStr">
        <is>
          <t>SW-DAMPER-054</t>
        </is>
      </c>
      <c r="C219" t="inlineStr">
        <is>
          <t>Trục Sus 201 D10</t>
        </is>
      </c>
      <c r="D219" t="inlineStr">
        <is>
          <t>PHỤ_KIỆN_VAN</t>
        </is>
      </c>
      <c r="E219" t="inlineStr">
        <is>
          <t>MAT-DAMPER-TRUC-SUS-201-D10</t>
        </is>
      </c>
      <c r="F219" t="inlineStr">
        <is>
          <t>m</t>
        </is>
      </c>
      <c r="G219" s="406" t="n">
        <v>3.8</v>
      </c>
      <c r="H219" s="402">
        <f>IFERROR(INDEX('00_TONG_HOP_BAO_GIA'!$G$1:$G$5000, MATCH(B219, '00_TONG_HOP_BAO_GIA'!$B$1:$B$5000, 0)), 1)</f>
        <v/>
      </c>
      <c r="I219" s="407">
        <f>G219*H219</f>
        <v/>
      </c>
      <c r="J219" s="402">
        <f>IFERROR(INDEX('06_BANG_GIA_VAT_TU_AP_DUNG'!$E$1:$E$5000, MATCH(E219, '06_BANG_GIA_VAT_TU_AP_DUNG'!$B$1:$B$5000, 0)), 0)</f>
        <v/>
      </c>
      <c r="K219" s="402">
        <f>I219*J219</f>
        <v/>
      </c>
      <c r="L219" t="inlineStr">
        <is>
          <t>5 trục dài 760mm</t>
        </is>
      </c>
    </row>
    <row r="220">
      <c r="A220" t="inlineStr">
        <is>
          <t>SW-DAMPER-054-BEARING</t>
        </is>
      </c>
      <c r="B220" t="inlineStr">
        <is>
          <t>SW-DAMPER-054</t>
        </is>
      </c>
      <c r="C220" t="inlineStr">
        <is>
          <t>Bạc đồng D10</t>
        </is>
      </c>
      <c r="D220" t="inlineStr">
        <is>
          <t>PHỤ_KIỆN_VAN</t>
        </is>
      </c>
      <c r="E220" t="inlineStr">
        <is>
          <t>MAT-DAMPER-BAC-DONG-D10</t>
        </is>
      </c>
      <c r="F220" t="inlineStr">
        <is>
          <t>Đôi</t>
        </is>
      </c>
      <c r="G220" s="406" t="n">
        <v>5</v>
      </c>
      <c r="H220" s="402">
        <f>IFERROR(INDEX('00_TONG_HOP_BAO_GIA'!$G$1:$G$5000, MATCH(B220, '00_TONG_HOP_BAO_GIA'!$B$1:$B$5000, 0)), 1)</f>
        <v/>
      </c>
      <c r="I220" s="407">
        <f>G220*H220</f>
        <v/>
      </c>
      <c r="J220" s="402">
        <f>IFERROR(INDEX('06_BANG_GIA_VAT_TU_AP_DUNG'!$E$1:$E$5000, MATCH(E220, '06_BANG_GIA_VAT_TU_AP_DUNG'!$B$1:$B$5000, 0)), 0)</f>
        <v/>
      </c>
      <c r="K220" s="402">
        <f>I220*J220</f>
        <v/>
      </c>
      <c r="L220" t="inlineStr">
        <is>
          <t>5 đôi bạc đỡ 2 bên thân</t>
        </is>
      </c>
    </row>
    <row r="221">
      <c r="A221" t="inlineStr">
        <is>
          <t>SW-DAMPER-054-GEAR</t>
        </is>
      </c>
      <c r="B221" t="inlineStr">
        <is>
          <t>SW-DAMPER-054</t>
        </is>
      </c>
      <c r="C221" t="inlineStr">
        <is>
          <t>Bánh răng van nhôm</t>
        </is>
      </c>
      <c r="D221" t="inlineStr">
        <is>
          <t>PHỤ_KIỆN_VAN</t>
        </is>
      </c>
      <c r="E221" t="inlineStr">
        <is>
          <t>MAT-DAMPER-BANH-RANG-VAN-NHOM</t>
        </is>
      </c>
      <c r="F221" t="inlineStr">
        <is>
          <t>Bộ</t>
        </is>
      </c>
      <c r="G221" s="406" t="n">
        <v>1</v>
      </c>
      <c r="H221" s="402">
        <f>IFERROR(INDEX('00_TONG_HOP_BAO_GIA'!$G$1:$G$5000, MATCH(B221, '00_TONG_HOP_BAO_GIA'!$B$1:$B$5000, 0)), 1)</f>
        <v/>
      </c>
      <c r="I221" s="407">
        <f>G221*H221</f>
        <v/>
      </c>
      <c r="J221" s="402">
        <f>IFERROR(INDEX('06_BANG_GIA_VAT_TU_AP_DUNG'!$E$1:$E$5000, MATCH(E221, '06_BANG_GIA_VAT_TU_AP_DUNG'!$B$1:$B$5000, 0)), 0)</f>
        <v/>
      </c>
      <c r="K221" s="402">
        <f>I221*J221</f>
        <v/>
      </c>
      <c r="L221" t="inlineStr">
        <is>
          <t>Cơ cấu liên động cánh (1 bộ)</t>
        </is>
      </c>
    </row>
    <row r="222">
      <c r="A222" t="inlineStr">
        <is>
          <t>SW-DAMPER-054-ACTUATOR</t>
        </is>
      </c>
      <c r="B222" t="inlineStr">
        <is>
          <t>SW-DAMPER-054</t>
        </is>
      </c>
      <c r="C222" t="inlineStr">
        <is>
          <t>Động cơ chặn lửa ON/OFF 9Nm, 230V/24V (BELIMO BFN24 / BFN230)</t>
        </is>
      </c>
      <c r="D222" t="inlineStr">
        <is>
          <t>ĐỘNG_CƠ_VÀ_CẢM_BIẾN</t>
        </is>
      </c>
      <c r="E222" t="inlineStr">
        <is>
          <t>MAT-ACTUATOR-BELIMO-BFN24</t>
        </is>
      </c>
      <c r="F222" t="inlineStr">
        <is>
          <t>Cái</t>
        </is>
      </c>
      <c r="G222" s="406" t="n">
        <v>1</v>
      </c>
      <c r="H222" s="402">
        <f>IFERROR(INDEX('00_TONG_HOP_BAO_GIA'!$G$1:$G$5000, MATCH(B222, '00_TONG_HOP_BAO_GIA'!$B$1:$B$5000, 0)), 1)</f>
        <v/>
      </c>
      <c r="I222" s="407">
        <f>G222*H222</f>
        <v/>
      </c>
      <c r="J222" s="402">
        <f>IFERROR(INDEX('06_BANG_GIA_VAT_TU_AP_DUNG'!$E$1:$E$5000, MATCH(E222, '06_BANG_GIA_VAT_TU_AP_DUNG'!$B$1:$B$5000, 0)), 0)</f>
        <v/>
      </c>
      <c r="K222" s="402">
        <f>I222*J222</f>
        <v/>
      </c>
      <c r="L222" t="inlineStr">
        <is>
          <t>Động cơ lò xo phản hồi MFD (1 bộ)</t>
        </is>
      </c>
    </row>
    <row r="223">
      <c r="A223" t="inlineStr">
        <is>
          <t>SW-DAMPER-054-FB10-BODY</t>
        </is>
      </c>
      <c r="B223" t="inlineStr">
        <is>
          <t>SW-DAMPER-054</t>
        </is>
      </c>
      <c r="C223" t="inlineStr">
        <is>
          <t>Tấm chống cháy dày 10mm bọc thân van FD/MFD (2 lớp)</t>
        </is>
      </c>
      <c r="D223" t="inlineStr">
        <is>
          <t>VẬT_LIỆU_CÁCH_NHIỆT</t>
        </is>
      </c>
      <c r="E223" t="inlineStr">
        <is>
          <t>MAT-FIREBOARD-10MM-BODY</t>
        </is>
      </c>
      <c r="F223" t="inlineStr">
        <is>
          <t>m2</t>
        </is>
      </c>
      <c r="G223" s="406" t="n">
        <v>1.8</v>
      </c>
      <c r="H223" s="402">
        <f>IFERROR(INDEX('00_TONG_HOP_BAO_GIA'!$G$1:$G$5000, MATCH(B223, '00_TONG_HOP_BAO_GIA'!$B$1:$B$5000, 0)), 1)</f>
        <v/>
      </c>
      <c r="I223" s="407">
        <f>G223*H223</f>
        <v/>
      </c>
      <c r="J223" s="402">
        <f>IFERROR(INDEX('06_BANG_GIA_VAT_TU_AP_DUNG'!$E$1:$E$5000, MATCH(E223, '06_BANG_GIA_VAT_TU_AP_DUNG'!$B$1:$B$5000, 0)), 0)</f>
        <v/>
      </c>
      <c r="K223" s="402">
        <f>I223*J223</f>
        <v/>
      </c>
      <c r="L223" t="inlineStr">
        <is>
          <t>Bọc 2 lớp tấm 10mm quanh thân L=300mm</t>
        </is>
      </c>
    </row>
    <row r="224">
      <c r="A224" t="inlineStr">
        <is>
          <t>SW-DAMPER-054-FB20-BLADE</t>
        </is>
      </c>
      <c r="B224" t="inlineStr">
        <is>
          <t>SW-DAMPER-054</t>
        </is>
      </c>
      <c r="C224" t="inlineStr">
        <is>
          <t>Tấm chống cháy dày 20mm làm lõi cánh van FD/MFD</t>
        </is>
      </c>
      <c r="D224" t="inlineStr">
        <is>
          <t>VẬT_LIỆU_CÁCH_NHIỆT</t>
        </is>
      </c>
      <c r="E224" t="inlineStr">
        <is>
          <t>MAT-FIREBOARD-20MM-BLADE</t>
        </is>
      </c>
      <c r="F224" t="inlineStr">
        <is>
          <t>m2</t>
        </is>
      </c>
      <c r="G224" s="406" t="n">
        <v>0.8381114093959733</v>
      </c>
      <c r="H224" s="402">
        <f>IFERROR(INDEX('00_TONG_HOP_BAO_GIA'!$G$1:$G$5000, MATCH(B224, '00_TONG_HOP_BAO_GIA'!$B$1:$B$5000, 0)), 1)</f>
        <v/>
      </c>
      <c r="I224" s="407">
        <f>G224*H224</f>
        <v/>
      </c>
      <c r="J224" s="402">
        <f>IFERROR(INDEX('06_BANG_GIA_VAT_TU_AP_DUNG'!$E$1:$E$5000, MATCH(E224, '06_BANG_GIA_VAT_TU_AP_DUNG'!$B$1:$B$5000, 0)), 0)</f>
        <v/>
      </c>
      <c r="K224" s="402">
        <f>I224*J224</f>
        <v/>
      </c>
      <c r="L224" t="inlineStr">
        <is>
          <t>Lõi cánh tấm 20mm (Đa cánh hệ số (H-5)/149=5.34, bản rộng 210mm, hao hụt 10%)</t>
        </is>
      </c>
    </row>
    <row r="225">
      <c r="A225" t="inlineStr">
        <is>
          <t>SW-DAMPER-054-FB10-BLADE</t>
        </is>
      </c>
      <c r="B225" t="inlineStr">
        <is>
          <t>SW-DAMPER-054</t>
        </is>
      </c>
      <c r="C225" t="inlineStr">
        <is>
          <t>Tấm chống cháy dày 10mm ốp 2 mặt cánh van FD/MFD</t>
        </is>
      </c>
      <c r="D225" t="inlineStr">
        <is>
          <t>VẬT_LIỆU_CÁCH_NHIỆT</t>
        </is>
      </c>
      <c r="E225" t="inlineStr">
        <is>
          <t>MAT-FIREBOARD-10MM-BLADE</t>
        </is>
      </c>
      <c r="F225" t="inlineStr">
        <is>
          <t>m2</t>
        </is>
      </c>
      <c r="G225" s="406" t="n">
        <v>1.725523489932886</v>
      </c>
      <c r="H225" s="402">
        <f>IFERROR(INDEX('00_TONG_HOP_BAO_GIA'!$G$1:$G$5000, MATCH(B225, '00_TONG_HOP_BAO_GIA'!$B$1:$B$5000, 0)), 1)</f>
        <v/>
      </c>
      <c r="I225" s="407">
        <f>G225*H225</f>
        <v/>
      </c>
      <c r="J225" s="402">
        <f>IFERROR(INDEX('06_BANG_GIA_VAT_TU_AP_DUNG'!$E$1:$E$5000, MATCH(E225, '06_BANG_GIA_VAT_TU_AP_DUNG'!$B$1:$B$5000, 0)), 0)</f>
        <v/>
      </c>
      <c r="K225" s="402">
        <f>I225*J225</f>
        <v/>
      </c>
      <c r="L225" t="inlineStr">
        <is>
          <t>Ốp 2 mặt cánh tấm 10mm (Đa cánh hệ số (H-5)/149=5.34, bản rộng 210mm, hao hụt 10%)</t>
        </is>
      </c>
    </row>
    <row r="226">
      <c r="A226" t="inlineStr">
        <is>
          <t>SW-DAMPER-054-SPRING-BOX</t>
        </is>
      </c>
      <c r="B226" t="inlineStr">
        <is>
          <t>SW-DAMPER-054</t>
        </is>
      </c>
      <c r="C226" t="inlineStr">
        <is>
          <t>Hộp lò xo van chặn lửa FD/MFD</t>
        </is>
      </c>
      <c r="D226" t="inlineStr">
        <is>
          <t>PHỤ_KIỆN_VAN</t>
        </is>
      </c>
      <c r="E226" t="inlineStr">
        <is>
          <t>MAT-DAMPER-HOP-LO-XO</t>
        </is>
      </c>
      <c r="F226" t="inlineStr">
        <is>
          <t>Bộ</t>
        </is>
      </c>
      <c r="G226" s="406" t="n">
        <v>1</v>
      </c>
      <c r="H226" s="402">
        <f>IFERROR(INDEX('00_TONG_HOP_BAO_GIA'!$G$1:$G$5000, MATCH(B226, '00_TONG_HOP_BAO_GIA'!$B$1:$B$5000, 0)), 1)</f>
        <v/>
      </c>
      <c r="I226" s="407">
        <f>G226*H226</f>
        <v/>
      </c>
      <c r="J226" s="402">
        <f>IFERROR(INDEX('06_BANG_GIA_VAT_TU_AP_DUNG'!$E$1:$E$5000, MATCH(E226, '06_BANG_GIA_VAT_TU_AP_DUNG'!$B$1:$B$5000, 0)), 0)</f>
        <v/>
      </c>
      <c r="K226" s="402">
        <f>I226*J226</f>
        <v/>
      </c>
      <c r="L226" t="inlineStr">
        <is>
          <t>Hộp lò xo cơ cấu đóng sập (1 bộ)</t>
        </is>
      </c>
    </row>
    <row r="227">
      <c r="A227" t="inlineStr">
        <is>
          <t>SW-DAMPER-054-SILICON-BOLT</t>
        </is>
      </c>
      <c r="B227" t="inlineStr">
        <is>
          <t>SW-DAMPER-054</t>
        </is>
      </c>
      <c r="C227" t="inlineStr">
        <is>
          <t>Silicon chống cháy + bu lông, ốc vít van FD/MFD</t>
        </is>
      </c>
      <c r="D227" t="inlineStr">
        <is>
          <t>PHỤ_KIỆN_VAN</t>
        </is>
      </c>
      <c r="E227" t="inlineStr">
        <is>
          <t>MAT-DAMPER-SILICON-BULONG-VIT</t>
        </is>
      </c>
      <c r="F227" t="inlineStr">
        <is>
          <t>Bộ</t>
        </is>
      </c>
      <c r="G227" s="406" t="n">
        <v>1</v>
      </c>
      <c r="H227" s="402">
        <f>IFERROR(INDEX('00_TONG_HOP_BAO_GIA'!$G$1:$G$5000, MATCH(B227, '00_TONG_HOP_BAO_GIA'!$B$1:$B$5000, 0)), 1)</f>
        <v/>
      </c>
      <c r="I227" s="407">
        <f>G227*H227</f>
        <v/>
      </c>
      <c r="J227" s="402">
        <f>IFERROR(INDEX('06_BANG_GIA_VAT_TU_AP_DUNG'!$E$1:$E$5000, MATCH(E227, '06_BANG_GIA_VAT_TU_AP_DUNG'!$B$1:$B$5000, 0)), 0)</f>
        <v/>
      </c>
      <c r="K227" s="402">
        <f>I227*J227</f>
        <v/>
      </c>
      <c r="L227" t="inlineStr">
        <is>
          <t>Keo silicon chống cháy &amp; phụ kiện lắp ghép (1 bộ)</t>
        </is>
      </c>
    </row>
    <row r="228">
      <c r="A228" t="inlineStr">
        <is>
          <t>SW-DAMPER-055-BODY</t>
        </is>
      </c>
      <c r="B228" t="inlineStr">
        <is>
          <t>SW-DAMPER-055</t>
        </is>
      </c>
      <c r="C228" t="inlineStr">
        <is>
          <t>Thân vỏ van MFD bích C30/TDF (1.15mm)</t>
        </is>
      </c>
      <c r="D228" t="inlineStr">
        <is>
          <t>TÔN_CUỘN_MẠ_KẼM</t>
        </is>
      </c>
      <c r="E228" t="inlineStr">
        <is>
          <t>MAT-STEEL-PN-1.15</t>
        </is>
      </c>
      <c r="F228" t="inlineStr">
        <is>
          <t>kg</t>
        </is>
      </c>
      <c r="G228" s="406" t="n">
        <v>9.315838349999998</v>
      </c>
      <c r="H228" s="402">
        <f>IFERROR(INDEX('00_TONG_HOP_BAO_GIA'!$G$1:$G$5000, MATCH(B228, '00_TONG_HOP_BAO_GIA'!$B$1:$B$5000, 0)), 1)</f>
        <v/>
      </c>
      <c r="I228" s="407">
        <f>G228*H228</f>
        <v/>
      </c>
      <c r="J228" s="402">
        <f>IFERROR(INDEX('06_BANG_GIA_VAT_TU_AP_DUNG'!$E$1:$E$5000, MATCH(E228, '06_BANG_GIA_VAT_TU_AP_DUNG'!$B$1:$B$5000, 0)), 0)</f>
        <v/>
      </c>
      <c r="K228" s="402">
        <f>I228*J228</f>
        <v/>
      </c>
      <c r="L228" t="inlineStr">
        <is>
          <t>Kích thước vỏ 1200x600x200mm</t>
        </is>
      </c>
    </row>
    <row r="229">
      <c r="A229" t="inlineStr">
        <is>
          <t>SW-DAMPER-055-BLADE</t>
        </is>
      </c>
      <c r="B229" t="inlineStr">
        <is>
          <t>SW-DAMPER-055</t>
        </is>
      </c>
      <c r="C229" t="inlineStr">
        <is>
          <t>Lá cánh / Tôn tấm bọc van (4 cánh)</t>
        </is>
      </c>
      <c r="D229" t="inlineStr">
        <is>
          <t>TÔN_CUỘN_MẠ_KẼM</t>
        </is>
      </c>
      <c r="E229" t="inlineStr">
        <is>
          <t>MAT-STEEL-PN-1.15</t>
        </is>
      </c>
      <c r="F229" t="inlineStr">
        <is>
          <t>kg</t>
        </is>
      </c>
      <c r="G229" s="406" t="n">
        <v>12.9996</v>
      </c>
      <c r="H229" s="402">
        <f>IFERROR(INDEX('00_TONG_HOP_BAO_GIA'!$G$1:$G$5000, MATCH(B229, '00_TONG_HOP_BAO_GIA'!$B$1:$B$5000, 0)), 1)</f>
        <v/>
      </c>
      <c r="I229" s="407">
        <f>G229*H229</f>
        <v/>
      </c>
      <c r="J229" s="402">
        <f>IFERROR(INDEX('06_BANG_GIA_VAT_TU_AP_DUNG'!$E$1:$E$5000, MATCH(E229, '06_BANG_GIA_VAT_TU_AP_DUNG'!$B$1:$B$5000, 0)), 0)</f>
        <v/>
      </c>
      <c r="K229" s="402">
        <f>I229*J229</f>
        <v/>
      </c>
      <c r="L229" t="inlineStr">
        <is>
          <t>Tôn bọc cánh &amp; thân (4 cánh/modul)</t>
        </is>
      </c>
    </row>
    <row r="230">
      <c r="A230" t="inlineStr">
        <is>
          <t>SW-DAMPER-055-AXLE</t>
        </is>
      </c>
      <c r="B230" t="inlineStr">
        <is>
          <t>SW-DAMPER-055</t>
        </is>
      </c>
      <c r="C230" t="inlineStr">
        <is>
          <t>Trục Sus 201 D10</t>
        </is>
      </c>
      <c r="D230" t="inlineStr">
        <is>
          <t>PHỤ_KIỆN_VAN</t>
        </is>
      </c>
      <c r="E230" t="inlineStr">
        <is>
          <t>MAT-DAMPER-TRUC-SUS-201-D10</t>
        </is>
      </c>
      <c r="F230" t="inlineStr">
        <is>
          <t>m</t>
        </is>
      </c>
      <c r="G230" s="406" t="n">
        <v>5.04</v>
      </c>
      <c r="H230" s="402">
        <f>IFERROR(INDEX('00_TONG_HOP_BAO_GIA'!$G$1:$G$5000, MATCH(B230, '00_TONG_HOP_BAO_GIA'!$B$1:$B$5000, 0)), 1)</f>
        <v/>
      </c>
      <c r="I230" s="407">
        <f>G230*H230</f>
        <v/>
      </c>
      <c r="J230" s="402">
        <f>IFERROR(INDEX('06_BANG_GIA_VAT_TU_AP_DUNG'!$E$1:$E$5000, MATCH(E230, '06_BANG_GIA_VAT_TU_AP_DUNG'!$B$1:$B$5000, 0)), 0)</f>
        <v/>
      </c>
      <c r="K230" s="402">
        <f>I230*J230</f>
        <v/>
      </c>
      <c r="L230" t="inlineStr">
        <is>
          <t>4 trục dài 1260mm</t>
        </is>
      </c>
    </row>
    <row r="231">
      <c r="A231" t="inlineStr">
        <is>
          <t>SW-DAMPER-055-BEARING</t>
        </is>
      </c>
      <c r="B231" t="inlineStr">
        <is>
          <t>SW-DAMPER-055</t>
        </is>
      </c>
      <c r="C231" t="inlineStr">
        <is>
          <t>Bạc đồng D10</t>
        </is>
      </c>
      <c r="D231" t="inlineStr">
        <is>
          <t>PHỤ_KIỆN_VAN</t>
        </is>
      </c>
      <c r="E231" t="inlineStr">
        <is>
          <t>MAT-DAMPER-BAC-DONG-D10</t>
        </is>
      </c>
      <c r="F231" t="inlineStr">
        <is>
          <t>Đôi</t>
        </is>
      </c>
      <c r="G231" s="406" t="n">
        <v>4</v>
      </c>
      <c r="H231" s="402">
        <f>IFERROR(INDEX('00_TONG_HOP_BAO_GIA'!$G$1:$G$5000, MATCH(B231, '00_TONG_HOP_BAO_GIA'!$B$1:$B$5000, 0)), 1)</f>
        <v/>
      </c>
      <c r="I231" s="407">
        <f>G231*H231</f>
        <v/>
      </c>
      <c r="J231" s="402">
        <f>IFERROR(INDEX('06_BANG_GIA_VAT_TU_AP_DUNG'!$E$1:$E$5000, MATCH(E231, '06_BANG_GIA_VAT_TU_AP_DUNG'!$B$1:$B$5000, 0)), 0)</f>
        <v/>
      </c>
      <c r="K231" s="402">
        <f>I231*J231</f>
        <v/>
      </c>
      <c r="L231" t="inlineStr">
        <is>
          <t>4 đôi bạc đỡ 2 bên thân</t>
        </is>
      </c>
    </row>
    <row r="232">
      <c r="A232" t="inlineStr">
        <is>
          <t>SW-DAMPER-055-GEAR</t>
        </is>
      </c>
      <c r="B232" t="inlineStr">
        <is>
          <t>SW-DAMPER-055</t>
        </is>
      </c>
      <c r="C232" t="inlineStr">
        <is>
          <t>Bánh răng van nhôm</t>
        </is>
      </c>
      <c r="D232" t="inlineStr">
        <is>
          <t>PHỤ_KIỆN_VAN</t>
        </is>
      </c>
      <c r="E232" t="inlineStr">
        <is>
          <t>MAT-DAMPER-BANH-RANG-VAN-NHOM</t>
        </is>
      </c>
      <c r="F232" t="inlineStr">
        <is>
          <t>Bộ</t>
        </is>
      </c>
      <c r="G232" s="406" t="n">
        <v>1</v>
      </c>
      <c r="H232" s="402">
        <f>IFERROR(INDEX('00_TONG_HOP_BAO_GIA'!$G$1:$G$5000, MATCH(B232, '00_TONG_HOP_BAO_GIA'!$B$1:$B$5000, 0)), 1)</f>
        <v/>
      </c>
      <c r="I232" s="407">
        <f>G232*H232</f>
        <v/>
      </c>
      <c r="J232" s="402">
        <f>IFERROR(INDEX('06_BANG_GIA_VAT_TU_AP_DUNG'!$E$1:$E$5000, MATCH(E232, '06_BANG_GIA_VAT_TU_AP_DUNG'!$B$1:$B$5000, 0)), 0)</f>
        <v/>
      </c>
      <c r="K232" s="402">
        <f>I232*J232</f>
        <v/>
      </c>
      <c r="L232" t="inlineStr">
        <is>
          <t>Cơ cấu liên động cánh (1 bộ)</t>
        </is>
      </c>
    </row>
    <row r="233">
      <c r="A233" t="inlineStr">
        <is>
          <t>SW-DAMPER-055-ACTUATOR</t>
        </is>
      </c>
      <c r="B233" t="inlineStr">
        <is>
          <t>SW-DAMPER-055</t>
        </is>
      </c>
      <c r="C233" t="inlineStr">
        <is>
          <t>Động cơ chặn lửa ON/OFF 9Nm, 230V/24V (BELIMO BFN24 / BFN230)</t>
        </is>
      </c>
      <c r="D233" t="inlineStr">
        <is>
          <t>ĐỘNG_CƠ_VÀ_CẢM_BIẾN</t>
        </is>
      </c>
      <c r="E233" t="inlineStr">
        <is>
          <t>MAT-ACTUATOR-BELIMO-BFN24</t>
        </is>
      </c>
      <c r="F233" t="inlineStr">
        <is>
          <t>Cái</t>
        </is>
      </c>
      <c r="G233" s="406" t="n">
        <v>1</v>
      </c>
      <c r="H233" s="402">
        <f>IFERROR(INDEX('00_TONG_HOP_BAO_GIA'!$G$1:$G$5000, MATCH(B233, '00_TONG_HOP_BAO_GIA'!$B$1:$B$5000, 0)), 1)</f>
        <v/>
      </c>
      <c r="I233" s="407">
        <f>G233*H233</f>
        <v/>
      </c>
      <c r="J233" s="402">
        <f>IFERROR(INDEX('06_BANG_GIA_VAT_TU_AP_DUNG'!$E$1:$E$5000, MATCH(E233, '06_BANG_GIA_VAT_TU_AP_DUNG'!$B$1:$B$5000, 0)), 0)</f>
        <v/>
      </c>
      <c r="K233" s="402">
        <f>I233*J233</f>
        <v/>
      </c>
      <c r="L233" t="inlineStr">
        <is>
          <t>Động cơ lò xo phản hồi MFD (1 bộ)</t>
        </is>
      </c>
    </row>
    <row r="234">
      <c r="A234" t="inlineStr">
        <is>
          <t>SW-DAMPER-055-FB10-BODY</t>
        </is>
      </c>
      <c r="B234" t="inlineStr">
        <is>
          <t>SW-DAMPER-055</t>
        </is>
      </c>
      <c r="C234" t="inlineStr">
        <is>
          <t>Tấm chống cháy dày 10mm bọc thân van FD/MFD (2 lớp)</t>
        </is>
      </c>
      <c r="D234" t="inlineStr">
        <is>
          <t>VẬT_LIỆU_CÁCH_NHIỆT</t>
        </is>
      </c>
      <c r="E234" t="inlineStr">
        <is>
          <t>MAT-FIREBOARD-10MM-BODY</t>
        </is>
      </c>
      <c r="F234" t="inlineStr">
        <is>
          <t>m2</t>
        </is>
      </c>
      <c r="G234" s="406" t="n">
        <v>2.16</v>
      </c>
      <c r="H234" s="402">
        <f>IFERROR(INDEX('00_TONG_HOP_BAO_GIA'!$G$1:$G$5000, MATCH(B234, '00_TONG_HOP_BAO_GIA'!$B$1:$B$5000, 0)), 1)</f>
        <v/>
      </c>
      <c r="I234" s="407">
        <f>G234*H234</f>
        <v/>
      </c>
      <c r="J234" s="402">
        <f>IFERROR(INDEX('06_BANG_GIA_VAT_TU_AP_DUNG'!$E$1:$E$5000, MATCH(E234, '06_BANG_GIA_VAT_TU_AP_DUNG'!$B$1:$B$5000, 0)), 0)</f>
        <v/>
      </c>
      <c r="K234" s="402">
        <f>I234*J234</f>
        <v/>
      </c>
      <c r="L234" t="inlineStr">
        <is>
          <t>Bọc 2 lớp tấm 10mm quanh thân L=300mm</t>
        </is>
      </c>
    </row>
    <row r="235">
      <c r="A235" t="inlineStr">
        <is>
          <t>SW-DAMPER-055-FB20-BLADE</t>
        </is>
      </c>
      <c r="B235" t="inlineStr">
        <is>
          <t>SW-DAMPER-055</t>
        </is>
      </c>
      <c r="C235" t="inlineStr">
        <is>
          <t>Tấm chống cháy dày 20mm làm lõi cánh van FD/MFD</t>
        </is>
      </c>
      <c r="D235" t="inlineStr">
        <is>
          <t>VẬT_LIỆU_CÁCH_NHIỆT</t>
        </is>
      </c>
      <c r="E235" t="inlineStr">
        <is>
          <t>MAT-FIREBOARD-20MM-BLADE</t>
        </is>
      </c>
      <c r="F235" t="inlineStr">
        <is>
          <t>m2</t>
        </is>
      </c>
      <c r="G235" s="406" t="n">
        <v>1.088490604026846</v>
      </c>
      <c r="H235" s="402">
        <f>IFERROR(INDEX('00_TONG_HOP_BAO_GIA'!$G$1:$G$5000, MATCH(B235, '00_TONG_HOP_BAO_GIA'!$B$1:$B$5000, 0)), 1)</f>
        <v/>
      </c>
      <c r="I235" s="407">
        <f>G235*H235</f>
        <v/>
      </c>
      <c r="J235" s="402">
        <f>IFERROR(INDEX('06_BANG_GIA_VAT_TU_AP_DUNG'!$E$1:$E$5000, MATCH(E235, '06_BANG_GIA_VAT_TU_AP_DUNG'!$B$1:$B$5000, 0)), 0)</f>
        <v/>
      </c>
      <c r="K235" s="402">
        <f>I235*J235</f>
        <v/>
      </c>
      <c r="L235" t="inlineStr">
        <is>
          <t>Lõi cánh tấm 20mm (Đa cánh hệ số (H-5)/149=3.99, bản rộng 210mm, hao hụt 10%)</t>
        </is>
      </c>
    </row>
    <row r="236">
      <c r="A236" t="inlineStr">
        <is>
          <t>SW-DAMPER-055-FB10-BLADE</t>
        </is>
      </c>
      <c r="B236" t="inlineStr">
        <is>
          <t>SW-DAMPER-055</t>
        </is>
      </c>
      <c r="C236" t="inlineStr">
        <is>
          <t>Tấm chống cháy dày 10mm ốp 2 mặt cánh van FD/MFD</t>
        </is>
      </c>
      <c r="D236" t="inlineStr">
        <is>
          <t>VẬT_LIỆU_CÁCH_NHIỆT</t>
        </is>
      </c>
      <c r="E236" t="inlineStr">
        <is>
          <t>MAT-FIREBOARD-10MM-BLADE</t>
        </is>
      </c>
      <c r="F236" t="inlineStr">
        <is>
          <t>m2</t>
        </is>
      </c>
      <c r="G236" s="406" t="n">
        <v>2.213879194630873</v>
      </c>
      <c r="H236" s="402">
        <f>IFERROR(INDEX('00_TONG_HOP_BAO_GIA'!$G$1:$G$5000, MATCH(B236, '00_TONG_HOP_BAO_GIA'!$B$1:$B$5000, 0)), 1)</f>
        <v/>
      </c>
      <c r="I236" s="407">
        <f>G236*H236</f>
        <v/>
      </c>
      <c r="J236" s="402">
        <f>IFERROR(INDEX('06_BANG_GIA_VAT_TU_AP_DUNG'!$E$1:$E$5000, MATCH(E236, '06_BANG_GIA_VAT_TU_AP_DUNG'!$B$1:$B$5000, 0)), 0)</f>
        <v/>
      </c>
      <c r="K236" s="402">
        <f>I236*J236</f>
        <v/>
      </c>
      <c r="L236" t="inlineStr">
        <is>
          <t>Ốp 2 mặt cánh tấm 10mm (Đa cánh hệ số (H-5)/149=3.99, bản rộng 210mm, hao hụt 10%)</t>
        </is>
      </c>
    </row>
    <row r="237">
      <c r="A237" t="inlineStr">
        <is>
          <t>SW-DAMPER-055-SPRING-BOX</t>
        </is>
      </c>
      <c r="B237" t="inlineStr">
        <is>
          <t>SW-DAMPER-055</t>
        </is>
      </c>
      <c r="C237" t="inlineStr">
        <is>
          <t>Hộp lò xo van chặn lửa FD/MFD</t>
        </is>
      </c>
      <c r="D237" t="inlineStr">
        <is>
          <t>PHỤ_KIỆN_VAN</t>
        </is>
      </c>
      <c r="E237" t="inlineStr">
        <is>
          <t>MAT-DAMPER-HOP-LO-XO</t>
        </is>
      </c>
      <c r="F237" t="inlineStr">
        <is>
          <t>Bộ</t>
        </is>
      </c>
      <c r="G237" s="406" t="n">
        <v>1</v>
      </c>
      <c r="H237" s="402">
        <f>IFERROR(INDEX('00_TONG_HOP_BAO_GIA'!$G$1:$G$5000, MATCH(B237, '00_TONG_HOP_BAO_GIA'!$B$1:$B$5000, 0)), 1)</f>
        <v/>
      </c>
      <c r="I237" s="407">
        <f>G237*H237</f>
        <v/>
      </c>
      <c r="J237" s="402">
        <f>IFERROR(INDEX('06_BANG_GIA_VAT_TU_AP_DUNG'!$E$1:$E$5000, MATCH(E237, '06_BANG_GIA_VAT_TU_AP_DUNG'!$B$1:$B$5000, 0)), 0)</f>
        <v/>
      </c>
      <c r="K237" s="402">
        <f>I237*J237</f>
        <v/>
      </c>
      <c r="L237" t="inlineStr">
        <is>
          <t>Hộp lò xo cơ cấu đóng sập (1 bộ)</t>
        </is>
      </c>
    </row>
    <row r="238">
      <c r="A238" t="inlineStr">
        <is>
          <t>SW-DAMPER-055-SILICON-BOLT</t>
        </is>
      </c>
      <c r="B238" t="inlineStr">
        <is>
          <t>SW-DAMPER-055</t>
        </is>
      </c>
      <c r="C238" t="inlineStr">
        <is>
          <t>Silicon chống cháy + bu lông, ốc vít van FD/MFD</t>
        </is>
      </c>
      <c r="D238" t="inlineStr">
        <is>
          <t>PHỤ_KIỆN_VAN</t>
        </is>
      </c>
      <c r="E238" t="inlineStr">
        <is>
          <t>MAT-DAMPER-SILICON-BULONG-VIT</t>
        </is>
      </c>
      <c r="F238" t="inlineStr">
        <is>
          <t>Bộ</t>
        </is>
      </c>
      <c r="G238" s="406" t="n">
        <v>1</v>
      </c>
      <c r="H238" s="402">
        <f>IFERROR(INDEX('00_TONG_HOP_BAO_GIA'!$G$1:$G$5000, MATCH(B238, '00_TONG_HOP_BAO_GIA'!$B$1:$B$5000, 0)), 1)</f>
        <v/>
      </c>
      <c r="I238" s="407">
        <f>G238*H238</f>
        <v/>
      </c>
      <c r="J238" s="402">
        <f>IFERROR(INDEX('06_BANG_GIA_VAT_TU_AP_DUNG'!$E$1:$E$5000, MATCH(E238, '06_BANG_GIA_VAT_TU_AP_DUNG'!$B$1:$B$5000, 0)), 0)</f>
        <v/>
      </c>
      <c r="K238" s="402">
        <f>I238*J238</f>
        <v/>
      </c>
      <c r="L238" t="inlineStr">
        <is>
          <t>Keo silicon chống cháy &amp; phụ kiện lắp ghép (1 bộ)</t>
        </is>
      </c>
    </row>
    <row r="239">
      <c r="A239" t="inlineStr">
        <is>
          <t>SW-DAMPER-056-BODY</t>
        </is>
      </c>
      <c r="B239" t="inlineStr">
        <is>
          <t>SW-DAMPER-056</t>
        </is>
      </c>
      <c r="C239" t="inlineStr">
        <is>
          <t>Thân vỏ van MFD bích C30/TDF (1.15mm)</t>
        </is>
      </c>
      <c r="D239" t="inlineStr">
        <is>
          <t>TÔN_CUỘN_MẠ_KẼM</t>
        </is>
      </c>
      <c r="E239" t="inlineStr">
        <is>
          <t>MAT-STEEL-PN-1.15</t>
        </is>
      </c>
      <c r="F239" t="inlineStr">
        <is>
          <t>kg</t>
        </is>
      </c>
      <c r="G239" s="406" t="n">
        <v>2.405738475</v>
      </c>
      <c r="H239" s="402">
        <f>IFERROR(INDEX('00_TONG_HOP_BAO_GIA'!$G$1:$G$5000, MATCH(B239, '00_TONG_HOP_BAO_GIA'!$B$1:$B$5000, 0)), 1)</f>
        <v/>
      </c>
      <c r="I239" s="407">
        <f>G239*H239</f>
        <v/>
      </c>
      <c r="J239" s="402">
        <f>IFERROR(INDEX('06_BANG_GIA_VAT_TU_AP_DUNG'!$E$1:$E$5000, MATCH(E239, '06_BANG_GIA_VAT_TU_AP_DUNG'!$B$1:$B$5000, 0)), 0)</f>
        <v/>
      </c>
      <c r="K239" s="402">
        <f>I239*J239</f>
        <v/>
      </c>
      <c r="L239" t="inlineStr">
        <is>
          <t>Kích thước vỏ 250x200x200mm</t>
        </is>
      </c>
    </row>
    <row r="240">
      <c r="A240" t="inlineStr">
        <is>
          <t>SW-DAMPER-056-BLADE</t>
        </is>
      </c>
      <c r="B240" t="inlineStr">
        <is>
          <t>SW-DAMPER-056</t>
        </is>
      </c>
      <c r="C240" t="inlineStr">
        <is>
          <t>Lá cánh / Tôn tấm bọc van (1 cánh)</t>
        </is>
      </c>
      <c r="D240" t="inlineStr">
        <is>
          <t>TÔN_CUỘN_MẠ_KẼM</t>
        </is>
      </c>
      <c r="E240" t="inlineStr">
        <is>
          <t>MAT-STEEL-PN-1.15</t>
        </is>
      </c>
      <c r="F240" t="inlineStr">
        <is>
          <t>kg</t>
        </is>
      </c>
      <c r="G240" s="406" t="n">
        <v>0.9027499999999998</v>
      </c>
      <c r="H240" s="402">
        <f>IFERROR(INDEX('00_TONG_HOP_BAO_GIA'!$G$1:$G$5000, MATCH(B240, '00_TONG_HOP_BAO_GIA'!$B$1:$B$5000, 0)), 1)</f>
        <v/>
      </c>
      <c r="I240" s="407">
        <f>G240*H240</f>
        <v/>
      </c>
      <c r="J240" s="402">
        <f>IFERROR(INDEX('06_BANG_GIA_VAT_TU_AP_DUNG'!$E$1:$E$5000, MATCH(E240, '06_BANG_GIA_VAT_TU_AP_DUNG'!$B$1:$B$5000, 0)), 0)</f>
        <v/>
      </c>
      <c r="K240" s="402">
        <f>I240*J240</f>
        <v/>
      </c>
      <c r="L240" t="inlineStr">
        <is>
          <t>Tôn bọc cánh &amp; thân (1 cánh/modul)</t>
        </is>
      </c>
    </row>
    <row r="241">
      <c r="A241" t="inlineStr">
        <is>
          <t>SW-DAMPER-056-AXLE</t>
        </is>
      </c>
      <c r="B241" t="inlineStr">
        <is>
          <t>SW-DAMPER-056</t>
        </is>
      </c>
      <c r="C241" t="inlineStr">
        <is>
          <t>Trục Sus 201 D10</t>
        </is>
      </c>
      <c r="D241" t="inlineStr">
        <is>
          <t>PHỤ_KIỆN_VAN</t>
        </is>
      </c>
      <c r="E241" t="inlineStr">
        <is>
          <t>MAT-DAMPER-TRUC-SUS-201-D10</t>
        </is>
      </c>
      <c r="F241" t="inlineStr">
        <is>
          <t>m</t>
        </is>
      </c>
      <c r="G241" s="406" t="n">
        <v>0.31</v>
      </c>
      <c r="H241" s="402">
        <f>IFERROR(INDEX('00_TONG_HOP_BAO_GIA'!$G$1:$G$5000, MATCH(B241, '00_TONG_HOP_BAO_GIA'!$B$1:$B$5000, 0)), 1)</f>
        <v/>
      </c>
      <c r="I241" s="407">
        <f>G241*H241</f>
        <v/>
      </c>
      <c r="J241" s="402">
        <f>IFERROR(INDEX('06_BANG_GIA_VAT_TU_AP_DUNG'!$E$1:$E$5000, MATCH(E241, '06_BANG_GIA_VAT_TU_AP_DUNG'!$B$1:$B$5000, 0)), 0)</f>
        <v/>
      </c>
      <c r="K241" s="402">
        <f>I241*J241</f>
        <v/>
      </c>
      <c r="L241" t="inlineStr">
        <is>
          <t>1 trục dài 310mm</t>
        </is>
      </c>
    </row>
    <row r="242">
      <c r="A242" t="inlineStr">
        <is>
          <t>SW-DAMPER-056-BEARING</t>
        </is>
      </c>
      <c r="B242" t="inlineStr">
        <is>
          <t>SW-DAMPER-056</t>
        </is>
      </c>
      <c r="C242" t="inlineStr">
        <is>
          <t>Bạc đồng D10</t>
        </is>
      </c>
      <c r="D242" t="inlineStr">
        <is>
          <t>PHỤ_KIỆN_VAN</t>
        </is>
      </c>
      <c r="E242" t="inlineStr">
        <is>
          <t>MAT-DAMPER-BAC-DONG-D10</t>
        </is>
      </c>
      <c r="F242" t="inlineStr">
        <is>
          <t>Đôi</t>
        </is>
      </c>
      <c r="G242" s="406" t="n">
        <v>1</v>
      </c>
      <c r="H242" s="402">
        <f>IFERROR(INDEX('00_TONG_HOP_BAO_GIA'!$G$1:$G$5000, MATCH(B242, '00_TONG_HOP_BAO_GIA'!$B$1:$B$5000, 0)), 1)</f>
        <v/>
      </c>
      <c r="I242" s="407">
        <f>G242*H242</f>
        <v/>
      </c>
      <c r="J242" s="402">
        <f>IFERROR(INDEX('06_BANG_GIA_VAT_TU_AP_DUNG'!$E$1:$E$5000, MATCH(E242, '06_BANG_GIA_VAT_TU_AP_DUNG'!$B$1:$B$5000, 0)), 0)</f>
        <v/>
      </c>
      <c r="K242" s="402">
        <f>I242*J242</f>
        <v/>
      </c>
      <c r="L242" t="inlineStr">
        <is>
          <t>1 đôi bạc đỡ 2 bên thân</t>
        </is>
      </c>
    </row>
    <row r="243">
      <c r="A243" t="inlineStr">
        <is>
          <t>SW-DAMPER-056-ACTUATOR</t>
        </is>
      </c>
      <c r="B243" t="inlineStr">
        <is>
          <t>SW-DAMPER-056</t>
        </is>
      </c>
      <c r="C243" t="inlineStr">
        <is>
          <t>Động cơ chặn lửa ON/OFF 3.5Nm, 230V/24V (BELIMO FSLF24 / FSLF230)</t>
        </is>
      </c>
      <c r="D243" t="inlineStr">
        <is>
          <t>ĐỘNG_CƠ_VÀ_CẢM_BIẾN</t>
        </is>
      </c>
      <c r="E243" t="inlineStr">
        <is>
          <t>MAT-ACTUATOR-BELIMO-FSLF24</t>
        </is>
      </c>
      <c r="F243" t="inlineStr">
        <is>
          <t>Cái</t>
        </is>
      </c>
      <c r="G243" s="406" t="n">
        <v>1</v>
      </c>
      <c r="H243" s="402">
        <f>IFERROR(INDEX('00_TONG_HOP_BAO_GIA'!$G$1:$G$5000, MATCH(B243, '00_TONG_HOP_BAO_GIA'!$B$1:$B$5000, 0)), 1)</f>
        <v/>
      </c>
      <c r="I243" s="407">
        <f>G243*H243</f>
        <v/>
      </c>
      <c r="J243" s="402">
        <f>IFERROR(INDEX('06_BANG_GIA_VAT_TU_AP_DUNG'!$E$1:$E$5000, MATCH(E243, '06_BANG_GIA_VAT_TU_AP_DUNG'!$B$1:$B$5000, 0)), 0)</f>
        <v/>
      </c>
      <c r="K243" s="402">
        <f>I243*J243</f>
        <v/>
      </c>
      <c r="L243" t="inlineStr">
        <is>
          <t>Động cơ lò xo phản hồi MFD (1 bộ)</t>
        </is>
      </c>
    </row>
    <row r="244">
      <c r="A244" t="inlineStr">
        <is>
          <t>SW-DAMPER-056-FB10-BODY</t>
        </is>
      </c>
      <c r="B244" t="inlineStr">
        <is>
          <t>SW-DAMPER-056</t>
        </is>
      </c>
      <c r="C244" t="inlineStr">
        <is>
          <t>Tấm chống cháy dày 10mm bọc thân van FD/MFD (2 lớp)</t>
        </is>
      </c>
      <c r="D244" t="inlineStr">
        <is>
          <t>VẬT_LIỆU_CÁCH_NHIỆT</t>
        </is>
      </c>
      <c r="E244" t="inlineStr">
        <is>
          <t>MAT-FIREBOARD-10MM-BODY</t>
        </is>
      </c>
      <c r="F244" t="inlineStr">
        <is>
          <t>m2</t>
        </is>
      </c>
      <c r="G244" s="406" t="n">
        <v>0.54</v>
      </c>
      <c r="H244" s="402">
        <f>IFERROR(INDEX('00_TONG_HOP_BAO_GIA'!$G$1:$G$5000, MATCH(B244, '00_TONG_HOP_BAO_GIA'!$B$1:$B$5000, 0)), 1)</f>
        <v/>
      </c>
      <c r="I244" s="407">
        <f>G244*H244</f>
        <v/>
      </c>
      <c r="J244" s="402">
        <f>IFERROR(INDEX('06_BANG_GIA_VAT_TU_AP_DUNG'!$E$1:$E$5000, MATCH(E244, '06_BANG_GIA_VAT_TU_AP_DUNG'!$B$1:$B$5000, 0)), 0)</f>
        <v/>
      </c>
      <c r="K244" s="402">
        <f>I244*J244</f>
        <v/>
      </c>
      <c r="L244" t="inlineStr">
        <is>
          <t>Bọc 2 lớp tấm 10mm quanh thân L=300mm</t>
        </is>
      </c>
    </row>
    <row r="245">
      <c r="A245" t="inlineStr">
        <is>
          <t>SW-DAMPER-056-FB20-BLADE</t>
        </is>
      </c>
      <c r="B245" t="inlineStr">
        <is>
          <t>SW-DAMPER-056</t>
        </is>
      </c>
      <c r="C245" t="inlineStr">
        <is>
          <t>Tấm chống cháy dày 20mm làm lõi cánh van FD/MFD</t>
        </is>
      </c>
      <c r="D245" t="inlineStr">
        <is>
          <t>VẬT_LIỆU_CÁCH_NHIỆT</t>
        </is>
      </c>
      <c r="E245" t="inlineStr">
        <is>
          <t>MAT-FIREBOARD-20MM-BLADE</t>
        </is>
      </c>
      <c r="F245" t="inlineStr">
        <is>
          <t>m2</t>
        </is>
      </c>
      <c r="G245" s="406" t="n">
        <v>0.05</v>
      </c>
      <c r="H245" s="402">
        <f>IFERROR(INDEX('00_TONG_HOP_BAO_GIA'!$G$1:$G$5000, MATCH(B245, '00_TONG_HOP_BAO_GIA'!$B$1:$B$5000, 0)), 1)</f>
        <v/>
      </c>
      <c r="I245" s="407">
        <f>G245*H245</f>
        <v/>
      </c>
      <c r="J245" s="402">
        <f>IFERROR(INDEX('06_BANG_GIA_VAT_TU_AP_DUNG'!$E$1:$E$5000, MATCH(E245, '06_BANG_GIA_VAT_TU_AP_DUNG'!$B$1:$B$5000, 0)), 0)</f>
        <v/>
      </c>
      <c r="K245" s="402">
        <f>I245*J245</f>
        <v/>
      </c>
      <c r="L245" t="inlineStr">
        <is>
          <t>Lõi cánh tấm 20mm (Cánh đơn 250x200mm)</t>
        </is>
      </c>
    </row>
    <row r="246">
      <c r="A246" t="inlineStr">
        <is>
          <t>SW-DAMPER-056-FB10-BLADE</t>
        </is>
      </c>
      <c r="B246" t="inlineStr">
        <is>
          <t>SW-DAMPER-056</t>
        </is>
      </c>
      <c r="C246" t="inlineStr">
        <is>
          <t>Tấm chống cháy dày 10mm ốp 2 mặt cánh van FD/MFD</t>
        </is>
      </c>
      <c r="D246" t="inlineStr">
        <is>
          <t>VẬT_LIỆU_CÁCH_NHIỆT</t>
        </is>
      </c>
      <c r="E246" t="inlineStr">
        <is>
          <t>MAT-FIREBOARD-10MM-BLADE</t>
        </is>
      </c>
      <c r="F246" t="inlineStr">
        <is>
          <t>m2</t>
        </is>
      </c>
      <c r="G246" s="406" t="n">
        <v>0.1</v>
      </c>
      <c r="H246" s="402">
        <f>IFERROR(INDEX('00_TONG_HOP_BAO_GIA'!$G$1:$G$5000, MATCH(B246, '00_TONG_HOP_BAO_GIA'!$B$1:$B$5000, 0)), 1)</f>
        <v/>
      </c>
      <c r="I246" s="407">
        <f>G246*H246</f>
        <v/>
      </c>
      <c r="J246" s="402">
        <f>IFERROR(INDEX('06_BANG_GIA_VAT_TU_AP_DUNG'!$E$1:$E$5000, MATCH(E246, '06_BANG_GIA_VAT_TU_AP_DUNG'!$B$1:$B$5000, 0)), 0)</f>
        <v/>
      </c>
      <c r="K246" s="402">
        <f>I246*J246</f>
        <v/>
      </c>
      <c r="L246" t="inlineStr">
        <is>
          <t>Ốp 2 mặt cánh tấm 10mm (Cánh đơn 250x200mm)</t>
        </is>
      </c>
    </row>
    <row r="247">
      <c r="A247" t="inlineStr">
        <is>
          <t>SW-DAMPER-056-SPRING-BOX</t>
        </is>
      </c>
      <c r="B247" t="inlineStr">
        <is>
          <t>SW-DAMPER-056</t>
        </is>
      </c>
      <c r="C247" t="inlineStr">
        <is>
          <t>Hộp lò xo van chặn lửa FD/MFD</t>
        </is>
      </c>
      <c r="D247" t="inlineStr">
        <is>
          <t>PHỤ_KIỆN_VAN</t>
        </is>
      </c>
      <c r="E247" t="inlineStr">
        <is>
          <t>MAT-DAMPER-HOP-LO-XO</t>
        </is>
      </c>
      <c r="F247" t="inlineStr">
        <is>
          <t>Bộ</t>
        </is>
      </c>
      <c r="G247" s="406" t="n">
        <v>1</v>
      </c>
      <c r="H247" s="402">
        <f>IFERROR(INDEX('00_TONG_HOP_BAO_GIA'!$G$1:$G$5000, MATCH(B247, '00_TONG_HOP_BAO_GIA'!$B$1:$B$5000, 0)), 1)</f>
        <v/>
      </c>
      <c r="I247" s="407">
        <f>G247*H247</f>
        <v/>
      </c>
      <c r="J247" s="402">
        <f>IFERROR(INDEX('06_BANG_GIA_VAT_TU_AP_DUNG'!$E$1:$E$5000, MATCH(E247, '06_BANG_GIA_VAT_TU_AP_DUNG'!$B$1:$B$5000, 0)), 0)</f>
        <v/>
      </c>
      <c r="K247" s="402">
        <f>I247*J247</f>
        <v/>
      </c>
      <c r="L247" t="inlineStr">
        <is>
          <t>Hộp lò xo cơ cấu đóng sập (1 bộ)</t>
        </is>
      </c>
    </row>
    <row r="248">
      <c r="A248" t="inlineStr">
        <is>
          <t>SW-DAMPER-056-SILICON-BOLT</t>
        </is>
      </c>
      <c r="B248" t="inlineStr">
        <is>
          <t>SW-DAMPER-056</t>
        </is>
      </c>
      <c r="C248" t="inlineStr">
        <is>
          <t>Silicon chống cháy + bu lông, ốc vít van FD/MFD</t>
        </is>
      </c>
      <c r="D248" t="inlineStr">
        <is>
          <t>PHỤ_KIỆN_VAN</t>
        </is>
      </c>
      <c r="E248" t="inlineStr">
        <is>
          <t>MAT-DAMPER-SILICON-BULONG-VIT</t>
        </is>
      </c>
      <c r="F248" t="inlineStr">
        <is>
          <t>Bộ</t>
        </is>
      </c>
      <c r="G248" s="406" t="n">
        <v>1</v>
      </c>
      <c r="H248" s="402">
        <f>IFERROR(INDEX('00_TONG_HOP_BAO_GIA'!$G$1:$G$5000, MATCH(B248, '00_TONG_HOP_BAO_GIA'!$B$1:$B$5000, 0)), 1)</f>
        <v/>
      </c>
      <c r="I248" s="407">
        <f>G248*H248</f>
        <v/>
      </c>
      <c r="J248" s="402">
        <f>IFERROR(INDEX('06_BANG_GIA_VAT_TU_AP_DUNG'!$E$1:$E$5000, MATCH(E248, '06_BANG_GIA_VAT_TU_AP_DUNG'!$B$1:$B$5000, 0)), 0)</f>
        <v/>
      </c>
      <c r="K248" s="402">
        <f>I248*J248</f>
        <v/>
      </c>
      <c r="L248" t="inlineStr">
        <is>
          <t>Keo silicon chống cháy &amp; phụ kiện lắp ghép (1 bộ)</t>
        </is>
      </c>
    </row>
    <row r="249">
      <c r="A249" t="inlineStr">
        <is>
          <t>SW-DAMPER-057-BODY</t>
        </is>
      </c>
      <c r="B249" t="inlineStr">
        <is>
          <t>SW-DAMPER-057</t>
        </is>
      </c>
      <c r="C249" t="inlineStr">
        <is>
          <t>Thân vỏ van MFD bích C30/TDF (1.15mm)</t>
        </is>
      </c>
      <c r="D249" t="inlineStr">
        <is>
          <t>TÔN_CUỘN_MẠ_KẼM</t>
        </is>
      </c>
      <c r="E249" t="inlineStr">
        <is>
          <t>MAT-STEEL-PN-1.15</t>
        </is>
      </c>
      <c r="F249" t="inlineStr">
        <is>
          <t>kg</t>
        </is>
      </c>
      <c r="G249" s="406" t="n">
        <v>6.7565421</v>
      </c>
      <c r="H249" s="402">
        <f>IFERROR(INDEX('00_TONG_HOP_BAO_GIA'!$G$1:$G$5000, MATCH(B249, '00_TONG_HOP_BAO_GIA'!$B$1:$B$5000, 0)), 1)</f>
        <v/>
      </c>
      <c r="I249" s="407">
        <f>G249*H249</f>
        <v/>
      </c>
      <c r="J249" s="402">
        <f>IFERROR(INDEX('06_BANG_GIA_VAT_TU_AP_DUNG'!$E$1:$E$5000, MATCH(E249, '06_BANG_GIA_VAT_TU_AP_DUNG'!$B$1:$B$5000, 0)), 0)</f>
        <v/>
      </c>
      <c r="K249" s="402">
        <f>I249*J249</f>
        <v/>
      </c>
      <c r="L249" t="inlineStr">
        <is>
          <t>Kích thước vỏ 900x400x200mm</t>
        </is>
      </c>
    </row>
    <row r="250">
      <c r="A250" t="inlineStr">
        <is>
          <t>SW-DAMPER-057-BLADE</t>
        </is>
      </c>
      <c r="B250" t="inlineStr">
        <is>
          <t>SW-DAMPER-057</t>
        </is>
      </c>
      <c r="C250" t="inlineStr">
        <is>
          <t>Lá cánh / Tôn tấm bọc van (3 cánh)</t>
        </is>
      </c>
      <c r="D250" t="inlineStr">
        <is>
          <t>TÔN_CUỘN_MẠ_KẼM</t>
        </is>
      </c>
      <c r="E250" t="inlineStr">
        <is>
          <t>MAT-STEEL-PN-1.15</t>
        </is>
      </c>
      <c r="F250" t="inlineStr">
        <is>
          <t>kg</t>
        </is>
      </c>
      <c r="G250" s="406" t="n">
        <v>6.4998</v>
      </c>
      <c r="H250" s="402">
        <f>IFERROR(INDEX('00_TONG_HOP_BAO_GIA'!$G$1:$G$5000, MATCH(B250, '00_TONG_HOP_BAO_GIA'!$B$1:$B$5000, 0)), 1)</f>
        <v/>
      </c>
      <c r="I250" s="407">
        <f>G250*H250</f>
        <v/>
      </c>
      <c r="J250" s="402">
        <f>IFERROR(INDEX('06_BANG_GIA_VAT_TU_AP_DUNG'!$E$1:$E$5000, MATCH(E250, '06_BANG_GIA_VAT_TU_AP_DUNG'!$B$1:$B$5000, 0)), 0)</f>
        <v/>
      </c>
      <c r="K250" s="402">
        <f>I250*J250</f>
        <v/>
      </c>
      <c r="L250" t="inlineStr">
        <is>
          <t>Tôn bọc cánh &amp; thân (3 cánh/modul)</t>
        </is>
      </c>
    </row>
    <row r="251">
      <c r="A251" t="inlineStr">
        <is>
          <t>SW-DAMPER-057-AXLE</t>
        </is>
      </c>
      <c r="B251" t="inlineStr">
        <is>
          <t>SW-DAMPER-057</t>
        </is>
      </c>
      <c r="C251" t="inlineStr">
        <is>
          <t>Trục Sus 201 D10</t>
        </is>
      </c>
      <c r="D251" t="inlineStr">
        <is>
          <t>PHỤ_KIỆN_VAN</t>
        </is>
      </c>
      <c r="E251" t="inlineStr">
        <is>
          <t>MAT-DAMPER-TRUC-SUS-201-D10</t>
        </is>
      </c>
      <c r="F251" t="inlineStr">
        <is>
          <t>m</t>
        </is>
      </c>
      <c r="G251" s="406" t="n">
        <v>2.88</v>
      </c>
      <c r="H251" s="402">
        <f>IFERROR(INDEX('00_TONG_HOP_BAO_GIA'!$G$1:$G$5000, MATCH(B251, '00_TONG_HOP_BAO_GIA'!$B$1:$B$5000, 0)), 1)</f>
        <v/>
      </c>
      <c r="I251" s="407">
        <f>G251*H251</f>
        <v/>
      </c>
      <c r="J251" s="402">
        <f>IFERROR(INDEX('06_BANG_GIA_VAT_TU_AP_DUNG'!$E$1:$E$5000, MATCH(E251, '06_BANG_GIA_VAT_TU_AP_DUNG'!$B$1:$B$5000, 0)), 0)</f>
        <v/>
      </c>
      <c r="K251" s="402">
        <f>I251*J251</f>
        <v/>
      </c>
      <c r="L251" t="inlineStr">
        <is>
          <t>3 trục dài 960mm</t>
        </is>
      </c>
    </row>
    <row r="252">
      <c r="A252" t="inlineStr">
        <is>
          <t>SW-DAMPER-057-BEARING</t>
        </is>
      </c>
      <c r="B252" t="inlineStr">
        <is>
          <t>SW-DAMPER-057</t>
        </is>
      </c>
      <c r="C252" t="inlineStr">
        <is>
          <t>Bạc đồng D10</t>
        </is>
      </c>
      <c r="D252" t="inlineStr">
        <is>
          <t>PHỤ_KIỆN_VAN</t>
        </is>
      </c>
      <c r="E252" t="inlineStr">
        <is>
          <t>MAT-DAMPER-BAC-DONG-D10</t>
        </is>
      </c>
      <c r="F252" t="inlineStr">
        <is>
          <t>Đôi</t>
        </is>
      </c>
      <c r="G252" s="406" t="n">
        <v>3</v>
      </c>
      <c r="H252" s="402">
        <f>IFERROR(INDEX('00_TONG_HOP_BAO_GIA'!$G$1:$G$5000, MATCH(B252, '00_TONG_HOP_BAO_GIA'!$B$1:$B$5000, 0)), 1)</f>
        <v/>
      </c>
      <c r="I252" s="407">
        <f>G252*H252</f>
        <v/>
      </c>
      <c r="J252" s="402">
        <f>IFERROR(INDEX('06_BANG_GIA_VAT_TU_AP_DUNG'!$E$1:$E$5000, MATCH(E252, '06_BANG_GIA_VAT_TU_AP_DUNG'!$B$1:$B$5000, 0)), 0)</f>
        <v/>
      </c>
      <c r="K252" s="402">
        <f>I252*J252</f>
        <v/>
      </c>
      <c r="L252" t="inlineStr">
        <is>
          <t>3 đôi bạc đỡ 2 bên thân</t>
        </is>
      </c>
    </row>
    <row r="253">
      <c r="A253" t="inlineStr">
        <is>
          <t>SW-DAMPER-057-GEAR</t>
        </is>
      </c>
      <c r="B253" t="inlineStr">
        <is>
          <t>SW-DAMPER-057</t>
        </is>
      </c>
      <c r="C253" t="inlineStr">
        <is>
          <t>Bánh răng van nhôm</t>
        </is>
      </c>
      <c r="D253" t="inlineStr">
        <is>
          <t>PHỤ_KIỆN_VAN</t>
        </is>
      </c>
      <c r="E253" t="inlineStr">
        <is>
          <t>MAT-DAMPER-BANH-RANG-VAN-NHOM</t>
        </is>
      </c>
      <c r="F253" t="inlineStr">
        <is>
          <t>Bộ</t>
        </is>
      </c>
      <c r="G253" s="406" t="n">
        <v>1</v>
      </c>
      <c r="H253" s="402">
        <f>IFERROR(INDEX('00_TONG_HOP_BAO_GIA'!$G$1:$G$5000, MATCH(B253, '00_TONG_HOP_BAO_GIA'!$B$1:$B$5000, 0)), 1)</f>
        <v/>
      </c>
      <c r="I253" s="407">
        <f>G253*H253</f>
        <v/>
      </c>
      <c r="J253" s="402">
        <f>IFERROR(INDEX('06_BANG_GIA_VAT_TU_AP_DUNG'!$E$1:$E$5000, MATCH(E253, '06_BANG_GIA_VAT_TU_AP_DUNG'!$B$1:$B$5000, 0)), 0)</f>
        <v/>
      </c>
      <c r="K253" s="402">
        <f>I253*J253</f>
        <v/>
      </c>
      <c r="L253" t="inlineStr">
        <is>
          <t>Cơ cấu liên động cánh (1 bộ)</t>
        </is>
      </c>
    </row>
    <row r="254">
      <c r="A254" t="inlineStr">
        <is>
          <t>SW-DAMPER-057-ACTUATOR</t>
        </is>
      </c>
      <c r="B254" t="inlineStr">
        <is>
          <t>SW-DAMPER-057</t>
        </is>
      </c>
      <c r="C254" t="inlineStr">
        <is>
          <t>Động cơ chặn lửa ON/OFF 9Nm, 230V/24V (BELIMO BFN24 / BFN230)</t>
        </is>
      </c>
      <c r="D254" t="inlineStr">
        <is>
          <t>ĐỘNG_CƠ_VÀ_CẢM_BIẾN</t>
        </is>
      </c>
      <c r="E254" t="inlineStr">
        <is>
          <t>MAT-ACTUATOR-BELIMO-BFN24</t>
        </is>
      </c>
      <c r="F254" t="inlineStr">
        <is>
          <t>Cái</t>
        </is>
      </c>
      <c r="G254" s="406" t="n">
        <v>1</v>
      </c>
      <c r="H254" s="402">
        <f>IFERROR(INDEX('00_TONG_HOP_BAO_GIA'!$G$1:$G$5000, MATCH(B254, '00_TONG_HOP_BAO_GIA'!$B$1:$B$5000, 0)), 1)</f>
        <v/>
      </c>
      <c r="I254" s="407">
        <f>G254*H254</f>
        <v/>
      </c>
      <c r="J254" s="402">
        <f>IFERROR(INDEX('06_BANG_GIA_VAT_TU_AP_DUNG'!$E$1:$E$5000, MATCH(E254, '06_BANG_GIA_VAT_TU_AP_DUNG'!$B$1:$B$5000, 0)), 0)</f>
        <v/>
      </c>
      <c r="K254" s="402">
        <f>I254*J254</f>
        <v/>
      </c>
      <c r="L254" t="inlineStr">
        <is>
          <t>Động cơ lò xo phản hồi MFD (1 bộ)</t>
        </is>
      </c>
    </row>
    <row r="255">
      <c r="A255" t="inlineStr">
        <is>
          <t>SW-DAMPER-057-FB10-BODY</t>
        </is>
      </c>
      <c r="B255" t="inlineStr">
        <is>
          <t>SW-DAMPER-057</t>
        </is>
      </c>
      <c r="C255" t="inlineStr">
        <is>
          <t>Tấm chống cháy dày 10mm bọc thân van FD/MFD (2 lớp)</t>
        </is>
      </c>
      <c r="D255" t="inlineStr">
        <is>
          <t>VẬT_LIỆU_CÁCH_NHIỆT</t>
        </is>
      </c>
      <c r="E255" t="inlineStr">
        <is>
          <t>MAT-FIREBOARD-10MM-BODY</t>
        </is>
      </c>
      <c r="F255" t="inlineStr">
        <is>
          <t>m2</t>
        </is>
      </c>
      <c r="G255" s="406" t="n">
        <v>1.56</v>
      </c>
      <c r="H255" s="402">
        <f>IFERROR(INDEX('00_TONG_HOP_BAO_GIA'!$G$1:$G$5000, MATCH(B255, '00_TONG_HOP_BAO_GIA'!$B$1:$B$5000, 0)), 1)</f>
        <v/>
      </c>
      <c r="I255" s="407">
        <f>G255*H255</f>
        <v/>
      </c>
      <c r="J255" s="402">
        <f>IFERROR(INDEX('06_BANG_GIA_VAT_TU_AP_DUNG'!$E$1:$E$5000, MATCH(E255, '06_BANG_GIA_VAT_TU_AP_DUNG'!$B$1:$B$5000, 0)), 0)</f>
        <v/>
      </c>
      <c r="K255" s="402">
        <f>I255*J255</f>
        <v/>
      </c>
      <c r="L255" t="inlineStr">
        <is>
          <t>Bọc 2 lớp tấm 10mm quanh thân L=300mm</t>
        </is>
      </c>
    </row>
    <row r="256">
      <c r="A256" t="inlineStr">
        <is>
          <t>SW-DAMPER-057-FB20-BLADE</t>
        </is>
      </c>
      <c r="B256" t="inlineStr">
        <is>
          <t>SW-DAMPER-057</t>
        </is>
      </c>
      <c r="C256" t="inlineStr">
        <is>
          <t>Tấm chống cháy dày 20mm làm lõi cánh van FD/MFD</t>
        </is>
      </c>
      <c r="D256" t="inlineStr">
        <is>
          <t>VẬT_LIỆU_CÁCH_NHIỆT</t>
        </is>
      </c>
      <c r="E256" t="inlineStr">
        <is>
          <t>MAT-FIREBOARD-20MM-BLADE</t>
        </is>
      </c>
      <c r="F256" t="inlineStr">
        <is>
          <t>m2</t>
        </is>
      </c>
      <c r="G256" s="406" t="n">
        <v>0.538896644295302</v>
      </c>
      <c r="H256" s="402">
        <f>IFERROR(INDEX('00_TONG_HOP_BAO_GIA'!$G$1:$G$5000, MATCH(B256, '00_TONG_HOP_BAO_GIA'!$B$1:$B$5000, 0)), 1)</f>
        <v/>
      </c>
      <c r="I256" s="407">
        <f>G256*H256</f>
        <v/>
      </c>
      <c r="J256" s="402">
        <f>IFERROR(INDEX('06_BANG_GIA_VAT_TU_AP_DUNG'!$E$1:$E$5000, MATCH(E256, '06_BANG_GIA_VAT_TU_AP_DUNG'!$B$1:$B$5000, 0)), 0)</f>
        <v/>
      </c>
      <c r="K256" s="402">
        <f>I256*J256</f>
        <v/>
      </c>
      <c r="L256" t="inlineStr">
        <is>
          <t>Lõi cánh tấm 20mm (Đa cánh hệ số (H-5)/149=2.65, bản rộng 210mm, hao hụt 10%)</t>
        </is>
      </c>
    </row>
    <row r="257">
      <c r="A257" t="inlineStr">
        <is>
          <t>SW-DAMPER-057-FB10-BLADE</t>
        </is>
      </c>
      <c r="B257" t="inlineStr">
        <is>
          <t>SW-DAMPER-057</t>
        </is>
      </c>
      <c r="C257" t="inlineStr">
        <is>
          <t>Tấm chống cháy dày 10mm ốp 2 mặt cánh van FD/MFD</t>
        </is>
      </c>
      <c r="D257" t="inlineStr">
        <is>
          <t>VẬT_LIỆU_CÁCH_NHIỆT</t>
        </is>
      </c>
      <c r="E257" t="inlineStr">
        <is>
          <t>MAT-FIREBOARD-10MM-BLADE</t>
        </is>
      </c>
      <c r="F257" t="inlineStr">
        <is>
          <t>m2</t>
        </is>
      </c>
      <c r="G257" s="406" t="n">
        <v>1.102288590604027</v>
      </c>
      <c r="H257" s="402">
        <f>IFERROR(INDEX('00_TONG_HOP_BAO_GIA'!$G$1:$G$5000, MATCH(B257, '00_TONG_HOP_BAO_GIA'!$B$1:$B$5000, 0)), 1)</f>
        <v/>
      </c>
      <c r="I257" s="407">
        <f>G257*H257</f>
        <v/>
      </c>
      <c r="J257" s="402">
        <f>IFERROR(INDEX('06_BANG_GIA_VAT_TU_AP_DUNG'!$E$1:$E$5000, MATCH(E257, '06_BANG_GIA_VAT_TU_AP_DUNG'!$B$1:$B$5000, 0)), 0)</f>
        <v/>
      </c>
      <c r="K257" s="402">
        <f>I257*J257</f>
        <v/>
      </c>
      <c r="L257" t="inlineStr">
        <is>
          <t>Ốp 2 mặt cánh tấm 10mm (Đa cánh hệ số (H-5)/149=2.65, bản rộng 210mm, hao hụt 10%)</t>
        </is>
      </c>
    </row>
    <row r="258">
      <c r="A258" t="inlineStr">
        <is>
          <t>SW-DAMPER-057-SPRING-BOX</t>
        </is>
      </c>
      <c r="B258" t="inlineStr">
        <is>
          <t>SW-DAMPER-057</t>
        </is>
      </c>
      <c r="C258" t="inlineStr">
        <is>
          <t>Hộp lò xo van chặn lửa FD/MFD</t>
        </is>
      </c>
      <c r="D258" t="inlineStr">
        <is>
          <t>PHỤ_KIỆN_VAN</t>
        </is>
      </c>
      <c r="E258" t="inlineStr">
        <is>
          <t>MAT-DAMPER-HOP-LO-XO</t>
        </is>
      </c>
      <c r="F258" t="inlineStr">
        <is>
          <t>Bộ</t>
        </is>
      </c>
      <c r="G258" s="406" t="n">
        <v>1</v>
      </c>
      <c r="H258" s="402">
        <f>IFERROR(INDEX('00_TONG_HOP_BAO_GIA'!$G$1:$G$5000, MATCH(B258, '00_TONG_HOP_BAO_GIA'!$B$1:$B$5000, 0)), 1)</f>
        <v/>
      </c>
      <c r="I258" s="407">
        <f>G258*H258</f>
        <v/>
      </c>
      <c r="J258" s="402">
        <f>IFERROR(INDEX('06_BANG_GIA_VAT_TU_AP_DUNG'!$E$1:$E$5000, MATCH(E258, '06_BANG_GIA_VAT_TU_AP_DUNG'!$B$1:$B$5000, 0)), 0)</f>
        <v/>
      </c>
      <c r="K258" s="402">
        <f>I258*J258</f>
        <v/>
      </c>
      <c r="L258" t="inlineStr">
        <is>
          <t>Hộp lò xo cơ cấu đóng sập (1 bộ)</t>
        </is>
      </c>
    </row>
    <row r="259">
      <c r="A259" t="inlineStr">
        <is>
          <t>SW-DAMPER-057-SILICON-BOLT</t>
        </is>
      </c>
      <c r="B259" t="inlineStr">
        <is>
          <t>SW-DAMPER-057</t>
        </is>
      </c>
      <c r="C259" t="inlineStr">
        <is>
          <t>Silicon chống cháy + bu lông, ốc vít van FD/MFD</t>
        </is>
      </c>
      <c r="D259" t="inlineStr">
        <is>
          <t>PHỤ_KIỆN_VAN</t>
        </is>
      </c>
      <c r="E259" t="inlineStr">
        <is>
          <t>MAT-DAMPER-SILICON-BULONG-VIT</t>
        </is>
      </c>
      <c r="F259" t="inlineStr">
        <is>
          <t>Bộ</t>
        </is>
      </c>
      <c r="G259" s="406" t="n">
        <v>1</v>
      </c>
      <c r="H259" s="402">
        <f>IFERROR(INDEX('00_TONG_HOP_BAO_GIA'!$G$1:$G$5000, MATCH(B259, '00_TONG_HOP_BAO_GIA'!$B$1:$B$5000, 0)), 1)</f>
        <v/>
      </c>
      <c r="I259" s="407">
        <f>G259*H259</f>
        <v/>
      </c>
      <c r="J259" s="402">
        <f>IFERROR(INDEX('06_BANG_GIA_VAT_TU_AP_DUNG'!$E$1:$E$5000, MATCH(E259, '06_BANG_GIA_VAT_TU_AP_DUNG'!$B$1:$B$5000, 0)), 0)</f>
        <v/>
      </c>
      <c r="K259" s="402">
        <f>I259*J259</f>
        <v/>
      </c>
      <c r="L259" t="inlineStr">
        <is>
          <t>Keo silicon chống cháy &amp; phụ kiện lắp ghép (1 bộ)</t>
        </is>
      </c>
    </row>
    <row r="260">
      <c r="A260" t="inlineStr">
        <is>
          <t>SW-DAMPER-058-BODY</t>
        </is>
      </c>
      <c r="B260" t="inlineStr">
        <is>
          <t>SW-DAMPER-058</t>
        </is>
      </c>
      <c r="C260" t="inlineStr">
        <is>
          <t>Thân vỏ van MFD bích C30/TDF (1.15mm)</t>
        </is>
      </c>
      <c r="D260" t="inlineStr">
        <is>
          <t>TÔN_CUỘN_MẠ_KẼM</t>
        </is>
      </c>
      <c r="E260" t="inlineStr">
        <is>
          <t>MAT-STEEL-PN-1.15</t>
        </is>
      </c>
      <c r="F260" t="inlineStr">
        <is>
          <t>kg</t>
        </is>
      </c>
      <c r="G260" s="406" t="n">
        <v>6.7565421</v>
      </c>
      <c r="H260" s="402">
        <f>IFERROR(INDEX('00_TONG_HOP_BAO_GIA'!$G$1:$G$5000, MATCH(B260, '00_TONG_HOP_BAO_GIA'!$B$1:$B$5000, 0)), 1)</f>
        <v/>
      </c>
      <c r="I260" s="407">
        <f>G260*H260</f>
        <v/>
      </c>
      <c r="J260" s="402">
        <f>IFERROR(INDEX('06_BANG_GIA_VAT_TU_AP_DUNG'!$E$1:$E$5000, MATCH(E260, '06_BANG_GIA_VAT_TU_AP_DUNG'!$B$1:$B$5000, 0)), 0)</f>
        <v/>
      </c>
      <c r="K260" s="402">
        <f>I260*J260</f>
        <v/>
      </c>
      <c r="L260" t="inlineStr">
        <is>
          <t>Kích thước vỏ 900x400x200mm</t>
        </is>
      </c>
    </row>
    <row r="261">
      <c r="A261" t="inlineStr">
        <is>
          <t>SW-DAMPER-058-BLADE</t>
        </is>
      </c>
      <c r="B261" t="inlineStr">
        <is>
          <t>SW-DAMPER-058</t>
        </is>
      </c>
      <c r="C261" t="inlineStr">
        <is>
          <t>Lá cánh / Tôn tấm bọc van (3 cánh)</t>
        </is>
      </c>
      <c r="D261" t="inlineStr">
        <is>
          <t>TÔN_CUỘN_MẠ_KẼM</t>
        </is>
      </c>
      <c r="E261" t="inlineStr">
        <is>
          <t>MAT-STEEL-PN-1.15</t>
        </is>
      </c>
      <c r="F261" t="inlineStr">
        <is>
          <t>kg</t>
        </is>
      </c>
      <c r="G261" s="406" t="n">
        <v>6.4998</v>
      </c>
      <c r="H261" s="402">
        <f>IFERROR(INDEX('00_TONG_HOP_BAO_GIA'!$G$1:$G$5000, MATCH(B261, '00_TONG_HOP_BAO_GIA'!$B$1:$B$5000, 0)), 1)</f>
        <v/>
      </c>
      <c r="I261" s="407">
        <f>G261*H261</f>
        <v/>
      </c>
      <c r="J261" s="402">
        <f>IFERROR(INDEX('06_BANG_GIA_VAT_TU_AP_DUNG'!$E$1:$E$5000, MATCH(E261, '06_BANG_GIA_VAT_TU_AP_DUNG'!$B$1:$B$5000, 0)), 0)</f>
        <v/>
      </c>
      <c r="K261" s="402">
        <f>I261*J261</f>
        <v/>
      </c>
      <c r="L261" t="inlineStr">
        <is>
          <t>Tôn bọc cánh &amp; thân (3 cánh/modul)</t>
        </is>
      </c>
    </row>
    <row r="262">
      <c r="A262" t="inlineStr">
        <is>
          <t>SW-DAMPER-058-AXLE</t>
        </is>
      </c>
      <c r="B262" t="inlineStr">
        <is>
          <t>SW-DAMPER-058</t>
        </is>
      </c>
      <c r="C262" t="inlineStr">
        <is>
          <t>Trục Sus 201 D10</t>
        </is>
      </c>
      <c r="D262" t="inlineStr">
        <is>
          <t>PHỤ_KIỆN_VAN</t>
        </is>
      </c>
      <c r="E262" t="inlineStr">
        <is>
          <t>MAT-DAMPER-TRUC-SUS-201-D10</t>
        </is>
      </c>
      <c r="F262" t="inlineStr">
        <is>
          <t>m</t>
        </is>
      </c>
      <c r="G262" s="406" t="n">
        <v>2.88</v>
      </c>
      <c r="H262" s="402">
        <f>IFERROR(INDEX('00_TONG_HOP_BAO_GIA'!$G$1:$G$5000, MATCH(B262, '00_TONG_HOP_BAO_GIA'!$B$1:$B$5000, 0)), 1)</f>
        <v/>
      </c>
      <c r="I262" s="407">
        <f>G262*H262</f>
        <v/>
      </c>
      <c r="J262" s="402">
        <f>IFERROR(INDEX('06_BANG_GIA_VAT_TU_AP_DUNG'!$E$1:$E$5000, MATCH(E262, '06_BANG_GIA_VAT_TU_AP_DUNG'!$B$1:$B$5000, 0)), 0)</f>
        <v/>
      </c>
      <c r="K262" s="402">
        <f>I262*J262</f>
        <v/>
      </c>
      <c r="L262" t="inlineStr">
        <is>
          <t>3 trục dài 960mm</t>
        </is>
      </c>
    </row>
    <row r="263">
      <c r="A263" t="inlineStr">
        <is>
          <t>SW-DAMPER-058-BEARING</t>
        </is>
      </c>
      <c r="B263" t="inlineStr">
        <is>
          <t>SW-DAMPER-058</t>
        </is>
      </c>
      <c r="C263" t="inlineStr">
        <is>
          <t>Bạc đồng D10</t>
        </is>
      </c>
      <c r="D263" t="inlineStr">
        <is>
          <t>PHỤ_KIỆN_VAN</t>
        </is>
      </c>
      <c r="E263" t="inlineStr">
        <is>
          <t>MAT-DAMPER-BAC-DONG-D10</t>
        </is>
      </c>
      <c r="F263" t="inlineStr">
        <is>
          <t>Đôi</t>
        </is>
      </c>
      <c r="G263" s="406" t="n">
        <v>3</v>
      </c>
      <c r="H263" s="402">
        <f>IFERROR(INDEX('00_TONG_HOP_BAO_GIA'!$G$1:$G$5000, MATCH(B263, '00_TONG_HOP_BAO_GIA'!$B$1:$B$5000, 0)), 1)</f>
        <v/>
      </c>
      <c r="I263" s="407">
        <f>G263*H263</f>
        <v/>
      </c>
      <c r="J263" s="402">
        <f>IFERROR(INDEX('06_BANG_GIA_VAT_TU_AP_DUNG'!$E$1:$E$5000, MATCH(E263, '06_BANG_GIA_VAT_TU_AP_DUNG'!$B$1:$B$5000, 0)), 0)</f>
        <v/>
      </c>
      <c r="K263" s="402">
        <f>I263*J263</f>
        <v/>
      </c>
      <c r="L263" t="inlineStr">
        <is>
          <t>3 đôi bạc đỡ 2 bên thân</t>
        </is>
      </c>
    </row>
    <row r="264">
      <c r="A264" t="inlineStr">
        <is>
          <t>SW-DAMPER-058-GEAR</t>
        </is>
      </c>
      <c r="B264" t="inlineStr">
        <is>
          <t>SW-DAMPER-058</t>
        </is>
      </c>
      <c r="C264" t="inlineStr">
        <is>
          <t>Bánh răng van nhôm</t>
        </is>
      </c>
      <c r="D264" t="inlineStr">
        <is>
          <t>PHỤ_KIỆN_VAN</t>
        </is>
      </c>
      <c r="E264" t="inlineStr">
        <is>
          <t>MAT-DAMPER-BANH-RANG-VAN-NHOM</t>
        </is>
      </c>
      <c r="F264" t="inlineStr">
        <is>
          <t>Bộ</t>
        </is>
      </c>
      <c r="G264" s="406" t="n">
        <v>1</v>
      </c>
      <c r="H264" s="402">
        <f>IFERROR(INDEX('00_TONG_HOP_BAO_GIA'!$G$1:$G$5000, MATCH(B264, '00_TONG_HOP_BAO_GIA'!$B$1:$B$5000, 0)), 1)</f>
        <v/>
      </c>
      <c r="I264" s="407">
        <f>G264*H264</f>
        <v/>
      </c>
      <c r="J264" s="402">
        <f>IFERROR(INDEX('06_BANG_GIA_VAT_TU_AP_DUNG'!$E$1:$E$5000, MATCH(E264, '06_BANG_GIA_VAT_TU_AP_DUNG'!$B$1:$B$5000, 0)), 0)</f>
        <v/>
      </c>
      <c r="K264" s="402">
        <f>I264*J264</f>
        <v/>
      </c>
      <c r="L264" t="inlineStr">
        <is>
          <t>Cơ cấu liên động cánh (1 bộ)</t>
        </is>
      </c>
    </row>
    <row r="265">
      <c r="A265" t="inlineStr">
        <is>
          <t>SW-DAMPER-058-ACTUATOR</t>
        </is>
      </c>
      <c r="B265" t="inlineStr">
        <is>
          <t>SW-DAMPER-058</t>
        </is>
      </c>
      <c r="C265" t="inlineStr">
        <is>
          <t>Động cơ chặn lửa ON/OFF 9Nm, 230V/24V (BELIMO BFN24 / BFN230)</t>
        </is>
      </c>
      <c r="D265" t="inlineStr">
        <is>
          <t>ĐỘNG_CƠ_VÀ_CẢM_BIẾN</t>
        </is>
      </c>
      <c r="E265" t="inlineStr">
        <is>
          <t>MAT-ACTUATOR-BELIMO-BFN24</t>
        </is>
      </c>
      <c r="F265" t="inlineStr">
        <is>
          <t>Cái</t>
        </is>
      </c>
      <c r="G265" s="406" t="n">
        <v>1</v>
      </c>
      <c r="H265" s="402">
        <f>IFERROR(INDEX('00_TONG_HOP_BAO_GIA'!$G$1:$G$5000, MATCH(B265, '00_TONG_HOP_BAO_GIA'!$B$1:$B$5000, 0)), 1)</f>
        <v/>
      </c>
      <c r="I265" s="407">
        <f>G265*H265</f>
        <v/>
      </c>
      <c r="J265" s="402">
        <f>IFERROR(INDEX('06_BANG_GIA_VAT_TU_AP_DUNG'!$E$1:$E$5000, MATCH(E265, '06_BANG_GIA_VAT_TU_AP_DUNG'!$B$1:$B$5000, 0)), 0)</f>
        <v/>
      </c>
      <c r="K265" s="402">
        <f>I265*J265</f>
        <v/>
      </c>
      <c r="L265" t="inlineStr">
        <is>
          <t>Động cơ lò xo phản hồi MFD (1 bộ)</t>
        </is>
      </c>
    </row>
    <row r="266">
      <c r="A266" t="inlineStr">
        <is>
          <t>SW-DAMPER-058-FB10-BODY</t>
        </is>
      </c>
      <c r="B266" t="inlineStr">
        <is>
          <t>SW-DAMPER-058</t>
        </is>
      </c>
      <c r="C266" t="inlineStr">
        <is>
          <t>Tấm chống cháy dày 10mm bọc thân van FD/MFD (2 lớp)</t>
        </is>
      </c>
      <c r="D266" t="inlineStr">
        <is>
          <t>VẬT_LIỆU_CÁCH_NHIỆT</t>
        </is>
      </c>
      <c r="E266" t="inlineStr">
        <is>
          <t>MAT-FIREBOARD-10MM-BODY</t>
        </is>
      </c>
      <c r="F266" t="inlineStr">
        <is>
          <t>m2</t>
        </is>
      </c>
      <c r="G266" s="406" t="n">
        <v>1.56</v>
      </c>
      <c r="H266" s="402">
        <f>IFERROR(INDEX('00_TONG_HOP_BAO_GIA'!$G$1:$G$5000, MATCH(B266, '00_TONG_HOP_BAO_GIA'!$B$1:$B$5000, 0)), 1)</f>
        <v/>
      </c>
      <c r="I266" s="407">
        <f>G266*H266</f>
        <v/>
      </c>
      <c r="J266" s="402">
        <f>IFERROR(INDEX('06_BANG_GIA_VAT_TU_AP_DUNG'!$E$1:$E$5000, MATCH(E266, '06_BANG_GIA_VAT_TU_AP_DUNG'!$B$1:$B$5000, 0)), 0)</f>
        <v/>
      </c>
      <c r="K266" s="402">
        <f>I266*J266</f>
        <v/>
      </c>
      <c r="L266" t="inlineStr">
        <is>
          <t>Bọc 2 lớp tấm 10mm quanh thân L=300mm</t>
        </is>
      </c>
    </row>
    <row r="267">
      <c r="A267" t="inlineStr">
        <is>
          <t>SW-DAMPER-058-FB20-BLADE</t>
        </is>
      </c>
      <c r="B267" t="inlineStr">
        <is>
          <t>SW-DAMPER-058</t>
        </is>
      </c>
      <c r="C267" t="inlineStr">
        <is>
          <t>Tấm chống cháy dày 20mm làm lõi cánh van FD/MFD</t>
        </is>
      </c>
      <c r="D267" t="inlineStr">
        <is>
          <t>VẬT_LIỆU_CÁCH_NHIỆT</t>
        </is>
      </c>
      <c r="E267" t="inlineStr">
        <is>
          <t>MAT-FIREBOARD-20MM-BLADE</t>
        </is>
      </c>
      <c r="F267" t="inlineStr">
        <is>
          <t>m2</t>
        </is>
      </c>
      <c r="G267" s="406" t="n">
        <v>0.538896644295302</v>
      </c>
      <c r="H267" s="402">
        <f>IFERROR(INDEX('00_TONG_HOP_BAO_GIA'!$G$1:$G$5000, MATCH(B267, '00_TONG_HOP_BAO_GIA'!$B$1:$B$5000, 0)), 1)</f>
        <v/>
      </c>
      <c r="I267" s="407">
        <f>G267*H267</f>
        <v/>
      </c>
      <c r="J267" s="402">
        <f>IFERROR(INDEX('06_BANG_GIA_VAT_TU_AP_DUNG'!$E$1:$E$5000, MATCH(E267, '06_BANG_GIA_VAT_TU_AP_DUNG'!$B$1:$B$5000, 0)), 0)</f>
        <v/>
      </c>
      <c r="K267" s="402">
        <f>I267*J267</f>
        <v/>
      </c>
      <c r="L267" t="inlineStr">
        <is>
          <t>Lõi cánh tấm 20mm (Đa cánh hệ số (H-5)/149=2.65, bản rộng 210mm, hao hụt 10%)</t>
        </is>
      </c>
    </row>
    <row r="268">
      <c r="A268" t="inlineStr">
        <is>
          <t>SW-DAMPER-058-FB10-BLADE</t>
        </is>
      </c>
      <c r="B268" t="inlineStr">
        <is>
          <t>SW-DAMPER-058</t>
        </is>
      </c>
      <c r="C268" t="inlineStr">
        <is>
          <t>Tấm chống cháy dày 10mm ốp 2 mặt cánh van FD/MFD</t>
        </is>
      </c>
      <c r="D268" t="inlineStr">
        <is>
          <t>VẬT_LIỆU_CÁCH_NHIỆT</t>
        </is>
      </c>
      <c r="E268" t="inlineStr">
        <is>
          <t>MAT-FIREBOARD-10MM-BLADE</t>
        </is>
      </c>
      <c r="F268" t="inlineStr">
        <is>
          <t>m2</t>
        </is>
      </c>
      <c r="G268" s="406" t="n">
        <v>1.102288590604027</v>
      </c>
      <c r="H268" s="402">
        <f>IFERROR(INDEX('00_TONG_HOP_BAO_GIA'!$G$1:$G$5000, MATCH(B268, '00_TONG_HOP_BAO_GIA'!$B$1:$B$5000, 0)), 1)</f>
        <v/>
      </c>
      <c r="I268" s="407">
        <f>G268*H268</f>
        <v/>
      </c>
      <c r="J268" s="402">
        <f>IFERROR(INDEX('06_BANG_GIA_VAT_TU_AP_DUNG'!$E$1:$E$5000, MATCH(E268, '06_BANG_GIA_VAT_TU_AP_DUNG'!$B$1:$B$5000, 0)), 0)</f>
        <v/>
      </c>
      <c r="K268" s="402">
        <f>I268*J268</f>
        <v/>
      </c>
      <c r="L268" t="inlineStr">
        <is>
          <t>Ốp 2 mặt cánh tấm 10mm (Đa cánh hệ số (H-5)/149=2.65, bản rộng 210mm, hao hụt 10%)</t>
        </is>
      </c>
    </row>
    <row r="269">
      <c r="A269" t="inlineStr">
        <is>
          <t>SW-DAMPER-058-SPRING-BOX</t>
        </is>
      </c>
      <c r="B269" t="inlineStr">
        <is>
          <t>SW-DAMPER-058</t>
        </is>
      </c>
      <c r="C269" t="inlineStr">
        <is>
          <t>Hộp lò xo van chặn lửa FD/MFD</t>
        </is>
      </c>
      <c r="D269" t="inlineStr">
        <is>
          <t>PHỤ_KIỆN_VAN</t>
        </is>
      </c>
      <c r="E269" t="inlineStr">
        <is>
          <t>MAT-DAMPER-HOP-LO-XO</t>
        </is>
      </c>
      <c r="F269" t="inlineStr">
        <is>
          <t>Bộ</t>
        </is>
      </c>
      <c r="G269" s="406" t="n">
        <v>1</v>
      </c>
      <c r="H269" s="402">
        <f>IFERROR(INDEX('00_TONG_HOP_BAO_GIA'!$G$1:$G$5000, MATCH(B269, '00_TONG_HOP_BAO_GIA'!$B$1:$B$5000, 0)), 1)</f>
        <v/>
      </c>
      <c r="I269" s="407">
        <f>G269*H269</f>
        <v/>
      </c>
      <c r="J269" s="402">
        <f>IFERROR(INDEX('06_BANG_GIA_VAT_TU_AP_DUNG'!$E$1:$E$5000, MATCH(E269, '06_BANG_GIA_VAT_TU_AP_DUNG'!$B$1:$B$5000, 0)), 0)</f>
        <v/>
      </c>
      <c r="K269" s="402">
        <f>I269*J269</f>
        <v/>
      </c>
      <c r="L269" t="inlineStr">
        <is>
          <t>Hộp lò xo cơ cấu đóng sập (1 bộ)</t>
        </is>
      </c>
    </row>
    <row r="270">
      <c r="A270" t="inlineStr">
        <is>
          <t>SW-DAMPER-058-SILICON-BOLT</t>
        </is>
      </c>
      <c r="B270" t="inlineStr">
        <is>
          <t>SW-DAMPER-058</t>
        </is>
      </c>
      <c r="C270" t="inlineStr">
        <is>
          <t>Silicon chống cháy + bu lông, ốc vít van FD/MFD</t>
        </is>
      </c>
      <c r="D270" t="inlineStr">
        <is>
          <t>PHỤ_KIỆN_VAN</t>
        </is>
      </c>
      <c r="E270" t="inlineStr">
        <is>
          <t>MAT-DAMPER-SILICON-BULONG-VIT</t>
        </is>
      </c>
      <c r="F270" t="inlineStr">
        <is>
          <t>Bộ</t>
        </is>
      </c>
      <c r="G270" s="406" t="n">
        <v>1</v>
      </c>
      <c r="H270" s="402">
        <f>IFERROR(INDEX('00_TONG_HOP_BAO_GIA'!$G$1:$G$5000, MATCH(B270, '00_TONG_HOP_BAO_GIA'!$B$1:$B$5000, 0)), 1)</f>
        <v/>
      </c>
      <c r="I270" s="407">
        <f>G270*H270</f>
        <v/>
      </c>
      <c r="J270" s="402">
        <f>IFERROR(INDEX('06_BANG_GIA_VAT_TU_AP_DUNG'!$E$1:$E$5000, MATCH(E270, '06_BANG_GIA_VAT_TU_AP_DUNG'!$B$1:$B$5000, 0)), 0)</f>
        <v/>
      </c>
      <c r="K270" s="402">
        <f>I270*J270</f>
        <v/>
      </c>
      <c r="L270" t="inlineStr">
        <is>
          <t>Keo silicon chống cháy &amp; phụ kiện lắp ghép (1 bộ)</t>
        </is>
      </c>
    </row>
    <row r="271">
      <c r="A271" t="inlineStr">
        <is>
          <t>SW-DAMPER-059-BODY</t>
        </is>
      </c>
      <c r="B271" t="inlineStr">
        <is>
          <t>SW-DAMPER-059</t>
        </is>
      </c>
      <c r="C271" t="inlineStr">
        <is>
          <t>Thân vỏ van MFD bích C30/TDF (1.15mm)</t>
        </is>
      </c>
      <c r="D271" t="inlineStr">
        <is>
          <t>TÔN_CUỘN_MẠ_KẼM</t>
        </is>
      </c>
      <c r="E271" t="inlineStr">
        <is>
          <t>MAT-STEEL-PN-1.15</t>
        </is>
      </c>
      <c r="F271" t="inlineStr">
        <is>
          <t>kg</t>
        </is>
      </c>
      <c r="G271" s="406" t="n">
        <v>3.17352735</v>
      </c>
      <c r="H271" s="402">
        <f>IFERROR(INDEX('00_TONG_HOP_BAO_GIA'!$G$1:$G$5000, MATCH(B271, '00_TONG_HOP_BAO_GIA'!$B$1:$B$5000, 0)), 1)</f>
        <v/>
      </c>
      <c r="I271" s="407">
        <f>G271*H271</f>
        <v/>
      </c>
      <c r="J271" s="402">
        <f>IFERROR(INDEX('06_BANG_GIA_VAT_TU_AP_DUNG'!$E$1:$E$5000, MATCH(E271, '06_BANG_GIA_VAT_TU_AP_DUNG'!$B$1:$B$5000, 0)), 0)</f>
        <v/>
      </c>
      <c r="K271" s="402">
        <f>I271*J271</f>
        <v/>
      </c>
      <c r="L271" t="inlineStr">
        <is>
          <t>Kích thước vỏ 300x300x200mm</t>
        </is>
      </c>
    </row>
    <row r="272">
      <c r="A272" t="inlineStr">
        <is>
          <t>SW-DAMPER-059-BLADE</t>
        </is>
      </c>
      <c r="B272" t="inlineStr">
        <is>
          <t>SW-DAMPER-059</t>
        </is>
      </c>
      <c r="C272" t="inlineStr">
        <is>
          <t>Lá cánh / Tôn tấm bọc van (2 cánh)</t>
        </is>
      </c>
      <c r="D272" t="inlineStr">
        <is>
          <t>TÔN_CUỘN_MẠ_KẼM</t>
        </is>
      </c>
      <c r="E272" t="inlineStr">
        <is>
          <t>MAT-STEEL-PN-1.15</t>
        </is>
      </c>
      <c r="F272" t="inlineStr">
        <is>
          <t>kg</t>
        </is>
      </c>
      <c r="G272" s="406" t="n">
        <v>1.62495</v>
      </c>
      <c r="H272" s="402">
        <f>IFERROR(INDEX('00_TONG_HOP_BAO_GIA'!$G$1:$G$5000, MATCH(B272, '00_TONG_HOP_BAO_GIA'!$B$1:$B$5000, 0)), 1)</f>
        <v/>
      </c>
      <c r="I272" s="407">
        <f>G272*H272</f>
        <v/>
      </c>
      <c r="J272" s="402">
        <f>IFERROR(INDEX('06_BANG_GIA_VAT_TU_AP_DUNG'!$E$1:$E$5000, MATCH(E272, '06_BANG_GIA_VAT_TU_AP_DUNG'!$B$1:$B$5000, 0)), 0)</f>
        <v/>
      </c>
      <c r="K272" s="402">
        <f>I272*J272</f>
        <v/>
      </c>
      <c r="L272" t="inlineStr">
        <is>
          <t>Tôn bọc cánh &amp; thân (2 cánh/modul)</t>
        </is>
      </c>
    </row>
    <row r="273">
      <c r="A273" t="inlineStr">
        <is>
          <t>SW-DAMPER-059-AXLE</t>
        </is>
      </c>
      <c r="B273" t="inlineStr">
        <is>
          <t>SW-DAMPER-059</t>
        </is>
      </c>
      <c r="C273" t="inlineStr">
        <is>
          <t>Trục Sus 201 D10</t>
        </is>
      </c>
      <c r="D273" t="inlineStr">
        <is>
          <t>PHỤ_KIỆN_VAN</t>
        </is>
      </c>
      <c r="E273" t="inlineStr">
        <is>
          <t>MAT-DAMPER-TRUC-SUS-201-D10</t>
        </is>
      </c>
      <c r="F273" t="inlineStr">
        <is>
          <t>m</t>
        </is>
      </c>
      <c r="G273" s="406" t="n">
        <v>0.72</v>
      </c>
      <c r="H273" s="402">
        <f>IFERROR(INDEX('00_TONG_HOP_BAO_GIA'!$G$1:$G$5000, MATCH(B273, '00_TONG_HOP_BAO_GIA'!$B$1:$B$5000, 0)), 1)</f>
        <v/>
      </c>
      <c r="I273" s="407">
        <f>G273*H273</f>
        <v/>
      </c>
      <c r="J273" s="402">
        <f>IFERROR(INDEX('06_BANG_GIA_VAT_TU_AP_DUNG'!$E$1:$E$5000, MATCH(E273, '06_BANG_GIA_VAT_TU_AP_DUNG'!$B$1:$B$5000, 0)), 0)</f>
        <v/>
      </c>
      <c r="K273" s="402">
        <f>I273*J273</f>
        <v/>
      </c>
      <c r="L273" t="inlineStr">
        <is>
          <t>2 trục dài 360mm</t>
        </is>
      </c>
    </row>
    <row r="274">
      <c r="A274" t="inlineStr">
        <is>
          <t>SW-DAMPER-059-BEARING</t>
        </is>
      </c>
      <c r="B274" t="inlineStr">
        <is>
          <t>SW-DAMPER-059</t>
        </is>
      </c>
      <c r="C274" t="inlineStr">
        <is>
          <t>Bạc đồng D10</t>
        </is>
      </c>
      <c r="D274" t="inlineStr">
        <is>
          <t>PHỤ_KIỆN_VAN</t>
        </is>
      </c>
      <c r="E274" t="inlineStr">
        <is>
          <t>MAT-DAMPER-BAC-DONG-D10</t>
        </is>
      </c>
      <c r="F274" t="inlineStr">
        <is>
          <t>Đôi</t>
        </is>
      </c>
      <c r="G274" s="406" t="n">
        <v>2</v>
      </c>
      <c r="H274" s="402">
        <f>IFERROR(INDEX('00_TONG_HOP_BAO_GIA'!$G$1:$G$5000, MATCH(B274, '00_TONG_HOP_BAO_GIA'!$B$1:$B$5000, 0)), 1)</f>
        <v/>
      </c>
      <c r="I274" s="407">
        <f>G274*H274</f>
        <v/>
      </c>
      <c r="J274" s="402">
        <f>IFERROR(INDEX('06_BANG_GIA_VAT_TU_AP_DUNG'!$E$1:$E$5000, MATCH(E274, '06_BANG_GIA_VAT_TU_AP_DUNG'!$B$1:$B$5000, 0)), 0)</f>
        <v/>
      </c>
      <c r="K274" s="402">
        <f>I274*J274</f>
        <v/>
      </c>
      <c r="L274" t="inlineStr">
        <is>
          <t>2 đôi bạc đỡ 2 bên thân</t>
        </is>
      </c>
    </row>
    <row r="275">
      <c r="A275" t="inlineStr">
        <is>
          <t>SW-DAMPER-059-GEAR</t>
        </is>
      </c>
      <c r="B275" t="inlineStr">
        <is>
          <t>SW-DAMPER-059</t>
        </is>
      </c>
      <c r="C275" t="inlineStr">
        <is>
          <t>Bánh răng van nhôm</t>
        </is>
      </c>
      <c r="D275" t="inlineStr">
        <is>
          <t>PHỤ_KIỆN_VAN</t>
        </is>
      </c>
      <c r="E275" t="inlineStr">
        <is>
          <t>MAT-DAMPER-BANH-RANG-VAN-NHOM</t>
        </is>
      </c>
      <c r="F275" t="inlineStr">
        <is>
          <t>Bộ</t>
        </is>
      </c>
      <c r="G275" s="406" t="n">
        <v>1</v>
      </c>
      <c r="H275" s="402">
        <f>IFERROR(INDEX('00_TONG_HOP_BAO_GIA'!$G$1:$G$5000, MATCH(B275, '00_TONG_HOP_BAO_GIA'!$B$1:$B$5000, 0)), 1)</f>
        <v/>
      </c>
      <c r="I275" s="407">
        <f>G275*H275</f>
        <v/>
      </c>
      <c r="J275" s="402">
        <f>IFERROR(INDEX('06_BANG_GIA_VAT_TU_AP_DUNG'!$E$1:$E$5000, MATCH(E275, '06_BANG_GIA_VAT_TU_AP_DUNG'!$B$1:$B$5000, 0)), 0)</f>
        <v/>
      </c>
      <c r="K275" s="402">
        <f>I275*J275</f>
        <v/>
      </c>
      <c r="L275" t="inlineStr">
        <is>
          <t>Cơ cấu liên động cánh (1 bộ)</t>
        </is>
      </c>
    </row>
    <row r="276">
      <c r="A276" t="inlineStr">
        <is>
          <t>SW-DAMPER-059-ACTUATOR</t>
        </is>
      </c>
      <c r="B276" t="inlineStr">
        <is>
          <t>SW-DAMPER-059</t>
        </is>
      </c>
      <c r="C276" t="inlineStr">
        <is>
          <t>Động cơ chặn lửa ON/OFF 9Nm, 230V/24V (BELIMO BFN24 / BFN230)</t>
        </is>
      </c>
      <c r="D276" t="inlineStr">
        <is>
          <t>ĐỘNG_CƠ_VÀ_CẢM_BIẾN</t>
        </is>
      </c>
      <c r="E276" t="inlineStr">
        <is>
          <t>MAT-ACTUATOR-BELIMO-BFN24</t>
        </is>
      </c>
      <c r="F276" t="inlineStr">
        <is>
          <t>Cái</t>
        </is>
      </c>
      <c r="G276" s="406" t="n">
        <v>1</v>
      </c>
      <c r="H276" s="402">
        <f>IFERROR(INDEX('00_TONG_HOP_BAO_GIA'!$G$1:$G$5000, MATCH(B276, '00_TONG_HOP_BAO_GIA'!$B$1:$B$5000, 0)), 1)</f>
        <v/>
      </c>
      <c r="I276" s="407">
        <f>G276*H276</f>
        <v/>
      </c>
      <c r="J276" s="402">
        <f>IFERROR(INDEX('06_BANG_GIA_VAT_TU_AP_DUNG'!$E$1:$E$5000, MATCH(E276, '06_BANG_GIA_VAT_TU_AP_DUNG'!$B$1:$B$5000, 0)), 0)</f>
        <v/>
      </c>
      <c r="K276" s="402">
        <f>I276*J276</f>
        <v/>
      </c>
      <c r="L276" t="inlineStr">
        <is>
          <t>Động cơ lò xo phản hồi MFD (1 bộ)</t>
        </is>
      </c>
    </row>
    <row r="277">
      <c r="A277" t="inlineStr">
        <is>
          <t>SW-DAMPER-059-FB10-BODY</t>
        </is>
      </c>
      <c r="B277" t="inlineStr">
        <is>
          <t>SW-DAMPER-059</t>
        </is>
      </c>
      <c r="C277" t="inlineStr">
        <is>
          <t>Tấm chống cháy dày 10mm bọc thân van FD/MFD (2 lớp)</t>
        </is>
      </c>
      <c r="D277" t="inlineStr">
        <is>
          <t>VẬT_LIỆU_CÁCH_NHIỆT</t>
        </is>
      </c>
      <c r="E277" t="inlineStr">
        <is>
          <t>MAT-FIREBOARD-10MM-BODY</t>
        </is>
      </c>
      <c r="F277" t="inlineStr">
        <is>
          <t>m2</t>
        </is>
      </c>
      <c r="G277" s="406" t="n">
        <v>0.72</v>
      </c>
      <c r="H277" s="402">
        <f>IFERROR(INDEX('00_TONG_HOP_BAO_GIA'!$G$1:$G$5000, MATCH(B277, '00_TONG_HOP_BAO_GIA'!$B$1:$B$5000, 0)), 1)</f>
        <v/>
      </c>
      <c r="I277" s="407">
        <f>G277*H277</f>
        <v/>
      </c>
      <c r="J277" s="402">
        <f>IFERROR(INDEX('06_BANG_GIA_VAT_TU_AP_DUNG'!$E$1:$E$5000, MATCH(E277, '06_BANG_GIA_VAT_TU_AP_DUNG'!$B$1:$B$5000, 0)), 0)</f>
        <v/>
      </c>
      <c r="K277" s="402">
        <f>I277*J277</f>
        <v/>
      </c>
      <c r="L277" t="inlineStr">
        <is>
          <t>Bọc 2 lớp tấm 10mm quanh thân L=300mm</t>
        </is>
      </c>
    </row>
    <row r="278">
      <c r="A278" t="inlineStr">
        <is>
          <t>SW-DAMPER-059-FB20-BLADE</t>
        </is>
      </c>
      <c r="B278" t="inlineStr">
        <is>
          <t>SW-DAMPER-059</t>
        </is>
      </c>
      <c r="C278" t="inlineStr">
        <is>
          <t>Tấm chống cháy dày 20mm làm lõi cánh van FD/MFD</t>
        </is>
      </c>
      <c r="D278" t="inlineStr">
        <is>
          <t>VẬT_LIỆU_CÁCH_NHIỆT</t>
        </is>
      </c>
      <c r="E278" t="inlineStr">
        <is>
          <t>MAT-FIREBOARD-20MM-BLADE</t>
        </is>
      </c>
      <c r="F278" t="inlineStr">
        <is>
          <t>m2</t>
        </is>
      </c>
      <c r="G278" s="406" t="n">
        <v>0.1280577181208054</v>
      </c>
      <c r="H278" s="402">
        <f>IFERROR(INDEX('00_TONG_HOP_BAO_GIA'!$G$1:$G$5000, MATCH(B278, '00_TONG_HOP_BAO_GIA'!$B$1:$B$5000, 0)), 1)</f>
        <v/>
      </c>
      <c r="I278" s="407">
        <f>G278*H278</f>
        <v/>
      </c>
      <c r="J278" s="402">
        <f>IFERROR(INDEX('06_BANG_GIA_VAT_TU_AP_DUNG'!$E$1:$E$5000, MATCH(E278, '06_BANG_GIA_VAT_TU_AP_DUNG'!$B$1:$B$5000, 0)), 0)</f>
        <v/>
      </c>
      <c r="K278" s="402">
        <f>I278*J278</f>
        <v/>
      </c>
      <c r="L278" t="inlineStr">
        <is>
          <t>Lõi cánh tấm 20mm (Đa cánh hệ số (H-5)/149=1.98, bản rộng 210mm, hao hụt 10%)</t>
        </is>
      </c>
    </row>
    <row r="279">
      <c r="A279" t="inlineStr">
        <is>
          <t>SW-DAMPER-059-FB10-BLADE</t>
        </is>
      </c>
      <c r="B279" t="inlineStr">
        <is>
          <t>SW-DAMPER-059</t>
        </is>
      </c>
      <c r="C279" t="inlineStr">
        <is>
          <t>Tấm chống cháy dày 10mm ốp 2 mặt cánh van FD/MFD</t>
        </is>
      </c>
      <c r="D279" t="inlineStr">
        <is>
          <t>VẬT_LIỆU_CÁCH_NHIỆT</t>
        </is>
      </c>
      <c r="E279" t="inlineStr">
        <is>
          <t>MAT-FIREBOARD-10MM-BLADE</t>
        </is>
      </c>
      <c r="F279" t="inlineStr">
        <is>
          <t>m2</t>
        </is>
      </c>
      <c r="G279" s="406" t="n">
        <v>0.2744093959731544</v>
      </c>
      <c r="H279" s="402">
        <f>IFERROR(INDEX('00_TONG_HOP_BAO_GIA'!$G$1:$G$5000, MATCH(B279, '00_TONG_HOP_BAO_GIA'!$B$1:$B$5000, 0)), 1)</f>
        <v/>
      </c>
      <c r="I279" s="407">
        <f>G279*H279</f>
        <v/>
      </c>
      <c r="J279" s="402">
        <f>IFERROR(INDEX('06_BANG_GIA_VAT_TU_AP_DUNG'!$E$1:$E$5000, MATCH(E279, '06_BANG_GIA_VAT_TU_AP_DUNG'!$B$1:$B$5000, 0)), 0)</f>
        <v/>
      </c>
      <c r="K279" s="402">
        <f>I279*J279</f>
        <v/>
      </c>
      <c r="L279" t="inlineStr">
        <is>
          <t>Ốp 2 mặt cánh tấm 10mm (Đa cánh hệ số (H-5)/149=1.98, bản rộng 210mm, hao hụt 10%)</t>
        </is>
      </c>
    </row>
    <row r="280">
      <c r="A280" t="inlineStr">
        <is>
          <t>SW-DAMPER-059-SPRING-BOX</t>
        </is>
      </c>
      <c r="B280" t="inlineStr">
        <is>
          <t>SW-DAMPER-059</t>
        </is>
      </c>
      <c r="C280" t="inlineStr">
        <is>
          <t>Hộp lò xo van chặn lửa FD/MFD</t>
        </is>
      </c>
      <c r="D280" t="inlineStr">
        <is>
          <t>PHỤ_KIỆN_VAN</t>
        </is>
      </c>
      <c r="E280" t="inlineStr">
        <is>
          <t>MAT-DAMPER-HOP-LO-XO</t>
        </is>
      </c>
      <c r="F280" t="inlineStr">
        <is>
          <t>Bộ</t>
        </is>
      </c>
      <c r="G280" s="406" t="n">
        <v>1</v>
      </c>
      <c r="H280" s="402">
        <f>IFERROR(INDEX('00_TONG_HOP_BAO_GIA'!$G$1:$G$5000, MATCH(B280, '00_TONG_HOP_BAO_GIA'!$B$1:$B$5000, 0)), 1)</f>
        <v/>
      </c>
      <c r="I280" s="407">
        <f>G280*H280</f>
        <v/>
      </c>
      <c r="J280" s="402">
        <f>IFERROR(INDEX('06_BANG_GIA_VAT_TU_AP_DUNG'!$E$1:$E$5000, MATCH(E280, '06_BANG_GIA_VAT_TU_AP_DUNG'!$B$1:$B$5000, 0)), 0)</f>
        <v/>
      </c>
      <c r="K280" s="402">
        <f>I280*J280</f>
        <v/>
      </c>
      <c r="L280" t="inlineStr">
        <is>
          <t>Hộp lò xo cơ cấu đóng sập (1 bộ)</t>
        </is>
      </c>
    </row>
    <row r="281">
      <c r="A281" t="inlineStr">
        <is>
          <t>SW-DAMPER-059-SILICON-BOLT</t>
        </is>
      </c>
      <c r="B281" t="inlineStr">
        <is>
          <t>SW-DAMPER-059</t>
        </is>
      </c>
      <c r="C281" t="inlineStr">
        <is>
          <t>Silicon chống cháy + bu lông, ốc vít van FD/MFD</t>
        </is>
      </c>
      <c r="D281" t="inlineStr">
        <is>
          <t>PHỤ_KIỆN_VAN</t>
        </is>
      </c>
      <c r="E281" t="inlineStr">
        <is>
          <t>MAT-DAMPER-SILICON-BULONG-VIT</t>
        </is>
      </c>
      <c r="F281" t="inlineStr">
        <is>
          <t>Bộ</t>
        </is>
      </c>
      <c r="G281" s="406" t="n">
        <v>1</v>
      </c>
      <c r="H281" s="402">
        <f>IFERROR(INDEX('00_TONG_HOP_BAO_GIA'!$G$1:$G$5000, MATCH(B281, '00_TONG_HOP_BAO_GIA'!$B$1:$B$5000, 0)), 1)</f>
        <v/>
      </c>
      <c r="I281" s="407">
        <f>G281*H281</f>
        <v/>
      </c>
      <c r="J281" s="402">
        <f>IFERROR(INDEX('06_BANG_GIA_VAT_TU_AP_DUNG'!$E$1:$E$5000, MATCH(E281, '06_BANG_GIA_VAT_TU_AP_DUNG'!$B$1:$B$5000, 0)), 0)</f>
        <v/>
      </c>
      <c r="K281" s="402">
        <f>I281*J281</f>
        <v/>
      </c>
      <c r="L281" t="inlineStr">
        <is>
          <t>Keo silicon chống cháy &amp; phụ kiện lắp ghép (1 bộ)</t>
        </is>
      </c>
    </row>
    <row r="282">
      <c r="A282" t="inlineStr">
        <is>
          <t>SW-DAMPER-060-BODY</t>
        </is>
      </c>
      <c r="B282" t="inlineStr">
        <is>
          <t>SW-DAMPER-060</t>
        </is>
      </c>
      <c r="C282" t="inlineStr">
        <is>
          <t>Thân vỏ van MFD bích C30/TDF (1.15mm)</t>
        </is>
      </c>
      <c r="D282" t="inlineStr">
        <is>
          <t>TÔN_CUỘN_MẠ_KẼM</t>
        </is>
      </c>
      <c r="E282" t="inlineStr">
        <is>
          <t>MAT-STEEL-PN-1.15</t>
        </is>
      </c>
      <c r="F282" t="inlineStr">
        <is>
          <t>kg</t>
        </is>
      </c>
      <c r="G282" s="406" t="n">
        <v>2.405738475</v>
      </c>
      <c r="H282" s="402">
        <f>IFERROR(INDEX('00_TONG_HOP_BAO_GIA'!$G$1:$G$5000, MATCH(B282, '00_TONG_HOP_BAO_GIA'!$B$1:$B$5000, 0)), 1)</f>
        <v/>
      </c>
      <c r="I282" s="407">
        <f>G282*H282</f>
        <v/>
      </c>
      <c r="J282" s="402">
        <f>IFERROR(INDEX('06_BANG_GIA_VAT_TU_AP_DUNG'!$E$1:$E$5000, MATCH(E282, '06_BANG_GIA_VAT_TU_AP_DUNG'!$B$1:$B$5000, 0)), 0)</f>
        <v/>
      </c>
      <c r="K282" s="402">
        <f>I282*J282</f>
        <v/>
      </c>
      <c r="L282" t="inlineStr">
        <is>
          <t>Kích thước vỏ 250x200x200mm</t>
        </is>
      </c>
    </row>
    <row r="283">
      <c r="A283" t="inlineStr">
        <is>
          <t>SW-DAMPER-060-BLADE</t>
        </is>
      </c>
      <c r="B283" t="inlineStr">
        <is>
          <t>SW-DAMPER-060</t>
        </is>
      </c>
      <c r="C283" t="inlineStr">
        <is>
          <t>Lá cánh / Tôn tấm bọc van (1 cánh)</t>
        </is>
      </c>
      <c r="D283" t="inlineStr">
        <is>
          <t>TÔN_CUỘN_MẠ_KẼM</t>
        </is>
      </c>
      <c r="E283" t="inlineStr">
        <is>
          <t>MAT-STEEL-PN-1.15</t>
        </is>
      </c>
      <c r="F283" t="inlineStr">
        <is>
          <t>kg</t>
        </is>
      </c>
      <c r="G283" s="406" t="n">
        <v>0.9027499999999998</v>
      </c>
      <c r="H283" s="402">
        <f>IFERROR(INDEX('00_TONG_HOP_BAO_GIA'!$G$1:$G$5000, MATCH(B283, '00_TONG_HOP_BAO_GIA'!$B$1:$B$5000, 0)), 1)</f>
        <v/>
      </c>
      <c r="I283" s="407">
        <f>G283*H283</f>
        <v/>
      </c>
      <c r="J283" s="402">
        <f>IFERROR(INDEX('06_BANG_GIA_VAT_TU_AP_DUNG'!$E$1:$E$5000, MATCH(E283, '06_BANG_GIA_VAT_TU_AP_DUNG'!$B$1:$B$5000, 0)), 0)</f>
        <v/>
      </c>
      <c r="K283" s="402">
        <f>I283*J283</f>
        <v/>
      </c>
      <c r="L283" t="inlineStr">
        <is>
          <t>Tôn bọc cánh &amp; thân (1 cánh/modul)</t>
        </is>
      </c>
    </row>
    <row r="284">
      <c r="A284" t="inlineStr">
        <is>
          <t>SW-DAMPER-060-AXLE</t>
        </is>
      </c>
      <c r="B284" t="inlineStr">
        <is>
          <t>SW-DAMPER-060</t>
        </is>
      </c>
      <c r="C284" t="inlineStr">
        <is>
          <t>Trục Sus 201 D10</t>
        </is>
      </c>
      <c r="D284" t="inlineStr">
        <is>
          <t>PHỤ_KIỆN_VAN</t>
        </is>
      </c>
      <c r="E284" t="inlineStr">
        <is>
          <t>MAT-DAMPER-TRUC-SUS-201-D10</t>
        </is>
      </c>
      <c r="F284" t="inlineStr">
        <is>
          <t>m</t>
        </is>
      </c>
      <c r="G284" s="406" t="n">
        <v>0.31</v>
      </c>
      <c r="H284" s="402">
        <f>IFERROR(INDEX('00_TONG_HOP_BAO_GIA'!$G$1:$G$5000, MATCH(B284, '00_TONG_HOP_BAO_GIA'!$B$1:$B$5000, 0)), 1)</f>
        <v/>
      </c>
      <c r="I284" s="407">
        <f>G284*H284</f>
        <v/>
      </c>
      <c r="J284" s="402">
        <f>IFERROR(INDEX('06_BANG_GIA_VAT_TU_AP_DUNG'!$E$1:$E$5000, MATCH(E284, '06_BANG_GIA_VAT_TU_AP_DUNG'!$B$1:$B$5000, 0)), 0)</f>
        <v/>
      </c>
      <c r="K284" s="402">
        <f>I284*J284</f>
        <v/>
      </c>
      <c r="L284" t="inlineStr">
        <is>
          <t>1 trục dài 310mm</t>
        </is>
      </c>
    </row>
    <row r="285">
      <c r="A285" t="inlineStr">
        <is>
          <t>SW-DAMPER-060-BEARING</t>
        </is>
      </c>
      <c r="B285" t="inlineStr">
        <is>
          <t>SW-DAMPER-060</t>
        </is>
      </c>
      <c r="C285" t="inlineStr">
        <is>
          <t>Bạc đồng D10</t>
        </is>
      </c>
      <c r="D285" t="inlineStr">
        <is>
          <t>PHỤ_KIỆN_VAN</t>
        </is>
      </c>
      <c r="E285" t="inlineStr">
        <is>
          <t>MAT-DAMPER-BAC-DONG-D10</t>
        </is>
      </c>
      <c r="F285" t="inlineStr">
        <is>
          <t>Đôi</t>
        </is>
      </c>
      <c r="G285" s="406" t="n">
        <v>1</v>
      </c>
      <c r="H285" s="402">
        <f>IFERROR(INDEX('00_TONG_HOP_BAO_GIA'!$G$1:$G$5000, MATCH(B285, '00_TONG_HOP_BAO_GIA'!$B$1:$B$5000, 0)), 1)</f>
        <v/>
      </c>
      <c r="I285" s="407">
        <f>G285*H285</f>
        <v/>
      </c>
      <c r="J285" s="402">
        <f>IFERROR(INDEX('06_BANG_GIA_VAT_TU_AP_DUNG'!$E$1:$E$5000, MATCH(E285, '06_BANG_GIA_VAT_TU_AP_DUNG'!$B$1:$B$5000, 0)), 0)</f>
        <v/>
      </c>
      <c r="K285" s="402">
        <f>I285*J285</f>
        <v/>
      </c>
      <c r="L285" t="inlineStr">
        <is>
          <t>1 đôi bạc đỡ 2 bên thân</t>
        </is>
      </c>
    </row>
    <row r="286">
      <c r="A286" t="inlineStr">
        <is>
          <t>SW-DAMPER-060-ACTUATOR</t>
        </is>
      </c>
      <c r="B286" t="inlineStr">
        <is>
          <t>SW-DAMPER-060</t>
        </is>
      </c>
      <c r="C286" t="inlineStr">
        <is>
          <t>Động cơ chặn lửa ON/OFF 3.5Nm, 230V/24V (BELIMO FSLF24 / FSLF230)</t>
        </is>
      </c>
      <c r="D286" t="inlineStr">
        <is>
          <t>ĐỘNG_CƠ_VÀ_CẢM_BIẾN</t>
        </is>
      </c>
      <c r="E286" t="inlineStr">
        <is>
          <t>MAT-ACTUATOR-BELIMO-FSLF24</t>
        </is>
      </c>
      <c r="F286" t="inlineStr">
        <is>
          <t>Cái</t>
        </is>
      </c>
      <c r="G286" s="406" t="n">
        <v>1</v>
      </c>
      <c r="H286" s="402">
        <f>IFERROR(INDEX('00_TONG_HOP_BAO_GIA'!$G$1:$G$5000, MATCH(B286, '00_TONG_HOP_BAO_GIA'!$B$1:$B$5000, 0)), 1)</f>
        <v/>
      </c>
      <c r="I286" s="407">
        <f>G286*H286</f>
        <v/>
      </c>
      <c r="J286" s="402">
        <f>IFERROR(INDEX('06_BANG_GIA_VAT_TU_AP_DUNG'!$E$1:$E$5000, MATCH(E286, '06_BANG_GIA_VAT_TU_AP_DUNG'!$B$1:$B$5000, 0)), 0)</f>
        <v/>
      </c>
      <c r="K286" s="402">
        <f>I286*J286</f>
        <v/>
      </c>
      <c r="L286" t="inlineStr">
        <is>
          <t>Động cơ lò xo phản hồi MFD (1 bộ)</t>
        </is>
      </c>
    </row>
    <row r="287">
      <c r="A287" t="inlineStr">
        <is>
          <t>SW-DAMPER-060-FB10-BODY</t>
        </is>
      </c>
      <c r="B287" t="inlineStr">
        <is>
          <t>SW-DAMPER-060</t>
        </is>
      </c>
      <c r="C287" t="inlineStr">
        <is>
          <t>Tấm chống cháy dày 10mm bọc thân van FD/MFD (2 lớp)</t>
        </is>
      </c>
      <c r="D287" t="inlineStr">
        <is>
          <t>VẬT_LIỆU_CÁCH_NHIỆT</t>
        </is>
      </c>
      <c r="E287" t="inlineStr">
        <is>
          <t>MAT-FIREBOARD-10MM-BODY</t>
        </is>
      </c>
      <c r="F287" t="inlineStr">
        <is>
          <t>m2</t>
        </is>
      </c>
      <c r="G287" s="406" t="n">
        <v>0.54</v>
      </c>
      <c r="H287" s="402">
        <f>IFERROR(INDEX('00_TONG_HOP_BAO_GIA'!$G$1:$G$5000, MATCH(B287, '00_TONG_HOP_BAO_GIA'!$B$1:$B$5000, 0)), 1)</f>
        <v/>
      </c>
      <c r="I287" s="407">
        <f>G287*H287</f>
        <v/>
      </c>
      <c r="J287" s="402">
        <f>IFERROR(INDEX('06_BANG_GIA_VAT_TU_AP_DUNG'!$E$1:$E$5000, MATCH(E287, '06_BANG_GIA_VAT_TU_AP_DUNG'!$B$1:$B$5000, 0)), 0)</f>
        <v/>
      </c>
      <c r="K287" s="402">
        <f>I287*J287</f>
        <v/>
      </c>
      <c r="L287" t="inlineStr">
        <is>
          <t>Bọc 2 lớp tấm 10mm quanh thân L=300mm</t>
        </is>
      </c>
    </row>
    <row r="288">
      <c r="A288" t="inlineStr">
        <is>
          <t>SW-DAMPER-060-FB20-BLADE</t>
        </is>
      </c>
      <c r="B288" t="inlineStr">
        <is>
          <t>SW-DAMPER-060</t>
        </is>
      </c>
      <c r="C288" t="inlineStr">
        <is>
          <t>Tấm chống cháy dày 20mm làm lõi cánh van FD/MFD</t>
        </is>
      </c>
      <c r="D288" t="inlineStr">
        <is>
          <t>VẬT_LIỆU_CÁCH_NHIỆT</t>
        </is>
      </c>
      <c r="E288" t="inlineStr">
        <is>
          <t>MAT-FIREBOARD-20MM-BLADE</t>
        </is>
      </c>
      <c r="F288" t="inlineStr">
        <is>
          <t>m2</t>
        </is>
      </c>
      <c r="G288" s="406" t="n">
        <v>0.05</v>
      </c>
      <c r="H288" s="402">
        <f>IFERROR(INDEX('00_TONG_HOP_BAO_GIA'!$G$1:$G$5000, MATCH(B288, '00_TONG_HOP_BAO_GIA'!$B$1:$B$5000, 0)), 1)</f>
        <v/>
      </c>
      <c r="I288" s="407">
        <f>G288*H288</f>
        <v/>
      </c>
      <c r="J288" s="402">
        <f>IFERROR(INDEX('06_BANG_GIA_VAT_TU_AP_DUNG'!$E$1:$E$5000, MATCH(E288, '06_BANG_GIA_VAT_TU_AP_DUNG'!$B$1:$B$5000, 0)), 0)</f>
        <v/>
      </c>
      <c r="K288" s="402">
        <f>I288*J288</f>
        <v/>
      </c>
      <c r="L288" t="inlineStr">
        <is>
          <t>Lõi cánh tấm 20mm (Cánh đơn 250x200mm)</t>
        </is>
      </c>
    </row>
    <row r="289">
      <c r="A289" t="inlineStr">
        <is>
          <t>SW-DAMPER-060-FB10-BLADE</t>
        </is>
      </c>
      <c r="B289" t="inlineStr">
        <is>
          <t>SW-DAMPER-060</t>
        </is>
      </c>
      <c r="C289" t="inlineStr">
        <is>
          <t>Tấm chống cháy dày 10mm ốp 2 mặt cánh van FD/MFD</t>
        </is>
      </c>
      <c r="D289" t="inlineStr">
        <is>
          <t>VẬT_LIỆU_CÁCH_NHIỆT</t>
        </is>
      </c>
      <c r="E289" t="inlineStr">
        <is>
          <t>MAT-FIREBOARD-10MM-BLADE</t>
        </is>
      </c>
      <c r="F289" t="inlineStr">
        <is>
          <t>m2</t>
        </is>
      </c>
      <c r="G289" s="406" t="n">
        <v>0.1</v>
      </c>
      <c r="H289" s="402">
        <f>IFERROR(INDEX('00_TONG_HOP_BAO_GIA'!$G$1:$G$5000, MATCH(B289, '00_TONG_HOP_BAO_GIA'!$B$1:$B$5000, 0)), 1)</f>
        <v/>
      </c>
      <c r="I289" s="407">
        <f>G289*H289</f>
        <v/>
      </c>
      <c r="J289" s="402">
        <f>IFERROR(INDEX('06_BANG_GIA_VAT_TU_AP_DUNG'!$E$1:$E$5000, MATCH(E289, '06_BANG_GIA_VAT_TU_AP_DUNG'!$B$1:$B$5000, 0)), 0)</f>
        <v/>
      </c>
      <c r="K289" s="402">
        <f>I289*J289</f>
        <v/>
      </c>
      <c r="L289" t="inlineStr">
        <is>
          <t>Ốp 2 mặt cánh tấm 10mm (Cánh đơn 250x200mm)</t>
        </is>
      </c>
    </row>
    <row r="290">
      <c r="A290" t="inlineStr">
        <is>
          <t>SW-DAMPER-060-SPRING-BOX</t>
        </is>
      </c>
      <c r="B290" t="inlineStr">
        <is>
          <t>SW-DAMPER-060</t>
        </is>
      </c>
      <c r="C290" t="inlineStr">
        <is>
          <t>Hộp lò xo van chặn lửa FD/MFD</t>
        </is>
      </c>
      <c r="D290" t="inlineStr">
        <is>
          <t>PHỤ_KIỆN_VAN</t>
        </is>
      </c>
      <c r="E290" t="inlineStr">
        <is>
          <t>MAT-DAMPER-HOP-LO-XO</t>
        </is>
      </c>
      <c r="F290" t="inlineStr">
        <is>
          <t>Bộ</t>
        </is>
      </c>
      <c r="G290" s="406" t="n">
        <v>1</v>
      </c>
      <c r="H290" s="402">
        <f>IFERROR(INDEX('00_TONG_HOP_BAO_GIA'!$G$1:$G$5000, MATCH(B290, '00_TONG_HOP_BAO_GIA'!$B$1:$B$5000, 0)), 1)</f>
        <v/>
      </c>
      <c r="I290" s="407">
        <f>G290*H290</f>
        <v/>
      </c>
      <c r="J290" s="402">
        <f>IFERROR(INDEX('06_BANG_GIA_VAT_TU_AP_DUNG'!$E$1:$E$5000, MATCH(E290, '06_BANG_GIA_VAT_TU_AP_DUNG'!$B$1:$B$5000, 0)), 0)</f>
        <v/>
      </c>
      <c r="K290" s="402">
        <f>I290*J290</f>
        <v/>
      </c>
      <c r="L290" t="inlineStr">
        <is>
          <t>Hộp lò xo cơ cấu đóng sập (1 bộ)</t>
        </is>
      </c>
    </row>
    <row r="291">
      <c r="A291" t="inlineStr">
        <is>
          <t>SW-DAMPER-060-SILICON-BOLT</t>
        </is>
      </c>
      <c r="B291" t="inlineStr">
        <is>
          <t>SW-DAMPER-060</t>
        </is>
      </c>
      <c r="C291" t="inlineStr">
        <is>
          <t>Silicon chống cháy + bu lông, ốc vít van FD/MFD</t>
        </is>
      </c>
      <c r="D291" t="inlineStr">
        <is>
          <t>PHỤ_KIỆN_VAN</t>
        </is>
      </c>
      <c r="E291" t="inlineStr">
        <is>
          <t>MAT-DAMPER-SILICON-BULONG-VIT</t>
        </is>
      </c>
      <c r="F291" t="inlineStr">
        <is>
          <t>Bộ</t>
        </is>
      </c>
      <c r="G291" s="406" t="n">
        <v>1</v>
      </c>
      <c r="H291" s="402">
        <f>IFERROR(INDEX('00_TONG_HOP_BAO_GIA'!$G$1:$G$5000, MATCH(B291, '00_TONG_HOP_BAO_GIA'!$B$1:$B$5000, 0)), 1)</f>
        <v/>
      </c>
      <c r="I291" s="407">
        <f>G291*H291</f>
        <v/>
      </c>
      <c r="J291" s="402">
        <f>IFERROR(INDEX('06_BANG_GIA_VAT_TU_AP_DUNG'!$E$1:$E$5000, MATCH(E291, '06_BANG_GIA_VAT_TU_AP_DUNG'!$B$1:$B$5000, 0)), 0)</f>
        <v/>
      </c>
      <c r="K291" s="402">
        <f>I291*J291</f>
        <v/>
      </c>
      <c r="L291" t="inlineStr">
        <is>
          <t>Keo silicon chống cháy &amp; phụ kiện lắp ghép (1 bộ)</t>
        </is>
      </c>
    </row>
    <row r="292">
      <c r="A292" t="inlineStr">
        <is>
          <t>SW-DAMPER-061-BODY</t>
        </is>
      </c>
      <c r="B292" t="inlineStr">
        <is>
          <t>SW-DAMPER-061</t>
        </is>
      </c>
      <c r="C292" t="inlineStr">
        <is>
          <t>Thân vỏ van MFD bích C30/TDF (1.15mm)</t>
        </is>
      </c>
      <c r="D292" t="inlineStr">
        <is>
          <t>TÔN_CUỘN_MẠ_KẼM</t>
        </is>
      </c>
      <c r="E292" t="inlineStr">
        <is>
          <t>MAT-STEEL-PN-1.15</t>
        </is>
      </c>
      <c r="F292" t="inlineStr">
        <is>
          <t>kg</t>
        </is>
      </c>
      <c r="G292" s="406" t="n">
        <v>2.917597725</v>
      </c>
      <c r="H292" s="402">
        <f>IFERROR(INDEX('00_TONG_HOP_BAO_GIA'!$G$1:$G$5000, MATCH(B292, '00_TONG_HOP_BAO_GIA'!$B$1:$B$5000, 0)), 1)</f>
        <v/>
      </c>
      <c r="I292" s="407">
        <f>G292*H292</f>
        <v/>
      </c>
      <c r="J292" s="402">
        <f>IFERROR(INDEX('06_BANG_GIA_VAT_TU_AP_DUNG'!$E$1:$E$5000, MATCH(E292, '06_BANG_GIA_VAT_TU_AP_DUNG'!$B$1:$B$5000, 0)), 0)</f>
        <v/>
      </c>
      <c r="K292" s="402">
        <f>I292*J292</f>
        <v/>
      </c>
      <c r="L292" t="inlineStr">
        <is>
          <t>Kích thước vỏ 350x200x200mm</t>
        </is>
      </c>
    </row>
    <row r="293">
      <c r="A293" t="inlineStr">
        <is>
          <t>SW-DAMPER-061-BLADE</t>
        </is>
      </c>
      <c r="B293" t="inlineStr">
        <is>
          <t>SW-DAMPER-061</t>
        </is>
      </c>
      <c r="C293" t="inlineStr">
        <is>
          <t>Lá cánh / Tôn tấm bọc van (1 cánh)</t>
        </is>
      </c>
      <c r="D293" t="inlineStr">
        <is>
          <t>TÔN_CUỘN_MẠ_KẼM</t>
        </is>
      </c>
      <c r="E293" t="inlineStr">
        <is>
          <t>MAT-STEEL-PN-1.15</t>
        </is>
      </c>
      <c r="F293" t="inlineStr">
        <is>
          <t>kg</t>
        </is>
      </c>
      <c r="G293" s="406" t="n">
        <v>1.26385</v>
      </c>
      <c r="H293" s="402">
        <f>IFERROR(INDEX('00_TONG_HOP_BAO_GIA'!$G$1:$G$5000, MATCH(B293, '00_TONG_HOP_BAO_GIA'!$B$1:$B$5000, 0)), 1)</f>
        <v/>
      </c>
      <c r="I293" s="407">
        <f>G293*H293</f>
        <v/>
      </c>
      <c r="J293" s="402">
        <f>IFERROR(INDEX('06_BANG_GIA_VAT_TU_AP_DUNG'!$E$1:$E$5000, MATCH(E293, '06_BANG_GIA_VAT_TU_AP_DUNG'!$B$1:$B$5000, 0)), 0)</f>
        <v/>
      </c>
      <c r="K293" s="402">
        <f>I293*J293</f>
        <v/>
      </c>
      <c r="L293" t="inlineStr">
        <is>
          <t>Tôn bọc cánh &amp; thân (1 cánh/modul)</t>
        </is>
      </c>
    </row>
    <row r="294">
      <c r="A294" t="inlineStr">
        <is>
          <t>SW-DAMPER-061-AXLE</t>
        </is>
      </c>
      <c r="B294" t="inlineStr">
        <is>
          <t>SW-DAMPER-061</t>
        </is>
      </c>
      <c r="C294" t="inlineStr">
        <is>
          <t>Trục Sus 201 D10</t>
        </is>
      </c>
      <c r="D294" t="inlineStr">
        <is>
          <t>PHỤ_KIỆN_VAN</t>
        </is>
      </c>
      <c r="E294" t="inlineStr">
        <is>
          <t>MAT-DAMPER-TRUC-SUS-201-D10</t>
        </is>
      </c>
      <c r="F294" t="inlineStr">
        <is>
          <t>m</t>
        </is>
      </c>
      <c r="G294" s="406" t="n">
        <v>0.41</v>
      </c>
      <c r="H294" s="402">
        <f>IFERROR(INDEX('00_TONG_HOP_BAO_GIA'!$G$1:$G$5000, MATCH(B294, '00_TONG_HOP_BAO_GIA'!$B$1:$B$5000, 0)), 1)</f>
        <v/>
      </c>
      <c r="I294" s="407">
        <f>G294*H294</f>
        <v/>
      </c>
      <c r="J294" s="402">
        <f>IFERROR(INDEX('06_BANG_GIA_VAT_TU_AP_DUNG'!$E$1:$E$5000, MATCH(E294, '06_BANG_GIA_VAT_TU_AP_DUNG'!$B$1:$B$5000, 0)), 0)</f>
        <v/>
      </c>
      <c r="K294" s="402">
        <f>I294*J294</f>
        <v/>
      </c>
      <c r="L294" t="inlineStr">
        <is>
          <t>1 trục dài 410mm</t>
        </is>
      </c>
    </row>
    <row r="295">
      <c r="A295" t="inlineStr">
        <is>
          <t>SW-DAMPER-061-BEARING</t>
        </is>
      </c>
      <c r="B295" t="inlineStr">
        <is>
          <t>SW-DAMPER-061</t>
        </is>
      </c>
      <c r="C295" t="inlineStr">
        <is>
          <t>Bạc đồng D10</t>
        </is>
      </c>
      <c r="D295" t="inlineStr">
        <is>
          <t>PHỤ_KIỆN_VAN</t>
        </is>
      </c>
      <c r="E295" t="inlineStr">
        <is>
          <t>MAT-DAMPER-BAC-DONG-D10</t>
        </is>
      </c>
      <c r="F295" t="inlineStr">
        <is>
          <t>Đôi</t>
        </is>
      </c>
      <c r="G295" s="406" t="n">
        <v>1</v>
      </c>
      <c r="H295" s="402">
        <f>IFERROR(INDEX('00_TONG_HOP_BAO_GIA'!$G$1:$G$5000, MATCH(B295, '00_TONG_HOP_BAO_GIA'!$B$1:$B$5000, 0)), 1)</f>
        <v/>
      </c>
      <c r="I295" s="407">
        <f>G295*H295</f>
        <v/>
      </c>
      <c r="J295" s="402">
        <f>IFERROR(INDEX('06_BANG_GIA_VAT_TU_AP_DUNG'!$E$1:$E$5000, MATCH(E295, '06_BANG_GIA_VAT_TU_AP_DUNG'!$B$1:$B$5000, 0)), 0)</f>
        <v/>
      </c>
      <c r="K295" s="402">
        <f>I295*J295</f>
        <v/>
      </c>
      <c r="L295" t="inlineStr">
        <is>
          <t>1 đôi bạc đỡ 2 bên thân</t>
        </is>
      </c>
    </row>
    <row r="296">
      <c r="A296" t="inlineStr">
        <is>
          <t>SW-DAMPER-061-ACTUATOR</t>
        </is>
      </c>
      <c r="B296" t="inlineStr">
        <is>
          <t>SW-DAMPER-061</t>
        </is>
      </c>
      <c r="C296" t="inlineStr">
        <is>
          <t>Động cơ chặn lửa ON/OFF 3.5Nm, 230V/24V (BELIMO FSLF24 / FSLF230)</t>
        </is>
      </c>
      <c r="D296" t="inlineStr">
        <is>
          <t>ĐỘNG_CƠ_VÀ_CẢM_BIẾN</t>
        </is>
      </c>
      <c r="E296" t="inlineStr">
        <is>
          <t>MAT-ACTUATOR-BELIMO-FSLF24</t>
        </is>
      </c>
      <c r="F296" t="inlineStr">
        <is>
          <t>Cái</t>
        </is>
      </c>
      <c r="G296" s="406" t="n">
        <v>1</v>
      </c>
      <c r="H296" s="402">
        <f>IFERROR(INDEX('00_TONG_HOP_BAO_GIA'!$G$1:$G$5000, MATCH(B296, '00_TONG_HOP_BAO_GIA'!$B$1:$B$5000, 0)), 1)</f>
        <v/>
      </c>
      <c r="I296" s="407">
        <f>G296*H296</f>
        <v/>
      </c>
      <c r="J296" s="402">
        <f>IFERROR(INDEX('06_BANG_GIA_VAT_TU_AP_DUNG'!$E$1:$E$5000, MATCH(E296, '06_BANG_GIA_VAT_TU_AP_DUNG'!$B$1:$B$5000, 0)), 0)</f>
        <v/>
      </c>
      <c r="K296" s="402">
        <f>I296*J296</f>
        <v/>
      </c>
      <c r="L296" t="inlineStr">
        <is>
          <t>Động cơ lò xo phản hồi MFD (1 bộ)</t>
        </is>
      </c>
    </row>
    <row r="297">
      <c r="A297" t="inlineStr">
        <is>
          <t>SW-DAMPER-061-FB10-BODY</t>
        </is>
      </c>
      <c r="B297" t="inlineStr">
        <is>
          <t>SW-DAMPER-061</t>
        </is>
      </c>
      <c r="C297" t="inlineStr">
        <is>
          <t>Tấm chống cháy dày 10mm bọc thân van FD/MFD (2 lớp)</t>
        </is>
      </c>
      <c r="D297" t="inlineStr">
        <is>
          <t>VẬT_LIỆU_CÁCH_NHIỆT</t>
        </is>
      </c>
      <c r="E297" t="inlineStr">
        <is>
          <t>MAT-FIREBOARD-10MM-BODY</t>
        </is>
      </c>
      <c r="F297" t="inlineStr">
        <is>
          <t>m2</t>
        </is>
      </c>
      <c r="G297" s="406" t="n">
        <v>0.66</v>
      </c>
      <c r="H297" s="402">
        <f>IFERROR(INDEX('00_TONG_HOP_BAO_GIA'!$G$1:$G$5000, MATCH(B297, '00_TONG_HOP_BAO_GIA'!$B$1:$B$5000, 0)), 1)</f>
        <v/>
      </c>
      <c r="I297" s="407">
        <f>G297*H297</f>
        <v/>
      </c>
      <c r="J297" s="402">
        <f>IFERROR(INDEX('06_BANG_GIA_VAT_TU_AP_DUNG'!$E$1:$E$5000, MATCH(E297, '06_BANG_GIA_VAT_TU_AP_DUNG'!$B$1:$B$5000, 0)), 0)</f>
        <v/>
      </c>
      <c r="K297" s="402">
        <f>I297*J297</f>
        <v/>
      </c>
      <c r="L297" t="inlineStr">
        <is>
          <t>Bọc 2 lớp tấm 10mm quanh thân L=300mm</t>
        </is>
      </c>
    </row>
    <row r="298">
      <c r="A298" t="inlineStr">
        <is>
          <t>SW-DAMPER-061-FB20-BLADE</t>
        </is>
      </c>
      <c r="B298" t="inlineStr">
        <is>
          <t>SW-DAMPER-061</t>
        </is>
      </c>
      <c r="C298" t="inlineStr">
        <is>
          <t>Tấm chống cháy dày 20mm làm lõi cánh van FD/MFD</t>
        </is>
      </c>
      <c r="D298" t="inlineStr">
        <is>
          <t>VẬT_LIỆU_CÁCH_NHIỆT</t>
        </is>
      </c>
      <c r="E298" t="inlineStr">
        <is>
          <t>MAT-FIREBOARD-20MM-BLADE</t>
        </is>
      </c>
      <c r="F298" t="inlineStr">
        <is>
          <t>m2</t>
        </is>
      </c>
      <c r="G298" s="406" t="n">
        <v>0.06999999999999999</v>
      </c>
      <c r="H298" s="402">
        <f>IFERROR(INDEX('00_TONG_HOP_BAO_GIA'!$G$1:$G$5000, MATCH(B298, '00_TONG_HOP_BAO_GIA'!$B$1:$B$5000, 0)), 1)</f>
        <v/>
      </c>
      <c r="I298" s="407">
        <f>G298*H298</f>
        <v/>
      </c>
      <c r="J298" s="402">
        <f>IFERROR(INDEX('06_BANG_GIA_VAT_TU_AP_DUNG'!$E$1:$E$5000, MATCH(E298, '06_BANG_GIA_VAT_TU_AP_DUNG'!$B$1:$B$5000, 0)), 0)</f>
        <v/>
      </c>
      <c r="K298" s="402">
        <f>I298*J298</f>
        <v/>
      </c>
      <c r="L298" t="inlineStr">
        <is>
          <t>Lõi cánh tấm 20mm (Cánh đơn 350x200mm)</t>
        </is>
      </c>
    </row>
    <row r="299">
      <c r="A299" t="inlineStr">
        <is>
          <t>SW-DAMPER-061-FB10-BLADE</t>
        </is>
      </c>
      <c r="B299" t="inlineStr">
        <is>
          <t>SW-DAMPER-061</t>
        </is>
      </c>
      <c r="C299" t="inlineStr">
        <is>
          <t>Tấm chống cháy dày 10mm ốp 2 mặt cánh van FD/MFD</t>
        </is>
      </c>
      <c r="D299" t="inlineStr">
        <is>
          <t>VẬT_LIỆU_CÁCH_NHIỆT</t>
        </is>
      </c>
      <c r="E299" t="inlineStr">
        <is>
          <t>MAT-FIREBOARD-10MM-BLADE</t>
        </is>
      </c>
      <c r="F299" t="inlineStr">
        <is>
          <t>m2</t>
        </is>
      </c>
      <c r="G299" s="406" t="n">
        <v>0.14</v>
      </c>
      <c r="H299" s="402">
        <f>IFERROR(INDEX('00_TONG_HOP_BAO_GIA'!$G$1:$G$5000, MATCH(B299, '00_TONG_HOP_BAO_GIA'!$B$1:$B$5000, 0)), 1)</f>
        <v/>
      </c>
      <c r="I299" s="407">
        <f>G299*H299</f>
        <v/>
      </c>
      <c r="J299" s="402">
        <f>IFERROR(INDEX('06_BANG_GIA_VAT_TU_AP_DUNG'!$E$1:$E$5000, MATCH(E299, '06_BANG_GIA_VAT_TU_AP_DUNG'!$B$1:$B$5000, 0)), 0)</f>
        <v/>
      </c>
      <c r="K299" s="402">
        <f>I299*J299</f>
        <v/>
      </c>
      <c r="L299" t="inlineStr">
        <is>
          <t>Ốp 2 mặt cánh tấm 10mm (Cánh đơn 350x200mm)</t>
        </is>
      </c>
    </row>
    <row r="300">
      <c r="A300" t="inlineStr">
        <is>
          <t>SW-DAMPER-061-SPRING-BOX</t>
        </is>
      </c>
      <c r="B300" t="inlineStr">
        <is>
          <t>SW-DAMPER-061</t>
        </is>
      </c>
      <c r="C300" t="inlineStr">
        <is>
          <t>Hộp lò xo van chặn lửa FD/MFD</t>
        </is>
      </c>
      <c r="D300" t="inlineStr">
        <is>
          <t>PHỤ_KIỆN_VAN</t>
        </is>
      </c>
      <c r="E300" t="inlineStr">
        <is>
          <t>MAT-DAMPER-HOP-LO-XO</t>
        </is>
      </c>
      <c r="F300" t="inlineStr">
        <is>
          <t>Bộ</t>
        </is>
      </c>
      <c r="G300" s="406" t="n">
        <v>1</v>
      </c>
      <c r="H300" s="402">
        <f>IFERROR(INDEX('00_TONG_HOP_BAO_GIA'!$G$1:$G$5000, MATCH(B300, '00_TONG_HOP_BAO_GIA'!$B$1:$B$5000, 0)), 1)</f>
        <v/>
      </c>
      <c r="I300" s="407">
        <f>G300*H300</f>
        <v/>
      </c>
      <c r="J300" s="402">
        <f>IFERROR(INDEX('06_BANG_GIA_VAT_TU_AP_DUNG'!$E$1:$E$5000, MATCH(E300, '06_BANG_GIA_VAT_TU_AP_DUNG'!$B$1:$B$5000, 0)), 0)</f>
        <v/>
      </c>
      <c r="K300" s="402">
        <f>I300*J300</f>
        <v/>
      </c>
      <c r="L300" t="inlineStr">
        <is>
          <t>Hộp lò xo cơ cấu đóng sập (1 bộ)</t>
        </is>
      </c>
    </row>
    <row r="301">
      <c r="A301" t="inlineStr">
        <is>
          <t>SW-DAMPER-061-SILICON-BOLT</t>
        </is>
      </c>
      <c r="B301" t="inlineStr">
        <is>
          <t>SW-DAMPER-061</t>
        </is>
      </c>
      <c r="C301" t="inlineStr">
        <is>
          <t>Silicon chống cháy + bu lông, ốc vít van FD/MFD</t>
        </is>
      </c>
      <c r="D301" t="inlineStr">
        <is>
          <t>PHỤ_KIỆN_VAN</t>
        </is>
      </c>
      <c r="E301" t="inlineStr">
        <is>
          <t>MAT-DAMPER-SILICON-BULONG-VIT</t>
        </is>
      </c>
      <c r="F301" t="inlineStr">
        <is>
          <t>Bộ</t>
        </is>
      </c>
      <c r="G301" s="406" t="n">
        <v>1</v>
      </c>
      <c r="H301" s="402">
        <f>IFERROR(INDEX('00_TONG_HOP_BAO_GIA'!$G$1:$G$5000, MATCH(B301, '00_TONG_HOP_BAO_GIA'!$B$1:$B$5000, 0)), 1)</f>
        <v/>
      </c>
      <c r="I301" s="407">
        <f>G301*H301</f>
        <v/>
      </c>
      <c r="J301" s="402">
        <f>IFERROR(INDEX('06_BANG_GIA_VAT_TU_AP_DUNG'!$E$1:$E$5000, MATCH(E301, '06_BANG_GIA_VAT_TU_AP_DUNG'!$B$1:$B$5000, 0)), 0)</f>
        <v/>
      </c>
      <c r="K301" s="402">
        <f>I301*J301</f>
        <v/>
      </c>
      <c r="L301" t="inlineStr">
        <is>
          <t>Keo silicon chống cháy &amp; phụ kiện lắp ghép (1 bộ)</t>
        </is>
      </c>
    </row>
    <row r="302">
      <c r="A302" t="inlineStr">
        <is>
          <t>SW-DAMPER-062-BODY</t>
        </is>
      </c>
      <c r="B302" t="inlineStr">
        <is>
          <t>SW-DAMPER-062</t>
        </is>
      </c>
      <c r="C302" t="inlineStr">
        <is>
          <t>Thân vỏ van MFD bích C30/TDF (1.15mm)</t>
        </is>
      </c>
      <c r="D302" t="inlineStr">
        <is>
          <t>TÔN_CUỘN_MẠ_KẼM</t>
        </is>
      </c>
      <c r="E302" t="inlineStr">
        <is>
          <t>MAT-STEEL-PN-1.15</t>
        </is>
      </c>
      <c r="F302" t="inlineStr">
        <is>
          <t>kg</t>
        </is>
      </c>
      <c r="G302" s="406" t="n">
        <v>2.6616681</v>
      </c>
      <c r="H302" s="402">
        <f>IFERROR(INDEX('00_TONG_HOP_BAO_GIA'!$G$1:$G$5000, MATCH(B302, '00_TONG_HOP_BAO_GIA'!$B$1:$B$5000, 0)), 1)</f>
        <v/>
      </c>
      <c r="I302" s="407">
        <f>G302*H302</f>
        <v/>
      </c>
      <c r="J302" s="402">
        <f>IFERROR(INDEX('06_BANG_GIA_VAT_TU_AP_DUNG'!$E$1:$E$5000, MATCH(E302, '06_BANG_GIA_VAT_TU_AP_DUNG'!$B$1:$B$5000, 0)), 0)</f>
        <v/>
      </c>
      <c r="K302" s="402">
        <f>I302*J302</f>
        <v/>
      </c>
      <c r="L302" t="inlineStr">
        <is>
          <t>Kích thước vỏ 350x150x200mm</t>
        </is>
      </c>
    </row>
    <row r="303">
      <c r="A303" t="inlineStr">
        <is>
          <t>SW-DAMPER-062-BLADE</t>
        </is>
      </c>
      <c r="B303" t="inlineStr">
        <is>
          <t>SW-DAMPER-062</t>
        </is>
      </c>
      <c r="C303" t="inlineStr">
        <is>
          <t>Lá cánh / Tôn tấm bọc van (1 cánh)</t>
        </is>
      </c>
      <c r="D303" t="inlineStr">
        <is>
          <t>TÔN_CUỘN_MẠ_KẼM</t>
        </is>
      </c>
      <c r="E303" t="inlineStr">
        <is>
          <t>MAT-STEEL-PN-1.15</t>
        </is>
      </c>
      <c r="F303" t="inlineStr">
        <is>
          <t>kg</t>
        </is>
      </c>
      <c r="G303" s="406" t="n">
        <v>0.9478874999999998</v>
      </c>
      <c r="H303" s="402">
        <f>IFERROR(INDEX('00_TONG_HOP_BAO_GIA'!$G$1:$G$5000, MATCH(B303, '00_TONG_HOP_BAO_GIA'!$B$1:$B$5000, 0)), 1)</f>
        <v/>
      </c>
      <c r="I303" s="407">
        <f>G303*H303</f>
        <v/>
      </c>
      <c r="J303" s="402">
        <f>IFERROR(INDEX('06_BANG_GIA_VAT_TU_AP_DUNG'!$E$1:$E$5000, MATCH(E303, '06_BANG_GIA_VAT_TU_AP_DUNG'!$B$1:$B$5000, 0)), 0)</f>
        <v/>
      </c>
      <c r="K303" s="402">
        <f>I303*J303</f>
        <v/>
      </c>
      <c r="L303" t="inlineStr">
        <is>
          <t>Tôn bọc cánh &amp; thân (1 cánh/modul)</t>
        </is>
      </c>
    </row>
    <row r="304">
      <c r="A304" t="inlineStr">
        <is>
          <t>SW-DAMPER-062-AXLE</t>
        </is>
      </c>
      <c r="B304" t="inlineStr">
        <is>
          <t>SW-DAMPER-062</t>
        </is>
      </c>
      <c r="C304" t="inlineStr">
        <is>
          <t>Trục Sus 201 D10</t>
        </is>
      </c>
      <c r="D304" t="inlineStr">
        <is>
          <t>PHỤ_KIỆN_VAN</t>
        </is>
      </c>
      <c r="E304" t="inlineStr">
        <is>
          <t>MAT-DAMPER-TRUC-SUS-201-D10</t>
        </is>
      </c>
      <c r="F304" t="inlineStr">
        <is>
          <t>m</t>
        </is>
      </c>
      <c r="G304" s="406" t="n">
        <v>0.41</v>
      </c>
      <c r="H304" s="402">
        <f>IFERROR(INDEX('00_TONG_HOP_BAO_GIA'!$G$1:$G$5000, MATCH(B304, '00_TONG_HOP_BAO_GIA'!$B$1:$B$5000, 0)), 1)</f>
        <v/>
      </c>
      <c r="I304" s="407">
        <f>G304*H304</f>
        <v/>
      </c>
      <c r="J304" s="402">
        <f>IFERROR(INDEX('06_BANG_GIA_VAT_TU_AP_DUNG'!$E$1:$E$5000, MATCH(E304, '06_BANG_GIA_VAT_TU_AP_DUNG'!$B$1:$B$5000, 0)), 0)</f>
        <v/>
      </c>
      <c r="K304" s="402">
        <f>I304*J304</f>
        <v/>
      </c>
      <c r="L304" t="inlineStr">
        <is>
          <t>1 trục dài 410mm</t>
        </is>
      </c>
    </row>
    <row r="305">
      <c r="A305" t="inlineStr">
        <is>
          <t>SW-DAMPER-062-BEARING</t>
        </is>
      </c>
      <c r="B305" t="inlineStr">
        <is>
          <t>SW-DAMPER-062</t>
        </is>
      </c>
      <c r="C305" t="inlineStr">
        <is>
          <t>Bạc đồng D10</t>
        </is>
      </c>
      <c r="D305" t="inlineStr">
        <is>
          <t>PHỤ_KIỆN_VAN</t>
        </is>
      </c>
      <c r="E305" t="inlineStr">
        <is>
          <t>MAT-DAMPER-BAC-DONG-D10</t>
        </is>
      </c>
      <c r="F305" t="inlineStr">
        <is>
          <t>Đôi</t>
        </is>
      </c>
      <c r="G305" s="406" t="n">
        <v>1</v>
      </c>
      <c r="H305" s="402">
        <f>IFERROR(INDEX('00_TONG_HOP_BAO_GIA'!$G$1:$G$5000, MATCH(B305, '00_TONG_HOP_BAO_GIA'!$B$1:$B$5000, 0)), 1)</f>
        <v/>
      </c>
      <c r="I305" s="407">
        <f>G305*H305</f>
        <v/>
      </c>
      <c r="J305" s="402">
        <f>IFERROR(INDEX('06_BANG_GIA_VAT_TU_AP_DUNG'!$E$1:$E$5000, MATCH(E305, '06_BANG_GIA_VAT_TU_AP_DUNG'!$B$1:$B$5000, 0)), 0)</f>
        <v/>
      </c>
      <c r="K305" s="402">
        <f>I305*J305</f>
        <v/>
      </c>
      <c r="L305" t="inlineStr">
        <is>
          <t>1 đôi bạc đỡ 2 bên thân</t>
        </is>
      </c>
    </row>
    <row r="306">
      <c r="A306" t="inlineStr">
        <is>
          <t>SW-DAMPER-062-ACTUATOR</t>
        </is>
      </c>
      <c r="B306" t="inlineStr">
        <is>
          <t>SW-DAMPER-062</t>
        </is>
      </c>
      <c r="C306" t="inlineStr">
        <is>
          <t>Động cơ chặn lửa ON/OFF 3.5Nm, 230V/24V (BELIMO FSLF24 / FSLF230)</t>
        </is>
      </c>
      <c r="D306" t="inlineStr">
        <is>
          <t>ĐỘNG_CƠ_VÀ_CẢM_BIẾN</t>
        </is>
      </c>
      <c r="E306" t="inlineStr">
        <is>
          <t>MAT-ACTUATOR-BELIMO-FSLF24</t>
        </is>
      </c>
      <c r="F306" t="inlineStr">
        <is>
          <t>Cái</t>
        </is>
      </c>
      <c r="G306" s="406" t="n">
        <v>1</v>
      </c>
      <c r="H306" s="402">
        <f>IFERROR(INDEX('00_TONG_HOP_BAO_GIA'!$G$1:$G$5000, MATCH(B306, '00_TONG_HOP_BAO_GIA'!$B$1:$B$5000, 0)), 1)</f>
        <v/>
      </c>
      <c r="I306" s="407">
        <f>G306*H306</f>
        <v/>
      </c>
      <c r="J306" s="402">
        <f>IFERROR(INDEX('06_BANG_GIA_VAT_TU_AP_DUNG'!$E$1:$E$5000, MATCH(E306, '06_BANG_GIA_VAT_TU_AP_DUNG'!$B$1:$B$5000, 0)), 0)</f>
        <v/>
      </c>
      <c r="K306" s="402">
        <f>I306*J306</f>
        <v/>
      </c>
      <c r="L306" t="inlineStr">
        <is>
          <t>Động cơ lò xo phản hồi MFD (1 bộ)</t>
        </is>
      </c>
    </row>
    <row r="307">
      <c r="A307" t="inlineStr">
        <is>
          <t>SW-DAMPER-062-FB10-BODY</t>
        </is>
      </c>
      <c r="B307" t="inlineStr">
        <is>
          <t>SW-DAMPER-062</t>
        </is>
      </c>
      <c r="C307" t="inlineStr">
        <is>
          <t>Tấm chống cháy dày 10mm bọc thân van FD/MFD (2 lớp)</t>
        </is>
      </c>
      <c r="D307" t="inlineStr">
        <is>
          <t>VẬT_LIỆU_CÁCH_NHIỆT</t>
        </is>
      </c>
      <c r="E307" t="inlineStr">
        <is>
          <t>MAT-FIREBOARD-10MM-BODY</t>
        </is>
      </c>
      <c r="F307" t="inlineStr">
        <is>
          <t>m2</t>
        </is>
      </c>
      <c r="G307" s="406" t="n">
        <v>0.6</v>
      </c>
      <c r="H307" s="402">
        <f>IFERROR(INDEX('00_TONG_HOP_BAO_GIA'!$G$1:$G$5000, MATCH(B307, '00_TONG_HOP_BAO_GIA'!$B$1:$B$5000, 0)), 1)</f>
        <v/>
      </c>
      <c r="I307" s="407">
        <f>G307*H307</f>
        <v/>
      </c>
      <c r="J307" s="402">
        <f>IFERROR(INDEX('06_BANG_GIA_VAT_TU_AP_DUNG'!$E$1:$E$5000, MATCH(E307, '06_BANG_GIA_VAT_TU_AP_DUNG'!$B$1:$B$5000, 0)), 0)</f>
        <v/>
      </c>
      <c r="K307" s="402">
        <f>I307*J307</f>
        <v/>
      </c>
      <c r="L307" t="inlineStr">
        <is>
          <t>Bọc 2 lớp tấm 10mm quanh thân L=300mm</t>
        </is>
      </c>
    </row>
    <row r="308">
      <c r="A308" t="inlineStr">
        <is>
          <t>SW-DAMPER-062-FB20-BLADE</t>
        </is>
      </c>
      <c r="B308" t="inlineStr">
        <is>
          <t>SW-DAMPER-062</t>
        </is>
      </c>
      <c r="C308" t="inlineStr">
        <is>
          <t>Tấm chống cháy dày 20mm làm lõi cánh van FD/MFD</t>
        </is>
      </c>
      <c r="D308" t="inlineStr">
        <is>
          <t>VẬT_LIỆU_CÁCH_NHIỆT</t>
        </is>
      </c>
      <c r="E308" t="inlineStr">
        <is>
          <t>MAT-FIREBOARD-20MM-BLADE</t>
        </is>
      </c>
      <c r="F308" t="inlineStr">
        <is>
          <t>m2</t>
        </is>
      </c>
      <c r="G308" s="406" t="n">
        <v>0.0525</v>
      </c>
      <c r="H308" s="402">
        <f>IFERROR(INDEX('00_TONG_HOP_BAO_GIA'!$G$1:$G$5000, MATCH(B308, '00_TONG_HOP_BAO_GIA'!$B$1:$B$5000, 0)), 1)</f>
        <v/>
      </c>
      <c r="I308" s="407">
        <f>G308*H308</f>
        <v/>
      </c>
      <c r="J308" s="402">
        <f>IFERROR(INDEX('06_BANG_GIA_VAT_TU_AP_DUNG'!$E$1:$E$5000, MATCH(E308, '06_BANG_GIA_VAT_TU_AP_DUNG'!$B$1:$B$5000, 0)), 0)</f>
        <v/>
      </c>
      <c r="K308" s="402">
        <f>I308*J308</f>
        <v/>
      </c>
      <c r="L308" t="inlineStr">
        <is>
          <t>Lõi cánh tấm 20mm (Cánh đơn 350x150mm)</t>
        </is>
      </c>
    </row>
    <row r="309">
      <c r="A309" t="inlineStr">
        <is>
          <t>SW-DAMPER-062-FB10-BLADE</t>
        </is>
      </c>
      <c r="B309" t="inlineStr">
        <is>
          <t>SW-DAMPER-062</t>
        </is>
      </c>
      <c r="C309" t="inlineStr">
        <is>
          <t>Tấm chống cháy dày 10mm ốp 2 mặt cánh van FD/MFD</t>
        </is>
      </c>
      <c r="D309" t="inlineStr">
        <is>
          <t>VẬT_LIỆU_CÁCH_NHIỆT</t>
        </is>
      </c>
      <c r="E309" t="inlineStr">
        <is>
          <t>MAT-FIREBOARD-10MM-BLADE</t>
        </is>
      </c>
      <c r="F309" t="inlineStr">
        <is>
          <t>m2</t>
        </is>
      </c>
      <c r="G309" s="406" t="n">
        <v>0.105</v>
      </c>
      <c r="H309" s="402">
        <f>IFERROR(INDEX('00_TONG_HOP_BAO_GIA'!$G$1:$G$5000, MATCH(B309, '00_TONG_HOP_BAO_GIA'!$B$1:$B$5000, 0)), 1)</f>
        <v/>
      </c>
      <c r="I309" s="407">
        <f>G309*H309</f>
        <v/>
      </c>
      <c r="J309" s="402">
        <f>IFERROR(INDEX('06_BANG_GIA_VAT_TU_AP_DUNG'!$E$1:$E$5000, MATCH(E309, '06_BANG_GIA_VAT_TU_AP_DUNG'!$B$1:$B$5000, 0)), 0)</f>
        <v/>
      </c>
      <c r="K309" s="402">
        <f>I309*J309</f>
        <v/>
      </c>
      <c r="L309" t="inlineStr">
        <is>
          <t>Ốp 2 mặt cánh tấm 10mm (Cánh đơn 350x150mm)</t>
        </is>
      </c>
    </row>
    <row r="310">
      <c r="A310" t="inlineStr">
        <is>
          <t>SW-DAMPER-062-SPRING-BOX</t>
        </is>
      </c>
      <c r="B310" t="inlineStr">
        <is>
          <t>SW-DAMPER-062</t>
        </is>
      </c>
      <c r="C310" t="inlineStr">
        <is>
          <t>Hộp lò xo van chặn lửa FD/MFD</t>
        </is>
      </c>
      <c r="D310" t="inlineStr">
        <is>
          <t>PHỤ_KIỆN_VAN</t>
        </is>
      </c>
      <c r="E310" t="inlineStr">
        <is>
          <t>MAT-DAMPER-HOP-LO-XO</t>
        </is>
      </c>
      <c r="F310" t="inlineStr">
        <is>
          <t>Bộ</t>
        </is>
      </c>
      <c r="G310" s="406" t="n">
        <v>1</v>
      </c>
      <c r="H310" s="402">
        <f>IFERROR(INDEX('00_TONG_HOP_BAO_GIA'!$G$1:$G$5000, MATCH(B310, '00_TONG_HOP_BAO_GIA'!$B$1:$B$5000, 0)), 1)</f>
        <v/>
      </c>
      <c r="I310" s="407">
        <f>G310*H310</f>
        <v/>
      </c>
      <c r="J310" s="402">
        <f>IFERROR(INDEX('06_BANG_GIA_VAT_TU_AP_DUNG'!$E$1:$E$5000, MATCH(E310, '06_BANG_GIA_VAT_TU_AP_DUNG'!$B$1:$B$5000, 0)), 0)</f>
        <v/>
      </c>
      <c r="K310" s="402">
        <f>I310*J310</f>
        <v/>
      </c>
      <c r="L310" t="inlineStr">
        <is>
          <t>Hộp lò xo cơ cấu đóng sập (1 bộ)</t>
        </is>
      </c>
    </row>
    <row r="311">
      <c r="A311" t="inlineStr">
        <is>
          <t>SW-DAMPER-062-SILICON-BOLT</t>
        </is>
      </c>
      <c r="B311" t="inlineStr">
        <is>
          <t>SW-DAMPER-062</t>
        </is>
      </c>
      <c r="C311" t="inlineStr">
        <is>
          <t>Silicon chống cháy + bu lông, ốc vít van FD/MFD</t>
        </is>
      </c>
      <c r="D311" t="inlineStr">
        <is>
          <t>PHỤ_KIỆN_VAN</t>
        </is>
      </c>
      <c r="E311" t="inlineStr">
        <is>
          <t>MAT-DAMPER-SILICON-BULONG-VIT</t>
        </is>
      </c>
      <c r="F311" t="inlineStr">
        <is>
          <t>Bộ</t>
        </is>
      </c>
      <c r="G311" s="406" t="n">
        <v>1</v>
      </c>
      <c r="H311" s="402">
        <f>IFERROR(INDEX('00_TONG_HOP_BAO_GIA'!$G$1:$G$5000, MATCH(B311, '00_TONG_HOP_BAO_GIA'!$B$1:$B$5000, 0)), 1)</f>
        <v/>
      </c>
      <c r="I311" s="407">
        <f>G311*H311</f>
        <v/>
      </c>
      <c r="J311" s="402">
        <f>IFERROR(INDEX('06_BANG_GIA_VAT_TU_AP_DUNG'!$E$1:$E$5000, MATCH(E311, '06_BANG_GIA_VAT_TU_AP_DUNG'!$B$1:$B$5000, 0)), 0)</f>
        <v/>
      </c>
      <c r="K311" s="402">
        <f>I311*J311</f>
        <v/>
      </c>
      <c r="L311" t="inlineStr">
        <is>
          <t>Keo silicon chống cháy &amp; phụ kiện lắp ghép (1 bộ)</t>
        </is>
      </c>
    </row>
    <row r="312">
      <c r="A312" t="inlineStr">
        <is>
          <t>SW-DAMPER-063-BODY</t>
        </is>
      </c>
      <c r="B312" t="inlineStr">
        <is>
          <t>SW-DAMPER-063</t>
        </is>
      </c>
      <c r="C312" t="inlineStr">
        <is>
          <t>Thân vỏ van MFD bích C30/TDF (1.15mm)</t>
        </is>
      </c>
      <c r="D312" t="inlineStr">
        <is>
          <t>TÔN_CUỘN_MẠ_KẼM</t>
        </is>
      </c>
      <c r="E312" t="inlineStr">
        <is>
          <t>MAT-STEEL-PN-1.15</t>
        </is>
      </c>
      <c r="F312" t="inlineStr">
        <is>
          <t>kg</t>
        </is>
      </c>
      <c r="G312" s="406" t="n">
        <v>6.7565421</v>
      </c>
      <c r="H312" s="402">
        <f>IFERROR(INDEX('00_TONG_HOP_BAO_GIA'!$G$1:$G$5000, MATCH(B312, '00_TONG_HOP_BAO_GIA'!$B$1:$B$5000, 0)), 1)</f>
        <v/>
      </c>
      <c r="I312" s="407">
        <f>G312*H312</f>
        <v/>
      </c>
      <c r="J312" s="402">
        <f>IFERROR(INDEX('06_BANG_GIA_VAT_TU_AP_DUNG'!$E$1:$E$5000, MATCH(E312, '06_BANG_GIA_VAT_TU_AP_DUNG'!$B$1:$B$5000, 0)), 0)</f>
        <v/>
      </c>
      <c r="K312" s="402">
        <f>I312*J312</f>
        <v/>
      </c>
      <c r="L312" t="inlineStr">
        <is>
          <t>Kích thước vỏ 1000x300x200mm</t>
        </is>
      </c>
    </row>
    <row r="313">
      <c r="A313" t="inlineStr">
        <is>
          <t>SW-DAMPER-063-BLADE</t>
        </is>
      </c>
      <c r="B313" t="inlineStr">
        <is>
          <t>SW-DAMPER-063</t>
        </is>
      </c>
      <c r="C313" t="inlineStr">
        <is>
          <t>Lá cánh / Tôn tấm bọc van (2 cánh)</t>
        </is>
      </c>
      <c r="D313" t="inlineStr">
        <is>
          <t>TÔN_CUỘN_MẠ_KẼM</t>
        </is>
      </c>
      <c r="E313" t="inlineStr">
        <is>
          <t>MAT-STEEL-PN-1.15</t>
        </is>
      </c>
      <c r="F313" t="inlineStr">
        <is>
          <t>kg</t>
        </is>
      </c>
      <c r="G313" s="406" t="n">
        <v>5.416499999999998</v>
      </c>
      <c r="H313" s="402">
        <f>IFERROR(INDEX('00_TONG_HOP_BAO_GIA'!$G$1:$G$5000, MATCH(B313, '00_TONG_HOP_BAO_GIA'!$B$1:$B$5000, 0)), 1)</f>
        <v/>
      </c>
      <c r="I313" s="407">
        <f>G313*H313</f>
        <v/>
      </c>
      <c r="J313" s="402">
        <f>IFERROR(INDEX('06_BANG_GIA_VAT_TU_AP_DUNG'!$E$1:$E$5000, MATCH(E313, '06_BANG_GIA_VAT_TU_AP_DUNG'!$B$1:$B$5000, 0)), 0)</f>
        <v/>
      </c>
      <c r="K313" s="402">
        <f>I313*J313</f>
        <v/>
      </c>
      <c r="L313" t="inlineStr">
        <is>
          <t>Tôn bọc cánh &amp; thân (2 cánh/modul)</t>
        </is>
      </c>
    </row>
    <row r="314">
      <c r="A314" t="inlineStr">
        <is>
          <t>SW-DAMPER-063-AXLE</t>
        </is>
      </c>
      <c r="B314" t="inlineStr">
        <is>
          <t>SW-DAMPER-063</t>
        </is>
      </c>
      <c r="C314" t="inlineStr">
        <is>
          <t>Trục Sus 201 D10</t>
        </is>
      </c>
      <c r="D314" t="inlineStr">
        <is>
          <t>PHỤ_KIỆN_VAN</t>
        </is>
      </c>
      <c r="E314" t="inlineStr">
        <is>
          <t>MAT-DAMPER-TRUC-SUS-201-D10</t>
        </is>
      </c>
      <c r="F314" t="inlineStr">
        <is>
          <t>m</t>
        </is>
      </c>
      <c r="G314" s="406" t="n">
        <v>2.12</v>
      </c>
      <c r="H314" s="402">
        <f>IFERROR(INDEX('00_TONG_HOP_BAO_GIA'!$G$1:$G$5000, MATCH(B314, '00_TONG_HOP_BAO_GIA'!$B$1:$B$5000, 0)), 1)</f>
        <v/>
      </c>
      <c r="I314" s="407">
        <f>G314*H314</f>
        <v/>
      </c>
      <c r="J314" s="402">
        <f>IFERROR(INDEX('06_BANG_GIA_VAT_TU_AP_DUNG'!$E$1:$E$5000, MATCH(E314, '06_BANG_GIA_VAT_TU_AP_DUNG'!$B$1:$B$5000, 0)), 0)</f>
        <v/>
      </c>
      <c r="K314" s="402">
        <f>I314*J314</f>
        <v/>
      </c>
      <c r="L314" t="inlineStr">
        <is>
          <t>2 trục dài 1060mm</t>
        </is>
      </c>
    </row>
    <row r="315">
      <c r="A315" t="inlineStr">
        <is>
          <t>SW-DAMPER-063-BEARING</t>
        </is>
      </c>
      <c r="B315" t="inlineStr">
        <is>
          <t>SW-DAMPER-063</t>
        </is>
      </c>
      <c r="C315" t="inlineStr">
        <is>
          <t>Bạc đồng D10</t>
        </is>
      </c>
      <c r="D315" t="inlineStr">
        <is>
          <t>PHỤ_KIỆN_VAN</t>
        </is>
      </c>
      <c r="E315" t="inlineStr">
        <is>
          <t>MAT-DAMPER-BAC-DONG-D10</t>
        </is>
      </c>
      <c r="F315" t="inlineStr">
        <is>
          <t>Đôi</t>
        </is>
      </c>
      <c r="G315" s="406" t="n">
        <v>2</v>
      </c>
      <c r="H315" s="402">
        <f>IFERROR(INDEX('00_TONG_HOP_BAO_GIA'!$G$1:$G$5000, MATCH(B315, '00_TONG_HOP_BAO_GIA'!$B$1:$B$5000, 0)), 1)</f>
        <v/>
      </c>
      <c r="I315" s="407">
        <f>G315*H315</f>
        <v/>
      </c>
      <c r="J315" s="402">
        <f>IFERROR(INDEX('06_BANG_GIA_VAT_TU_AP_DUNG'!$E$1:$E$5000, MATCH(E315, '06_BANG_GIA_VAT_TU_AP_DUNG'!$B$1:$B$5000, 0)), 0)</f>
        <v/>
      </c>
      <c r="K315" s="402">
        <f>I315*J315</f>
        <v/>
      </c>
      <c r="L315" t="inlineStr">
        <is>
          <t>2 đôi bạc đỡ 2 bên thân</t>
        </is>
      </c>
    </row>
    <row r="316">
      <c r="A316" t="inlineStr">
        <is>
          <t>SW-DAMPER-063-GEAR</t>
        </is>
      </c>
      <c r="B316" t="inlineStr">
        <is>
          <t>SW-DAMPER-063</t>
        </is>
      </c>
      <c r="C316" t="inlineStr">
        <is>
          <t>Bánh răng van nhôm</t>
        </is>
      </c>
      <c r="D316" t="inlineStr">
        <is>
          <t>PHỤ_KIỆN_VAN</t>
        </is>
      </c>
      <c r="E316" t="inlineStr">
        <is>
          <t>MAT-DAMPER-BANH-RANG-VAN-NHOM</t>
        </is>
      </c>
      <c r="F316" t="inlineStr">
        <is>
          <t>Bộ</t>
        </is>
      </c>
      <c r="G316" s="406" t="n">
        <v>1</v>
      </c>
      <c r="H316" s="402">
        <f>IFERROR(INDEX('00_TONG_HOP_BAO_GIA'!$G$1:$G$5000, MATCH(B316, '00_TONG_HOP_BAO_GIA'!$B$1:$B$5000, 0)), 1)</f>
        <v/>
      </c>
      <c r="I316" s="407">
        <f>G316*H316</f>
        <v/>
      </c>
      <c r="J316" s="402">
        <f>IFERROR(INDEX('06_BANG_GIA_VAT_TU_AP_DUNG'!$E$1:$E$5000, MATCH(E316, '06_BANG_GIA_VAT_TU_AP_DUNG'!$B$1:$B$5000, 0)), 0)</f>
        <v/>
      </c>
      <c r="K316" s="402">
        <f>I316*J316</f>
        <v/>
      </c>
      <c r="L316" t="inlineStr">
        <is>
          <t>Cơ cấu liên động cánh (1 bộ)</t>
        </is>
      </c>
    </row>
    <row r="317">
      <c r="A317" t="inlineStr">
        <is>
          <t>SW-DAMPER-063-ACTUATOR</t>
        </is>
      </c>
      <c r="B317" t="inlineStr">
        <is>
          <t>SW-DAMPER-063</t>
        </is>
      </c>
      <c r="C317" t="inlineStr">
        <is>
          <t>Động cơ chặn lửa ON/OFF 9Nm, 230V/24V (BELIMO BFN24 / BFN230)</t>
        </is>
      </c>
      <c r="D317" t="inlineStr">
        <is>
          <t>ĐỘNG_CƠ_VÀ_CẢM_BIẾN</t>
        </is>
      </c>
      <c r="E317" t="inlineStr">
        <is>
          <t>MAT-ACTUATOR-BELIMO-BFN24</t>
        </is>
      </c>
      <c r="F317" t="inlineStr">
        <is>
          <t>Cái</t>
        </is>
      </c>
      <c r="G317" s="406" t="n">
        <v>1</v>
      </c>
      <c r="H317" s="402">
        <f>IFERROR(INDEX('00_TONG_HOP_BAO_GIA'!$G$1:$G$5000, MATCH(B317, '00_TONG_HOP_BAO_GIA'!$B$1:$B$5000, 0)), 1)</f>
        <v/>
      </c>
      <c r="I317" s="407">
        <f>G317*H317</f>
        <v/>
      </c>
      <c r="J317" s="402">
        <f>IFERROR(INDEX('06_BANG_GIA_VAT_TU_AP_DUNG'!$E$1:$E$5000, MATCH(E317, '06_BANG_GIA_VAT_TU_AP_DUNG'!$B$1:$B$5000, 0)), 0)</f>
        <v/>
      </c>
      <c r="K317" s="402">
        <f>I317*J317</f>
        <v/>
      </c>
      <c r="L317" t="inlineStr">
        <is>
          <t>Động cơ lò xo phản hồi MFD (1 bộ)</t>
        </is>
      </c>
    </row>
    <row r="318">
      <c r="A318" t="inlineStr">
        <is>
          <t>SW-DAMPER-063-FB10-BODY</t>
        </is>
      </c>
      <c r="B318" t="inlineStr">
        <is>
          <t>SW-DAMPER-063</t>
        </is>
      </c>
      <c r="C318" t="inlineStr">
        <is>
          <t>Tấm chống cháy dày 10mm bọc thân van FD/MFD (2 lớp)</t>
        </is>
      </c>
      <c r="D318" t="inlineStr">
        <is>
          <t>VẬT_LIỆU_CÁCH_NHIỆT</t>
        </is>
      </c>
      <c r="E318" t="inlineStr">
        <is>
          <t>MAT-FIREBOARD-10MM-BODY</t>
        </is>
      </c>
      <c r="F318" t="inlineStr">
        <is>
          <t>m2</t>
        </is>
      </c>
      <c r="G318" s="406" t="n">
        <v>1.56</v>
      </c>
      <c r="H318" s="402">
        <f>IFERROR(INDEX('00_TONG_HOP_BAO_GIA'!$G$1:$G$5000, MATCH(B318, '00_TONG_HOP_BAO_GIA'!$B$1:$B$5000, 0)), 1)</f>
        <v/>
      </c>
      <c r="I318" s="407">
        <f>G318*H318</f>
        <v/>
      </c>
      <c r="J318" s="402">
        <f>IFERROR(INDEX('06_BANG_GIA_VAT_TU_AP_DUNG'!$E$1:$E$5000, MATCH(E318, '06_BANG_GIA_VAT_TU_AP_DUNG'!$B$1:$B$5000, 0)), 0)</f>
        <v/>
      </c>
      <c r="K318" s="402">
        <f>I318*J318</f>
        <v/>
      </c>
      <c r="L318" t="inlineStr">
        <is>
          <t>Bọc 2 lớp tấm 10mm quanh thân L=300mm</t>
        </is>
      </c>
    </row>
    <row r="319">
      <c r="A319" t="inlineStr">
        <is>
          <t>SW-DAMPER-063-FB20-BLADE</t>
        </is>
      </c>
      <c r="B319" t="inlineStr">
        <is>
          <t>SW-DAMPER-063</t>
        </is>
      </c>
      <c r="C319" t="inlineStr">
        <is>
          <t>Tấm chống cháy dày 20mm làm lõi cánh van FD/MFD</t>
        </is>
      </c>
      <c r="D319" t="inlineStr">
        <is>
          <t>VẬT_LIỆU_CÁCH_NHIỆT</t>
        </is>
      </c>
      <c r="E319" t="inlineStr">
        <is>
          <t>MAT-FIREBOARD-20MM-BLADE</t>
        </is>
      </c>
      <c r="F319" t="inlineStr">
        <is>
          <t>m2</t>
        </is>
      </c>
      <c r="G319" s="406" t="n">
        <v>0.4482020134228188</v>
      </c>
      <c r="H319" s="402">
        <f>IFERROR(INDEX('00_TONG_HOP_BAO_GIA'!$G$1:$G$5000, MATCH(B319, '00_TONG_HOP_BAO_GIA'!$B$1:$B$5000, 0)), 1)</f>
        <v/>
      </c>
      <c r="I319" s="407">
        <f>G319*H319</f>
        <v/>
      </c>
      <c r="J319" s="402">
        <f>IFERROR(INDEX('06_BANG_GIA_VAT_TU_AP_DUNG'!$E$1:$E$5000, MATCH(E319, '06_BANG_GIA_VAT_TU_AP_DUNG'!$B$1:$B$5000, 0)), 0)</f>
        <v/>
      </c>
      <c r="K319" s="402">
        <f>I319*J319</f>
        <v/>
      </c>
      <c r="L319" t="inlineStr">
        <is>
          <t>Lõi cánh tấm 20mm (Đa cánh hệ số (H-5)/149=1.98, bản rộng 210mm, hao hụt 10%)</t>
        </is>
      </c>
    </row>
    <row r="320">
      <c r="A320" t="inlineStr">
        <is>
          <t>SW-DAMPER-063-FB10-BLADE</t>
        </is>
      </c>
      <c r="B320" t="inlineStr">
        <is>
          <t>SW-DAMPER-063</t>
        </is>
      </c>
      <c r="C320" t="inlineStr">
        <is>
          <t>Tấm chống cháy dày 10mm ốp 2 mặt cánh van FD/MFD</t>
        </is>
      </c>
      <c r="D320" t="inlineStr">
        <is>
          <t>VẬT_LIỆU_CÁCH_NHIỆT</t>
        </is>
      </c>
      <c r="E320" t="inlineStr">
        <is>
          <t>MAT-FIREBOARD-10MM-BLADE</t>
        </is>
      </c>
      <c r="F320" t="inlineStr">
        <is>
          <t>m2</t>
        </is>
      </c>
      <c r="G320" s="406" t="n">
        <v>0.9146979865771812</v>
      </c>
      <c r="H320" s="402">
        <f>IFERROR(INDEX('00_TONG_HOP_BAO_GIA'!$G$1:$G$5000, MATCH(B320, '00_TONG_HOP_BAO_GIA'!$B$1:$B$5000, 0)), 1)</f>
        <v/>
      </c>
      <c r="I320" s="407">
        <f>G320*H320</f>
        <v/>
      </c>
      <c r="J320" s="402">
        <f>IFERROR(INDEX('06_BANG_GIA_VAT_TU_AP_DUNG'!$E$1:$E$5000, MATCH(E320, '06_BANG_GIA_VAT_TU_AP_DUNG'!$B$1:$B$5000, 0)), 0)</f>
        <v/>
      </c>
      <c r="K320" s="402">
        <f>I320*J320</f>
        <v/>
      </c>
      <c r="L320" t="inlineStr">
        <is>
          <t>Ốp 2 mặt cánh tấm 10mm (Đa cánh hệ số (H-5)/149=1.98, bản rộng 210mm, hao hụt 10%)</t>
        </is>
      </c>
    </row>
    <row r="321">
      <c r="A321" t="inlineStr">
        <is>
          <t>SW-DAMPER-063-SPRING-BOX</t>
        </is>
      </c>
      <c r="B321" t="inlineStr">
        <is>
          <t>SW-DAMPER-063</t>
        </is>
      </c>
      <c r="C321" t="inlineStr">
        <is>
          <t>Hộp lò xo van chặn lửa FD/MFD</t>
        </is>
      </c>
      <c r="D321" t="inlineStr">
        <is>
          <t>PHỤ_KIỆN_VAN</t>
        </is>
      </c>
      <c r="E321" t="inlineStr">
        <is>
          <t>MAT-DAMPER-HOP-LO-XO</t>
        </is>
      </c>
      <c r="F321" t="inlineStr">
        <is>
          <t>Bộ</t>
        </is>
      </c>
      <c r="G321" s="406" t="n">
        <v>1</v>
      </c>
      <c r="H321" s="402">
        <f>IFERROR(INDEX('00_TONG_HOP_BAO_GIA'!$G$1:$G$5000, MATCH(B321, '00_TONG_HOP_BAO_GIA'!$B$1:$B$5000, 0)), 1)</f>
        <v/>
      </c>
      <c r="I321" s="407">
        <f>G321*H321</f>
        <v/>
      </c>
      <c r="J321" s="402">
        <f>IFERROR(INDEX('06_BANG_GIA_VAT_TU_AP_DUNG'!$E$1:$E$5000, MATCH(E321, '06_BANG_GIA_VAT_TU_AP_DUNG'!$B$1:$B$5000, 0)), 0)</f>
        <v/>
      </c>
      <c r="K321" s="402">
        <f>I321*J321</f>
        <v/>
      </c>
      <c r="L321" t="inlineStr">
        <is>
          <t>Hộp lò xo cơ cấu đóng sập (1 bộ)</t>
        </is>
      </c>
    </row>
    <row r="322">
      <c r="A322" t="inlineStr">
        <is>
          <t>SW-DAMPER-063-SILICON-BOLT</t>
        </is>
      </c>
      <c r="B322" t="inlineStr">
        <is>
          <t>SW-DAMPER-063</t>
        </is>
      </c>
      <c r="C322" t="inlineStr">
        <is>
          <t>Silicon chống cháy + bu lông, ốc vít van FD/MFD</t>
        </is>
      </c>
      <c r="D322" t="inlineStr">
        <is>
          <t>PHỤ_KIỆN_VAN</t>
        </is>
      </c>
      <c r="E322" t="inlineStr">
        <is>
          <t>MAT-DAMPER-SILICON-BULONG-VIT</t>
        </is>
      </c>
      <c r="F322" t="inlineStr">
        <is>
          <t>Bộ</t>
        </is>
      </c>
      <c r="G322" s="406" t="n">
        <v>1</v>
      </c>
      <c r="H322" s="402">
        <f>IFERROR(INDEX('00_TONG_HOP_BAO_GIA'!$G$1:$G$5000, MATCH(B322, '00_TONG_HOP_BAO_GIA'!$B$1:$B$5000, 0)), 1)</f>
        <v/>
      </c>
      <c r="I322" s="407">
        <f>G322*H322</f>
        <v/>
      </c>
      <c r="J322" s="402">
        <f>IFERROR(INDEX('06_BANG_GIA_VAT_TU_AP_DUNG'!$E$1:$E$5000, MATCH(E322, '06_BANG_GIA_VAT_TU_AP_DUNG'!$B$1:$B$5000, 0)), 0)</f>
        <v/>
      </c>
      <c r="K322" s="402">
        <f>I322*J322</f>
        <v/>
      </c>
      <c r="L322" t="inlineStr">
        <is>
          <t>Keo silicon chống cháy &amp; phụ kiện lắp ghép (1 bộ)</t>
        </is>
      </c>
    </row>
    <row r="323">
      <c r="A323" t="inlineStr">
        <is>
          <t>SW-DAMPER-064-BODY</t>
        </is>
      </c>
      <c r="B323" t="inlineStr">
        <is>
          <t>SW-DAMPER-064</t>
        </is>
      </c>
      <c r="C323" t="inlineStr">
        <is>
          <t>Thân vỏ van MFD bích C30/TDF (1.15mm)</t>
        </is>
      </c>
      <c r="D323" t="inlineStr">
        <is>
          <t>TÔN_CUỘN_MẠ_KẼM</t>
        </is>
      </c>
      <c r="E323" t="inlineStr">
        <is>
          <t>MAT-STEEL-PN-1.15</t>
        </is>
      </c>
      <c r="F323" t="inlineStr">
        <is>
          <t>kg</t>
        </is>
      </c>
      <c r="G323" s="406" t="n">
        <v>5.988753224999999</v>
      </c>
      <c r="H323" s="402">
        <f>IFERROR(INDEX('00_TONG_HOP_BAO_GIA'!$G$1:$G$5000, MATCH(B323, '00_TONG_HOP_BAO_GIA'!$B$1:$B$5000, 0)), 1)</f>
        <v/>
      </c>
      <c r="I323" s="407">
        <f>G323*H323</f>
        <v/>
      </c>
      <c r="J323" s="402">
        <f>IFERROR(INDEX('06_BANG_GIA_VAT_TU_AP_DUNG'!$E$1:$E$5000, MATCH(E323, '06_BANG_GIA_VAT_TU_AP_DUNG'!$B$1:$B$5000, 0)), 0)</f>
        <v/>
      </c>
      <c r="K323" s="402">
        <f>I323*J323</f>
        <v/>
      </c>
      <c r="L323" t="inlineStr">
        <is>
          <t>Kích thước vỏ 850x300x200mm</t>
        </is>
      </c>
    </row>
    <row r="324">
      <c r="A324" t="inlineStr">
        <is>
          <t>SW-DAMPER-064-BLADE</t>
        </is>
      </c>
      <c r="B324" t="inlineStr">
        <is>
          <t>SW-DAMPER-064</t>
        </is>
      </c>
      <c r="C324" t="inlineStr">
        <is>
          <t>Lá cánh / Tôn tấm bọc van (2 cánh)</t>
        </is>
      </c>
      <c r="D324" t="inlineStr">
        <is>
          <t>TÔN_CUỘN_MẠ_KẼM</t>
        </is>
      </c>
      <c r="E324" t="inlineStr">
        <is>
          <t>MAT-STEEL-PN-1.15</t>
        </is>
      </c>
      <c r="F324" t="inlineStr">
        <is>
          <t>kg</t>
        </is>
      </c>
      <c r="G324" s="406" t="n">
        <v>4.604024999999999</v>
      </c>
      <c r="H324" s="402">
        <f>IFERROR(INDEX('00_TONG_HOP_BAO_GIA'!$G$1:$G$5000, MATCH(B324, '00_TONG_HOP_BAO_GIA'!$B$1:$B$5000, 0)), 1)</f>
        <v/>
      </c>
      <c r="I324" s="407">
        <f>G324*H324</f>
        <v/>
      </c>
      <c r="J324" s="402">
        <f>IFERROR(INDEX('06_BANG_GIA_VAT_TU_AP_DUNG'!$E$1:$E$5000, MATCH(E324, '06_BANG_GIA_VAT_TU_AP_DUNG'!$B$1:$B$5000, 0)), 0)</f>
        <v/>
      </c>
      <c r="K324" s="402">
        <f>I324*J324</f>
        <v/>
      </c>
      <c r="L324" t="inlineStr">
        <is>
          <t>Tôn bọc cánh &amp; thân (2 cánh/modul)</t>
        </is>
      </c>
    </row>
    <row r="325">
      <c r="A325" t="inlineStr">
        <is>
          <t>SW-DAMPER-064-AXLE</t>
        </is>
      </c>
      <c r="B325" t="inlineStr">
        <is>
          <t>SW-DAMPER-064</t>
        </is>
      </c>
      <c r="C325" t="inlineStr">
        <is>
          <t>Trục Sus 201 D10</t>
        </is>
      </c>
      <c r="D325" t="inlineStr">
        <is>
          <t>PHỤ_KIỆN_VAN</t>
        </is>
      </c>
      <c r="E325" t="inlineStr">
        <is>
          <t>MAT-DAMPER-TRUC-SUS-201-D10</t>
        </is>
      </c>
      <c r="F325" t="inlineStr">
        <is>
          <t>m</t>
        </is>
      </c>
      <c r="G325" s="406" t="n">
        <v>1.82</v>
      </c>
      <c r="H325" s="402">
        <f>IFERROR(INDEX('00_TONG_HOP_BAO_GIA'!$G$1:$G$5000, MATCH(B325, '00_TONG_HOP_BAO_GIA'!$B$1:$B$5000, 0)), 1)</f>
        <v/>
      </c>
      <c r="I325" s="407">
        <f>G325*H325</f>
        <v/>
      </c>
      <c r="J325" s="402">
        <f>IFERROR(INDEX('06_BANG_GIA_VAT_TU_AP_DUNG'!$E$1:$E$5000, MATCH(E325, '06_BANG_GIA_VAT_TU_AP_DUNG'!$B$1:$B$5000, 0)), 0)</f>
        <v/>
      </c>
      <c r="K325" s="402">
        <f>I325*J325</f>
        <v/>
      </c>
      <c r="L325" t="inlineStr">
        <is>
          <t>2 trục dài 910mm</t>
        </is>
      </c>
    </row>
    <row r="326">
      <c r="A326" t="inlineStr">
        <is>
          <t>SW-DAMPER-064-BEARING</t>
        </is>
      </c>
      <c r="B326" t="inlineStr">
        <is>
          <t>SW-DAMPER-064</t>
        </is>
      </c>
      <c r="C326" t="inlineStr">
        <is>
          <t>Bạc đồng D10</t>
        </is>
      </c>
      <c r="D326" t="inlineStr">
        <is>
          <t>PHỤ_KIỆN_VAN</t>
        </is>
      </c>
      <c r="E326" t="inlineStr">
        <is>
          <t>MAT-DAMPER-BAC-DONG-D10</t>
        </is>
      </c>
      <c r="F326" t="inlineStr">
        <is>
          <t>Đôi</t>
        </is>
      </c>
      <c r="G326" s="406" t="n">
        <v>2</v>
      </c>
      <c r="H326" s="402">
        <f>IFERROR(INDEX('00_TONG_HOP_BAO_GIA'!$G$1:$G$5000, MATCH(B326, '00_TONG_HOP_BAO_GIA'!$B$1:$B$5000, 0)), 1)</f>
        <v/>
      </c>
      <c r="I326" s="407">
        <f>G326*H326</f>
        <v/>
      </c>
      <c r="J326" s="402">
        <f>IFERROR(INDEX('06_BANG_GIA_VAT_TU_AP_DUNG'!$E$1:$E$5000, MATCH(E326, '06_BANG_GIA_VAT_TU_AP_DUNG'!$B$1:$B$5000, 0)), 0)</f>
        <v/>
      </c>
      <c r="K326" s="402">
        <f>I326*J326</f>
        <v/>
      </c>
      <c r="L326" t="inlineStr">
        <is>
          <t>2 đôi bạc đỡ 2 bên thân</t>
        </is>
      </c>
    </row>
    <row r="327">
      <c r="A327" t="inlineStr">
        <is>
          <t>SW-DAMPER-064-GEAR</t>
        </is>
      </c>
      <c r="B327" t="inlineStr">
        <is>
          <t>SW-DAMPER-064</t>
        </is>
      </c>
      <c r="C327" t="inlineStr">
        <is>
          <t>Bánh răng van nhôm</t>
        </is>
      </c>
      <c r="D327" t="inlineStr">
        <is>
          <t>PHỤ_KIỆN_VAN</t>
        </is>
      </c>
      <c r="E327" t="inlineStr">
        <is>
          <t>MAT-DAMPER-BANH-RANG-VAN-NHOM</t>
        </is>
      </c>
      <c r="F327" t="inlineStr">
        <is>
          <t>Bộ</t>
        </is>
      </c>
      <c r="G327" s="406" t="n">
        <v>1</v>
      </c>
      <c r="H327" s="402">
        <f>IFERROR(INDEX('00_TONG_HOP_BAO_GIA'!$G$1:$G$5000, MATCH(B327, '00_TONG_HOP_BAO_GIA'!$B$1:$B$5000, 0)), 1)</f>
        <v/>
      </c>
      <c r="I327" s="407">
        <f>G327*H327</f>
        <v/>
      </c>
      <c r="J327" s="402">
        <f>IFERROR(INDEX('06_BANG_GIA_VAT_TU_AP_DUNG'!$E$1:$E$5000, MATCH(E327, '06_BANG_GIA_VAT_TU_AP_DUNG'!$B$1:$B$5000, 0)), 0)</f>
        <v/>
      </c>
      <c r="K327" s="402">
        <f>I327*J327</f>
        <v/>
      </c>
      <c r="L327" t="inlineStr">
        <is>
          <t>Cơ cấu liên động cánh (1 bộ)</t>
        </is>
      </c>
    </row>
    <row r="328">
      <c r="A328" t="inlineStr">
        <is>
          <t>SW-DAMPER-064-ACTUATOR</t>
        </is>
      </c>
      <c r="B328" t="inlineStr">
        <is>
          <t>SW-DAMPER-064</t>
        </is>
      </c>
      <c r="C328" t="inlineStr">
        <is>
          <t>Động cơ chặn lửa ON/OFF 9Nm, 230V/24V (BELIMO BFN24 / BFN230)</t>
        </is>
      </c>
      <c r="D328" t="inlineStr">
        <is>
          <t>ĐỘNG_CƠ_VÀ_CẢM_BIẾN</t>
        </is>
      </c>
      <c r="E328" t="inlineStr">
        <is>
          <t>MAT-ACTUATOR-BELIMO-BFN24</t>
        </is>
      </c>
      <c r="F328" t="inlineStr">
        <is>
          <t>Cái</t>
        </is>
      </c>
      <c r="G328" s="406" t="n">
        <v>1</v>
      </c>
      <c r="H328" s="402">
        <f>IFERROR(INDEX('00_TONG_HOP_BAO_GIA'!$G$1:$G$5000, MATCH(B328, '00_TONG_HOP_BAO_GIA'!$B$1:$B$5000, 0)), 1)</f>
        <v/>
      </c>
      <c r="I328" s="407">
        <f>G328*H328</f>
        <v/>
      </c>
      <c r="J328" s="402">
        <f>IFERROR(INDEX('06_BANG_GIA_VAT_TU_AP_DUNG'!$E$1:$E$5000, MATCH(E328, '06_BANG_GIA_VAT_TU_AP_DUNG'!$B$1:$B$5000, 0)), 0)</f>
        <v/>
      </c>
      <c r="K328" s="402">
        <f>I328*J328</f>
        <v/>
      </c>
      <c r="L328" t="inlineStr">
        <is>
          <t>Động cơ lò xo phản hồi MFD (1 bộ)</t>
        </is>
      </c>
    </row>
    <row r="329">
      <c r="A329" t="inlineStr">
        <is>
          <t>SW-DAMPER-064-FB10-BODY</t>
        </is>
      </c>
      <c r="B329" t="inlineStr">
        <is>
          <t>SW-DAMPER-064</t>
        </is>
      </c>
      <c r="C329" t="inlineStr">
        <is>
          <t>Tấm chống cháy dày 10mm bọc thân van FD/MFD (2 lớp)</t>
        </is>
      </c>
      <c r="D329" t="inlineStr">
        <is>
          <t>VẬT_LIỆU_CÁCH_NHIỆT</t>
        </is>
      </c>
      <c r="E329" t="inlineStr">
        <is>
          <t>MAT-FIREBOARD-10MM-BODY</t>
        </is>
      </c>
      <c r="F329" t="inlineStr">
        <is>
          <t>m2</t>
        </is>
      </c>
      <c r="G329" s="406" t="n">
        <v>1.38</v>
      </c>
      <c r="H329" s="402">
        <f>IFERROR(INDEX('00_TONG_HOP_BAO_GIA'!$G$1:$G$5000, MATCH(B329, '00_TONG_HOP_BAO_GIA'!$B$1:$B$5000, 0)), 1)</f>
        <v/>
      </c>
      <c r="I329" s="407">
        <f>G329*H329</f>
        <v/>
      </c>
      <c r="J329" s="402">
        <f>IFERROR(INDEX('06_BANG_GIA_VAT_TU_AP_DUNG'!$E$1:$E$5000, MATCH(E329, '06_BANG_GIA_VAT_TU_AP_DUNG'!$B$1:$B$5000, 0)), 0)</f>
        <v/>
      </c>
      <c r="K329" s="402">
        <f>I329*J329</f>
        <v/>
      </c>
      <c r="L329" t="inlineStr">
        <is>
          <t>Bọc 2 lớp tấm 10mm quanh thân L=300mm</t>
        </is>
      </c>
    </row>
    <row r="330">
      <c r="A330" t="inlineStr">
        <is>
          <t>SW-DAMPER-064-FB20-BLADE</t>
        </is>
      </c>
      <c r="B330" t="inlineStr">
        <is>
          <t>SW-DAMPER-064</t>
        </is>
      </c>
      <c r="C330" t="inlineStr">
        <is>
          <t>Tấm chống cháy dày 20mm làm lõi cánh van FD/MFD</t>
        </is>
      </c>
      <c r="D330" t="inlineStr">
        <is>
          <t>VẬT_LIỆU_CÁCH_NHIỆT</t>
        </is>
      </c>
      <c r="E330" t="inlineStr">
        <is>
          <t>MAT-FIREBOARD-20MM-BLADE</t>
        </is>
      </c>
      <c r="F330" t="inlineStr">
        <is>
          <t>m2</t>
        </is>
      </c>
      <c r="G330" s="406" t="n">
        <v>0.3795996644295302</v>
      </c>
      <c r="H330" s="402">
        <f>IFERROR(INDEX('00_TONG_HOP_BAO_GIA'!$G$1:$G$5000, MATCH(B330, '00_TONG_HOP_BAO_GIA'!$B$1:$B$5000, 0)), 1)</f>
        <v/>
      </c>
      <c r="I330" s="407">
        <f>G330*H330</f>
        <v/>
      </c>
      <c r="J330" s="402">
        <f>IFERROR(INDEX('06_BANG_GIA_VAT_TU_AP_DUNG'!$E$1:$E$5000, MATCH(E330, '06_BANG_GIA_VAT_TU_AP_DUNG'!$B$1:$B$5000, 0)), 0)</f>
        <v/>
      </c>
      <c r="K330" s="402">
        <f>I330*J330</f>
        <v/>
      </c>
      <c r="L330" t="inlineStr">
        <is>
          <t>Lõi cánh tấm 20mm (Đa cánh hệ số (H-5)/149=1.98, bản rộng 210mm, hao hụt 10%)</t>
        </is>
      </c>
    </row>
    <row r="331">
      <c r="A331" t="inlineStr">
        <is>
          <t>SW-DAMPER-064-FB10-BLADE</t>
        </is>
      </c>
      <c r="B331" t="inlineStr">
        <is>
          <t>SW-DAMPER-064</t>
        </is>
      </c>
      <c r="C331" t="inlineStr">
        <is>
          <t>Tấm chống cháy dày 10mm ốp 2 mặt cánh van FD/MFD</t>
        </is>
      </c>
      <c r="D331" t="inlineStr">
        <is>
          <t>VẬT_LIỆU_CÁCH_NHIỆT</t>
        </is>
      </c>
      <c r="E331" t="inlineStr">
        <is>
          <t>MAT-FIREBOARD-10MM-BLADE</t>
        </is>
      </c>
      <c r="F331" t="inlineStr">
        <is>
          <t>m2</t>
        </is>
      </c>
      <c r="G331" s="406" t="n">
        <v>0.7774932885906041</v>
      </c>
      <c r="H331" s="402">
        <f>IFERROR(INDEX('00_TONG_HOP_BAO_GIA'!$G$1:$G$5000, MATCH(B331, '00_TONG_HOP_BAO_GIA'!$B$1:$B$5000, 0)), 1)</f>
        <v/>
      </c>
      <c r="I331" s="407">
        <f>G331*H331</f>
        <v/>
      </c>
      <c r="J331" s="402">
        <f>IFERROR(INDEX('06_BANG_GIA_VAT_TU_AP_DUNG'!$E$1:$E$5000, MATCH(E331, '06_BANG_GIA_VAT_TU_AP_DUNG'!$B$1:$B$5000, 0)), 0)</f>
        <v/>
      </c>
      <c r="K331" s="402">
        <f>I331*J331</f>
        <v/>
      </c>
      <c r="L331" t="inlineStr">
        <is>
          <t>Ốp 2 mặt cánh tấm 10mm (Đa cánh hệ số (H-5)/149=1.98, bản rộng 210mm, hao hụt 10%)</t>
        </is>
      </c>
    </row>
    <row r="332">
      <c r="A332" t="inlineStr">
        <is>
          <t>SW-DAMPER-064-SPRING-BOX</t>
        </is>
      </c>
      <c r="B332" t="inlineStr">
        <is>
          <t>SW-DAMPER-064</t>
        </is>
      </c>
      <c r="C332" t="inlineStr">
        <is>
          <t>Hộp lò xo van chặn lửa FD/MFD</t>
        </is>
      </c>
      <c r="D332" t="inlineStr">
        <is>
          <t>PHỤ_KIỆN_VAN</t>
        </is>
      </c>
      <c r="E332" t="inlineStr">
        <is>
          <t>MAT-DAMPER-HOP-LO-XO</t>
        </is>
      </c>
      <c r="F332" t="inlineStr">
        <is>
          <t>Bộ</t>
        </is>
      </c>
      <c r="G332" s="406" t="n">
        <v>1</v>
      </c>
      <c r="H332" s="402">
        <f>IFERROR(INDEX('00_TONG_HOP_BAO_GIA'!$G$1:$G$5000, MATCH(B332, '00_TONG_HOP_BAO_GIA'!$B$1:$B$5000, 0)), 1)</f>
        <v/>
      </c>
      <c r="I332" s="407">
        <f>G332*H332</f>
        <v/>
      </c>
      <c r="J332" s="402">
        <f>IFERROR(INDEX('06_BANG_GIA_VAT_TU_AP_DUNG'!$E$1:$E$5000, MATCH(E332, '06_BANG_GIA_VAT_TU_AP_DUNG'!$B$1:$B$5000, 0)), 0)</f>
        <v/>
      </c>
      <c r="K332" s="402">
        <f>I332*J332</f>
        <v/>
      </c>
      <c r="L332" t="inlineStr">
        <is>
          <t>Hộp lò xo cơ cấu đóng sập (1 bộ)</t>
        </is>
      </c>
    </row>
    <row r="333">
      <c r="A333" t="inlineStr">
        <is>
          <t>SW-DAMPER-064-SILICON-BOLT</t>
        </is>
      </c>
      <c r="B333" t="inlineStr">
        <is>
          <t>SW-DAMPER-064</t>
        </is>
      </c>
      <c r="C333" t="inlineStr">
        <is>
          <t>Silicon chống cháy + bu lông, ốc vít van FD/MFD</t>
        </is>
      </c>
      <c r="D333" t="inlineStr">
        <is>
          <t>PHỤ_KIỆN_VAN</t>
        </is>
      </c>
      <c r="E333" t="inlineStr">
        <is>
          <t>MAT-DAMPER-SILICON-BULONG-VIT</t>
        </is>
      </c>
      <c r="F333" t="inlineStr">
        <is>
          <t>Bộ</t>
        </is>
      </c>
      <c r="G333" s="406" t="n">
        <v>1</v>
      </c>
      <c r="H333" s="402">
        <f>IFERROR(INDEX('00_TONG_HOP_BAO_GIA'!$G$1:$G$5000, MATCH(B333, '00_TONG_HOP_BAO_GIA'!$B$1:$B$5000, 0)), 1)</f>
        <v/>
      </c>
      <c r="I333" s="407">
        <f>G333*H333</f>
        <v/>
      </c>
      <c r="J333" s="402">
        <f>IFERROR(INDEX('06_BANG_GIA_VAT_TU_AP_DUNG'!$E$1:$E$5000, MATCH(E333, '06_BANG_GIA_VAT_TU_AP_DUNG'!$B$1:$B$5000, 0)), 0)</f>
        <v/>
      </c>
      <c r="K333" s="402">
        <f>I333*J333</f>
        <v/>
      </c>
      <c r="L333" t="inlineStr">
        <is>
          <t>Keo silicon chống cháy &amp; phụ kiện lắp ghép (1 bộ)</t>
        </is>
      </c>
    </row>
    <row r="334">
      <c r="A334" t="inlineStr">
        <is>
          <t>SW-DAMPER-065-BODY</t>
        </is>
      </c>
      <c r="B334" t="inlineStr">
        <is>
          <t>SW-DAMPER-065</t>
        </is>
      </c>
      <c r="C334" t="inlineStr">
        <is>
          <t>Thân vỏ van MFD bích C30/TDF (1.15mm)</t>
        </is>
      </c>
      <c r="D334" t="inlineStr">
        <is>
          <t>TÔN_CUỘN_MẠ_KẼM</t>
        </is>
      </c>
      <c r="E334" t="inlineStr">
        <is>
          <t>MAT-STEEL-PN-1.15</t>
        </is>
      </c>
      <c r="F334" t="inlineStr">
        <is>
          <t>kg</t>
        </is>
      </c>
      <c r="G334" s="406" t="n">
        <v>5.988753224999999</v>
      </c>
      <c r="H334" s="402">
        <f>IFERROR(INDEX('00_TONG_HOP_BAO_GIA'!$G$1:$G$5000, MATCH(B334, '00_TONG_HOP_BAO_GIA'!$B$1:$B$5000, 0)), 1)</f>
        <v/>
      </c>
      <c r="I334" s="407">
        <f>G334*H334</f>
        <v/>
      </c>
      <c r="J334" s="402">
        <f>IFERROR(INDEX('06_BANG_GIA_VAT_TU_AP_DUNG'!$E$1:$E$5000, MATCH(E334, '06_BANG_GIA_VAT_TU_AP_DUNG'!$B$1:$B$5000, 0)), 0)</f>
        <v/>
      </c>
      <c r="K334" s="402">
        <f>I334*J334</f>
        <v/>
      </c>
      <c r="L334" t="inlineStr">
        <is>
          <t>Kích thước vỏ 800x350x200mm</t>
        </is>
      </c>
    </row>
    <row r="335">
      <c r="A335" t="inlineStr">
        <is>
          <t>SW-DAMPER-065-BLADE</t>
        </is>
      </c>
      <c r="B335" t="inlineStr">
        <is>
          <t>SW-DAMPER-065</t>
        </is>
      </c>
      <c r="C335" t="inlineStr">
        <is>
          <t>Lá cánh / Tôn tấm bọc van (2 cánh)</t>
        </is>
      </c>
      <c r="D335" t="inlineStr">
        <is>
          <t>TÔN_CUỘN_MẠ_KẼM</t>
        </is>
      </c>
      <c r="E335" t="inlineStr">
        <is>
          <t>MAT-STEEL-PN-1.15</t>
        </is>
      </c>
      <c r="F335" t="inlineStr">
        <is>
          <t>kg</t>
        </is>
      </c>
      <c r="G335" s="406" t="n">
        <v>5.055399999999999</v>
      </c>
      <c r="H335" s="402">
        <f>IFERROR(INDEX('00_TONG_HOP_BAO_GIA'!$G$1:$G$5000, MATCH(B335, '00_TONG_HOP_BAO_GIA'!$B$1:$B$5000, 0)), 1)</f>
        <v/>
      </c>
      <c r="I335" s="407">
        <f>G335*H335</f>
        <v/>
      </c>
      <c r="J335" s="402">
        <f>IFERROR(INDEX('06_BANG_GIA_VAT_TU_AP_DUNG'!$E$1:$E$5000, MATCH(E335, '06_BANG_GIA_VAT_TU_AP_DUNG'!$B$1:$B$5000, 0)), 0)</f>
        <v/>
      </c>
      <c r="K335" s="402">
        <f>I335*J335</f>
        <v/>
      </c>
      <c r="L335" t="inlineStr">
        <is>
          <t>Tôn bọc cánh &amp; thân (2 cánh/modul)</t>
        </is>
      </c>
    </row>
    <row r="336">
      <c r="A336" t="inlineStr">
        <is>
          <t>SW-DAMPER-065-AXLE</t>
        </is>
      </c>
      <c r="B336" t="inlineStr">
        <is>
          <t>SW-DAMPER-065</t>
        </is>
      </c>
      <c r="C336" t="inlineStr">
        <is>
          <t>Trục Sus 201 D10</t>
        </is>
      </c>
      <c r="D336" t="inlineStr">
        <is>
          <t>PHỤ_KIỆN_VAN</t>
        </is>
      </c>
      <c r="E336" t="inlineStr">
        <is>
          <t>MAT-DAMPER-TRUC-SUS-201-D10</t>
        </is>
      </c>
      <c r="F336" t="inlineStr">
        <is>
          <t>m</t>
        </is>
      </c>
      <c r="G336" s="406" t="n">
        <v>1.72</v>
      </c>
      <c r="H336" s="402">
        <f>IFERROR(INDEX('00_TONG_HOP_BAO_GIA'!$G$1:$G$5000, MATCH(B336, '00_TONG_HOP_BAO_GIA'!$B$1:$B$5000, 0)), 1)</f>
        <v/>
      </c>
      <c r="I336" s="407">
        <f>G336*H336</f>
        <v/>
      </c>
      <c r="J336" s="402">
        <f>IFERROR(INDEX('06_BANG_GIA_VAT_TU_AP_DUNG'!$E$1:$E$5000, MATCH(E336, '06_BANG_GIA_VAT_TU_AP_DUNG'!$B$1:$B$5000, 0)), 0)</f>
        <v/>
      </c>
      <c r="K336" s="402">
        <f>I336*J336</f>
        <v/>
      </c>
      <c r="L336" t="inlineStr">
        <is>
          <t>2 trục dài 860mm</t>
        </is>
      </c>
    </row>
    <row r="337">
      <c r="A337" t="inlineStr">
        <is>
          <t>SW-DAMPER-065-BEARING</t>
        </is>
      </c>
      <c r="B337" t="inlineStr">
        <is>
          <t>SW-DAMPER-065</t>
        </is>
      </c>
      <c r="C337" t="inlineStr">
        <is>
          <t>Bạc đồng D10</t>
        </is>
      </c>
      <c r="D337" t="inlineStr">
        <is>
          <t>PHỤ_KIỆN_VAN</t>
        </is>
      </c>
      <c r="E337" t="inlineStr">
        <is>
          <t>MAT-DAMPER-BAC-DONG-D10</t>
        </is>
      </c>
      <c r="F337" t="inlineStr">
        <is>
          <t>Đôi</t>
        </is>
      </c>
      <c r="G337" s="406" t="n">
        <v>2</v>
      </c>
      <c r="H337" s="402">
        <f>IFERROR(INDEX('00_TONG_HOP_BAO_GIA'!$G$1:$G$5000, MATCH(B337, '00_TONG_HOP_BAO_GIA'!$B$1:$B$5000, 0)), 1)</f>
        <v/>
      </c>
      <c r="I337" s="407">
        <f>G337*H337</f>
        <v/>
      </c>
      <c r="J337" s="402">
        <f>IFERROR(INDEX('06_BANG_GIA_VAT_TU_AP_DUNG'!$E$1:$E$5000, MATCH(E337, '06_BANG_GIA_VAT_TU_AP_DUNG'!$B$1:$B$5000, 0)), 0)</f>
        <v/>
      </c>
      <c r="K337" s="402">
        <f>I337*J337</f>
        <v/>
      </c>
      <c r="L337" t="inlineStr">
        <is>
          <t>2 đôi bạc đỡ 2 bên thân</t>
        </is>
      </c>
    </row>
    <row r="338">
      <c r="A338" t="inlineStr">
        <is>
          <t>SW-DAMPER-065-GEAR</t>
        </is>
      </c>
      <c r="B338" t="inlineStr">
        <is>
          <t>SW-DAMPER-065</t>
        </is>
      </c>
      <c r="C338" t="inlineStr">
        <is>
          <t>Bánh răng van nhôm</t>
        </is>
      </c>
      <c r="D338" t="inlineStr">
        <is>
          <t>PHỤ_KIỆN_VAN</t>
        </is>
      </c>
      <c r="E338" t="inlineStr">
        <is>
          <t>MAT-DAMPER-BANH-RANG-VAN-NHOM</t>
        </is>
      </c>
      <c r="F338" t="inlineStr">
        <is>
          <t>Bộ</t>
        </is>
      </c>
      <c r="G338" s="406" t="n">
        <v>1</v>
      </c>
      <c r="H338" s="402">
        <f>IFERROR(INDEX('00_TONG_HOP_BAO_GIA'!$G$1:$G$5000, MATCH(B338, '00_TONG_HOP_BAO_GIA'!$B$1:$B$5000, 0)), 1)</f>
        <v/>
      </c>
      <c r="I338" s="407">
        <f>G338*H338</f>
        <v/>
      </c>
      <c r="J338" s="402">
        <f>IFERROR(INDEX('06_BANG_GIA_VAT_TU_AP_DUNG'!$E$1:$E$5000, MATCH(E338, '06_BANG_GIA_VAT_TU_AP_DUNG'!$B$1:$B$5000, 0)), 0)</f>
        <v/>
      </c>
      <c r="K338" s="402">
        <f>I338*J338</f>
        <v/>
      </c>
      <c r="L338" t="inlineStr">
        <is>
          <t>Cơ cấu liên động cánh (1 bộ)</t>
        </is>
      </c>
    </row>
    <row r="339">
      <c r="A339" t="inlineStr">
        <is>
          <t>SW-DAMPER-065-ACTUATOR</t>
        </is>
      </c>
      <c r="B339" t="inlineStr">
        <is>
          <t>SW-DAMPER-065</t>
        </is>
      </c>
      <c r="C339" t="inlineStr">
        <is>
          <t>Động cơ chặn lửa ON/OFF 9Nm, 230V/24V (BELIMO BFN24 / BFN230)</t>
        </is>
      </c>
      <c r="D339" t="inlineStr">
        <is>
          <t>ĐỘNG_CƠ_VÀ_CẢM_BIẾN</t>
        </is>
      </c>
      <c r="E339" t="inlineStr">
        <is>
          <t>MAT-ACTUATOR-BELIMO-BFN24</t>
        </is>
      </c>
      <c r="F339" t="inlineStr">
        <is>
          <t>Cái</t>
        </is>
      </c>
      <c r="G339" s="406" t="n">
        <v>1</v>
      </c>
      <c r="H339" s="402">
        <f>IFERROR(INDEX('00_TONG_HOP_BAO_GIA'!$G$1:$G$5000, MATCH(B339, '00_TONG_HOP_BAO_GIA'!$B$1:$B$5000, 0)), 1)</f>
        <v/>
      </c>
      <c r="I339" s="407">
        <f>G339*H339</f>
        <v/>
      </c>
      <c r="J339" s="402">
        <f>IFERROR(INDEX('06_BANG_GIA_VAT_TU_AP_DUNG'!$E$1:$E$5000, MATCH(E339, '06_BANG_GIA_VAT_TU_AP_DUNG'!$B$1:$B$5000, 0)), 0)</f>
        <v/>
      </c>
      <c r="K339" s="402">
        <f>I339*J339</f>
        <v/>
      </c>
      <c r="L339" t="inlineStr">
        <is>
          <t>Động cơ lò xo phản hồi MFD (1 bộ)</t>
        </is>
      </c>
    </row>
    <row r="340">
      <c r="A340" t="inlineStr">
        <is>
          <t>SW-DAMPER-065-FB10-BODY</t>
        </is>
      </c>
      <c r="B340" t="inlineStr">
        <is>
          <t>SW-DAMPER-065</t>
        </is>
      </c>
      <c r="C340" t="inlineStr">
        <is>
          <t>Tấm chống cháy dày 10mm bọc thân van FD/MFD (2 lớp)</t>
        </is>
      </c>
      <c r="D340" t="inlineStr">
        <is>
          <t>VẬT_LIỆU_CÁCH_NHIỆT</t>
        </is>
      </c>
      <c r="E340" t="inlineStr">
        <is>
          <t>MAT-FIREBOARD-10MM-BODY</t>
        </is>
      </c>
      <c r="F340" t="inlineStr">
        <is>
          <t>m2</t>
        </is>
      </c>
      <c r="G340" s="406" t="n">
        <v>1.38</v>
      </c>
      <c r="H340" s="402">
        <f>IFERROR(INDEX('00_TONG_HOP_BAO_GIA'!$G$1:$G$5000, MATCH(B340, '00_TONG_HOP_BAO_GIA'!$B$1:$B$5000, 0)), 1)</f>
        <v/>
      </c>
      <c r="I340" s="407">
        <f>G340*H340</f>
        <v/>
      </c>
      <c r="J340" s="402">
        <f>IFERROR(INDEX('06_BANG_GIA_VAT_TU_AP_DUNG'!$E$1:$E$5000, MATCH(E340, '06_BANG_GIA_VAT_TU_AP_DUNG'!$B$1:$B$5000, 0)), 0)</f>
        <v/>
      </c>
      <c r="K340" s="402">
        <f>I340*J340</f>
        <v/>
      </c>
      <c r="L340" t="inlineStr">
        <is>
          <t>Bọc 2 lớp tấm 10mm quanh thân L=300mm</t>
        </is>
      </c>
    </row>
    <row r="341">
      <c r="A341" t="inlineStr">
        <is>
          <t>SW-DAMPER-065-FB20-BLADE</t>
        </is>
      </c>
      <c r="B341" t="inlineStr">
        <is>
          <t>SW-DAMPER-065</t>
        </is>
      </c>
      <c r="C341" t="inlineStr">
        <is>
          <t>Tấm chống cháy dày 20mm làm lõi cánh van FD/MFD</t>
        </is>
      </c>
      <c r="D341" t="inlineStr">
        <is>
          <t>VẬT_LIỆU_CÁCH_NHIỆT</t>
        </is>
      </c>
      <c r="E341" t="inlineStr">
        <is>
          <t>MAT-FIREBOARD-20MM-BLADE</t>
        </is>
      </c>
      <c r="F341" t="inlineStr">
        <is>
          <t>m2</t>
        </is>
      </c>
      <c r="G341" s="406" t="n">
        <v>0.4171953020134228</v>
      </c>
      <c r="H341" s="402">
        <f>IFERROR(INDEX('00_TONG_HOP_BAO_GIA'!$G$1:$G$5000, MATCH(B341, '00_TONG_HOP_BAO_GIA'!$B$1:$B$5000, 0)), 1)</f>
        <v/>
      </c>
      <c r="I341" s="407">
        <f>G341*H341</f>
        <v/>
      </c>
      <c r="J341" s="402">
        <f>IFERROR(INDEX('06_BANG_GIA_VAT_TU_AP_DUNG'!$E$1:$E$5000, MATCH(E341, '06_BANG_GIA_VAT_TU_AP_DUNG'!$B$1:$B$5000, 0)), 0)</f>
        <v/>
      </c>
      <c r="K341" s="402">
        <f>I341*J341</f>
        <v/>
      </c>
      <c r="L341" t="inlineStr">
        <is>
          <t>Lõi cánh tấm 20mm (Đa cánh hệ số (H-5)/149=2.32, bản rộng 210mm, hao hụt 10%)</t>
        </is>
      </c>
    </row>
    <row r="342">
      <c r="A342" t="inlineStr">
        <is>
          <t>SW-DAMPER-065-FB10-BLADE</t>
        </is>
      </c>
      <c r="B342" t="inlineStr">
        <is>
          <t>SW-DAMPER-065</t>
        </is>
      </c>
      <c r="C342" t="inlineStr">
        <is>
          <t>Tấm chống cháy dày 10mm ốp 2 mặt cánh van FD/MFD</t>
        </is>
      </c>
      <c r="D342" t="inlineStr">
        <is>
          <t>VẬT_LIỆU_CÁCH_NHIỆT</t>
        </is>
      </c>
      <c r="E342" t="inlineStr">
        <is>
          <t>MAT-FIREBOARD-10MM-BLADE</t>
        </is>
      </c>
      <c r="F342" t="inlineStr">
        <is>
          <t>m2</t>
        </is>
      </c>
      <c r="G342" s="406" t="n">
        <v>0.8557852348993289</v>
      </c>
      <c r="H342" s="402">
        <f>IFERROR(INDEX('00_TONG_HOP_BAO_GIA'!$G$1:$G$5000, MATCH(B342, '00_TONG_HOP_BAO_GIA'!$B$1:$B$5000, 0)), 1)</f>
        <v/>
      </c>
      <c r="I342" s="407">
        <f>G342*H342</f>
        <v/>
      </c>
      <c r="J342" s="402">
        <f>IFERROR(INDEX('06_BANG_GIA_VAT_TU_AP_DUNG'!$E$1:$E$5000, MATCH(E342, '06_BANG_GIA_VAT_TU_AP_DUNG'!$B$1:$B$5000, 0)), 0)</f>
        <v/>
      </c>
      <c r="K342" s="402">
        <f>I342*J342</f>
        <v/>
      </c>
      <c r="L342" t="inlineStr">
        <is>
          <t>Ốp 2 mặt cánh tấm 10mm (Đa cánh hệ số (H-5)/149=2.32, bản rộng 210mm, hao hụt 10%)</t>
        </is>
      </c>
    </row>
    <row r="343">
      <c r="A343" t="inlineStr">
        <is>
          <t>SW-DAMPER-065-SPRING-BOX</t>
        </is>
      </c>
      <c r="B343" t="inlineStr">
        <is>
          <t>SW-DAMPER-065</t>
        </is>
      </c>
      <c r="C343" t="inlineStr">
        <is>
          <t>Hộp lò xo van chặn lửa FD/MFD</t>
        </is>
      </c>
      <c r="D343" t="inlineStr">
        <is>
          <t>PHỤ_KIỆN_VAN</t>
        </is>
      </c>
      <c r="E343" t="inlineStr">
        <is>
          <t>MAT-DAMPER-HOP-LO-XO</t>
        </is>
      </c>
      <c r="F343" t="inlineStr">
        <is>
          <t>Bộ</t>
        </is>
      </c>
      <c r="G343" s="406" t="n">
        <v>1</v>
      </c>
      <c r="H343" s="402">
        <f>IFERROR(INDEX('00_TONG_HOP_BAO_GIA'!$G$1:$G$5000, MATCH(B343, '00_TONG_HOP_BAO_GIA'!$B$1:$B$5000, 0)), 1)</f>
        <v/>
      </c>
      <c r="I343" s="407">
        <f>G343*H343</f>
        <v/>
      </c>
      <c r="J343" s="402">
        <f>IFERROR(INDEX('06_BANG_GIA_VAT_TU_AP_DUNG'!$E$1:$E$5000, MATCH(E343, '06_BANG_GIA_VAT_TU_AP_DUNG'!$B$1:$B$5000, 0)), 0)</f>
        <v/>
      </c>
      <c r="K343" s="402">
        <f>I343*J343</f>
        <v/>
      </c>
      <c r="L343" t="inlineStr">
        <is>
          <t>Hộp lò xo cơ cấu đóng sập (1 bộ)</t>
        </is>
      </c>
    </row>
    <row r="344">
      <c r="A344" t="inlineStr">
        <is>
          <t>SW-DAMPER-065-SILICON-BOLT</t>
        </is>
      </c>
      <c r="B344" t="inlineStr">
        <is>
          <t>SW-DAMPER-065</t>
        </is>
      </c>
      <c r="C344" t="inlineStr">
        <is>
          <t>Silicon chống cháy + bu lông, ốc vít van FD/MFD</t>
        </is>
      </c>
      <c r="D344" t="inlineStr">
        <is>
          <t>PHỤ_KIỆN_VAN</t>
        </is>
      </c>
      <c r="E344" t="inlineStr">
        <is>
          <t>MAT-DAMPER-SILICON-BULONG-VIT</t>
        </is>
      </c>
      <c r="F344" t="inlineStr">
        <is>
          <t>Bộ</t>
        </is>
      </c>
      <c r="G344" s="406" t="n">
        <v>1</v>
      </c>
      <c r="H344" s="402">
        <f>IFERROR(INDEX('00_TONG_HOP_BAO_GIA'!$G$1:$G$5000, MATCH(B344, '00_TONG_HOP_BAO_GIA'!$B$1:$B$5000, 0)), 1)</f>
        <v/>
      </c>
      <c r="I344" s="407">
        <f>G344*H344</f>
        <v/>
      </c>
      <c r="J344" s="402">
        <f>IFERROR(INDEX('06_BANG_GIA_VAT_TU_AP_DUNG'!$E$1:$E$5000, MATCH(E344, '06_BANG_GIA_VAT_TU_AP_DUNG'!$B$1:$B$5000, 0)), 0)</f>
        <v/>
      </c>
      <c r="K344" s="402">
        <f>I344*J344</f>
        <v/>
      </c>
      <c r="L344" t="inlineStr">
        <is>
          <t>Keo silicon chống cháy &amp; phụ kiện lắp ghép (1 bộ)</t>
        </is>
      </c>
    </row>
    <row r="345">
      <c r="A345" t="inlineStr">
        <is>
          <t>SW-DAMPER-066-BODY</t>
        </is>
      </c>
      <c r="B345" t="inlineStr">
        <is>
          <t>SW-DAMPER-066</t>
        </is>
      </c>
      <c r="C345" t="inlineStr">
        <is>
          <t>Thân vỏ van MFD bích C30/TDF (1.15mm)</t>
        </is>
      </c>
      <c r="D345" t="inlineStr">
        <is>
          <t>TÔN_CUỘN_MẠ_KẼM</t>
        </is>
      </c>
      <c r="E345" t="inlineStr">
        <is>
          <t>MAT-STEEL-PN-1.15</t>
        </is>
      </c>
      <c r="F345" t="inlineStr">
        <is>
          <t>kg</t>
        </is>
      </c>
      <c r="G345" s="406" t="n">
        <v>17.09609895</v>
      </c>
      <c r="H345" s="402">
        <f>IFERROR(INDEX('00_TONG_HOP_BAO_GIA'!$G$1:$G$5000, MATCH(B345, '00_TONG_HOP_BAO_GIA'!$B$1:$B$5000, 0)), 1)</f>
        <v/>
      </c>
      <c r="I345" s="407">
        <f>G345*H345</f>
        <v/>
      </c>
      <c r="J345" s="402">
        <f>IFERROR(INDEX('06_BANG_GIA_VAT_TU_AP_DUNG'!$E$1:$E$5000, MATCH(E345, '06_BANG_GIA_VAT_TU_AP_DUNG'!$B$1:$B$5000, 0)), 0)</f>
        <v/>
      </c>
      <c r="K345" s="402">
        <f>I345*J345</f>
        <v/>
      </c>
      <c r="L345" t="inlineStr">
        <is>
          <t>Kích thước vỏ 2000x650x200mm (2 modul 1000x650mm)</t>
        </is>
      </c>
    </row>
    <row r="346">
      <c r="A346" t="inlineStr">
        <is>
          <t>SW-DAMPER-066-BLADE</t>
        </is>
      </c>
      <c r="B346" t="inlineStr">
        <is>
          <t>SW-DAMPER-066</t>
        </is>
      </c>
      <c r="C346" t="inlineStr">
        <is>
          <t>Lá cánh / Tôn tấm bọc van (8 cánh)</t>
        </is>
      </c>
      <c r="D346" t="inlineStr">
        <is>
          <t>TÔN_CUỘN_MẠ_KẼM</t>
        </is>
      </c>
      <c r="E346" t="inlineStr">
        <is>
          <t>MAT-STEEL-PN-1.15</t>
        </is>
      </c>
      <c r="F346" t="inlineStr">
        <is>
          <t>kg</t>
        </is>
      </c>
      <c r="G346" s="406" t="n">
        <v>23.4715</v>
      </c>
      <c r="H346" s="402">
        <f>IFERROR(INDEX('00_TONG_HOP_BAO_GIA'!$G$1:$G$5000, MATCH(B346, '00_TONG_HOP_BAO_GIA'!$B$1:$B$5000, 0)), 1)</f>
        <v/>
      </c>
      <c r="I346" s="407">
        <f>G346*H346</f>
        <v/>
      </c>
      <c r="J346" s="402">
        <f>IFERROR(INDEX('06_BANG_GIA_VAT_TU_AP_DUNG'!$E$1:$E$5000, MATCH(E346, '06_BANG_GIA_VAT_TU_AP_DUNG'!$B$1:$B$5000, 0)), 0)</f>
        <v/>
      </c>
      <c r="K346" s="402">
        <f>I346*J346</f>
        <v/>
      </c>
      <c r="L346" t="inlineStr">
        <is>
          <t>Tôn bọc cánh &amp; thân (4 cánh/modul (2 modul 1000x650mm))</t>
        </is>
      </c>
    </row>
    <row r="347">
      <c r="A347" t="inlineStr">
        <is>
          <t>SW-DAMPER-066-AXLE</t>
        </is>
      </c>
      <c r="B347" t="inlineStr">
        <is>
          <t>SW-DAMPER-066</t>
        </is>
      </c>
      <c r="C347" t="inlineStr">
        <is>
          <t>Trục Sus 201 D10</t>
        </is>
      </c>
      <c r="D347" t="inlineStr">
        <is>
          <t>PHỤ_KIỆN_VAN</t>
        </is>
      </c>
      <c r="E347" t="inlineStr">
        <is>
          <t>MAT-DAMPER-TRUC-SUS-201-D10</t>
        </is>
      </c>
      <c r="F347" t="inlineStr">
        <is>
          <t>m</t>
        </is>
      </c>
      <c r="G347" s="406" t="n">
        <v>8.48</v>
      </c>
      <c r="H347" s="402">
        <f>IFERROR(INDEX('00_TONG_HOP_BAO_GIA'!$G$1:$G$5000, MATCH(B347, '00_TONG_HOP_BAO_GIA'!$B$1:$B$5000, 0)), 1)</f>
        <v/>
      </c>
      <c r="I347" s="407">
        <f>G347*H347</f>
        <v/>
      </c>
      <c r="J347" s="402">
        <f>IFERROR(INDEX('06_BANG_GIA_VAT_TU_AP_DUNG'!$E$1:$E$5000, MATCH(E347, '06_BANG_GIA_VAT_TU_AP_DUNG'!$B$1:$B$5000, 0)), 0)</f>
        <v/>
      </c>
      <c r="K347" s="402">
        <f>I347*J347</f>
        <v/>
      </c>
      <c r="L347" t="inlineStr">
        <is>
          <t>8 trục dài 1060mm</t>
        </is>
      </c>
    </row>
    <row r="348">
      <c r="A348" t="inlineStr">
        <is>
          <t>SW-DAMPER-066-BEARING</t>
        </is>
      </c>
      <c r="B348" t="inlineStr">
        <is>
          <t>SW-DAMPER-066</t>
        </is>
      </c>
      <c r="C348" t="inlineStr">
        <is>
          <t>Bạc đồng D10</t>
        </is>
      </c>
      <c r="D348" t="inlineStr">
        <is>
          <t>PHỤ_KIỆN_VAN</t>
        </is>
      </c>
      <c r="E348" t="inlineStr">
        <is>
          <t>MAT-DAMPER-BAC-DONG-D10</t>
        </is>
      </c>
      <c r="F348" t="inlineStr">
        <is>
          <t>Đôi</t>
        </is>
      </c>
      <c r="G348" s="406" t="n">
        <v>8</v>
      </c>
      <c r="H348" s="402">
        <f>IFERROR(INDEX('00_TONG_HOP_BAO_GIA'!$G$1:$G$5000, MATCH(B348, '00_TONG_HOP_BAO_GIA'!$B$1:$B$5000, 0)), 1)</f>
        <v/>
      </c>
      <c r="I348" s="407">
        <f>G348*H348</f>
        <v/>
      </c>
      <c r="J348" s="402">
        <f>IFERROR(INDEX('06_BANG_GIA_VAT_TU_AP_DUNG'!$E$1:$E$5000, MATCH(E348, '06_BANG_GIA_VAT_TU_AP_DUNG'!$B$1:$B$5000, 0)), 0)</f>
        <v/>
      </c>
      <c r="K348" s="402">
        <f>I348*J348</f>
        <v/>
      </c>
      <c r="L348" t="inlineStr">
        <is>
          <t>8 đôi bạc đỡ 2 bên thân</t>
        </is>
      </c>
    </row>
    <row r="349">
      <c r="A349" t="inlineStr">
        <is>
          <t>SW-DAMPER-066-GEAR</t>
        </is>
      </c>
      <c r="B349" t="inlineStr">
        <is>
          <t>SW-DAMPER-066</t>
        </is>
      </c>
      <c r="C349" t="inlineStr">
        <is>
          <t>Bánh răng van nhôm</t>
        </is>
      </c>
      <c r="D349" t="inlineStr">
        <is>
          <t>PHỤ_KIỆN_VAN</t>
        </is>
      </c>
      <c r="E349" t="inlineStr">
        <is>
          <t>MAT-DAMPER-BANH-RANG-VAN-NHOM</t>
        </is>
      </c>
      <c r="F349" t="inlineStr">
        <is>
          <t>Bộ</t>
        </is>
      </c>
      <c r="G349" s="406" t="n">
        <v>2</v>
      </c>
      <c r="H349" s="402">
        <f>IFERROR(INDEX('00_TONG_HOP_BAO_GIA'!$G$1:$G$5000, MATCH(B349, '00_TONG_HOP_BAO_GIA'!$B$1:$B$5000, 0)), 1)</f>
        <v/>
      </c>
      <c r="I349" s="407">
        <f>G349*H349</f>
        <v/>
      </c>
      <c r="J349" s="402">
        <f>IFERROR(INDEX('06_BANG_GIA_VAT_TU_AP_DUNG'!$E$1:$E$5000, MATCH(E349, '06_BANG_GIA_VAT_TU_AP_DUNG'!$B$1:$B$5000, 0)), 0)</f>
        <v/>
      </c>
      <c r="K349" s="402">
        <f>I349*J349</f>
        <v/>
      </c>
      <c r="L349" t="inlineStr">
        <is>
          <t>Cơ cấu liên động cánh (2 bộ)</t>
        </is>
      </c>
    </row>
    <row r="350">
      <c r="A350" t="inlineStr">
        <is>
          <t>SW-DAMPER-066-ACTUATOR</t>
        </is>
      </c>
      <c r="B350" t="inlineStr">
        <is>
          <t>SW-DAMPER-066</t>
        </is>
      </c>
      <c r="C350" t="inlineStr">
        <is>
          <t>Động cơ chặn lửa ON/OFF 9Nm, 230V/24V (BELIMO BFN24 / BFN230)</t>
        </is>
      </c>
      <c r="D350" t="inlineStr">
        <is>
          <t>ĐỘNG_CƠ_VÀ_CẢM_BIẾN</t>
        </is>
      </c>
      <c r="E350" t="inlineStr">
        <is>
          <t>MAT-ACTUATOR-BELIMO-BFN24</t>
        </is>
      </c>
      <c r="F350" t="inlineStr">
        <is>
          <t>Cái</t>
        </is>
      </c>
      <c r="G350" s="406" t="n">
        <v>2</v>
      </c>
      <c r="H350" s="402">
        <f>IFERROR(INDEX('00_TONG_HOP_BAO_GIA'!$G$1:$G$5000, MATCH(B350, '00_TONG_HOP_BAO_GIA'!$B$1:$B$5000, 0)), 1)</f>
        <v/>
      </c>
      <c r="I350" s="407">
        <f>G350*H350</f>
        <v/>
      </c>
      <c r="J350" s="402">
        <f>IFERROR(INDEX('06_BANG_GIA_VAT_TU_AP_DUNG'!$E$1:$E$5000, MATCH(E350, '06_BANG_GIA_VAT_TU_AP_DUNG'!$B$1:$B$5000, 0)), 0)</f>
        <v/>
      </c>
      <c r="K350" s="402">
        <f>I350*J350</f>
        <v/>
      </c>
      <c r="L350" t="inlineStr">
        <is>
          <t>Động cơ lò xo phản hồi MFD (2 bộ (2 modul 1000x650mm))</t>
        </is>
      </c>
    </row>
    <row r="351">
      <c r="A351" t="inlineStr">
        <is>
          <t>SW-DAMPER-066-FB10-BODY</t>
        </is>
      </c>
      <c r="B351" t="inlineStr">
        <is>
          <t>SW-DAMPER-066</t>
        </is>
      </c>
      <c r="C351" t="inlineStr">
        <is>
          <t>Tấm chống cháy dày 10mm bọc thân van FD/MFD (2 lớp)</t>
        </is>
      </c>
      <c r="D351" t="inlineStr">
        <is>
          <t>VẬT_LIỆU_CÁCH_NHIỆT</t>
        </is>
      </c>
      <c r="E351" t="inlineStr">
        <is>
          <t>MAT-FIREBOARD-10MM-BODY</t>
        </is>
      </c>
      <c r="F351" t="inlineStr">
        <is>
          <t>m2</t>
        </is>
      </c>
      <c r="G351" s="406" t="n">
        <v>3.96</v>
      </c>
      <c r="H351" s="402">
        <f>IFERROR(INDEX('00_TONG_HOP_BAO_GIA'!$G$1:$G$5000, MATCH(B351, '00_TONG_HOP_BAO_GIA'!$B$1:$B$5000, 0)), 1)</f>
        <v/>
      </c>
      <c r="I351" s="407">
        <f>G351*H351</f>
        <v/>
      </c>
      <c r="J351" s="402">
        <f>IFERROR(INDEX('06_BANG_GIA_VAT_TU_AP_DUNG'!$E$1:$E$5000, MATCH(E351, '06_BANG_GIA_VAT_TU_AP_DUNG'!$B$1:$B$5000, 0)), 0)</f>
        <v/>
      </c>
      <c r="K351" s="402">
        <f>I351*J351</f>
        <v/>
      </c>
      <c r="L351" t="inlineStr">
        <is>
          <t>Bọc 2 lớp tấm 10mm quanh thân L=300mm (2 modul 1000x650mm)</t>
        </is>
      </c>
    </row>
    <row r="352">
      <c r="A352" t="inlineStr">
        <is>
          <t>SW-DAMPER-066-FB20-BLADE</t>
        </is>
      </c>
      <c r="B352" t="inlineStr">
        <is>
          <t>SW-DAMPER-066</t>
        </is>
      </c>
      <c r="C352" t="inlineStr">
        <is>
          <t>Tấm chống cháy dày 20mm làm lõi cánh van FD/MFD</t>
        </is>
      </c>
      <c r="D352" t="inlineStr">
        <is>
          <t>VẬT_LIỆU_CÁCH_NHIỆT</t>
        </is>
      </c>
      <c r="E352" t="inlineStr">
        <is>
          <t>MAT-FIREBOARD-20MM-BLADE</t>
        </is>
      </c>
      <c r="F352" t="inlineStr">
        <is>
          <t>m2</t>
        </is>
      </c>
      <c r="G352" s="406" t="n">
        <v>1.959934228187919</v>
      </c>
      <c r="H352" s="402">
        <f>IFERROR(INDEX('00_TONG_HOP_BAO_GIA'!$G$1:$G$5000, MATCH(B352, '00_TONG_HOP_BAO_GIA'!$B$1:$B$5000, 0)), 1)</f>
        <v/>
      </c>
      <c r="I352" s="407">
        <f>G352*H352</f>
        <v/>
      </c>
      <c r="J352" s="402">
        <f>IFERROR(INDEX('06_BANG_GIA_VAT_TU_AP_DUNG'!$E$1:$E$5000, MATCH(E352, '06_BANG_GIA_VAT_TU_AP_DUNG'!$B$1:$B$5000, 0)), 0)</f>
        <v/>
      </c>
      <c r="K352" s="402">
        <f>I352*J352</f>
        <v/>
      </c>
      <c r="L352" t="inlineStr">
        <is>
          <t>Lõi cánh tấm 20mm (Đa cánh hệ số (H-5)/149=4.33, bản rộng 210mm, hao hụt 10% (2 modul 1000x650mm))</t>
        </is>
      </c>
    </row>
    <row r="353">
      <c r="A353" t="inlineStr">
        <is>
          <t>SW-DAMPER-066-FB10-BLADE</t>
        </is>
      </c>
      <c r="B353" t="inlineStr">
        <is>
          <t>SW-DAMPER-066</t>
        </is>
      </c>
      <c r="C353" t="inlineStr">
        <is>
          <t>Tấm chống cháy dày 10mm ốp 2 mặt cánh van FD/MFD</t>
        </is>
      </c>
      <c r="D353" t="inlineStr">
        <is>
          <t>VẬT_LIỆU_CÁCH_NHIỆT</t>
        </is>
      </c>
      <c r="E353" t="inlineStr">
        <is>
          <t>MAT-FIREBOARD-10MM-BLADE</t>
        </is>
      </c>
      <c r="F353" t="inlineStr">
        <is>
          <t>m2</t>
        </is>
      </c>
      <c r="G353" s="406" t="n">
        <v>3.999865771812081</v>
      </c>
      <c r="H353" s="402">
        <f>IFERROR(INDEX('00_TONG_HOP_BAO_GIA'!$G$1:$G$5000, MATCH(B353, '00_TONG_HOP_BAO_GIA'!$B$1:$B$5000, 0)), 1)</f>
        <v/>
      </c>
      <c r="I353" s="407">
        <f>G353*H353</f>
        <v/>
      </c>
      <c r="J353" s="402">
        <f>IFERROR(INDEX('06_BANG_GIA_VAT_TU_AP_DUNG'!$E$1:$E$5000, MATCH(E353, '06_BANG_GIA_VAT_TU_AP_DUNG'!$B$1:$B$5000, 0)), 0)</f>
        <v/>
      </c>
      <c r="K353" s="402">
        <f>I353*J353</f>
        <v/>
      </c>
      <c r="L353" t="inlineStr">
        <is>
          <t>Ốp 2 mặt cánh tấm 10mm (Đa cánh hệ số (H-5)/149=4.33, bản rộng 210mm, hao hụt 10% (2 modul 1000x650mm))</t>
        </is>
      </c>
    </row>
    <row r="354">
      <c r="A354" t="inlineStr">
        <is>
          <t>SW-DAMPER-066-SPRING-BOX</t>
        </is>
      </c>
      <c r="B354" t="inlineStr">
        <is>
          <t>SW-DAMPER-066</t>
        </is>
      </c>
      <c r="C354" t="inlineStr">
        <is>
          <t>Hộp lò xo van chặn lửa FD/MFD</t>
        </is>
      </c>
      <c r="D354" t="inlineStr">
        <is>
          <t>PHỤ_KIỆN_VAN</t>
        </is>
      </c>
      <c r="E354" t="inlineStr">
        <is>
          <t>MAT-DAMPER-HOP-LO-XO</t>
        </is>
      </c>
      <c r="F354" t="inlineStr">
        <is>
          <t>Bộ</t>
        </is>
      </c>
      <c r="G354" s="406" t="n">
        <v>2</v>
      </c>
      <c r="H354" s="402">
        <f>IFERROR(INDEX('00_TONG_HOP_BAO_GIA'!$G$1:$G$5000, MATCH(B354, '00_TONG_HOP_BAO_GIA'!$B$1:$B$5000, 0)), 1)</f>
        <v/>
      </c>
      <c r="I354" s="407">
        <f>G354*H354</f>
        <v/>
      </c>
      <c r="J354" s="402">
        <f>IFERROR(INDEX('06_BANG_GIA_VAT_TU_AP_DUNG'!$E$1:$E$5000, MATCH(E354, '06_BANG_GIA_VAT_TU_AP_DUNG'!$B$1:$B$5000, 0)), 0)</f>
        <v/>
      </c>
      <c r="K354" s="402">
        <f>I354*J354</f>
        <v/>
      </c>
      <c r="L354" t="inlineStr">
        <is>
          <t>Hộp lò xo cơ cấu đóng sập (2 bộ)</t>
        </is>
      </c>
    </row>
    <row r="355">
      <c r="A355" t="inlineStr">
        <is>
          <t>SW-DAMPER-066-SILICON-BOLT</t>
        </is>
      </c>
      <c r="B355" t="inlineStr">
        <is>
          <t>SW-DAMPER-066</t>
        </is>
      </c>
      <c r="C355" t="inlineStr">
        <is>
          <t>Silicon chống cháy + bu lông, ốc vít van FD/MFD</t>
        </is>
      </c>
      <c r="D355" t="inlineStr">
        <is>
          <t>PHỤ_KIỆN_VAN</t>
        </is>
      </c>
      <c r="E355" t="inlineStr">
        <is>
          <t>MAT-DAMPER-SILICON-BULONG-VIT</t>
        </is>
      </c>
      <c r="F355" t="inlineStr">
        <is>
          <t>Bộ</t>
        </is>
      </c>
      <c r="G355" s="406" t="n">
        <v>2</v>
      </c>
      <c r="H355" s="402">
        <f>IFERROR(INDEX('00_TONG_HOP_BAO_GIA'!$G$1:$G$5000, MATCH(B355, '00_TONG_HOP_BAO_GIA'!$B$1:$B$5000, 0)), 1)</f>
        <v/>
      </c>
      <c r="I355" s="407">
        <f>G355*H355</f>
        <v/>
      </c>
      <c r="J355" s="402">
        <f>IFERROR(INDEX('06_BANG_GIA_VAT_TU_AP_DUNG'!$E$1:$E$5000, MATCH(E355, '06_BANG_GIA_VAT_TU_AP_DUNG'!$B$1:$B$5000, 0)), 0)</f>
        <v/>
      </c>
      <c r="K355" s="402">
        <f>I355*J355</f>
        <v/>
      </c>
      <c r="L355" t="inlineStr">
        <is>
          <t>Keo silicon chống cháy &amp; phụ kiện lắp ghép (2 bộ)</t>
        </is>
      </c>
    </row>
    <row r="356">
      <c r="A356" t="inlineStr">
        <is>
          <t>SW-DAMPER-067-BODY</t>
        </is>
      </c>
      <c r="B356" t="inlineStr">
        <is>
          <t>SW-DAMPER-067</t>
        </is>
      </c>
      <c r="C356" t="inlineStr">
        <is>
          <t>Thân vỏ van MFD bích C30/TDF (1.15mm)</t>
        </is>
      </c>
      <c r="D356" t="inlineStr">
        <is>
          <t>TÔN_CUỘN_MẠ_KẼM</t>
        </is>
      </c>
      <c r="E356" t="inlineStr">
        <is>
          <t>MAT-STEEL-PN-1.15</t>
        </is>
      </c>
      <c r="F356" t="inlineStr">
        <is>
          <t>kg</t>
        </is>
      </c>
      <c r="G356" s="406" t="n">
        <v>7.012471725</v>
      </c>
      <c r="H356" s="402">
        <f>IFERROR(INDEX('00_TONG_HOP_BAO_GIA'!$G$1:$G$5000, MATCH(B356, '00_TONG_HOP_BAO_GIA'!$B$1:$B$5000, 0)), 1)</f>
        <v/>
      </c>
      <c r="I356" s="407">
        <f>G356*H356</f>
        <v/>
      </c>
      <c r="J356" s="402">
        <f>IFERROR(INDEX('06_BANG_GIA_VAT_TU_AP_DUNG'!$E$1:$E$5000, MATCH(E356, '06_BANG_GIA_VAT_TU_AP_DUNG'!$B$1:$B$5000, 0)), 0)</f>
        <v/>
      </c>
      <c r="K356" s="402">
        <f>I356*J356</f>
        <v/>
      </c>
      <c r="L356" t="inlineStr">
        <is>
          <t>Kích thước vỏ 1000x350x200mm</t>
        </is>
      </c>
    </row>
    <row r="357">
      <c r="A357" t="inlineStr">
        <is>
          <t>SW-DAMPER-067-BLADE</t>
        </is>
      </c>
      <c r="B357" t="inlineStr">
        <is>
          <t>SW-DAMPER-067</t>
        </is>
      </c>
      <c r="C357" t="inlineStr">
        <is>
          <t>Lá cánh / Tôn tấm bọc van (2 cánh)</t>
        </is>
      </c>
      <c r="D357" t="inlineStr">
        <is>
          <t>TÔN_CUỘN_MẠ_KẼM</t>
        </is>
      </c>
      <c r="E357" t="inlineStr">
        <is>
          <t>MAT-STEEL-PN-1.15</t>
        </is>
      </c>
      <c r="F357" t="inlineStr">
        <is>
          <t>kg</t>
        </is>
      </c>
      <c r="G357" s="406" t="n">
        <v>6.319249999999998</v>
      </c>
      <c r="H357" s="402">
        <f>IFERROR(INDEX('00_TONG_HOP_BAO_GIA'!$G$1:$G$5000, MATCH(B357, '00_TONG_HOP_BAO_GIA'!$B$1:$B$5000, 0)), 1)</f>
        <v/>
      </c>
      <c r="I357" s="407">
        <f>G357*H357</f>
        <v/>
      </c>
      <c r="J357" s="402">
        <f>IFERROR(INDEX('06_BANG_GIA_VAT_TU_AP_DUNG'!$E$1:$E$5000, MATCH(E357, '06_BANG_GIA_VAT_TU_AP_DUNG'!$B$1:$B$5000, 0)), 0)</f>
        <v/>
      </c>
      <c r="K357" s="402">
        <f>I357*J357</f>
        <v/>
      </c>
      <c r="L357" t="inlineStr">
        <is>
          <t>Tôn bọc cánh &amp; thân (2 cánh/modul)</t>
        </is>
      </c>
    </row>
    <row r="358">
      <c r="A358" t="inlineStr">
        <is>
          <t>SW-DAMPER-067-AXLE</t>
        </is>
      </c>
      <c r="B358" t="inlineStr">
        <is>
          <t>SW-DAMPER-067</t>
        </is>
      </c>
      <c r="C358" t="inlineStr">
        <is>
          <t>Trục Sus 201 D10</t>
        </is>
      </c>
      <c r="D358" t="inlineStr">
        <is>
          <t>PHỤ_KIỆN_VAN</t>
        </is>
      </c>
      <c r="E358" t="inlineStr">
        <is>
          <t>MAT-DAMPER-TRUC-SUS-201-D10</t>
        </is>
      </c>
      <c r="F358" t="inlineStr">
        <is>
          <t>m</t>
        </is>
      </c>
      <c r="G358" s="406" t="n">
        <v>2.12</v>
      </c>
      <c r="H358" s="402">
        <f>IFERROR(INDEX('00_TONG_HOP_BAO_GIA'!$G$1:$G$5000, MATCH(B358, '00_TONG_HOP_BAO_GIA'!$B$1:$B$5000, 0)), 1)</f>
        <v/>
      </c>
      <c r="I358" s="407">
        <f>G358*H358</f>
        <v/>
      </c>
      <c r="J358" s="402">
        <f>IFERROR(INDEX('06_BANG_GIA_VAT_TU_AP_DUNG'!$E$1:$E$5000, MATCH(E358, '06_BANG_GIA_VAT_TU_AP_DUNG'!$B$1:$B$5000, 0)), 0)</f>
        <v/>
      </c>
      <c r="K358" s="402">
        <f>I358*J358</f>
        <v/>
      </c>
      <c r="L358" t="inlineStr">
        <is>
          <t>2 trục dài 1060mm</t>
        </is>
      </c>
    </row>
    <row r="359">
      <c r="A359" t="inlineStr">
        <is>
          <t>SW-DAMPER-067-BEARING</t>
        </is>
      </c>
      <c r="B359" t="inlineStr">
        <is>
          <t>SW-DAMPER-067</t>
        </is>
      </c>
      <c r="C359" t="inlineStr">
        <is>
          <t>Bạc đồng D10</t>
        </is>
      </c>
      <c r="D359" t="inlineStr">
        <is>
          <t>PHỤ_KIỆN_VAN</t>
        </is>
      </c>
      <c r="E359" t="inlineStr">
        <is>
          <t>MAT-DAMPER-BAC-DONG-D10</t>
        </is>
      </c>
      <c r="F359" t="inlineStr">
        <is>
          <t>Đôi</t>
        </is>
      </c>
      <c r="G359" s="406" t="n">
        <v>2</v>
      </c>
      <c r="H359" s="402">
        <f>IFERROR(INDEX('00_TONG_HOP_BAO_GIA'!$G$1:$G$5000, MATCH(B359, '00_TONG_HOP_BAO_GIA'!$B$1:$B$5000, 0)), 1)</f>
        <v/>
      </c>
      <c r="I359" s="407">
        <f>G359*H359</f>
        <v/>
      </c>
      <c r="J359" s="402">
        <f>IFERROR(INDEX('06_BANG_GIA_VAT_TU_AP_DUNG'!$E$1:$E$5000, MATCH(E359, '06_BANG_GIA_VAT_TU_AP_DUNG'!$B$1:$B$5000, 0)), 0)</f>
        <v/>
      </c>
      <c r="K359" s="402">
        <f>I359*J359</f>
        <v/>
      </c>
      <c r="L359" t="inlineStr">
        <is>
          <t>2 đôi bạc đỡ 2 bên thân</t>
        </is>
      </c>
    </row>
    <row r="360">
      <c r="A360" t="inlineStr">
        <is>
          <t>SW-DAMPER-067-GEAR</t>
        </is>
      </c>
      <c r="B360" t="inlineStr">
        <is>
          <t>SW-DAMPER-067</t>
        </is>
      </c>
      <c r="C360" t="inlineStr">
        <is>
          <t>Bánh răng van nhôm</t>
        </is>
      </c>
      <c r="D360" t="inlineStr">
        <is>
          <t>PHỤ_KIỆN_VAN</t>
        </is>
      </c>
      <c r="E360" t="inlineStr">
        <is>
          <t>MAT-DAMPER-BANH-RANG-VAN-NHOM</t>
        </is>
      </c>
      <c r="F360" t="inlineStr">
        <is>
          <t>Bộ</t>
        </is>
      </c>
      <c r="G360" s="406" t="n">
        <v>1</v>
      </c>
      <c r="H360" s="402">
        <f>IFERROR(INDEX('00_TONG_HOP_BAO_GIA'!$G$1:$G$5000, MATCH(B360, '00_TONG_HOP_BAO_GIA'!$B$1:$B$5000, 0)), 1)</f>
        <v/>
      </c>
      <c r="I360" s="407">
        <f>G360*H360</f>
        <v/>
      </c>
      <c r="J360" s="402">
        <f>IFERROR(INDEX('06_BANG_GIA_VAT_TU_AP_DUNG'!$E$1:$E$5000, MATCH(E360, '06_BANG_GIA_VAT_TU_AP_DUNG'!$B$1:$B$5000, 0)), 0)</f>
        <v/>
      </c>
      <c r="K360" s="402">
        <f>I360*J360</f>
        <v/>
      </c>
      <c r="L360" t="inlineStr">
        <is>
          <t>Cơ cấu liên động cánh (1 bộ)</t>
        </is>
      </c>
    </row>
    <row r="361">
      <c r="A361" t="inlineStr">
        <is>
          <t>SW-DAMPER-067-ACTUATOR</t>
        </is>
      </c>
      <c r="B361" t="inlineStr">
        <is>
          <t>SW-DAMPER-067</t>
        </is>
      </c>
      <c r="C361" t="inlineStr">
        <is>
          <t>Động cơ chặn lửa ON/OFF 9Nm, 230V/24V (BELIMO BFN24 / BFN230)</t>
        </is>
      </c>
      <c r="D361" t="inlineStr">
        <is>
          <t>ĐỘNG_CƠ_VÀ_CẢM_BIẾN</t>
        </is>
      </c>
      <c r="E361" t="inlineStr">
        <is>
          <t>MAT-ACTUATOR-BELIMO-BFN24</t>
        </is>
      </c>
      <c r="F361" t="inlineStr">
        <is>
          <t>Cái</t>
        </is>
      </c>
      <c r="G361" s="406" t="n">
        <v>1</v>
      </c>
      <c r="H361" s="402">
        <f>IFERROR(INDEX('00_TONG_HOP_BAO_GIA'!$G$1:$G$5000, MATCH(B361, '00_TONG_HOP_BAO_GIA'!$B$1:$B$5000, 0)), 1)</f>
        <v/>
      </c>
      <c r="I361" s="407">
        <f>G361*H361</f>
        <v/>
      </c>
      <c r="J361" s="402">
        <f>IFERROR(INDEX('06_BANG_GIA_VAT_TU_AP_DUNG'!$E$1:$E$5000, MATCH(E361, '06_BANG_GIA_VAT_TU_AP_DUNG'!$B$1:$B$5000, 0)), 0)</f>
        <v/>
      </c>
      <c r="K361" s="402">
        <f>I361*J361</f>
        <v/>
      </c>
      <c r="L361" t="inlineStr">
        <is>
          <t>Động cơ lò xo phản hồi MFD (1 bộ)</t>
        </is>
      </c>
    </row>
    <row r="362">
      <c r="A362" t="inlineStr">
        <is>
          <t>SW-DAMPER-067-FB10-BODY</t>
        </is>
      </c>
      <c r="B362" t="inlineStr">
        <is>
          <t>SW-DAMPER-067</t>
        </is>
      </c>
      <c r="C362" t="inlineStr">
        <is>
          <t>Tấm chống cháy dày 10mm bọc thân van FD/MFD (2 lớp)</t>
        </is>
      </c>
      <c r="D362" t="inlineStr">
        <is>
          <t>VẬT_LIỆU_CÁCH_NHIỆT</t>
        </is>
      </c>
      <c r="E362" t="inlineStr">
        <is>
          <t>MAT-FIREBOARD-10MM-BODY</t>
        </is>
      </c>
      <c r="F362" t="inlineStr">
        <is>
          <t>m2</t>
        </is>
      </c>
      <c r="G362" s="406" t="n">
        <v>1.62</v>
      </c>
      <c r="H362" s="402">
        <f>IFERROR(INDEX('00_TONG_HOP_BAO_GIA'!$G$1:$G$5000, MATCH(B362, '00_TONG_HOP_BAO_GIA'!$B$1:$B$5000, 0)), 1)</f>
        <v/>
      </c>
      <c r="I362" s="407">
        <f>G362*H362</f>
        <v/>
      </c>
      <c r="J362" s="402">
        <f>IFERROR(INDEX('06_BANG_GIA_VAT_TU_AP_DUNG'!$E$1:$E$5000, MATCH(E362, '06_BANG_GIA_VAT_TU_AP_DUNG'!$B$1:$B$5000, 0)), 0)</f>
        <v/>
      </c>
      <c r="K362" s="402">
        <f>I362*J362</f>
        <v/>
      </c>
      <c r="L362" t="inlineStr">
        <is>
          <t>Bọc 2 lớp tấm 10mm quanh thân L=300mm</t>
        </is>
      </c>
    </row>
    <row r="363">
      <c r="A363" t="inlineStr">
        <is>
          <t>SW-DAMPER-067-FB20-BLADE</t>
        </is>
      </c>
      <c r="B363" t="inlineStr">
        <is>
          <t>SW-DAMPER-067</t>
        </is>
      </c>
      <c r="C363" t="inlineStr">
        <is>
          <t>Tấm chống cháy dày 20mm làm lõi cánh van FD/MFD</t>
        </is>
      </c>
      <c r="D363" t="inlineStr">
        <is>
          <t>VẬT_LIỆU_CÁCH_NHIỆT</t>
        </is>
      </c>
      <c r="E363" t="inlineStr">
        <is>
          <t>MAT-FIREBOARD-20MM-BLADE</t>
        </is>
      </c>
      <c r="F363" t="inlineStr">
        <is>
          <t>m2</t>
        </is>
      </c>
      <c r="G363" s="406" t="n">
        <v>0.524168456375839</v>
      </c>
      <c r="H363" s="402">
        <f>IFERROR(INDEX('00_TONG_HOP_BAO_GIA'!$G$1:$G$5000, MATCH(B363, '00_TONG_HOP_BAO_GIA'!$B$1:$B$5000, 0)), 1)</f>
        <v/>
      </c>
      <c r="I363" s="407">
        <f>G363*H363</f>
        <v/>
      </c>
      <c r="J363" s="402">
        <f>IFERROR(INDEX('06_BANG_GIA_VAT_TU_AP_DUNG'!$E$1:$E$5000, MATCH(E363, '06_BANG_GIA_VAT_TU_AP_DUNG'!$B$1:$B$5000, 0)), 0)</f>
        <v/>
      </c>
      <c r="K363" s="402">
        <f>I363*J363</f>
        <v/>
      </c>
      <c r="L363" t="inlineStr">
        <is>
          <t>Lõi cánh tấm 20mm (Đa cánh hệ số (H-5)/149=2.32, bản rộng 210mm, hao hụt 10%)</t>
        </is>
      </c>
    </row>
    <row r="364">
      <c r="A364" t="inlineStr">
        <is>
          <t>SW-DAMPER-067-FB10-BLADE</t>
        </is>
      </c>
      <c r="B364" t="inlineStr">
        <is>
          <t>SW-DAMPER-067</t>
        </is>
      </c>
      <c r="C364" t="inlineStr">
        <is>
          <t>Tấm chống cháy dày 10mm ốp 2 mặt cánh van FD/MFD</t>
        </is>
      </c>
      <c r="D364" t="inlineStr">
        <is>
          <t>VẬT_LIỆU_CÁCH_NHIỆT</t>
        </is>
      </c>
      <c r="E364" t="inlineStr">
        <is>
          <t>MAT-FIREBOARD-10MM-BLADE</t>
        </is>
      </c>
      <c r="F364" t="inlineStr">
        <is>
          <t>m2</t>
        </is>
      </c>
      <c r="G364" s="406" t="n">
        <v>1.069731543624161</v>
      </c>
      <c r="H364" s="402">
        <f>IFERROR(INDEX('00_TONG_HOP_BAO_GIA'!$G$1:$G$5000, MATCH(B364, '00_TONG_HOP_BAO_GIA'!$B$1:$B$5000, 0)), 1)</f>
        <v/>
      </c>
      <c r="I364" s="407">
        <f>G364*H364</f>
        <v/>
      </c>
      <c r="J364" s="402">
        <f>IFERROR(INDEX('06_BANG_GIA_VAT_TU_AP_DUNG'!$E$1:$E$5000, MATCH(E364, '06_BANG_GIA_VAT_TU_AP_DUNG'!$B$1:$B$5000, 0)), 0)</f>
        <v/>
      </c>
      <c r="K364" s="402">
        <f>I364*J364</f>
        <v/>
      </c>
      <c r="L364" t="inlineStr">
        <is>
          <t>Ốp 2 mặt cánh tấm 10mm (Đa cánh hệ số (H-5)/149=2.32, bản rộng 210mm, hao hụt 10%)</t>
        </is>
      </c>
    </row>
    <row r="365">
      <c r="A365" t="inlineStr">
        <is>
          <t>SW-DAMPER-067-SPRING-BOX</t>
        </is>
      </c>
      <c r="B365" t="inlineStr">
        <is>
          <t>SW-DAMPER-067</t>
        </is>
      </c>
      <c r="C365" t="inlineStr">
        <is>
          <t>Hộp lò xo van chặn lửa FD/MFD</t>
        </is>
      </c>
      <c r="D365" t="inlineStr">
        <is>
          <t>PHỤ_KIỆN_VAN</t>
        </is>
      </c>
      <c r="E365" t="inlineStr">
        <is>
          <t>MAT-DAMPER-HOP-LO-XO</t>
        </is>
      </c>
      <c r="F365" t="inlineStr">
        <is>
          <t>Bộ</t>
        </is>
      </c>
      <c r="G365" s="406" t="n">
        <v>1</v>
      </c>
      <c r="H365" s="402">
        <f>IFERROR(INDEX('00_TONG_HOP_BAO_GIA'!$G$1:$G$5000, MATCH(B365, '00_TONG_HOP_BAO_GIA'!$B$1:$B$5000, 0)), 1)</f>
        <v/>
      </c>
      <c r="I365" s="407">
        <f>G365*H365</f>
        <v/>
      </c>
      <c r="J365" s="402">
        <f>IFERROR(INDEX('06_BANG_GIA_VAT_TU_AP_DUNG'!$E$1:$E$5000, MATCH(E365, '06_BANG_GIA_VAT_TU_AP_DUNG'!$B$1:$B$5000, 0)), 0)</f>
        <v/>
      </c>
      <c r="K365" s="402">
        <f>I365*J365</f>
        <v/>
      </c>
      <c r="L365" t="inlineStr">
        <is>
          <t>Hộp lò xo cơ cấu đóng sập (1 bộ)</t>
        </is>
      </c>
    </row>
    <row r="366">
      <c r="A366" t="inlineStr">
        <is>
          <t>SW-DAMPER-067-SILICON-BOLT</t>
        </is>
      </c>
      <c r="B366" t="inlineStr">
        <is>
          <t>SW-DAMPER-067</t>
        </is>
      </c>
      <c r="C366" t="inlineStr">
        <is>
          <t>Silicon chống cháy + bu lông, ốc vít van FD/MFD</t>
        </is>
      </c>
      <c r="D366" t="inlineStr">
        <is>
          <t>PHỤ_KIỆN_VAN</t>
        </is>
      </c>
      <c r="E366" t="inlineStr">
        <is>
          <t>MAT-DAMPER-SILICON-BULONG-VIT</t>
        </is>
      </c>
      <c r="F366" t="inlineStr">
        <is>
          <t>Bộ</t>
        </is>
      </c>
      <c r="G366" s="406" t="n">
        <v>1</v>
      </c>
      <c r="H366" s="402">
        <f>IFERROR(INDEX('00_TONG_HOP_BAO_GIA'!$G$1:$G$5000, MATCH(B366, '00_TONG_HOP_BAO_GIA'!$B$1:$B$5000, 0)), 1)</f>
        <v/>
      </c>
      <c r="I366" s="407">
        <f>G366*H366</f>
        <v/>
      </c>
      <c r="J366" s="402">
        <f>IFERROR(INDEX('06_BANG_GIA_VAT_TU_AP_DUNG'!$E$1:$E$5000, MATCH(E366, '06_BANG_GIA_VAT_TU_AP_DUNG'!$B$1:$B$5000, 0)), 0)</f>
        <v/>
      </c>
      <c r="K366" s="402">
        <f>I366*J366</f>
        <v/>
      </c>
      <c r="L366" t="inlineStr">
        <is>
          <t>Keo silicon chống cháy &amp; phụ kiện lắp ghép (1 bộ)</t>
        </is>
      </c>
    </row>
    <row r="367">
      <c r="A367" t="inlineStr">
        <is>
          <t>SW-DAMPER-068-BODY</t>
        </is>
      </c>
      <c r="B367" t="inlineStr">
        <is>
          <t>SW-DAMPER-068</t>
        </is>
      </c>
      <c r="C367" t="inlineStr">
        <is>
          <t>Thân vỏ van MFD bích C30/TDF (1.15mm)</t>
        </is>
      </c>
      <c r="D367" t="inlineStr">
        <is>
          <t>TÔN_CUỘN_MẠ_KẼM</t>
        </is>
      </c>
      <c r="E367" t="inlineStr">
        <is>
          <t>MAT-STEEL-PN-1.15</t>
        </is>
      </c>
      <c r="F367" t="inlineStr">
        <is>
          <t>kg</t>
        </is>
      </c>
      <c r="G367" s="406" t="n">
        <v>8.036190225</v>
      </c>
      <c r="H367" s="402">
        <f>IFERROR(INDEX('00_TONG_HOP_BAO_GIA'!$G$1:$G$5000, MATCH(B367, '00_TONG_HOP_BAO_GIA'!$B$1:$B$5000, 0)), 1)</f>
        <v/>
      </c>
      <c r="I367" s="407">
        <f>G367*H367</f>
        <v/>
      </c>
      <c r="J367" s="402">
        <f>IFERROR(INDEX('06_BANG_GIA_VAT_TU_AP_DUNG'!$E$1:$E$5000, MATCH(E367, '06_BANG_GIA_VAT_TU_AP_DUNG'!$B$1:$B$5000, 0)), 0)</f>
        <v/>
      </c>
      <c r="K367" s="402">
        <f>I367*J367</f>
        <v/>
      </c>
      <c r="L367" t="inlineStr">
        <is>
          <t>Kích thước vỏ 1200x350x200mm</t>
        </is>
      </c>
    </row>
    <row r="368">
      <c r="A368" t="inlineStr">
        <is>
          <t>SW-DAMPER-068-BLADE</t>
        </is>
      </c>
      <c r="B368" t="inlineStr">
        <is>
          <t>SW-DAMPER-068</t>
        </is>
      </c>
      <c r="C368" t="inlineStr">
        <is>
          <t>Lá cánh / Tôn tấm bọc van (2 cánh)</t>
        </is>
      </c>
      <c r="D368" t="inlineStr">
        <is>
          <t>TÔN_CUỘN_MẠ_KẼM</t>
        </is>
      </c>
      <c r="E368" t="inlineStr">
        <is>
          <t>MAT-STEEL-PN-1.15</t>
        </is>
      </c>
      <c r="F368" t="inlineStr">
        <is>
          <t>kg</t>
        </is>
      </c>
      <c r="G368" s="406" t="n">
        <v>7.583099999999998</v>
      </c>
      <c r="H368" s="402">
        <f>IFERROR(INDEX('00_TONG_HOP_BAO_GIA'!$G$1:$G$5000, MATCH(B368, '00_TONG_HOP_BAO_GIA'!$B$1:$B$5000, 0)), 1)</f>
        <v/>
      </c>
      <c r="I368" s="407">
        <f>G368*H368</f>
        <v/>
      </c>
      <c r="J368" s="402">
        <f>IFERROR(INDEX('06_BANG_GIA_VAT_TU_AP_DUNG'!$E$1:$E$5000, MATCH(E368, '06_BANG_GIA_VAT_TU_AP_DUNG'!$B$1:$B$5000, 0)), 0)</f>
        <v/>
      </c>
      <c r="K368" s="402">
        <f>I368*J368</f>
        <v/>
      </c>
      <c r="L368" t="inlineStr">
        <is>
          <t>Tôn bọc cánh &amp; thân (2 cánh/modul)</t>
        </is>
      </c>
    </row>
    <row r="369">
      <c r="A369" t="inlineStr">
        <is>
          <t>SW-DAMPER-068-AXLE</t>
        </is>
      </c>
      <c r="B369" t="inlineStr">
        <is>
          <t>SW-DAMPER-068</t>
        </is>
      </c>
      <c r="C369" t="inlineStr">
        <is>
          <t>Trục Sus 201 D10</t>
        </is>
      </c>
      <c r="D369" t="inlineStr">
        <is>
          <t>PHỤ_KIỆN_VAN</t>
        </is>
      </c>
      <c r="E369" t="inlineStr">
        <is>
          <t>MAT-DAMPER-TRUC-SUS-201-D10</t>
        </is>
      </c>
      <c r="F369" t="inlineStr">
        <is>
          <t>m</t>
        </is>
      </c>
      <c r="G369" s="406" t="n">
        <v>2.52</v>
      </c>
      <c r="H369" s="402">
        <f>IFERROR(INDEX('00_TONG_HOP_BAO_GIA'!$G$1:$G$5000, MATCH(B369, '00_TONG_HOP_BAO_GIA'!$B$1:$B$5000, 0)), 1)</f>
        <v/>
      </c>
      <c r="I369" s="407">
        <f>G369*H369</f>
        <v/>
      </c>
      <c r="J369" s="402">
        <f>IFERROR(INDEX('06_BANG_GIA_VAT_TU_AP_DUNG'!$E$1:$E$5000, MATCH(E369, '06_BANG_GIA_VAT_TU_AP_DUNG'!$B$1:$B$5000, 0)), 0)</f>
        <v/>
      </c>
      <c r="K369" s="402">
        <f>I369*J369</f>
        <v/>
      </c>
      <c r="L369" t="inlineStr">
        <is>
          <t>2 trục dài 1260mm</t>
        </is>
      </c>
    </row>
    <row r="370">
      <c r="A370" t="inlineStr">
        <is>
          <t>SW-DAMPER-068-BEARING</t>
        </is>
      </c>
      <c r="B370" t="inlineStr">
        <is>
          <t>SW-DAMPER-068</t>
        </is>
      </c>
      <c r="C370" t="inlineStr">
        <is>
          <t>Bạc đồng D10</t>
        </is>
      </c>
      <c r="D370" t="inlineStr">
        <is>
          <t>PHỤ_KIỆN_VAN</t>
        </is>
      </c>
      <c r="E370" t="inlineStr">
        <is>
          <t>MAT-DAMPER-BAC-DONG-D10</t>
        </is>
      </c>
      <c r="F370" t="inlineStr">
        <is>
          <t>Đôi</t>
        </is>
      </c>
      <c r="G370" s="406" t="n">
        <v>2</v>
      </c>
      <c r="H370" s="402">
        <f>IFERROR(INDEX('00_TONG_HOP_BAO_GIA'!$G$1:$G$5000, MATCH(B370, '00_TONG_HOP_BAO_GIA'!$B$1:$B$5000, 0)), 1)</f>
        <v/>
      </c>
      <c r="I370" s="407">
        <f>G370*H370</f>
        <v/>
      </c>
      <c r="J370" s="402">
        <f>IFERROR(INDEX('06_BANG_GIA_VAT_TU_AP_DUNG'!$E$1:$E$5000, MATCH(E370, '06_BANG_GIA_VAT_TU_AP_DUNG'!$B$1:$B$5000, 0)), 0)</f>
        <v/>
      </c>
      <c r="K370" s="402">
        <f>I370*J370</f>
        <v/>
      </c>
      <c r="L370" t="inlineStr">
        <is>
          <t>2 đôi bạc đỡ 2 bên thân</t>
        </is>
      </c>
    </row>
    <row r="371">
      <c r="A371" t="inlineStr">
        <is>
          <t>SW-DAMPER-068-GEAR</t>
        </is>
      </c>
      <c r="B371" t="inlineStr">
        <is>
          <t>SW-DAMPER-068</t>
        </is>
      </c>
      <c r="C371" t="inlineStr">
        <is>
          <t>Bánh răng van nhôm</t>
        </is>
      </c>
      <c r="D371" t="inlineStr">
        <is>
          <t>PHỤ_KIỆN_VAN</t>
        </is>
      </c>
      <c r="E371" t="inlineStr">
        <is>
          <t>MAT-DAMPER-BANH-RANG-VAN-NHOM</t>
        </is>
      </c>
      <c r="F371" t="inlineStr">
        <is>
          <t>Bộ</t>
        </is>
      </c>
      <c r="G371" s="406" t="n">
        <v>1</v>
      </c>
      <c r="H371" s="402">
        <f>IFERROR(INDEX('00_TONG_HOP_BAO_GIA'!$G$1:$G$5000, MATCH(B371, '00_TONG_HOP_BAO_GIA'!$B$1:$B$5000, 0)), 1)</f>
        <v/>
      </c>
      <c r="I371" s="407">
        <f>G371*H371</f>
        <v/>
      </c>
      <c r="J371" s="402">
        <f>IFERROR(INDEX('06_BANG_GIA_VAT_TU_AP_DUNG'!$E$1:$E$5000, MATCH(E371, '06_BANG_GIA_VAT_TU_AP_DUNG'!$B$1:$B$5000, 0)), 0)</f>
        <v/>
      </c>
      <c r="K371" s="402">
        <f>I371*J371</f>
        <v/>
      </c>
      <c r="L371" t="inlineStr">
        <is>
          <t>Cơ cấu liên động cánh (1 bộ)</t>
        </is>
      </c>
    </row>
    <row r="372">
      <c r="A372" t="inlineStr">
        <is>
          <t>SW-DAMPER-068-ACTUATOR</t>
        </is>
      </c>
      <c r="B372" t="inlineStr">
        <is>
          <t>SW-DAMPER-068</t>
        </is>
      </c>
      <c r="C372" t="inlineStr">
        <is>
          <t>Động cơ chặn lửa ON/OFF 9Nm, 230V/24V (BELIMO BFN24 / BFN230)</t>
        </is>
      </c>
      <c r="D372" t="inlineStr">
        <is>
          <t>ĐỘNG_CƠ_VÀ_CẢM_BIẾN</t>
        </is>
      </c>
      <c r="E372" t="inlineStr">
        <is>
          <t>MAT-ACTUATOR-BELIMO-BFN24</t>
        </is>
      </c>
      <c r="F372" t="inlineStr">
        <is>
          <t>Cái</t>
        </is>
      </c>
      <c r="G372" s="406" t="n">
        <v>1</v>
      </c>
      <c r="H372" s="402">
        <f>IFERROR(INDEX('00_TONG_HOP_BAO_GIA'!$G$1:$G$5000, MATCH(B372, '00_TONG_HOP_BAO_GIA'!$B$1:$B$5000, 0)), 1)</f>
        <v/>
      </c>
      <c r="I372" s="407">
        <f>G372*H372</f>
        <v/>
      </c>
      <c r="J372" s="402">
        <f>IFERROR(INDEX('06_BANG_GIA_VAT_TU_AP_DUNG'!$E$1:$E$5000, MATCH(E372, '06_BANG_GIA_VAT_TU_AP_DUNG'!$B$1:$B$5000, 0)), 0)</f>
        <v/>
      </c>
      <c r="K372" s="402">
        <f>I372*J372</f>
        <v/>
      </c>
      <c r="L372" t="inlineStr">
        <is>
          <t>Động cơ lò xo phản hồi MFD (1 bộ)</t>
        </is>
      </c>
    </row>
    <row r="373">
      <c r="A373" t="inlineStr">
        <is>
          <t>SW-DAMPER-068-FB10-BODY</t>
        </is>
      </c>
      <c r="B373" t="inlineStr">
        <is>
          <t>SW-DAMPER-068</t>
        </is>
      </c>
      <c r="C373" t="inlineStr">
        <is>
          <t>Tấm chống cháy dày 10mm bọc thân van FD/MFD (2 lớp)</t>
        </is>
      </c>
      <c r="D373" t="inlineStr">
        <is>
          <t>VẬT_LIỆU_CÁCH_NHIỆT</t>
        </is>
      </c>
      <c r="E373" t="inlineStr">
        <is>
          <t>MAT-FIREBOARD-10MM-BODY</t>
        </is>
      </c>
      <c r="F373" t="inlineStr">
        <is>
          <t>m2</t>
        </is>
      </c>
      <c r="G373" s="406" t="n">
        <v>1.86</v>
      </c>
      <c r="H373" s="402">
        <f>IFERROR(INDEX('00_TONG_HOP_BAO_GIA'!$G$1:$G$5000, MATCH(B373, '00_TONG_HOP_BAO_GIA'!$B$1:$B$5000, 0)), 1)</f>
        <v/>
      </c>
      <c r="I373" s="407">
        <f>G373*H373</f>
        <v/>
      </c>
      <c r="J373" s="402">
        <f>IFERROR(INDEX('06_BANG_GIA_VAT_TU_AP_DUNG'!$E$1:$E$5000, MATCH(E373, '06_BANG_GIA_VAT_TU_AP_DUNG'!$B$1:$B$5000, 0)), 0)</f>
        <v/>
      </c>
      <c r="K373" s="402">
        <f>I373*J373</f>
        <v/>
      </c>
      <c r="L373" t="inlineStr">
        <is>
          <t>Bọc 2 lớp tấm 10mm quanh thân L=300mm</t>
        </is>
      </c>
    </row>
    <row r="374">
      <c r="A374" t="inlineStr">
        <is>
          <t>SW-DAMPER-068-FB20-BLADE</t>
        </is>
      </c>
      <c r="B374" t="inlineStr">
        <is>
          <t>SW-DAMPER-068</t>
        </is>
      </c>
      <c r="C374" t="inlineStr">
        <is>
          <t>Tấm chống cháy dày 20mm làm lõi cánh van FD/MFD</t>
        </is>
      </c>
      <c r="D374" t="inlineStr">
        <is>
          <t>VẬT_LIỆU_CÁCH_NHIỆT</t>
        </is>
      </c>
      <c r="E374" t="inlineStr">
        <is>
          <t>MAT-FIREBOARD-20MM-BLADE</t>
        </is>
      </c>
      <c r="F374" t="inlineStr">
        <is>
          <t>m2</t>
        </is>
      </c>
      <c r="G374" s="406" t="n">
        <v>0.6311416107382549</v>
      </c>
      <c r="H374" s="402">
        <f>IFERROR(INDEX('00_TONG_HOP_BAO_GIA'!$G$1:$G$5000, MATCH(B374, '00_TONG_HOP_BAO_GIA'!$B$1:$B$5000, 0)), 1)</f>
        <v/>
      </c>
      <c r="I374" s="407">
        <f>G374*H374</f>
        <v/>
      </c>
      <c r="J374" s="402">
        <f>IFERROR(INDEX('06_BANG_GIA_VAT_TU_AP_DUNG'!$E$1:$E$5000, MATCH(E374, '06_BANG_GIA_VAT_TU_AP_DUNG'!$B$1:$B$5000, 0)), 0)</f>
        <v/>
      </c>
      <c r="K374" s="402">
        <f>I374*J374</f>
        <v/>
      </c>
      <c r="L374" t="inlineStr">
        <is>
          <t>Lõi cánh tấm 20mm (Đa cánh hệ số (H-5)/149=2.32, bản rộng 210mm, hao hụt 10%)</t>
        </is>
      </c>
    </row>
    <row r="375">
      <c r="A375" t="inlineStr">
        <is>
          <t>SW-DAMPER-068-FB10-BLADE</t>
        </is>
      </c>
      <c r="B375" t="inlineStr">
        <is>
          <t>SW-DAMPER-068</t>
        </is>
      </c>
      <c r="C375" t="inlineStr">
        <is>
          <t>Tấm chống cháy dày 10mm ốp 2 mặt cánh van FD/MFD</t>
        </is>
      </c>
      <c r="D375" t="inlineStr">
        <is>
          <t>VẬT_LIỆU_CÁCH_NHIỆT</t>
        </is>
      </c>
      <c r="E375" t="inlineStr">
        <is>
          <t>MAT-FIREBOARD-10MM-BLADE</t>
        </is>
      </c>
      <c r="F375" t="inlineStr">
        <is>
          <t>m2</t>
        </is>
      </c>
      <c r="G375" s="406" t="n">
        <v>1.283677852348993</v>
      </c>
      <c r="H375" s="402">
        <f>IFERROR(INDEX('00_TONG_HOP_BAO_GIA'!$G$1:$G$5000, MATCH(B375, '00_TONG_HOP_BAO_GIA'!$B$1:$B$5000, 0)), 1)</f>
        <v/>
      </c>
      <c r="I375" s="407">
        <f>G375*H375</f>
        <v/>
      </c>
      <c r="J375" s="402">
        <f>IFERROR(INDEX('06_BANG_GIA_VAT_TU_AP_DUNG'!$E$1:$E$5000, MATCH(E375, '06_BANG_GIA_VAT_TU_AP_DUNG'!$B$1:$B$5000, 0)), 0)</f>
        <v/>
      </c>
      <c r="K375" s="402">
        <f>I375*J375</f>
        <v/>
      </c>
      <c r="L375" t="inlineStr">
        <is>
          <t>Ốp 2 mặt cánh tấm 10mm (Đa cánh hệ số (H-5)/149=2.32, bản rộng 210mm, hao hụt 10%)</t>
        </is>
      </c>
    </row>
    <row r="376">
      <c r="A376" t="inlineStr">
        <is>
          <t>SW-DAMPER-068-SPRING-BOX</t>
        </is>
      </c>
      <c r="B376" t="inlineStr">
        <is>
          <t>SW-DAMPER-068</t>
        </is>
      </c>
      <c r="C376" t="inlineStr">
        <is>
          <t>Hộp lò xo van chặn lửa FD/MFD</t>
        </is>
      </c>
      <c r="D376" t="inlineStr">
        <is>
          <t>PHỤ_KIỆN_VAN</t>
        </is>
      </c>
      <c r="E376" t="inlineStr">
        <is>
          <t>MAT-DAMPER-HOP-LO-XO</t>
        </is>
      </c>
      <c r="F376" t="inlineStr">
        <is>
          <t>Bộ</t>
        </is>
      </c>
      <c r="G376" s="406" t="n">
        <v>1</v>
      </c>
      <c r="H376" s="402">
        <f>IFERROR(INDEX('00_TONG_HOP_BAO_GIA'!$G$1:$G$5000, MATCH(B376, '00_TONG_HOP_BAO_GIA'!$B$1:$B$5000, 0)), 1)</f>
        <v/>
      </c>
      <c r="I376" s="407">
        <f>G376*H376</f>
        <v/>
      </c>
      <c r="J376" s="402">
        <f>IFERROR(INDEX('06_BANG_GIA_VAT_TU_AP_DUNG'!$E$1:$E$5000, MATCH(E376, '06_BANG_GIA_VAT_TU_AP_DUNG'!$B$1:$B$5000, 0)), 0)</f>
        <v/>
      </c>
      <c r="K376" s="402">
        <f>I376*J376</f>
        <v/>
      </c>
      <c r="L376" t="inlineStr">
        <is>
          <t>Hộp lò xo cơ cấu đóng sập (1 bộ)</t>
        </is>
      </c>
    </row>
    <row r="377">
      <c r="A377" t="inlineStr">
        <is>
          <t>SW-DAMPER-068-SILICON-BOLT</t>
        </is>
      </c>
      <c r="B377" t="inlineStr">
        <is>
          <t>SW-DAMPER-068</t>
        </is>
      </c>
      <c r="C377" t="inlineStr">
        <is>
          <t>Silicon chống cháy + bu lông, ốc vít van FD/MFD</t>
        </is>
      </c>
      <c r="D377" t="inlineStr">
        <is>
          <t>PHỤ_KIỆN_VAN</t>
        </is>
      </c>
      <c r="E377" t="inlineStr">
        <is>
          <t>MAT-DAMPER-SILICON-BULONG-VIT</t>
        </is>
      </c>
      <c r="F377" t="inlineStr">
        <is>
          <t>Bộ</t>
        </is>
      </c>
      <c r="G377" s="406" t="n">
        <v>1</v>
      </c>
      <c r="H377" s="402">
        <f>IFERROR(INDEX('00_TONG_HOP_BAO_GIA'!$G$1:$G$5000, MATCH(B377, '00_TONG_HOP_BAO_GIA'!$B$1:$B$5000, 0)), 1)</f>
        <v/>
      </c>
      <c r="I377" s="407">
        <f>G377*H377</f>
        <v/>
      </c>
      <c r="J377" s="402">
        <f>IFERROR(INDEX('06_BANG_GIA_VAT_TU_AP_DUNG'!$E$1:$E$5000, MATCH(E377, '06_BANG_GIA_VAT_TU_AP_DUNG'!$B$1:$B$5000, 0)), 0)</f>
        <v/>
      </c>
      <c r="K377" s="402">
        <f>I377*J377</f>
        <v/>
      </c>
      <c r="L377" t="inlineStr">
        <is>
          <t>Keo silicon chống cháy &amp; phụ kiện lắp ghép (1 bộ)</t>
        </is>
      </c>
    </row>
    <row r="378">
      <c r="A378" t="inlineStr">
        <is>
          <t>SW-DAMPER-069-BODY</t>
        </is>
      </c>
      <c r="B378" t="inlineStr">
        <is>
          <t>SW-DAMPER-069</t>
        </is>
      </c>
      <c r="C378" t="inlineStr">
        <is>
          <t>Thân vỏ van MFD bích C30/TDF (1.15mm)</t>
        </is>
      </c>
      <c r="D378" t="inlineStr">
        <is>
          <t>TÔN_CUỘN_MẠ_KẼM</t>
        </is>
      </c>
      <c r="E378" t="inlineStr">
        <is>
          <t>MAT-STEEL-PN-1.15</t>
        </is>
      </c>
      <c r="F378" t="inlineStr">
        <is>
          <t>kg</t>
        </is>
      </c>
      <c r="G378" s="406" t="n">
        <v>7.524330974999999</v>
      </c>
      <c r="H378" s="402">
        <f>IFERROR(INDEX('00_TONG_HOP_BAO_GIA'!$G$1:$G$5000, MATCH(B378, '00_TONG_HOP_BAO_GIA'!$B$1:$B$5000, 0)), 1)</f>
        <v/>
      </c>
      <c r="I378" s="407">
        <f>G378*H378</f>
        <v/>
      </c>
      <c r="J378" s="402">
        <f>IFERROR(INDEX('06_BANG_GIA_VAT_TU_AP_DUNG'!$E$1:$E$5000, MATCH(E378, '06_BANG_GIA_VAT_TU_AP_DUNG'!$B$1:$B$5000, 0)), 0)</f>
        <v/>
      </c>
      <c r="K378" s="402">
        <f>I378*J378</f>
        <v/>
      </c>
      <c r="L378" t="inlineStr">
        <is>
          <t>Kích thước vỏ 1100x350x200mm</t>
        </is>
      </c>
    </row>
    <row r="379">
      <c r="A379" t="inlineStr">
        <is>
          <t>SW-DAMPER-069-BLADE</t>
        </is>
      </c>
      <c r="B379" t="inlineStr">
        <is>
          <t>SW-DAMPER-069</t>
        </is>
      </c>
      <c r="C379" t="inlineStr">
        <is>
          <t>Lá cánh / Tôn tấm bọc van (2 cánh)</t>
        </is>
      </c>
      <c r="D379" t="inlineStr">
        <is>
          <t>TÔN_CUỘN_MẠ_KẼM</t>
        </is>
      </c>
      <c r="E379" t="inlineStr">
        <is>
          <t>MAT-STEEL-PN-1.15</t>
        </is>
      </c>
      <c r="F379" t="inlineStr">
        <is>
          <t>kg</t>
        </is>
      </c>
      <c r="G379" s="406" t="n">
        <v>6.951174999999998</v>
      </c>
      <c r="H379" s="402">
        <f>IFERROR(INDEX('00_TONG_HOP_BAO_GIA'!$G$1:$G$5000, MATCH(B379, '00_TONG_HOP_BAO_GIA'!$B$1:$B$5000, 0)), 1)</f>
        <v/>
      </c>
      <c r="I379" s="407">
        <f>G379*H379</f>
        <v/>
      </c>
      <c r="J379" s="402">
        <f>IFERROR(INDEX('06_BANG_GIA_VAT_TU_AP_DUNG'!$E$1:$E$5000, MATCH(E379, '06_BANG_GIA_VAT_TU_AP_DUNG'!$B$1:$B$5000, 0)), 0)</f>
        <v/>
      </c>
      <c r="K379" s="402">
        <f>I379*J379</f>
        <v/>
      </c>
      <c r="L379" t="inlineStr">
        <is>
          <t>Tôn bọc cánh &amp; thân (2 cánh/modul)</t>
        </is>
      </c>
    </row>
    <row r="380">
      <c r="A380" t="inlineStr">
        <is>
          <t>SW-DAMPER-069-AXLE</t>
        </is>
      </c>
      <c r="B380" t="inlineStr">
        <is>
          <t>SW-DAMPER-069</t>
        </is>
      </c>
      <c r="C380" t="inlineStr">
        <is>
          <t>Trục Sus 201 D10</t>
        </is>
      </c>
      <c r="D380" t="inlineStr">
        <is>
          <t>PHỤ_KIỆN_VAN</t>
        </is>
      </c>
      <c r="E380" t="inlineStr">
        <is>
          <t>MAT-DAMPER-TRUC-SUS-201-D10</t>
        </is>
      </c>
      <c r="F380" t="inlineStr">
        <is>
          <t>m</t>
        </is>
      </c>
      <c r="G380" s="406" t="n">
        <v>2.32</v>
      </c>
      <c r="H380" s="402">
        <f>IFERROR(INDEX('00_TONG_HOP_BAO_GIA'!$G$1:$G$5000, MATCH(B380, '00_TONG_HOP_BAO_GIA'!$B$1:$B$5000, 0)), 1)</f>
        <v/>
      </c>
      <c r="I380" s="407">
        <f>G380*H380</f>
        <v/>
      </c>
      <c r="J380" s="402">
        <f>IFERROR(INDEX('06_BANG_GIA_VAT_TU_AP_DUNG'!$E$1:$E$5000, MATCH(E380, '06_BANG_GIA_VAT_TU_AP_DUNG'!$B$1:$B$5000, 0)), 0)</f>
        <v/>
      </c>
      <c r="K380" s="402">
        <f>I380*J380</f>
        <v/>
      </c>
      <c r="L380" t="inlineStr">
        <is>
          <t>2 trục dài 1160mm</t>
        </is>
      </c>
    </row>
    <row r="381">
      <c r="A381" t="inlineStr">
        <is>
          <t>SW-DAMPER-069-BEARING</t>
        </is>
      </c>
      <c r="B381" t="inlineStr">
        <is>
          <t>SW-DAMPER-069</t>
        </is>
      </c>
      <c r="C381" t="inlineStr">
        <is>
          <t>Bạc đồng D10</t>
        </is>
      </c>
      <c r="D381" t="inlineStr">
        <is>
          <t>PHỤ_KIỆN_VAN</t>
        </is>
      </c>
      <c r="E381" t="inlineStr">
        <is>
          <t>MAT-DAMPER-BAC-DONG-D10</t>
        </is>
      </c>
      <c r="F381" t="inlineStr">
        <is>
          <t>Đôi</t>
        </is>
      </c>
      <c r="G381" s="406" t="n">
        <v>2</v>
      </c>
      <c r="H381" s="402">
        <f>IFERROR(INDEX('00_TONG_HOP_BAO_GIA'!$G$1:$G$5000, MATCH(B381, '00_TONG_HOP_BAO_GIA'!$B$1:$B$5000, 0)), 1)</f>
        <v/>
      </c>
      <c r="I381" s="407">
        <f>G381*H381</f>
        <v/>
      </c>
      <c r="J381" s="402">
        <f>IFERROR(INDEX('06_BANG_GIA_VAT_TU_AP_DUNG'!$E$1:$E$5000, MATCH(E381, '06_BANG_GIA_VAT_TU_AP_DUNG'!$B$1:$B$5000, 0)), 0)</f>
        <v/>
      </c>
      <c r="K381" s="402">
        <f>I381*J381</f>
        <v/>
      </c>
      <c r="L381" t="inlineStr">
        <is>
          <t>2 đôi bạc đỡ 2 bên thân</t>
        </is>
      </c>
    </row>
    <row r="382">
      <c r="A382" t="inlineStr">
        <is>
          <t>SW-DAMPER-069-GEAR</t>
        </is>
      </c>
      <c r="B382" t="inlineStr">
        <is>
          <t>SW-DAMPER-069</t>
        </is>
      </c>
      <c r="C382" t="inlineStr">
        <is>
          <t>Bánh răng van nhôm</t>
        </is>
      </c>
      <c r="D382" t="inlineStr">
        <is>
          <t>PHỤ_KIỆN_VAN</t>
        </is>
      </c>
      <c r="E382" t="inlineStr">
        <is>
          <t>MAT-DAMPER-BANH-RANG-VAN-NHOM</t>
        </is>
      </c>
      <c r="F382" t="inlineStr">
        <is>
          <t>Bộ</t>
        </is>
      </c>
      <c r="G382" s="406" t="n">
        <v>1</v>
      </c>
      <c r="H382" s="402">
        <f>IFERROR(INDEX('00_TONG_HOP_BAO_GIA'!$G$1:$G$5000, MATCH(B382, '00_TONG_HOP_BAO_GIA'!$B$1:$B$5000, 0)), 1)</f>
        <v/>
      </c>
      <c r="I382" s="407">
        <f>G382*H382</f>
        <v/>
      </c>
      <c r="J382" s="402">
        <f>IFERROR(INDEX('06_BANG_GIA_VAT_TU_AP_DUNG'!$E$1:$E$5000, MATCH(E382, '06_BANG_GIA_VAT_TU_AP_DUNG'!$B$1:$B$5000, 0)), 0)</f>
        <v/>
      </c>
      <c r="K382" s="402">
        <f>I382*J382</f>
        <v/>
      </c>
      <c r="L382" t="inlineStr">
        <is>
          <t>Cơ cấu liên động cánh (1 bộ)</t>
        </is>
      </c>
    </row>
    <row r="383">
      <c r="A383" t="inlineStr">
        <is>
          <t>SW-DAMPER-069-ACTUATOR</t>
        </is>
      </c>
      <c r="B383" t="inlineStr">
        <is>
          <t>SW-DAMPER-069</t>
        </is>
      </c>
      <c r="C383" t="inlineStr">
        <is>
          <t>Động cơ chặn lửa ON/OFF 9Nm, 230V/24V (BELIMO BFN24 / BFN230)</t>
        </is>
      </c>
      <c r="D383" t="inlineStr">
        <is>
          <t>ĐỘNG_CƠ_VÀ_CẢM_BIẾN</t>
        </is>
      </c>
      <c r="E383" t="inlineStr">
        <is>
          <t>MAT-ACTUATOR-BELIMO-BFN24</t>
        </is>
      </c>
      <c r="F383" t="inlineStr">
        <is>
          <t>Cái</t>
        </is>
      </c>
      <c r="G383" s="406" t="n">
        <v>1</v>
      </c>
      <c r="H383" s="402">
        <f>IFERROR(INDEX('00_TONG_HOP_BAO_GIA'!$G$1:$G$5000, MATCH(B383, '00_TONG_HOP_BAO_GIA'!$B$1:$B$5000, 0)), 1)</f>
        <v/>
      </c>
      <c r="I383" s="407">
        <f>G383*H383</f>
        <v/>
      </c>
      <c r="J383" s="402">
        <f>IFERROR(INDEX('06_BANG_GIA_VAT_TU_AP_DUNG'!$E$1:$E$5000, MATCH(E383, '06_BANG_GIA_VAT_TU_AP_DUNG'!$B$1:$B$5000, 0)), 0)</f>
        <v/>
      </c>
      <c r="K383" s="402">
        <f>I383*J383</f>
        <v/>
      </c>
      <c r="L383" t="inlineStr">
        <is>
          <t>Động cơ lò xo phản hồi MFD (1 bộ)</t>
        </is>
      </c>
    </row>
    <row r="384">
      <c r="A384" t="inlineStr">
        <is>
          <t>SW-DAMPER-069-FB10-BODY</t>
        </is>
      </c>
      <c r="B384" t="inlineStr">
        <is>
          <t>SW-DAMPER-069</t>
        </is>
      </c>
      <c r="C384" t="inlineStr">
        <is>
          <t>Tấm chống cháy dày 10mm bọc thân van FD/MFD (2 lớp)</t>
        </is>
      </c>
      <c r="D384" t="inlineStr">
        <is>
          <t>VẬT_LIỆU_CÁCH_NHIỆT</t>
        </is>
      </c>
      <c r="E384" t="inlineStr">
        <is>
          <t>MAT-FIREBOARD-10MM-BODY</t>
        </is>
      </c>
      <c r="F384" t="inlineStr">
        <is>
          <t>m2</t>
        </is>
      </c>
      <c r="G384" s="406" t="n">
        <v>1.74</v>
      </c>
      <c r="H384" s="402">
        <f>IFERROR(INDEX('00_TONG_HOP_BAO_GIA'!$G$1:$G$5000, MATCH(B384, '00_TONG_HOP_BAO_GIA'!$B$1:$B$5000, 0)), 1)</f>
        <v/>
      </c>
      <c r="I384" s="407">
        <f>G384*H384</f>
        <v/>
      </c>
      <c r="J384" s="402">
        <f>IFERROR(INDEX('06_BANG_GIA_VAT_TU_AP_DUNG'!$E$1:$E$5000, MATCH(E384, '06_BANG_GIA_VAT_TU_AP_DUNG'!$B$1:$B$5000, 0)), 0)</f>
        <v/>
      </c>
      <c r="K384" s="402">
        <f>I384*J384</f>
        <v/>
      </c>
      <c r="L384" t="inlineStr">
        <is>
          <t>Bọc 2 lớp tấm 10mm quanh thân L=300mm</t>
        </is>
      </c>
    </row>
    <row r="385">
      <c r="A385" t="inlineStr">
        <is>
          <t>SW-DAMPER-069-FB20-BLADE</t>
        </is>
      </c>
      <c r="B385" t="inlineStr">
        <is>
          <t>SW-DAMPER-069</t>
        </is>
      </c>
      <c r="C385" t="inlineStr">
        <is>
          <t>Tấm chống cháy dày 20mm làm lõi cánh van FD/MFD</t>
        </is>
      </c>
      <c r="D385" t="inlineStr">
        <is>
          <t>VẬT_LIỆU_CÁCH_NHIỆT</t>
        </is>
      </c>
      <c r="E385" t="inlineStr">
        <is>
          <t>MAT-FIREBOARD-20MM-BLADE</t>
        </is>
      </c>
      <c r="F385" t="inlineStr">
        <is>
          <t>m2</t>
        </is>
      </c>
      <c r="G385" s="406" t="n">
        <v>0.5776550335570471</v>
      </c>
      <c r="H385" s="402">
        <f>IFERROR(INDEX('00_TONG_HOP_BAO_GIA'!$G$1:$G$5000, MATCH(B385, '00_TONG_HOP_BAO_GIA'!$B$1:$B$5000, 0)), 1)</f>
        <v/>
      </c>
      <c r="I385" s="407">
        <f>G385*H385</f>
        <v/>
      </c>
      <c r="J385" s="402">
        <f>IFERROR(INDEX('06_BANG_GIA_VAT_TU_AP_DUNG'!$E$1:$E$5000, MATCH(E385, '06_BANG_GIA_VAT_TU_AP_DUNG'!$B$1:$B$5000, 0)), 0)</f>
        <v/>
      </c>
      <c r="K385" s="402">
        <f>I385*J385</f>
        <v/>
      </c>
      <c r="L385" t="inlineStr">
        <is>
          <t>Lõi cánh tấm 20mm (Đa cánh hệ số (H-5)/149=2.32, bản rộng 210mm, hao hụt 10%)</t>
        </is>
      </c>
    </row>
    <row r="386">
      <c r="A386" t="inlineStr">
        <is>
          <t>SW-DAMPER-069-FB10-BLADE</t>
        </is>
      </c>
      <c r="B386" t="inlineStr">
        <is>
          <t>SW-DAMPER-069</t>
        </is>
      </c>
      <c r="C386" t="inlineStr">
        <is>
          <t>Tấm chống cháy dày 10mm ốp 2 mặt cánh van FD/MFD</t>
        </is>
      </c>
      <c r="D386" t="inlineStr">
        <is>
          <t>VẬT_LIỆU_CÁCH_NHIỆT</t>
        </is>
      </c>
      <c r="E386" t="inlineStr">
        <is>
          <t>MAT-FIREBOARD-10MM-BLADE</t>
        </is>
      </c>
      <c r="F386" t="inlineStr">
        <is>
          <t>m2</t>
        </is>
      </c>
      <c r="G386" s="406" t="n">
        <v>1.176704697986577</v>
      </c>
      <c r="H386" s="402">
        <f>IFERROR(INDEX('00_TONG_HOP_BAO_GIA'!$G$1:$G$5000, MATCH(B386, '00_TONG_HOP_BAO_GIA'!$B$1:$B$5000, 0)), 1)</f>
        <v/>
      </c>
      <c r="I386" s="407">
        <f>G386*H386</f>
        <v/>
      </c>
      <c r="J386" s="402">
        <f>IFERROR(INDEX('06_BANG_GIA_VAT_TU_AP_DUNG'!$E$1:$E$5000, MATCH(E386, '06_BANG_GIA_VAT_TU_AP_DUNG'!$B$1:$B$5000, 0)), 0)</f>
        <v/>
      </c>
      <c r="K386" s="402">
        <f>I386*J386</f>
        <v/>
      </c>
      <c r="L386" t="inlineStr">
        <is>
          <t>Ốp 2 mặt cánh tấm 10mm (Đa cánh hệ số (H-5)/149=2.32, bản rộng 210mm, hao hụt 10%)</t>
        </is>
      </c>
    </row>
    <row r="387">
      <c r="A387" t="inlineStr">
        <is>
          <t>SW-DAMPER-069-SPRING-BOX</t>
        </is>
      </c>
      <c r="B387" t="inlineStr">
        <is>
          <t>SW-DAMPER-069</t>
        </is>
      </c>
      <c r="C387" t="inlineStr">
        <is>
          <t>Hộp lò xo van chặn lửa FD/MFD</t>
        </is>
      </c>
      <c r="D387" t="inlineStr">
        <is>
          <t>PHỤ_KIỆN_VAN</t>
        </is>
      </c>
      <c r="E387" t="inlineStr">
        <is>
          <t>MAT-DAMPER-HOP-LO-XO</t>
        </is>
      </c>
      <c r="F387" t="inlineStr">
        <is>
          <t>Bộ</t>
        </is>
      </c>
      <c r="G387" s="406" t="n">
        <v>1</v>
      </c>
      <c r="H387" s="402">
        <f>IFERROR(INDEX('00_TONG_HOP_BAO_GIA'!$G$1:$G$5000, MATCH(B387, '00_TONG_HOP_BAO_GIA'!$B$1:$B$5000, 0)), 1)</f>
        <v/>
      </c>
      <c r="I387" s="407">
        <f>G387*H387</f>
        <v/>
      </c>
      <c r="J387" s="402">
        <f>IFERROR(INDEX('06_BANG_GIA_VAT_TU_AP_DUNG'!$E$1:$E$5000, MATCH(E387, '06_BANG_GIA_VAT_TU_AP_DUNG'!$B$1:$B$5000, 0)), 0)</f>
        <v/>
      </c>
      <c r="K387" s="402">
        <f>I387*J387</f>
        <v/>
      </c>
      <c r="L387" t="inlineStr">
        <is>
          <t>Hộp lò xo cơ cấu đóng sập (1 bộ)</t>
        </is>
      </c>
    </row>
    <row r="388">
      <c r="A388" t="inlineStr">
        <is>
          <t>SW-DAMPER-069-SILICON-BOLT</t>
        </is>
      </c>
      <c r="B388" t="inlineStr">
        <is>
          <t>SW-DAMPER-069</t>
        </is>
      </c>
      <c r="C388" t="inlineStr">
        <is>
          <t>Silicon chống cháy + bu lông, ốc vít van FD/MFD</t>
        </is>
      </c>
      <c r="D388" t="inlineStr">
        <is>
          <t>PHỤ_KIỆN_VAN</t>
        </is>
      </c>
      <c r="E388" t="inlineStr">
        <is>
          <t>MAT-DAMPER-SILICON-BULONG-VIT</t>
        </is>
      </c>
      <c r="F388" t="inlineStr">
        <is>
          <t>Bộ</t>
        </is>
      </c>
      <c r="G388" s="406" t="n">
        <v>1</v>
      </c>
      <c r="H388" s="402">
        <f>IFERROR(INDEX('00_TONG_HOP_BAO_GIA'!$G$1:$G$5000, MATCH(B388, '00_TONG_HOP_BAO_GIA'!$B$1:$B$5000, 0)), 1)</f>
        <v/>
      </c>
      <c r="I388" s="407">
        <f>G388*H388</f>
        <v/>
      </c>
      <c r="J388" s="402">
        <f>IFERROR(INDEX('06_BANG_GIA_VAT_TU_AP_DUNG'!$E$1:$E$5000, MATCH(E388, '06_BANG_GIA_VAT_TU_AP_DUNG'!$B$1:$B$5000, 0)), 0)</f>
        <v/>
      </c>
      <c r="K388" s="402">
        <f>I388*J388</f>
        <v/>
      </c>
      <c r="L388" t="inlineStr">
        <is>
          <t>Keo silicon chống cháy &amp; phụ kiện lắp ghép (1 bộ)</t>
        </is>
      </c>
    </row>
    <row r="389">
      <c r="A389" t="inlineStr">
        <is>
          <t>SW-DAMPER-070-BODY</t>
        </is>
      </c>
      <c r="B389" t="inlineStr">
        <is>
          <t>SW-DAMPER-070</t>
        </is>
      </c>
      <c r="C389" t="inlineStr">
        <is>
          <t>Thân vỏ van MFD bích C30/TDF (1.15mm)</t>
        </is>
      </c>
      <c r="D389" t="inlineStr">
        <is>
          <t>TÔN_CUỘN_MẠ_KẼM</t>
        </is>
      </c>
      <c r="E389" t="inlineStr">
        <is>
          <t>MAT-STEEL-PN-1.15</t>
        </is>
      </c>
      <c r="F389" t="inlineStr">
        <is>
          <t>kg</t>
        </is>
      </c>
      <c r="G389" s="406" t="n">
        <v>7.7802606</v>
      </c>
      <c r="H389" s="402">
        <f>IFERROR(INDEX('00_TONG_HOP_BAO_GIA'!$G$1:$G$5000, MATCH(B389, '00_TONG_HOP_BAO_GIA'!$B$1:$B$5000, 0)), 1)</f>
        <v/>
      </c>
      <c r="I389" s="407">
        <f>G389*H389</f>
        <v/>
      </c>
      <c r="J389" s="402">
        <f>IFERROR(INDEX('06_BANG_GIA_VAT_TU_AP_DUNG'!$E$1:$E$5000, MATCH(E389, '06_BANG_GIA_VAT_TU_AP_DUNG'!$B$1:$B$5000, 0)), 0)</f>
        <v/>
      </c>
      <c r="K389" s="402">
        <f>I389*J389</f>
        <v/>
      </c>
      <c r="L389" t="inlineStr">
        <is>
          <t>Kích thước vỏ 1200x300x200mm</t>
        </is>
      </c>
    </row>
    <row r="390">
      <c r="A390" t="inlineStr">
        <is>
          <t>SW-DAMPER-070-BLADE</t>
        </is>
      </c>
      <c r="B390" t="inlineStr">
        <is>
          <t>SW-DAMPER-070</t>
        </is>
      </c>
      <c r="C390" t="inlineStr">
        <is>
          <t>Lá cánh / Tôn tấm bọc van (2 cánh)</t>
        </is>
      </c>
      <c r="D390" t="inlineStr">
        <is>
          <t>TÔN_CUỘN_MẠ_KẼM</t>
        </is>
      </c>
      <c r="E390" t="inlineStr">
        <is>
          <t>MAT-STEEL-PN-1.15</t>
        </is>
      </c>
      <c r="F390" t="inlineStr">
        <is>
          <t>kg</t>
        </is>
      </c>
      <c r="G390" s="406" t="n">
        <v>6.499799999999999</v>
      </c>
      <c r="H390" s="402">
        <f>IFERROR(INDEX('00_TONG_HOP_BAO_GIA'!$G$1:$G$5000, MATCH(B390, '00_TONG_HOP_BAO_GIA'!$B$1:$B$5000, 0)), 1)</f>
        <v/>
      </c>
      <c r="I390" s="407">
        <f>G390*H390</f>
        <v/>
      </c>
      <c r="J390" s="402">
        <f>IFERROR(INDEX('06_BANG_GIA_VAT_TU_AP_DUNG'!$E$1:$E$5000, MATCH(E390, '06_BANG_GIA_VAT_TU_AP_DUNG'!$B$1:$B$5000, 0)), 0)</f>
        <v/>
      </c>
      <c r="K390" s="402">
        <f>I390*J390</f>
        <v/>
      </c>
      <c r="L390" t="inlineStr">
        <is>
          <t>Tôn bọc cánh &amp; thân (2 cánh/modul)</t>
        </is>
      </c>
    </row>
    <row r="391">
      <c r="A391" t="inlineStr">
        <is>
          <t>SW-DAMPER-070-AXLE</t>
        </is>
      </c>
      <c r="B391" t="inlineStr">
        <is>
          <t>SW-DAMPER-070</t>
        </is>
      </c>
      <c r="C391" t="inlineStr">
        <is>
          <t>Trục Sus 201 D10</t>
        </is>
      </c>
      <c r="D391" t="inlineStr">
        <is>
          <t>PHỤ_KIỆN_VAN</t>
        </is>
      </c>
      <c r="E391" t="inlineStr">
        <is>
          <t>MAT-DAMPER-TRUC-SUS-201-D10</t>
        </is>
      </c>
      <c r="F391" t="inlineStr">
        <is>
          <t>m</t>
        </is>
      </c>
      <c r="G391" s="406" t="n">
        <v>2.52</v>
      </c>
      <c r="H391" s="402">
        <f>IFERROR(INDEX('00_TONG_HOP_BAO_GIA'!$G$1:$G$5000, MATCH(B391, '00_TONG_HOP_BAO_GIA'!$B$1:$B$5000, 0)), 1)</f>
        <v/>
      </c>
      <c r="I391" s="407">
        <f>G391*H391</f>
        <v/>
      </c>
      <c r="J391" s="402">
        <f>IFERROR(INDEX('06_BANG_GIA_VAT_TU_AP_DUNG'!$E$1:$E$5000, MATCH(E391, '06_BANG_GIA_VAT_TU_AP_DUNG'!$B$1:$B$5000, 0)), 0)</f>
        <v/>
      </c>
      <c r="K391" s="402">
        <f>I391*J391</f>
        <v/>
      </c>
      <c r="L391" t="inlineStr">
        <is>
          <t>2 trục dài 1260mm</t>
        </is>
      </c>
    </row>
    <row r="392">
      <c r="A392" t="inlineStr">
        <is>
          <t>SW-DAMPER-070-BEARING</t>
        </is>
      </c>
      <c r="B392" t="inlineStr">
        <is>
          <t>SW-DAMPER-070</t>
        </is>
      </c>
      <c r="C392" t="inlineStr">
        <is>
          <t>Bạc đồng D10</t>
        </is>
      </c>
      <c r="D392" t="inlineStr">
        <is>
          <t>PHỤ_KIỆN_VAN</t>
        </is>
      </c>
      <c r="E392" t="inlineStr">
        <is>
          <t>MAT-DAMPER-BAC-DONG-D10</t>
        </is>
      </c>
      <c r="F392" t="inlineStr">
        <is>
          <t>Đôi</t>
        </is>
      </c>
      <c r="G392" s="406" t="n">
        <v>2</v>
      </c>
      <c r="H392" s="402">
        <f>IFERROR(INDEX('00_TONG_HOP_BAO_GIA'!$G$1:$G$5000, MATCH(B392, '00_TONG_HOP_BAO_GIA'!$B$1:$B$5000, 0)), 1)</f>
        <v/>
      </c>
      <c r="I392" s="407">
        <f>G392*H392</f>
        <v/>
      </c>
      <c r="J392" s="402">
        <f>IFERROR(INDEX('06_BANG_GIA_VAT_TU_AP_DUNG'!$E$1:$E$5000, MATCH(E392, '06_BANG_GIA_VAT_TU_AP_DUNG'!$B$1:$B$5000, 0)), 0)</f>
        <v/>
      </c>
      <c r="K392" s="402">
        <f>I392*J392</f>
        <v/>
      </c>
      <c r="L392" t="inlineStr">
        <is>
          <t>2 đôi bạc đỡ 2 bên thân</t>
        </is>
      </c>
    </row>
    <row r="393">
      <c r="A393" t="inlineStr">
        <is>
          <t>SW-DAMPER-070-GEAR</t>
        </is>
      </c>
      <c r="B393" t="inlineStr">
        <is>
          <t>SW-DAMPER-070</t>
        </is>
      </c>
      <c r="C393" t="inlineStr">
        <is>
          <t>Bánh răng van nhôm</t>
        </is>
      </c>
      <c r="D393" t="inlineStr">
        <is>
          <t>PHỤ_KIỆN_VAN</t>
        </is>
      </c>
      <c r="E393" t="inlineStr">
        <is>
          <t>MAT-DAMPER-BANH-RANG-VAN-NHOM</t>
        </is>
      </c>
      <c r="F393" t="inlineStr">
        <is>
          <t>Bộ</t>
        </is>
      </c>
      <c r="G393" s="406" t="n">
        <v>1</v>
      </c>
      <c r="H393" s="402">
        <f>IFERROR(INDEX('00_TONG_HOP_BAO_GIA'!$G$1:$G$5000, MATCH(B393, '00_TONG_HOP_BAO_GIA'!$B$1:$B$5000, 0)), 1)</f>
        <v/>
      </c>
      <c r="I393" s="407">
        <f>G393*H393</f>
        <v/>
      </c>
      <c r="J393" s="402">
        <f>IFERROR(INDEX('06_BANG_GIA_VAT_TU_AP_DUNG'!$E$1:$E$5000, MATCH(E393, '06_BANG_GIA_VAT_TU_AP_DUNG'!$B$1:$B$5000, 0)), 0)</f>
        <v/>
      </c>
      <c r="K393" s="402">
        <f>I393*J393</f>
        <v/>
      </c>
      <c r="L393" t="inlineStr">
        <is>
          <t>Cơ cấu liên động cánh (1 bộ)</t>
        </is>
      </c>
    </row>
    <row r="394">
      <c r="A394" t="inlineStr">
        <is>
          <t>SW-DAMPER-070-ACTUATOR</t>
        </is>
      </c>
      <c r="B394" t="inlineStr">
        <is>
          <t>SW-DAMPER-070</t>
        </is>
      </c>
      <c r="C394" t="inlineStr">
        <is>
          <t>Động cơ chặn lửa ON/OFF 9Nm, 230V/24V (BELIMO BFN24 / BFN230)</t>
        </is>
      </c>
      <c r="D394" t="inlineStr">
        <is>
          <t>ĐỘNG_CƠ_VÀ_CẢM_BIẾN</t>
        </is>
      </c>
      <c r="E394" t="inlineStr">
        <is>
          <t>MAT-ACTUATOR-BELIMO-BFN24</t>
        </is>
      </c>
      <c r="F394" t="inlineStr">
        <is>
          <t>Cái</t>
        </is>
      </c>
      <c r="G394" s="406" t="n">
        <v>1</v>
      </c>
      <c r="H394" s="402">
        <f>IFERROR(INDEX('00_TONG_HOP_BAO_GIA'!$G$1:$G$5000, MATCH(B394, '00_TONG_HOP_BAO_GIA'!$B$1:$B$5000, 0)), 1)</f>
        <v/>
      </c>
      <c r="I394" s="407">
        <f>G394*H394</f>
        <v/>
      </c>
      <c r="J394" s="402">
        <f>IFERROR(INDEX('06_BANG_GIA_VAT_TU_AP_DUNG'!$E$1:$E$5000, MATCH(E394, '06_BANG_GIA_VAT_TU_AP_DUNG'!$B$1:$B$5000, 0)), 0)</f>
        <v/>
      </c>
      <c r="K394" s="402">
        <f>I394*J394</f>
        <v/>
      </c>
      <c r="L394" t="inlineStr">
        <is>
          <t>Động cơ lò xo phản hồi MFD (1 bộ)</t>
        </is>
      </c>
    </row>
    <row r="395">
      <c r="A395" t="inlineStr">
        <is>
          <t>SW-DAMPER-070-FB10-BODY</t>
        </is>
      </c>
      <c r="B395" t="inlineStr">
        <is>
          <t>SW-DAMPER-070</t>
        </is>
      </c>
      <c r="C395" t="inlineStr">
        <is>
          <t>Tấm chống cháy dày 10mm bọc thân van FD/MFD (2 lớp)</t>
        </is>
      </c>
      <c r="D395" t="inlineStr">
        <is>
          <t>VẬT_LIỆU_CÁCH_NHIỆT</t>
        </is>
      </c>
      <c r="E395" t="inlineStr">
        <is>
          <t>MAT-FIREBOARD-10MM-BODY</t>
        </is>
      </c>
      <c r="F395" t="inlineStr">
        <is>
          <t>m2</t>
        </is>
      </c>
      <c r="G395" s="406" t="n">
        <v>1.8</v>
      </c>
      <c r="H395" s="402">
        <f>IFERROR(INDEX('00_TONG_HOP_BAO_GIA'!$G$1:$G$5000, MATCH(B395, '00_TONG_HOP_BAO_GIA'!$B$1:$B$5000, 0)), 1)</f>
        <v/>
      </c>
      <c r="I395" s="407">
        <f>G395*H395</f>
        <v/>
      </c>
      <c r="J395" s="402">
        <f>IFERROR(INDEX('06_BANG_GIA_VAT_TU_AP_DUNG'!$E$1:$E$5000, MATCH(E395, '06_BANG_GIA_VAT_TU_AP_DUNG'!$B$1:$B$5000, 0)), 0)</f>
        <v/>
      </c>
      <c r="K395" s="402">
        <f>I395*J395</f>
        <v/>
      </c>
      <c r="L395" t="inlineStr">
        <is>
          <t>Bọc 2 lớp tấm 10mm quanh thân L=300mm</t>
        </is>
      </c>
    </row>
    <row r="396">
      <c r="A396" t="inlineStr">
        <is>
          <t>SW-DAMPER-070-FB20-BLADE</t>
        </is>
      </c>
      <c r="B396" t="inlineStr">
        <is>
          <t>SW-DAMPER-070</t>
        </is>
      </c>
      <c r="C396" t="inlineStr">
        <is>
          <t>Tấm chống cháy dày 20mm làm lõi cánh van FD/MFD</t>
        </is>
      </c>
      <c r="D396" t="inlineStr">
        <is>
          <t>VẬT_LIỆU_CÁCH_NHIỆT</t>
        </is>
      </c>
      <c r="E396" t="inlineStr">
        <is>
          <t>MAT-FIREBOARD-20MM-BLADE</t>
        </is>
      </c>
      <c r="F396" t="inlineStr">
        <is>
          <t>m2</t>
        </is>
      </c>
      <c r="G396" s="406" t="n">
        <v>0.5396718120805368</v>
      </c>
      <c r="H396" s="402">
        <f>IFERROR(INDEX('00_TONG_HOP_BAO_GIA'!$G$1:$G$5000, MATCH(B396, '00_TONG_HOP_BAO_GIA'!$B$1:$B$5000, 0)), 1)</f>
        <v/>
      </c>
      <c r="I396" s="407">
        <f>G396*H396</f>
        <v/>
      </c>
      <c r="J396" s="402">
        <f>IFERROR(INDEX('06_BANG_GIA_VAT_TU_AP_DUNG'!$E$1:$E$5000, MATCH(E396, '06_BANG_GIA_VAT_TU_AP_DUNG'!$B$1:$B$5000, 0)), 0)</f>
        <v/>
      </c>
      <c r="K396" s="402">
        <f>I396*J396</f>
        <v/>
      </c>
      <c r="L396" t="inlineStr">
        <is>
          <t>Lõi cánh tấm 20mm (Đa cánh hệ số (H-5)/149=1.98, bản rộng 210mm, hao hụt 10%)</t>
        </is>
      </c>
    </row>
    <row r="397">
      <c r="A397" t="inlineStr">
        <is>
          <t>SW-DAMPER-070-FB10-BLADE</t>
        </is>
      </c>
      <c r="B397" t="inlineStr">
        <is>
          <t>SW-DAMPER-070</t>
        </is>
      </c>
      <c r="C397" t="inlineStr">
        <is>
          <t>Tấm chống cháy dày 10mm ốp 2 mặt cánh van FD/MFD</t>
        </is>
      </c>
      <c r="D397" t="inlineStr">
        <is>
          <t>VẬT_LIỆU_CÁCH_NHIỆT</t>
        </is>
      </c>
      <c r="E397" t="inlineStr">
        <is>
          <t>MAT-FIREBOARD-10MM-BLADE</t>
        </is>
      </c>
      <c r="F397" t="inlineStr">
        <is>
          <t>m2</t>
        </is>
      </c>
      <c r="G397" s="406" t="n">
        <v>1.097637583892618</v>
      </c>
      <c r="H397" s="402">
        <f>IFERROR(INDEX('00_TONG_HOP_BAO_GIA'!$G$1:$G$5000, MATCH(B397, '00_TONG_HOP_BAO_GIA'!$B$1:$B$5000, 0)), 1)</f>
        <v/>
      </c>
      <c r="I397" s="407">
        <f>G397*H397</f>
        <v/>
      </c>
      <c r="J397" s="402">
        <f>IFERROR(INDEX('06_BANG_GIA_VAT_TU_AP_DUNG'!$E$1:$E$5000, MATCH(E397, '06_BANG_GIA_VAT_TU_AP_DUNG'!$B$1:$B$5000, 0)), 0)</f>
        <v/>
      </c>
      <c r="K397" s="402">
        <f>I397*J397</f>
        <v/>
      </c>
      <c r="L397" t="inlineStr">
        <is>
          <t>Ốp 2 mặt cánh tấm 10mm (Đa cánh hệ số (H-5)/149=1.98, bản rộng 210mm, hao hụt 10%)</t>
        </is>
      </c>
    </row>
    <row r="398">
      <c r="A398" t="inlineStr">
        <is>
          <t>SW-DAMPER-070-SPRING-BOX</t>
        </is>
      </c>
      <c r="B398" t="inlineStr">
        <is>
          <t>SW-DAMPER-070</t>
        </is>
      </c>
      <c r="C398" t="inlineStr">
        <is>
          <t>Hộp lò xo van chặn lửa FD/MFD</t>
        </is>
      </c>
      <c r="D398" t="inlineStr">
        <is>
          <t>PHỤ_KIỆN_VAN</t>
        </is>
      </c>
      <c r="E398" t="inlineStr">
        <is>
          <t>MAT-DAMPER-HOP-LO-XO</t>
        </is>
      </c>
      <c r="F398" t="inlineStr">
        <is>
          <t>Bộ</t>
        </is>
      </c>
      <c r="G398" s="406" t="n">
        <v>1</v>
      </c>
      <c r="H398" s="402">
        <f>IFERROR(INDEX('00_TONG_HOP_BAO_GIA'!$G$1:$G$5000, MATCH(B398, '00_TONG_HOP_BAO_GIA'!$B$1:$B$5000, 0)), 1)</f>
        <v/>
      </c>
      <c r="I398" s="407">
        <f>G398*H398</f>
        <v/>
      </c>
      <c r="J398" s="402">
        <f>IFERROR(INDEX('06_BANG_GIA_VAT_TU_AP_DUNG'!$E$1:$E$5000, MATCH(E398, '06_BANG_GIA_VAT_TU_AP_DUNG'!$B$1:$B$5000, 0)), 0)</f>
        <v/>
      </c>
      <c r="K398" s="402">
        <f>I398*J398</f>
        <v/>
      </c>
      <c r="L398" t="inlineStr">
        <is>
          <t>Hộp lò xo cơ cấu đóng sập (1 bộ)</t>
        </is>
      </c>
    </row>
    <row r="399">
      <c r="A399" t="inlineStr">
        <is>
          <t>SW-DAMPER-070-SILICON-BOLT</t>
        </is>
      </c>
      <c r="B399" t="inlineStr">
        <is>
          <t>SW-DAMPER-070</t>
        </is>
      </c>
      <c r="C399" t="inlineStr">
        <is>
          <t>Silicon chống cháy + bu lông, ốc vít van FD/MFD</t>
        </is>
      </c>
      <c r="D399" t="inlineStr">
        <is>
          <t>PHỤ_KIỆN_VAN</t>
        </is>
      </c>
      <c r="E399" t="inlineStr">
        <is>
          <t>MAT-DAMPER-SILICON-BULONG-VIT</t>
        </is>
      </c>
      <c r="F399" t="inlineStr">
        <is>
          <t>Bộ</t>
        </is>
      </c>
      <c r="G399" s="406" t="n">
        <v>1</v>
      </c>
      <c r="H399" s="402">
        <f>IFERROR(INDEX('00_TONG_HOP_BAO_GIA'!$G$1:$G$5000, MATCH(B399, '00_TONG_HOP_BAO_GIA'!$B$1:$B$5000, 0)), 1)</f>
        <v/>
      </c>
      <c r="I399" s="407">
        <f>G399*H399</f>
        <v/>
      </c>
      <c r="J399" s="402">
        <f>IFERROR(INDEX('06_BANG_GIA_VAT_TU_AP_DUNG'!$E$1:$E$5000, MATCH(E399, '06_BANG_GIA_VAT_TU_AP_DUNG'!$B$1:$B$5000, 0)), 0)</f>
        <v/>
      </c>
      <c r="K399" s="402">
        <f>I399*J399</f>
        <v/>
      </c>
      <c r="L399" t="inlineStr">
        <is>
          <t>Keo silicon chống cháy &amp; phụ kiện lắp ghép (1 bộ)</t>
        </is>
      </c>
    </row>
    <row r="400">
      <c r="A400" t="inlineStr">
        <is>
          <t>SW-DAMPER-071-BODY</t>
        </is>
      </c>
      <c r="B400" t="inlineStr">
        <is>
          <t>SW-DAMPER-071</t>
        </is>
      </c>
      <c r="C400" t="inlineStr">
        <is>
          <t>Thân vỏ van MFD bích C30/TDF (1.15mm)</t>
        </is>
      </c>
      <c r="D400" t="inlineStr">
        <is>
          <t>TÔN_CUỘN_MẠ_KẼM</t>
        </is>
      </c>
      <c r="E400" t="inlineStr">
        <is>
          <t>MAT-STEEL-PN-1.15</t>
        </is>
      </c>
      <c r="F400" t="inlineStr">
        <is>
          <t>kg</t>
        </is>
      </c>
      <c r="G400" s="406" t="n">
        <v>7.7802606</v>
      </c>
      <c r="H400" s="402">
        <f>IFERROR(INDEX('00_TONG_HOP_BAO_GIA'!$G$1:$G$5000, MATCH(B400, '00_TONG_HOP_BAO_GIA'!$B$1:$B$5000, 0)), 1)</f>
        <v/>
      </c>
      <c r="I400" s="407">
        <f>G400*H400</f>
        <v/>
      </c>
      <c r="J400" s="402">
        <f>IFERROR(INDEX('06_BANG_GIA_VAT_TU_AP_DUNG'!$E$1:$E$5000, MATCH(E400, '06_BANG_GIA_VAT_TU_AP_DUNG'!$B$1:$B$5000, 0)), 0)</f>
        <v/>
      </c>
      <c r="K400" s="402">
        <f>I400*J400</f>
        <v/>
      </c>
      <c r="L400" t="inlineStr">
        <is>
          <t>Kích thước vỏ 1200x300x200mm</t>
        </is>
      </c>
    </row>
    <row r="401">
      <c r="A401" t="inlineStr">
        <is>
          <t>SW-DAMPER-071-BLADE</t>
        </is>
      </c>
      <c r="B401" t="inlineStr">
        <is>
          <t>SW-DAMPER-071</t>
        </is>
      </c>
      <c r="C401" t="inlineStr">
        <is>
          <t>Lá cánh / Tôn tấm bọc van (2 cánh)</t>
        </is>
      </c>
      <c r="D401" t="inlineStr">
        <is>
          <t>TÔN_CUỘN_MẠ_KẼM</t>
        </is>
      </c>
      <c r="E401" t="inlineStr">
        <is>
          <t>MAT-STEEL-PN-1.15</t>
        </is>
      </c>
      <c r="F401" t="inlineStr">
        <is>
          <t>kg</t>
        </is>
      </c>
      <c r="G401" s="406" t="n">
        <v>6.499799999999999</v>
      </c>
      <c r="H401" s="402">
        <f>IFERROR(INDEX('00_TONG_HOP_BAO_GIA'!$G$1:$G$5000, MATCH(B401, '00_TONG_HOP_BAO_GIA'!$B$1:$B$5000, 0)), 1)</f>
        <v/>
      </c>
      <c r="I401" s="407">
        <f>G401*H401</f>
        <v/>
      </c>
      <c r="J401" s="402">
        <f>IFERROR(INDEX('06_BANG_GIA_VAT_TU_AP_DUNG'!$E$1:$E$5000, MATCH(E401, '06_BANG_GIA_VAT_TU_AP_DUNG'!$B$1:$B$5000, 0)), 0)</f>
        <v/>
      </c>
      <c r="K401" s="402">
        <f>I401*J401</f>
        <v/>
      </c>
      <c r="L401" t="inlineStr">
        <is>
          <t>Tôn bọc cánh &amp; thân (2 cánh/modul)</t>
        </is>
      </c>
    </row>
    <row r="402">
      <c r="A402" t="inlineStr">
        <is>
          <t>SW-DAMPER-071-AXLE</t>
        </is>
      </c>
      <c r="B402" t="inlineStr">
        <is>
          <t>SW-DAMPER-071</t>
        </is>
      </c>
      <c r="C402" t="inlineStr">
        <is>
          <t>Trục Sus 201 D10</t>
        </is>
      </c>
      <c r="D402" t="inlineStr">
        <is>
          <t>PHỤ_KIỆN_VAN</t>
        </is>
      </c>
      <c r="E402" t="inlineStr">
        <is>
          <t>MAT-DAMPER-TRUC-SUS-201-D10</t>
        </is>
      </c>
      <c r="F402" t="inlineStr">
        <is>
          <t>m</t>
        </is>
      </c>
      <c r="G402" s="406" t="n">
        <v>2.52</v>
      </c>
      <c r="H402" s="402">
        <f>IFERROR(INDEX('00_TONG_HOP_BAO_GIA'!$G$1:$G$5000, MATCH(B402, '00_TONG_HOP_BAO_GIA'!$B$1:$B$5000, 0)), 1)</f>
        <v/>
      </c>
      <c r="I402" s="407">
        <f>G402*H402</f>
        <v/>
      </c>
      <c r="J402" s="402">
        <f>IFERROR(INDEX('06_BANG_GIA_VAT_TU_AP_DUNG'!$E$1:$E$5000, MATCH(E402, '06_BANG_GIA_VAT_TU_AP_DUNG'!$B$1:$B$5000, 0)), 0)</f>
        <v/>
      </c>
      <c r="K402" s="402">
        <f>I402*J402</f>
        <v/>
      </c>
      <c r="L402" t="inlineStr">
        <is>
          <t>2 trục dài 1260mm</t>
        </is>
      </c>
    </row>
    <row r="403">
      <c r="A403" t="inlineStr">
        <is>
          <t>SW-DAMPER-071-BEARING</t>
        </is>
      </c>
      <c r="B403" t="inlineStr">
        <is>
          <t>SW-DAMPER-071</t>
        </is>
      </c>
      <c r="C403" t="inlineStr">
        <is>
          <t>Bạc đồng D10</t>
        </is>
      </c>
      <c r="D403" t="inlineStr">
        <is>
          <t>PHỤ_KIỆN_VAN</t>
        </is>
      </c>
      <c r="E403" t="inlineStr">
        <is>
          <t>MAT-DAMPER-BAC-DONG-D10</t>
        </is>
      </c>
      <c r="F403" t="inlineStr">
        <is>
          <t>Đôi</t>
        </is>
      </c>
      <c r="G403" s="406" t="n">
        <v>2</v>
      </c>
      <c r="H403" s="402">
        <f>IFERROR(INDEX('00_TONG_HOP_BAO_GIA'!$G$1:$G$5000, MATCH(B403, '00_TONG_HOP_BAO_GIA'!$B$1:$B$5000, 0)), 1)</f>
        <v/>
      </c>
      <c r="I403" s="407">
        <f>G403*H403</f>
        <v/>
      </c>
      <c r="J403" s="402">
        <f>IFERROR(INDEX('06_BANG_GIA_VAT_TU_AP_DUNG'!$E$1:$E$5000, MATCH(E403, '06_BANG_GIA_VAT_TU_AP_DUNG'!$B$1:$B$5000, 0)), 0)</f>
        <v/>
      </c>
      <c r="K403" s="402">
        <f>I403*J403</f>
        <v/>
      </c>
      <c r="L403" t="inlineStr">
        <is>
          <t>2 đôi bạc đỡ 2 bên thân</t>
        </is>
      </c>
    </row>
    <row r="404">
      <c r="A404" t="inlineStr">
        <is>
          <t>SW-DAMPER-071-GEAR</t>
        </is>
      </c>
      <c r="B404" t="inlineStr">
        <is>
          <t>SW-DAMPER-071</t>
        </is>
      </c>
      <c r="C404" t="inlineStr">
        <is>
          <t>Bánh răng van nhôm</t>
        </is>
      </c>
      <c r="D404" t="inlineStr">
        <is>
          <t>PHỤ_KIỆN_VAN</t>
        </is>
      </c>
      <c r="E404" t="inlineStr">
        <is>
          <t>MAT-DAMPER-BANH-RANG-VAN-NHOM</t>
        </is>
      </c>
      <c r="F404" t="inlineStr">
        <is>
          <t>Bộ</t>
        </is>
      </c>
      <c r="G404" s="406" t="n">
        <v>1</v>
      </c>
      <c r="H404" s="402">
        <f>IFERROR(INDEX('00_TONG_HOP_BAO_GIA'!$G$1:$G$5000, MATCH(B404, '00_TONG_HOP_BAO_GIA'!$B$1:$B$5000, 0)), 1)</f>
        <v/>
      </c>
      <c r="I404" s="407">
        <f>G404*H404</f>
        <v/>
      </c>
      <c r="J404" s="402">
        <f>IFERROR(INDEX('06_BANG_GIA_VAT_TU_AP_DUNG'!$E$1:$E$5000, MATCH(E404, '06_BANG_GIA_VAT_TU_AP_DUNG'!$B$1:$B$5000, 0)), 0)</f>
        <v/>
      </c>
      <c r="K404" s="402">
        <f>I404*J404</f>
        <v/>
      </c>
      <c r="L404" t="inlineStr">
        <is>
          <t>Cơ cấu liên động cánh (1 bộ)</t>
        </is>
      </c>
    </row>
    <row r="405">
      <c r="A405" t="inlineStr">
        <is>
          <t>SW-DAMPER-071-ACTUATOR</t>
        </is>
      </c>
      <c r="B405" t="inlineStr">
        <is>
          <t>SW-DAMPER-071</t>
        </is>
      </c>
      <c r="C405" t="inlineStr">
        <is>
          <t>Động cơ chặn lửa ON/OFF 9Nm, 230V/24V (BELIMO BFN24 / BFN230)</t>
        </is>
      </c>
      <c r="D405" t="inlineStr">
        <is>
          <t>ĐỘNG_CƠ_VÀ_CẢM_BIẾN</t>
        </is>
      </c>
      <c r="E405" t="inlineStr">
        <is>
          <t>MAT-ACTUATOR-BELIMO-BFN24</t>
        </is>
      </c>
      <c r="F405" t="inlineStr">
        <is>
          <t>Cái</t>
        </is>
      </c>
      <c r="G405" s="406" t="n">
        <v>1</v>
      </c>
      <c r="H405" s="402">
        <f>IFERROR(INDEX('00_TONG_HOP_BAO_GIA'!$G$1:$G$5000, MATCH(B405, '00_TONG_HOP_BAO_GIA'!$B$1:$B$5000, 0)), 1)</f>
        <v/>
      </c>
      <c r="I405" s="407">
        <f>G405*H405</f>
        <v/>
      </c>
      <c r="J405" s="402">
        <f>IFERROR(INDEX('06_BANG_GIA_VAT_TU_AP_DUNG'!$E$1:$E$5000, MATCH(E405, '06_BANG_GIA_VAT_TU_AP_DUNG'!$B$1:$B$5000, 0)), 0)</f>
        <v/>
      </c>
      <c r="K405" s="402">
        <f>I405*J405</f>
        <v/>
      </c>
      <c r="L405" t="inlineStr">
        <is>
          <t>Động cơ lò xo phản hồi MFD (1 bộ)</t>
        </is>
      </c>
    </row>
    <row r="406">
      <c r="A406" t="inlineStr">
        <is>
          <t>SW-DAMPER-071-FB10-BODY</t>
        </is>
      </c>
      <c r="B406" t="inlineStr">
        <is>
          <t>SW-DAMPER-071</t>
        </is>
      </c>
      <c r="C406" t="inlineStr">
        <is>
          <t>Tấm chống cháy dày 10mm bọc thân van FD/MFD (2 lớp)</t>
        </is>
      </c>
      <c r="D406" t="inlineStr">
        <is>
          <t>VẬT_LIỆU_CÁCH_NHIỆT</t>
        </is>
      </c>
      <c r="E406" t="inlineStr">
        <is>
          <t>MAT-FIREBOARD-10MM-BODY</t>
        </is>
      </c>
      <c r="F406" t="inlineStr">
        <is>
          <t>m2</t>
        </is>
      </c>
      <c r="G406" s="406" t="n">
        <v>1.8</v>
      </c>
      <c r="H406" s="402">
        <f>IFERROR(INDEX('00_TONG_HOP_BAO_GIA'!$G$1:$G$5000, MATCH(B406, '00_TONG_HOP_BAO_GIA'!$B$1:$B$5000, 0)), 1)</f>
        <v/>
      </c>
      <c r="I406" s="407">
        <f>G406*H406</f>
        <v/>
      </c>
      <c r="J406" s="402">
        <f>IFERROR(INDEX('06_BANG_GIA_VAT_TU_AP_DUNG'!$E$1:$E$5000, MATCH(E406, '06_BANG_GIA_VAT_TU_AP_DUNG'!$B$1:$B$5000, 0)), 0)</f>
        <v/>
      </c>
      <c r="K406" s="402">
        <f>I406*J406</f>
        <v/>
      </c>
      <c r="L406" t="inlineStr">
        <is>
          <t>Bọc 2 lớp tấm 10mm quanh thân L=300mm</t>
        </is>
      </c>
    </row>
    <row r="407">
      <c r="A407" t="inlineStr">
        <is>
          <t>SW-DAMPER-071-FB20-BLADE</t>
        </is>
      </c>
      <c r="B407" t="inlineStr">
        <is>
          <t>SW-DAMPER-071</t>
        </is>
      </c>
      <c r="C407" t="inlineStr">
        <is>
          <t>Tấm chống cháy dày 20mm làm lõi cánh van FD/MFD</t>
        </is>
      </c>
      <c r="D407" t="inlineStr">
        <is>
          <t>VẬT_LIỆU_CÁCH_NHIỆT</t>
        </is>
      </c>
      <c r="E407" t="inlineStr">
        <is>
          <t>MAT-FIREBOARD-20MM-BLADE</t>
        </is>
      </c>
      <c r="F407" t="inlineStr">
        <is>
          <t>m2</t>
        </is>
      </c>
      <c r="G407" s="406" t="n">
        <v>0.5396718120805368</v>
      </c>
      <c r="H407" s="402">
        <f>IFERROR(INDEX('00_TONG_HOP_BAO_GIA'!$G$1:$G$5000, MATCH(B407, '00_TONG_HOP_BAO_GIA'!$B$1:$B$5000, 0)), 1)</f>
        <v/>
      </c>
      <c r="I407" s="407">
        <f>G407*H407</f>
        <v/>
      </c>
      <c r="J407" s="402">
        <f>IFERROR(INDEX('06_BANG_GIA_VAT_TU_AP_DUNG'!$E$1:$E$5000, MATCH(E407, '06_BANG_GIA_VAT_TU_AP_DUNG'!$B$1:$B$5000, 0)), 0)</f>
        <v/>
      </c>
      <c r="K407" s="402">
        <f>I407*J407</f>
        <v/>
      </c>
      <c r="L407" t="inlineStr">
        <is>
          <t>Lõi cánh tấm 20mm (Đa cánh hệ số (H-5)/149=1.98, bản rộng 210mm, hao hụt 10%)</t>
        </is>
      </c>
    </row>
    <row r="408">
      <c r="A408" t="inlineStr">
        <is>
          <t>SW-DAMPER-071-FB10-BLADE</t>
        </is>
      </c>
      <c r="B408" t="inlineStr">
        <is>
          <t>SW-DAMPER-071</t>
        </is>
      </c>
      <c r="C408" t="inlineStr">
        <is>
          <t>Tấm chống cháy dày 10mm ốp 2 mặt cánh van FD/MFD</t>
        </is>
      </c>
      <c r="D408" t="inlineStr">
        <is>
          <t>VẬT_LIỆU_CÁCH_NHIỆT</t>
        </is>
      </c>
      <c r="E408" t="inlineStr">
        <is>
          <t>MAT-FIREBOARD-10MM-BLADE</t>
        </is>
      </c>
      <c r="F408" t="inlineStr">
        <is>
          <t>m2</t>
        </is>
      </c>
      <c r="G408" s="406" t="n">
        <v>1.097637583892618</v>
      </c>
      <c r="H408" s="402">
        <f>IFERROR(INDEX('00_TONG_HOP_BAO_GIA'!$G$1:$G$5000, MATCH(B408, '00_TONG_HOP_BAO_GIA'!$B$1:$B$5000, 0)), 1)</f>
        <v/>
      </c>
      <c r="I408" s="407">
        <f>G408*H408</f>
        <v/>
      </c>
      <c r="J408" s="402">
        <f>IFERROR(INDEX('06_BANG_GIA_VAT_TU_AP_DUNG'!$E$1:$E$5000, MATCH(E408, '06_BANG_GIA_VAT_TU_AP_DUNG'!$B$1:$B$5000, 0)), 0)</f>
        <v/>
      </c>
      <c r="K408" s="402">
        <f>I408*J408</f>
        <v/>
      </c>
      <c r="L408" t="inlineStr">
        <is>
          <t>Ốp 2 mặt cánh tấm 10mm (Đa cánh hệ số (H-5)/149=1.98, bản rộng 210mm, hao hụt 10%)</t>
        </is>
      </c>
    </row>
    <row r="409">
      <c r="A409" t="inlineStr">
        <is>
          <t>SW-DAMPER-071-SPRING-BOX</t>
        </is>
      </c>
      <c r="B409" t="inlineStr">
        <is>
          <t>SW-DAMPER-071</t>
        </is>
      </c>
      <c r="C409" t="inlineStr">
        <is>
          <t>Hộp lò xo van chặn lửa FD/MFD</t>
        </is>
      </c>
      <c r="D409" t="inlineStr">
        <is>
          <t>PHỤ_KIỆN_VAN</t>
        </is>
      </c>
      <c r="E409" t="inlineStr">
        <is>
          <t>MAT-DAMPER-HOP-LO-XO</t>
        </is>
      </c>
      <c r="F409" t="inlineStr">
        <is>
          <t>Bộ</t>
        </is>
      </c>
      <c r="G409" s="406" t="n">
        <v>1</v>
      </c>
      <c r="H409" s="402">
        <f>IFERROR(INDEX('00_TONG_HOP_BAO_GIA'!$G$1:$G$5000, MATCH(B409, '00_TONG_HOP_BAO_GIA'!$B$1:$B$5000, 0)), 1)</f>
        <v/>
      </c>
      <c r="I409" s="407">
        <f>G409*H409</f>
        <v/>
      </c>
      <c r="J409" s="402">
        <f>IFERROR(INDEX('06_BANG_GIA_VAT_TU_AP_DUNG'!$E$1:$E$5000, MATCH(E409, '06_BANG_GIA_VAT_TU_AP_DUNG'!$B$1:$B$5000, 0)), 0)</f>
        <v/>
      </c>
      <c r="K409" s="402">
        <f>I409*J409</f>
        <v/>
      </c>
      <c r="L409" t="inlineStr">
        <is>
          <t>Hộp lò xo cơ cấu đóng sập (1 bộ)</t>
        </is>
      </c>
    </row>
    <row r="410">
      <c r="A410" t="inlineStr">
        <is>
          <t>SW-DAMPER-071-SILICON-BOLT</t>
        </is>
      </c>
      <c r="B410" t="inlineStr">
        <is>
          <t>SW-DAMPER-071</t>
        </is>
      </c>
      <c r="C410" t="inlineStr">
        <is>
          <t>Silicon chống cháy + bu lông, ốc vít van FD/MFD</t>
        </is>
      </c>
      <c r="D410" t="inlineStr">
        <is>
          <t>PHỤ_KIỆN_VAN</t>
        </is>
      </c>
      <c r="E410" t="inlineStr">
        <is>
          <t>MAT-DAMPER-SILICON-BULONG-VIT</t>
        </is>
      </c>
      <c r="F410" t="inlineStr">
        <is>
          <t>Bộ</t>
        </is>
      </c>
      <c r="G410" s="406" t="n">
        <v>1</v>
      </c>
      <c r="H410" s="402">
        <f>IFERROR(INDEX('00_TONG_HOP_BAO_GIA'!$G$1:$G$5000, MATCH(B410, '00_TONG_HOP_BAO_GIA'!$B$1:$B$5000, 0)), 1)</f>
        <v/>
      </c>
      <c r="I410" s="407">
        <f>G410*H410</f>
        <v/>
      </c>
      <c r="J410" s="402">
        <f>IFERROR(INDEX('06_BANG_GIA_VAT_TU_AP_DUNG'!$E$1:$E$5000, MATCH(E410, '06_BANG_GIA_VAT_TU_AP_DUNG'!$B$1:$B$5000, 0)), 0)</f>
        <v/>
      </c>
      <c r="K410" s="402">
        <f>I410*J410</f>
        <v/>
      </c>
      <c r="L410" t="inlineStr">
        <is>
          <t>Keo silicon chống cháy &amp; phụ kiện lắp ghép (1 bộ)</t>
        </is>
      </c>
    </row>
    <row r="411">
      <c r="A411" t="inlineStr">
        <is>
          <t>SW-DAMPER-072-BODY</t>
        </is>
      </c>
      <c r="B411" t="inlineStr">
        <is>
          <t>SW-DAMPER-072</t>
        </is>
      </c>
      <c r="C411" t="inlineStr">
        <is>
          <t>Thân vỏ van MFD bích C30/TDF (1.15mm)</t>
        </is>
      </c>
      <c r="D411" t="inlineStr">
        <is>
          <t>TÔN_CUỘN_MẠ_KẼM</t>
        </is>
      </c>
      <c r="E411" t="inlineStr">
        <is>
          <t>MAT-STEEL-PN-1.15</t>
        </is>
      </c>
      <c r="F411" t="inlineStr">
        <is>
          <t>kg</t>
        </is>
      </c>
      <c r="G411" s="406" t="n">
        <v>6.500612475</v>
      </c>
      <c r="H411" s="402">
        <f>IFERROR(INDEX('00_TONG_HOP_BAO_GIA'!$G$1:$G$5000, MATCH(B411, '00_TONG_HOP_BAO_GIA'!$B$1:$B$5000, 0)), 1)</f>
        <v/>
      </c>
      <c r="I411" s="407">
        <f>G411*H411</f>
        <v/>
      </c>
      <c r="J411" s="402">
        <f>IFERROR(INDEX('06_BANG_GIA_VAT_TU_AP_DUNG'!$E$1:$E$5000, MATCH(E411, '06_BANG_GIA_VAT_TU_AP_DUNG'!$B$1:$B$5000, 0)), 0)</f>
        <v/>
      </c>
      <c r="K411" s="402">
        <f>I411*J411</f>
        <v/>
      </c>
      <c r="L411" t="inlineStr">
        <is>
          <t>Kích thước vỏ 900x350x200mm</t>
        </is>
      </c>
    </row>
    <row r="412">
      <c r="A412" t="inlineStr">
        <is>
          <t>SW-DAMPER-072-BLADE</t>
        </is>
      </c>
      <c r="B412" t="inlineStr">
        <is>
          <t>SW-DAMPER-072</t>
        </is>
      </c>
      <c r="C412" t="inlineStr">
        <is>
          <t>Lá cánh / Tôn tấm bọc van (2 cánh)</t>
        </is>
      </c>
      <c r="D412" t="inlineStr">
        <is>
          <t>TÔN_CUỘN_MẠ_KẼM</t>
        </is>
      </c>
      <c r="E412" t="inlineStr">
        <is>
          <t>MAT-STEEL-PN-1.15</t>
        </is>
      </c>
      <c r="F412" t="inlineStr">
        <is>
          <t>kg</t>
        </is>
      </c>
      <c r="G412" s="406" t="n">
        <v>5.687324999999999</v>
      </c>
      <c r="H412" s="402">
        <f>IFERROR(INDEX('00_TONG_HOP_BAO_GIA'!$G$1:$G$5000, MATCH(B412, '00_TONG_HOP_BAO_GIA'!$B$1:$B$5000, 0)), 1)</f>
        <v/>
      </c>
      <c r="I412" s="407">
        <f>G412*H412</f>
        <v/>
      </c>
      <c r="J412" s="402">
        <f>IFERROR(INDEX('06_BANG_GIA_VAT_TU_AP_DUNG'!$E$1:$E$5000, MATCH(E412, '06_BANG_GIA_VAT_TU_AP_DUNG'!$B$1:$B$5000, 0)), 0)</f>
        <v/>
      </c>
      <c r="K412" s="402">
        <f>I412*J412</f>
        <v/>
      </c>
      <c r="L412" t="inlineStr">
        <is>
          <t>Tôn bọc cánh &amp; thân (2 cánh/modul)</t>
        </is>
      </c>
    </row>
    <row r="413">
      <c r="A413" t="inlineStr">
        <is>
          <t>SW-DAMPER-072-AXLE</t>
        </is>
      </c>
      <c r="B413" t="inlineStr">
        <is>
          <t>SW-DAMPER-072</t>
        </is>
      </c>
      <c r="C413" t="inlineStr">
        <is>
          <t>Trục Sus 201 D10</t>
        </is>
      </c>
      <c r="D413" t="inlineStr">
        <is>
          <t>PHỤ_KIỆN_VAN</t>
        </is>
      </c>
      <c r="E413" t="inlineStr">
        <is>
          <t>MAT-DAMPER-TRUC-SUS-201-D10</t>
        </is>
      </c>
      <c r="F413" t="inlineStr">
        <is>
          <t>m</t>
        </is>
      </c>
      <c r="G413" s="406" t="n">
        <v>1.92</v>
      </c>
      <c r="H413" s="402">
        <f>IFERROR(INDEX('00_TONG_HOP_BAO_GIA'!$G$1:$G$5000, MATCH(B413, '00_TONG_HOP_BAO_GIA'!$B$1:$B$5000, 0)), 1)</f>
        <v/>
      </c>
      <c r="I413" s="407">
        <f>G413*H413</f>
        <v/>
      </c>
      <c r="J413" s="402">
        <f>IFERROR(INDEX('06_BANG_GIA_VAT_TU_AP_DUNG'!$E$1:$E$5000, MATCH(E413, '06_BANG_GIA_VAT_TU_AP_DUNG'!$B$1:$B$5000, 0)), 0)</f>
        <v/>
      </c>
      <c r="K413" s="402">
        <f>I413*J413</f>
        <v/>
      </c>
      <c r="L413" t="inlineStr">
        <is>
          <t>2 trục dài 960mm</t>
        </is>
      </c>
    </row>
    <row r="414">
      <c r="A414" t="inlineStr">
        <is>
          <t>SW-DAMPER-072-BEARING</t>
        </is>
      </c>
      <c r="B414" t="inlineStr">
        <is>
          <t>SW-DAMPER-072</t>
        </is>
      </c>
      <c r="C414" t="inlineStr">
        <is>
          <t>Bạc đồng D10</t>
        </is>
      </c>
      <c r="D414" t="inlineStr">
        <is>
          <t>PHỤ_KIỆN_VAN</t>
        </is>
      </c>
      <c r="E414" t="inlineStr">
        <is>
          <t>MAT-DAMPER-BAC-DONG-D10</t>
        </is>
      </c>
      <c r="F414" t="inlineStr">
        <is>
          <t>Đôi</t>
        </is>
      </c>
      <c r="G414" s="406" t="n">
        <v>2</v>
      </c>
      <c r="H414" s="402">
        <f>IFERROR(INDEX('00_TONG_HOP_BAO_GIA'!$G$1:$G$5000, MATCH(B414, '00_TONG_HOP_BAO_GIA'!$B$1:$B$5000, 0)), 1)</f>
        <v/>
      </c>
      <c r="I414" s="407">
        <f>G414*H414</f>
        <v/>
      </c>
      <c r="J414" s="402">
        <f>IFERROR(INDEX('06_BANG_GIA_VAT_TU_AP_DUNG'!$E$1:$E$5000, MATCH(E414, '06_BANG_GIA_VAT_TU_AP_DUNG'!$B$1:$B$5000, 0)), 0)</f>
        <v/>
      </c>
      <c r="K414" s="402">
        <f>I414*J414</f>
        <v/>
      </c>
      <c r="L414" t="inlineStr">
        <is>
          <t>2 đôi bạc đỡ 2 bên thân</t>
        </is>
      </c>
    </row>
    <row r="415">
      <c r="A415" t="inlineStr">
        <is>
          <t>SW-DAMPER-072-GEAR</t>
        </is>
      </c>
      <c r="B415" t="inlineStr">
        <is>
          <t>SW-DAMPER-072</t>
        </is>
      </c>
      <c r="C415" t="inlineStr">
        <is>
          <t>Bánh răng van nhôm</t>
        </is>
      </c>
      <c r="D415" t="inlineStr">
        <is>
          <t>PHỤ_KIỆN_VAN</t>
        </is>
      </c>
      <c r="E415" t="inlineStr">
        <is>
          <t>MAT-DAMPER-BANH-RANG-VAN-NHOM</t>
        </is>
      </c>
      <c r="F415" t="inlineStr">
        <is>
          <t>Bộ</t>
        </is>
      </c>
      <c r="G415" s="406" t="n">
        <v>1</v>
      </c>
      <c r="H415" s="402">
        <f>IFERROR(INDEX('00_TONG_HOP_BAO_GIA'!$G$1:$G$5000, MATCH(B415, '00_TONG_HOP_BAO_GIA'!$B$1:$B$5000, 0)), 1)</f>
        <v/>
      </c>
      <c r="I415" s="407">
        <f>G415*H415</f>
        <v/>
      </c>
      <c r="J415" s="402">
        <f>IFERROR(INDEX('06_BANG_GIA_VAT_TU_AP_DUNG'!$E$1:$E$5000, MATCH(E415, '06_BANG_GIA_VAT_TU_AP_DUNG'!$B$1:$B$5000, 0)), 0)</f>
        <v/>
      </c>
      <c r="K415" s="402">
        <f>I415*J415</f>
        <v/>
      </c>
      <c r="L415" t="inlineStr">
        <is>
          <t>Cơ cấu liên động cánh (1 bộ)</t>
        </is>
      </c>
    </row>
    <row r="416">
      <c r="A416" t="inlineStr">
        <is>
          <t>SW-DAMPER-072-ACTUATOR</t>
        </is>
      </c>
      <c r="B416" t="inlineStr">
        <is>
          <t>SW-DAMPER-072</t>
        </is>
      </c>
      <c r="C416" t="inlineStr">
        <is>
          <t>Động cơ chặn lửa ON/OFF 9Nm, 230V/24V (BELIMO BFN24 / BFN230)</t>
        </is>
      </c>
      <c r="D416" t="inlineStr">
        <is>
          <t>ĐỘNG_CƠ_VÀ_CẢM_BIẾN</t>
        </is>
      </c>
      <c r="E416" t="inlineStr">
        <is>
          <t>MAT-ACTUATOR-BELIMO-BFN24</t>
        </is>
      </c>
      <c r="F416" t="inlineStr">
        <is>
          <t>Cái</t>
        </is>
      </c>
      <c r="G416" s="406" t="n">
        <v>1</v>
      </c>
      <c r="H416" s="402">
        <f>IFERROR(INDEX('00_TONG_HOP_BAO_GIA'!$G$1:$G$5000, MATCH(B416, '00_TONG_HOP_BAO_GIA'!$B$1:$B$5000, 0)), 1)</f>
        <v/>
      </c>
      <c r="I416" s="407">
        <f>G416*H416</f>
        <v/>
      </c>
      <c r="J416" s="402">
        <f>IFERROR(INDEX('06_BANG_GIA_VAT_TU_AP_DUNG'!$E$1:$E$5000, MATCH(E416, '06_BANG_GIA_VAT_TU_AP_DUNG'!$B$1:$B$5000, 0)), 0)</f>
        <v/>
      </c>
      <c r="K416" s="402">
        <f>I416*J416</f>
        <v/>
      </c>
      <c r="L416" t="inlineStr">
        <is>
          <t>Động cơ lò xo phản hồi MFD (1 bộ)</t>
        </is>
      </c>
    </row>
    <row r="417">
      <c r="A417" t="inlineStr">
        <is>
          <t>SW-DAMPER-072-FB10-BODY</t>
        </is>
      </c>
      <c r="B417" t="inlineStr">
        <is>
          <t>SW-DAMPER-072</t>
        </is>
      </c>
      <c r="C417" t="inlineStr">
        <is>
          <t>Tấm chống cháy dày 10mm bọc thân van FD/MFD (2 lớp)</t>
        </is>
      </c>
      <c r="D417" t="inlineStr">
        <is>
          <t>VẬT_LIỆU_CÁCH_NHIỆT</t>
        </is>
      </c>
      <c r="E417" t="inlineStr">
        <is>
          <t>MAT-FIREBOARD-10MM-BODY</t>
        </is>
      </c>
      <c r="F417" t="inlineStr">
        <is>
          <t>m2</t>
        </is>
      </c>
      <c r="G417" s="406" t="n">
        <v>1.5</v>
      </c>
      <c r="H417" s="402">
        <f>IFERROR(INDEX('00_TONG_HOP_BAO_GIA'!$G$1:$G$5000, MATCH(B417, '00_TONG_HOP_BAO_GIA'!$B$1:$B$5000, 0)), 1)</f>
        <v/>
      </c>
      <c r="I417" s="407">
        <f>G417*H417</f>
        <v/>
      </c>
      <c r="J417" s="402">
        <f>IFERROR(INDEX('06_BANG_GIA_VAT_TU_AP_DUNG'!$E$1:$E$5000, MATCH(E417, '06_BANG_GIA_VAT_TU_AP_DUNG'!$B$1:$B$5000, 0)), 0)</f>
        <v/>
      </c>
      <c r="K417" s="402">
        <f>I417*J417</f>
        <v/>
      </c>
      <c r="L417" t="inlineStr">
        <is>
          <t>Bọc 2 lớp tấm 10mm quanh thân L=300mm</t>
        </is>
      </c>
    </row>
    <row r="418">
      <c r="A418" t="inlineStr">
        <is>
          <t>SW-DAMPER-072-FB20-BLADE</t>
        </is>
      </c>
      <c r="B418" t="inlineStr">
        <is>
          <t>SW-DAMPER-072</t>
        </is>
      </c>
      <c r="C418" t="inlineStr">
        <is>
          <t>Tấm chống cháy dày 20mm làm lõi cánh van FD/MFD</t>
        </is>
      </c>
      <c r="D418" t="inlineStr">
        <is>
          <t>VẬT_LIỆU_CÁCH_NHIỆT</t>
        </is>
      </c>
      <c r="E418" t="inlineStr">
        <is>
          <t>MAT-FIREBOARD-20MM-BLADE</t>
        </is>
      </c>
      <c r="F418" t="inlineStr">
        <is>
          <t>m2</t>
        </is>
      </c>
      <c r="G418" s="406" t="n">
        <v>0.4706818791946309</v>
      </c>
      <c r="H418" s="402">
        <f>IFERROR(INDEX('00_TONG_HOP_BAO_GIA'!$G$1:$G$5000, MATCH(B418, '00_TONG_HOP_BAO_GIA'!$B$1:$B$5000, 0)), 1)</f>
        <v/>
      </c>
      <c r="I418" s="407">
        <f>G418*H418</f>
        <v/>
      </c>
      <c r="J418" s="402">
        <f>IFERROR(INDEX('06_BANG_GIA_VAT_TU_AP_DUNG'!$E$1:$E$5000, MATCH(E418, '06_BANG_GIA_VAT_TU_AP_DUNG'!$B$1:$B$5000, 0)), 0)</f>
        <v/>
      </c>
      <c r="K418" s="402">
        <f>I418*J418</f>
        <v/>
      </c>
      <c r="L418" t="inlineStr">
        <is>
          <t>Lõi cánh tấm 20mm (Đa cánh hệ số (H-5)/149=2.32, bản rộng 210mm, hao hụt 10%)</t>
        </is>
      </c>
    </row>
    <row r="419">
      <c r="A419" t="inlineStr">
        <is>
          <t>SW-DAMPER-072-FB10-BLADE</t>
        </is>
      </c>
      <c r="B419" t="inlineStr">
        <is>
          <t>SW-DAMPER-072</t>
        </is>
      </c>
      <c r="C419" t="inlineStr">
        <is>
          <t>Tấm chống cháy dày 10mm ốp 2 mặt cánh van FD/MFD</t>
        </is>
      </c>
      <c r="D419" t="inlineStr">
        <is>
          <t>VẬT_LIỆU_CÁCH_NHIỆT</t>
        </is>
      </c>
      <c r="E419" t="inlineStr">
        <is>
          <t>MAT-FIREBOARD-10MM-BLADE</t>
        </is>
      </c>
      <c r="F419" t="inlineStr">
        <is>
          <t>m2</t>
        </is>
      </c>
      <c r="G419" s="406" t="n">
        <v>0.962758389261745</v>
      </c>
      <c r="H419" s="402">
        <f>IFERROR(INDEX('00_TONG_HOP_BAO_GIA'!$G$1:$G$5000, MATCH(B419, '00_TONG_HOP_BAO_GIA'!$B$1:$B$5000, 0)), 1)</f>
        <v/>
      </c>
      <c r="I419" s="407">
        <f>G419*H419</f>
        <v/>
      </c>
      <c r="J419" s="402">
        <f>IFERROR(INDEX('06_BANG_GIA_VAT_TU_AP_DUNG'!$E$1:$E$5000, MATCH(E419, '06_BANG_GIA_VAT_TU_AP_DUNG'!$B$1:$B$5000, 0)), 0)</f>
        <v/>
      </c>
      <c r="K419" s="402">
        <f>I419*J419</f>
        <v/>
      </c>
      <c r="L419" t="inlineStr">
        <is>
          <t>Ốp 2 mặt cánh tấm 10mm (Đa cánh hệ số (H-5)/149=2.32, bản rộng 210mm, hao hụt 10%)</t>
        </is>
      </c>
    </row>
    <row r="420">
      <c r="A420" t="inlineStr">
        <is>
          <t>SW-DAMPER-072-SPRING-BOX</t>
        </is>
      </c>
      <c r="B420" t="inlineStr">
        <is>
          <t>SW-DAMPER-072</t>
        </is>
      </c>
      <c r="C420" t="inlineStr">
        <is>
          <t>Hộp lò xo van chặn lửa FD/MFD</t>
        </is>
      </c>
      <c r="D420" t="inlineStr">
        <is>
          <t>PHỤ_KIỆN_VAN</t>
        </is>
      </c>
      <c r="E420" t="inlineStr">
        <is>
          <t>MAT-DAMPER-HOP-LO-XO</t>
        </is>
      </c>
      <c r="F420" t="inlineStr">
        <is>
          <t>Bộ</t>
        </is>
      </c>
      <c r="G420" s="406" t="n">
        <v>1</v>
      </c>
      <c r="H420" s="402">
        <f>IFERROR(INDEX('00_TONG_HOP_BAO_GIA'!$G$1:$G$5000, MATCH(B420, '00_TONG_HOP_BAO_GIA'!$B$1:$B$5000, 0)), 1)</f>
        <v/>
      </c>
      <c r="I420" s="407">
        <f>G420*H420</f>
        <v/>
      </c>
      <c r="J420" s="402">
        <f>IFERROR(INDEX('06_BANG_GIA_VAT_TU_AP_DUNG'!$E$1:$E$5000, MATCH(E420, '06_BANG_GIA_VAT_TU_AP_DUNG'!$B$1:$B$5000, 0)), 0)</f>
        <v/>
      </c>
      <c r="K420" s="402">
        <f>I420*J420</f>
        <v/>
      </c>
      <c r="L420" t="inlineStr">
        <is>
          <t>Hộp lò xo cơ cấu đóng sập (1 bộ)</t>
        </is>
      </c>
    </row>
    <row r="421">
      <c r="A421" t="inlineStr">
        <is>
          <t>SW-DAMPER-072-SILICON-BOLT</t>
        </is>
      </c>
      <c r="B421" t="inlineStr">
        <is>
          <t>SW-DAMPER-072</t>
        </is>
      </c>
      <c r="C421" t="inlineStr">
        <is>
          <t>Silicon chống cháy + bu lông, ốc vít van FD/MFD</t>
        </is>
      </c>
      <c r="D421" t="inlineStr">
        <is>
          <t>PHỤ_KIỆN_VAN</t>
        </is>
      </c>
      <c r="E421" t="inlineStr">
        <is>
          <t>MAT-DAMPER-SILICON-BULONG-VIT</t>
        </is>
      </c>
      <c r="F421" t="inlineStr">
        <is>
          <t>Bộ</t>
        </is>
      </c>
      <c r="G421" s="406" t="n">
        <v>1</v>
      </c>
      <c r="H421" s="402">
        <f>IFERROR(INDEX('00_TONG_HOP_BAO_GIA'!$G$1:$G$5000, MATCH(B421, '00_TONG_HOP_BAO_GIA'!$B$1:$B$5000, 0)), 1)</f>
        <v/>
      </c>
      <c r="I421" s="407">
        <f>G421*H421</f>
        <v/>
      </c>
      <c r="J421" s="402">
        <f>IFERROR(INDEX('06_BANG_GIA_VAT_TU_AP_DUNG'!$E$1:$E$5000, MATCH(E421, '06_BANG_GIA_VAT_TU_AP_DUNG'!$B$1:$B$5000, 0)), 0)</f>
        <v/>
      </c>
      <c r="K421" s="402">
        <f>I421*J421</f>
        <v/>
      </c>
      <c r="L421" t="inlineStr">
        <is>
          <t>Keo silicon chống cháy &amp; phụ kiện lắp ghép (1 bộ)</t>
        </is>
      </c>
    </row>
    <row r="422">
      <c r="A422" t="inlineStr">
        <is>
          <t>SW-DAMPER-073-BODY</t>
        </is>
      </c>
      <c r="B422" t="inlineStr">
        <is>
          <t>SW-DAMPER-073</t>
        </is>
      </c>
      <c r="C422" t="inlineStr">
        <is>
          <t>Thân vỏ van MFD bích C30/TDF (1.15mm)</t>
        </is>
      </c>
      <c r="D422" t="inlineStr">
        <is>
          <t>TÔN_CUỘN_MẠ_KẼM</t>
        </is>
      </c>
      <c r="E422" t="inlineStr">
        <is>
          <t>MAT-STEEL-PN-1.15</t>
        </is>
      </c>
      <c r="F422" t="inlineStr">
        <is>
          <t>kg</t>
        </is>
      </c>
      <c r="G422" s="406" t="n">
        <v>7.7802606</v>
      </c>
      <c r="H422" s="402">
        <f>IFERROR(INDEX('00_TONG_HOP_BAO_GIA'!$G$1:$G$5000, MATCH(B422, '00_TONG_HOP_BAO_GIA'!$B$1:$B$5000, 0)), 1)</f>
        <v/>
      </c>
      <c r="I422" s="407">
        <f>G422*H422</f>
        <v/>
      </c>
      <c r="J422" s="402">
        <f>IFERROR(INDEX('06_BANG_GIA_VAT_TU_AP_DUNG'!$E$1:$E$5000, MATCH(E422, '06_BANG_GIA_VAT_TU_AP_DUNG'!$B$1:$B$5000, 0)), 0)</f>
        <v/>
      </c>
      <c r="K422" s="402">
        <f>I422*J422</f>
        <v/>
      </c>
      <c r="L422" t="inlineStr">
        <is>
          <t>Kích thước vỏ 1150x350x200mm</t>
        </is>
      </c>
    </row>
    <row r="423">
      <c r="A423" t="inlineStr">
        <is>
          <t>SW-DAMPER-073-BLADE</t>
        </is>
      </c>
      <c r="B423" t="inlineStr">
        <is>
          <t>SW-DAMPER-073</t>
        </is>
      </c>
      <c r="C423" t="inlineStr">
        <is>
          <t>Lá cánh / Tôn tấm bọc van (2 cánh)</t>
        </is>
      </c>
      <c r="D423" t="inlineStr">
        <is>
          <t>TÔN_CUỘN_MẠ_KẼM</t>
        </is>
      </c>
      <c r="E423" t="inlineStr">
        <is>
          <t>MAT-STEEL-PN-1.15</t>
        </is>
      </c>
      <c r="F423" t="inlineStr">
        <is>
          <t>kg</t>
        </is>
      </c>
      <c r="G423" s="406" t="n">
        <v>7.267137499999998</v>
      </c>
      <c r="H423" s="402">
        <f>IFERROR(INDEX('00_TONG_HOP_BAO_GIA'!$G$1:$G$5000, MATCH(B423, '00_TONG_HOP_BAO_GIA'!$B$1:$B$5000, 0)), 1)</f>
        <v/>
      </c>
      <c r="I423" s="407">
        <f>G423*H423</f>
        <v/>
      </c>
      <c r="J423" s="402">
        <f>IFERROR(INDEX('06_BANG_GIA_VAT_TU_AP_DUNG'!$E$1:$E$5000, MATCH(E423, '06_BANG_GIA_VAT_TU_AP_DUNG'!$B$1:$B$5000, 0)), 0)</f>
        <v/>
      </c>
      <c r="K423" s="402">
        <f>I423*J423</f>
        <v/>
      </c>
      <c r="L423" t="inlineStr">
        <is>
          <t>Tôn bọc cánh &amp; thân (2 cánh/modul)</t>
        </is>
      </c>
    </row>
    <row r="424">
      <c r="A424" t="inlineStr">
        <is>
          <t>SW-DAMPER-073-AXLE</t>
        </is>
      </c>
      <c r="B424" t="inlineStr">
        <is>
          <t>SW-DAMPER-073</t>
        </is>
      </c>
      <c r="C424" t="inlineStr">
        <is>
          <t>Trục Sus 201 D10</t>
        </is>
      </c>
      <c r="D424" t="inlineStr">
        <is>
          <t>PHỤ_KIỆN_VAN</t>
        </is>
      </c>
      <c r="E424" t="inlineStr">
        <is>
          <t>MAT-DAMPER-TRUC-SUS-201-D10</t>
        </is>
      </c>
      <c r="F424" t="inlineStr">
        <is>
          <t>m</t>
        </is>
      </c>
      <c r="G424" s="406" t="n">
        <v>2.42</v>
      </c>
      <c r="H424" s="402">
        <f>IFERROR(INDEX('00_TONG_HOP_BAO_GIA'!$G$1:$G$5000, MATCH(B424, '00_TONG_HOP_BAO_GIA'!$B$1:$B$5000, 0)), 1)</f>
        <v/>
      </c>
      <c r="I424" s="407">
        <f>G424*H424</f>
        <v/>
      </c>
      <c r="J424" s="402">
        <f>IFERROR(INDEX('06_BANG_GIA_VAT_TU_AP_DUNG'!$E$1:$E$5000, MATCH(E424, '06_BANG_GIA_VAT_TU_AP_DUNG'!$B$1:$B$5000, 0)), 0)</f>
        <v/>
      </c>
      <c r="K424" s="402">
        <f>I424*J424</f>
        <v/>
      </c>
      <c r="L424" t="inlineStr">
        <is>
          <t>2 trục dài 1210mm</t>
        </is>
      </c>
    </row>
    <row r="425">
      <c r="A425" t="inlineStr">
        <is>
          <t>SW-DAMPER-073-BEARING</t>
        </is>
      </c>
      <c r="B425" t="inlineStr">
        <is>
          <t>SW-DAMPER-073</t>
        </is>
      </c>
      <c r="C425" t="inlineStr">
        <is>
          <t>Bạc đồng D10</t>
        </is>
      </c>
      <c r="D425" t="inlineStr">
        <is>
          <t>PHỤ_KIỆN_VAN</t>
        </is>
      </c>
      <c r="E425" t="inlineStr">
        <is>
          <t>MAT-DAMPER-BAC-DONG-D10</t>
        </is>
      </c>
      <c r="F425" t="inlineStr">
        <is>
          <t>Đôi</t>
        </is>
      </c>
      <c r="G425" s="406" t="n">
        <v>2</v>
      </c>
      <c r="H425" s="402">
        <f>IFERROR(INDEX('00_TONG_HOP_BAO_GIA'!$G$1:$G$5000, MATCH(B425, '00_TONG_HOP_BAO_GIA'!$B$1:$B$5000, 0)), 1)</f>
        <v/>
      </c>
      <c r="I425" s="407">
        <f>G425*H425</f>
        <v/>
      </c>
      <c r="J425" s="402">
        <f>IFERROR(INDEX('06_BANG_GIA_VAT_TU_AP_DUNG'!$E$1:$E$5000, MATCH(E425, '06_BANG_GIA_VAT_TU_AP_DUNG'!$B$1:$B$5000, 0)), 0)</f>
        <v/>
      </c>
      <c r="K425" s="402">
        <f>I425*J425</f>
        <v/>
      </c>
      <c r="L425" t="inlineStr">
        <is>
          <t>2 đôi bạc đỡ 2 bên thân</t>
        </is>
      </c>
    </row>
    <row r="426">
      <c r="A426" t="inlineStr">
        <is>
          <t>SW-DAMPER-073-GEAR</t>
        </is>
      </c>
      <c r="B426" t="inlineStr">
        <is>
          <t>SW-DAMPER-073</t>
        </is>
      </c>
      <c r="C426" t="inlineStr">
        <is>
          <t>Bánh răng van nhôm</t>
        </is>
      </c>
      <c r="D426" t="inlineStr">
        <is>
          <t>PHỤ_KIỆN_VAN</t>
        </is>
      </c>
      <c r="E426" t="inlineStr">
        <is>
          <t>MAT-DAMPER-BANH-RANG-VAN-NHOM</t>
        </is>
      </c>
      <c r="F426" t="inlineStr">
        <is>
          <t>Bộ</t>
        </is>
      </c>
      <c r="G426" s="406" t="n">
        <v>1</v>
      </c>
      <c r="H426" s="402">
        <f>IFERROR(INDEX('00_TONG_HOP_BAO_GIA'!$G$1:$G$5000, MATCH(B426, '00_TONG_HOP_BAO_GIA'!$B$1:$B$5000, 0)), 1)</f>
        <v/>
      </c>
      <c r="I426" s="407">
        <f>G426*H426</f>
        <v/>
      </c>
      <c r="J426" s="402">
        <f>IFERROR(INDEX('06_BANG_GIA_VAT_TU_AP_DUNG'!$E$1:$E$5000, MATCH(E426, '06_BANG_GIA_VAT_TU_AP_DUNG'!$B$1:$B$5000, 0)), 0)</f>
        <v/>
      </c>
      <c r="K426" s="402">
        <f>I426*J426</f>
        <v/>
      </c>
      <c r="L426" t="inlineStr">
        <is>
          <t>Cơ cấu liên động cánh (1 bộ)</t>
        </is>
      </c>
    </row>
    <row r="427">
      <c r="A427" t="inlineStr">
        <is>
          <t>SW-DAMPER-073-ACTUATOR</t>
        </is>
      </c>
      <c r="B427" t="inlineStr">
        <is>
          <t>SW-DAMPER-073</t>
        </is>
      </c>
      <c r="C427" t="inlineStr">
        <is>
          <t>Động cơ chặn lửa ON/OFF 9Nm, 230V/24V (BELIMO BFN24 / BFN230)</t>
        </is>
      </c>
      <c r="D427" t="inlineStr">
        <is>
          <t>ĐỘNG_CƠ_VÀ_CẢM_BIẾN</t>
        </is>
      </c>
      <c r="E427" t="inlineStr">
        <is>
          <t>MAT-ACTUATOR-BELIMO-BFN24</t>
        </is>
      </c>
      <c r="F427" t="inlineStr">
        <is>
          <t>Cái</t>
        </is>
      </c>
      <c r="G427" s="406" t="n">
        <v>1</v>
      </c>
      <c r="H427" s="402">
        <f>IFERROR(INDEX('00_TONG_HOP_BAO_GIA'!$G$1:$G$5000, MATCH(B427, '00_TONG_HOP_BAO_GIA'!$B$1:$B$5000, 0)), 1)</f>
        <v/>
      </c>
      <c r="I427" s="407">
        <f>G427*H427</f>
        <v/>
      </c>
      <c r="J427" s="402">
        <f>IFERROR(INDEX('06_BANG_GIA_VAT_TU_AP_DUNG'!$E$1:$E$5000, MATCH(E427, '06_BANG_GIA_VAT_TU_AP_DUNG'!$B$1:$B$5000, 0)), 0)</f>
        <v/>
      </c>
      <c r="K427" s="402">
        <f>I427*J427</f>
        <v/>
      </c>
      <c r="L427" t="inlineStr">
        <is>
          <t>Động cơ lò xo phản hồi MFD (1 bộ)</t>
        </is>
      </c>
    </row>
    <row r="428">
      <c r="A428" t="inlineStr">
        <is>
          <t>SW-DAMPER-073-FB10-BODY</t>
        </is>
      </c>
      <c r="B428" t="inlineStr">
        <is>
          <t>SW-DAMPER-073</t>
        </is>
      </c>
      <c r="C428" t="inlineStr">
        <is>
          <t>Tấm chống cháy dày 10mm bọc thân van FD/MFD (2 lớp)</t>
        </is>
      </c>
      <c r="D428" t="inlineStr">
        <is>
          <t>VẬT_LIỆU_CÁCH_NHIỆT</t>
        </is>
      </c>
      <c r="E428" t="inlineStr">
        <is>
          <t>MAT-FIREBOARD-10MM-BODY</t>
        </is>
      </c>
      <c r="F428" t="inlineStr">
        <is>
          <t>m2</t>
        </is>
      </c>
      <c r="G428" s="406" t="n">
        <v>1.8</v>
      </c>
      <c r="H428" s="402">
        <f>IFERROR(INDEX('00_TONG_HOP_BAO_GIA'!$G$1:$G$5000, MATCH(B428, '00_TONG_HOP_BAO_GIA'!$B$1:$B$5000, 0)), 1)</f>
        <v/>
      </c>
      <c r="I428" s="407">
        <f>G428*H428</f>
        <v/>
      </c>
      <c r="J428" s="402">
        <f>IFERROR(INDEX('06_BANG_GIA_VAT_TU_AP_DUNG'!$E$1:$E$5000, MATCH(E428, '06_BANG_GIA_VAT_TU_AP_DUNG'!$B$1:$B$5000, 0)), 0)</f>
        <v/>
      </c>
      <c r="K428" s="402">
        <f>I428*J428</f>
        <v/>
      </c>
      <c r="L428" t="inlineStr">
        <is>
          <t>Bọc 2 lớp tấm 10mm quanh thân L=300mm</t>
        </is>
      </c>
    </row>
    <row r="429">
      <c r="A429" t="inlineStr">
        <is>
          <t>SW-DAMPER-073-FB20-BLADE</t>
        </is>
      </c>
      <c r="B429" t="inlineStr">
        <is>
          <t>SW-DAMPER-073</t>
        </is>
      </c>
      <c r="C429" t="inlineStr">
        <is>
          <t>Tấm chống cháy dày 20mm làm lõi cánh van FD/MFD</t>
        </is>
      </c>
      <c r="D429" t="inlineStr">
        <is>
          <t>VẬT_LIỆU_CÁCH_NHIỆT</t>
        </is>
      </c>
      <c r="E429" t="inlineStr">
        <is>
          <t>MAT-FIREBOARD-20MM-BLADE</t>
        </is>
      </c>
      <c r="F429" t="inlineStr">
        <is>
          <t>m2</t>
        </is>
      </c>
      <c r="G429" s="406" t="n">
        <v>0.6043983221476509</v>
      </c>
      <c r="H429" s="402">
        <f>IFERROR(INDEX('00_TONG_HOP_BAO_GIA'!$G$1:$G$5000, MATCH(B429, '00_TONG_HOP_BAO_GIA'!$B$1:$B$5000, 0)), 1)</f>
        <v/>
      </c>
      <c r="I429" s="407">
        <f>G429*H429</f>
        <v/>
      </c>
      <c r="J429" s="402">
        <f>IFERROR(INDEX('06_BANG_GIA_VAT_TU_AP_DUNG'!$E$1:$E$5000, MATCH(E429, '06_BANG_GIA_VAT_TU_AP_DUNG'!$B$1:$B$5000, 0)), 0)</f>
        <v/>
      </c>
      <c r="K429" s="402">
        <f>I429*J429</f>
        <v/>
      </c>
      <c r="L429" t="inlineStr">
        <is>
          <t>Lõi cánh tấm 20mm (Đa cánh hệ số (H-5)/149=2.32, bản rộng 210mm, hao hụt 10%)</t>
        </is>
      </c>
    </row>
    <row r="430">
      <c r="A430" t="inlineStr">
        <is>
          <t>SW-DAMPER-073-FB10-BLADE</t>
        </is>
      </c>
      <c r="B430" t="inlineStr">
        <is>
          <t>SW-DAMPER-073</t>
        </is>
      </c>
      <c r="C430" t="inlineStr">
        <is>
          <t>Tấm chống cháy dày 10mm ốp 2 mặt cánh van FD/MFD</t>
        </is>
      </c>
      <c r="D430" t="inlineStr">
        <is>
          <t>VẬT_LIỆU_CÁCH_NHIỆT</t>
        </is>
      </c>
      <c r="E430" t="inlineStr">
        <is>
          <t>MAT-FIREBOARD-10MM-BLADE</t>
        </is>
      </c>
      <c r="F430" t="inlineStr">
        <is>
          <t>m2</t>
        </is>
      </c>
      <c r="G430" s="406" t="n">
        <v>1.230191275167785</v>
      </c>
      <c r="H430" s="402">
        <f>IFERROR(INDEX('00_TONG_HOP_BAO_GIA'!$G$1:$G$5000, MATCH(B430, '00_TONG_HOP_BAO_GIA'!$B$1:$B$5000, 0)), 1)</f>
        <v/>
      </c>
      <c r="I430" s="407">
        <f>G430*H430</f>
        <v/>
      </c>
      <c r="J430" s="402">
        <f>IFERROR(INDEX('06_BANG_GIA_VAT_TU_AP_DUNG'!$E$1:$E$5000, MATCH(E430, '06_BANG_GIA_VAT_TU_AP_DUNG'!$B$1:$B$5000, 0)), 0)</f>
        <v/>
      </c>
      <c r="K430" s="402">
        <f>I430*J430</f>
        <v/>
      </c>
      <c r="L430" t="inlineStr">
        <is>
          <t>Ốp 2 mặt cánh tấm 10mm (Đa cánh hệ số (H-5)/149=2.32, bản rộng 210mm, hao hụt 10%)</t>
        </is>
      </c>
    </row>
    <row r="431">
      <c r="A431" t="inlineStr">
        <is>
          <t>SW-DAMPER-073-SPRING-BOX</t>
        </is>
      </c>
      <c r="B431" t="inlineStr">
        <is>
          <t>SW-DAMPER-073</t>
        </is>
      </c>
      <c r="C431" t="inlineStr">
        <is>
          <t>Hộp lò xo van chặn lửa FD/MFD</t>
        </is>
      </c>
      <c r="D431" t="inlineStr">
        <is>
          <t>PHỤ_KIỆN_VAN</t>
        </is>
      </c>
      <c r="E431" t="inlineStr">
        <is>
          <t>MAT-DAMPER-HOP-LO-XO</t>
        </is>
      </c>
      <c r="F431" t="inlineStr">
        <is>
          <t>Bộ</t>
        </is>
      </c>
      <c r="G431" s="406" t="n">
        <v>1</v>
      </c>
      <c r="H431" s="402">
        <f>IFERROR(INDEX('00_TONG_HOP_BAO_GIA'!$G$1:$G$5000, MATCH(B431, '00_TONG_HOP_BAO_GIA'!$B$1:$B$5000, 0)), 1)</f>
        <v/>
      </c>
      <c r="I431" s="407">
        <f>G431*H431</f>
        <v/>
      </c>
      <c r="J431" s="402">
        <f>IFERROR(INDEX('06_BANG_GIA_VAT_TU_AP_DUNG'!$E$1:$E$5000, MATCH(E431, '06_BANG_GIA_VAT_TU_AP_DUNG'!$B$1:$B$5000, 0)), 0)</f>
        <v/>
      </c>
      <c r="K431" s="402">
        <f>I431*J431</f>
        <v/>
      </c>
      <c r="L431" t="inlineStr">
        <is>
          <t>Hộp lò xo cơ cấu đóng sập (1 bộ)</t>
        </is>
      </c>
    </row>
    <row r="432">
      <c r="A432" t="inlineStr">
        <is>
          <t>SW-DAMPER-073-SILICON-BOLT</t>
        </is>
      </c>
      <c r="B432" t="inlineStr">
        <is>
          <t>SW-DAMPER-073</t>
        </is>
      </c>
      <c r="C432" t="inlineStr">
        <is>
          <t>Silicon chống cháy + bu lông, ốc vít van FD/MFD</t>
        </is>
      </c>
      <c r="D432" t="inlineStr">
        <is>
          <t>PHỤ_KIỆN_VAN</t>
        </is>
      </c>
      <c r="E432" t="inlineStr">
        <is>
          <t>MAT-DAMPER-SILICON-BULONG-VIT</t>
        </is>
      </c>
      <c r="F432" t="inlineStr">
        <is>
          <t>Bộ</t>
        </is>
      </c>
      <c r="G432" s="406" t="n">
        <v>1</v>
      </c>
      <c r="H432" s="402">
        <f>IFERROR(INDEX('00_TONG_HOP_BAO_GIA'!$G$1:$G$5000, MATCH(B432, '00_TONG_HOP_BAO_GIA'!$B$1:$B$5000, 0)), 1)</f>
        <v/>
      </c>
      <c r="I432" s="407">
        <f>G432*H432</f>
        <v/>
      </c>
      <c r="J432" s="402">
        <f>IFERROR(INDEX('06_BANG_GIA_VAT_TU_AP_DUNG'!$E$1:$E$5000, MATCH(E432, '06_BANG_GIA_VAT_TU_AP_DUNG'!$B$1:$B$5000, 0)), 0)</f>
        <v/>
      </c>
      <c r="K432" s="402">
        <f>I432*J432</f>
        <v/>
      </c>
      <c r="L432" t="inlineStr">
        <is>
          <t>Keo silicon chống cháy &amp; phụ kiện lắp ghép (1 bộ)</t>
        </is>
      </c>
    </row>
    <row r="433">
      <c r="A433" t="inlineStr">
        <is>
          <t>SW-DAMPER-074-BODY</t>
        </is>
      </c>
      <c r="B433" t="inlineStr">
        <is>
          <t>SW-DAMPER-074</t>
        </is>
      </c>
      <c r="C433" t="inlineStr">
        <is>
          <t>Thân vỏ van MFD bích C30/TDF (1.15mm)</t>
        </is>
      </c>
      <c r="D433" t="inlineStr">
        <is>
          <t>TÔN_CUỘN_MẠ_KẼM</t>
        </is>
      </c>
      <c r="E433" t="inlineStr">
        <is>
          <t>MAT-STEEL-PN-1.15</t>
        </is>
      </c>
      <c r="F433" t="inlineStr">
        <is>
          <t>kg</t>
        </is>
      </c>
      <c r="G433" s="406" t="n">
        <v>8.548049474999999</v>
      </c>
      <c r="H433" s="402">
        <f>IFERROR(INDEX('00_TONG_HOP_BAO_GIA'!$G$1:$G$5000, MATCH(B433, '00_TONG_HOP_BAO_GIA'!$B$1:$B$5000, 0)), 1)</f>
        <v/>
      </c>
      <c r="I433" s="407">
        <f>G433*H433</f>
        <v/>
      </c>
      <c r="J433" s="402">
        <f>IFERROR(INDEX('06_BANG_GIA_VAT_TU_AP_DUNG'!$E$1:$E$5000, MATCH(E433, '06_BANG_GIA_VAT_TU_AP_DUNG'!$B$1:$B$5000, 0)), 0)</f>
        <v/>
      </c>
      <c r="K433" s="402">
        <f>I433*J433</f>
        <v/>
      </c>
      <c r="L433" t="inlineStr">
        <is>
          <t>Kích thước vỏ 1200x450x200mm</t>
        </is>
      </c>
    </row>
    <row r="434">
      <c r="A434" t="inlineStr">
        <is>
          <t>SW-DAMPER-074-BLADE</t>
        </is>
      </c>
      <c r="B434" t="inlineStr">
        <is>
          <t>SW-DAMPER-074</t>
        </is>
      </c>
      <c r="C434" t="inlineStr">
        <is>
          <t>Lá cánh / Tôn tấm bọc van (3 cánh)</t>
        </is>
      </c>
      <c r="D434" t="inlineStr">
        <is>
          <t>TÔN_CUỘN_MẠ_KẼM</t>
        </is>
      </c>
      <c r="E434" t="inlineStr">
        <is>
          <t>MAT-STEEL-PN-1.15</t>
        </is>
      </c>
      <c r="F434" t="inlineStr">
        <is>
          <t>kg</t>
        </is>
      </c>
      <c r="G434" s="406" t="n">
        <v>9.749699999999999</v>
      </c>
      <c r="H434" s="402">
        <f>IFERROR(INDEX('00_TONG_HOP_BAO_GIA'!$G$1:$G$5000, MATCH(B434, '00_TONG_HOP_BAO_GIA'!$B$1:$B$5000, 0)), 1)</f>
        <v/>
      </c>
      <c r="I434" s="407">
        <f>G434*H434</f>
        <v/>
      </c>
      <c r="J434" s="402">
        <f>IFERROR(INDEX('06_BANG_GIA_VAT_TU_AP_DUNG'!$E$1:$E$5000, MATCH(E434, '06_BANG_GIA_VAT_TU_AP_DUNG'!$B$1:$B$5000, 0)), 0)</f>
        <v/>
      </c>
      <c r="K434" s="402">
        <f>I434*J434</f>
        <v/>
      </c>
      <c r="L434" t="inlineStr">
        <is>
          <t>Tôn bọc cánh &amp; thân (3 cánh/modul)</t>
        </is>
      </c>
    </row>
    <row r="435">
      <c r="A435" t="inlineStr">
        <is>
          <t>SW-DAMPER-074-AXLE</t>
        </is>
      </c>
      <c r="B435" t="inlineStr">
        <is>
          <t>SW-DAMPER-074</t>
        </is>
      </c>
      <c r="C435" t="inlineStr">
        <is>
          <t>Trục Sus 201 D10</t>
        </is>
      </c>
      <c r="D435" t="inlineStr">
        <is>
          <t>PHỤ_KIỆN_VAN</t>
        </is>
      </c>
      <c r="E435" t="inlineStr">
        <is>
          <t>MAT-DAMPER-TRUC-SUS-201-D10</t>
        </is>
      </c>
      <c r="F435" t="inlineStr">
        <is>
          <t>m</t>
        </is>
      </c>
      <c r="G435" s="406" t="n">
        <v>3.78</v>
      </c>
      <c r="H435" s="402">
        <f>IFERROR(INDEX('00_TONG_HOP_BAO_GIA'!$G$1:$G$5000, MATCH(B435, '00_TONG_HOP_BAO_GIA'!$B$1:$B$5000, 0)), 1)</f>
        <v/>
      </c>
      <c r="I435" s="407">
        <f>G435*H435</f>
        <v/>
      </c>
      <c r="J435" s="402">
        <f>IFERROR(INDEX('06_BANG_GIA_VAT_TU_AP_DUNG'!$E$1:$E$5000, MATCH(E435, '06_BANG_GIA_VAT_TU_AP_DUNG'!$B$1:$B$5000, 0)), 0)</f>
        <v/>
      </c>
      <c r="K435" s="402">
        <f>I435*J435</f>
        <v/>
      </c>
      <c r="L435" t="inlineStr">
        <is>
          <t>3 trục dài 1260mm</t>
        </is>
      </c>
    </row>
    <row r="436">
      <c r="A436" t="inlineStr">
        <is>
          <t>SW-DAMPER-074-BEARING</t>
        </is>
      </c>
      <c r="B436" t="inlineStr">
        <is>
          <t>SW-DAMPER-074</t>
        </is>
      </c>
      <c r="C436" t="inlineStr">
        <is>
          <t>Bạc đồng D10</t>
        </is>
      </c>
      <c r="D436" t="inlineStr">
        <is>
          <t>PHỤ_KIỆN_VAN</t>
        </is>
      </c>
      <c r="E436" t="inlineStr">
        <is>
          <t>MAT-DAMPER-BAC-DONG-D10</t>
        </is>
      </c>
      <c r="F436" t="inlineStr">
        <is>
          <t>Đôi</t>
        </is>
      </c>
      <c r="G436" s="406" t="n">
        <v>3</v>
      </c>
      <c r="H436" s="402">
        <f>IFERROR(INDEX('00_TONG_HOP_BAO_GIA'!$G$1:$G$5000, MATCH(B436, '00_TONG_HOP_BAO_GIA'!$B$1:$B$5000, 0)), 1)</f>
        <v/>
      </c>
      <c r="I436" s="407">
        <f>G436*H436</f>
        <v/>
      </c>
      <c r="J436" s="402">
        <f>IFERROR(INDEX('06_BANG_GIA_VAT_TU_AP_DUNG'!$E$1:$E$5000, MATCH(E436, '06_BANG_GIA_VAT_TU_AP_DUNG'!$B$1:$B$5000, 0)), 0)</f>
        <v/>
      </c>
      <c r="K436" s="402">
        <f>I436*J436</f>
        <v/>
      </c>
      <c r="L436" t="inlineStr">
        <is>
          <t>3 đôi bạc đỡ 2 bên thân</t>
        </is>
      </c>
    </row>
    <row r="437">
      <c r="A437" t="inlineStr">
        <is>
          <t>SW-DAMPER-074-GEAR</t>
        </is>
      </c>
      <c r="B437" t="inlineStr">
        <is>
          <t>SW-DAMPER-074</t>
        </is>
      </c>
      <c r="C437" t="inlineStr">
        <is>
          <t>Bánh răng van nhôm</t>
        </is>
      </c>
      <c r="D437" t="inlineStr">
        <is>
          <t>PHỤ_KIỆN_VAN</t>
        </is>
      </c>
      <c r="E437" t="inlineStr">
        <is>
          <t>MAT-DAMPER-BANH-RANG-VAN-NHOM</t>
        </is>
      </c>
      <c r="F437" t="inlineStr">
        <is>
          <t>Bộ</t>
        </is>
      </c>
      <c r="G437" s="406" t="n">
        <v>1</v>
      </c>
      <c r="H437" s="402">
        <f>IFERROR(INDEX('00_TONG_HOP_BAO_GIA'!$G$1:$G$5000, MATCH(B437, '00_TONG_HOP_BAO_GIA'!$B$1:$B$5000, 0)), 1)</f>
        <v/>
      </c>
      <c r="I437" s="407">
        <f>G437*H437</f>
        <v/>
      </c>
      <c r="J437" s="402">
        <f>IFERROR(INDEX('06_BANG_GIA_VAT_TU_AP_DUNG'!$E$1:$E$5000, MATCH(E437, '06_BANG_GIA_VAT_TU_AP_DUNG'!$B$1:$B$5000, 0)), 0)</f>
        <v/>
      </c>
      <c r="K437" s="402">
        <f>I437*J437</f>
        <v/>
      </c>
      <c r="L437" t="inlineStr">
        <is>
          <t>Cơ cấu liên động cánh (1 bộ)</t>
        </is>
      </c>
    </row>
    <row r="438">
      <c r="A438" t="inlineStr">
        <is>
          <t>SW-DAMPER-074-ACTUATOR</t>
        </is>
      </c>
      <c r="B438" t="inlineStr">
        <is>
          <t>SW-DAMPER-074</t>
        </is>
      </c>
      <c r="C438" t="inlineStr">
        <is>
          <t>Động cơ chặn lửa ON/OFF 9Nm, 230V/24V (BELIMO BFN24 / BFN230)</t>
        </is>
      </c>
      <c r="D438" t="inlineStr">
        <is>
          <t>ĐỘNG_CƠ_VÀ_CẢM_BIẾN</t>
        </is>
      </c>
      <c r="E438" t="inlineStr">
        <is>
          <t>MAT-ACTUATOR-BELIMO-BFN24</t>
        </is>
      </c>
      <c r="F438" t="inlineStr">
        <is>
          <t>Cái</t>
        </is>
      </c>
      <c r="G438" s="406" t="n">
        <v>1</v>
      </c>
      <c r="H438" s="402">
        <f>IFERROR(INDEX('00_TONG_HOP_BAO_GIA'!$G$1:$G$5000, MATCH(B438, '00_TONG_HOP_BAO_GIA'!$B$1:$B$5000, 0)), 1)</f>
        <v/>
      </c>
      <c r="I438" s="407">
        <f>G438*H438</f>
        <v/>
      </c>
      <c r="J438" s="402">
        <f>IFERROR(INDEX('06_BANG_GIA_VAT_TU_AP_DUNG'!$E$1:$E$5000, MATCH(E438, '06_BANG_GIA_VAT_TU_AP_DUNG'!$B$1:$B$5000, 0)), 0)</f>
        <v/>
      </c>
      <c r="K438" s="402">
        <f>I438*J438</f>
        <v/>
      </c>
      <c r="L438" t="inlineStr">
        <is>
          <t>Động cơ lò xo phản hồi MFD (1 bộ)</t>
        </is>
      </c>
    </row>
    <row r="439">
      <c r="A439" t="inlineStr">
        <is>
          <t>SW-DAMPER-074-FB10-BODY</t>
        </is>
      </c>
      <c r="B439" t="inlineStr">
        <is>
          <t>SW-DAMPER-074</t>
        </is>
      </c>
      <c r="C439" t="inlineStr">
        <is>
          <t>Tấm chống cháy dày 10mm bọc thân van FD/MFD (2 lớp)</t>
        </is>
      </c>
      <c r="D439" t="inlineStr">
        <is>
          <t>VẬT_LIỆU_CÁCH_NHIỆT</t>
        </is>
      </c>
      <c r="E439" t="inlineStr">
        <is>
          <t>MAT-FIREBOARD-10MM-BODY</t>
        </is>
      </c>
      <c r="F439" t="inlineStr">
        <is>
          <t>m2</t>
        </is>
      </c>
      <c r="G439" s="406" t="n">
        <v>1.98</v>
      </c>
      <c r="H439" s="402">
        <f>IFERROR(INDEX('00_TONG_HOP_BAO_GIA'!$G$1:$G$5000, MATCH(B439, '00_TONG_HOP_BAO_GIA'!$B$1:$B$5000, 0)), 1)</f>
        <v/>
      </c>
      <c r="I439" s="407">
        <f>G439*H439</f>
        <v/>
      </c>
      <c r="J439" s="402">
        <f>IFERROR(INDEX('06_BANG_GIA_VAT_TU_AP_DUNG'!$E$1:$E$5000, MATCH(E439, '06_BANG_GIA_VAT_TU_AP_DUNG'!$B$1:$B$5000, 0)), 0)</f>
        <v/>
      </c>
      <c r="K439" s="402">
        <f>I439*J439</f>
        <v/>
      </c>
      <c r="L439" t="inlineStr">
        <is>
          <t>Bọc 2 lớp tấm 10mm quanh thân L=300mm</t>
        </is>
      </c>
    </row>
    <row r="440">
      <c r="A440" t="inlineStr">
        <is>
          <t>SW-DAMPER-074-FB20-BLADE</t>
        </is>
      </c>
      <c r="B440" t="inlineStr">
        <is>
          <t>SW-DAMPER-074</t>
        </is>
      </c>
      <c r="C440" t="inlineStr">
        <is>
          <t>Tấm chống cháy dày 20mm làm lõi cánh van FD/MFD</t>
        </is>
      </c>
      <c r="D440" t="inlineStr">
        <is>
          <t>VẬT_LIỆU_CÁCH_NHIỆT</t>
        </is>
      </c>
      <c r="E440" t="inlineStr">
        <is>
          <t>MAT-FIREBOARD-20MM-BLADE</t>
        </is>
      </c>
      <c r="F440" t="inlineStr">
        <is>
          <t>m2</t>
        </is>
      </c>
      <c r="G440" s="406" t="n">
        <v>0.8140812080536911</v>
      </c>
      <c r="H440" s="402">
        <f>IFERROR(INDEX('00_TONG_HOP_BAO_GIA'!$G$1:$G$5000, MATCH(B440, '00_TONG_HOP_BAO_GIA'!$B$1:$B$5000, 0)), 1)</f>
        <v/>
      </c>
      <c r="I440" s="407">
        <f>G440*H440</f>
        <v/>
      </c>
      <c r="J440" s="402">
        <f>IFERROR(INDEX('06_BANG_GIA_VAT_TU_AP_DUNG'!$E$1:$E$5000, MATCH(E440, '06_BANG_GIA_VAT_TU_AP_DUNG'!$B$1:$B$5000, 0)), 0)</f>
        <v/>
      </c>
      <c r="K440" s="402">
        <f>I440*J440</f>
        <v/>
      </c>
      <c r="L440" t="inlineStr">
        <is>
          <t>Lõi cánh tấm 20mm (Đa cánh hệ số (H-5)/149=2.99, bản rộng 210mm, hao hụt 10%)</t>
        </is>
      </c>
    </row>
    <row r="441">
      <c r="A441" t="inlineStr">
        <is>
          <t>SW-DAMPER-074-FB10-BLADE</t>
        </is>
      </c>
      <c r="B441" t="inlineStr">
        <is>
          <t>SW-DAMPER-074</t>
        </is>
      </c>
      <c r="C441" t="inlineStr">
        <is>
          <t>Tấm chống cháy dày 10mm ốp 2 mặt cánh van FD/MFD</t>
        </is>
      </c>
      <c r="D441" t="inlineStr">
        <is>
          <t>VẬT_LIỆU_CÁCH_NHIỆT</t>
        </is>
      </c>
      <c r="E441" t="inlineStr">
        <is>
          <t>MAT-FIREBOARD-10MM-BLADE</t>
        </is>
      </c>
      <c r="F441" t="inlineStr">
        <is>
          <t>m2</t>
        </is>
      </c>
      <c r="G441" s="406" t="n">
        <v>1.655758389261745</v>
      </c>
      <c r="H441" s="402">
        <f>IFERROR(INDEX('00_TONG_HOP_BAO_GIA'!$G$1:$G$5000, MATCH(B441, '00_TONG_HOP_BAO_GIA'!$B$1:$B$5000, 0)), 1)</f>
        <v/>
      </c>
      <c r="I441" s="407">
        <f>G441*H441</f>
        <v/>
      </c>
      <c r="J441" s="402">
        <f>IFERROR(INDEX('06_BANG_GIA_VAT_TU_AP_DUNG'!$E$1:$E$5000, MATCH(E441, '06_BANG_GIA_VAT_TU_AP_DUNG'!$B$1:$B$5000, 0)), 0)</f>
        <v/>
      </c>
      <c r="K441" s="402">
        <f>I441*J441</f>
        <v/>
      </c>
      <c r="L441" t="inlineStr">
        <is>
          <t>Ốp 2 mặt cánh tấm 10mm (Đa cánh hệ số (H-5)/149=2.99, bản rộng 210mm, hao hụt 10%)</t>
        </is>
      </c>
    </row>
    <row r="442">
      <c r="A442" t="inlineStr">
        <is>
          <t>SW-DAMPER-074-SPRING-BOX</t>
        </is>
      </c>
      <c r="B442" t="inlineStr">
        <is>
          <t>SW-DAMPER-074</t>
        </is>
      </c>
      <c r="C442" t="inlineStr">
        <is>
          <t>Hộp lò xo van chặn lửa FD/MFD</t>
        </is>
      </c>
      <c r="D442" t="inlineStr">
        <is>
          <t>PHỤ_KIỆN_VAN</t>
        </is>
      </c>
      <c r="E442" t="inlineStr">
        <is>
          <t>MAT-DAMPER-HOP-LO-XO</t>
        </is>
      </c>
      <c r="F442" t="inlineStr">
        <is>
          <t>Bộ</t>
        </is>
      </c>
      <c r="G442" s="406" t="n">
        <v>1</v>
      </c>
      <c r="H442" s="402">
        <f>IFERROR(INDEX('00_TONG_HOP_BAO_GIA'!$G$1:$G$5000, MATCH(B442, '00_TONG_HOP_BAO_GIA'!$B$1:$B$5000, 0)), 1)</f>
        <v/>
      </c>
      <c r="I442" s="407">
        <f>G442*H442</f>
        <v/>
      </c>
      <c r="J442" s="402">
        <f>IFERROR(INDEX('06_BANG_GIA_VAT_TU_AP_DUNG'!$E$1:$E$5000, MATCH(E442, '06_BANG_GIA_VAT_TU_AP_DUNG'!$B$1:$B$5000, 0)), 0)</f>
        <v/>
      </c>
      <c r="K442" s="402">
        <f>I442*J442</f>
        <v/>
      </c>
      <c r="L442" t="inlineStr">
        <is>
          <t>Hộp lò xo cơ cấu đóng sập (1 bộ)</t>
        </is>
      </c>
    </row>
    <row r="443">
      <c r="A443" t="inlineStr">
        <is>
          <t>SW-DAMPER-074-SILICON-BOLT</t>
        </is>
      </c>
      <c r="B443" t="inlineStr">
        <is>
          <t>SW-DAMPER-074</t>
        </is>
      </c>
      <c r="C443" t="inlineStr">
        <is>
          <t>Silicon chống cháy + bu lông, ốc vít van FD/MFD</t>
        </is>
      </c>
      <c r="D443" t="inlineStr">
        <is>
          <t>PHỤ_KIỆN_VAN</t>
        </is>
      </c>
      <c r="E443" t="inlineStr">
        <is>
          <t>MAT-DAMPER-SILICON-BULONG-VIT</t>
        </is>
      </c>
      <c r="F443" t="inlineStr">
        <is>
          <t>Bộ</t>
        </is>
      </c>
      <c r="G443" s="406" t="n">
        <v>1</v>
      </c>
      <c r="H443" s="402">
        <f>IFERROR(INDEX('00_TONG_HOP_BAO_GIA'!$G$1:$G$5000, MATCH(B443, '00_TONG_HOP_BAO_GIA'!$B$1:$B$5000, 0)), 1)</f>
        <v/>
      </c>
      <c r="I443" s="407">
        <f>G443*H443</f>
        <v/>
      </c>
      <c r="J443" s="402">
        <f>IFERROR(INDEX('06_BANG_GIA_VAT_TU_AP_DUNG'!$E$1:$E$5000, MATCH(E443, '06_BANG_GIA_VAT_TU_AP_DUNG'!$B$1:$B$5000, 0)), 0)</f>
        <v/>
      </c>
      <c r="K443" s="402">
        <f>I443*J443</f>
        <v/>
      </c>
      <c r="L443" t="inlineStr">
        <is>
          <t>Keo silicon chống cháy &amp; phụ kiện lắp ghép (1 bộ)</t>
        </is>
      </c>
    </row>
    <row r="444">
      <c r="A444" t="inlineStr">
        <is>
          <t>SW-DAMPER-075-BODY</t>
        </is>
      </c>
      <c r="B444" t="inlineStr">
        <is>
          <t>SW-DAMPER-075</t>
        </is>
      </c>
      <c r="C444" t="inlineStr">
        <is>
          <t>Thân vỏ van MFD bích C30/TDF (1.15mm)</t>
        </is>
      </c>
      <c r="D444" t="inlineStr">
        <is>
          <t>TÔN_CUỘN_MẠ_KẼM</t>
        </is>
      </c>
      <c r="E444" t="inlineStr">
        <is>
          <t>MAT-STEEL-PN-1.15</t>
        </is>
      </c>
      <c r="F444" t="inlineStr">
        <is>
          <t>kg</t>
        </is>
      </c>
      <c r="G444" s="406" t="n">
        <v>4.965034725</v>
      </c>
      <c r="H444" s="402">
        <f>IFERROR(INDEX('00_TONG_HOP_BAO_GIA'!$G$1:$G$5000, MATCH(B444, '00_TONG_HOP_BAO_GIA'!$B$1:$B$5000, 0)), 1)</f>
        <v/>
      </c>
      <c r="I444" s="407">
        <f>G444*H444</f>
        <v/>
      </c>
      <c r="J444" s="402">
        <f>IFERROR(INDEX('06_BANG_GIA_VAT_TU_AP_DUNG'!$E$1:$E$5000, MATCH(E444, '06_BANG_GIA_VAT_TU_AP_DUNG'!$B$1:$B$5000, 0)), 0)</f>
        <v/>
      </c>
      <c r="K444" s="402">
        <f>I444*J444</f>
        <v/>
      </c>
      <c r="L444" t="inlineStr">
        <is>
          <t>Kích thước vỏ 350x600x200mm</t>
        </is>
      </c>
    </row>
    <row r="445">
      <c r="A445" t="inlineStr">
        <is>
          <t>SW-DAMPER-075-BLADE</t>
        </is>
      </c>
      <c r="B445" t="inlineStr">
        <is>
          <t>SW-DAMPER-075</t>
        </is>
      </c>
      <c r="C445" t="inlineStr">
        <is>
          <t>Lá cánh / Tôn tấm bọc van (4 cánh)</t>
        </is>
      </c>
      <c r="D445" t="inlineStr">
        <is>
          <t>TÔN_CUỘN_MẠ_KẼM</t>
        </is>
      </c>
      <c r="E445" t="inlineStr">
        <is>
          <t>MAT-STEEL-PN-1.15</t>
        </is>
      </c>
      <c r="F445" t="inlineStr">
        <is>
          <t>kg</t>
        </is>
      </c>
      <c r="G445" s="406" t="n">
        <v>3.791549999999999</v>
      </c>
      <c r="H445" s="402">
        <f>IFERROR(INDEX('00_TONG_HOP_BAO_GIA'!$G$1:$G$5000, MATCH(B445, '00_TONG_HOP_BAO_GIA'!$B$1:$B$5000, 0)), 1)</f>
        <v/>
      </c>
      <c r="I445" s="407">
        <f>G445*H445</f>
        <v/>
      </c>
      <c r="J445" s="402">
        <f>IFERROR(INDEX('06_BANG_GIA_VAT_TU_AP_DUNG'!$E$1:$E$5000, MATCH(E445, '06_BANG_GIA_VAT_TU_AP_DUNG'!$B$1:$B$5000, 0)), 0)</f>
        <v/>
      </c>
      <c r="K445" s="402">
        <f>I445*J445</f>
        <v/>
      </c>
      <c r="L445" t="inlineStr">
        <is>
          <t>Tôn bọc cánh &amp; thân (4 cánh/modul)</t>
        </is>
      </c>
    </row>
    <row r="446">
      <c r="A446" t="inlineStr">
        <is>
          <t>SW-DAMPER-075-AXLE</t>
        </is>
      </c>
      <c r="B446" t="inlineStr">
        <is>
          <t>SW-DAMPER-075</t>
        </is>
      </c>
      <c r="C446" t="inlineStr">
        <is>
          <t>Trục Sus 201 D10</t>
        </is>
      </c>
      <c r="D446" t="inlineStr">
        <is>
          <t>PHỤ_KIỆN_VAN</t>
        </is>
      </c>
      <c r="E446" t="inlineStr">
        <is>
          <t>MAT-DAMPER-TRUC-SUS-201-D10</t>
        </is>
      </c>
      <c r="F446" t="inlineStr">
        <is>
          <t>m</t>
        </is>
      </c>
      <c r="G446" s="406" t="n">
        <v>1.64</v>
      </c>
      <c r="H446" s="402">
        <f>IFERROR(INDEX('00_TONG_HOP_BAO_GIA'!$G$1:$G$5000, MATCH(B446, '00_TONG_HOP_BAO_GIA'!$B$1:$B$5000, 0)), 1)</f>
        <v/>
      </c>
      <c r="I446" s="407">
        <f>G446*H446</f>
        <v/>
      </c>
      <c r="J446" s="402">
        <f>IFERROR(INDEX('06_BANG_GIA_VAT_TU_AP_DUNG'!$E$1:$E$5000, MATCH(E446, '06_BANG_GIA_VAT_TU_AP_DUNG'!$B$1:$B$5000, 0)), 0)</f>
        <v/>
      </c>
      <c r="K446" s="402">
        <f>I446*J446</f>
        <v/>
      </c>
      <c r="L446" t="inlineStr">
        <is>
          <t>4 trục dài 410mm</t>
        </is>
      </c>
    </row>
    <row r="447">
      <c r="A447" t="inlineStr">
        <is>
          <t>SW-DAMPER-075-BEARING</t>
        </is>
      </c>
      <c r="B447" t="inlineStr">
        <is>
          <t>SW-DAMPER-075</t>
        </is>
      </c>
      <c r="C447" t="inlineStr">
        <is>
          <t>Bạc đồng D10</t>
        </is>
      </c>
      <c r="D447" t="inlineStr">
        <is>
          <t>PHỤ_KIỆN_VAN</t>
        </is>
      </c>
      <c r="E447" t="inlineStr">
        <is>
          <t>MAT-DAMPER-BAC-DONG-D10</t>
        </is>
      </c>
      <c r="F447" t="inlineStr">
        <is>
          <t>Đôi</t>
        </is>
      </c>
      <c r="G447" s="406" t="n">
        <v>4</v>
      </c>
      <c r="H447" s="402">
        <f>IFERROR(INDEX('00_TONG_HOP_BAO_GIA'!$G$1:$G$5000, MATCH(B447, '00_TONG_HOP_BAO_GIA'!$B$1:$B$5000, 0)), 1)</f>
        <v/>
      </c>
      <c r="I447" s="407">
        <f>G447*H447</f>
        <v/>
      </c>
      <c r="J447" s="402">
        <f>IFERROR(INDEX('06_BANG_GIA_VAT_TU_AP_DUNG'!$E$1:$E$5000, MATCH(E447, '06_BANG_GIA_VAT_TU_AP_DUNG'!$B$1:$B$5000, 0)), 0)</f>
        <v/>
      </c>
      <c r="K447" s="402">
        <f>I447*J447</f>
        <v/>
      </c>
      <c r="L447" t="inlineStr">
        <is>
          <t>4 đôi bạc đỡ 2 bên thân</t>
        </is>
      </c>
    </row>
    <row r="448">
      <c r="A448" t="inlineStr">
        <is>
          <t>SW-DAMPER-075-GEAR</t>
        </is>
      </c>
      <c r="B448" t="inlineStr">
        <is>
          <t>SW-DAMPER-075</t>
        </is>
      </c>
      <c r="C448" t="inlineStr">
        <is>
          <t>Bánh răng van nhôm</t>
        </is>
      </c>
      <c r="D448" t="inlineStr">
        <is>
          <t>PHỤ_KIỆN_VAN</t>
        </is>
      </c>
      <c r="E448" t="inlineStr">
        <is>
          <t>MAT-DAMPER-BANH-RANG-VAN-NHOM</t>
        </is>
      </c>
      <c r="F448" t="inlineStr">
        <is>
          <t>Bộ</t>
        </is>
      </c>
      <c r="G448" s="406" t="n">
        <v>1</v>
      </c>
      <c r="H448" s="402">
        <f>IFERROR(INDEX('00_TONG_HOP_BAO_GIA'!$G$1:$G$5000, MATCH(B448, '00_TONG_HOP_BAO_GIA'!$B$1:$B$5000, 0)), 1)</f>
        <v/>
      </c>
      <c r="I448" s="407">
        <f>G448*H448</f>
        <v/>
      </c>
      <c r="J448" s="402">
        <f>IFERROR(INDEX('06_BANG_GIA_VAT_TU_AP_DUNG'!$E$1:$E$5000, MATCH(E448, '06_BANG_GIA_VAT_TU_AP_DUNG'!$B$1:$B$5000, 0)), 0)</f>
        <v/>
      </c>
      <c r="K448" s="402">
        <f>I448*J448</f>
        <v/>
      </c>
      <c r="L448" t="inlineStr">
        <is>
          <t>Cơ cấu liên động cánh (1 bộ)</t>
        </is>
      </c>
    </row>
    <row r="449">
      <c r="A449" t="inlineStr">
        <is>
          <t>SW-DAMPER-075-ACTUATOR</t>
        </is>
      </c>
      <c r="B449" t="inlineStr">
        <is>
          <t>SW-DAMPER-075</t>
        </is>
      </c>
      <c r="C449" t="inlineStr">
        <is>
          <t>Động cơ chặn lửa ON/OFF 9Nm, 230V/24V (BELIMO BFN24 / BFN230)</t>
        </is>
      </c>
      <c r="D449" t="inlineStr">
        <is>
          <t>ĐỘNG_CƠ_VÀ_CẢM_BIẾN</t>
        </is>
      </c>
      <c r="E449" t="inlineStr">
        <is>
          <t>MAT-ACTUATOR-BELIMO-BFN24</t>
        </is>
      </c>
      <c r="F449" t="inlineStr">
        <is>
          <t>Cái</t>
        </is>
      </c>
      <c r="G449" s="406" t="n">
        <v>1</v>
      </c>
      <c r="H449" s="402">
        <f>IFERROR(INDEX('00_TONG_HOP_BAO_GIA'!$G$1:$G$5000, MATCH(B449, '00_TONG_HOP_BAO_GIA'!$B$1:$B$5000, 0)), 1)</f>
        <v/>
      </c>
      <c r="I449" s="407">
        <f>G449*H449</f>
        <v/>
      </c>
      <c r="J449" s="402">
        <f>IFERROR(INDEX('06_BANG_GIA_VAT_TU_AP_DUNG'!$E$1:$E$5000, MATCH(E449, '06_BANG_GIA_VAT_TU_AP_DUNG'!$B$1:$B$5000, 0)), 0)</f>
        <v/>
      </c>
      <c r="K449" s="402">
        <f>I449*J449</f>
        <v/>
      </c>
      <c r="L449" t="inlineStr">
        <is>
          <t>Động cơ lò xo phản hồi MFD (1 bộ)</t>
        </is>
      </c>
    </row>
    <row r="450">
      <c r="A450" t="inlineStr">
        <is>
          <t>SW-DAMPER-075-FB10-BODY</t>
        </is>
      </c>
      <c r="B450" t="inlineStr">
        <is>
          <t>SW-DAMPER-075</t>
        </is>
      </c>
      <c r="C450" t="inlineStr">
        <is>
          <t>Tấm chống cháy dày 10mm bọc thân van FD/MFD (2 lớp)</t>
        </is>
      </c>
      <c r="D450" t="inlineStr">
        <is>
          <t>VẬT_LIỆU_CÁCH_NHIỆT</t>
        </is>
      </c>
      <c r="E450" t="inlineStr">
        <is>
          <t>MAT-FIREBOARD-10MM-BODY</t>
        </is>
      </c>
      <c r="F450" t="inlineStr">
        <is>
          <t>m2</t>
        </is>
      </c>
      <c r="G450" s="406" t="n">
        <v>1.14</v>
      </c>
      <c r="H450" s="402">
        <f>IFERROR(INDEX('00_TONG_HOP_BAO_GIA'!$G$1:$G$5000, MATCH(B450, '00_TONG_HOP_BAO_GIA'!$B$1:$B$5000, 0)), 1)</f>
        <v/>
      </c>
      <c r="I450" s="407">
        <f>G450*H450</f>
        <v/>
      </c>
      <c r="J450" s="402">
        <f>IFERROR(INDEX('06_BANG_GIA_VAT_TU_AP_DUNG'!$E$1:$E$5000, MATCH(E450, '06_BANG_GIA_VAT_TU_AP_DUNG'!$B$1:$B$5000, 0)), 0)</f>
        <v/>
      </c>
      <c r="K450" s="402">
        <f>I450*J450</f>
        <v/>
      </c>
      <c r="L450" t="inlineStr">
        <is>
          <t>Bọc 2 lớp tấm 10mm quanh thân L=300mm</t>
        </is>
      </c>
    </row>
    <row r="451">
      <c r="A451" t="inlineStr">
        <is>
          <t>SW-DAMPER-075-FB20-BLADE</t>
        </is>
      </c>
      <c r="B451" t="inlineStr">
        <is>
          <t>SW-DAMPER-075</t>
        </is>
      </c>
      <c r="C451" t="inlineStr">
        <is>
          <t>Tấm chống cháy dày 20mm làm lõi cánh van FD/MFD</t>
        </is>
      </c>
      <c r="D451" t="inlineStr">
        <is>
          <t>VẬT_LIỆU_CÁCH_NHIỆT</t>
        </is>
      </c>
      <c r="E451" t="inlineStr">
        <is>
          <t>MAT-FIREBOARD-20MM-BLADE</t>
        </is>
      </c>
      <c r="F451" t="inlineStr">
        <is>
          <t>m2</t>
        </is>
      </c>
      <c r="G451" s="406" t="n">
        <v>0.304408389261745</v>
      </c>
      <c r="H451" s="402">
        <f>IFERROR(INDEX('00_TONG_HOP_BAO_GIA'!$G$1:$G$5000, MATCH(B451, '00_TONG_HOP_BAO_GIA'!$B$1:$B$5000, 0)), 1)</f>
        <v/>
      </c>
      <c r="I451" s="407">
        <f>G451*H451</f>
        <v/>
      </c>
      <c r="J451" s="402">
        <f>IFERROR(INDEX('06_BANG_GIA_VAT_TU_AP_DUNG'!$E$1:$E$5000, MATCH(E451, '06_BANG_GIA_VAT_TU_AP_DUNG'!$B$1:$B$5000, 0)), 0)</f>
        <v/>
      </c>
      <c r="K451" s="402">
        <f>I451*J451</f>
        <v/>
      </c>
      <c r="L451" t="inlineStr">
        <is>
          <t>Lõi cánh tấm 20mm (Đa cánh hệ số (H-5)/149=3.99, bản rộng 210mm, hao hụt 10%)</t>
        </is>
      </c>
    </row>
    <row r="452">
      <c r="A452" t="inlineStr">
        <is>
          <t>SW-DAMPER-075-FB10-BLADE</t>
        </is>
      </c>
      <c r="B452" t="inlineStr">
        <is>
          <t>SW-DAMPER-075</t>
        </is>
      </c>
      <c r="C452" t="inlineStr">
        <is>
          <t>Tấm chống cháy dày 10mm ốp 2 mặt cánh van FD/MFD</t>
        </is>
      </c>
      <c r="D452" t="inlineStr">
        <is>
          <t>VẬT_LIỆU_CÁCH_NHIỆT</t>
        </is>
      </c>
      <c r="E452" t="inlineStr">
        <is>
          <t>MAT-FIREBOARD-10MM-BLADE</t>
        </is>
      </c>
      <c r="F452" t="inlineStr">
        <is>
          <t>m2</t>
        </is>
      </c>
      <c r="G452" s="406" t="n">
        <v>0.6457147651006712</v>
      </c>
      <c r="H452" s="402">
        <f>IFERROR(INDEX('00_TONG_HOP_BAO_GIA'!$G$1:$G$5000, MATCH(B452, '00_TONG_HOP_BAO_GIA'!$B$1:$B$5000, 0)), 1)</f>
        <v/>
      </c>
      <c r="I452" s="407">
        <f>G452*H452</f>
        <v/>
      </c>
      <c r="J452" s="402">
        <f>IFERROR(INDEX('06_BANG_GIA_VAT_TU_AP_DUNG'!$E$1:$E$5000, MATCH(E452, '06_BANG_GIA_VAT_TU_AP_DUNG'!$B$1:$B$5000, 0)), 0)</f>
        <v/>
      </c>
      <c r="K452" s="402">
        <f>I452*J452</f>
        <v/>
      </c>
      <c r="L452" t="inlineStr">
        <is>
          <t>Ốp 2 mặt cánh tấm 10mm (Đa cánh hệ số (H-5)/149=3.99, bản rộng 210mm, hao hụt 10%)</t>
        </is>
      </c>
    </row>
    <row r="453">
      <c r="A453" t="inlineStr">
        <is>
          <t>SW-DAMPER-075-SPRING-BOX</t>
        </is>
      </c>
      <c r="B453" t="inlineStr">
        <is>
          <t>SW-DAMPER-075</t>
        </is>
      </c>
      <c r="C453" t="inlineStr">
        <is>
          <t>Hộp lò xo van chặn lửa FD/MFD</t>
        </is>
      </c>
      <c r="D453" t="inlineStr">
        <is>
          <t>PHỤ_KIỆN_VAN</t>
        </is>
      </c>
      <c r="E453" t="inlineStr">
        <is>
          <t>MAT-DAMPER-HOP-LO-XO</t>
        </is>
      </c>
      <c r="F453" t="inlineStr">
        <is>
          <t>Bộ</t>
        </is>
      </c>
      <c r="G453" s="406" t="n">
        <v>1</v>
      </c>
      <c r="H453" s="402">
        <f>IFERROR(INDEX('00_TONG_HOP_BAO_GIA'!$G$1:$G$5000, MATCH(B453, '00_TONG_HOP_BAO_GIA'!$B$1:$B$5000, 0)), 1)</f>
        <v/>
      </c>
      <c r="I453" s="407">
        <f>G453*H453</f>
        <v/>
      </c>
      <c r="J453" s="402">
        <f>IFERROR(INDEX('06_BANG_GIA_VAT_TU_AP_DUNG'!$E$1:$E$5000, MATCH(E453, '06_BANG_GIA_VAT_TU_AP_DUNG'!$B$1:$B$5000, 0)), 0)</f>
        <v/>
      </c>
      <c r="K453" s="402">
        <f>I453*J453</f>
        <v/>
      </c>
      <c r="L453" t="inlineStr">
        <is>
          <t>Hộp lò xo cơ cấu đóng sập (1 bộ)</t>
        </is>
      </c>
    </row>
    <row r="454">
      <c r="A454" t="inlineStr">
        <is>
          <t>SW-DAMPER-075-SILICON-BOLT</t>
        </is>
      </c>
      <c r="B454" t="inlineStr">
        <is>
          <t>SW-DAMPER-075</t>
        </is>
      </c>
      <c r="C454" t="inlineStr">
        <is>
          <t>Silicon chống cháy + bu lông, ốc vít van FD/MFD</t>
        </is>
      </c>
      <c r="D454" t="inlineStr">
        <is>
          <t>PHỤ_KIỆN_VAN</t>
        </is>
      </c>
      <c r="E454" t="inlineStr">
        <is>
          <t>MAT-DAMPER-SILICON-BULONG-VIT</t>
        </is>
      </c>
      <c r="F454" t="inlineStr">
        <is>
          <t>Bộ</t>
        </is>
      </c>
      <c r="G454" s="406" t="n">
        <v>1</v>
      </c>
      <c r="H454" s="402">
        <f>IFERROR(INDEX('00_TONG_HOP_BAO_GIA'!$G$1:$G$5000, MATCH(B454, '00_TONG_HOP_BAO_GIA'!$B$1:$B$5000, 0)), 1)</f>
        <v/>
      </c>
      <c r="I454" s="407">
        <f>G454*H454</f>
        <v/>
      </c>
      <c r="J454" s="402">
        <f>IFERROR(INDEX('06_BANG_GIA_VAT_TU_AP_DUNG'!$E$1:$E$5000, MATCH(E454, '06_BANG_GIA_VAT_TU_AP_DUNG'!$B$1:$B$5000, 0)), 0)</f>
        <v/>
      </c>
      <c r="K454" s="402">
        <f>I454*J454</f>
        <v/>
      </c>
      <c r="L454" t="inlineStr">
        <is>
          <t>Keo silicon chống cháy &amp; phụ kiện lắp ghép (1 bộ)</t>
        </is>
      </c>
    </row>
    <row r="455">
      <c r="A455" t="inlineStr">
        <is>
          <t>SW-DAMPER-076-BODY</t>
        </is>
      </c>
      <c r="B455" t="inlineStr">
        <is>
          <t>SW-DAMPER-076</t>
        </is>
      </c>
      <c r="C455" t="inlineStr">
        <is>
          <t>Thân vỏ van MFD bích C30/TDF (1.15mm)</t>
        </is>
      </c>
      <c r="D455" t="inlineStr">
        <is>
          <t>TÔN_CUỘN_MẠ_KẼM</t>
        </is>
      </c>
      <c r="E455" t="inlineStr">
        <is>
          <t>MAT-STEEL-PN-1.15</t>
        </is>
      </c>
      <c r="F455" t="inlineStr">
        <is>
          <t>kg</t>
        </is>
      </c>
      <c r="G455" s="406" t="n">
        <v>7.524330974999999</v>
      </c>
      <c r="H455" s="402">
        <f>IFERROR(INDEX('00_TONG_HOP_BAO_GIA'!$G$1:$G$5000, MATCH(B455, '00_TONG_HOP_BAO_GIA'!$B$1:$B$5000, 0)), 1)</f>
        <v/>
      </c>
      <c r="I455" s="407">
        <f>G455*H455</f>
        <v/>
      </c>
      <c r="J455" s="402">
        <f>IFERROR(INDEX('06_BANG_GIA_VAT_TU_AP_DUNG'!$E$1:$E$5000, MATCH(E455, '06_BANG_GIA_VAT_TU_AP_DUNG'!$B$1:$B$5000, 0)), 0)</f>
        <v/>
      </c>
      <c r="K455" s="402">
        <f>I455*J455</f>
        <v/>
      </c>
      <c r="L455" t="inlineStr">
        <is>
          <t>Kích thước vỏ 1100x350x200mm</t>
        </is>
      </c>
    </row>
    <row r="456">
      <c r="A456" t="inlineStr">
        <is>
          <t>SW-DAMPER-076-BLADE</t>
        </is>
      </c>
      <c r="B456" t="inlineStr">
        <is>
          <t>SW-DAMPER-076</t>
        </is>
      </c>
      <c r="C456" t="inlineStr">
        <is>
          <t>Lá cánh / Tôn tấm bọc van (2 cánh)</t>
        </is>
      </c>
      <c r="D456" t="inlineStr">
        <is>
          <t>TÔN_CUỘN_MẠ_KẼM</t>
        </is>
      </c>
      <c r="E456" t="inlineStr">
        <is>
          <t>MAT-STEEL-PN-1.15</t>
        </is>
      </c>
      <c r="F456" t="inlineStr">
        <is>
          <t>kg</t>
        </is>
      </c>
      <c r="G456" s="406" t="n">
        <v>6.951174999999998</v>
      </c>
      <c r="H456" s="402">
        <f>IFERROR(INDEX('00_TONG_HOP_BAO_GIA'!$G$1:$G$5000, MATCH(B456, '00_TONG_HOP_BAO_GIA'!$B$1:$B$5000, 0)), 1)</f>
        <v/>
      </c>
      <c r="I456" s="407">
        <f>G456*H456</f>
        <v/>
      </c>
      <c r="J456" s="402">
        <f>IFERROR(INDEX('06_BANG_GIA_VAT_TU_AP_DUNG'!$E$1:$E$5000, MATCH(E456, '06_BANG_GIA_VAT_TU_AP_DUNG'!$B$1:$B$5000, 0)), 0)</f>
        <v/>
      </c>
      <c r="K456" s="402">
        <f>I456*J456</f>
        <v/>
      </c>
      <c r="L456" t="inlineStr">
        <is>
          <t>Tôn bọc cánh &amp; thân (2 cánh/modul)</t>
        </is>
      </c>
    </row>
    <row r="457">
      <c r="A457" t="inlineStr">
        <is>
          <t>SW-DAMPER-076-AXLE</t>
        </is>
      </c>
      <c r="B457" t="inlineStr">
        <is>
          <t>SW-DAMPER-076</t>
        </is>
      </c>
      <c r="C457" t="inlineStr">
        <is>
          <t>Trục Sus 201 D10</t>
        </is>
      </c>
      <c r="D457" t="inlineStr">
        <is>
          <t>PHỤ_KIỆN_VAN</t>
        </is>
      </c>
      <c r="E457" t="inlineStr">
        <is>
          <t>MAT-DAMPER-TRUC-SUS-201-D10</t>
        </is>
      </c>
      <c r="F457" t="inlineStr">
        <is>
          <t>m</t>
        </is>
      </c>
      <c r="G457" s="406" t="n">
        <v>2.32</v>
      </c>
      <c r="H457" s="402">
        <f>IFERROR(INDEX('00_TONG_HOP_BAO_GIA'!$G$1:$G$5000, MATCH(B457, '00_TONG_HOP_BAO_GIA'!$B$1:$B$5000, 0)), 1)</f>
        <v/>
      </c>
      <c r="I457" s="407">
        <f>G457*H457</f>
        <v/>
      </c>
      <c r="J457" s="402">
        <f>IFERROR(INDEX('06_BANG_GIA_VAT_TU_AP_DUNG'!$E$1:$E$5000, MATCH(E457, '06_BANG_GIA_VAT_TU_AP_DUNG'!$B$1:$B$5000, 0)), 0)</f>
        <v/>
      </c>
      <c r="K457" s="402">
        <f>I457*J457</f>
        <v/>
      </c>
      <c r="L457" t="inlineStr">
        <is>
          <t>2 trục dài 1160mm</t>
        </is>
      </c>
    </row>
    <row r="458">
      <c r="A458" t="inlineStr">
        <is>
          <t>SW-DAMPER-076-BEARING</t>
        </is>
      </c>
      <c r="B458" t="inlineStr">
        <is>
          <t>SW-DAMPER-076</t>
        </is>
      </c>
      <c r="C458" t="inlineStr">
        <is>
          <t>Bạc đồng D10</t>
        </is>
      </c>
      <c r="D458" t="inlineStr">
        <is>
          <t>PHỤ_KIỆN_VAN</t>
        </is>
      </c>
      <c r="E458" t="inlineStr">
        <is>
          <t>MAT-DAMPER-BAC-DONG-D10</t>
        </is>
      </c>
      <c r="F458" t="inlineStr">
        <is>
          <t>Đôi</t>
        </is>
      </c>
      <c r="G458" s="406" t="n">
        <v>2</v>
      </c>
      <c r="H458" s="402">
        <f>IFERROR(INDEX('00_TONG_HOP_BAO_GIA'!$G$1:$G$5000, MATCH(B458, '00_TONG_HOP_BAO_GIA'!$B$1:$B$5000, 0)), 1)</f>
        <v/>
      </c>
      <c r="I458" s="407">
        <f>G458*H458</f>
        <v/>
      </c>
      <c r="J458" s="402">
        <f>IFERROR(INDEX('06_BANG_GIA_VAT_TU_AP_DUNG'!$E$1:$E$5000, MATCH(E458, '06_BANG_GIA_VAT_TU_AP_DUNG'!$B$1:$B$5000, 0)), 0)</f>
        <v/>
      </c>
      <c r="K458" s="402">
        <f>I458*J458</f>
        <v/>
      </c>
      <c r="L458" t="inlineStr">
        <is>
          <t>2 đôi bạc đỡ 2 bên thân</t>
        </is>
      </c>
    </row>
    <row r="459">
      <c r="A459" t="inlineStr">
        <is>
          <t>SW-DAMPER-076-GEAR</t>
        </is>
      </c>
      <c r="B459" t="inlineStr">
        <is>
          <t>SW-DAMPER-076</t>
        </is>
      </c>
      <c r="C459" t="inlineStr">
        <is>
          <t>Bánh răng van nhôm</t>
        </is>
      </c>
      <c r="D459" t="inlineStr">
        <is>
          <t>PHỤ_KIỆN_VAN</t>
        </is>
      </c>
      <c r="E459" t="inlineStr">
        <is>
          <t>MAT-DAMPER-BANH-RANG-VAN-NHOM</t>
        </is>
      </c>
      <c r="F459" t="inlineStr">
        <is>
          <t>Bộ</t>
        </is>
      </c>
      <c r="G459" s="406" t="n">
        <v>1</v>
      </c>
      <c r="H459" s="402">
        <f>IFERROR(INDEX('00_TONG_HOP_BAO_GIA'!$G$1:$G$5000, MATCH(B459, '00_TONG_HOP_BAO_GIA'!$B$1:$B$5000, 0)), 1)</f>
        <v/>
      </c>
      <c r="I459" s="407">
        <f>G459*H459</f>
        <v/>
      </c>
      <c r="J459" s="402">
        <f>IFERROR(INDEX('06_BANG_GIA_VAT_TU_AP_DUNG'!$E$1:$E$5000, MATCH(E459, '06_BANG_GIA_VAT_TU_AP_DUNG'!$B$1:$B$5000, 0)), 0)</f>
        <v/>
      </c>
      <c r="K459" s="402">
        <f>I459*J459</f>
        <v/>
      </c>
      <c r="L459" t="inlineStr">
        <is>
          <t>Cơ cấu liên động cánh (1 bộ)</t>
        </is>
      </c>
    </row>
    <row r="460">
      <c r="A460" t="inlineStr">
        <is>
          <t>SW-DAMPER-076-ACTUATOR</t>
        </is>
      </c>
      <c r="B460" t="inlineStr">
        <is>
          <t>SW-DAMPER-076</t>
        </is>
      </c>
      <c r="C460" t="inlineStr">
        <is>
          <t>Động cơ chặn lửa ON/OFF 9Nm, 230V/24V (BELIMO BFN24 / BFN230)</t>
        </is>
      </c>
      <c r="D460" t="inlineStr">
        <is>
          <t>ĐỘNG_CƠ_VÀ_CẢM_BIẾN</t>
        </is>
      </c>
      <c r="E460" t="inlineStr">
        <is>
          <t>MAT-ACTUATOR-BELIMO-BFN24</t>
        </is>
      </c>
      <c r="F460" t="inlineStr">
        <is>
          <t>Cái</t>
        </is>
      </c>
      <c r="G460" s="406" t="n">
        <v>1</v>
      </c>
      <c r="H460" s="402">
        <f>IFERROR(INDEX('00_TONG_HOP_BAO_GIA'!$G$1:$G$5000, MATCH(B460, '00_TONG_HOP_BAO_GIA'!$B$1:$B$5000, 0)), 1)</f>
        <v/>
      </c>
      <c r="I460" s="407">
        <f>G460*H460</f>
        <v/>
      </c>
      <c r="J460" s="402">
        <f>IFERROR(INDEX('06_BANG_GIA_VAT_TU_AP_DUNG'!$E$1:$E$5000, MATCH(E460, '06_BANG_GIA_VAT_TU_AP_DUNG'!$B$1:$B$5000, 0)), 0)</f>
        <v/>
      </c>
      <c r="K460" s="402">
        <f>I460*J460</f>
        <v/>
      </c>
      <c r="L460" t="inlineStr">
        <is>
          <t>Động cơ lò xo phản hồi MFD (1 bộ)</t>
        </is>
      </c>
    </row>
    <row r="461">
      <c r="A461" t="inlineStr">
        <is>
          <t>SW-DAMPER-076-FB10-BODY</t>
        </is>
      </c>
      <c r="B461" t="inlineStr">
        <is>
          <t>SW-DAMPER-076</t>
        </is>
      </c>
      <c r="C461" t="inlineStr">
        <is>
          <t>Tấm chống cháy dày 10mm bọc thân van FD/MFD (2 lớp)</t>
        </is>
      </c>
      <c r="D461" t="inlineStr">
        <is>
          <t>VẬT_LIỆU_CÁCH_NHIỆT</t>
        </is>
      </c>
      <c r="E461" t="inlineStr">
        <is>
          <t>MAT-FIREBOARD-10MM-BODY</t>
        </is>
      </c>
      <c r="F461" t="inlineStr">
        <is>
          <t>m2</t>
        </is>
      </c>
      <c r="G461" s="406" t="n">
        <v>1.74</v>
      </c>
      <c r="H461" s="402">
        <f>IFERROR(INDEX('00_TONG_HOP_BAO_GIA'!$G$1:$G$5000, MATCH(B461, '00_TONG_HOP_BAO_GIA'!$B$1:$B$5000, 0)), 1)</f>
        <v/>
      </c>
      <c r="I461" s="407">
        <f>G461*H461</f>
        <v/>
      </c>
      <c r="J461" s="402">
        <f>IFERROR(INDEX('06_BANG_GIA_VAT_TU_AP_DUNG'!$E$1:$E$5000, MATCH(E461, '06_BANG_GIA_VAT_TU_AP_DUNG'!$B$1:$B$5000, 0)), 0)</f>
        <v/>
      </c>
      <c r="K461" s="402">
        <f>I461*J461</f>
        <v/>
      </c>
      <c r="L461" t="inlineStr">
        <is>
          <t>Bọc 2 lớp tấm 10mm quanh thân L=300mm</t>
        </is>
      </c>
    </row>
    <row r="462">
      <c r="A462" t="inlineStr">
        <is>
          <t>SW-DAMPER-076-FB20-BLADE</t>
        </is>
      </c>
      <c r="B462" t="inlineStr">
        <is>
          <t>SW-DAMPER-076</t>
        </is>
      </c>
      <c r="C462" t="inlineStr">
        <is>
          <t>Tấm chống cháy dày 20mm làm lõi cánh van FD/MFD</t>
        </is>
      </c>
      <c r="D462" t="inlineStr">
        <is>
          <t>VẬT_LIỆU_CÁCH_NHIỆT</t>
        </is>
      </c>
      <c r="E462" t="inlineStr">
        <is>
          <t>MAT-FIREBOARD-20MM-BLADE</t>
        </is>
      </c>
      <c r="F462" t="inlineStr">
        <is>
          <t>m2</t>
        </is>
      </c>
      <c r="G462" s="406" t="n">
        <v>0.5776550335570471</v>
      </c>
      <c r="H462" s="402">
        <f>IFERROR(INDEX('00_TONG_HOP_BAO_GIA'!$G$1:$G$5000, MATCH(B462, '00_TONG_HOP_BAO_GIA'!$B$1:$B$5000, 0)), 1)</f>
        <v/>
      </c>
      <c r="I462" s="407">
        <f>G462*H462</f>
        <v/>
      </c>
      <c r="J462" s="402">
        <f>IFERROR(INDEX('06_BANG_GIA_VAT_TU_AP_DUNG'!$E$1:$E$5000, MATCH(E462, '06_BANG_GIA_VAT_TU_AP_DUNG'!$B$1:$B$5000, 0)), 0)</f>
        <v/>
      </c>
      <c r="K462" s="402">
        <f>I462*J462</f>
        <v/>
      </c>
      <c r="L462" t="inlineStr">
        <is>
          <t>Lõi cánh tấm 20mm (Đa cánh hệ số (H-5)/149=2.32, bản rộng 210mm, hao hụt 10%)</t>
        </is>
      </c>
    </row>
    <row r="463">
      <c r="A463" t="inlineStr">
        <is>
          <t>SW-DAMPER-076-FB10-BLADE</t>
        </is>
      </c>
      <c r="B463" t="inlineStr">
        <is>
          <t>SW-DAMPER-076</t>
        </is>
      </c>
      <c r="C463" t="inlineStr">
        <is>
          <t>Tấm chống cháy dày 10mm ốp 2 mặt cánh van FD/MFD</t>
        </is>
      </c>
      <c r="D463" t="inlineStr">
        <is>
          <t>VẬT_LIỆU_CÁCH_NHIỆT</t>
        </is>
      </c>
      <c r="E463" t="inlineStr">
        <is>
          <t>MAT-FIREBOARD-10MM-BLADE</t>
        </is>
      </c>
      <c r="F463" t="inlineStr">
        <is>
          <t>m2</t>
        </is>
      </c>
      <c r="G463" s="406" t="n">
        <v>1.176704697986577</v>
      </c>
      <c r="H463" s="402">
        <f>IFERROR(INDEX('00_TONG_HOP_BAO_GIA'!$G$1:$G$5000, MATCH(B463, '00_TONG_HOP_BAO_GIA'!$B$1:$B$5000, 0)), 1)</f>
        <v/>
      </c>
      <c r="I463" s="407">
        <f>G463*H463</f>
        <v/>
      </c>
      <c r="J463" s="402">
        <f>IFERROR(INDEX('06_BANG_GIA_VAT_TU_AP_DUNG'!$E$1:$E$5000, MATCH(E463, '06_BANG_GIA_VAT_TU_AP_DUNG'!$B$1:$B$5000, 0)), 0)</f>
        <v/>
      </c>
      <c r="K463" s="402">
        <f>I463*J463</f>
        <v/>
      </c>
      <c r="L463" t="inlineStr">
        <is>
          <t>Ốp 2 mặt cánh tấm 10mm (Đa cánh hệ số (H-5)/149=2.32, bản rộng 210mm, hao hụt 10%)</t>
        </is>
      </c>
    </row>
    <row r="464">
      <c r="A464" t="inlineStr">
        <is>
          <t>SW-DAMPER-076-SPRING-BOX</t>
        </is>
      </c>
      <c r="B464" t="inlineStr">
        <is>
          <t>SW-DAMPER-076</t>
        </is>
      </c>
      <c r="C464" t="inlineStr">
        <is>
          <t>Hộp lò xo van chặn lửa FD/MFD</t>
        </is>
      </c>
      <c r="D464" t="inlineStr">
        <is>
          <t>PHỤ_KIỆN_VAN</t>
        </is>
      </c>
      <c r="E464" t="inlineStr">
        <is>
          <t>MAT-DAMPER-HOP-LO-XO</t>
        </is>
      </c>
      <c r="F464" t="inlineStr">
        <is>
          <t>Bộ</t>
        </is>
      </c>
      <c r="G464" s="406" t="n">
        <v>1</v>
      </c>
      <c r="H464" s="402">
        <f>IFERROR(INDEX('00_TONG_HOP_BAO_GIA'!$G$1:$G$5000, MATCH(B464, '00_TONG_HOP_BAO_GIA'!$B$1:$B$5000, 0)), 1)</f>
        <v/>
      </c>
      <c r="I464" s="407">
        <f>G464*H464</f>
        <v/>
      </c>
      <c r="J464" s="402">
        <f>IFERROR(INDEX('06_BANG_GIA_VAT_TU_AP_DUNG'!$E$1:$E$5000, MATCH(E464, '06_BANG_GIA_VAT_TU_AP_DUNG'!$B$1:$B$5000, 0)), 0)</f>
        <v/>
      </c>
      <c r="K464" s="402">
        <f>I464*J464</f>
        <v/>
      </c>
      <c r="L464" t="inlineStr">
        <is>
          <t>Hộp lò xo cơ cấu đóng sập (1 bộ)</t>
        </is>
      </c>
    </row>
    <row r="465">
      <c r="A465" t="inlineStr">
        <is>
          <t>SW-DAMPER-076-SILICON-BOLT</t>
        </is>
      </c>
      <c r="B465" t="inlineStr">
        <is>
          <t>SW-DAMPER-076</t>
        </is>
      </c>
      <c r="C465" t="inlineStr">
        <is>
          <t>Silicon chống cháy + bu lông, ốc vít van FD/MFD</t>
        </is>
      </c>
      <c r="D465" t="inlineStr">
        <is>
          <t>PHỤ_KIỆN_VAN</t>
        </is>
      </c>
      <c r="E465" t="inlineStr">
        <is>
          <t>MAT-DAMPER-SILICON-BULONG-VIT</t>
        </is>
      </c>
      <c r="F465" t="inlineStr">
        <is>
          <t>Bộ</t>
        </is>
      </c>
      <c r="G465" s="406" t="n">
        <v>1</v>
      </c>
      <c r="H465" s="402">
        <f>IFERROR(INDEX('00_TONG_HOP_BAO_GIA'!$G$1:$G$5000, MATCH(B465, '00_TONG_HOP_BAO_GIA'!$B$1:$B$5000, 0)), 1)</f>
        <v/>
      </c>
      <c r="I465" s="407">
        <f>G465*H465</f>
        <v/>
      </c>
      <c r="J465" s="402">
        <f>IFERROR(INDEX('06_BANG_GIA_VAT_TU_AP_DUNG'!$E$1:$E$5000, MATCH(E465, '06_BANG_GIA_VAT_TU_AP_DUNG'!$B$1:$B$5000, 0)), 0)</f>
        <v/>
      </c>
      <c r="K465" s="402">
        <f>I465*J465</f>
        <v/>
      </c>
      <c r="L465" t="inlineStr">
        <is>
          <t>Keo silicon chống cháy &amp; phụ kiện lắp ghép (1 bộ)</t>
        </is>
      </c>
    </row>
    <row r="466">
      <c r="A466" t="inlineStr">
        <is>
          <t>SW-DAMPER-077-BODY</t>
        </is>
      </c>
      <c r="B466" t="inlineStr">
        <is>
          <t>SW-DAMPER-077</t>
        </is>
      </c>
      <c r="C466" t="inlineStr">
        <is>
          <t>Thân vỏ van MFD bích C30/TDF (1.15mm)</t>
        </is>
      </c>
      <c r="D466" t="inlineStr">
        <is>
          <t>TÔN_CUỘN_MẠ_KẼM</t>
        </is>
      </c>
      <c r="E466" t="inlineStr">
        <is>
          <t>MAT-STEEL-PN-1.15</t>
        </is>
      </c>
      <c r="F466" t="inlineStr">
        <is>
          <t>kg</t>
        </is>
      </c>
      <c r="G466" s="406" t="n">
        <v>7.012471725</v>
      </c>
      <c r="H466" s="402">
        <f>IFERROR(INDEX('00_TONG_HOP_BAO_GIA'!$G$1:$G$5000, MATCH(B466, '00_TONG_HOP_BAO_GIA'!$B$1:$B$5000, 0)), 1)</f>
        <v/>
      </c>
      <c r="I466" s="407">
        <f>G466*H466</f>
        <v/>
      </c>
      <c r="J466" s="402">
        <f>IFERROR(INDEX('06_BANG_GIA_VAT_TU_AP_DUNG'!$E$1:$E$5000, MATCH(E466, '06_BANG_GIA_VAT_TU_AP_DUNG'!$B$1:$B$5000, 0)), 0)</f>
        <v/>
      </c>
      <c r="K466" s="402">
        <f>I466*J466</f>
        <v/>
      </c>
      <c r="L466" t="inlineStr">
        <is>
          <t>Kích thước vỏ 1000x350x200mm</t>
        </is>
      </c>
    </row>
    <row r="467">
      <c r="A467" t="inlineStr">
        <is>
          <t>SW-DAMPER-077-BLADE</t>
        </is>
      </c>
      <c r="B467" t="inlineStr">
        <is>
          <t>SW-DAMPER-077</t>
        </is>
      </c>
      <c r="C467" t="inlineStr">
        <is>
          <t>Lá cánh / Tôn tấm bọc van (2 cánh)</t>
        </is>
      </c>
      <c r="D467" t="inlineStr">
        <is>
          <t>TÔN_CUỘN_MẠ_KẼM</t>
        </is>
      </c>
      <c r="E467" t="inlineStr">
        <is>
          <t>MAT-STEEL-PN-1.15</t>
        </is>
      </c>
      <c r="F467" t="inlineStr">
        <is>
          <t>kg</t>
        </is>
      </c>
      <c r="G467" s="406" t="n">
        <v>6.319249999999998</v>
      </c>
      <c r="H467" s="402">
        <f>IFERROR(INDEX('00_TONG_HOP_BAO_GIA'!$G$1:$G$5000, MATCH(B467, '00_TONG_HOP_BAO_GIA'!$B$1:$B$5000, 0)), 1)</f>
        <v/>
      </c>
      <c r="I467" s="407">
        <f>G467*H467</f>
        <v/>
      </c>
      <c r="J467" s="402">
        <f>IFERROR(INDEX('06_BANG_GIA_VAT_TU_AP_DUNG'!$E$1:$E$5000, MATCH(E467, '06_BANG_GIA_VAT_TU_AP_DUNG'!$B$1:$B$5000, 0)), 0)</f>
        <v/>
      </c>
      <c r="K467" s="402">
        <f>I467*J467</f>
        <v/>
      </c>
      <c r="L467" t="inlineStr">
        <is>
          <t>Tôn bọc cánh &amp; thân (2 cánh/modul)</t>
        </is>
      </c>
    </row>
    <row r="468">
      <c r="A468" t="inlineStr">
        <is>
          <t>SW-DAMPER-077-AXLE</t>
        </is>
      </c>
      <c r="B468" t="inlineStr">
        <is>
          <t>SW-DAMPER-077</t>
        </is>
      </c>
      <c r="C468" t="inlineStr">
        <is>
          <t>Trục Sus 201 D10</t>
        </is>
      </c>
      <c r="D468" t="inlineStr">
        <is>
          <t>PHỤ_KIỆN_VAN</t>
        </is>
      </c>
      <c r="E468" t="inlineStr">
        <is>
          <t>MAT-DAMPER-TRUC-SUS-201-D10</t>
        </is>
      </c>
      <c r="F468" t="inlineStr">
        <is>
          <t>m</t>
        </is>
      </c>
      <c r="G468" s="406" t="n">
        <v>2.12</v>
      </c>
      <c r="H468" s="402">
        <f>IFERROR(INDEX('00_TONG_HOP_BAO_GIA'!$G$1:$G$5000, MATCH(B468, '00_TONG_HOP_BAO_GIA'!$B$1:$B$5000, 0)), 1)</f>
        <v/>
      </c>
      <c r="I468" s="407">
        <f>G468*H468</f>
        <v/>
      </c>
      <c r="J468" s="402">
        <f>IFERROR(INDEX('06_BANG_GIA_VAT_TU_AP_DUNG'!$E$1:$E$5000, MATCH(E468, '06_BANG_GIA_VAT_TU_AP_DUNG'!$B$1:$B$5000, 0)), 0)</f>
        <v/>
      </c>
      <c r="K468" s="402">
        <f>I468*J468</f>
        <v/>
      </c>
      <c r="L468" t="inlineStr">
        <is>
          <t>2 trục dài 1060mm</t>
        </is>
      </c>
    </row>
    <row r="469">
      <c r="A469" t="inlineStr">
        <is>
          <t>SW-DAMPER-077-BEARING</t>
        </is>
      </c>
      <c r="B469" t="inlineStr">
        <is>
          <t>SW-DAMPER-077</t>
        </is>
      </c>
      <c r="C469" t="inlineStr">
        <is>
          <t>Bạc đồng D10</t>
        </is>
      </c>
      <c r="D469" t="inlineStr">
        <is>
          <t>PHỤ_KIỆN_VAN</t>
        </is>
      </c>
      <c r="E469" t="inlineStr">
        <is>
          <t>MAT-DAMPER-BAC-DONG-D10</t>
        </is>
      </c>
      <c r="F469" t="inlineStr">
        <is>
          <t>Đôi</t>
        </is>
      </c>
      <c r="G469" s="406" t="n">
        <v>2</v>
      </c>
      <c r="H469" s="402">
        <f>IFERROR(INDEX('00_TONG_HOP_BAO_GIA'!$G$1:$G$5000, MATCH(B469, '00_TONG_HOP_BAO_GIA'!$B$1:$B$5000, 0)), 1)</f>
        <v/>
      </c>
      <c r="I469" s="407">
        <f>G469*H469</f>
        <v/>
      </c>
      <c r="J469" s="402">
        <f>IFERROR(INDEX('06_BANG_GIA_VAT_TU_AP_DUNG'!$E$1:$E$5000, MATCH(E469, '06_BANG_GIA_VAT_TU_AP_DUNG'!$B$1:$B$5000, 0)), 0)</f>
        <v/>
      </c>
      <c r="K469" s="402">
        <f>I469*J469</f>
        <v/>
      </c>
      <c r="L469" t="inlineStr">
        <is>
          <t>2 đôi bạc đỡ 2 bên thân</t>
        </is>
      </c>
    </row>
    <row r="470">
      <c r="A470" t="inlineStr">
        <is>
          <t>SW-DAMPER-077-GEAR</t>
        </is>
      </c>
      <c r="B470" t="inlineStr">
        <is>
          <t>SW-DAMPER-077</t>
        </is>
      </c>
      <c r="C470" t="inlineStr">
        <is>
          <t>Bánh răng van nhôm</t>
        </is>
      </c>
      <c r="D470" t="inlineStr">
        <is>
          <t>PHỤ_KIỆN_VAN</t>
        </is>
      </c>
      <c r="E470" t="inlineStr">
        <is>
          <t>MAT-DAMPER-BANH-RANG-VAN-NHOM</t>
        </is>
      </c>
      <c r="F470" t="inlineStr">
        <is>
          <t>Bộ</t>
        </is>
      </c>
      <c r="G470" s="406" t="n">
        <v>1</v>
      </c>
      <c r="H470" s="402">
        <f>IFERROR(INDEX('00_TONG_HOP_BAO_GIA'!$G$1:$G$5000, MATCH(B470, '00_TONG_HOP_BAO_GIA'!$B$1:$B$5000, 0)), 1)</f>
        <v/>
      </c>
      <c r="I470" s="407">
        <f>G470*H470</f>
        <v/>
      </c>
      <c r="J470" s="402">
        <f>IFERROR(INDEX('06_BANG_GIA_VAT_TU_AP_DUNG'!$E$1:$E$5000, MATCH(E470, '06_BANG_GIA_VAT_TU_AP_DUNG'!$B$1:$B$5000, 0)), 0)</f>
        <v/>
      </c>
      <c r="K470" s="402">
        <f>I470*J470</f>
        <v/>
      </c>
      <c r="L470" t="inlineStr">
        <is>
          <t>Cơ cấu liên động cánh (1 bộ)</t>
        </is>
      </c>
    </row>
    <row r="471">
      <c r="A471" t="inlineStr">
        <is>
          <t>SW-DAMPER-077-ACTUATOR</t>
        </is>
      </c>
      <c r="B471" t="inlineStr">
        <is>
          <t>SW-DAMPER-077</t>
        </is>
      </c>
      <c r="C471" t="inlineStr">
        <is>
          <t>Động cơ chặn lửa ON/OFF 9Nm, 230V/24V (BELIMO BFN24 / BFN230)</t>
        </is>
      </c>
      <c r="D471" t="inlineStr">
        <is>
          <t>ĐỘNG_CƠ_VÀ_CẢM_BIẾN</t>
        </is>
      </c>
      <c r="E471" t="inlineStr">
        <is>
          <t>MAT-ACTUATOR-BELIMO-BFN24</t>
        </is>
      </c>
      <c r="F471" t="inlineStr">
        <is>
          <t>Cái</t>
        </is>
      </c>
      <c r="G471" s="406" t="n">
        <v>1</v>
      </c>
      <c r="H471" s="402">
        <f>IFERROR(INDEX('00_TONG_HOP_BAO_GIA'!$G$1:$G$5000, MATCH(B471, '00_TONG_HOP_BAO_GIA'!$B$1:$B$5000, 0)), 1)</f>
        <v/>
      </c>
      <c r="I471" s="407">
        <f>G471*H471</f>
        <v/>
      </c>
      <c r="J471" s="402">
        <f>IFERROR(INDEX('06_BANG_GIA_VAT_TU_AP_DUNG'!$E$1:$E$5000, MATCH(E471, '06_BANG_GIA_VAT_TU_AP_DUNG'!$B$1:$B$5000, 0)), 0)</f>
        <v/>
      </c>
      <c r="K471" s="402">
        <f>I471*J471</f>
        <v/>
      </c>
      <c r="L471" t="inlineStr">
        <is>
          <t>Động cơ lò xo phản hồi MFD (1 bộ)</t>
        </is>
      </c>
    </row>
    <row r="472">
      <c r="A472" t="inlineStr">
        <is>
          <t>SW-DAMPER-077-FB10-BODY</t>
        </is>
      </c>
      <c r="B472" t="inlineStr">
        <is>
          <t>SW-DAMPER-077</t>
        </is>
      </c>
      <c r="C472" t="inlineStr">
        <is>
          <t>Tấm chống cháy dày 10mm bọc thân van FD/MFD (2 lớp)</t>
        </is>
      </c>
      <c r="D472" t="inlineStr">
        <is>
          <t>VẬT_LIỆU_CÁCH_NHIỆT</t>
        </is>
      </c>
      <c r="E472" t="inlineStr">
        <is>
          <t>MAT-FIREBOARD-10MM-BODY</t>
        </is>
      </c>
      <c r="F472" t="inlineStr">
        <is>
          <t>m2</t>
        </is>
      </c>
      <c r="G472" s="406" t="n">
        <v>1.62</v>
      </c>
      <c r="H472" s="402">
        <f>IFERROR(INDEX('00_TONG_HOP_BAO_GIA'!$G$1:$G$5000, MATCH(B472, '00_TONG_HOP_BAO_GIA'!$B$1:$B$5000, 0)), 1)</f>
        <v/>
      </c>
      <c r="I472" s="407">
        <f>G472*H472</f>
        <v/>
      </c>
      <c r="J472" s="402">
        <f>IFERROR(INDEX('06_BANG_GIA_VAT_TU_AP_DUNG'!$E$1:$E$5000, MATCH(E472, '06_BANG_GIA_VAT_TU_AP_DUNG'!$B$1:$B$5000, 0)), 0)</f>
        <v/>
      </c>
      <c r="K472" s="402">
        <f>I472*J472</f>
        <v/>
      </c>
      <c r="L472" t="inlineStr">
        <is>
          <t>Bọc 2 lớp tấm 10mm quanh thân L=300mm</t>
        </is>
      </c>
    </row>
    <row r="473">
      <c r="A473" t="inlineStr">
        <is>
          <t>SW-DAMPER-077-FB20-BLADE</t>
        </is>
      </c>
      <c r="B473" t="inlineStr">
        <is>
          <t>SW-DAMPER-077</t>
        </is>
      </c>
      <c r="C473" t="inlineStr">
        <is>
          <t>Tấm chống cháy dày 20mm làm lõi cánh van FD/MFD</t>
        </is>
      </c>
      <c r="D473" t="inlineStr">
        <is>
          <t>VẬT_LIỆU_CÁCH_NHIỆT</t>
        </is>
      </c>
      <c r="E473" t="inlineStr">
        <is>
          <t>MAT-FIREBOARD-20MM-BLADE</t>
        </is>
      </c>
      <c r="F473" t="inlineStr">
        <is>
          <t>m2</t>
        </is>
      </c>
      <c r="G473" s="406" t="n">
        <v>0.524168456375839</v>
      </c>
      <c r="H473" s="402">
        <f>IFERROR(INDEX('00_TONG_HOP_BAO_GIA'!$G$1:$G$5000, MATCH(B473, '00_TONG_HOP_BAO_GIA'!$B$1:$B$5000, 0)), 1)</f>
        <v/>
      </c>
      <c r="I473" s="407">
        <f>G473*H473</f>
        <v/>
      </c>
      <c r="J473" s="402">
        <f>IFERROR(INDEX('06_BANG_GIA_VAT_TU_AP_DUNG'!$E$1:$E$5000, MATCH(E473, '06_BANG_GIA_VAT_TU_AP_DUNG'!$B$1:$B$5000, 0)), 0)</f>
        <v/>
      </c>
      <c r="K473" s="402">
        <f>I473*J473</f>
        <v/>
      </c>
      <c r="L473" t="inlineStr">
        <is>
          <t>Lõi cánh tấm 20mm (Đa cánh hệ số (H-5)/149=2.32, bản rộng 210mm, hao hụt 10%)</t>
        </is>
      </c>
    </row>
    <row r="474">
      <c r="A474" t="inlineStr">
        <is>
          <t>SW-DAMPER-077-FB10-BLADE</t>
        </is>
      </c>
      <c r="B474" t="inlineStr">
        <is>
          <t>SW-DAMPER-077</t>
        </is>
      </c>
      <c r="C474" t="inlineStr">
        <is>
          <t>Tấm chống cháy dày 10mm ốp 2 mặt cánh van FD/MFD</t>
        </is>
      </c>
      <c r="D474" t="inlineStr">
        <is>
          <t>VẬT_LIỆU_CÁCH_NHIỆT</t>
        </is>
      </c>
      <c r="E474" t="inlineStr">
        <is>
          <t>MAT-FIREBOARD-10MM-BLADE</t>
        </is>
      </c>
      <c r="F474" t="inlineStr">
        <is>
          <t>m2</t>
        </is>
      </c>
      <c r="G474" s="406" t="n">
        <v>1.069731543624161</v>
      </c>
      <c r="H474" s="402">
        <f>IFERROR(INDEX('00_TONG_HOP_BAO_GIA'!$G$1:$G$5000, MATCH(B474, '00_TONG_HOP_BAO_GIA'!$B$1:$B$5000, 0)), 1)</f>
        <v/>
      </c>
      <c r="I474" s="407">
        <f>G474*H474</f>
        <v/>
      </c>
      <c r="J474" s="402">
        <f>IFERROR(INDEX('06_BANG_GIA_VAT_TU_AP_DUNG'!$E$1:$E$5000, MATCH(E474, '06_BANG_GIA_VAT_TU_AP_DUNG'!$B$1:$B$5000, 0)), 0)</f>
        <v/>
      </c>
      <c r="K474" s="402">
        <f>I474*J474</f>
        <v/>
      </c>
      <c r="L474" t="inlineStr">
        <is>
          <t>Ốp 2 mặt cánh tấm 10mm (Đa cánh hệ số (H-5)/149=2.32, bản rộng 210mm, hao hụt 10%)</t>
        </is>
      </c>
    </row>
    <row r="475">
      <c r="A475" t="inlineStr">
        <is>
          <t>SW-DAMPER-077-SPRING-BOX</t>
        </is>
      </c>
      <c r="B475" t="inlineStr">
        <is>
          <t>SW-DAMPER-077</t>
        </is>
      </c>
      <c r="C475" t="inlineStr">
        <is>
          <t>Hộp lò xo van chặn lửa FD/MFD</t>
        </is>
      </c>
      <c r="D475" t="inlineStr">
        <is>
          <t>PHỤ_KIỆN_VAN</t>
        </is>
      </c>
      <c r="E475" t="inlineStr">
        <is>
          <t>MAT-DAMPER-HOP-LO-XO</t>
        </is>
      </c>
      <c r="F475" t="inlineStr">
        <is>
          <t>Bộ</t>
        </is>
      </c>
      <c r="G475" s="406" t="n">
        <v>1</v>
      </c>
      <c r="H475" s="402">
        <f>IFERROR(INDEX('00_TONG_HOP_BAO_GIA'!$G$1:$G$5000, MATCH(B475, '00_TONG_HOP_BAO_GIA'!$B$1:$B$5000, 0)), 1)</f>
        <v/>
      </c>
      <c r="I475" s="407">
        <f>G475*H475</f>
        <v/>
      </c>
      <c r="J475" s="402">
        <f>IFERROR(INDEX('06_BANG_GIA_VAT_TU_AP_DUNG'!$E$1:$E$5000, MATCH(E475, '06_BANG_GIA_VAT_TU_AP_DUNG'!$B$1:$B$5000, 0)), 0)</f>
        <v/>
      </c>
      <c r="K475" s="402">
        <f>I475*J475</f>
        <v/>
      </c>
      <c r="L475" t="inlineStr">
        <is>
          <t>Hộp lò xo cơ cấu đóng sập (1 bộ)</t>
        </is>
      </c>
    </row>
    <row r="476">
      <c r="A476" t="inlineStr">
        <is>
          <t>SW-DAMPER-077-SILICON-BOLT</t>
        </is>
      </c>
      <c r="B476" t="inlineStr">
        <is>
          <t>SW-DAMPER-077</t>
        </is>
      </c>
      <c r="C476" t="inlineStr">
        <is>
          <t>Silicon chống cháy + bu lông, ốc vít van FD/MFD</t>
        </is>
      </c>
      <c r="D476" t="inlineStr">
        <is>
          <t>PHỤ_KIỆN_VAN</t>
        </is>
      </c>
      <c r="E476" t="inlineStr">
        <is>
          <t>MAT-DAMPER-SILICON-BULONG-VIT</t>
        </is>
      </c>
      <c r="F476" t="inlineStr">
        <is>
          <t>Bộ</t>
        </is>
      </c>
      <c r="G476" s="406" t="n">
        <v>1</v>
      </c>
      <c r="H476" s="402">
        <f>IFERROR(INDEX('00_TONG_HOP_BAO_GIA'!$G$1:$G$5000, MATCH(B476, '00_TONG_HOP_BAO_GIA'!$B$1:$B$5000, 0)), 1)</f>
        <v/>
      </c>
      <c r="I476" s="407">
        <f>G476*H476</f>
        <v/>
      </c>
      <c r="J476" s="402">
        <f>IFERROR(INDEX('06_BANG_GIA_VAT_TU_AP_DUNG'!$E$1:$E$5000, MATCH(E476, '06_BANG_GIA_VAT_TU_AP_DUNG'!$B$1:$B$5000, 0)), 0)</f>
        <v/>
      </c>
      <c r="K476" s="402">
        <f>I476*J476</f>
        <v/>
      </c>
      <c r="L476" t="inlineStr">
        <is>
          <t>Keo silicon chống cháy &amp; phụ kiện lắp ghép (1 bộ)</t>
        </is>
      </c>
    </row>
    <row r="477">
      <c r="A477" t="inlineStr">
        <is>
          <t>SW-DAMPER-078-BODY</t>
        </is>
      </c>
      <c r="B477" t="inlineStr">
        <is>
          <t>SW-DAMPER-078</t>
        </is>
      </c>
      <c r="C477" t="inlineStr">
        <is>
          <t>Thân vỏ van MFD bích C30/TDF (1.15mm)</t>
        </is>
      </c>
      <c r="D477" t="inlineStr">
        <is>
          <t>TÔN_CUỘN_MẠ_KẼM</t>
        </is>
      </c>
      <c r="E477" t="inlineStr">
        <is>
          <t>MAT-STEEL-PN-1.15</t>
        </is>
      </c>
      <c r="F477" t="inlineStr">
        <is>
          <t>kg</t>
        </is>
      </c>
      <c r="G477" s="406" t="n">
        <v>5.732823600000001</v>
      </c>
      <c r="H477" s="402">
        <f>IFERROR(INDEX('00_TONG_HOP_BAO_GIA'!$G$1:$G$5000, MATCH(B477, '00_TONG_HOP_BAO_GIA'!$B$1:$B$5000, 0)), 1)</f>
        <v/>
      </c>
      <c r="I477" s="407">
        <f>G477*H477</f>
        <v/>
      </c>
      <c r="J477" s="402">
        <f>IFERROR(INDEX('06_BANG_GIA_VAT_TU_AP_DUNG'!$E$1:$E$5000, MATCH(E477, '06_BANG_GIA_VAT_TU_AP_DUNG'!$B$1:$B$5000, 0)), 0)</f>
        <v/>
      </c>
      <c r="K477" s="402">
        <f>I477*J477</f>
        <v/>
      </c>
      <c r="L477" t="inlineStr">
        <is>
          <t>Kích thước vỏ 800x300x200mm</t>
        </is>
      </c>
    </row>
    <row r="478">
      <c r="A478" t="inlineStr">
        <is>
          <t>SW-DAMPER-078-BLADE</t>
        </is>
      </c>
      <c r="B478" t="inlineStr">
        <is>
          <t>SW-DAMPER-078</t>
        </is>
      </c>
      <c r="C478" t="inlineStr">
        <is>
          <t>Lá cánh / Tôn tấm bọc van (2 cánh)</t>
        </is>
      </c>
      <c r="D478" t="inlineStr">
        <is>
          <t>TÔN_CUỘN_MẠ_KẼM</t>
        </is>
      </c>
      <c r="E478" t="inlineStr">
        <is>
          <t>MAT-STEEL-PN-1.15</t>
        </is>
      </c>
      <c r="F478" t="inlineStr">
        <is>
          <t>kg</t>
        </is>
      </c>
      <c r="G478" s="406" t="n">
        <v>4.333199999999999</v>
      </c>
      <c r="H478" s="402">
        <f>IFERROR(INDEX('00_TONG_HOP_BAO_GIA'!$G$1:$G$5000, MATCH(B478, '00_TONG_HOP_BAO_GIA'!$B$1:$B$5000, 0)), 1)</f>
        <v/>
      </c>
      <c r="I478" s="407">
        <f>G478*H478</f>
        <v/>
      </c>
      <c r="J478" s="402">
        <f>IFERROR(INDEX('06_BANG_GIA_VAT_TU_AP_DUNG'!$E$1:$E$5000, MATCH(E478, '06_BANG_GIA_VAT_TU_AP_DUNG'!$B$1:$B$5000, 0)), 0)</f>
        <v/>
      </c>
      <c r="K478" s="402">
        <f>I478*J478</f>
        <v/>
      </c>
      <c r="L478" t="inlineStr">
        <is>
          <t>Tôn bọc cánh &amp; thân (2 cánh/modul)</t>
        </is>
      </c>
    </row>
    <row r="479">
      <c r="A479" t="inlineStr">
        <is>
          <t>SW-DAMPER-078-AXLE</t>
        </is>
      </c>
      <c r="B479" t="inlineStr">
        <is>
          <t>SW-DAMPER-078</t>
        </is>
      </c>
      <c r="C479" t="inlineStr">
        <is>
          <t>Trục Sus 201 D10</t>
        </is>
      </c>
      <c r="D479" t="inlineStr">
        <is>
          <t>PHỤ_KIỆN_VAN</t>
        </is>
      </c>
      <c r="E479" t="inlineStr">
        <is>
          <t>MAT-DAMPER-TRUC-SUS-201-D10</t>
        </is>
      </c>
      <c r="F479" t="inlineStr">
        <is>
          <t>m</t>
        </is>
      </c>
      <c r="G479" s="406" t="n">
        <v>1.72</v>
      </c>
      <c r="H479" s="402">
        <f>IFERROR(INDEX('00_TONG_HOP_BAO_GIA'!$G$1:$G$5000, MATCH(B479, '00_TONG_HOP_BAO_GIA'!$B$1:$B$5000, 0)), 1)</f>
        <v/>
      </c>
      <c r="I479" s="407">
        <f>G479*H479</f>
        <v/>
      </c>
      <c r="J479" s="402">
        <f>IFERROR(INDEX('06_BANG_GIA_VAT_TU_AP_DUNG'!$E$1:$E$5000, MATCH(E479, '06_BANG_GIA_VAT_TU_AP_DUNG'!$B$1:$B$5000, 0)), 0)</f>
        <v/>
      </c>
      <c r="K479" s="402">
        <f>I479*J479</f>
        <v/>
      </c>
      <c r="L479" t="inlineStr">
        <is>
          <t>2 trục dài 860mm</t>
        </is>
      </c>
    </row>
    <row r="480">
      <c r="A480" t="inlineStr">
        <is>
          <t>SW-DAMPER-078-BEARING</t>
        </is>
      </c>
      <c r="B480" t="inlineStr">
        <is>
          <t>SW-DAMPER-078</t>
        </is>
      </c>
      <c r="C480" t="inlineStr">
        <is>
          <t>Bạc đồng D10</t>
        </is>
      </c>
      <c r="D480" t="inlineStr">
        <is>
          <t>PHỤ_KIỆN_VAN</t>
        </is>
      </c>
      <c r="E480" t="inlineStr">
        <is>
          <t>MAT-DAMPER-BAC-DONG-D10</t>
        </is>
      </c>
      <c r="F480" t="inlineStr">
        <is>
          <t>Đôi</t>
        </is>
      </c>
      <c r="G480" s="406" t="n">
        <v>2</v>
      </c>
      <c r="H480" s="402">
        <f>IFERROR(INDEX('00_TONG_HOP_BAO_GIA'!$G$1:$G$5000, MATCH(B480, '00_TONG_HOP_BAO_GIA'!$B$1:$B$5000, 0)), 1)</f>
        <v/>
      </c>
      <c r="I480" s="407">
        <f>G480*H480</f>
        <v/>
      </c>
      <c r="J480" s="402">
        <f>IFERROR(INDEX('06_BANG_GIA_VAT_TU_AP_DUNG'!$E$1:$E$5000, MATCH(E480, '06_BANG_GIA_VAT_TU_AP_DUNG'!$B$1:$B$5000, 0)), 0)</f>
        <v/>
      </c>
      <c r="K480" s="402">
        <f>I480*J480</f>
        <v/>
      </c>
      <c r="L480" t="inlineStr">
        <is>
          <t>2 đôi bạc đỡ 2 bên thân</t>
        </is>
      </c>
    </row>
    <row r="481">
      <c r="A481" t="inlineStr">
        <is>
          <t>SW-DAMPER-078-GEAR</t>
        </is>
      </c>
      <c r="B481" t="inlineStr">
        <is>
          <t>SW-DAMPER-078</t>
        </is>
      </c>
      <c r="C481" t="inlineStr">
        <is>
          <t>Bánh răng van nhôm</t>
        </is>
      </c>
      <c r="D481" t="inlineStr">
        <is>
          <t>PHỤ_KIỆN_VAN</t>
        </is>
      </c>
      <c r="E481" t="inlineStr">
        <is>
          <t>MAT-DAMPER-BANH-RANG-VAN-NHOM</t>
        </is>
      </c>
      <c r="F481" t="inlineStr">
        <is>
          <t>Bộ</t>
        </is>
      </c>
      <c r="G481" s="406" t="n">
        <v>1</v>
      </c>
      <c r="H481" s="402">
        <f>IFERROR(INDEX('00_TONG_HOP_BAO_GIA'!$G$1:$G$5000, MATCH(B481, '00_TONG_HOP_BAO_GIA'!$B$1:$B$5000, 0)), 1)</f>
        <v/>
      </c>
      <c r="I481" s="407">
        <f>G481*H481</f>
        <v/>
      </c>
      <c r="J481" s="402">
        <f>IFERROR(INDEX('06_BANG_GIA_VAT_TU_AP_DUNG'!$E$1:$E$5000, MATCH(E481, '06_BANG_GIA_VAT_TU_AP_DUNG'!$B$1:$B$5000, 0)), 0)</f>
        <v/>
      </c>
      <c r="K481" s="402">
        <f>I481*J481</f>
        <v/>
      </c>
      <c r="L481" t="inlineStr">
        <is>
          <t>Cơ cấu liên động cánh (1 bộ)</t>
        </is>
      </c>
    </row>
    <row r="482">
      <c r="A482" t="inlineStr">
        <is>
          <t>SW-DAMPER-078-ACTUATOR</t>
        </is>
      </c>
      <c r="B482" t="inlineStr">
        <is>
          <t>SW-DAMPER-078</t>
        </is>
      </c>
      <c r="C482" t="inlineStr">
        <is>
          <t>Động cơ chặn lửa ON/OFF 9Nm, 230V/24V (BELIMO BFN24 / BFN230)</t>
        </is>
      </c>
      <c r="D482" t="inlineStr">
        <is>
          <t>ĐỘNG_CƠ_VÀ_CẢM_BIẾN</t>
        </is>
      </c>
      <c r="E482" t="inlineStr">
        <is>
          <t>MAT-ACTUATOR-BELIMO-BFN24</t>
        </is>
      </c>
      <c r="F482" t="inlineStr">
        <is>
          <t>Cái</t>
        </is>
      </c>
      <c r="G482" s="406" t="n">
        <v>1</v>
      </c>
      <c r="H482" s="402">
        <f>IFERROR(INDEX('00_TONG_HOP_BAO_GIA'!$G$1:$G$5000, MATCH(B482, '00_TONG_HOP_BAO_GIA'!$B$1:$B$5000, 0)), 1)</f>
        <v/>
      </c>
      <c r="I482" s="407">
        <f>G482*H482</f>
        <v/>
      </c>
      <c r="J482" s="402">
        <f>IFERROR(INDEX('06_BANG_GIA_VAT_TU_AP_DUNG'!$E$1:$E$5000, MATCH(E482, '06_BANG_GIA_VAT_TU_AP_DUNG'!$B$1:$B$5000, 0)), 0)</f>
        <v/>
      </c>
      <c r="K482" s="402">
        <f>I482*J482</f>
        <v/>
      </c>
      <c r="L482" t="inlineStr">
        <is>
          <t>Động cơ lò xo phản hồi MFD (1 bộ)</t>
        </is>
      </c>
    </row>
    <row r="483">
      <c r="A483" t="inlineStr">
        <is>
          <t>SW-DAMPER-078-FB10-BODY</t>
        </is>
      </c>
      <c r="B483" t="inlineStr">
        <is>
          <t>SW-DAMPER-078</t>
        </is>
      </c>
      <c r="C483" t="inlineStr">
        <is>
          <t>Tấm chống cháy dày 10mm bọc thân van FD/MFD (2 lớp)</t>
        </is>
      </c>
      <c r="D483" t="inlineStr">
        <is>
          <t>VẬT_LIỆU_CÁCH_NHIỆT</t>
        </is>
      </c>
      <c r="E483" t="inlineStr">
        <is>
          <t>MAT-FIREBOARD-10MM-BODY</t>
        </is>
      </c>
      <c r="F483" t="inlineStr">
        <is>
          <t>m2</t>
        </is>
      </c>
      <c r="G483" s="406" t="n">
        <v>1.32</v>
      </c>
      <c r="H483" s="402">
        <f>IFERROR(INDEX('00_TONG_HOP_BAO_GIA'!$G$1:$G$5000, MATCH(B483, '00_TONG_HOP_BAO_GIA'!$B$1:$B$5000, 0)), 1)</f>
        <v/>
      </c>
      <c r="I483" s="407">
        <f>G483*H483</f>
        <v/>
      </c>
      <c r="J483" s="402">
        <f>IFERROR(INDEX('06_BANG_GIA_VAT_TU_AP_DUNG'!$E$1:$E$5000, MATCH(E483, '06_BANG_GIA_VAT_TU_AP_DUNG'!$B$1:$B$5000, 0)), 0)</f>
        <v/>
      </c>
      <c r="K483" s="402">
        <f>I483*J483</f>
        <v/>
      </c>
      <c r="L483" t="inlineStr">
        <is>
          <t>Bọc 2 lớp tấm 10mm quanh thân L=300mm</t>
        </is>
      </c>
    </row>
    <row r="484">
      <c r="A484" t="inlineStr">
        <is>
          <t>SW-DAMPER-078-FB20-BLADE</t>
        </is>
      </c>
      <c r="B484" t="inlineStr">
        <is>
          <t>SW-DAMPER-078</t>
        </is>
      </c>
      <c r="C484" t="inlineStr">
        <is>
          <t>Tấm chống cháy dày 20mm làm lõi cánh van FD/MFD</t>
        </is>
      </c>
      <c r="D484" t="inlineStr">
        <is>
          <t>VẬT_LIỆU_CÁCH_NHIỆT</t>
        </is>
      </c>
      <c r="E484" t="inlineStr">
        <is>
          <t>MAT-FIREBOARD-20MM-BLADE</t>
        </is>
      </c>
      <c r="F484" t="inlineStr">
        <is>
          <t>m2</t>
        </is>
      </c>
      <c r="G484" s="406" t="n">
        <v>0.3567322147651007</v>
      </c>
      <c r="H484" s="402">
        <f>IFERROR(INDEX('00_TONG_HOP_BAO_GIA'!$G$1:$G$5000, MATCH(B484, '00_TONG_HOP_BAO_GIA'!$B$1:$B$5000, 0)), 1)</f>
        <v/>
      </c>
      <c r="I484" s="407">
        <f>G484*H484</f>
        <v/>
      </c>
      <c r="J484" s="402">
        <f>IFERROR(INDEX('06_BANG_GIA_VAT_TU_AP_DUNG'!$E$1:$E$5000, MATCH(E484, '06_BANG_GIA_VAT_TU_AP_DUNG'!$B$1:$B$5000, 0)), 0)</f>
        <v/>
      </c>
      <c r="K484" s="402">
        <f>I484*J484</f>
        <v/>
      </c>
      <c r="L484" t="inlineStr">
        <is>
          <t>Lõi cánh tấm 20mm (Đa cánh hệ số (H-5)/149=1.98, bản rộng 210mm, hao hụt 10%)</t>
        </is>
      </c>
    </row>
    <row r="485">
      <c r="A485" t="inlineStr">
        <is>
          <t>SW-DAMPER-078-FB10-BLADE</t>
        </is>
      </c>
      <c r="B485" t="inlineStr">
        <is>
          <t>SW-DAMPER-078</t>
        </is>
      </c>
      <c r="C485" t="inlineStr">
        <is>
          <t>Tấm chống cháy dày 10mm ốp 2 mặt cánh van FD/MFD</t>
        </is>
      </c>
      <c r="D485" t="inlineStr">
        <is>
          <t>VẬT_LIỆU_CÁCH_NHIỆT</t>
        </is>
      </c>
      <c r="E485" t="inlineStr">
        <is>
          <t>MAT-FIREBOARD-10MM-BLADE</t>
        </is>
      </c>
      <c r="F485" t="inlineStr">
        <is>
          <t>m2</t>
        </is>
      </c>
      <c r="G485" s="406" t="n">
        <v>0.731758389261745</v>
      </c>
      <c r="H485" s="402">
        <f>IFERROR(INDEX('00_TONG_HOP_BAO_GIA'!$G$1:$G$5000, MATCH(B485, '00_TONG_HOP_BAO_GIA'!$B$1:$B$5000, 0)), 1)</f>
        <v/>
      </c>
      <c r="I485" s="407">
        <f>G485*H485</f>
        <v/>
      </c>
      <c r="J485" s="402">
        <f>IFERROR(INDEX('06_BANG_GIA_VAT_TU_AP_DUNG'!$E$1:$E$5000, MATCH(E485, '06_BANG_GIA_VAT_TU_AP_DUNG'!$B$1:$B$5000, 0)), 0)</f>
        <v/>
      </c>
      <c r="K485" s="402">
        <f>I485*J485</f>
        <v/>
      </c>
      <c r="L485" t="inlineStr">
        <is>
          <t>Ốp 2 mặt cánh tấm 10mm (Đa cánh hệ số (H-5)/149=1.98, bản rộng 210mm, hao hụt 10%)</t>
        </is>
      </c>
    </row>
    <row r="486">
      <c r="A486" t="inlineStr">
        <is>
          <t>SW-DAMPER-078-SPRING-BOX</t>
        </is>
      </c>
      <c r="B486" t="inlineStr">
        <is>
          <t>SW-DAMPER-078</t>
        </is>
      </c>
      <c r="C486" t="inlineStr">
        <is>
          <t>Hộp lò xo van chặn lửa FD/MFD</t>
        </is>
      </c>
      <c r="D486" t="inlineStr">
        <is>
          <t>PHỤ_KIỆN_VAN</t>
        </is>
      </c>
      <c r="E486" t="inlineStr">
        <is>
          <t>MAT-DAMPER-HOP-LO-XO</t>
        </is>
      </c>
      <c r="F486" t="inlineStr">
        <is>
          <t>Bộ</t>
        </is>
      </c>
      <c r="G486" s="406" t="n">
        <v>1</v>
      </c>
      <c r="H486" s="402">
        <f>IFERROR(INDEX('00_TONG_HOP_BAO_GIA'!$G$1:$G$5000, MATCH(B486, '00_TONG_HOP_BAO_GIA'!$B$1:$B$5000, 0)), 1)</f>
        <v/>
      </c>
      <c r="I486" s="407">
        <f>G486*H486</f>
        <v/>
      </c>
      <c r="J486" s="402">
        <f>IFERROR(INDEX('06_BANG_GIA_VAT_TU_AP_DUNG'!$E$1:$E$5000, MATCH(E486, '06_BANG_GIA_VAT_TU_AP_DUNG'!$B$1:$B$5000, 0)), 0)</f>
        <v/>
      </c>
      <c r="K486" s="402">
        <f>I486*J486</f>
        <v/>
      </c>
      <c r="L486" t="inlineStr">
        <is>
          <t>Hộp lò xo cơ cấu đóng sập (1 bộ)</t>
        </is>
      </c>
    </row>
    <row r="487">
      <c r="A487" t="inlineStr">
        <is>
          <t>SW-DAMPER-078-SILICON-BOLT</t>
        </is>
      </c>
      <c r="B487" t="inlineStr">
        <is>
          <t>SW-DAMPER-078</t>
        </is>
      </c>
      <c r="C487" t="inlineStr">
        <is>
          <t>Silicon chống cháy + bu lông, ốc vít van FD/MFD</t>
        </is>
      </c>
      <c r="D487" t="inlineStr">
        <is>
          <t>PHỤ_KIỆN_VAN</t>
        </is>
      </c>
      <c r="E487" t="inlineStr">
        <is>
          <t>MAT-DAMPER-SILICON-BULONG-VIT</t>
        </is>
      </c>
      <c r="F487" t="inlineStr">
        <is>
          <t>Bộ</t>
        </is>
      </c>
      <c r="G487" s="406" t="n">
        <v>1</v>
      </c>
      <c r="H487" s="402">
        <f>IFERROR(INDEX('00_TONG_HOP_BAO_GIA'!$G$1:$G$5000, MATCH(B487, '00_TONG_HOP_BAO_GIA'!$B$1:$B$5000, 0)), 1)</f>
        <v/>
      </c>
      <c r="I487" s="407">
        <f>G487*H487</f>
        <v/>
      </c>
      <c r="J487" s="402">
        <f>IFERROR(INDEX('06_BANG_GIA_VAT_TU_AP_DUNG'!$E$1:$E$5000, MATCH(E487, '06_BANG_GIA_VAT_TU_AP_DUNG'!$B$1:$B$5000, 0)), 0)</f>
        <v/>
      </c>
      <c r="K487" s="402">
        <f>I487*J487</f>
        <v/>
      </c>
      <c r="L487" t="inlineStr">
        <is>
          <t>Keo silicon chống cháy &amp; phụ kiện lắp ghép (1 bộ)</t>
        </is>
      </c>
    </row>
    <row r="488">
      <c r="A488" t="inlineStr">
        <is>
          <t>SW-DAMPER-079-BODY</t>
        </is>
      </c>
      <c r="B488" t="inlineStr">
        <is>
          <t>SW-DAMPER-079</t>
        </is>
      </c>
      <c r="C488" t="inlineStr">
        <is>
          <t>Thân vỏ van MFD bích C30/TDF (1.15mm)</t>
        </is>
      </c>
      <c r="D488" t="inlineStr">
        <is>
          <t>TÔN_CUỘN_MẠ_KẼM</t>
        </is>
      </c>
      <c r="E488" t="inlineStr">
        <is>
          <t>MAT-STEEL-PN-1.15</t>
        </is>
      </c>
      <c r="F488" t="inlineStr">
        <is>
          <t>kg</t>
        </is>
      </c>
      <c r="G488" s="406" t="n">
        <v>5.476893975</v>
      </c>
      <c r="H488" s="402">
        <f>IFERROR(INDEX('00_TONG_HOP_BAO_GIA'!$G$1:$G$5000, MATCH(B488, '00_TONG_HOP_BAO_GIA'!$B$1:$B$5000, 0)), 1)</f>
        <v/>
      </c>
      <c r="I488" s="407">
        <f>G488*H488</f>
        <v/>
      </c>
      <c r="J488" s="402">
        <f>IFERROR(INDEX('06_BANG_GIA_VAT_TU_AP_DUNG'!$E$1:$E$5000, MATCH(E488, '06_BANG_GIA_VAT_TU_AP_DUNG'!$B$1:$B$5000, 0)), 0)</f>
        <v/>
      </c>
      <c r="K488" s="402">
        <f>I488*J488</f>
        <v/>
      </c>
      <c r="L488" t="inlineStr">
        <is>
          <t>Kích thước vỏ 650x400x200mm</t>
        </is>
      </c>
    </row>
    <row r="489">
      <c r="A489" t="inlineStr">
        <is>
          <t>SW-DAMPER-079-BLADE</t>
        </is>
      </c>
      <c r="B489" t="inlineStr">
        <is>
          <t>SW-DAMPER-079</t>
        </is>
      </c>
      <c r="C489" t="inlineStr">
        <is>
          <t>Lá cánh / Tôn tấm bọc van (3 cánh)</t>
        </is>
      </c>
      <c r="D489" t="inlineStr">
        <is>
          <t>TÔN_CUỘN_MẠ_KẼM</t>
        </is>
      </c>
      <c r="E489" t="inlineStr">
        <is>
          <t>MAT-STEEL-PN-1.15</t>
        </is>
      </c>
      <c r="F489" t="inlineStr">
        <is>
          <t>kg</t>
        </is>
      </c>
      <c r="G489" s="406" t="n">
        <v>4.694299999999999</v>
      </c>
      <c r="H489" s="402">
        <f>IFERROR(INDEX('00_TONG_HOP_BAO_GIA'!$G$1:$G$5000, MATCH(B489, '00_TONG_HOP_BAO_GIA'!$B$1:$B$5000, 0)), 1)</f>
        <v/>
      </c>
      <c r="I489" s="407">
        <f>G489*H489</f>
        <v/>
      </c>
      <c r="J489" s="402">
        <f>IFERROR(INDEX('06_BANG_GIA_VAT_TU_AP_DUNG'!$E$1:$E$5000, MATCH(E489, '06_BANG_GIA_VAT_TU_AP_DUNG'!$B$1:$B$5000, 0)), 0)</f>
        <v/>
      </c>
      <c r="K489" s="402">
        <f>I489*J489</f>
        <v/>
      </c>
      <c r="L489" t="inlineStr">
        <is>
          <t>Tôn bọc cánh &amp; thân (3 cánh/modul)</t>
        </is>
      </c>
    </row>
    <row r="490">
      <c r="A490" t="inlineStr">
        <is>
          <t>SW-DAMPER-079-AXLE</t>
        </is>
      </c>
      <c r="B490" t="inlineStr">
        <is>
          <t>SW-DAMPER-079</t>
        </is>
      </c>
      <c r="C490" t="inlineStr">
        <is>
          <t>Trục Sus 201 D10</t>
        </is>
      </c>
      <c r="D490" t="inlineStr">
        <is>
          <t>PHỤ_KIỆN_VAN</t>
        </is>
      </c>
      <c r="E490" t="inlineStr">
        <is>
          <t>MAT-DAMPER-TRUC-SUS-201-D10</t>
        </is>
      </c>
      <c r="F490" t="inlineStr">
        <is>
          <t>m</t>
        </is>
      </c>
      <c r="G490" s="406" t="n">
        <v>2.13</v>
      </c>
      <c r="H490" s="402">
        <f>IFERROR(INDEX('00_TONG_HOP_BAO_GIA'!$G$1:$G$5000, MATCH(B490, '00_TONG_HOP_BAO_GIA'!$B$1:$B$5000, 0)), 1)</f>
        <v/>
      </c>
      <c r="I490" s="407">
        <f>G490*H490</f>
        <v/>
      </c>
      <c r="J490" s="402">
        <f>IFERROR(INDEX('06_BANG_GIA_VAT_TU_AP_DUNG'!$E$1:$E$5000, MATCH(E490, '06_BANG_GIA_VAT_TU_AP_DUNG'!$B$1:$B$5000, 0)), 0)</f>
        <v/>
      </c>
      <c r="K490" s="402">
        <f>I490*J490</f>
        <v/>
      </c>
      <c r="L490" t="inlineStr">
        <is>
          <t>3 trục dài 710mm</t>
        </is>
      </c>
    </row>
    <row r="491">
      <c r="A491" t="inlineStr">
        <is>
          <t>SW-DAMPER-079-BEARING</t>
        </is>
      </c>
      <c r="B491" t="inlineStr">
        <is>
          <t>SW-DAMPER-079</t>
        </is>
      </c>
      <c r="C491" t="inlineStr">
        <is>
          <t>Bạc đồng D10</t>
        </is>
      </c>
      <c r="D491" t="inlineStr">
        <is>
          <t>PHỤ_KIỆN_VAN</t>
        </is>
      </c>
      <c r="E491" t="inlineStr">
        <is>
          <t>MAT-DAMPER-BAC-DONG-D10</t>
        </is>
      </c>
      <c r="F491" t="inlineStr">
        <is>
          <t>Đôi</t>
        </is>
      </c>
      <c r="G491" s="406" t="n">
        <v>3</v>
      </c>
      <c r="H491" s="402">
        <f>IFERROR(INDEX('00_TONG_HOP_BAO_GIA'!$G$1:$G$5000, MATCH(B491, '00_TONG_HOP_BAO_GIA'!$B$1:$B$5000, 0)), 1)</f>
        <v/>
      </c>
      <c r="I491" s="407">
        <f>G491*H491</f>
        <v/>
      </c>
      <c r="J491" s="402">
        <f>IFERROR(INDEX('06_BANG_GIA_VAT_TU_AP_DUNG'!$E$1:$E$5000, MATCH(E491, '06_BANG_GIA_VAT_TU_AP_DUNG'!$B$1:$B$5000, 0)), 0)</f>
        <v/>
      </c>
      <c r="K491" s="402">
        <f>I491*J491</f>
        <v/>
      </c>
      <c r="L491" t="inlineStr">
        <is>
          <t>3 đôi bạc đỡ 2 bên thân</t>
        </is>
      </c>
    </row>
    <row r="492">
      <c r="A492" t="inlineStr">
        <is>
          <t>SW-DAMPER-079-GEAR</t>
        </is>
      </c>
      <c r="B492" t="inlineStr">
        <is>
          <t>SW-DAMPER-079</t>
        </is>
      </c>
      <c r="C492" t="inlineStr">
        <is>
          <t>Bánh răng van nhôm</t>
        </is>
      </c>
      <c r="D492" t="inlineStr">
        <is>
          <t>PHỤ_KIỆN_VAN</t>
        </is>
      </c>
      <c r="E492" t="inlineStr">
        <is>
          <t>MAT-DAMPER-BANH-RANG-VAN-NHOM</t>
        </is>
      </c>
      <c r="F492" t="inlineStr">
        <is>
          <t>Bộ</t>
        </is>
      </c>
      <c r="G492" s="406" t="n">
        <v>1</v>
      </c>
      <c r="H492" s="402">
        <f>IFERROR(INDEX('00_TONG_HOP_BAO_GIA'!$G$1:$G$5000, MATCH(B492, '00_TONG_HOP_BAO_GIA'!$B$1:$B$5000, 0)), 1)</f>
        <v/>
      </c>
      <c r="I492" s="407">
        <f>G492*H492</f>
        <v/>
      </c>
      <c r="J492" s="402">
        <f>IFERROR(INDEX('06_BANG_GIA_VAT_TU_AP_DUNG'!$E$1:$E$5000, MATCH(E492, '06_BANG_GIA_VAT_TU_AP_DUNG'!$B$1:$B$5000, 0)), 0)</f>
        <v/>
      </c>
      <c r="K492" s="402">
        <f>I492*J492</f>
        <v/>
      </c>
      <c r="L492" t="inlineStr">
        <is>
          <t>Cơ cấu liên động cánh (1 bộ)</t>
        </is>
      </c>
    </row>
    <row r="493">
      <c r="A493" t="inlineStr">
        <is>
          <t>SW-DAMPER-079-ACTUATOR</t>
        </is>
      </c>
      <c r="B493" t="inlineStr">
        <is>
          <t>SW-DAMPER-079</t>
        </is>
      </c>
      <c r="C493" t="inlineStr">
        <is>
          <t>Động cơ chặn lửa ON/OFF 9Nm, 230V/24V (BELIMO BFN24 / BFN230)</t>
        </is>
      </c>
      <c r="D493" t="inlineStr">
        <is>
          <t>ĐỘNG_CƠ_VÀ_CẢM_BIẾN</t>
        </is>
      </c>
      <c r="E493" t="inlineStr">
        <is>
          <t>MAT-ACTUATOR-BELIMO-BFN24</t>
        </is>
      </c>
      <c r="F493" t="inlineStr">
        <is>
          <t>Cái</t>
        </is>
      </c>
      <c r="G493" s="406" t="n">
        <v>1</v>
      </c>
      <c r="H493" s="402">
        <f>IFERROR(INDEX('00_TONG_HOP_BAO_GIA'!$G$1:$G$5000, MATCH(B493, '00_TONG_HOP_BAO_GIA'!$B$1:$B$5000, 0)), 1)</f>
        <v/>
      </c>
      <c r="I493" s="407">
        <f>G493*H493</f>
        <v/>
      </c>
      <c r="J493" s="402">
        <f>IFERROR(INDEX('06_BANG_GIA_VAT_TU_AP_DUNG'!$E$1:$E$5000, MATCH(E493, '06_BANG_GIA_VAT_TU_AP_DUNG'!$B$1:$B$5000, 0)), 0)</f>
        <v/>
      </c>
      <c r="K493" s="402">
        <f>I493*J493</f>
        <v/>
      </c>
      <c r="L493" t="inlineStr">
        <is>
          <t>Động cơ lò xo phản hồi MFD (1 bộ)</t>
        </is>
      </c>
    </row>
    <row r="494">
      <c r="A494" t="inlineStr">
        <is>
          <t>SW-DAMPER-079-FB10-BODY</t>
        </is>
      </c>
      <c r="B494" t="inlineStr">
        <is>
          <t>SW-DAMPER-079</t>
        </is>
      </c>
      <c r="C494" t="inlineStr">
        <is>
          <t>Tấm chống cháy dày 10mm bọc thân van FD/MFD (2 lớp)</t>
        </is>
      </c>
      <c r="D494" t="inlineStr">
        <is>
          <t>VẬT_LIỆU_CÁCH_NHIỆT</t>
        </is>
      </c>
      <c r="E494" t="inlineStr">
        <is>
          <t>MAT-FIREBOARD-10MM-BODY</t>
        </is>
      </c>
      <c r="F494" t="inlineStr">
        <is>
          <t>m2</t>
        </is>
      </c>
      <c r="G494" s="406" t="n">
        <v>1.26</v>
      </c>
      <c r="H494" s="402">
        <f>IFERROR(INDEX('00_TONG_HOP_BAO_GIA'!$G$1:$G$5000, MATCH(B494, '00_TONG_HOP_BAO_GIA'!$B$1:$B$5000, 0)), 1)</f>
        <v/>
      </c>
      <c r="I494" s="407">
        <f>G494*H494</f>
        <v/>
      </c>
      <c r="J494" s="402">
        <f>IFERROR(INDEX('06_BANG_GIA_VAT_TU_AP_DUNG'!$E$1:$E$5000, MATCH(E494, '06_BANG_GIA_VAT_TU_AP_DUNG'!$B$1:$B$5000, 0)), 0)</f>
        <v/>
      </c>
      <c r="K494" s="402">
        <f>I494*J494</f>
        <v/>
      </c>
      <c r="L494" t="inlineStr">
        <is>
          <t>Bọc 2 lớp tấm 10mm quanh thân L=300mm</t>
        </is>
      </c>
    </row>
    <row r="495">
      <c r="A495" t="inlineStr">
        <is>
          <t>SW-DAMPER-079-FB20-BLADE</t>
        </is>
      </c>
      <c r="B495" t="inlineStr">
        <is>
          <t>SW-DAMPER-079</t>
        </is>
      </c>
      <c r="C495" t="inlineStr">
        <is>
          <t>Tấm chống cháy dày 20mm làm lõi cánh van FD/MFD</t>
        </is>
      </c>
      <c r="D495" t="inlineStr">
        <is>
          <t>VẬT_LIỆU_CÁCH_NHIỆT</t>
        </is>
      </c>
      <c r="E495" t="inlineStr">
        <is>
          <t>MAT-FIREBOARD-20MM-BLADE</t>
        </is>
      </c>
      <c r="F495" t="inlineStr">
        <is>
          <t>m2</t>
        </is>
      </c>
      <c r="G495" s="406" t="n">
        <v>0.3858010067114094</v>
      </c>
      <c r="H495" s="402">
        <f>IFERROR(INDEX('00_TONG_HOP_BAO_GIA'!$G$1:$G$5000, MATCH(B495, '00_TONG_HOP_BAO_GIA'!$B$1:$B$5000, 0)), 1)</f>
        <v/>
      </c>
      <c r="I495" s="407">
        <f>G495*H495</f>
        <v/>
      </c>
      <c r="J495" s="402">
        <f>IFERROR(INDEX('06_BANG_GIA_VAT_TU_AP_DUNG'!$E$1:$E$5000, MATCH(E495, '06_BANG_GIA_VAT_TU_AP_DUNG'!$B$1:$B$5000, 0)), 0)</f>
        <v/>
      </c>
      <c r="K495" s="402">
        <f>I495*J495</f>
        <v/>
      </c>
      <c r="L495" t="inlineStr">
        <is>
          <t>Lõi cánh tấm 20mm (Đa cánh hệ số (H-5)/149=2.65, bản rộng 210mm, hao hụt 10%)</t>
        </is>
      </c>
    </row>
    <row r="496">
      <c r="A496" t="inlineStr">
        <is>
          <t>SW-DAMPER-079-FB10-BLADE</t>
        </is>
      </c>
      <c r="B496" t="inlineStr">
        <is>
          <t>SW-DAMPER-079</t>
        </is>
      </c>
      <c r="C496" t="inlineStr">
        <is>
          <t>Tấm chống cháy dày 10mm ốp 2 mặt cánh van FD/MFD</t>
        </is>
      </c>
      <c r="D496" t="inlineStr">
        <is>
          <t>VẬT_LIỆU_CÁCH_NHIỆT</t>
        </is>
      </c>
      <c r="E496" t="inlineStr">
        <is>
          <t>MAT-FIREBOARD-10MM-BLADE</t>
        </is>
      </c>
      <c r="F496" t="inlineStr">
        <is>
          <t>m2</t>
        </is>
      </c>
      <c r="G496" s="406" t="n">
        <v>0.7960973154362417</v>
      </c>
      <c r="H496" s="402">
        <f>IFERROR(INDEX('00_TONG_HOP_BAO_GIA'!$G$1:$G$5000, MATCH(B496, '00_TONG_HOP_BAO_GIA'!$B$1:$B$5000, 0)), 1)</f>
        <v/>
      </c>
      <c r="I496" s="407">
        <f>G496*H496</f>
        <v/>
      </c>
      <c r="J496" s="402">
        <f>IFERROR(INDEX('06_BANG_GIA_VAT_TU_AP_DUNG'!$E$1:$E$5000, MATCH(E496, '06_BANG_GIA_VAT_TU_AP_DUNG'!$B$1:$B$5000, 0)), 0)</f>
        <v/>
      </c>
      <c r="K496" s="402">
        <f>I496*J496</f>
        <v/>
      </c>
      <c r="L496" t="inlineStr">
        <is>
          <t>Ốp 2 mặt cánh tấm 10mm (Đa cánh hệ số (H-5)/149=2.65, bản rộng 210mm, hao hụt 10%)</t>
        </is>
      </c>
    </row>
    <row r="497">
      <c r="A497" t="inlineStr">
        <is>
          <t>SW-DAMPER-079-SPRING-BOX</t>
        </is>
      </c>
      <c r="B497" t="inlineStr">
        <is>
          <t>SW-DAMPER-079</t>
        </is>
      </c>
      <c r="C497" t="inlineStr">
        <is>
          <t>Hộp lò xo van chặn lửa FD/MFD</t>
        </is>
      </c>
      <c r="D497" t="inlineStr">
        <is>
          <t>PHỤ_KIỆN_VAN</t>
        </is>
      </c>
      <c r="E497" t="inlineStr">
        <is>
          <t>MAT-DAMPER-HOP-LO-XO</t>
        </is>
      </c>
      <c r="F497" t="inlineStr">
        <is>
          <t>Bộ</t>
        </is>
      </c>
      <c r="G497" s="406" t="n">
        <v>1</v>
      </c>
      <c r="H497" s="402">
        <f>IFERROR(INDEX('00_TONG_HOP_BAO_GIA'!$G$1:$G$5000, MATCH(B497, '00_TONG_HOP_BAO_GIA'!$B$1:$B$5000, 0)), 1)</f>
        <v/>
      </c>
      <c r="I497" s="407">
        <f>G497*H497</f>
        <v/>
      </c>
      <c r="J497" s="402">
        <f>IFERROR(INDEX('06_BANG_GIA_VAT_TU_AP_DUNG'!$E$1:$E$5000, MATCH(E497, '06_BANG_GIA_VAT_TU_AP_DUNG'!$B$1:$B$5000, 0)), 0)</f>
        <v/>
      </c>
      <c r="K497" s="402">
        <f>I497*J497</f>
        <v/>
      </c>
      <c r="L497" t="inlineStr">
        <is>
          <t>Hộp lò xo cơ cấu đóng sập (1 bộ)</t>
        </is>
      </c>
    </row>
    <row r="498">
      <c r="A498" t="inlineStr">
        <is>
          <t>SW-DAMPER-079-SILICON-BOLT</t>
        </is>
      </c>
      <c r="B498" t="inlineStr">
        <is>
          <t>SW-DAMPER-079</t>
        </is>
      </c>
      <c r="C498" t="inlineStr">
        <is>
          <t>Silicon chống cháy + bu lông, ốc vít van FD/MFD</t>
        </is>
      </c>
      <c r="D498" t="inlineStr">
        <is>
          <t>PHỤ_KIỆN_VAN</t>
        </is>
      </c>
      <c r="E498" t="inlineStr">
        <is>
          <t>MAT-DAMPER-SILICON-BULONG-VIT</t>
        </is>
      </c>
      <c r="F498" t="inlineStr">
        <is>
          <t>Bộ</t>
        </is>
      </c>
      <c r="G498" s="406" t="n">
        <v>1</v>
      </c>
      <c r="H498" s="402">
        <f>IFERROR(INDEX('00_TONG_HOP_BAO_GIA'!$G$1:$G$5000, MATCH(B498, '00_TONG_HOP_BAO_GIA'!$B$1:$B$5000, 0)), 1)</f>
        <v/>
      </c>
      <c r="I498" s="407">
        <f>G498*H498</f>
        <v/>
      </c>
      <c r="J498" s="402">
        <f>IFERROR(INDEX('06_BANG_GIA_VAT_TU_AP_DUNG'!$E$1:$E$5000, MATCH(E498, '06_BANG_GIA_VAT_TU_AP_DUNG'!$B$1:$B$5000, 0)), 0)</f>
        <v/>
      </c>
      <c r="K498" s="402">
        <f>I498*J498</f>
        <v/>
      </c>
      <c r="L498" t="inlineStr">
        <is>
          <t>Keo silicon chống cháy &amp; phụ kiện lắp ghép (1 bộ)</t>
        </is>
      </c>
    </row>
    <row r="499">
      <c r="A499" t="inlineStr">
        <is>
          <t>SW-DAMPER-080-BODY</t>
        </is>
      </c>
      <c r="B499" t="inlineStr">
        <is>
          <t>SW-DAMPER-080</t>
        </is>
      </c>
      <c r="C499" t="inlineStr">
        <is>
          <t>Thân vỏ van VCD bích C30/TDF (0.75mm)</t>
        </is>
      </c>
      <c r="D499" t="inlineStr">
        <is>
          <t>TÔN_CUỘN_MẠ_KẼM</t>
        </is>
      </c>
      <c r="E499" t="inlineStr">
        <is>
          <t>MAT-STEEL-PN-0.75</t>
        </is>
      </c>
      <c r="F499" t="inlineStr">
        <is>
          <t>kg</t>
        </is>
      </c>
      <c r="G499" s="406" t="n">
        <v>2.146347</v>
      </c>
      <c r="H499" s="402">
        <f>IFERROR(INDEX('00_TONG_HOP_BAO_GIA'!$G$1:$G$5000, MATCH(B499, '00_TONG_HOP_BAO_GIA'!$B$1:$B$5000, 0)), 1)</f>
        <v/>
      </c>
      <c r="I499" s="407">
        <f>G499*H499</f>
        <v/>
      </c>
      <c r="J499" s="402">
        <f>IFERROR(INDEX('06_BANG_GIA_VAT_TU_AP_DUNG'!$E$1:$E$5000, MATCH(E499, '06_BANG_GIA_VAT_TU_AP_DUNG'!$B$1:$B$5000, 0)), 0)</f>
        <v/>
      </c>
      <c r="K499" s="402">
        <f>I499*J499</f>
        <v/>
      </c>
      <c r="L499" t="inlineStr">
        <is>
          <t>Kích thước vỏ 300x300x210mm</t>
        </is>
      </c>
    </row>
    <row r="500">
      <c r="A500" t="inlineStr">
        <is>
          <t>SW-DAMPER-080-BLADE</t>
        </is>
      </c>
      <c r="B500" t="inlineStr">
        <is>
          <t>SW-DAMPER-080</t>
        </is>
      </c>
      <c r="C500" t="inlineStr">
        <is>
          <t>Lá cánh / Tôn tấm bọc van (2 cánh)</t>
        </is>
      </c>
      <c r="D500" t="inlineStr">
        <is>
          <t>TÔN_CUỘN_MẠ_KẼM</t>
        </is>
      </c>
      <c r="E500" t="inlineStr">
        <is>
          <t>MAT-STEEL-PN-0.75</t>
        </is>
      </c>
      <c r="F500" t="inlineStr">
        <is>
          <t>kg</t>
        </is>
      </c>
      <c r="G500" s="406" t="n">
        <v>0.648567</v>
      </c>
      <c r="H500" s="402">
        <f>IFERROR(INDEX('00_TONG_HOP_BAO_GIA'!$G$1:$G$5000, MATCH(B500, '00_TONG_HOP_BAO_GIA'!$B$1:$B$5000, 0)), 1)</f>
        <v/>
      </c>
      <c r="I500" s="407">
        <f>G500*H500</f>
        <v/>
      </c>
      <c r="J500" s="402">
        <f>IFERROR(INDEX('06_BANG_GIA_VAT_TU_AP_DUNG'!$E$1:$E$5000, MATCH(E500, '06_BANG_GIA_VAT_TU_AP_DUNG'!$B$1:$B$5000, 0)), 0)</f>
        <v/>
      </c>
      <c r="K500" s="402">
        <f>I500*J500</f>
        <v/>
      </c>
      <c r="L500" t="inlineStr">
        <is>
          <t>2 cánh cao 170mm</t>
        </is>
      </c>
    </row>
    <row r="501">
      <c r="A501" t="inlineStr">
        <is>
          <t>SW-DAMPER-080-AXLE</t>
        </is>
      </c>
      <c r="B501" t="inlineStr">
        <is>
          <t>SW-DAMPER-080</t>
        </is>
      </c>
      <c r="C501" t="inlineStr">
        <is>
          <t>Trục Sus 201 D10</t>
        </is>
      </c>
      <c r="D501" t="inlineStr">
        <is>
          <t>PHỤ_KIỆN_VAN</t>
        </is>
      </c>
      <c r="E501" t="inlineStr">
        <is>
          <t>MAT-DAMPER-TRUC-SUS-201-D10</t>
        </is>
      </c>
      <c r="F501" t="inlineStr">
        <is>
          <t>m</t>
        </is>
      </c>
      <c r="G501" s="406" t="n">
        <v>0.72</v>
      </c>
      <c r="H501" s="402">
        <f>IFERROR(INDEX('00_TONG_HOP_BAO_GIA'!$G$1:$G$5000, MATCH(B501, '00_TONG_HOP_BAO_GIA'!$B$1:$B$5000, 0)), 1)</f>
        <v/>
      </c>
      <c r="I501" s="407">
        <f>G501*H501</f>
        <v/>
      </c>
      <c r="J501" s="402">
        <f>IFERROR(INDEX('06_BANG_GIA_VAT_TU_AP_DUNG'!$E$1:$E$5000, MATCH(E501, '06_BANG_GIA_VAT_TU_AP_DUNG'!$B$1:$B$5000, 0)), 0)</f>
        <v/>
      </c>
      <c r="K501" s="402">
        <f>I501*J501</f>
        <v/>
      </c>
      <c r="L501" t="inlineStr">
        <is>
          <t>2 trục dài 360mm</t>
        </is>
      </c>
    </row>
    <row r="502">
      <c r="A502" t="inlineStr">
        <is>
          <t>SW-DAMPER-080-BEARING</t>
        </is>
      </c>
      <c r="B502" t="inlineStr">
        <is>
          <t>SW-DAMPER-080</t>
        </is>
      </c>
      <c r="C502" t="inlineStr">
        <is>
          <t>Bạc đồng D10</t>
        </is>
      </c>
      <c r="D502" t="inlineStr">
        <is>
          <t>PHỤ_KIỆN_VAN</t>
        </is>
      </c>
      <c r="E502" t="inlineStr">
        <is>
          <t>MAT-DAMPER-BAC-DONG-D10</t>
        </is>
      </c>
      <c r="F502" t="inlineStr">
        <is>
          <t>Đôi</t>
        </is>
      </c>
      <c r="G502" s="406" t="n">
        <v>2</v>
      </c>
      <c r="H502" s="402">
        <f>IFERROR(INDEX('00_TONG_HOP_BAO_GIA'!$G$1:$G$5000, MATCH(B502, '00_TONG_HOP_BAO_GIA'!$B$1:$B$5000, 0)), 1)</f>
        <v/>
      </c>
      <c r="I502" s="407">
        <f>G502*H502</f>
        <v/>
      </c>
      <c r="J502" s="402">
        <f>IFERROR(INDEX('06_BANG_GIA_VAT_TU_AP_DUNG'!$E$1:$E$5000, MATCH(E502, '06_BANG_GIA_VAT_TU_AP_DUNG'!$B$1:$B$5000, 0)), 0)</f>
        <v/>
      </c>
      <c r="K502" s="402">
        <f>I502*J502</f>
        <v/>
      </c>
      <c r="L502" t="inlineStr">
        <is>
          <t>2 đôi bạc đỡ 2 bên thân</t>
        </is>
      </c>
    </row>
    <row r="503">
      <c r="A503" t="inlineStr">
        <is>
          <t>SW-DAMPER-080-GEAR</t>
        </is>
      </c>
      <c r="B503" t="inlineStr">
        <is>
          <t>SW-DAMPER-080</t>
        </is>
      </c>
      <c r="C503" t="inlineStr">
        <is>
          <t>Bánh răng van nhôm</t>
        </is>
      </c>
      <c r="D503" t="inlineStr">
        <is>
          <t>PHỤ_KIỆN_VAN</t>
        </is>
      </c>
      <c r="E503" t="inlineStr">
        <is>
          <t>MAT-DAMPER-BANH-RANG-VAN-NHOM</t>
        </is>
      </c>
      <c r="F503" t="inlineStr">
        <is>
          <t>Bộ</t>
        </is>
      </c>
      <c r="G503" s="406" t="n">
        <v>1</v>
      </c>
      <c r="H503" s="402">
        <f>IFERROR(INDEX('00_TONG_HOP_BAO_GIA'!$G$1:$G$5000, MATCH(B503, '00_TONG_HOP_BAO_GIA'!$B$1:$B$5000, 0)), 1)</f>
        <v/>
      </c>
      <c r="I503" s="407">
        <f>G503*H503</f>
        <v/>
      </c>
      <c r="J503" s="402">
        <f>IFERROR(INDEX('06_BANG_GIA_VAT_TU_AP_DUNG'!$E$1:$E$5000, MATCH(E503, '06_BANG_GIA_VAT_TU_AP_DUNG'!$B$1:$B$5000, 0)), 0)</f>
        <v/>
      </c>
      <c r="K503" s="402">
        <f>I503*J503</f>
        <v/>
      </c>
      <c r="L503" t="inlineStr">
        <is>
          <t>Cơ cấu liên động cánh (1 bộ)</t>
        </is>
      </c>
    </row>
    <row r="504">
      <c r="A504" t="inlineStr">
        <is>
          <t>SW-DAMPER-080-HANDLE</t>
        </is>
      </c>
      <c r="B504" t="inlineStr">
        <is>
          <t>SW-DAMPER-080</t>
        </is>
      </c>
      <c r="C504" t="inlineStr">
        <is>
          <t>Tay gạt nhỏ</t>
        </is>
      </c>
      <c r="D504" t="inlineStr">
        <is>
          <t>PHỤ_KIỆN_VAN</t>
        </is>
      </c>
      <c r="E504" t="inlineStr">
        <is>
          <t>MAT-DAMPER-TAY-GAT-NHO</t>
        </is>
      </c>
      <c r="F504" t="inlineStr">
        <is>
          <t>Bộ</t>
        </is>
      </c>
      <c r="G504" s="406" t="n">
        <v>1</v>
      </c>
      <c r="H504" s="402">
        <f>IFERROR(INDEX('00_TONG_HOP_BAO_GIA'!$G$1:$G$5000, MATCH(B504, '00_TONG_HOP_BAO_GIA'!$B$1:$B$5000, 0)), 1)</f>
        <v/>
      </c>
      <c r="I504" s="407">
        <f>G504*H504</f>
        <v/>
      </c>
      <c r="J504" s="402">
        <f>IFERROR(INDEX('06_BANG_GIA_VAT_TU_AP_DUNG'!$E$1:$E$5000, MATCH(E504, '06_BANG_GIA_VAT_TU_AP_DUNG'!$B$1:$B$5000, 0)), 0)</f>
        <v/>
      </c>
      <c r="K504" s="402">
        <f>I504*J504</f>
        <v/>
      </c>
      <c r="L504" t="inlineStr">
        <is>
          <t>Tay gạt khóa vị trí nan (S=0.09m2)</t>
        </is>
      </c>
    </row>
    <row r="505">
      <c r="A505" t="inlineStr">
        <is>
          <t>SW-DAMPER-081-BODY</t>
        </is>
      </c>
      <c r="B505" t="inlineStr">
        <is>
          <t>SW-DAMPER-081</t>
        </is>
      </c>
      <c r="C505" t="inlineStr">
        <is>
          <t>Thân vỏ van VCD bích C30/TDF (0.75mm)</t>
        </is>
      </c>
      <c r="D505" t="inlineStr">
        <is>
          <t>TÔN_CUỘN_MẠ_KẼM</t>
        </is>
      </c>
      <c r="E505" t="inlineStr">
        <is>
          <t>MAT-STEEL-PN-0.75</t>
        </is>
      </c>
      <c r="F505" t="inlineStr">
        <is>
          <t>kg</t>
        </is>
      </c>
      <c r="G505" s="406" t="n">
        <v>1.6270695</v>
      </c>
      <c r="H505" s="402">
        <f>IFERROR(INDEX('00_TONG_HOP_BAO_GIA'!$G$1:$G$5000, MATCH(B505, '00_TONG_HOP_BAO_GIA'!$B$1:$B$5000, 0)), 1)</f>
        <v/>
      </c>
      <c r="I505" s="407">
        <f>G505*H505</f>
        <v/>
      </c>
      <c r="J505" s="402">
        <f>IFERROR(INDEX('06_BANG_GIA_VAT_TU_AP_DUNG'!$E$1:$E$5000, MATCH(E505, '06_BANG_GIA_VAT_TU_AP_DUNG'!$B$1:$B$5000, 0)), 0)</f>
        <v/>
      </c>
      <c r="K505" s="402">
        <f>I505*J505</f>
        <v/>
      </c>
      <c r="L505" t="inlineStr">
        <is>
          <t>Kích thước vỏ 250x200x210mm</t>
        </is>
      </c>
    </row>
    <row r="506">
      <c r="A506" t="inlineStr">
        <is>
          <t>SW-DAMPER-081-BLADE</t>
        </is>
      </c>
      <c r="B506" t="inlineStr">
        <is>
          <t>SW-DAMPER-081</t>
        </is>
      </c>
      <c r="C506" t="inlineStr">
        <is>
          <t>Lá cánh / Tôn tấm bọc van (2 cánh)</t>
        </is>
      </c>
      <c r="D506" t="inlineStr">
        <is>
          <t>TÔN_CUỘN_MẠ_KẼM</t>
        </is>
      </c>
      <c r="E506" t="inlineStr">
        <is>
          <t>MAT-STEEL-PN-0.75</t>
        </is>
      </c>
      <c r="F506" t="inlineStr">
        <is>
          <t>kg</t>
        </is>
      </c>
      <c r="G506" s="406" t="n">
        <v>0.38151</v>
      </c>
      <c r="H506" s="402">
        <f>IFERROR(INDEX('00_TONG_HOP_BAO_GIA'!$G$1:$G$5000, MATCH(B506, '00_TONG_HOP_BAO_GIA'!$B$1:$B$5000, 0)), 1)</f>
        <v/>
      </c>
      <c r="I506" s="407">
        <f>G506*H506</f>
        <v/>
      </c>
      <c r="J506" s="402">
        <f>IFERROR(INDEX('06_BANG_GIA_VAT_TU_AP_DUNG'!$E$1:$E$5000, MATCH(E506, '06_BANG_GIA_VAT_TU_AP_DUNG'!$B$1:$B$5000, 0)), 0)</f>
        <v/>
      </c>
      <c r="K506" s="402">
        <f>I506*J506</f>
        <v/>
      </c>
      <c r="L506" t="inlineStr">
        <is>
          <t>2 cánh cao 120mm</t>
        </is>
      </c>
    </row>
    <row r="507">
      <c r="A507" t="inlineStr">
        <is>
          <t>SW-DAMPER-081-AXLE</t>
        </is>
      </c>
      <c r="B507" t="inlineStr">
        <is>
          <t>SW-DAMPER-081</t>
        </is>
      </c>
      <c r="C507" t="inlineStr">
        <is>
          <t>Trục Sus 201 D10</t>
        </is>
      </c>
      <c r="D507" t="inlineStr">
        <is>
          <t>PHỤ_KIỆN_VAN</t>
        </is>
      </c>
      <c r="E507" t="inlineStr">
        <is>
          <t>MAT-DAMPER-TRUC-SUS-201-D10</t>
        </is>
      </c>
      <c r="F507" t="inlineStr">
        <is>
          <t>m</t>
        </is>
      </c>
      <c r="G507" s="406" t="n">
        <v>0.62</v>
      </c>
      <c r="H507" s="402">
        <f>IFERROR(INDEX('00_TONG_HOP_BAO_GIA'!$G$1:$G$5000, MATCH(B507, '00_TONG_HOP_BAO_GIA'!$B$1:$B$5000, 0)), 1)</f>
        <v/>
      </c>
      <c r="I507" s="407">
        <f>G507*H507</f>
        <v/>
      </c>
      <c r="J507" s="402">
        <f>IFERROR(INDEX('06_BANG_GIA_VAT_TU_AP_DUNG'!$E$1:$E$5000, MATCH(E507, '06_BANG_GIA_VAT_TU_AP_DUNG'!$B$1:$B$5000, 0)), 0)</f>
        <v/>
      </c>
      <c r="K507" s="402">
        <f>I507*J507</f>
        <v/>
      </c>
      <c r="L507" t="inlineStr">
        <is>
          <t>2 trục dài 310mm</t>
        </is>
      </c>
    </row>
    <row r="508">
      <c r="A508" t="inlineStr">
        <is>
          <t>SW-DAMPER-081-BEARING</t>
        </is>
      </c>
      <c r="B508" t="inlineStr">
        <is>
          <t>SW-DAMPER-081</t>
        </is>
      </c>
      <c r="C508" t="inlineStr">
        <is>
          <t>Bạc đồng D10</t>
        </is>
      </c>
      <c r="D508" t="inlineStr">
        <is>
          <t>PHỤ_KIỆN_VAN</t>
        </is>
      </c>
      <c r="E508" t="inlineStr">
        <is>
          <t>MAT-DAMPER-BAC-DONG-D10</t>
        </is>
      </c>
      <c r="F508" t="inlineStr">
        <is>
          <t>Đôi</t>
        </is>
      </c>
      <c r="G508" s="406" t="n">
        <v>2</v>
      </c>
      <c r="H508" s="402">
        <f>IFERROR(INDEX('00_TONG_HOP_BAO_GIA'!$G$1:$G$5000, MATCH(B508, '00_TONG_HOP_BAO_GIA'!$B$1:$B$5000, 0)), 1)</f>
        <v/>
      </c>
      <c r="I508" s="407">
        <f>G508*H508</f>
        <v/>
      </c>
      <c r="J508" s="402">
        <f>IFERROR(INDEX('06_BANG_GIA_VAT_TU_AP_DUNG'!$E$1:$E$5000, MATCH(E508, '06_BANG_GIA_VAT_TU_AP_DUNG'!$B$1:$B$5000, 0)), 0)</f>
        <v/>
      </c>
      <c r="K508" s="402">
        <f>I508*J508</f>
        <v/>
      </c>
      <c r="L508" t="inlineStr">
        <is>
          <t>2 đôi bạc đỡ 2 bên thân</t>
        </is>
      </c>
    </row>
    <row r="509">
      <c r="A509" t="inlineStr">
        <is>
          <t>SW-DAMPER-081-GEAR</t>
        </is>
      </c>
      <c r="B509" t="inlineStr">
        <is>
          <t>SW-DAMPER-081</t>
        </is>
      </c>
      <c r="C509" t="inlineStr">
        <is>
          <t>Bánh răng van nhôm</t>
        </is>
      </c>
      <c r="D509" t="inlineStr">
        <is>
          <t>PHỤ_KIỆN_VAN</t>
        </is>
      </c>
      <c r="E509" t="inlineStr">
        <is>
          <t>MAT-DAMPER-BANH-RANG-VAN-NHOM</t>
        </is>
      </c>
      <c r="F509" t="inlineStr">
        <is>
          <t>Bộ</t>
        </is>
      </c>
      <c r="G509" s="406" t="n">
        <v>1</v>
      </c>
      <c r="H509" s="402">
        <f>IFERROR(INDEX('00_TONG_HOP_BAO_GIA'!$G$1:$G$5000, MATCH(B509, '00_TONG_HOP_BAO_GIA'!$B$1:$B$5000, 0)), 1)</f>
        <v/>
      </c>
      <c r="I509" s="407">
        <f>G509*H509</f>
        <v/>
      </c>
      <c r="J509" s="402">
        <f>IFERROR(INDEX('06_BANG_GIA_VAT_TU_AP_DUNG'!$E$1:$E$5000, MATCH(E509, '06_BANG_GIA_VAT_TU_AP_DUNG'!$B$1:$B$5000, 0)), 0)</f>
        <v/>
      </c>
      <c r="K509" s="402">
        <f>I509*J509</f>
        <v/>
      </c>
      <c r="L509" t="inlineStr">
        <is>
          <t>Cơ cấu liên động cánh (1 bộ)</t>
        </is>
      </c>
    </row>
    <row r="510">
      <c r="A510" t="inlineStr">
        <is>
          <t>SW-DAMPER-081-HANDLE</t>
        </is>
      </c>
      <c r="B510" t="inlineStr">
        <is>
          <t>SW-DAMPER-081</t>
        </is>
      </c>
      <c r="C510" t="inlineStr">
        <is>
          <t>Tay gạt nhỏ</t>
        </is>
      </c>
      <c r="D510" t="inlineStr">
        <is>
          <t>PHỤ_KIỆN_VAN</t>
        </is>
      </c>
      <c r="E510" t="inlineStr">
        <is>
          <t>MAT-DAMPER-TAY-GAT-NHO</t>
        </is>
      </c>
      <c r="F510" t="inlineStr">
        <is>
          <t>Bộ</t>
        </is>
      </c>
      <c r="G510" s="406" t="n">
        <v>1</v>
      </c>
      <c r="H510" s="402">
        <f>IFERROR(INDEX('00_TONG_HOP_BAO_GIA'!$G$1:$G$5000, MATCH(B510, '00_TONG_HOP_BAO_GIA'!$B$1:$B$5000, 0)), 1)</f>
        <v/>
      </c>
      <c r="I510" s="407">
        <f>G510*H510</f>
        <v/>
      </c>
      <c r="J510" s="402">
        <f>IFERROR(INDEX('06_BANG_GIA_VAT_TU_AP_DUNG'!$E$1:$E$5000, MATCH(E510, '06_BANG_GIA_VAT_TU_AP_DUNG'!$B$1:$B$5000, 0)), 0)</f>
        <v/>
      </c>
      <c r="K510" s="402">
        <f>I510*J510</f>
        <v/>
      </c>
      <c r="L510" t="inlineStr">
        <is>
          <t>Tay gạt khóa vị trí nan (S=0.05m2)</t>
        </is>
      </c>
    </row>
    <row r="511">
      <c r="A511" t="inlineStr">
        <is>
          <t>SW-DAMPER-081-FB10-EI</t>
        </is>
      </c>
      <c r="B511" t="inlineStr">
        <is>
          <t>SW-DAMPER-081</t>
        </is>
      </c>
      <c r="C511" t="inlineStr">
        <is>
          <t>Tấm chống cháy dày 10mm bọc thân van VCD (EI60)</t>
        </is>
      </c>
      <c r="D511" t="inlineStr">
        <is>
          <t>VẬT_LIỆU_CÁCH_NHIỆT</t>
        </is>
      </c>
      <c r="E511" t="inlineStr">
        <is>
          <t>MAT-FIREBOARD-10MM-BODY</t>
        </is>
      </c>
      <c r="F511" t="inlineStr">
        <is>
          <t>m2</t>
        </is>
      </c>
      <c r="G511" s="406" t="n">
        <v>0.2691</v>
      </c>
      <c r="H511" s="402">
        <f>IFERROR(INDEX('00_TONG_HOP_BAO_GIA'!$G$1:$G$5000, MATCH(B511, '00_TONG_HOP_BAO_GIA'!$B$1:$B$5000, 0)), 1)</f>
        <v/>
      </c>
      <c r="I511" s="407">
        <f>G511*H511</f>
        <v/>
      </c>
      <c r="J511" s="402">
        <f>IFERROR(INDEX('06_BANG_GIA_VAT_TU_AP_DUNG'!$E$1:$E$5000, MATCH(E511, '06_BANG_GIA_VAT_TU_AP_DUNG'!$B$1:$B$5000, 0)), 0)</f>
        <v/>
      </c>
      <c r="K511" s="402">
        <f>I511*J511</f>
        <v/>
      </c>
      <c r="L511" t="inlineStr">
        <is>
          <t>Bọc chống cháy EI60 quanh thân van</t>
        </is>
      </c>
    </row>
    <row r="512">
      <c r="A512" t="inlineStr">
        <is>
          <t>SW-DAMPER-107-BODY</t>
        </is>
      </c>
      <c r="B512" t="inlineStr">
        <is>
          <t>SW-DAMPER-107</t>
        </is>
      </c>
      <c r="C512" t="inlineStr">
        <is>
          <t>Thân vỏ van NRD bích C30/TDF (0.75mm)</t>
        </is>
      </c>
      <c r="D512" t="inlineStr">
        <is>
          <t>TÔN_CUỘN_MẠ_KẼM</t>
        </is>
      </c>
      <c r="E512" t="inlineStr">
        <is>
          <t>MAT-STEEL-PN-0.75</t>
        </is>
      </c>
      <c r="F512" t="inlineStr">
        <is>
          <t>kg</t>
        </is>
      </c>
      <c r="G512" s="406" t="n">
        <v>18.278568</v>
      </c>
      <c r="H512" s="402">
        <f>IFERROR(INDEX('00_TONG_HOP_BAO_GIA'!$G$1:$G$5000, MATCH(B512, '00_TONG_HOP_BAO_GIA'!$B$1:$B$5000, 0)), 1)</f>
        <v/>
      </c>
      <c r="I512" s="407">
        <f>G512*H512</f>
        <v/>
      </c>
      <c r="J512" s="402">
        <f>IFERROR(INDEX('06_BANG_GIA_VAT_TU_AP_DUNG'!$E$1:$E$5000, MATCH(E512, '06_BANG_GIA_VAT_TU_AP_DUNG'!$B$1:$B$5000, 0)), 0)</f>
        <v/>
      </c>
      <c r="K512" s="402">
        <f>I512*J512</f>
        <v/>
      </c>
      <c r="L512" t="inlineStr">
        <is>
          <t>Kích thước vỏ 1350x1250x210mm (4 modul 675x625mm)</t>
        </is>
      </c>
    </row>
    <row r="513">
      <c r="A513" t="inlineStr">
        <is>
          <t>SW-DAMPER-107-BLADE</t>
        </is>
      </c>
      <c r="B513" t="inlineStr">
        <is>
          <t>SW-DAMPER-107</t>
        </is>
      </c>
      <c r="C513" t="inlineStr">
        <is>
          <t>Lá cánh / Tôn tấm bọc van (16 cánh)</t>
        </is>
      </c>
      <c r="D513" t="inlineStr">
        <is>
          <t>TÔN_CUỘN_MẠ_KẼM</t>
        </is>
      </c>
      <c r="E513" t="inlineStr">
        <is>
          <t>MAT-STEEL-PN-0.75</t>
        </is>
      </c>
      <c r="F513" t="inlineStr">
        <is>
          <t>kg</t>
        </is>
      </c>
      <c r="G513" s="406" t="n">
        <v>12.10340475</v>
      </c>
      <c r="H513" s="402">
        <f>IFERROR(INDEX('00_TONG_HOP_BAO_GIA'!$G$1:$G$5000, MATCH(B513, '00_TONG_HOP_BAO_GIA'!$B$1:$B$5000, 0)), 1)</f>
        <v/>
      </c>
      <c r="I513" s="407">
        <f>G513*H513</f>
        <v/>
      </c>
      <c r="J513" s="402">
        <f>IFERROR(INDEX('06_BANG_GIA_VAT_TU_AP_DUNG'!$E$1:$E$5000, MATCH(E513, '06_BANG_GIA_VAT_TU_AP_DUNG'!$B$1:$B$5000, 0)), 0)</f>
        <v/>
      </c>
      <c r="K513" s="402">
        <f>I513*J513</f>
        <v/>
      </c>
      <c r="L513" t="inlineStr">
        <is>
          <t>16 cánh cao 176mm (4 modul 675x625mm)</t>
        </is>
      </c>
    </row>
    <row r="514">
      <c r="A514" t="inlineStr">
        <is>
          <t>SW-DAMPER-107-AXLE</t>
        </is>
      </c>
      <c r="B514" t="inlineStr">
        <is>
          <t>SW-DAMPER-107</t>
        </is>
      </c>
      <c r="C514" t="inlineStr">
        <is>
          <t>Trục Sus 201 D10</t>
        </is>
      </c>
      <c r="D514" t="inlineStr">
        <is>
          <t>PHỤ_KIỆN_VAN</t>
        </is>
      </c>
      <c r="E514" t="inlineStr">
        <is>
          <t>MAT-DAMPER-TRUC-SUS-201-D10</t>
        </is>
      </c>
      <c r="F514" t="inlineStr">
        <is>
          <t>m</t>
        </is>
      </c>
      <c r="G514" s="406" t="n">
        <v>11.76</v>
      </c>
      <c r="H514" s="402">
        <f>IFERROR(INDEX('00_TONG_HOP_BAO_GIA'!$G$1:$G$5000, MATCH(B514, '00_TONG_HOP_BAO_GIA'!$B$1:$B$5000, 0)), 1)</f>
        <v/>
      </c>
      <c r="I514" s="407">
        <f>G514*H514</f>
        <v/>
      </c>
      <c r="J514" s="402">
        <f>IFERROR(INDEX('06_BANG_GIA_VAT_TU_AP_DUNG'!$E$1:$E$5000, MATCH(E514, '06_BANG_GIA_VAT_TU_AP_DUNG'!$B$1:$B$5000, 0)), 0)</f>
        <v/>
      </c>
      <c r="K514" s="402">
        <f>I514*J514</f>
        <v/>
      </c>
      <c r="L514" t="inlineStr">
        <is>
          <t>16 trục dài 735mm</t>
        </is>
      </c>
    </row>
    <row r="515">
      <c r="A515" t="inlineStr">
        <is>
          <t>SW-DAMPER-107-BEARING</t>
        </is>
      </c>
      <c r="B515" t="inlineStr">
        <is>
          <t>SW-DAMPER-107</t>
        </is>
      </c>
      <c r="C515" t="inlineStr">
        <is>
          <t>Bạc đồng D10</t>
        </is>
      </c>
      <c r="D515" t="inlineStr">
        <is>
          <t>PHỤ_KIỆN_VAN</t>
        </is>
      </c>
      <c r="E515" t="inlineStr">
        <is>
          <t>MAT-DAMPER-BAC-DONG-D10</t>
        </is>
      </c>
      <c r="F515" t="inlineStr">
        <is>
          <t>Đôi</t>
        </is>
      </c>
      <c r="G515" s="406" t="n">
        <v>16</v>
      </c>
      <c r="H515" s="402">
        <f>IFERROR(INDEX('00_TONG_HOP_BAO_GIA'!$G$1:$G$5000, MATCH(B515, '00_TONG_HOP_BAO_GIA'!$B$1:$B$5000, 0)), 1)</f>
        <v/>
      </c>
      <c r="I515" s="407">
        <f>G515*H515</f>
        <v/>
      </c>
      <c r="J515" s="402">
        <f>IFERROR(INDEX('06_BANG_GIA_VAT_TU_AP_DUNG'!$E$1:$E$5000, MATCH(E515, '06_BANG_GIA_VAT_TU_AP_DUNG'!$B$1:$B$5000, 0)), 0)</f>
        <v/>
      </c>
      <c r="K515" s="402">
        <f>I515*J515</f>
        <v/>
      </c>
      <c r="L515" t="inlineStr">
        <is>
          <t>16 đôi bạc đỡ 2 bên thân</t>
        </is>
      </c>
    </row>
    <row r="516">
      <c r="A516" t="inlineStr">
        <is>
          <t>SW-DAMPER-107-GEAR</t>
        </is>
      </c>
      <c r="B516" t="inlineStr">
        <is>
          <t>SW-DAMPER-107</t>
        </is>
      </c>
      <c r="C516" t="inlineStr">
        <is>
          <t>Bánh răng van nhôm</t>
        </is>
      </c>
      <c r="D516" t="inlineStr">
        <is>
          <t>PHỤ_KIỆN_VAN</t>
        </is>
      </c>
      <c r="E516" t="inlineStr">
        <is>
          <t>MAT-DAMPER-BANH-RANG-VAN-NHOM</t>
        </is>
      </c>
      <c r="F516" t="inlineStr">
        <is>
          <t>Bộ</t>
        </is>
      </c>
      <c r="G516" s="406" t="n">
        <v>4</v>
      </c>
      <c r="H516" s="402">
        <f>IFERROR(INDEX('00_TONG_HOP_BAO_GIA'!$G$1:$G$5000, MATCH(B516, '00_TONG_HOP_BAO_GIA'!$B$1:$B$5000, 0)), 1)</f>
        <v/>
      </c>
      <c r="I516" s="407">
        <f>G516*H516</f>
        <v/>
      </c>
      <c r="J516" s="402">
        <f>IFERROR(INDEX('06_BANG_GIA_VAT_TU_AP_DUNG'!$E$1:$E$5000, MATCH(E516, '06_BANG_GIA_VAT_TU_AP_DUNG'!$B$1:$B$5000, 0)), 0)</f>
        <v/>
      </c>
      <c r="K516" s="402">
        <f>I516*J516</f>
        <v/>
      </c>
      <c r="L516" t="inlineStr">
        <is>
          <t>Cơ cấu liên động cánh (4 bộ)</t>
        </is>
      </c>
    </row>
    <row r="517">
      <c r="A517" t="inlineStr">
        <is>
          <t>SW-DAMPER-107-ECCENTRIC</t>
        </is>
      </c>
      <c r="B517" t="inlineStr">
        <is>
          <t>SW-DAMPER-107</t>
        </is>
      </c>
      <c r="C517" t="inlineStr">
        <is>
          <t>Cơ cấu lệch tâm / Lò xo đóng mở (NRD)</t>
        </is>
      </c>
      <c r="D517" t="inlineStr">
        <is>
          <t>PHỤ_KIỆN_VAN</t>
        </is>
      </c>
      <c r="E517" t="inlineStr">
        <is>
          <t>ECCENTRIC_SHAFT</t>
        </is>
      </c>
      <c r="F517" t="inlineStr">
        <is>
          <t>Bộ</t>
        </is>
      </c>
      <c r="G517" s="406" t="n">
        <v>4</v>
      </c>
      <c r="H517" s="402">
        <f>IFERROR(INDEX('00_TONG_HOP_BAO_GIA'!$G$1:$G$5000, MATCH(B517, '00_TONG_HOP_BAO_GIA'!$B$1:$B$5000, 0)), 1)</f>
        <v/>
      </c>
      <c r="I517" s="407">
        <f>G517*H517</f>
        <v/>
      </c>
      <c r="J517" s="402">
        <f>IFERROR(INDEX('06_BANG_GIA_VAT_TU_AP_DUNG'!$E$1:$E$5000, MATCH(E517, '06_BANG_GIA_VAT_TU_AP_DUNG'!$B$1:$B$5000, 0)), 0)</f>
        <v/>
      </c>
      <c r="K517" s="402">
        <f>I517*J517</f>
        <v/>
      </c>
      <c r="L517" t="inlineStr">
        <is>
          <t>Cơ cấu đóng mở một chiều</t>
        </is>
      </c>
    </row>
    <row r="518">
      <c r="A518" t="inlineStr">
        <is>
          <t>SW-DAMPER-107-FB10-EI</t>
        </is>
      </c>
      <c r="B518" t="inlineStr">
        <is>
          <t>SW-DAMPER-107</t>
        </is>
      </c>
      <c r="C518" t="inlineStr">
        <is>
          <t>Tấm chống cháy dày 10mm bọc thân van NRD (EI60)</t>
        </is>
      </c>
      <c r="D518" t="inlineStr">
        <is>
          <t>VẬT_LIỆU_CÁCH_NHIỆT</t>
        </is>
      </c>
      <c r="E518" t="inlineStr">
        <is>
          <t>MAT-FIREBOARD-10MM-BODY</t>
        </is>
      </c>
      <c r="F518" t="inlineStr">
        <is>
          <t>m2</t>
        </is>
      </c>
      <c r="G518" s="406" t="n">
        <v>3.1096</v>
      </c>
      <c r="H518" s="402">
        <f>IFERROR(INDEX('00_TONG_HOP_BAO_GIA'!$G$1:$G$5000, MATCH(B518, '00_TONG_HOP_BAO_GIA'!$B$1:$B$5000, 0)), 1)</f>
        <v/>
      </c>
      <c r="I518" s="407">
        <f>G518*H518</f>
        <v/>
      </c>
      <c r="J518" s="402">
        <f>IFERROR(INDEX('06_BANG_GIA_VAT_TU_AP_DUNG'!$E$1:$E$5000, MATCH(E518, '06_BANG_GIA_VAT_TU_AP_DUNG'!$B$1:$B$5000, 0)), 0)</f>
        <v/>
      </c>
      <c r="K518" s="402">
        <f>I518*J518</f>
        <v/>
      </c>
      <c r="L518" t="inlineStr">
        <is>
          <t>Bọc chống cháy EI60 quanh thân van (4 modul 675x625mm)</t>
        </is>
      </c>
    </row>
    <row r="519">
      <c r="A519" t="inlineStr">
        <is>
          <t>SW-DAMPER-108-BODY</t>
        </is>
      </c>
      <c r="B519" t="inlineStr">
        <is>
          <t>SW-DAMPER-108</t>
        </is>
      </c>
      <c r="C519" t="inlineStr">
        <is>
          <t>Thân vỏ van NRD bích C30/TDF (0.75mm)</t>
        </is>
      </c>
      <c r="D519" t="inlineStr">
        <is>
          <t>TÔN_CUỘN_MẠ_KẼM</t>
        </is>
      </c>
      <c r="E519" t="inlineStr">
        <is>
          <t>MAT-STEEL-PN-0.75</t>
        </is>
      </c>
      <c r="F519" t="inlineStr">
        <is>
          <t>kg</t>
        </is>
      </c>
      <c r="G519" s="406" t="n">
        <v>8.620006500000001</v>
      </c>
      <c r="H519" s="402">
        <f>IFERROR(INDEX('00_TONG_HOP_BAO_GIA'!$G$1:$G$5000, MATCH(B519, '00_TONG_HOP_BAO_GIA'!$B$1:$B$5000, 0)), 1)</f>
        <v/>
      </c>
      <c r="I519" s="407">
        <f>G519*H519</f>
        <v/>
      </c>
      <c r="J519" s="402">
        <f>IFERROR(INDEX('06_BANG_GIA_VAT_TU_AP_DUNG'!$E$1:$E$5000, MATCH(E519, '06_BANG_GIA_VAT_TU_AP_DUNG'!$B$1:$B$5000, 0)), 0)</f>
        <v/>
      </c>
      <c r="K519" s="402">
        <f>I519*J519</f>
        <v/>
      </c>
      <c r="L519" t="inlineStr">
        <is>
          <t>Kích thước vỏ 1250x600x210mm (2 modul 625x600mm)</t>
        </is>
      </c>
    </row>
    <row r="520">
      <c r="A520" t="inlineStr">
        <is>
          <t>SW-DAMPER-108-BLADE</t>
        </is>
      </c>
      <c r="B520" t="inlineStr">
        <is>
          <t>SW-DAMPER-108</t>
        </is>
      </c>
      <c r="C520" t="inlineStr">
        <is>
          <t>Lá cánh / Tôn tấm bọc van (8 cánh)</t>
        </is>
      </c>
      <c r="D520" t="inlineStr">
        <is>
          <t>TÔN_CUỘN_MẠ_KẼM</t>
        </is>
      </c>
      <c r="E520" t="inlineStr">
        <is>
          <t>MAT-STEEL-PN-0.75</t>
        </is>
      </c>
      <c r="F520" t="inlineStr">
        <is>
          <t>kg</t>
        </is>
      </c>
      <c r="G520" s="406" t="n">
        <v>5.404725</v>
      </c>
      <c r="H520" s="402">
        <f>IFERROR(INDEX('00_TONG_HOP_BAO_GIA'!$G$1:$G$5000, MATCH(B520, '00_TONG_HOP_BAO_GIA'!$B$1:$B$5000, 0)), 1)</f>
        <v/>
      </c>
      <c r="I520" s="407">
        <f>G520*H520</f>
        <v/>
      </c>
      <c r="J520" s="402">
        <f>IFERROR(INDEX('06_BANG_GIA_VAT_TU_AP_DUNG'!$E$1:$E$5000, MATCH(E520, '06_BANG_GIA_VAT_TU_AP_DUNG'!$B$1:$B$5000, 0)), 0)</f>
        <v/>
      </c>
      <c r="K520" s="402">
        <f>I520*J520</f>
        <v/>
      </c>
      <c r="L520" t="inlineStr">
        <is>
          <t>8 cánh cao 170mm (2 modul 625x600mm)</t>
        </is>
      </c>
    </row>
    <row r="521">
      <c r="A521" t="inlineStr">
        <is>
          <t>SW-DAMPER-108-AXLE</t>
        </is>
      </c>
      <c r="B521" t="inlineStr">
        <is>
          <t>SW-DAMPER-108</t>
        </is>
      </c>
      <c r="C521" t="inlineStr">
        <is>
          <t>Trục Sus 201 D10</t>
        </is>
      </c>
      <c r="D521" t="inlineStr">
        <is>
          <t>PHỤ_KIỆN_VAN</t>
        </is>
      </c>
      <c r="E521" t="inlineStr">
        <is>
          <t>MAT-DAMPER-TRUC-SUS-201-D10</t>
        </is>
      </c>
      <c r="F521" t="inlineStr">
        <is>
          <t>m</t>
        </is>
      </c>
      <c r="G521" s="406" t="n">
        <v>5.48</v>
      </c>
      <c r="H521" s="402">
        <f>IFERROR(INDEX('00_TONG_HOP_BAO_GIA'!$G$1:$G$5000, MATCH(B521, '00_TONG_HOP_BAO_GIA'!$B$1:$B$5000, 0)), 1)</f>
        <v/>
      </c>
      <c r="I521" s="407">
        <f>G521*H521</f>
        <v/>
      </c>
      <c r="J521" s="402">
        <f>IFERROR(INDEX('06_BANG_GIA_VAT_TU_AP_DUNG'!$E$1:$E$5000, MATCH(E521, '06_BANG_GIA_VAT_TU_AP_DUNG'!$B$1:$B$5000, 0)), 0)</f>
        <v/>
      </c>
      <c r="K521" s="402">
        <f>I521*J521</f>
        <v/>
      </c>
      <c r="L521" t="inlineStr">
        <is>
          <t>8 trục dài 685mm</t>
        </is>
      </c>
    </row>
    <row r="522">
      <c r="A522" t="inlineStr">
        <is>
          <t>SW-DAMPER-108-BEARING</t>
        </is>
      </c>
      <c r="B522" t="inlineStr">
        <is>
          <t>SW-DAMPER-108</t>
        </is>
      </c>
      <c r="C522" t="inlineStr">
        <is>
          <t>Bạc đồng D10</t>
        </is>
      </c>
      <c r="D522" t="inlineStr">
        <is>
          <t>PHỤ_KIỆN_VAN</t>
        </is>
      </c>
      <c r="E522" t="inlineStr">
        <is>
          <t>MAT-DAMPER-BAC-DONG-D10</t>
        </is>
      </c>
      <c r="F522" t="inlineStr">
        <is>
          <t>Đôi</t>
        </is>
      </c>
      <c r="G522" s="406" t="n">
        <v>8</v>
      </c>
      <c r="H522" s="402">
        <f>IFERROR(INDEX('00_TONG_HOP_BAO_GIA'!$G$1:$G$5000, MATCH(B522, '00_TONG_HOP_BAO_GIA'!$B$1:$B$5000, 0)), 1)</f>
        <v/>
      </c>
      <c r="I522" s="407">
        <f>G522*H522</f>
        <v/>
      </c>
      <c r="J522" s="402">
        <f>IFERROR(INDEX('06_BANG_GIA_VAT_TU_AP_DUNG'!$E$1:$E$5000, MATCH(E522, '06_BANG_GIA_VAT_TU_AP_DUNG'!$B$1:$B$5000, 0)), 0)</f>
        <v/>
      </c>
      <c r="K522" s="402">
        <f>I522*J522</f>
        <v/>
      </c>
      <c r="L522" t="inlineStr">
        <is>
          <t>8 đôi bạc đỡ 2 bên thân</t>
        </is>
      </c>
    </row>
    <row r="523">
      <c r="A523" t="inlineStr">
        <is>
          <t>SW-DAMPER-108-GEAR</t>
        </is>
      </c>
      <c r="B523" t="inlineStr">
        <is>
          <t>SW-DAMPER-108</t>
        </is>
      </c>
      <c r="C523" t="inlineStr">
        <is>
          <t>Bánh răng van nhôm</t>
        </is>
      </c>
      <c r="D523" t="inlineStr">
        <is>
          <t>PHỤ_KIỆN_VAN</t>
        </is>
      </c>
      <c r="E523" t="inlineStr">
        <is>
          <t>MAT-DAMPER-BANH-RANG-VAN-NHOM</t>
        </is>
      </c>
      <c r="F523" t="inlineStr">
        <is>
          <t>Bộ</t>
        </is>
      </c>
      <c r="G523" s="406" t="n">
        <v>2</v>
      </c>
      <c r="H523" s="402">
        <f>IFERROR(INDEX('00_TONG_HOP_BAO_GIA'!$G$1:$G$5000, MATCH(B523, '00_TONG_HOP_BAO_GIA'!$B$1:$B$5000, 0)), 1)</f>
        <v/>
      </c>
      <c r="I523" s="407">
        <f>G523*H523</f>
        <v/>
      </c>
      <c r="J523" s="402">
        <f>IFERROR(INDEX('06_BANG_GIA_VAT_TU_AP_DUNG'!$E$1:$E$5000, MATCH(E523, '06_BANG_GIA_VAT_TU_AP_DUNG'!$B$1:$B$5000, 0)), 0)</f>
        <v/>
      </c>
      <c r="K523" s="402">
        <f>I523*J523</f>
        <v/>
      </c>
      <c r="L523" t="inlineStr">
        <is>
          <t>Cơ cấu liên động cánh (2 bộ)</t>
        </is>
      </c>
    </row>
    <row r="524">
      <c r="A524" t="inlineStr">
        <is>
          <t>SW-DAMPER-108-ECCENTRIC</t>
        </is>
      </c>
      <c r="B524" t="inlineStr">
        <is>
          <t>SW-DAMPER-108</t>
        </is>
      </c>
      <c r="C524" t="inlineStr">
        <is>
          <t>Cơ cấu lệch tâm / Lò xo đóng mở (NRD)</t>
        </is>
      </c>
      <c r="D524" t="inlineStr">
        <is>
          <t>PHỤ_KIỆN_VAN</t>
        </is>
      </c>
      <c r="E524" t="inlineStr">
        <is>
          <t>ECCENTRIC_SHAFT</t>
        </is>
      </c>
      <c r="F524" t="inlineStr">
        <is>
          <t>Bộ</t>
        </is>
      </c>
      <c r="G524" s="406" t="n">
        <v>2</v>
      </c>
      <c r="H524" s="402">
        <f>IFERROR(INDEX('00_TONG_HOP_BAO_GIA'!$G$1:$G$5000, MATCH(B524, '00_TONG_HOP_BAO_GIA'!$B$1:$B$5000, 0)), 1)</f>
        <v/>
      </c>
      <c r="I524" s="407">
        <f>G524*H524</f>
        <v/>
      </c>
      <c r="J524" s="402">
        <f>IFERROR(INDEX('06_BANG_GIA_VAT_TU_AP_DUNG'!$E$1:$E$5000, MATCH(E524, '06_BANG_GIA_VAT_TU_AP_DUNG'!$B$1:$B$5000, 0)), 0)</f>
        <v/>
      </c>
      <c r="K524" s="402">
        <f>I524*J524</f>
        <v/>
      </c>
      <c r="L524" t="inlineStr">
        <is>
          <t>Cơ cấu đóng mở một chiều</t>
        </is>
      </c>
    </row>
    <row r="525">
      <c r="A525" t="inlineStr">
        <is>
          <t>SW-DAMPER-108-FB10-EI</t>
        </is>
      </c>
      <c r="B525" t="inlineStr">
        <is>
          <t>SW-DAMPER-108</t>
        </is>
      </c>
      <c r="C525" t="inlineStr">
        <is>
          <t>Tấm chống cháy dày 10mm bọc thân van NRD (EI60)</t>
        </is>
      </c>
      <c r="D525" t="inlineStr">
        <is>
          <t>VẬT_LIỆU_CÁCH_NHIỆT</t>
        </is>
      </c>
      <c r="E525" t="inlineStr">
        <is>
          <t>MAT-FIREBOARD-10MM-BODY</t>
        </is>
      </c>
      <c r="F525" t="inlineStr">
        <is>
          <t>m2</t>
        </is>
      </c>
      <c r="G525" s="406" t="n">
        <v>1.4651</v>
      </c>
      <c r="H525" s="402">
        <f>IFERROR(INDEX('00_TONG_HOP_BAO_GIA'!$G$1:$G$5000, MATCH(B525, '00_TONG_HOP_BAO_GIA'!$B$1:$B$5000, 0)), 1)</f>
        <v/>
      </c>
      <c r="I525" s="407">
        <f>G525*H525</f>
        <v/>
      </c>
      <c r="J525" s="402">
        <f>IFERROR(INDEX('06_BANG_GIA_VAT_TU_AP_DUNG'!$E$1:$E$5000, MATCH(E525, '06_BANG_GIA_VAT_TU_AP_DUNG'!$B$1:$B$5000, 0)), 0)</f>
        <v/>
      </c>
      <c r="K525" s="402">
        <f>I525*J525</f>
        <v/>
      </c>
      <c r="L525" t="inlineStr">
        <is>
          <t>Bọc chống cháy EI60 quanh thân van (2 modul 625x600mm)</t>
        </is>
      </c>
    </row>
    <row r="526">
      <c r="A526" t="inlineStr">
        <is>
          <t>SW-DAMPER-109-BODY</t>
        </is>
      </c>
      <c r="B526" t="inlineStr">
        <is>
          <t>SW-DAMPER-109</t>
        </is>
      </c>
      <c r="C526" t="inlineStr">
        <is>
          <t>Thân vỏ van NRD bích C30/TDF (0.75mm)</t>
        </is>
      </c>
      <c r="D526" t="inlineStr">
        <is>
          <t>TÔN_CUỘN_MẠ_KẼM</t>
        </is>
      </c>
      <c r="E526" t="inlineStr">
        <is>
          <t>MAT-STEEL-PN-0.75</t>
        </is>
      </c>
      <c r="F526" t="inlineStr">
        <is>
          <t>kg</t>
        </is>
      </c>
      <c r="G526" s="406" t="n">
        <v>3.7041795</v>
      </c>
      <c r="H526" s="402">
        <f>IFERROR(INDEX('00_TONG_HOP_BAO_GIA'!$G$1:$G$5000, MATCH(B526, '00_TONG_HOP_BAO_GIA'!$B$1:$B$5000, 0)), 1)</f>
        <v/>
      </c>
      <c r="I526" s="407">
        <f>G526*H526</f>
        <v/>
      </c>
      <c r="J526" s="402">
        <f>IFERROR(INDEX('06_BANG_GIA_VAT_TU_AP_DUNG'!$E$1:$E$5000, MATCH(E526, '06_BANG_GIA_VAT_TU_AP_DUNG'!$B$1:$B$5000, 0)), 0)</f>
        <v/>
      </c>
      <c r="K526" s="402">
        <f>I526*J526</f>
        <v/>
      </c>
      <c r="L526" t="inlineStr">
        <is>
          <t>Kích thước vỏ 800x250x210mm</t>
        </is>
      </c>
    </row>
    <row r="527">
      <c r="A527" t="inlineStr">
        <is>
          <t>SW-DAMPER-109-BLADE</t>
        </is>
      </c>
      <c r="B527" t="inlineStr">
        <is>
          <t>SW-DAMPER-109</t>
        </is>
      </c>
      <c r="C527" t="inlineStr">
        <is>
          <t>Lá cánh / Tôn tấm bọc van (2 cánh)</t>
        </is>
      </c>
      <c r="D527" t="inlineStr">
        <is>
          <t>TÔN_CUỘN_MẠ_KẼM</t>
        </is>
      </c>
      <c r="E527" t="inlineStr">
        <is>
          <t>MAT-STEEL-PN-0.75</t>
        </is>
      </c>
      <c r="F527" t="inlineStr">
        <is>
          <t>kg</t>
        </is>
      </c>
      <c r="G527" s="406" t="n">
        <v>1.475172</v>
      </c>
      <c r="H527" s="402">
        <f>IFERROR(INDEX('00_TONG_HOP_BAO_GIA'!$G$1:$G$5000, MATCH(B527, '00_TONG_HOP_BAO_GIA'!$B$1:$B$5000, 0)), 1)</f>
        <v/>
      </c>
      <c r="I527" s="407">
        <f>G527*H527</f>
        <v/>
      </c>
      <c r="J527" s="402">
        <f>IFERROR(INDEX('06_BANG_GIA_VAT_TU_AP_DUNG'!$E$1:$E$5000, MATCH(E527, '06_BANG_GIA_VAT_TU_AP_DUNG'!$B$1:$B$5000, 0)), 0)</f>
        <v/>
      </c>
      <c r="K527" s="402">
        <f>I527*J527</f>
        <v/>
      </c>
      <c r="L527" t="inlineStr">
        <is>
          <t>2 cánh cao 145mm</t>
        </is>
      </c>
    </row>
    <row r="528">
      <c r="A528" t="inlineStr">
        <is>
          <t>SW-DAMPER-109-AXLE</t>
        </is>
      </c>
      <c r="B528" t="inlineStr">
        <is>
          <t>SW-DAMPER-109</t>
        </is>
      </c>
      <c r="C528" t="inlineStr">
        <is>
          <t>Trục Sus 201 D10</t>
        </is>
      </c>
      <c r="D528" t="inlineStr">
        <is>
          <t>PHỤ_KIỆN_VAN</t>
        </is>
      </c>
      <c r="E528" t="inlineStr">
        <is>
          <t>MAT-DAMPER-TRUC-SUS-201-D10</t>
        </is>
      </c>
      <c r="F528" t="inlineStr">
        <is>
          <t>m</t>
        </is>
      </c>
      <c r="G528" s="406" t="n">
        <v>1.72</v>
      </c>
      <c r="H528" s="402">
        <f>IFERROR(INDEX('00_TONG_HOP_BAO_GIA'!$G$1:$G$5000, MATCH(B528, '00_TONG_HOP_BAO_GIA'!$B$1:$B$5000, 0)), 1)</f>
        <v/>
      </c>
      <c r="I528" s="407">
        <f>G528*H528</f>
        <v/>
      </c>
      <c r="J528" s="402">
        <f>IFERROR(INDEX('06_BANG_GIA_VAT_TU_AP_DUNG'!$E$1:$E$5000, MATCH(E528, '06_BANG_GIA_VAT_TU_AP_DUNG'!$B$1:$B$5000, 0)), 0)</f>
        <v/>
      </c>
      <c r="K528" s="402">
        <f>I528*J528</f>
        <v/>
      </c>
      <c r="L528" t="inlineStr">
        <is>
          <t>2 trục dài 860mm</t>
        </is>
      </c>
    </row>
    <row r="529">
      <c r="A529" t="inlineStr">
        <is>
          <t>SW-DAMPER-109-BEARING</t>
        </is>
      </c>
      <c r="B529" t="inlineStr">
        <is>
          <t>SW-DAMPER-109</t>
        </is>
      </c>
      <c r="C529" t="inlineStr">
        <is>
          <t>Bạc đồng D10</t>
        </is>
      </c>
      <c r="D529" t="inlineStr">
        <is>
          <t>PHỤ_KIỆN_VAN</t>
        </is>
      </c>
      <c r="E529" t="inlineStr">
        <is>
          <t>MAT-DAMPER-BAC-DONG-D10</t>
        </is>
      </c>
      <c r="F529" t="inlineStr">
        <is>
          <t>Đôi</t>
        </is>
      </c>
      <c r="G529" s="406" t="n">
        <v>2</v>
      </c>
      <c r="H529" s="402">
        <f>IFERROR(INDEX('00_TONG_HOP_BAO_GIA'!$G$1:$G$5000, MATCH(B529, '00_TONG_HOP_BAO_GIA'!$B$1:$B$5000, 0)), 1)</f>
        <v/>
      </c>
      <c r="I529" s="407">
        <f>G529*H529</f>
        <v/>
      </c>
      <c r="J529" s="402">
        <f>IFERROR(INDEX('06_BANG_GIA_VAT_TU_AP_DUNG'!$E$1:$E$5000, MATCH(E529, '06_BANG_GIA_VAT_TU_AP_DUNG'!$B$1:$B$5000, 0)), 0)</f>
        <v/>
      </c>
      <c r="K529" s="402">
        <f>I529*J529</f>
        <v/>
      </c>
      <c r="L529" t="inlineStr">
        <is>
          <t>2 đôi bạc đỡ 2 bên thân</t>
        </is>
      </c>
    </row>
    <row r="530">
      <c r="A530" t="inlineStr">
        <is>
          <t>SW-DAMPER-109-GEAR</t>
        </is>
      </c>
      <c r="B530" t="inlineStr">
        <is>
          <t>SW-DAMPER-109</t>
        </is>
      </c>
      <c r="C530" t="inlineStr">
        <is>
          <t>Bánh răng van nhôm</t>
        </is>
      </c>
      <c r="D530" t="inlineStr">
        <is>
          <t>PHỤ_KIỆN_VAN</t>
        </is>
      </c>
      <c r="E530" t="inlineStr">
        <is>
          <t>MAT-DAMPER-BANH-RANG-VAN-NHOM</t>
        </is>
      </c>
      <c r="F530" t="inlineStr">
        <is>
          <t>Bộ</t>
        </is>
      </c>
      <c r="G530" s="406" t="n">
        <v>1</v>
      </c>
      <c r="H530" s="402">
        <f>IFERROR(INDEX('00_TONG_HOP_BAO_GIA'!$G$1:$G$5000, MATCH(B530, '00_TONG_HOP_BAO_GIA'!$B$1:$B$5000, 0)), 1)</f>
        <v/>
      </c>
      <c r="I530" s="407">
        <f>G530*H530</f>
        <v/>
      </c>
      <c r="J530" s="402">
        <f>IFERROR(INDEX('06_BANG_GIA_VAT_TU_AP_DUNG'!$E$1:$E$5000, MATCH(E530, '06_BANG_GIA_VAT_TU_AP_DUNG'!$B$1:$B$5000, 0)), 0)</f>
        <v/>
      </c>
      <c r="K530" s="402">
        <f>I530*J530</f>
        <v/>
      </c>
      <c r="L530" t="inlineStr">
        <is>
          <t>Cơ cấu liên động cánh (1 bộ)</t>
        </is>
      </c>
    </row>
    <row r="531">
      <c r="A531" t="inlineStr">
        <is>
          <t>SW-DAMPER-109-ECCENTRIC</t>
        </is>
      </c>
      <c r="B531" t="inlineStr">
        <is>
          <t>SW-DAMPER-109</t>
        </is>
      </c>
      <c r="C531" t="inlineStr">
        <is>
          <t>Cơ cấu lệch tâm / Lò xo đóng mở (NRD)</t>
        </is>
      </c>
      <c r="D531" t="inlineStr">
        <is>
          <t>PHỤ_KIỆN_VAN</t>
        </is>
      </c>
      <c r="E531" t="inlineStr">
        <is>
          <t>ECCENTRIC_SHAFT</t>
        </is>
      </c>
      <c r="F531" t="inlineStr">
        <is>
          <t>Bộ</t>
        </is>
      </c>
      <c r="G531" s="406" t="n">
        <v>1</v>
      </c>
      <c r="H531" s="402">
        <f>IFERROR(INDEX('00_TONG_HOP_BAO_GIA'!$G$1:$G$5000, MATCH(B531, '00_TONG_HOP_BAO_GIA'!$B$1:$B$5000, 0)), 1)</f>
        <v/>
      </c>
      <c r="I531" s="407">
        <f>G531*H531</f>
        <v/>
      </c>
      <c r="J531" s="402">
        <f>IFERROR(INDEX('06_BANG_GIA_VAT_TU_AP_DUNG'!$E$1:$E$5000, MATCH(E531, '06_BANG_GIA_VAT_TU_AP_DUNG'!$B$1:$B$5000, 0)), 0)</f>
        <v/>
      </c>
      <c r="K531" s="402">
        <f>I531*J531</f>
        <v/>
      </c>
      <c r="L531" t="inlineStr">
        <is>
          <t>Cơ cấu đóng mở một chiều</t>
        </is>
      </c>
    </row>
    <row r="532">
      <c r="A532" t="inlineStr">
        <is>
          <t>SW-DAMPER-110-BODY</t>
        </is>
      </c>
      <c r="B532" t="inlineStr">
        <is>
          <t>SW-DAMPER-110</t>
        </is>
      </c>
      <c r="C532" t="inlineStr">
        <is>
          <t>Thân vỏ van NRD bích C30/TDF (0.75mm)</t>
        </is>
      </c>
      <c r="D532" t="inlineStr">
        <is>
          <t>TÔN_CUỘN_MẠ_KẼM</t>
        </is>
      </c>
      <c r="E532" t="inlineStr">
        <is>
          <t>MAT-STEEL-PN-0.75</t>
        </is>
      </c>
      <c r="F532" t="inlineStr">
        <is>
          <t>kg</t>
        </is>
      </c>
      <c r="G532" s="406" t="n">
        <v>4.3965495</v>
      </c>
      <c r="H532" s="402">
        <f>IFERROR(INDEX('00_TONG_HOP_BAO_GIA'!$G$1:$G$5000, MATCH(B532, '00_TONG_HOP_BAO_GIA'!$B$1:$B$5000, 0)), 1)</f>
        <v/>
      </c>
      <c r="I532" s="407">
        <f>G532*H532</f>
        <v/>
      </c>
      <c r="J532" s="402">
        <f>IFERROR(INDEX('06_BANG_GIA_VAT_TU_AP_DUNG'!$E$1:$E$5000, MATCH(E532, '06_BANG_GIA_VAT_TU_AP_DUNG'!$B$1:$B$5000, 0)), 0)</f>
        <v/>
      </c>
      <c r="K532" s="402">
        <f>I532*J532</f>
        <v/>
      </c>
      <c r="L532" t="inlineStr">
        <is>
          <t>Kích thước vỏ 800x450x210mm</t>
        </is>
      </c>
    </row>
    <row r="533">
      <c r="A533" t="inlineStr">
        <is>
          <t>SW-DAMPER-110-BLADE</t>
        </is>
      </c>
      <c r="B533" t="inlineStr">
        <is>
          <t>SW-DAMPER-110</t>
        </is>
      </c>
      <c r="C533" t="inlineStr">
        <is>
          <t>Lá cánh / Tôn tấm bọc van (3 cánh)</t>
        </is>
      </c>
      <c r="D533" t="inlineStr">
        <is>
          <t>TÔN_CUỘN_MẠ_KẼM</t>
        </is>
      </c>
      <c r="E533" t="inlineStr">
        <is>
          <t>MAT-STEEL-PN-0.75</t>
        </is>
      </c>
      <c r="F533" t="inlineStr">
        <is>
          <t>kg</t>
        </is>
      </c>
      <c r="G533" s="406" t="n">
        <v>2.594268</v>
      </c>
      <c r="H533" s="402">
        <f>IFERROR(INDEX('00_TONG_HOP_BAO_GIA'!$G$1:$G$5000, MATCH(B533, '00_TONG_HOP_BAO_GIA'!$B$1:$B$5000, 0)), 1)</f>
        <v/>
      </c>
      <c r="I533" s="407">
        <f>G533*H533</f>
        <v/>
      </c>
      <c r="J533" s="402">
        <f>IFERROR(INDEX('06_BANG_GIA_VAT_TU_AP_DUNG'!$E$1:$E$5000, MATCH(E533, '06_BANG_GIA_VAT_TU_AP_DUNG'!$B$1:$B$5000, 0)), 0)</f>
        <v/>
      </c>
      <c r="K533" s="402">
        <f>I533*J533</f>
        <v/>
      </c>
      <c r="L533" t="inlineStr">
        <is>
          <t>3 cánh cao 170mm</t>
        </is>
      </c>
    </row>
    <row r="534">
      <c r="A534" t="inlineStr">
        <is>
          <t>SW-DAMPER-110-AXLE</t>
        </is>
      </c>
      <c r="B534" t="inlineStr">
        <is>
          <t>SW-DAMPER-110</t>
        </is>
      </c>
      <c r="C534" t="inlineStr">
        <is>
          <t>Trục Sus 201 D10</t>
        </is>
      </c>
      <c r="D534" t="inlineStr">
        <is>
          <t>PHỤ_KIỆN_VAN</t>
        </is>
      </c>
      <c r="E534" t="inlineStr">
        <is>
          <t>MAT-DAMPER-TRUC-SUS-201-D10</t>
        </is>
      </c>
      <c r="F534" t="inlineStr">
        <is>
          <t>m</t>
        </is>
      </c>
      <c r="G534" s="406" t="n">
        <v>2.58</v>
      </c>
      <c r="H534" s="402">
        <f>IFERROR(INDEX('00_TONG_HOP_BAO_GIA'!$G$1:$G$5000, MATCH(B534, '00_TONG_HOP_BAO_GIA'!$B$1:$B$5000, 0)), 1)</f>
        <v/>
      </c>
      <c r="I534" s="407">
        <f>G534*H534</f>
        <v/>
      </c>
      <c r="J534" s="402">
        <f>IFERROR(INDEX('06_BANG_GIA_VAT_TU_AP_DUNG'!$E$1:$E$5000, MATCH(E534, '06_BANG_GIA_VAT_TU_AP_DUNG'!$B$1:$B$5000, 0)), 0)</f>
        <v/>
      </c>
      <c r="K534" s="402">
        <f>I534*J534</f>
        <v/>
      </c>
      <c r="L534" t="inlineStr">
        <is>
          <t>3 trục dài 860mm</t>
        </is>
      </c>
    </row>
    <row r="535">
      <c r="A535" t="inlineStr">
        <is>
          <t>SW-DAMPER-110-BEARING</t>
        </is>
      </c>
      <c r="B535" t="inlineStr">
        <is>
          <t>SW-DAMPER-110</t>
        </is>
      </c>
      <c r="C535" t="inlineStr">
        <is>
          <t>Bạc đồng D10</t>
        </is>
      </c>
      <c r="D535" t="inlineStr">
        <is>
          <t>PHỤ_KIỆN_VAN</t>
        </is>
      </c>
      <c r="E535" t="inlineStr">
        <is>
          <t>MAT-DAMPER-BAC-DONG-D10</t>
        </is>
      </c>
      <c r="F535" t="inlineStr">
        <is>
          <t>Đôi</t>
        </is>
      </c>
      <c r="G535" s="406" t="n">
        <v>3</v>
      </c>
      <c r="H535" s="402">
        <f>IFERROR(INDEX('00_TONG_HOP_BAO_GIA'!$G$1:$G$5000, MATCH(B535, '00_TONG_HOP_BAO_GIA'!$B$1:$B$5000, 0)), 1)</f>
        <v/>
      </c>
      <c r="I535" s="407">
        <f>G535*H535</f>
        <v/>
      </c>
      <c r="J535" s="402">
        <f>IFERROR(INDEX('06_BANG_GIA_VAT_TU_AP_DUNG'!$E$1:$E$5000, MATCH(E535, '06_BANG_GIA_VAT_TU_AP_DUNG'!$B$1:$B$5000, 0)), 0)</f>
        <v/>
      </c>
      <c r="K535" s="402">
        <f>I535*J535</f>
        <v/>
      </c>
      <c r="L535" t="inlineStr">
        <is>
          <t>3 đôi bạc đỡ 2 bên thân</t>
        </is>
      </c>
    </row>
    <row r="536">
      <c r="A536" t="inlineStr">
        <is>
          <t>SW-DAMPER-110-GEAR</t>
        </is>
      </c>
      <c r="B536" t="inlineStr">
        <is>
          <t>SW-DAMPER-110</t>
        </is>
      </c>
      <c r="C536" t="inlineStr">
        <is>
          <t>Bánh răng van nhôm</t>
        </is>
      </c>
      <c r="D536" t="inlineStr">
        <is>
          <t>PHỤ_KIỆN_VAN</t>
        </is>
      </c>
      <c r="E536" t="inlineStr">
        <is>
          <t>MAT-DAMPER-BANH-RANG-VAN-NHOM</t>
        </is>
      </c>
      <c r="F536" t="inlineStr">
        <is>
          <t>Bộ</t>
        </is>
      </c>
      <c r="G536" s="406" t="n">
        <v>1</v>
      </c>
      <c r="H536" s="402">
        <f>IFERROR(INDEX('00_TONG_HOP_BAO_GIA'!$G$1:$G$5000, MATCH(B536, '00_TONG_HOP_BAO_GIA'!$B$1:$B$5000, 0)), 1)</f>
        <v/>
      </c>
      <c r="I536" s="407">
        <f>G536*H536</f>
        <v/>
      </c>
      <c r="J536" s="402">
        <f>IFERROR(INDEX('06_BANG_GIA_VAT_TU_AP_DUNG'!$E$1:$E$5000, MATCH(E536, '06_BANG_GIA_VAT_TU_AP_DUNG'!$B$1:$B$5000, 0)), 0)</f>
        <v/>
      </c>
      <c r="K536" s="402">
        <f>I536*J536</f>
        <v/>
      </c>
      <c r="L536" t="inlineStr">
        <is>
          <t>Cơ cấu liên động cánh (1 bộ)</t>
        </is>
      </c>
    </row>
    <row r="537">
      <c r="A537" t="inlineStr">
        <is>
          <t>SW-DAMPER-110-ECCENTRIC</t>
        </is>
      </c>
      <c r="B537" t="inlineStr">
        <is>
          <t>SW-DAMPER-110</t>
        </is>
      </c>
      <c r="C537" t="inlineStr">
        <is>
          <t>Cơ cấu lệch tâm / Lò xo đóng mở (NRD)</t>
        </is>
      </c>
      <c r="D537" t="inlineStr">
        <is>
          <t>PHỤ_KIỆN_VAN</t>
        </is>
      </c>
      <c r="E537" t="inlineStr">
        <is>
          <t>ECCENTRIC_SHAFT</t>
        </is>
      </c>
      <c r="F537" t="inlineStr">
        <is>
          <t>Bộ</t>
        </is>
      </c>
      <c r="G537" s="406" t="n">
        <v>1</v>
      </c>
      <c r="H537" s="402">
        <f>IFERROR(INDEX('00_TONG_HOP_BAO_GIA'!$G$1:$G$5000, MATCH(B537, '00_TONG_HOP_BAO_GIA'!$B$1:$B$5000, 0)), 1)</f>
        <v/>
      </c>
      <c r="I537" s="407">
        <f>G537*H537</f>
        <v/>
      </c>
      <c r="J537" s="402">
        <f>IFERROR(INDEX('06_BANG_GIA_VAT_TU_AP_DUNG'!$E$1:$E$5000, MATCH(E537, '06_BANG_GIA_VAT_TU_AP_DUNG'!$B$1:$B$5000, 0)), 0)</f>
        <v/>
      </c>
      <c r="K537" s="402">
        <f>I537*J537</f>
        <v/>
      </c>
      <c r="L537" t="inlineStr">
        <is>
          <t>Cơ cấu đóng mở một chiều</t>
        </is>
      </c>
    </row>
    <row r="538">
      <c r="A538" t="inlineStr">
        <is>
          <t>SW-DAMPER-111-BODY</t>
        </is>
      </c>
      <c r="B538" t="inlineStr">
        <is>
          <t>SW-DAMPER-111</t>
        </is>
      </c>
      <c r="C538" t="inlineStr">
        <is>
          <t>Thân vỏ van MFD bích C30/TDF (1.15mm)</t>
        </is>
      </c>
      <c r="D538" t="inlineStr">
        <is>
          <t>TÔN_CUỘN_MẠ_KẼM</t>
        </is>
      </c>
      <c r="E538" t="inlineStr">
        <is>
          <t>MAT-STEEL-PN-1.15</t>
        </is>
      </c>
      <c r="F538" t="inlineStr">
        <is>
          <t>kg</t>
        </is>
      </c>
      <c r="G538" s="406" t="n">
        <v>20.423184075</v>
      </c>
      <c r="H538" s="402">
        <f>IFERROR(INDEX('00_TONG_HOP_BAO_GIA'!$G$1:$G$5000, MATCH(B538, '00_TONG_HOP_BAO_GIA'!$B$1:$B$5000, 0)), 1)</f>
        <v/>
      </c>
      <c r="I538" s="407">
        <f>G538*H538</f>
        <v/>
      </c>
      <c r="J538" s="402">
        <f>IFERROR(INDEX('06_BANG_GIA_VAT_TU_AP_DUNG'!$E$1:$E$5000, MATCH(E538, '06_BANG_GIA_VAT_TU_AP_DUNG'!$B$1:$B$5000, 0)), 0)</f>
        <v/>
      </c>
      <c r="K538" s="402">
        <f>I538*J538</f>
        <v/>
      </c>
      <c r="L538" t="inlineStr">
        <is>
          <t>Kích thước vỏ 1350x1250x200mm (2 modul 1350x625mm)</t>
        </is>
      </c>
    </row>
    <row r="539">
      <c r="A539" t="inlineStr">
        <is>
          <t>SW-DAMPER-111-BLADE</t>
        </is>
      </c>
      <c r="B539" t="inlineStr">
        <is>
          <t>SW-DAMPER-111</t>
        </is>
      </c>
      <c r="C539" t="inlineStr">
        <is>
          <t>Lá cánh / Tôn tấm bọc van (8 cánh)</t>
        </is>
      </c>
      <c r="D539" t="inlineStr">
        <is>
          <t>TÔN_CUỘN_MẠ_KẼM</t>
        </is>
      </c>
      <c r="E539" t="inlineStr">
        <is>
          <t>MAT-STEEL-PN-1.15</t>
        </is>
      </c>
      <c r="F539" t="inlineStr">
        <is>
          <t>kg</t>
        </is>
      </c>
      <c r="G539" s="406" t="n">
        <v>30.46781249999999</v>
      </c>
      <c r="H539" s="402">
        <f>IFERROR(INDEX('00_TONG_HOP_BAO_GIA'!$G$1:$G$5000, MATCH(B539, '00_TONG_HOP_BAO_GIA'!$B$1:$B$5000, 0)), 1)</f>
        <v/>
      </c>
      <c r="I539" s="407">
        <f>G539*H539</f>
        <v/>
      </c>
      <c r="J539" s="402">
        <f>IFERROR(INDEX('06_BANG_GIA_VAT_TU_AP_DUNG'!$E$1:$E$5000, MATCH(E539, '06_BANG_GIA_VAT_TU_AP_DUNG'!$B$1:$B$5000, 0)), 0)</f>
        <v/>
      </c>
      <c r="K539" s="402">
        <f>I539*J539</f>
        <v/>
      </c>
      <c r="L539" t="inlineStr">
        <is>
          <t>Tôn bọc cánh &amp; thân (4 cánh/modul (2 modul 1350x625mm))</t>
        </is>
      </c>
    </row>
    <row r="540">
      <c r="A540" t="inlineStr">
        <is>
          <t>SW-DAMPER-111-AXLE</t>
        </is>
      </c>
      <c r="B540" t="inlineStr">
        <is>
          <t>SW-DAMPER-111</t>
        </is>
      </c>
      <c r="C540" t="inlineStr">
        <is>
          <t>Trục Sus 201 D10</t>
        </is>
      </c>
      <c r="D540" t="inlineStr">
        <is>
          <t>PHỤ_KIỆN_VAN</t>
        </is>
      </c>
      <c r="E540" t="inlineStr">
        <is>
          <t>MAT-DAMPER-TRUC-SUS-201-D10</t>
        </is>
      </c>
      <c r="F540" t="inlineStr">
        <is>
          <t>m</t>
        </is>
      </c>
      <c r="G540" s="406" t="n">
        <v>11.28</v>
      </c>
      <c r="H540" s="402">
        <f>IFERROR(INDEX('00_TONG_HOP_BAO_GIA'!$G$1:$G$5000, MATCH(B540, '00_TONG_HOP_BAO_GIA'!$B$1:$B$5000, 0)), 1)</f>
        <v/>
      </c>
      <c r="I540" s="407">
        <f>G540*H540</f>
        <v/>
      </c>
      <c r="J540" s="402">
        <f>IFERROR(INDEX('06_BANG_GIA_VAT_TU_AP_DUNG'!$E$1:$E$5000, MATCH(E540, '06_BANG_GIA_VAT_TU_AP_DUNG'!$B$1:$B$5000, 0)), 0)</f>
        <v/>
      </c>
      <c r="K540" s="402">
        <f>I540*J540</f>
        <v/>
      </c>
      <c r="L540" t="inlineStr">
        <is>
          <t>8 trục dài 1410mm</t>
        </is>
      </c>
    </row>
    <row r="541">
      <c r="A541" t="inlineStr">
        <is>
          <t>SW-DAMPER-111-BEARING</t>
        </is>
      </c>
      <c r="B541" t="inlineStr">
        <is>
          <t>SW-DAMPER-111</t>
        </is>
      </c>
      <c r="C541" t="inlineStr">
        <is>
          <t>Bạc đồng D10</t>
        </is>
      </c>
      <c r="D541" t="inlineStr">
        <is>
          <t>PHỤ_KIỆN_VAN</t>
        </is>
      </c>
      <c r="E541" t="inlineStr">
        <is>
          <t>MAT-DAMPER-BAC-DONG-D10</t>
        </is>
      </c>
      <c r="F541" t="inlineStr">
        <is>
          <t>Đôi</t>
        </is>
      </c>
      <c r="G541" s="406" t="n">
        <v>8</v>
      </c>
      <c r="H541" s="402">
        <f>IFERROR(INDEX('00_TONG_HOP_BAO_GIA'!$G$1:$G$5000, MATCH(B541, '00_TONG_HOP_BAO_GIA'!$B$1:$B$5000, 0)), 1)</f>
        <v/>
      </c>
      <c r="I541" s="407">
        <f>G541*H541</f>
        <v/>
      </c>
      <c r="J541" s="402">
        <f>IFERROR(INDEX('06_BANG_GIA_VAT_TU_AP_DUNG'!$E$1:$E$5000, MATCH(E541, '06_BANG_GIA_VAT_TU_AP_DUNG'!$B$1:$B$5000, 0)), 0)</f>
        <v/>
      </c>
      <c r="K541" s="402">
        <f>I541*J541</f>
        <v/>
      </c>
      <c r="L541" t="inlineStr">
        <is>
          <t>8 đôi bạc đỡ 2 bên thân</t>
        </is>
      </c>
    </row>
    <row r="542">
      <c r="A542" t="inlineStr">
        <is>
          <t>SW-DAMPER-111-GEAR</t>
        </is>
      </c>
      <c r="B542" t="inlineStr">
        <is>
          <t>SW-DAMPER-111</t>
        </is>
      </c>
      <c r="C542" t="inlineStr">
        <is>
          <t>Bánh răng van nhôm</t>
        </is>
      </c>
      <c r="D542" t="inlineStr">
        <is>
          <t>PHỤ_KIỆN_VAN</t>
        </is>
      </c>
      <c r="E542" t="inlineStr">
        <is>
          <t>MAT-DAMPER-BANH-RANG-VAN-NHOM</t>
        </is>
      </c>
      <c r="F542" t="inlineStr">
        <is>
          <t>Bộ</t>
        </is>
      </c>
      <c r="G542" s="406" t="n">
        <v>2</v>
      </c>
      <c r="H542" s="402">
        <f>IFERROR(INDEX('00_TONG_HOP_BAO_GIA'!$G$1:$G$5000, MATCH(B542, '00_TONG_HOP_BAO_GIA'!$B$1:$B$5000, 0)), 1)</f>
        <v/>
      </c>
      <c r="I542" s="407">
        <f>G542*H542</f>
        <v/>
      </c>
      <c r="J542" s="402">
        <f>IFERROR(INDEX('06_BANG_GIA_VAT_TU_AP_DUNG'!$E$1:$E$5000, MATCH(E542, '06_BANG_GIA_VAT_TU_AP_DUNG'!$B$1:$B$5000, 0)), 0)</f>
        <v/>
      </c>
      <c r="K542" s="402">
        <f>I542*J542</f>
        <v/>
      </c>
      <c r="L542" t="inlineStr">
        <is>
          <t>Cơ cấu liên động cánh (2 bộ)</t>
        </is>
      </c>
    </row>
    <row r="543">
      <c r="A543" t="inlineStr">
        <is>
          <t>SW-DAMPER-111-ACTUATOR</t>
        </is>
      </c>
      <c r="B543" t="inlineStr">
        <is>
          <t>SW-DAMPER-111</t>
        </is>
      </c>
      <c r="C543" t="inlineStr">
        <is>
          <t>Động cơ chặn lửa ON/OFF 9Nm, 230V/24V (BELIMO BFN24 / BFN230)</t>
        </is>
      </c>
      <c r="D543" t="inlineStr">
        <is>
          <t>ĐỘNG_CƠ_VÀ_CẢM_BIẾN</t>
        </is>
      </c>
      <c r="E543" t="inlineStr">
        <is>
          <t>MAT-ACTUATOR-BELIMO-BFN24</t>
        </is>
      </c>
      <c r="F543" t="inlineStr">
        <is>
          <t>Cái</t>
        </is>
      </c>
      <c r="G543" s="406" t="n">
        <v>2</v>
      </c>
      <c r="H543" s="402">
        <f>IFERROR(INDEX('00_TONG_HOP_BAO_GIA'!$G$1:$G$5000, MATCH(B543, '00_TONG_HOP_BAO_GIA'!$B$1:$B$5000, 0)), 1)</f>
        <v/>
      </c>
      <c r="I543" s="407">
        <f>G543*H543</f>
        <v/>
      </c>
      <c r="J543" s="402">
        <f>IFERROR(INDEX('06_BANG_GIA_VAT_TU_AP_DUNG'!$E$1:$E$5000, MATCH(E543, '06_BANG_GIA_VAT_TU_AP_DUNG'!$B$1:$B$5000, 0)), 0)</f>
        <v/>
      </c>
      <c r="K543" s="402">
        <f>I543*J543</f>
        <v/>
      </c>
      <c r="L543" t="inlineStr">
        <is>
          <t>Động cơ lò xo phản hồi MFD (2 bộ (2 modul 1350x625mm))</t>
        </is>
      </c>
    </row>
    <row r="544">
      <c r="A544" t="inlineStr">
        <is>
          <t>SW-DAMPER-111-FB10-BODY</t>
        </is>
      </c>
      <c r="B544" t="inlineStr">
        <is>
          <t>SW-DAMPER-111</t>
        </is>
      </c>
      <c r="C544" t="inlineStr">
        <is>
          <t>Tấm chống cháy dày 10mm bọc thân van FD/MFD (2 lớp)</t>
        </is>
      </c>
      <c r="D544" t="inlineStr">
        <is>
          <t>VẬT_LIỆU_CÁCH_NHIỆT</t>
        </is>
      </c>
      <c r="E544" t="inlineStr">
        <is>
          <t>MAT-FIREBOARD-10MM-BODY</t>
        </is>
      </c>
      <c r="F544" t="inlineStr">
        <is>
          <t>m2</t>
        </is>
      </c>
      <c r="G544" s="406" t="n">
        <v>4.74</v>
      </c>
      <c r="H544" s="402">
        <f>IFERROR(INDEX('00_TONG_HOP_BAO_GIA'!$G$1:$G$5000, MATCH(B544, '00_TONG_HOP_BAO_GIA'!$B$1:$B$5000, 0)), 1)</f>
        <v/>
      </c>
      <c r="I544" s="407">
        <f>G544*H544</f>
        <v/>
      </c>
      <c r="J544" s="402">
        <f>IFERROR(INDEX('06_BANG_GIA_VAT_TU_AP_DUNG'!$E$1:$E$5000, MATCH(E544, '06_BANG_GIA_VAT_TU_AP_DUNG'!$B$1:$B$5000, 0)), 0)</f>
        <v/>
      </c>
      <c r="K544" s="402">
        <f>I544*J544</f>
        <v/>
      </c>
      <c r="L544" t="inlineStr">
        <is>
          <t>Bọc 2 lớp tấm 10mm quanh thân L=300mm (2 modul 1350x625mm)</t>
        </is>
      </c>
    </row>
    <row r="545">
      <c r="A545" t="inlineStr">
        <is>
          <t>SW-DAMPER-111-FB20-BLADE</t>
        </is>
      </c>
      <c r="B545" t="inlineStr">
        <is>
          <t>SW-DAMPER-111</t>
        </is>
      </c>
      <c r="C545" t="inlineStr">
        <is>
          <t>Tấm chống cháy dày 20mm làm lõi cánh van FD/MFD</t>
        </is>
      </c>
      <c r="D545" t="inlineStr">
        <is>
          <t>VẬT_LIỆU_CÁCH_NHIỆT</t>
        </is>
      </c>
      <c r="E545" t="inlineStr">
        <is>
          <t>MAT-FIREBOARD-20MM-BLADE</t>
        </is>
      </c>
      <c r="F545" t="inlineStr">
        <is>
          <t>m2</t>
        </is>
      </c>
      <c r="G545" s="406" t="n">
        <v>2.556813422818792</v>
      </c>
      <c r="H545" s="402">
        <f>IFERROR(INDEX('00_TONG_HOP_BAO_GIA'!$G$1:$G$5000, MATCH(B545, '00_TONG_HOP_BAO_GIA'!$B$1:$B$5000, 0)), 1)</f>
        <v/>
      </c>
      <c r="I545" s="407">
        <f>G545*H545</f>
        <v/>
      </c>
      <c r="J545" s="402">
        <f>IFERROR(INDEX('06_BANG_GIA_VAT_TU_AP_DUNG'!$E$1:$E$5000, MATCH(E545, '06_BANG_GIA_VAT_TU_AP_DUNG'!$B$1:$B$5000, 0)), 0)</f>
        <v/>
      </c>
      <c r="K545" s="402">
        <f>I545*J545</f>
        <v/>
      </c>
      <c r="L545" t="inlineStr">
        <is>
          <t>Lõi cánh tấm 20mm (Đa cánh hệ số (H-5)/149=4.16, bản rộng 210mm, hao hụt 10% (2 modul 1350x625mm))</t>
        </is>
      </c>
    </row>
    <row r="546">
      <c r="A546" t="inlineStr">
        <is>
          <t>SW-DAMPER-111-FB10-BLADE</t>
        </is>
      </c>
      <c r="B546" t="inlineStr">
        <is>
          <t>SW-DAMPER-111</t>
        </is>
      </c>
      <c r="C546" t="inlineStr">
        <is>
          <t>Tấm chống cháy dày 10mm ốp 2 mặt cánh van FD/MFD</t>
        </is>
      </c>
      <c r="D546" t="inlineStr">
        <is>
          <t>VẬT_LIỆU_CÁCH_NHIỆT</t>
        </is>
      </c>
      <c r="E546" t="inlineStr">
        <is>
          <t>MAT-FIREBOARD-10MM-BLADE</t>
        </is>
      </c>
      <c r="F546" t="inlineStr">
        <is>
          <t>m2</t>
        </is>
      </c>
      <c r="G546" s="406" t="n">
        <v>5.190523489932887</v>
      </c>
      <c r="H546" s="402">
        <f>IFERROR(INDEX('00_TONG_HOP_BAO_GIA'!$G$1:$G$5000, MATCH(B546, '00_TONG_HOP_BAO_GIA'!$B$1:$B$5000, 0)), 1)</f>
        <v/>
      </c>
      <c r="I546" s="407">
        <f>G546*H546</f>
        <v/>
      </c>
      <c r="J546" s="402">
        <f>IFERROR(INDEX('06_BANG_GIA_VAT_TU_AP_DUNG'!$E$1:$E$5000, MATCH(E546, '06_BANG_GIA_VAT_TU_AP_DUNG'!$B$1:$B$5000, 0)), 0)</f>
        <v/>
      </c>
      <c r="K546" s="402">
        <f>I546*J546</f>
        <v/>
      </c>
      <c r="L546" t="inlineStr">
        <is>
          <t>Ốp 2 mặt cánh tấm 10mm (Đa cánh hệ số (H-5)/149=4.16, bản rộng 210mm, hao hụt 10% (2 modul 1350x625mm))</t>
        </is>
      </c>
    </row>
    <row r="547">
      <c r="A547" t="inlineStr">
        <is>
          <t>SW-DAMPER-111-SPRING-BOX</t>
        </is>
      </c>
      <c r="B547" t="inlineStr">
        <is>
          <t>SW-DAMPER-111</t>
        </is>
      </c>
      <c r="C547" t="inlineStr">
        <is>
          <t>Hộp lò xo van chặn lửa FD/MFD</t>
        </is>
      </c>
      <c r="D547" t="inlineStr">
        <is>
          <t>PHỤ_KIỆN_VAN</t>
        </is>
      </c>
      <c r="E547" t="inlineStr">
        <is>
          <t>MAT-DAMPER-HOP-LO-XO</t>
        </is>
      </c>
      <c r="F547" t="inlineStr">
        <is>
          <t>Bộ</t>
        </is>
      </c>
      <c r="G547" s="406" t="n">
        <v>2</v>
      </c>
      <c r="H547" s="402">
        <f>IFERROR(INDEX('00_TONG_HOP_BAO_GIA'!$G$1:$G$5000, MATCH(B547, '00_TONG_HOP_BAO_GIA'!$B$1:$B$5000, 0)), 1)</f>
        <v/>
      </c>
      <c r="I547" s="407">
        <f>G547*H547</f>
        <v/>
      </c>
      <c r="J547" s="402">
        <f>IFERROR(INDEX('06_BANG_GIA_VAT_TU_AP_DUNG'!$E$1:$E$5000, MATCH(E547, '06_BANG_GIA_VAT_TU_AP_DUNG'!$B$1:$B$5000, 0)), 0)</f>
        <v/>
      </c>
      <c r="K547" s="402">
        <f>I547*J547</f>
        <v/>
      </c>
      <c r="L547" t="inlineStr">
        <is>
          <t>Hộp lò xo cơ cấu đóng sập (2 bộ)</t>
        </is>
      </c>
    </row>
    <row r="548">
      <c r="A548" t="inlineStr">
        <is>
          <t>SW-DAMPER-111-SILICON-BOLT</t>
        </is>
      </c>
      <c r="B548" t="inlineStr">
        <is>
          <t>SW-DAMPER-111</t>
        </is>
      </c>
      <c r="C548" t="inlineStr">
        <is>
          <t>Silicon chống cháy + bu lông, ốc vít van FD/MFD</t>
        </is>
      </c>
      <c r="D548" t="inlineStr">
        <is>
          <t>PHỤ_KIỆN_VAN</t>
        </is>
      </c>
      <c r="E548" t="inlineStr">
        <is>
          <t>MAT-DAMPER-SILICON-BULONG-VIT</t>
        </is>
      </c>
      <c r="F548" t="inlineStr">
        <is>
          <t>Bộ</t>
        </is>
      </c>
      <c r="G548" s="406" t="n">
        <v>2</v>
      </c>
      <c r="H548" s="402">
        <f>IFERROR(INDEX('00_TONG_HOP_BAO_GIA'!$G$1:$G$5000, MATCH(B548, '00_TONG_HOP_BAO_GIA'!$B$1:$B$5000, 0)), 1)</f>
        <v/>
      </c>
      <c r="I548" s="407">
        <f>G548*H548</f>
        <v/>
      </c>
      <c r="J548" s="402">
        <f>IFERROR(INDEX('06_BANG_GIA_VAT_TU_AP_DUNG'!$E$1:$E$5000, MATCH(E548, '06_BANG_GIA_VAT_TU_AP_DUNG'!$B$1:$B$5000, 0)), 0)</f>
        <v/>
      </c>
      <c r="K548" s="402">
        <f>I548*J548</f>
        <v/>
      </c>
      <c r="L548" t="inlineStr">
        <is>
          <t>Keo silicon chống cháy &amp; phụ kiện lắp ghép (2 bộ)</t>
        </is>
      </c>
    </row>
    <row r="549">
      <c r="A549" t="inlineStr">
        <is>
          <t>SW-DAMPER-112-BODY</t>
        </is>
      </c>
      <c r="B549" t="inlineStr">
        <is>
          <t>SW-DAMPER-112</t>
        </is>
      </c>
      <c r="C549" t="inlineStr">
        <is>
          <t>Thân vỏ van MFD bích C30/TDF (1.15mm)</t>
        </is>
      </c>
      <c r="D549" t="inlineStr">
        <is>
          <t>TÔN_CUỘN_MẠ_KẼM</t>
        </is>
      </c>
      <c r="E549" t="inlineStr">
        <is>
          <t>MAT-STEEL-PN-1.15</t>
        </is>
      </c>
      <c r="F549" t="inlineStr">
        <is>
          <t>kg</t>
        </is>
      </c>
      <c r="G549" s="406" t="n">
        <v>9.571767975</v>
      </c>
      <c r="H549" s="402">
        <f>IFERROR(INDEX('00_TONG_HOP_BAO_GIA'!$G$1:$G$5000, MATCH(B549, '00_TONG_HOP_BAO_GIA'!$B$1:$B$5000, 0)), 1)</f>
        <v/>
      </c>
      <c r="I549" s="407">
        <f>G549*H549</f>
        <v/>
      </c>
      <c r="J549" s="402">
        <f>IFERROR(INDEX('06_BANG_GIA_VAT_TU_AP_DUNG'!$E$1:$E$5000, MATCH(E549, '06_BANG_GIA_VAT_TU_AP_DUNG'!$B$1:$B$5000, 0)), 0)</f>
        <v/>
      </c>
      <c r="K549" s="402">
        <f>I549*J549</f>
        <v/>
      </c>
      <c r="L549" t="inlineStr">
        <is>
          <t>Kích thước vỏ 1250x600x200mm</t>
        </is>
      </c>
    </row>
    <row r="550">
      <c r="A550" t="inlineStr">
        <is>
          <t>SW-DAMPER-112-BLADE</t>
        </is>
      </c>
      <c r="B550" t="inlineStr">
        <is>
          <t>SW-DAMPER-112</t>
        </is>
      </c>
      <c r="C550" t="inlineStr">
        <is>
          <t>Lá cánh / Tôn tấm bọc van (4 cánh)</t>
        </is>
      </c>
      <c r="D550" t="inlineStr">
        <is>
          <t>TÔN_CUỘN_MẠ_KẼM</t>
        </is>
      </c>
      <c r="E550" t="inlineStr">
        <is>
          <t>MAT-STEEL-PN-1.15</t>
        </is>
      </c>
      <c r="F550" t="inlineStr">
        <is>
          <t>kg</t>
        </is>
      </c>
      <c r="G550" s="406" t="n">
        <v>13.54125</v>
      </c>
      <c r="H550" s="402">
        <f>IFERROR(INDEX('00_TONG_HOP_BAO_GIA'!$G$1:$G$5000, MATCH(B550, '00_TONG_HOP_BAO_GIA'!$B$1:$B$5000, 0)), 1)</f>
        <v/>
      </c>
      <c r="I550" s="407">
        <f>G550*H550</f>
        <v/>
      </c>
      <c r="J550" s="402">
        <f>IFERROR(INDEX('06_BANG_GIA_VAT_TU_AP_DUNG'!$E$1:$E$5000, MATCH(E550, '06_BANG_GIA_VAT_TU_AP_DUNG'!$B$1:$B$5000, 0)), 0)</f>
        <v/>
      </c>
      <c r="K550" s="402">
        <f>I550*J550</f>
        <v/>
      </c>
      <c r="L550" t="inlineStr">
        <is>
          <t>Tôn bọc cánh &amp; thân (4 cánh/modul)</t>
        </is>
      </c>
    </row>
    <row r="551">
      <c r="A551" t="inlineStr">
        <is>
          <t>SW-DAMPER-112-AXLE</t>
        </is>
      </c>
      <c r="B551" t="inlineStr">
        <is>
          <t>SW-DAMPER-112</t>
        </is>
      </c>
      <c r="C551" t="inlineStr">
        <is>
          <t>Trục Sus 201 D10</t>
        </is>
      </c>
      <c r="D551" t="inlineStr">
        <is>
          <t>PHỤ_KIỆN_VAN</t>
        </is>
      </c>
      <c r="E551" t="inlineStr">
        <is>
          <t>MAT-DAMPER-TRUC-SUS-201-D10</t>
        </is>
      </c>
      <c r="F551" t="inlineStr">
        <is>
          <t>m</t>
        </is>
      </c>
      <c r="G551" s="406" t="n">
        <v>5.24</v>
      </c>
      <c r="H551" s="402">
        <f>IFERROR(INDEX('00_TONG_HOP_BAO_GIA'!$G$1:$G$5000, MATCH(B551, '00_TONG_HOP_BAO_GIA'!$B$1:$B$5000, 0)), 1)</f>
        <v/>
      </c>
      <c r="I551" s="407">
        <f>G551*H551</f>
        <v/>
      </c>
      <c r="J551" s="402">
        <f>IFERROR(INDEX('06_BANG_GIA_VAT_TU_AP_DUNG'!$E$1:$E$5000, MATCH(E551, '06_BANG_GIA_VAT_TU_AP_DUNG'!$B$1:$B$5000, 0)), 0)</f>
        <v/>
      </c>
      <c r="K551" s="402">
        <f>I551*J551</f>
        <v/>
      </c>
      <c r="L551" t="inlineStr">
        <is>
          <t>4 trục dài 1310mm</t>
        </is>
      </c>
    </row>
    <row r="552">
      <c r="A552" t="inlineStr">
        <is>
          <t>SW-DAMPER-112-BEARING</t>
        </is>
      </c>
      <c r="B552" t="inlineStr">
        <is>
          <t>SW-DAMPER-112</t>
        </is>
      </c>
      <c r="C552" t="inlineStr">
        <is>
          <t>Bạc đồng D10</t>
        </is>
      </c>
      <c r="D552" t="inlineStr">
        <is>
          <t>PHỤ_KIỆN_VAN</t>
        </is>
      </c>
      <c r="E552" t="inlineStr">
        <is>
          <t>MAT-DAMPER-BAC-DONG-D10</t>
        </is>
      </c>
      <c r="F552" t="inlineStr">
        <is>
          <t>Đôi</t>
        </is>
      </c>
      <c r="G552" s="406" t="n">
        <v>4</v>
      </c>
      <c r="H552" s="402">
        <f>IFERROR(INDEX('00_TONG_HOP_BAO_GIA'!$G$1:$G$5000, MATCH(B552, '00_TONG_HOP_BAO_GIA'!$B$1:$B$5000, 0)), 1)</f>
        <v/>
      </c>
      <c r="I552" s="407">
        <f>G552*H552</f>
        <v/>
      </c>
      <c r="J552" s="402">
        <f>IFERROR(INDEX('06_BANG_GIA_VAT_TU_AP_DUNG'!$E$1:$E$5000, MATCH(E552, '06_BANG_GIA_VAT_TU_AP_DUNG'!$B$1:$B$5000, 0)), 0)</f>
        <v/>
      </c>
      <c r="K552" s="402">
        <f>I552*J552</f>
        <v/>
      </c>
      <c r="L552" t="inlineStr">
        <is>
          <t>4 đôi bạc đỡ 2 bên thân</t>
        </is>
      </c>
    </row>
    <row r="553">
      <c r="A553" t="inlineStr">
        <is>
          <t>SW-DAMPER-112-GEAR</t>
        </is>
      </c>
      <c r="B553" t="inlineStr">
        <is>
          <t>SW-DAMPER-112</t>
        </is>
      </c>
      <c r="C553" t="inlineStr">
        <is>
          <t>Bánh răng van nhôm</t>
        </is>
      </c>
      <c r="D553" t="inlineStr">
        <is>
          <t>PHỤ_KIỆN_VAN</t>
        </is>
      </c>
      <c r="E553" t="inlineStr">
        <is>
          <t>MAT-DAMPER-BANH-RANG-VAN-NHOM</t>
        </is>
      </c>
      <c r="F553" t="inlineStr">
        <is>
          <t>Bộ</t>
        </is>
      </c>
      <c r="G553" s="406" t="n">
        <v>1</v>
      </c>
      <c r="H553" s="402">
        <f>IFERROR(INDEX('00_TONG_HOP_BAO_GIA'!$G$1:$G$5000, MATCH(B553, '00_TONG_HOP_BAO_GIA'!$B$1:$B$5000, 0)), 1)</f>
        <v/>
      </c>
      <c r="I553" s="407">
        <f>G553*H553</f>
        <v/>
      </c>
      <c r="J553" s="402">
        <f>IFERROR(INDEX('06_BANG_GIA_VAT_TU_AP_DUNG'!$E$1:$E$5000, MATCH(E553, '06_BANG_GIA_VAT_TU_AP_DUNG'!$B$1:$B$5000, 0)), 0)</f>
        <v/>
      </c>
      <c r="K553" s="402">
        <f>I553*J553</f>
        <v/>
      </c>
      <c r="L553" t="inlineStr">
        <is>
          <t>Cơ cấu liên động cánh (1 bộ)</t>
        </is>
      </c>
    </row>
    <row r="554">
      <c r="A554" t="inlineStr">
        <is>
          <t>SW-DAMPER-112-ACTUATOR</t>
        </is>
      </c>
      <c r="B554" t="inlineStr">
        <is>
          <t>SW-DAMPER-112</t>
        </is>
      </c>
      <c r="C554" t="inlineStr">
        <is>
          <t>Động cơ chặn lửa ON/OFF 9Nm, 230V/24V (BELIMO BFN24 / BFN230)</t>
        </is>
      </c>
      <c r="D554" t="inlineStr">
        <is>
          <t>ĐỘNG_CƠ_VÀ_CẢM_BIẾN</t>
        </is>
      </c>
      <c r="E554" t="inlineStr">
        <is>
          <t>MAT-ACTUATOR-BELIMO-BFN24</t>
        </is>
      </c>
      <c r="F554" t="inlineStr">
        <is>
          <t>Cái</t>
        </is>
      </c>
      <c r="G554" s="406" t="n">
        <v>1</v>
      </c>
      <c r="H554" s="402">
        <f>IFERROR(INDEX('00_TONG_HOP_BAO_GIA'!$G$1:$G$5000, MATCH(B554, '00_TONG_HOP_BAO_GIA'!$B$1:$B$5000, 0)), 1)</f>
        <v/>
      </c>
      <c r="I554" s="407">
        <f>G554*H554</f>
        <v/>
      </c>
      <c r="J554" s="402">
        <f>IFERROR(INDEX('06_BANG_GIA_VAT_TU_AP_DUNG'!$E$1:$E$5000, MATCH(E554, '06_BANG_GIA_VAT_TU_AP_DUNG'!$B$1:$B$5000, 0)), 0)</f>
        <v/>
      </c>
      <c r="K554" s="402">
        <f>I554*J554</f>
        <v/>
      </c>
      <c r="L554" t="inlineStr">
        <is>
          <t>Động cơ lò xo phản hồi MFD (1 bộ)</t>
        </is>
      </c>
    </row>
    <row r="555">
      <c r="A555" t="inlineStr">
        <is>
          <t>SW-DAMPER-112-FB10-BODY</t>
        </is>
      </c>
      <c r="B555" t="inlineStr">
        <is>
          <t>SW-DAMPER-112</t>
        </is>
      </c>
      <c r="C555" t="inlineStr">
        <is>
          <t>Tấm chống cháy dày 10mm bọc thân van FD/MFD (2 lớp)</t>
        </is>
      </c>
      <c r="D555" t="inlineStr">
        <is>
          <t>VẬT_LIỆU_CÁCH_NHIỆT</t>
        </is>
      </c>
      <c r="E555" t="inlineStr">
        <is>
          <t>MAT-FIREBOARD-10MM-BODY</t>
        </is>
      </c>
      <c r="F555" t="inlineStr">
        <is>
          <t>m2</t>
        </is>
      </c>
      <c r="G555" s="406" t="n">
        <v>2.22</v>
      </c>
      <c r="H555" s="402">
        <f>IFERROR(INDEX('00_TONG_HOP_BAO_GIA'!$G$1:$G$5000, MATCH(B555, '00_TONG_HOP_BAO_GIA'!$B$1:$B$5000, 0)), 1)</f>
        <v/>
      </c>
      <c r="I555" s="407">
        <f>G555*H555</f>
        <v/>
      </c>
      <c r="J555" s="402">
        <f>IFERROR(INDEX('06_BANG_GIA_VAT_TU_AP_DUNG'!$E$1:$E$5000, MATCH(E555, '06_BANG_GIA_VAT_TU_AP_DUNG'!$B$1:$B$5000, 0)), 0)</f>
        <v/>
      </c>
      <c r="K555" s="402">
        <f>I555*J555</f>
        <v/>
      </c>
      <c r="L555" t="inlineStr">
        <is>
          <t>Bọc 2 lớp tấm 10mm quanh thân L=300mm</t>
        </is>
      </c>
    </row>
    <row r="556">
      <c r="A556" t="inlineStr">
        <is>
          <t>SW-DAMPER-112-FB20-BLADE</t>
        </is>
      </c>
      <c r="B556" t="inlineStr">
        <is>
          <t>SW-DAMPER-112</t>
        </is>
      </c>
      <c r="C556" t="inlineStr">
        <is>
          <t>Tấm chống cháy dày 20mm làm lõi cánh van FD/MFD</t>
        </is>
      </c>
      <c r="D556" t="inlineStr">
        <is>
          <t>VẬT_LIỆU_CÁCH_NHIỆT</t>
        </is>
      </c>
      <c r="E556" t="inlineStr">
        <is>
          <t>MAT-FIREBOARD-20MM-BLADE</t>
        </is>
      </c>
      <c r="F556" t="inlineStr">
        <is>
          <t>m2</t>
        </is>
      </c>
      <c r="G556" s="406" t="n">
        <v>1.134613087248322</v>
      </c>
      <c r="H556" s="402">
        <f>IFERROR(INDEX('00_TONG_HOP_BAO_GIA'!$G$1:$G$5000, MATCH(B556, '00_TONG_HOP_BAO_GIA'!$B$1:$B$5000, 0)), 1)</f>
        <v/>
      </c>
      <c r="I556" s="407">
        <f>G556*H556</f>
        <v/>
      </c>
      <c r="J556" s="402">
        <f>IFERROR(INDEX('06_BANG_GIA_VAT_TU_AP_DUNG'!$E$1:$E$5000, MATCH(E556, '06_BANG_GIA_VAT_TU_AP_DUNG'!$B$1:$B$5000, 0)), 0)</f>
        <v/>
      </c>
      <c r="K556" s="402">
        <f>I556*J556</f>
        <v/>
      </c>
      <c r="L556" t="inlineStr">
        <is>
          <t>Lõi cánh tấm 20mm (Đa cánh hệ số (H-5)/149=3.99, bản rộng 210mm, hao hụt 10%)</t>
        </is>
      </c>
    </row>
    <row r="557">
      <c r="A557" t="inlineStr">
        <is>
          <t>SW-DAMPER-112-FB10-BLADE</t>
        </is>
      </c>
      <c r="B557" t="inlineStr">
        <is>
          <t>SW-DAMPER-112</t>
        </is>
      </c>
      <c r="C557" t="inlineStr">
        <is>
          <t>Tấm chống cháy dày 10mm ốp 2 mặt cánh van FD/MFD</t>
        </is>
      </c>
      <c r="D557" t="inlineStr">
        <is>
          <t>VẬT_LIỆU_CÁCH_NHIỆT</t>
        </is>
      </c>
      <c r="E557" t="inlineStr">
        <is>
          <t>MAT-FIREBOARD-10MM-BLADE</t>
        </is>
      </c>
      <c r="F557" t="inlineStr">
        <is>
          <t>m2</t>
        </is>
      </c>
      <c r="G557" s="406" t="n">
        <v>2.306124161073826</v>
      </c>
      <c r="H557" s="402">
        <f>IFERROR(INDEX('00_TONG_HOP_BAO_GIA'!$G$1:$G$5000, MATCH(B557, '00_TONG_HOP_BAO_GIA'!$B$1:$B$5000, 0)), 1)</f>
        <v/>
      </c>
      <c r="I557" s="407">
        <f>G557*H557</f>
        <v/>
      </c>
      <c r="J557" s="402">
        <f>IFERROR(INDEX('06_BANG_GIA_VAT_TU_AP_DUNG'!$E$1:$E$5000, MATCH(E557, '06_BANG_GIA_VAT_TU_AP_DUNG'!$B$1:$B$5000, 0)), 0)</f>
        <v/>
      </c>
      <c r="K557" s="402">
        <f>I557*J557</f>
        <v/>
      </c>
      <c r="L557" t="inlineStr">
        <is>
          <t>Ốp 2 mặt cánh tấm 10mm (Đa cánh hệ số (H-5)/149=3.99, bản rộng 210mm, hao hụt 10%)</t>
        </is>
      </c>
    </row>
    <row r="558">
      <c r="A558" t="inlineStr">
        <is>
          <t>SW-DAMPER-112-SPRING-BOX</t>
        </is>
      </c>
      <c r="B558" t="inlineStr">
        <is>
          <t>SW-DAMPER-112</t>
        </is>
      </c>
      <c r="C558" t="inlineStr">
        <is>
          <t>Hộp lò xo van chặn lửa FD/MFD</t>
        </is>
      </c>
      <c r="D558" t="inlineStr">
        <is>
          <t>PHỤ_KIỆN_VAN</t>
        </is>
      </c>
      <c r="E558" t="inlineStr">
        <is>
          <t>MAT-DAMPER-HOP-LO-XO</t>
        </is>
      </c>
      <c r="F558" t="inlineStr">
        <is>
          <t>Bộ</t>
        </is>
      </c>
      <c r="G558" s="406" t="n">
        <v>1</v>
      </c>
      <c r="H558" s="402">
        <f>IFERROR(INDEX('00_TONG_HOP_BAO_GIA'!$G$1:$G$5000, MATCH(B558, '00_TONG_HOP_BAO_GIA'!$B$1:$B$5000, 0)), 1)</f>
        <v/>
      </c>
      <c r="I558" s="407">
        <f>G558*H558</f>
        <v/>
      </c>
      <c r="J558" s="402">
        <f>IFERROR(INDEX('06_BANG_GIA_VAT_TU_AP_DUNG'!$E$1:$E$5000, MATCH(E558, '06_BANG_GIA_VAT_TU_AP_DUNG'!$B$1:$B$5000, 0)), 0)</f>
        <v/>
      </c>
      <c r="K558" s="402">
        <f>I558*J558</f>
        <v/>
      </c>
      <c r="L558" t="inlineStr">
        <is>
          <t>Hộp lò xo cơ cấu đóng sập (1 bộ)</t>
        </is>
      </c>
    </row>
    <row r="559">
      <c r="A559" t="inlineStr">
        <is>
          <t>SW-DAMPER-112-SILICON-BOLT</t>
        </is>
      </c>
      <c r="B559" t="inlineStr">
        <is>
          <t>SW-DAMPER-112</t>
        </is>
      </c>
      <c r="C559" t="inlineStr">
        <is>
          <t>Silicon chống cháy + bu lông, ốc vít van FD/MFD</t>
        </is>
      </c>
      <c r="D559" t="inlineStr">
        <is>
          <t>PHỤ_KIỆN_VAN</t>
        </is>
      </c>
      <c r="E559" t="inlineStr">
        <is>
          <t>MAT-DAMPER-SILICON-BULONG-VIT</t>
        </is>
      </c>
      <c r="F559" t="inlineStr">
        <is>
          <t>Bộ</t>
        </is>
      </c>
      <c r="G559" s="406" t="n">
        <v>1</v>
      </c>
      <c r="H559" s="402">
        <f>IFERROR(INDEX('00_TONG_HOP_BAO_GIA'!$G$1:$G$5000, MATCH(B559, '00_TONG_HOP_BAO_GIA'!$B$1:$B$5000, 0)), 1)</f>
        <v/>
      </c>
      <c r="I559" s="407">
        <f>G559*H559</f>
        <v/>
      </c>
      <c r="J559" s="402">
        <f>IFERROR(INDEX('06_BANG_GIA_VAT_TU_AP_DUNG'!$E$1:$E$5000, MATCH(E559, '06_BANG_GIA_VAT_TU_AP_DUNG'!$B$1:$B$5000, 0)), 0)</f>
        <v/>
      </c>
      <c r="K559" s="402">
        <f>I559*J559</f>
        <v/>
      </c>
      <c r="L559" t="inlineStr">
        <is>
          <t>Keo silicon chống cháy &amp; phụ kiện lắp ghép (1 bộ)</t>
        </is>
      </c>
    </row>
    <row r="560">
      <c r="A560" t="inlineStr">
        <is>
          <t>SW-DAMPER-113-BODY</t>
        </is>
      </c>
      <c r="B560" t="inlineStr">
        <is>
          <t>SW-DAMPER-113</t>
        </is>
      </c>
      <c r="C560" t="inlineStr">
        <is>
          <t>Thân vỏ van MFD bích C30/TDF (1.15mm)</t>
        </is>
      </c>
      <c r="D560" t="inlineStr">
        <is>
          <t>TÔN_CUỘN_MẠ_KẼM</t>
        </is>
      </c>
      <c r="E560" t="inlineStr">
        <is>
          <t>MAT-STEEL-PN-1.15</t>
        </is>
      </c>
      <c r="F560" t="inlineStr">
        <is>
          <t>kg</t>
        </is>
      </c>
      <c r="G560" s="406" t="n">
        <v>7.26840135</v>
      </c>
      <c r="H560" s="402">
        <f>IFERROR(INDEX('00_TONG_HOP_BAO_GIA'!$G$1:$G$5000, MATCH(B560, '00_TONG_HOP_BAO_GIA'!$B$1:$B$5000, 0)), 1)</f>
        <v/>
      </c>
      <c r="I560" s="407">
        <f>G560*H560</f>
        <v/>
      </c>
      <c r="J560" s="402">
        <f>IFERROR(INDEX('06_BANG_GIA_VAT_TU_AP_DUNG'!$E$1:$E$5000, MATCH(E560, '06_BANG_GIA_VAT_TU_AP_DUNG'!$B$1:$B$5000, 0)), 0)</f>
        <v/>
      </c>
      <c r="K560" s="402">
        <f>I560*J560</f>
        <v/>
      </c>
      <c r="L560" t="inlineStr">
        <is>
          <t>Kích thước vỏ 1050x350x200mm</t>
        </is>
      </c>
    </row>
    <row r="561">
      <c r="A561" t="inlineStr">
        <is>
          <t>SW-DAMPER-113-BLADE</t>
        </is>
      </c>
      <c r="B561" t="inlineStr">
        <is>
          <t>SW-DAMPER-113</t>
        </is>
      </c>
      <c r="C561" t="inlineStr">
        <is>
          <t>Lá cánh / Tôn tấm bọc van (2 cánh)</t>
        </is>
      </c>
      <c r="D561" t="inlineStr">
        <is>
          <t>TÔN_CUỘN_MẠ_KẼM</t>
        </is>
      </c>
      <c r="E561" t="inlineStr">
        <is>
          <t>MAT-STEEL-PN-1.15</t>
        </is>
      </c>
      <c r="F561" t="inlineStr">
        <is>
          <t>kg</t>
        </is>
      </c>
      <c r="G561" s="406" t="n">
        <v>6.635212499999999</v>
      </c>
      <c r="H561" s="402">
        <f>IFERROR(INDEX('00_TONG_HOP_BAO_GIA'!$G$1:$G$5000, MATCH(B561, '00_TONG_HOP_BAO_GIA'!$B$1:$B$5000, 0)), 1)</f>
        <v/>
      </c>
      <c r="I561" s="407">
        <f>G561*H561</f>
        <v/>
      </c>
      <c r="J561" s="402">
        <f>IFERROR(INDEX('06_BANG_GIA_VAT_TU_AP_DUNG'!$E$1:$E$5000, MATCH(E561, '06_BANG_GIA_VAT_TU_AP_DUNG'!$B$1:$B$5000, 0)), 0)</f>
        <v/>
      </c>
      <c r="K561" s="402">
        <f>I561*J561</f>
        <v/>
      </c>
      <c r="L561" t="inlineStr">
        <is>
          <t>Tôn bọc cánh &amp; thân (2 cánh/modul)</t>
        </is>
      </c>
    </row>
    <row r="562">
      <c r="A562" t="inlineStr">
        <is>
          <t>SW-DAMPER-113-AXLE</t>
        </is>
      </c>
      <c r="B562" t="inlineStr">
        <is>
          <t>SW-DAMPER-113</t>
        </is>
      </c>
      <c r="C562" t="inlineStr">
        <is>
          <t>Trục Sus 201 D10</t>
        </is>
      </c>
      <c r="D562" t="inlineStr">
        <is>
          <t>PHỤ_KIỆN_VAN</t>
        </is>
      </c>
      <c r="E562" t="inlineStr">
        <is>
          <t>MAT-DAMPER-TRUC-SUS-201-D10</t>
        </is>
      </c>
      <c r="F562" t="inlineStr">
        <is>
          <t>m</t>
        </is>
      </c>
      <c r="G562" s="406" t="n">
        <v>2.22</v>
      </c>
      <c r="H562" s="402">
        <f>IFERROR(INDEX('00_TONG_HOP_BAO_GIA'!$G$1:$G$5000, MATCH(B562, '00_TONG_HOP_BAO_GIA'!$B$1:$B$5000, 0)), 1)</f>
        <v/>
      </c>
      <c r="I562" s="407">
        <f>G562*H562</f>
        <v/>
      </c>
      <c r="J562" s="402">
        <f>IFERROR(INDEX('06_BANG_GIA_VAT_TU_AP_DUNG'!$E$1:$E$5000, MATCH(E562, '06_BANG_GIA_VAT_TU_AP_DUNG'!$B$1:$B$5000, 0)), 0)</f>
        <v/>
      </c>
      <c r="K562" s="402">
        <f>I562*J562</f>
        <v/>
      </c>
      <c r="L562" t="inlineStr">
        <is>
          <t>2 trục dài 1110mm</t>
        </is>
      </c>
    </row>
    <row r="563">
      <c r="A563" t="inlineStr">
        <is>
          <t>SW-DAMPER-113-BEARING</t>
        </is>
      </c>
      <c r="B563" t="inlineStr">
        <is>
          <t>SW-DAMPER-113</t>
        </is>
      </c>
      <c r="C563" t="inlineStr">
        <is>
          <t>Bạc đồng D10</t>
        </is>
      </c>
      <c r="D563" t="inlineStr">
        <is>
          <t>PHỤ_KIỆN_VAN</t>
        </is>
      </c>
      <c r="E563" t="inlineStr">
        <is>
          <t>MAT-DAMPER-BAC-DONG-D10</t>
        </is>
      </c>
      <c r="F563" t="inlineStr">
        <is>
          <t>Đôi</t>
        </is>
      </c>
      <c r="G563" s="406" t="n">
        <v>2</v>
      </c>
      <c r="H563" s="402">
        <f>IFERROR(INDEX('00_TONG_HOP_BAO_GIA'!$G$1:$G$5000, MATCH(B563, '00_TONG_HOP_BAO_GIA'!$B$1:$B$5000, 0)), 1)</f>
        <v/>
      </c>
      <c r="I563" s="407">
        <f>G563*H563</f>
        <v/>
      </c>
      <c r="J563" s="402">
        <f>IFERROR(INDEX('06_BANG_GIA_VAT_TU_AP_DUNG'!$E$1:$E$5000, MATCH(E563, '06_BANG_GIA_VAT_TU_AP_DUNG'!$B$1:$B$5000, 0)), 0)</f>
        <v/>
      </c>
      <c r="K563" s="402">
        <f>I563*J563</f>
        <v/>
      </c>
      <c r="L563" t="inlineStr">
        <is>
          <t>2 đôi bạc đỡ 2 bên thân</t>
        </is>
      </c>
    </row>
    <row r="564">
      <c r="A564" t="inlineStr">
        <is>
          <t>SW-DAMPER-113-GEAR</t>
        </is>
      </c>
      <c r="B564" t="inlineStr">
        <is>
          <t>SW-DAMPER-113</t>
        </is>
      </c>
      <c r="C564" t="inlineStr">
        <is>
          <t>Bánh răng van nhôm</t>
        </is>
      </c>
      <c r="D564" t="inlineStr">
        <is>
          <t>PHỤ_KIỆN_VAN</t>
        </is>
      </c>
      <c r="E564" t="inlineStr">
        <is>
          <t>MAT-DAMPER-BANH-RANG-VAN-NHOM</t>
        </is>
      </c>
      <c r="F564" t="inlineStr">
        <is>
          <t>Bộ</t>
        </is>
      </c>
      <c r="G564" s="406" t="n">
        <v>1</v>
      </c>
      <c r="H564" s="402">
        <f>IFERROR(INDEX('00_TONG_HOP_BAO_GIA'!$G$1:$G$5000, MATCH(B564, '00_TONG_HOP_BAO_GIA'!$B$1:$B$5000, 0)), 1)</f>
        <v/>
      </c>
      <c r="I564" s="407">
        <f>G564*H564</f>
        <v/>
      </c>
      <c r="J564" s="402">
        <f>IFERROR(INDEX('06_BANG_GIA_VAT_TU_AP_DUNG'!$E$1:$E$5000, MATCH(E564, '06_BANG_GIA_VAT_TU_AP_DUNG'!$B$1:$B$5000, 0)), 0)</f>
        <v/>
      </c>
      <c r="K564" s="402">
        <f>I564*J564</f>
        <v/>
      </c>
      <c r="L564" t="inlineStr">
        <is>
          <t>Cơ cấu liên động cánh (1 bộ)</t>
        </is>
      </c>
    </row>
    <row r="565">
      <c r="A565" t="inlineStr">
        <is>
          <t>SW-DAMPER-113-ACTUATOR</t>
        </is>
      </c>
      <c r="B565" t="inlineStr">
        <is>
          <t>SW-DAMPER-113</t>
        </is>
      </c>
      <c r="C565" t="inlineStr">
        <is>
          <t>Động cơ chặn lửa ON/OFF 9Nm, 230V/24V (BELIMO BFN24 / BFN230)</t>
        </is>
      </c>
      <c r="D565" t="inlineStr">
        <is>
          <t>ĐỘNG_CƠ_VÀ_CẢM_BIẾN</t>
        </is>
      </c>
      <c r="E565" t="inlineStr">
        <is>
          <t>MAT-ACTUATOR-BELIMO-BFN24</t>
        </is>
      </c>
      <c r="F565" t="inlineStr">
        <is>
          <t>Cái</t>
        </is>
      </c>
      <c r="G565" s="406" t="n">
        <v>1</v>
      </c>
      <c r="H565" s="402">
        <f>IFERROR(INDEX('00_TONG_HOP_BAO_GIA'!$G$1:$G$5000, MATCH(B565, '00_TONG_HOP_BAO_GIA'!$B$1:$B$5000, 0)), 1)</f>
        <v/>
      </c>
      <c r="I565" s="407">
        <f>G565*H565</f>
        <v/>
      </c>
      <c r="J565" s="402">
        <f>IFERROR(INDEX('06_BANG_GIA_VAT_TU_AP_DUNG'!$E$1:$E$5000, MATCH(E565, '06_BANG_GIA_VAT_TU_AP_DUNG'!$B$1:$B$5000, 0)), 0)</f>
        <v/>
      </c>
      <c r="K565" s="402">
        <f>I565*J565</f>
        <v/>
      </c>
      <c r="L565" t="inlineStr">
        <is>
          <t>Động cơ lò xo phản hồi MFD (1 bộ)</t>
        </is>
      </c>
    </row>
    <row r="566">
      <c r="A566" t="inlineStr">
        <is>
          <t>SW-DAMPER-113-FB10-BODY</t>
        </is>
      </c>
      <c r="B566" t="inlineStr">
        <is>
          <t>SW-DAMPER-113</t>
        </is>
      </c>
      <c r="C566" t="inlineStr">
        <is>
          <t>Tấm chống cháy dày 10mm bọc thân van FD/MFD (2 lớp)</t>
        </is>
      </c>
      <c r="D566" t="inlineStr">
        <is>
          <t>VẬT_LIỆU_CÁCH_NHIỆT</t>
        </is>
      </c>
      <c r="E566" t="inlineStr">
        <is>
          <t>MAT-FIREBOARD-10MM-BODY</t>
        </is>
      </c>
      <c r="F566" t="inlineStr">
        <is>
          <t>m2</t>
        </is>
      </c>
      <c r="G566" s="406" t="n">
        <v>1.68</v>
      </c>
      <c r="H566" s="402">
        <f>IFERROR(INDEX('00_TONG_HOP_BAO_GIA'!$G$1:$G$5000, MATCH(B566, '00_TONG_HOP_BAO_GIA'!$B$1:$B$5000, 0)), 1)</f>
        <v/>
      </c>
      <c r="I566" s="407">
        <f>G566*H566</f>
        <v/>
      </c>
      <c r="J566" s="402">
        <f>IFERROR(INDEX('06_BANG_GIA_VAT_TU_AP_DUNG'!$E$1:$E$5000, MATCH(E566, '06_BANG_GIA_VAT_TU_AP_DUNG'!$B$1:$B$5000, 0)), 0)</f>
        <v/>
      </c>
      <c r="K566" s="402">
        <f>I566*J566</f>
        <v/>
      </c>
      <c r="L566" t="inlineStr">
        <is>
          <t>Bọc 2 lớp tấm 10mm quanh thân L=300mm</t>
        </is>
      </c>
    </row>
    <row r="567">
      <c r="A567" t="inlineStr">
        <is>
          <t>SW-DAMPER-113-FB20-BLADE</t>
        </is>
      </c>
      <c r="B567" t="inlineStr">
        <is>
          <t>SW-DAMPER-113</t>
        </is>
      </c>
      <c r="C567" t="inlineStr">
        <is>
          <t>Tấm chống cháy dày 20mm làm lõi cánh van FD/MFD</t>
        </is>
      </c>
      <c r="D567" t="inlineStr">
        <is>
          <t>VẬT_LIỆU_CÁCH_NHIỆT</t>
        </is>
      </c>
      <c r="E567" t="inlineStr">
        <is>
          <t>MAT-FIREBOARD-20MM-BLADE</t>
        </is>
      </c>
      <c r="F567" t="inlineStr">
        <is>
          <t>m2</t>
        </is>
      </c>
      <c r="G567" s="406" t="n">
        <v>0.5509117449664429</v>
      </c>
      <c r="H567" s="402">
        <f>IFERROR(INDEX('00_TONG_HOP_BAO_GIA'!$G$1:$G$5000, MATCH(B567, '00_TONG_HOP_BAO_GIA'!$B$1:$B$5000, 0)), 1)</f>
        <v/>
      </c>
      <c r="I567" s="407">
        <f>G567*H567</f>
        <v/>
      </c>
      <c r="J567" s="402">
        <f>IFERROR(INDEX('06_BANG_GIA_VAT_TU_AP_DUNG'!$E$1:$E$5000, MATCH(E567, '06_BANG_GIA_VAT_TU_AP_DUNG'!$B$1:$B$5000, 0)), 0)</f>
        <v/>
      </c>
      <c r="K567" s="402">
        <f>I567*J567</f>
        <v/>
      </c>
      <c r="L567" t="inlineStr">
        <is>
          <t>Lõi cánh tấm 20mm (Đa cánh hệ số (H-5)/149=2.32, bản rộng 210mm, hao hụt 10%)</t>
        </is>
      </c>
    </row>
    <row r="568">
      <c r="A568" t="inlineStr">
        <is>
          <t>SW-DAMPER-113-FB10-BLADE</t>
        </is>
      </c>
      <c r="B568" t="inlineStr">
        <is>
          <t>SW-DAMPER-113</t>
        </is>
      </c>
      <c r="C568" t="inlineStr">
        <is>
          <t>Tấm chống cháy dày 10mm ốp 2 mặt cánh van FD/MFD</t>
        </is>
      </c>
      <c r="D568" t="inlineStr">
        <is>
          <t>VẬT_LIỆU_CÁCH_NHIỆT</t>
        </is>
      </c>
      <c r="E568" t="inlineStr">
        <is>
          <t>MAT-FIREBOARD-10MM-BLADE</t>
        </is>
      </c>
      <c r="F568" t="inlineStr">
        <is>
          <t>m2</t>
        </is>
      </c>
      <c r="G568" s="406" t="n">
        <v>1.123218120805369</v>
      </c>
      <c r="H568" s="402">
        <f>IFERROR(INDEX('00_TONG_HOP_BAO_GIA'!$G$1:$G$5000, MATCH(B568, '00_TONG_HOP_BAO_GIA'!$B$1:$B$5000, 0)), 1)</f>
        <v/>
      </c>
      <c r="I568" s="407">
        <f>G568*H568</f>
        <v/>
      </c>
      <c r="J568" s="402">
        <f>IFERROR(INDEX('06_BANG_GIA_VAT_TU_AP_DUNG'!$E$1:$E$5000, MATCH(E568, '06_BANG_GIA_VAT_TU_AP_DUNG'!$B$1:$B$5000, 0)), 0)</f>
        <v/>
      </c>
      <c r="K568" s="402">
        <f>I568*J568</f>
        <v/>
      </c>
      <c r="L568" t="inlineStr">
        <is>
          <t>Ốp 2 mặt cánh tấm 10mm (Đa cánh hệ số (H-5)/149=2.32, bản rộng 210mm, hao hụt 10%)</t>
        </is>
      </c>
    </row>
    <row r="569">
      <c r="A569" t="inlineStr">
        <is>
          <t>SW-DAMPER-113-SPRING-BOX</t>
        </is>
      </c>
      <c r="B569" t="inlineStr">
        <is>
          <t>SW-DAMPER-113</t>
        </is>
      </c>
      <c r="C569" t="inlineStr">
        <is>
          <t>Hộp lò xo van chặn lửa FD/MFD</t>
        </is>
      </c>
      <c r="D569" t="inlineStr">
        <is>
          <t>PHỤ_KIỆN_VAN</t>
        </is>
      </c>
      <c r="E569" t="inlineStr">
        <is>
          <t>MAT-DAMPER-HOP-LO-XO</t>
        </is>
      </c>
      <c r="F569" t="inlineStr">
        <is>
          <t>Bộ</t>
        </is>
      </c>
      <c r="G569" s="406" t="n">
        <v>1</v>
      </c>
      <c r="H569" s="402">
        <f>IFERROR(INDEX('00_TONG_HOP_BAO_GIA'!$G$1:$G$5000, MATCH(B569, '00_TONG_HOP_BAO_GIA'!$B$1:$B$5000, 0)), 1)</f>
        <v/>
      </c>
      <c r="I569" s="407">
        <f>G569*H569</f>
        <v/>
      </c>
      <c r="J569" s="402">
        <f>IFERROR(INDEX('06_BANG_GIA_VAT_TU_AP_DUNG'!$E$1:$E$5000, MATCH(E569, '06_BANG_GIA_VAT_TU_AP_DUNG'!$B$1:$B$5000, 0)), 0)</f>
        <v/>
      </c>
      <c r="K569" s="402">
        <f>I569*J569</f>
        <v/>
      </c>
      <c r="L569" t="inlineStr">
        <is>
          <t>Hộp lò xo cơ cấu đóng sập (1 bộ)</t>
        </is>
      </c>
    </row>
    <row r="570">
      <c r="A570" t="inlineStr">
        <is>
          <t>SW-DAMPER-113-SILICON-BOLT</t>
        </is>
      </c>
      <c r="B570" t="inlineStr">
        <is>
          <t>SW-DAMPER-113</t>
        </is>
      </c>
      <c r="C570" t="inlineStr">
        <is>
          <t>Silicon chống cháy + bu lông, ốc vít van FD/MFD</t>
        </is>
      </c>
      <c r="D570" t="inlineStr">
        <is>
          <t>PHỤ_KIỆN_VAN</t>
        </is>
      </c>
      <c r="E570" t="inlineStr">
        <is>
          <t>MAT-DAMPER-SILICON-BULONG-VIT</t>
        </is>
      </c>
      <c r="F570" t="inlineStr">
        <is>
          <t>Bộ</t>
        </is>
      </c>
      <c r="G570" s="406" t="n">
        <v>1</v>
      </c>
      <c r="H570" s="402">
        <f>IFERROR(INDEX('00_TONG_HOP_BAO_GIA'!$G$1:$G$5000, MATCH(B570, '00_TONG_HOP_BAO_GIA'!$B$1:$B$5000, 0)), 1)</f>
        <v/>
      </c>
      <c r="I570" s="407">
        <f>G570*H570</f>
        <v/>
      </c>
      <c r="J570" s="402">
        <f>IFERROR(INDEX('06_BANG_GIA_VAT_TU_AP_DUNG'!$E$1:$E$5000, MATCH(E570, '06_BANG_GIA_VAT_TU_AP_DUNG'!$B$1:$B$5000, 0)), 0)</f>
        <v/>
      </c>
      <c r="K570" s="402">
        <f>I570*J570</f>
        <v/>
      </c>
      <c r="L570" t="inlineStr">
        <is>
          <t>Keo silicon chống cháy &amp; phụ kiện lắp ghép (1 bộ)</t>
        </is>
      </c>
    </row>
    <row r="571">
      <c r="A571" t="inlineStr">
        <is>
          <t>SW-DAMPER-114-BODY</t>
        </is>
      </c>
      <c r="B571" t="inlineStr">
        <is>
          <t>SW-DAMPER-114</t>
        </is>
      </c>
      <c r="C571" t="inlineStr">
        <is>
          <t>Thân vỏ van MFD bích C30/TDF (1.15mm)</t>
        </is>
      </c>
      <c r="D571" t="inlineStr">
        <is>
          <t>TÔN_CUỘN_MẠ_KẼM</t>
        </is>
      </c>
      <c r="E571" t="inlineStr">
        <is>
          <t>MAT-STEEL-PN-1.15</t>
        </is>
      </c>
      <c r="F571" t="inlineStr">
        <is>
          <t>kg</t>
        </is>
      </c>
      <c r="G571" s="406" t="n">
        <v>5.988753224999999</v>
      </c>
      <c r="H571" s="402">
        <f>IFERROR(INDEX('00_TONG_HOP_BAO_GIA'!$G$1:$G$5000, MATCH(B571, '00_TONG_HOP_BAO_GIA'!$B$1:$B$5000, 0)), 1)</f>
        <v/>
      </c>
      <c r="I571" s="407">
        <f>G571*H571</f>
        <v/>
      </c>
      <c r="J571" s="402">
        <f>IFERROR(INDEX('06_BANG_GIA_VAT_TU_AP_DUNG'!$E$1:$E$5000, MATCH(E571, '06_BANG_GIA_VAT_TU_AP_DUNG'!$B$1:$B$5000, 0)), 0)</f>
        <v/>
      </c>
      <c r="K571" s="402">
        <f>I571*J571</f>
        <v/>
      </c>
      <c r="L571" t="inlineStr">
        <is>
          <t>Kích thước vỏ 800x350x200mm</t>
        </is>
      </c>
    </row>
    <row r="572">
      <c r="A572" t="inlineStr">
        <is>
          <t>SW-DAMPER-114-BLADE</t>
        </is>
      </c>
      <c r="B572" t="inlineStr">
        <is>
          <t>SW-DAMPER-114</t>
        </is>
      </c>
      <c r="C572" t="inlineStr">
        <is>
          <t>Lá cánh / Tôn tấm bọc van (2 cánh)</t>
        </is>
      </c>
      <c r="D572" t="inlineStr">
        <is>
          <t>TÔN_CUỘN_MẠ_KẼM</t>
        </is>
      </c>
      <c r="E572" t="inlineStr">
        <is>
          <t>MAT-STEEL-PN-1.15</t>
        </is>
      </c>
      <c r="F572" t="inlineStr">
        <is>
          <t>kg</t>
        </is>
      </c>
      <c r="G572" s="406" t="n">
        <v>5.055399999999999</v>
      </c>
      <c r="H572" s="402">
        <f>IFERROR(INDEX('00_TONG_HOP_BAO_GIA'!$G$1:$G$5000, MATCH(B572, '00_TONG_HOP_BAO_GIA'!$B$1:$B$5000, 0)), 1)</f>
        <v/>
      </c>
      <c r="I572" s="407">
        <f>G572*H572</f>
        <v/>
      </c>
      <c r="J572" s="402">
        <f>IFERROR(INDEX('06_BANG_GIA_VAT_TU_AP_DUNG'!$E$1:$E$5000, MATCH(E572, '06_BANG_GIA_VAT_TU_AP_DUNG'!$B$1:$B$5000, 0)), 0)</f>
        <v/>
      </c>
      <c r="K572" s="402">
        <f>I572*J572</f>
        <v/>
      </c>
      <c r="L572" t="inlineStr">
        <is>
          <t>Tôn bọc cánh &amp; thân (2 cánh/modul)</t>
        </is>
      </c>
    </row>
    <row r="573">
      <c r="A573" t="inlineStr">
        <is>
          <t>SW-DAMPER-114-AXLE</t>
        </is>
      </c>
      <c r="B573" t="inlineStr">
        <is>
          <t>SW-DAMPER-114</t>
        </is>
      </c>
      <c r="C573" t="inlineStr">
        <is>
          <t>Trục Sus 201 D10</t>
        </is>
      </c>
      <c r="D573" t="inlineStr">
        <is>
          <t>PHỤ_KIỆN_VAN</t>
        </is>
      </c>
      <c r="E573" t="inlineStr">
        <is>
          <t>MAT-DAMPER-TRUC-SUS-201-D10</t>
        </is>
      </c>
      <c r="F573" t="inlineStr">
        <is>
          <t>m</t>
        </is>
      </c>
      <c r="G573" s="406" t="n">
        <v>1.72</v>
      </c>
      <c r="H573" s="402">
        <f>IFERROR(INDEX('00_TONG_HOP_BAO_GIA'!$G$1:$G$5000, MATCH(B573, '00_TONG_HOP_BAO_GIA'!$B$1:$B$5000, 0)), 1)</f>
        <v/>
      </c>
      <c r="I573" s="407">
        <f>G573*H573</f>
        <v/>
      </c>
      <c r="J573" s="402">
        <f>IFERROR(INDEX('06_BANG_GIA_VAT_TU_AP_DUNG'!$E$1:$E$5000, MATCH(E573, '06_BANG_GIA_VAT_TU_AP_DUNG'!$B$1:$B$5000, 0)), 0)</f>
        <v/>
      </c>
      <c r="K573" s="402">
        <f>I573*J573</f>
        <v/>
      </c>
      <c r="L573" t="inlineStr">
        <is>
          <t>2 trục dài 860mm</t>
        </is>
      </c>
    </row>
    <row r="574">
      <c r="A574" t="inlineStr">
        <is>
          <t>SW-DAMPER-114-BEARING</t>
        </is>
      </c>
      <c r="B574" t="inlineStr">
        <is>
          <t>SW-DAMPER-114</t>
        </is>
      </c>
      <c r="C574" t="inlineStr">
        <is>
          <t>Bạc đồng D10</t>
        </is>
      </c>
      <c r="D574" t="inlineStr">
        <is>
          <t>PHỤ_KIỆN_VAN</t>
        </is>
      </c>
      <c r="E574" t="inlineStr">
        <is>
          <t>MAT-DAMPER-BAC-DONG-D10</t>
        </is>
      </c>
      <c r="F574" t="inlineStr">
        <is>
          <t>Đôi</t>
        </is>
      </c>
      <c r="G574" s="406" t="n">
        <v>2</v>
      </c>
      <c r="H574" s="402">
        <f>IFERROR(INDEX('00_TONG_HOP_BAO_GIA'!$G$1:$G$5000, MATCH(B574, '00_TONG_HOP_BAO_GIA'!$B$1:$B$5000, 0)), 1)</f>
        <v/>
      </c>
      <c r="I574" s="407">
        <f>G574*H574</f>
        <v/>
      </c>
      <c r="J574" s="402">
        <f>IFERROR(INDEX('06_BANG_GIA_VAT_TU_AP_DUNG'!$E$1:$E$5000, MATCH(E574, '06_BANG_GIA_VAT_TU_AP_DUNG'!$B$1:$B$5000, 0)), 0)</f>
        <v/>
      </c>
      <c r="K574" s="402">
        <f>I574*J574</f>
        <v/>
      </c>
      <c r="L574" t="inlineStr">
        <is>
          <t>2 đôi bạc đỡ 2 bên thân</t>
        </is>
      </c>
    </row>
    <row r="575">
      <c r="A575" t="inlineStr">
        <is>
          <t>SW-DAMPER-114-GEAR</t>
        </is>
      </c>
      <c r="B575" t="inlineStr">
        <is>
          <t>SW-DAMPER-114</t>
        </is>
      </c>
      <c r="C575" t="inlineStr">
        <is>
          <t>Bánh răng van nhôm</t>
        </is>
      </c>
      <c r="D575" t="inlineStr">
        <is>
          <t>PHỤ_KIỆN_VAN</t>
        </is>
      </c>
      <c r="E575" t="inlineStr">
        <is>
          <t>MAT-DAMPER-BANH-RANG-VAN-NHOM</t>
        </is>
      </c>
      <c r="F575" t="inlineStr">
        <is>
          <t>Bộ</t>
        </is>
      </c>
      <c r="G575" s="406" t="n">
        <v>1</v>
      </c>
      <c r="H575" s="402">
        <f>IFERROR(INDEX('00_TONG_HOP_BAO_GIA'!$G$1:$G$5000, MATCH(B575, '00_TONG_HOP_BAO_GIA'!$B$1:$B$5000, 0)), 1)</f>
        <v/>
      </c>
      <c r="I575" s="407">
        <f>G575*H575</f>
        <v/>
      </c>
      <c r="J575" s="402">
        <f>IFERROR(INDEX('06_BANG_GIA_VAT_TU_AP_DUNG'!$E$1:$E$5000, MATCH(E575, '06_BANG_GIA_VAT_TU_AP_DUNG'!$B$1:$B$5000, 0)), 0)</f>
        <v/>
      </c>
      <c r="K575" s="402">
        <f>I575*J575</f>
        <v/>
      </c>
      <c r="L575" t="inlineStr">
        <is>
          <t>Cơ cấu liên động cánh (1 bộ)</t>
        </is>
      </c>
    </row>
    <row r="576">
      <c r="A576" t="inlineStr">
        <is>
          <t>SW-DAMPER-114-ACTUATOR</t>
        </is>
      </c>
      <c r="B576" t="inlineStr">
        <is>
          <t>SW-DAMPER-114</t>
        </is>
      </c>
      <c r="C576" t="inlineStr">
        <is>
          <t>Động cơ chặn lửa ON/OFF 9Nm, 230V/24V (BELIMO BFN24 / BFN230)</t>
        </is>
      </c>
      <c r="D576" t="inlineStr">
        <is>
          <t>ĐỘNG_CƠ_VÀ_CẢM_BIẾN</t>
        </is>
      </c>
      <c r="E576" t="inlineStr">
        <is>
          <t>MAT-ACTUATOR-BELIMO-BFN24</t>
        </is>
      </c>
      <c r="F576" t="inlineStr">
        <is>
          <t>Cái</t>
        </is>
      </c>
      <c r="G576" s="406" t="n">
        <v>1</v>
      </c>
      <c r="H576" s="402">
        <f>IFERROR(INDEX('00_TONG_HOP_BAO_GIA'!$G$1:$G$5000, MATCH(B576, '00_TONG_HOP_BAO_GIA'!$B$1:$B$5000, 0)), 1)</f>
        <v/>
      </c>
      <c r="I576" s="407">
        <f>G576*H576</f>
        <v/>
      </c>
      <c r="J576" s="402">
        <f>IFERROR(INDEX('06_BANG_GIA_VAT_TU_AP_DUNG'!$E$1:$E$5000, MATCH(E576, '06_BANG_GIA_VAT_TU_AP_DUNG'!$B$1:$B$5000, 0)), 0)</f>
        <v/>
      </c>
      <c r="K576" s="402">
        <f>I576*J576</f>
        <v/>
      </c>
      <c r="L576" t="inlineStr">
        <is>
          <t>Động cơ lò xo phản hồi MFD (1 bộ)</t>
        </is>
      </c>
    </row>
    <row r="577">
      <c r="A577" t="inlineStr">
        <is>
          <t>SW-DAMPER-114-FB10-BODY</t>
        </is>
      </c>
      <c r="B577" t="inlineStr">
        <is>
          <t>SW-DAMPER-114</t>
        </is>
      </c>
      <c r="C577" t="inlineStr">
        <is>
          <t>Tấm chống cháy dày 10mm bọc thân van FD/MFD (2 lớp)</t>
        </is>
      </c>
      <c r="D577" t="inlineStr">
        <is>
          <t>VẬT_LIỆU_CÁCH_NHIỆT</t>
        </is>
      </c>
      <c r="E577" t="inlineStr">
        <is>
          <t>MAT-FIREBOARD-10MM-BODY</t>
        </is>
      </c>
      <c r="F577" t="inlineStr">
        <is>
          <t>m2</t>
        </is>
      </c>
      <c r="G577" s="406" t="n">
        <v>1.38</v>
      </c>
      <c r="H577" s="402">
        <f>IFERROR(INDEX('00_TONG_HOP_BAO_GIA'!$G$1:$G$5000, MATCH(B577, '00_TONG_HOP_BAO_GIA'!$B$1:$B$5000, 0)), 1)</f>
        <v/>
      </c>
      <c r="I577" s="407">
        <f>G577*H577</f>
        <v/>
      </c>
      <c r="J577" s="402">
        <f>IFERROR(INDEX('06_BANG_GIA_VAT_TU_AP_DUNG'!$E$1:$E$5000, MATCH(E577, '06_BANG_GIA_VAT_TU_AP_DUNG'!$B$1:$B$5000, 0)), 0)</f>
        <v/>
      </c>
      <c r="K577" s="402">
        <f>I577*J577</f>
        <v/>
      </c>
      <c r="L577" t="inlineStr">
        <is>
          <t>Bọc 2 lớp tấm 10mm quanh thân L=300mm</t>
        </is>
      </c>
    </row>
    <row r="578">
      <c r="A578" t="inlineStr">
        <is>
          <t>SW-DAMPER-114-FB20-BLADE</t>
        </is>
      </c>
      <c r="B578" t="inlineStr">
        <is>
          <t>SW-DAMPER-114</t>
        </is>
      </c>
      <c r="C578" t="inlineStr">
        <is>
          <t>Tấm chống cháy dày 20mm làm lõi cánh van FD/MFD</t>
        </is>
      </c>
      <c r="D578" t="inlineStr">
        <is>
          <t>VẬT_LIỆU_CÁCH_NHIỆT</t>
        </is>
      </c>
      <c r="E578" t="inlineStr">
        <is>
          <t>MAT-FIREBOARD-20MM-BLADE</t>
        </is>
      </c>
      <c r="F578" t="inlineStr">
        <is>
          <t>m2</t>
        </is>
      </c>
      <c r="G578" s="406" t="n">
        <v>0.4171953020134228</v>
      </c>
      <c r="H578" s="402">
        <f>IFERROR(INDEX('00_TONG_HOP_BAO_GIA'!$G$1:$G$5000, MATCH(B578, '00_TONG_HOP_BAO_GIA'!$B$1:$B$5000, 0)), 1)</f>
        <v/>
      </c>
      <c r="I578" s="407">
        <f>G578*H578</f>
        <v/>
      </c>
      <c r="J578" s="402">
        <f>IFERROR(INDEX('06_BANG_GIA_VAT_TU_AP_DUNG'!$E$1:$E$5000, MATCH(E578, '06_BANG_GIA_VAT_TU_AP_DUNG'!$B$1:$B$5000, 0)), 0)</f>
        <v/>
      </c>
      <c r="K578" s="402">
        <f>I578*J578</f>
        <v/>
      </c>
      <c r="L578" t="inlineStr">
        <is>
          <t>Lõi cánh tấm 20mm (Đa cánh hệ số (H-5)/149=2.32, bản rộng 210mm, hao hụt 10%)</t>
        </is>
      </c>
    </row>
    <row r="579">
      <c r="A579" t="inlineStr">
        <is>
          <t>SW-DAMPER-114-FB10-BLADE</t>
        </is>
      </c>
      <c r="B579" t="inlineStr">
        <is>
          <t>SW-DAMPER-114</t>
        </is>
      </c>
      <c r="C579" t="inlineStr">
        <is>
          <t>Tấm chống cháy dày 10mm ốp 2 mặt cánh van FD/MFD</t>
        </is>
      </c>
      <c r="D579" t="inlineStr">
        <is>
          <t>VẬT_LIỆU_CÁCH_NHIỆT</t>
        </is>
      </c>
      <c r="E579" t="inlineStr">
        <is>
          <t>MAT-FIREBOARD-10MM-BLADE</t>
        </is>
      </c>
      <c r="F579" t="inlineStr">
        <is>
          <t>m2</t>
        </is>
      </c>
      <c r="G579" s="406" t="n">
        <v>0.8557852348993289</v>
      </c>
      <c r="H579" s="402">
        <f>IFERROR(INDEX('00_TONG_HOP_BAO_GIA'!$G$1:$G$5000, MATCH(B579, '00_TONG_HOP_BAO_GIA'!$B$1:$B$5000, 0)), 1)</f>
        <v/>
      </c>
      <c r="I579" s="407">
        <f>G579*H579</f>
        <v/>
      </c>
      <c r="J579" s="402">
        <f>IFERROR(INDEX('06_BANG_GIA_VAT_TU_AP_DUNG'!$E$1:$E$5000, MATCH(E579, '06_BANG_GIA_VAT_TU_AP_DUNG'!$B$1:$B$5000, 0)), 0)</f>
        <v/>
      </c>
      <c r="K579" s="402">
        <f>I579*J579</f>
        <v/>
      </c>
      <c r="L579" t="inlineStr">
        <is>
          <t>Ốp 2 mặt cánh tấm 10mm (Đa cánh hệ số (H-5)/149=2.32, bản rộng 210mm, hao hụt 10%)</t>
        </is>
      </c>
    </row>
    <row r="580">
      <c r="A580" t="inlineStr">
        <is>
          <t>SW-DAMPER-114-SPRING-BOX</t>
        </is>
      </c>
      <c r="B580" t="inlineStr">
        <is>
          <t>SW-DAMPER-114</t>
        </is>
      </c>
      <c r="C580" t="inlineStr">
        <is>
          <t>Hộp lò xo van chặn lửa FD/MFD</t>
        </is>
      </c>
      <c r="D580" t="inlineStr">
        <is>
          <t>PHỤ_KIỆN_VAN</t>
        </is>
      </c>
      <c r="E580" t="inlineStr">
        <is>
          <t>MAT-DAMPER-HOP-LO-XO</t>
        </is>
      </c>
      <c r="F580" t="inlineStr">
        <is>
          <t>Bộ</t>
        </is>
      </c>
      <c r="G580" s="406" t="n">
        <v>1</v>
      </c>
      <c r="H580" s="402">
        <f>IFERROR(INDEX('00_TONG_HOP_BAO_GIA'!$G$1:$G$5000, MATCH(B580, '00_TONG_HOP_BAO_GIA'!$B$1:$B$5000, 0)), 1)</f>
        <v/>
      </c>
      <c r="I580" s="407">
        <f>G580*H580</f>
        <v/>
      </c>
      <c r="J580" s="402">
        <f>IFERROR(INDEX('06_BANG_GIA_VAT_TU_AP_DUNG'!$E$1:$E$5000, MATCH(E580, '06_BANG_GIA_VAT_TU_AP_DUNG'!$B$1:$B$5000, 0)), 0)</f>
        <v/>
      </c>
      <c r="K580" s="402">
        <f>I580*J580</f>
        <v/>
      </c>
      <c r="L580" t="inlineStr">
        <is>
          <t>Hộp lò xo cơ cấu đóng sập (1 bộ)</t>
        </is>
      </c>
    </row>
    <row r="581">
      <c r="A581" t="inlineStr">
        <is>
          <t>SW-DAMPER-114-SILICON-BOLT</t>
        </is>
      </c>
      <c r="B581" t="inlineStr">
        <is>
          <t>SW-DAMPER-114</t>
        </is>
      </c>
      <c r="C581" t="inlineStr">
        <is>
          <t>Silicon chống cháy + bu lông, ốc vít van FD/MFD</t>
        </is>
      </c>
      <c r="D581" t="inlineStr">
        <is>
          <t>PHỤ_KIỆN_VAN</t>
        </is>
      </c>
      <c r="E581" t="inlineStr">
        <is>
          <t>MAT-DAMPER-SILICON-BULONG-VIT</t>
        </is>
      </c>
      <c r="F581" t="inlineStr">
        <is>
          <t>Bộ</t>
        </is>
      </c>
      <c r="G581" s="406" t="n">
        <v>1</v>
      </c>
      <c r="H581" s="402">
        <f>IFERROR(INDEX('00_TONG_HOP_BAO_GIA'!$G$1:$G$5000, MATCH(B581, '00_TONG_HOP_BAO_GIA'!$B$1:$B$5000, 0)), 1)</f>
        <v/>
      </c>
      <c r="I581" s="407">
        <f>G581*H581</f>
        <v/>
      </c>
      <c r="J581" s="402">
        <f>IFERROR(INDEX('06_BANG_GIA_VAT_TU_AP_DUNG'!$E$1:$E$5000, MATCH(E581, '06_BANG_GIA_VAT_TU_AP_DUNG'!$B$1:$B$5000, 0)), 0)</f>
        <v/>
      </c>
      <c r="K581" s="402">
        <f>I581*J581</f>
        <v/>
      </c>
      <c r="L581" t="inlineStr">
        <is>
          <t>Keo silicon chống cháy &amp; phụ kiện lắp ghép (1 bộ)</t>
        </is>
      </c>
    </row>
    <row r="582">
      <c r="A582" t="inlineStr">
        <is>
          <t>SW-DAMPER-115-BODY</t>
        </is>
      </c>
      <c r="B582" t="inlineStr">
        <is>
          <t>SW-DAMPER-115</t>
        </is>
      </c>
      <c r="C582" t="inlineStr">
        <is>
          <t>Thân vỏ van MFD bích C30/TDF (1.15mm)</t>
        </is>
      </c>
      <c r="D582" t="inlineStr">
        <is>
          <t>TÔN_CUỘN_MẠ_KẼM</t>
        </is>
      </c>
      <c r="E582" t="inlineStr">
        <is>
          <t>MAT-STEEL-PN-1.15</t>
        </is>
      </c>
      <c r="F582" t="inlineStr">
        <is>
          <t>kg</t>
        </is>
      </c>
      <c r="G582" s="406" t="n">
        <v>6.500612475</v>
      </c>
      <c r="H582" s="402">
        <f>IFERROR(INDEX('00_TONG_HOP_BAO_GIA'!$G$1:$G$5000, MATCH(B582, '00_TONG_HOP_BAO_GIA'!$B$1:$B$5000, 0)), 1)</f>
        <v/>
      </c>
      <c r="I582" s="407">
        <f>G582*H582</f>
        <v/>
      </c>
      <c r="J582" s="402">
        <f>IFERROR(INDEX('06_BANG_GIA_VAT_TU_AP_DUNG'!$E$1:$E$5000, MATCH(E582, '06_BANG_GIA_VAT_TU_AP_DUNG'!$B$1:$B$5000, 0)), 0)</f>
        <v/>
      </c>
      <c r="K582" s="402">
        <f>I582*J582</f>
        <v/>
      </c>
      <c r="L582" t="inlineStr">
        <is>
          <t>Kích thước vỏ 900x350x200mm</t>
        </is>
      </c>
    </row>
    <row r="583">
      <c r="A583" t="inlineStr">
        <is>
          <t>SW-DAMPER-115-BLADE</t>
        </is>
      </c>
      <c r="B583" t="inlineStr">
        <is>
          <t>SW-DAMPER-115</t>
        </is>
      </c>
      <c r="C583" t="inlineStr">
        <is>
          <t>Lá cánh / Tôn tấm bọc van (2 cánh)</t>
        </is>
      </c>
      <c r="D583" t="inlineStr">
        <is>
          <t>TÔN_CUỘN_MẠ_KẼM</t>
        </is>
      </c>
      <c r="E583" t="inlineStr">
        <is>
          <t>MAT-STEEL-PN-1.15</t>
        </is>
      </c>
      <c r="F583" t="inlineStr">
        <is>
          <t>kg</t>
        </is>
      </c>
      <c r="G583" s="406" t="n">
        <v>5.687324999999999</v>
      </c>
      <c r="H583" s="402">
        <f>IFERROR(INDEX('00_TONG_HOP_BAO_GIA'!$G$1:$G$5000, MATCH(B583, '00_TONG_HOP_BAO_GIA'!$B$1:$B$5000, 0)), 1)</f>
        <v/>
      </c>
      <c r="I583" s="407">
        <f>G583*H583</f>
        <v/>
      </c>
      <c r="J583" s="402">
        <f>IFERROR(INDEX('06_BANG_GIA_VAT_TU_AP_DUNG'!$E$1:$E$5000, MATCH(E583, '06_BANG_GIA_VAT_TU_AP_DUNG'!$B$1:$B$5000, 0)), 0)</f>
        <v/>
      </c>
      <c r="K583" s="402">
        <f>I583*J583</f>
        <v/>
      </c>
      <c r="L583" t="inlineStr">
        <is>
          <t>Tôn bọc cánh &amp; thân (2 cánh/modul)</t>
        </is>
      </c>
    </row>
    <row r="584">
      <c r="A584" t="inlineStr">
        <is>
          <t>SW-DAMPER-115-AXLE</t>
        </is>
      </c>
      <c r="B584" t="inlineStr">
        <is>
          <t>SW-DAMPER-115</t>
        </is>
      </c>
      <c r="C584" t="inlineStr">
        <is>
          <t>Trục Sus 201 D10</t>
        </is>
      </c>
      <c r="D584" t="inlineStr">
        <is>
          <t>PHỤ_KIỆN_VAN</t>
        </is>
      </c>
      <c r="E584" t="inlineStr">
        <is>
          <t>MAT-DAMPER-TRUC-SUS-201-D10</t>
        </is>
      </c>
      <c r="F584" t="inlineStr">
        <is>
          <t>m</t>
        </is>
      </c>
      <c r="G584" s="406" t="n">
        <v>1.92</v>
      </c>
      <c r="H584" s="402">
        <f>IFERROR(INDEX('00_TONG_HOP_BAO_GIA'!$G$1:$G$5000, MATCH(B584, '00_TONG_HOP_BAO_GIA'!$B$1:$B$5000, 0)), 1)</f>
        <v/>
      </c>
      <c r="I584" s="407">
        <f>G584*H584</f>
        <v/>
      </c>
      <c r="J584" s="402">
        <f>IFERROR(INDEX('06_BANG_GIA_VAT_TU_AP_DUNG'!$E$1:$E$5000, MATCH(E584, '06_BANG_GIA_VAT_TU_AP_DUNG'!$B$1:$B$5000, 0)), 0)</f>
        <v/>
      </c>
      <c r="K584" s="402">
        <f>I584*J584</f>
        <v/>
      </c>
      <c r="L584" t="inlineStr">
        <is>
          <t>2 trục dài 960mm</t>
        </is>
      </c>
    </row>
    <row r="585">
      <c r="A585" t="inlineStr">
        <is>
          <t>SW-DAMPER-115-BEARING</t>
        </is>
      </c>
      <c r="B585" t="inlineStr">
        <is>
          <t>SW-DAMPER-115</t>
        </is>
      </c>
      <c r="C585" t="inlineStr">
        <is>
          <t>Bạc đồng D10</t>
        </is>
      </c>
      <c r="D585" t="inlineStr">
        <is>
          <t>PHỤ_KIỆN_VAN</t>
        </is>
      </c>
      <c r="E585" t="inlineStr">
        <is>
          <t>MAT-DAMPER-BAC-DONG-D10</t>
        </is>
      </c>
      <c r="F585" t="inlineStr">
        <is>
          <t>Đôi</t>
        </is>
      </c>
      <c r="G585" s="406" t="n">
        <v>2</v>
      </c>
      <c r="H585" s="402">
        <f>IFERROR(INDEX('00_TONG_HOP_BAO_GIA'!$G$1:$G$5000, MATCH(B585, '00_TONG_HOP_BAO_GIA'!$B$1:$B$5000, 0)), 1)</f>
        <v/>
      </c>
      <c r="I585" s="407">
        <f>G585*H585</f>
        <v/>
      </c>
      <c r="J585" s="402">
        <f>IFERROR(INDEX('06_BANG_GIA_VAT_TU_AP_DUNG'!$E$1:$E$5000, MATCH(E585, '06_BANG_GIA_VAT_TU_AP_DUNG'!$B$1:$B$5000, 0)), 0)</f>
        <v/>
      </c>
      <c r="K585" s="402">
        <f>I585*J585</f>
        <v/>
      </c>
      <c r="L585" t="inlineStr">
        <is>
          <t>2 đôi bạc đỡ 2 bên thân</t>
        </is>
      </c>
    </row>
    <row r="586">
      <c r="A586" t="inlineStr">
        <is>
          <t>SW-DAMPER-115-GEAR</t>
        </is>
      </c>
      <c r="B586" t="inlineStr">
        <is>
          <t>SW-DAMPER-115</t>
        </is>
      </c>
      <c r="C586" t="inlineStr">
        <is>
          <t>Bánh răng van nhôm</t>
        </is>
      </c>
      <c r="D586" t="inlineStr">
        <is>
          <t>PHỤ_KIỆN_VAN</t>
        </is>
      </c>
      <c r="E586" t="inlineStr">
        <is>
          <t>MAT-DAMPER-BANH-RANG-VAN-NHOM</t>
        </is>
      </c>
      <c r="F586" t="inlineStr">
        <is>
          <t>Bộ</t>
        </is>
      </c>
      <c r="G586" s="406" t="n">
        <v>1</v>
      </c>
      <c r="H586" s="402">
        <f>IFERROR(INDEX('00_TONG_HOP_BAO_GIA'!$G$1:$G$5000, MATCH(B586, '00_TONG_HOP_BAO_GIA'!$B$1:$B$5000, 0)), 1)</f>
        <v/>
      </c>
      <c r="I586" s="407">
        <f>G586*H586</f>
        <v/>
      </c>
      <c r="J586" s="402">
        <f>IFERROR(INDEX('06_BANG_GIA_VAT_TU_AP_DUNG'!$E$1:$E$5000, MATCH(E586, '06_BANG_GIA_VAT_TU_AP_DUNG'!$B$1:$B$5000, 0)), 0)</f>
        <v/>
      </c>
      <c r="K586" s="402">
        <f>I586*J586</f>
        <v/>
      </c>
      <c r="L586" t="inlineStr">
        <is>
          <t>Cơ cấu liên động cánh (1 bộ)</t>
        </is>
      </c>
    </row>
    <row r="587">
      <c r="A587" t="inlineStr">
        <is>
          <t>SW-DAMPER-115-ACTUATOR</t>
        </is>
      </c>
      <c r="B587" t="inlineStr">
        <is>
          <t>SW-DAMPER-115</t>
        </is>
      </c>
      <c r="C587" t="inlineStr">
        <is>
          <t>Động cơ chặn lửa ON/OFF 9Nm, 230V/24V (BELIMO BFN24 / BFN230)</t>
        </is>
      </c>
      <c r="D587" t="inlineStr">
        <is>
          <t>ĐỘNG_CƠ_VÀ_CẢM_BIẾN</t>
        </is>
      </c>
      <c r="E587" t="inlineStr">
        <is>
          <t>MAT-ACTUATOR-BELIMO-BFN24</t>
        </is>
      </c>
      <c r="F587" t="inlineStr">
        <is>
          <t>Cái</t>
        </is>
      </c>
      <c r="G587" s="406" t="n">
        <v>1</v>
      </c>
      <c r="H587" s="402">
        <f>IFERROR(INDEX('00_TONG_HOP_BAO_GIA'!$G$1:$G$5000, MATCH(B587, '00_TONG_HOP_BAO_GIA'!$B$1:$B$5000, 0)), 1)</f>
        <v/>
      </c>
      <c r="I587" s="407">
        <f>G587*H587</f>
        <v/>
      </c>
      <c r="J587" s="402">
        <f>IFERROR(INDEX('06_BANG_GIA_VAT_TU_AP_DUNG'!$E$1:$E$5000, MATCH(E587, '06_BANG_GIA_VAT_TU_AP_DUNG'!$B$1:$B$5000, 0)), 0)</f>
        <v/>
      </c>
      <c r="K587" s="402">
        <f>I587*J587</f>
        <v/>
      </c>
      <c r="L587" t="inlineStr">
        <is>
          <t>Động cơ lò xo phản hồi MFD (1 bộ)</t>
        </is>
      </c>
    </row>
    <row r="588">
      <c r="A588" t="inlineStr">
        <is>
          <t>SW-DAMPER-115-FB10-BODY</t>
        </is>
      </c>
      <c r="B588" t="inlineStr">
        <is>
          <t>SW-DAMPER-115</t>
        </is>
      </c>
      <c r="C588" t="inlineStr">
        <is>
          <t>Tấm chống cháy dày 10mm bọc thân van FD/MFD (2 lớp)</t>
        </is>
      </c>
      <c r="D588" t="inlineStr">
        <is>
          <t>VẬT_LIỆU_CÁCH_NHIỆT</t>
        </is>
      </c>
      <c r="E588" t="inlineStr">
        <is>
          <t>MAT-FIREBOARD-10MM-BODY</t>
        </is>
      </c>
      <c r="F588" t="inlineStr">
        <is>
          <t>m2</t>
        </is>
      </c>
      <c r="G588" s="406" t="n">
        <v>1.5</v>
      </c>
      <c r="H588" s="402">
        <f>IFERROR(INDEX('00_TONG_HOP_BAO_GIA'!$G$1:$G$5000, MATCH(B588, '00_TONG_HOP_BAO_GIA'!$B$1:$B$5000, 0)), 1)</f>
        <v/>
      </c>
      <c r="I588" s="407">
        <f>G588*H588</f>
        <v/>
      </c>
      <c r="J588" s="402">
        <f>IFERROR(INDEX('06_BANG_GIA_VAT_TU_AP_DUNG'!$E$1:$E$5000, MATCH(E588, '06_BANG_GIA_VAT_TU_AP_DUNG'!$B$1:$B$5000, 0)), 0)</f>
        <v/>
      </c>
      <c r="K588" s="402">
        <f>I588*J588</f>
        <v/>
      </c>
      <c r="L588" t="inlineStr">
        <is>
          <t>Bọc 2 lớp tấm 10mm quanh thân L=300mm</t>
        </is>
      </c>
    </row>
    <row r="589">
      <c r="A589" t="inlineStr">
        <is>
          <t>SW-DAMPER-115-FB20-BLADE</t>
        </is>
      </c>
      <c r="B589" t="inlineStr">
        <is>
          <t>SW-DAMPER-115</t>
        </is>
      </c>
      <c r="C589" t="inlineStr">
        <is>
          <t>Tấm chống cháy dày 20mm làm lõi cánh van FD/MFD</t>
        </is>
      </c>
      <c r="D589" t="inlineStr">
        <is>
          <t>VẬT_LIỆU_CÁCH_NHIỆT</t>
        </is>
      </c>
      <c r="E589" t="inlineStr">
        <is>
          <t>MAT-FIREBOARD-20MM-BLADE</t>
        </is>
      </c>
      <c r="F589" t="inlineStr">
        <is>
          <t>m2</t>
        </is>
      </c>
      <c r="G589" s="406" t="n">
        <v>0.4706818791946309</v>
      </c>
      <c r="H589" s="402">
        <f>IFERROR(INDEX('00_TONG_HOP_BAO_GIA'!$G$1:$G$5000, MATCH(B589, '00_TONG_HOP_BAO_GIA'!$B$1:$B$5000, 0)), 1)</f>
        <v/>
      </c>
      <c r="I589" s="407">
        <f>G589*H589</f>
        <v/>
      </c>
      <c r="J589" s="402">
        <f>IFERROR(INDEX('06_BANG_GIA_VAT_TU_AP_DUNG'!$E$1:$E$5000, MATCH(E589, '06_BANG_GIA_VAT_TU_AP_DUNG'!$B$1:$B$5000, 0)), 0)</f>
        <v/>
      </c>
      <c r="K589" s="402">
        <f>I589*J589</f>
        <v/>
      </c>
      <c r="L589" t="inlineStr">
        <is>
          <t>Lõi cánh tấm 20mm (Đa cánh hệ số (H-5)/149=2.32, bản rộng 210mm, hao hụt 10%)</t>
        </is>
      </c>
    </row>
    <row r="590">
      <c r="A590" t="inlineStr">
        <is>
          <t>SW-DAMPER-115-FB10-BLADE</t>
        </is>
      </c>
      <c r="B590" t="inlineStr">
        <is>
          <t>SW-DAMPER-115</t>
        </is>
      </c>
      <c r="C590" t="inlineStr">
        <is>
          <t>Tấm chống cháy dày 10mm ốp 2 mặt cánh van FD/MFD</t>
        </is>
      </c>
      <c r="D590" t="inlineStr">
        <is>
          <t>VẬT_LIỆU_CÁCH_NHIỆT</t>
        </is>
      </c>
      <c r="E590" t="inlineStr">
        <is>
          <t>MAT-FIREBOARD-10MM-BLADE</t>
        </is>
      </c>
      <c r="F590" t="inlineStr">
        <is>
          <t>m2</t>
        </is>
      </c>
      <c r="G590" s="406" t="n">
        <v>0.962758389261745</v>
      </c>
      <c r="H590" s="402">
        <f>IFERROR(INDEX('00_TONG_HOP_BAO_GIA'!$G$1:$G$5000, MATCH(B590, '00_TONG_HOP_BAO_GIA'!$B$1:$B$5000, 0)), 1)</f>
        <v/>
      </c>
      <c r="I590" s="407">
        <f>G590*H590</f>
        <v/>
      </c>
      <c r="J590" s="402">
        <f>IFERROR(INDEX('06_BANG_GIA_VAT_TU_AP_DUNG'!$E$1:$E$5000, MATCH(E590, '06_BANG_GIA_VAT_TU_AP_DUNG'!$B$1:$B$5000, 0)), 0)</f>
        <v/>
      </c>
      <c r="K590" s="402">
        <f>I590*J590</f>
        <v/>
      </c>
      <c r="L590" t="inlineStr">
        <is>
          <t>Ốp 2 mặt cánh tấm 10mm (Đa cánh hệ số (H-5)/149=2.32, bản rộng 210mm, hao hụt 10%)</t>
        </is>
      </c>
    </row>
    <row r="591">
      <c r="A591" t="inlineStr">
        <is>
          <t>SW-DAMPER-115-SPRING-BOX</t>
        </is>
      </c>
      <c r="B591" t="inlineStr">
        <is>
          <t>SW-DAMPER-115</t>
        </is>
      </c>
      <c r="C591" t="inlineStr">
        <is>
          <t>Hộp lò xo van chặn lửa FD/MFD</t>
        </is>
      </c>
      <c r="D591" t="inlineStr">
        <is>
          <t>PHỤ_KIỆN_VAN</t>
        </is>
      </c>
      <c r="E591" t="inlineStr">
        <is>
          <t>MAT-DAMPER-HOP-LO-XO</t>
        </is>
      </c>
      <c r="F591" t="inlineStr">
        <is>
          <t>Bộ</t>
        </is>
      </c>
      <c r="G591" s="406" t="n">
        <v>1</v>
      </c>
      <c r="H591" s="402">
        <f>IFERROR(INDEX('00_TONG_HOP_BAO_GIA'!$G$1:$G$5000, MATCH(B591, '00_TONG_HOP_BAO_GIA'!$B$1:$B$5000, 0)), 1)</f>
        <v/>
      </c>
      <c r="I591" s="407">
        <f>G591*H591</f>
        <v/>
      </c>
      <c r="J591" s="402">
        <f>IFERROR(INDEX('06_BANG_GIA_VAT_TU_AP_DUNG'!$E$1:$E$5000, MATCH(E591, '06_BANG_GIA_VAT_TU_AP_DUNG'!$B$1:$B$5000, 0)), 0)</f>
        <v/>
      </c>
      <c r="K591" s="402">
        <f>I591*J591</f>
        <v/>
      </c>
      <c r="L591" t="inlineStr">
        <is>
          <t>Hộp lò xo cơ cấu đóng sập (1 bộ)</t>
        </is>
      </c>
    </row>
    <row r="592">
      <c r="A592" t="inlineStr">
        <is>
          <t>SW-DAMPER-115-SILICON-BOLT</t>
        </is>
      </c>
      <c r="B592" t="inlineStr">
        <is>
          <t>SW-DAMPER-115</t>
        </is>
      </c>
      <c r="C592" t="inlineStr">
        <is>
          <t>Silicon chống cháy + bu lông, ốc vít van FD/MFD</t>
        </is>
      </c>
      <c r="D592" t="inlineStr">
        <is>
          <t>PHỤ_KIỆN_VAN</t>
        </is>
      </c>
      <c r="E592" t="inlineStr">
        <is>
          <t>MAT-DAMPER-SILICON-BULONG-VIT</t>
        </is>
      </c>
      <c r="F592" t="inlineStr">
        <is>
          <t>Bộ</t>
        </is>
      </c>
      <c r="G592" s="406" t="n">
        <v>1</v>
      </c>
      <c r="H592" s="402">
        <f>IFERROR(INDEX('00_TONG_HOP_BAO_GIA'!$G$1:$G$5000, MATCH(B592, '00_TONG_HOP_BAO_GIA'!$B$1:$B$5000, 0)), 1)</f>
        <v/>
      </c>
      <c r="I592" s="407">
        <f>G592*H592</f>
        <v/>
      </c>
      <c r="J592" s="402">
        <f>IFERROR(INDEX('06_BANG_GIA_VAT_TU_AP_DUNG'!$E$1:$E$5000, MATCH(E592, '06_BANG_GIA_VAT_TU_AP_DUNG'!$B$1:$B$5000, 0)), 0)</f>
        <v/>
      </c>
      <c r="K592" s="402">
        <f>I592*J592</f>
        <v/>
      </c>
      <c r="L592" t="inlineStr">
        <is>
          <t>Keo silicon chống cháy &amp; phụ kiện lắp ghép (1 bộ)</t>
        </is>
      </c>
    </row>
    <row r="593">
      <c r="A593" t="inlineStr">
        <is>
          <t>SW-DAMPER-116-BODY</t>
        </is>
      </c>
      <c r="B593" t="inlineStr">
        <is>
          <t>SW-DAMPER-116</t>
        </is>
      </c>
      <c r="C593" t="inlineStr">
        <is>
          <t>Thân vỏ van MFD bích C30/TDF (1.15mm)</t>
        </is>
      </c>
      <c r="D593" t="inlineStr">
        <is>
          <t>TÔN_CUỘN_MẠ_KẼM</t>
        </is>
      </c>
      <c r="E593" t="inlineStr">
        <is>
          <t>MAT-STEEL-PN-1.15</t>
        </is>
      </c>
      <c r="F593" t="inlineStr">
        <is>
          <t>kg</t>
        </is>
      </c>
      <c r="G593" s="406" t="n">
        <v>6.500612475</v>
      </c>
      <c r="H593" s="402">
        <f>IFERROR(INDEX('00_TONG_HOP_BAO_GIA'!$G$1:$G$5000, MATCH(B593, '00_TONG_HOP_BAO_GIA'!$B$1:$B$5000, 0)), 1)</f>
        <v/>
      </c>
      <c r="I593" s="407">
        <f>G593*H593</f>
        <v/>
      </c>
      <c r="J593" s="402">
        <f>IFERROR(INDEX('06_BANG_GIA_VAT_TU_AP_DUNG'!$E$1:$E$5000, MATCH(E593, '06_BANG_GIA_VAT_TU_AP_DUNG'!$B$1:$B$5000, 0)), 0)</f>
        <v/>
      </c>
      <c r="K593" s="402">
        <f>I593*J593</f>
        <v/>
      </c>
      <c r="L593" t="inlineStr">
        <is>
          <t>Kích thước vỏ 900x350x200mm</t>
        </is>
      </c>
    </row>
    <row r="594">
      <c r="A594" t="inlineStr">
        <is>
          <t>SW-DAMPER-116-BLADE</t>
        </is>
      </c>
      <c r="B594" t="inlineStr">
        <is>
          <t>SW-DAMPER-116</t>
        </is>
      </c>
      <c r="C594" t="inlineStr">
        <is>
          <t>Lá cánh / Tôn tấm bọc van (2 cánh)</t>
        </is>
      </c>
      <c r="D594" t="inlineStr">
        <is>
          <t>TÔN_CUỘN_MẠ_KẼM</t>
        </is>
      </c>
      <c r="E594" t="inlineStr">
        <is>
          <t>MAT-STEEL-PN-1.15</t>
        </is>
      </c>
      <c r="F594" t="inlineStr">
        <is>
          <t>kg</t>
        </is>
      </c>
      <c r="G594" s="406" t="n">
        <v>5.687324999999999</v>
      </c>
      <c r="H594" s="402">
        <f>IFERROR(INDEX('00_TONG_HOP_BAO_GIA'!$G$1:$G$5000, MATCH(B594, '00_TONG_HOP_BAO_GIA'!$B$1:$B$5000, 0)), 1)</f>
        <v/>
      </c>
      <c r="I594" s="407">
        <f>G594*H594</f>
        <v/>
      </c>
      <c r="J594" s="402">
        <f>IFERROR(INDEX('06_BANG_GIA_VAT_TU_AP_DUNG'!$E$1:$E$5000, MATCH(E594, '06_BANG_GIA_VAT_TU_AP_DUNG'!$B$1:$B$5000, 0)), 0)</f>
        <v/>
      </c>
      <c r="K594" s="402">
        <f>I594*J594</f>
        <v/>
      </c>
      <c r="L594" t="inlineStr">
        <is>
          <t>Tôn bọc cánh &amp; thân (2 cánh/modul)</t>
        </is>
      </c>
    </row>
    <row r="595">
      <c r="A595" t="inlineStr">
        <is>
          <t>SW-DAMPER-116-AXLE</t>
        </is>
      </c>
      <c r="B595" t="inlineStr">
        <is>
          <t>SW-DAMPER-116</t>
        </is>
      </c>
      <c r="C595" t="inlineStr">
        <is>
          <t>Trục Sus 201 D10</t>
        </is>
      </c>
      <c r="D595" t="inlineStr">
        <is>
          <t>PHỤ_KIỆN_VAN</t>
        </is>
      </c>
      <c r="E595" t="inlineStr">
        <is>
          <t>MAT-DAMPER-TRUC-SUS-201-D10</t>
        </is>
      </c>
      <c r="F595" t="inlineStr">
        <is>
          <t>m</t>
        </is>
      </c>
      <c r="G595" s="406" t="n">
        <v>1.92</v>
      </c>
      <c r="H595" s="402">
        <f>IFERROR(INDEX('00_TONG_HOP_BAO_GIA'!$G$1:$G$5000, MATCH(B595, '00_TONG_HOP_BAO_GIA'!$B$1:$B$5000, 0)), 1)</f>
        <v/>
      </c>
      <c r="I595" s="407">
        <f>G595*H595</f>
        <v/>
      </c>
      <c r="J595" s="402">
        <f>IFERROR(INDEX('06_BANG_GIA_VAT_TU_AP_DUNG'!$E$1:$E$5000, MATCH(E595, '06_BANG_GIA_VAT_TU_AP_DUNG'!$B$1:$B$5000, 0)), 0)</f>
        <v/>
      </c>
      <c r="K595" s="402">
        <f>I595*J595</f>
        <v/>
      </c>
      <c r="L595" t="inlineStr">
        <is>
          <t>2 trục dài 960mm</t>
        </is>
      </c>
    </row>
    <row r="596">
      <c r="A596" t="inlineStr">
        <is>
          <t>SW-DAMPER-116-BEARING</t>
        </is>
      </c>
      <c r="B596" t="inlineStr">
        <is>
          <t>SW-DAMPER-116</t>
        </is>
      </c>
      <c r="C596" t="inlineStr">
        <is>
          <t>Bạc đồng D10</t>
        </is>
      </c>
      <c r="D596" t="inlineStr">
        <is>
          <t>PHỤ_KIỆN_VAN</t>
        </is>
      </c>
      <c r="E596" t="inlineStr">
        <is>
          <t>MAT-DAMPER-BAC-DONG-D10</t>
        </is>
      </c>
      <c r="F596" t="inlineStr">
        <is>
          <t>Đôi</t>
        </is>
      </c>
      <c r="G596" s="406" t="n">
        <v>2</v>
      </c>
      <c r="H596" s="402">
        <f>IFERROR(INDEX('00_TONG_HOP_BAO_GIA'!$G$1:$G$5000, MATCH(B596, '00_TONG_HOP_BAO_GIA'!$B$1:$B$5000, 0)), 1)</f>
        <v/>
      </c>
      <c r="I596" s="407">
        <f>G596*H596</f>
        <v/>
      </c>
      <c r="J596" s="402">
        <f>IFERROR(INDEX('06_BANG_GIA_VAT_TU_AP_DUNG'!$E$1:$E$5000, MATCH(E596, '06_BANG_GIA_VAT_TU_AP_DUNG'!$B$1:$B$5000, 0)), 0)</f>
        <v/>
      </c>
      <c r="K596" s="402">
        <f>I596*J596</f>
        <v/>
      </c>
      <c r="L596" t="inlineStr">
        <is>
          <t>2 đôi bạc đỡ 2 bên thân</t>
        </is>
      </c>
    </row>
    <row r="597">
      <c r="A597" t="inlineStr">
        <is>
          <t>SW-DAMPER-116-GEAR</t>
        </is>
      </c>
      <c r="B597" t="inlineStr">
        <is>
          <t>SW-DAMPER-116</t>
        </is>
      </c>
      <c r="C597" t="inlineStr">
        <is>
          <t>Bánh răng van nhôm</t>
        </is>
      </c>
      <c r="D597" t="inlineStr">
        <is>
          <t>PHỤ_KIỆN_VAN</t>
        </is>
      </c>
      <c r="E597" t="inlineStr">
        <is>
          <t>MAT-DAMPER-BANH-RANG-VAN-NHOM</t>
        </is>
      </c>
      <c r="F597" t="inlineStr">
        <is>
          <t>Bộ</t>
        </is>
      </c>
      <c r="G597" s="406" t="n">
        <v>1</v>
      </c>
      <c r="H597" s="402">
        <f>IFERROR(INDEX('00_TONG_HOP_BAO_GIA'!$G$1:$G$5000, MATCH(B597, '00_TONG_HOP_BAO_GIA'!$B$1:$B$5000, 0)), 1)</f>
        <v/>
      </c>
      <c r="I597" s="407">
        <f>G597*H597</f>
        <v/>
      </c>
      <c r="J597" s="402">
        <f>IFERROR(INDEX('06_BANG_GIA_VAT_TU_AP_DUNG'!$E$1:$E$5000, MATCH(E597, '06_BANG_GIA_VAT_TU_AP_DUNG'!$B$1:$B$5000, 0)), 0)</f>
        <v/>
      </c>
      <c r="K597" s="402">
        <f>I597*J597</f>
        <v/>
      </c>
      <c r="L597" t="inlineStr">
        <is>
          <t>Cơ cấu liên động cánh (1 bộ)</t>
        </is>
      </c>
    </row>
    <row r="598">
      <c r="A598" t="inlineStr">
        <is>
          <t>SW-DAMPER-116-ACTUATOR</t>
        </is>
      </c>
      <c r="B598" t="inlineStr">
        <is>
          <t>SW-DAMPER-116</t>
        </is>
      </c>
      <c r="C598" t="inlineStr">
        <is>
          <t>Động cơ chặn lửa ON/OFF 9Nm, 230V/24V (BELIMO BFN24 / BFN230)</t>
        </is>
      </c>
      <c r="D598" t="inlineStr">
        <is>
          <t>ĐỘNG_CƠ_VÀ_CẢM_BIẾN</t>
        </is>
      </c>
      <c r="E598" t="inlineStr">
        <is>
          <t>MAT-ACTUATOR-BELIMO-BFN24</t>
        </is>
      </c>
      <c r="F598" t="inlineStr">
        <is>
          <t>Cái</t>
        </is>
      </c>
      <c r="G598" s="406" t="n">
        <v>1</v>
      </c>
      <c r="H598" s="402">
        <f>IFERROR(INDEX('00_TONG_HOP_BAO_GIA'!$G$1:$G$5000, MATCH(B598, '00_TONG_HOP_BAO_GIA'!$B$1:$B$5000, 0)), 1)</f>
        <v/>
      </c>
      <c r="I598" s="407">
        <f>G598*H598</f>
        <v/>
      </c>
      <c r="J598" s="402">
        <f>IFERROR(INDEX('06_BANG_GIA_VAT_TU_AP_DUNG'!$E$1:$E$5000, MATCH(E598, '06_BANG_GIA_VAT_TU_AP_DUNG'!$B$1:$B$5000, 0)), 0)</f>
        <v/>
      </c>
      <c r="K598" s="402">
        <f>I598*J598</f>
        <v/>
      </c>
      <c r="L598" t="inlineStr">
        <is>
          <t>Động cơ lò xo phản hồi MFD (1 bộ)</t>
        </is>
      </c>
    </row>
    <row r="599">
      <c r="A599" t="inlineStr">
        <is>
          <t>SW-DAMPER-116-FB10-BODY</t>
        </is>
      </c>
      <c r="B599" t="inlineStr">
        <is>
          <t>SW-DAMPER-116</t>
        </is>
      </c>
      <c r="C599" t="inlineStr">
        <is>
          <t>Tấm chống cháy dày 10mm bọc thân van FD/MFD (2 lớp)</t>
        </is>
      </c>
      <c r="D599" t="inlineStr">
        <is>
          <t>VẬT_LIỆU_CÁCH_NHIỆT</t>
        </is>
      </c>
      <c r="E599" t="inlineStr">
        <is>
          <t>MAT-FIREBOARD-10MM-BODY</t>
        </is>
      </c>
      <c r="F599" t="inlineStr">
        <is>
          <t>m2</t>
        </is>
      </c>
      <c r="G599" s="406" t="n">
        <v>1.5</v>
      </c>
      <c r="H599" s="402">
        <f>IFERROR(INDEX('00_TONG_HOP_BAO_GIA'!$G$1:$G$5000, MATCH(B599, '00_TONG_HOP_BAO_GIA'!$B$1:$B$5000, 0)), 1)</f>
        <v/>
      </c>
      <c r="I599" s="407">
        <f>G599*H599</f>
        <v/>
      </c>
      <c r="J599" s="402">
        <f>IFERROR(INDEX('06_BANG_GIA_VAT_TU_AP_DUNG'!$E$1:$E$5000, MATCH(E599, '06_BANG_GIA_VAT_TU_AP_DUNG'!$B$1:$B$5000, 0)), 0)</f>
        <v/>
      </c>
      <c r="K599" s="402">
        <f>I599*J599</f>
        <v/>
      </c>
      <c r="L599" t="inlineStr">
        <is>
          <t>Bọc 2 lớp tấm 10mm quanh thân L=300mm</t>
        </is>
      </c>
    </row>
    <row r="600">
      <c r="A600" t="inlineStr">
        <is>
          <t>SW-DAMPER-116-FB20-BLADE</t>
        </is>
      </c>
      <c r="B600" t="inlineStr">
        <is>
          <t>SW-DAMPER-116</t>
        </is>
      </c>
      <c r="C600" t="inlineStr">
        <is>
          <t>Tấm chống cháy dày 20mm làm lõi cánh van FD/MFD</t>
        </is>
      </c>
      <c r="D600" t="inlineStr">
        <is>
          <t>VẬT_LIỆU_CÁCH_NHIỆT</t>
        </is>
      </c>
      <c r="E600" t="inlineStr">
        <is>
          <t>MAT-FIREBOARD-20MM-BLADE</t>
        </is>
      </c>
      <c r="F600" t="inlineStr">
        <is>
          <t>m2</t>
        </is>
      </c>
      <c r="G600" s="406" t="n">
        <v>0.4706818791946309</v>
      </c>
      <c r="H600" s="402">
        <f>IFERROR(INDEX('00_TONG_HOP_BAO_GIA'!$G$1:$G$5000, MATCH(B600, '00_TONG_HOP_BAO_GIA'!$B$1:$B$5000, 0)), 1)</f>
        <v/>
      </c>
      <c r="I600" s="407">
        <f>G600*H600</f>
        <v/>
      </c>
      <c r="J600" s="402">
        <f>IFERROR(INDEX('06_BANG_GIA_VAT_TU_AP_DUNG'!$E$1:$E$5000, MATCH(E600, '06_BANG_GIA_VAT_TU_AP_DUNG'!$B$1:$B$5000, 0)), 0)</f>
        <v/>
      </c>
      <c r="K600" s="402">
        <f>I600*J600</f>
        <v/>
      </c>
      <c r="L600" t="inlineStr">
        <is>
          <t>Lõi cánh tấm 20mm (Đa cánh hệ số (H-5)/149=2.32, bản rộng 210mm, hao hụt 10%)</t>
        </is>
      </c>
    </row>
    <row r="601">
      <c r="A601" t="inlineStr">
        <is>
          <t>SW-DAMPER-116-FB10-BLADE</t>
        </is>
      </c>
      <c r="B601" t="inlineStr">
        <is>
          <t>SW-DAMPER-116</t>
        </is>
      </c>
      <c r="C601" t="inlineStr">
        <is>
          <t>Tấm chống cháy dày 10mm ốp 2 mặt cánh van FD/MFD</t>
        </is>
      </c>
      <c r="D601" t="inlineStr">
        <is>
          <t>VẬT_LIỆU_CÁCH_NHIỆT</t>
        </is>
      </c>
      <c r="E601" t="inlineStr">
        <is>
          <t>MAT-FIREBOARD-10MM-BLADE</t>
        </is>
      </c>
      <c r="F601" t="inlineStr">
        <is>
          <t>m2</t>
        </is>
      </c>
      <c r="G601" s="406" t="n">
        <v>0.962758389261745</v>
      </c>
      <c r="H601" s="402">
        <f>IFERROR(INDEX('00_TONG_HOP_BAO_GIA'!$G$1:$G$5000, MATCH(B601, '00_TONG_HOP_BAO_GIA'!$B$1:$B$5000, 0)), 1)</f>
        <v/>
      </c>
      <c r="I601" s="407">
        <f>G601*H601</f>
        <v/>
      </c>
      <c r="J601" s="402">
        <f>IFERROR(INDEX('06_BANG_GIA_VAT_TU_AP_DUNG'!$E$1:$E$5000, MATCH(E601, '06_BANG_GIA_VAT_TU_AP_DUNG'!$B$1:$B$5000, 0)), 0)</f>
        <v/>
      </c>
      <c r="K601" s="402">
        <f>I601*J601</f>
        <v/>
      </c>
      <c r="L601" t="inlineStr">
        <is>
          <t>Ốp 2 mặt cánh tấm 10mm (Đa cánh hệ số (H-5)/149=2.32, bản rộng 210mm, hao hụt 10%)</t>
        </is>
      </c>
    </row>
    <row r="602">
      <c r="A602" t="inlineStr">
        <is>
          <t>SW-DAMPER-116-SPRING-BOX</t>
        </is>
      </c>
      <c r="B602" t="inlineStr">
        <is>
          <t>SW-DAMPER-116</t>
        </is>
      </c>
      <c r="C602" t="inlineStr">
        <is>
          <t>Hộp lò xo van chặn lửa FD/MFD</t>
        </is>
      </c>
      <c r="D602" t="inlineStr">
        <is>
          <t>PHỤ_KIỆN_VAN</t>
        </is>
      </c>
      <c r="E602" t="inlineStr">
        <is>
          <t>MAT-DAMPER-HOP-LO-XO</t>
        </is>
      </c>
      <c r="F602" t="inlineStr">
        <is>
          <t>Bộ</t>
        </is>
      </c>
      <c r="G602" s="406" t="n">
        <v>1</v>
      </c>
      <c r="H602" s="402">
        <f>IFERROR(INDEX('00_TONG_HOP_BAO_GIA'!$G$1:$G$5000, MATCH(B602, '00_TONG_HOP_BAO_GIA'!$B$1:$B$5000, 0)), 1)</f>
        <v/>
      </c>
      <c r="I602" s="407">
        <f>G602*H602</f>
        <v/>
      </c>
      <c r="J602" s="402">
        <f>IFERROR(INDEX('06_BANG_GIA_VAT_TU_AP_DUNG'!$E$1:$E$5000, MATCH(E602, '06_BANG_GIA_VAT_TU_AP_DUNG'!$B$1:$B$5000, 0)), 0)</f>
        <v/>
      </c>
      <c r="K602" s="402">
        <f>I602*J602</f>
        <v/>
      </c>
      <c r="L602" t="inlineStr">
        <is>
          <t>Hộp lò xo cơ cấu đóng sập (1 bộ)</t>
        </is>
      </c>
    </row>
    <row r="603">
      <c r="A603" t="inlineStr">
        <is>
          <t>SW-DAMPER-116-SILICON-BOLT</t>
        </is>
      </c>
      <c r="B603" t="inlineStr">
        <is>
          <t>SW-DAMPER-116</t>
        </is>
      </c>
      <c r="C603" t="inlineStr">
        <is>
          <t>Silicon chống cháy + bu lông, ốc vít van FD/MFD</t>
        </is>
      </c>
      <c r="D603" t="inlineStr">
        <is>
          <t>PHỤ_KIỆN_VAN</t>
        </is>
      </c>
      <c r="E603" t="inlineStr">
        <is>
          <t>MAT-DAMPER-SILICON-BULONG-VIT</t>
        </is>
      </c>
      <c r="F603" t="inlineStr">
        <is>
          <t>Bộ</t>
        </is>
      </c>
      <c r="G603" s="406" t="n">
        <v>1</v>
      </c>
      <c r="H603" s="402">
        <f>IFERROR(INDEX('00_TONG_HOP_BAO_GIA'!$G$1:$G$5000, MATCH(B603, '00_TONG_HOP_BAO_GIA'!$B$1:$B$5000, 0)), 1)</f>
        <v/>
      </c>
      <c r="I603" s="407">
        <f>G603*H603</f>
        <v/>
      </c>
      <c r="J603" s="402">
        <f>IFERROR(INDEX('06_BANG_GIA_VAT_TU_AP_DUNG'!$E$1:$E$5000, MATCH(E603, '06_BANG_GIA_VAT_TU_AP_DUNG'!$B$1:$B$5000, 0)), 0)</f>
        <v/>
      </c>
      <c r="K603" s="402">
        <f>I603*J603</f>
        <v/>
      </c>
      <c r="L603" t="inlineStr">
        <is>
          <t>Keo silicon chống cháy &amp; phụ kiện lắp ghép (1 bộ)</t>
        </is>
      </c>
    </row>
    <row r="604">
      <c r="A604" t="inlineStr">
        <is>
          <t>SW-DAMPER-117-BODY</t>
        </is>
      </c>
      <c r="B604" t="inlineStr">
        <is>
          <t>SW-DAMPER-117</t>
        </is>
      </c>
      <c r="C604" t="inlineStr">
        <is>
          <t>Thân vỏ van MFD bích C30/TDF (1.15mm)</t>
        </is>
      </c>
      <c r="D604" t="inlineStr">
        <is>
          <t>TÔN_CUỘN_MẠ_KẼM</t>
        </is>
      </c>
      <c r="E604" t="inlineStr">
        <is>
          <t>MAT-STEEL-PN-1.15</t>
        </is>
      </c>
      <c r="F604" t="inlineStr">
        <is>
          <t>kg</t>
        </is>
      </c>
      <c r="G604" s="406" t="n">
        <v>2.6616681</v>
      </c>
      <c r="H604" s="402">
        <f>IFERROR(INDEX('00_TONG_HOP_BAO_GIA'!$G$1:$G$5000, MATCH(B604, '00_TONG_HOP_BAO_GIA'!$B$1:$B$5000, 0)), 1)</f>
        <v/>
      </c>
      <c r="I604" s="407">
        <f>G604*H604</f>
        <v/>
      </c>
      <c r="J604" s="402">
        <f>IFERROR(INDEX('06_BANG_GIA_VAT_TU_AP_DUNG'!$E$1:$E$5000, MATCH(E604, '06_BANG_GIA_VAT_TU_AP_DUNG'!$B$1:$B$5000, 0)), 0)</f>
        <v/>
      </c>
      <c r="K604" s="402">
        <f>I604*J604</f>
        <v/>
      </c>
      <c r="L604" t="inlineStr">
        <is>
          <t>Kích thước vỏ 150x350x200mm (Thu côn từ 150x350mm về 110x350mm)</t>
        </is>
      </c>
    </row>
    <row r="605">
      <c r="A605" t="inlineStr">
        <is>
          <t>SW-DAMPER-117-BLADE</t>
        </is>
      </c>
      <c r="B605" t="inlineStr">
        <is>
          <t>SW-DAMPER-117</t>
        </is>
      </c>
      <c r="C605" t="inlineStr">
        <is>
          <t>Lá cánh / Tôn tấm bọc van (2 cánh)</t>
        </is>
      </c>
      <c r="D605" t="inlineStr">
        <is>
          <t>TÔN_CUỘN_MẠ_KẼM</t>
        </is>
      </c>
      <c r="E605" t="inlineStr">
        <is>
          <t>MAT-STEEL-PN-1.15</t>
        </is>
      </c>
      <c r="F605" t="inlineStr">
        <is>
          <t>kg</t>
        </is>
      </c>
      <c r="G605" s="406" t="n">
        <v>0.9478874999999998</v>
      </c>
      <c r="H605" s="402">
        <f>IFERROR(INDEX('00_TONG_HOP_BAO_GIA'!$G$1:$G$5000, MATCH(B605, '00_TONG_HOP_BAO_GIA'!$B$1:$B$5000, 0)), 1)</f>
        <v/>
      </c>
      <c r="I605" s="407">
        <f>G605*H605</f>
        <v/>
      </c>
      <c r="J605" s="402">
        <f>IFERROR(INDEX('06_BANG_GIA_VAT_TU_AP_DUNG'!$E$1:$E$5000, MATCH(E605, '06_BANG_GIA_VAT_TU_AP_DUNG'!$B$1:$B$5000, 0)), 0)</f>
        <v/>
      </c>
      <c r="K605" s="402">
        <f>I605*J605</f>
        <v/>
      </c>
      <c r="L605" t="inlineStr">
        <is>
          <t>Tôn bọc cánh &amp; thân (2 cánh/modul)</t>
        </is>
      </c>
    </row>
    <row r="606">
      <c r="A606" t="inlineStr">
        <is>
          <t>SW-DAMPER-117-AXLE</t>
        </is>
      </c>
      <c r="B606" t="inlineStr">
        <is>
          <t>SW-DAMPER-117</t>
        </is>
      </c>
      <c r="C606" t="inlineStr">
        <is>
          <t>Trục Sus 201 D10</t>
        </is>
      </c>
      <c r="D606" t="inlineStr">
        <is>
          <t>PHỤ_KIỆN_VAN</t>
        </is>
      </c>
      <c r="E606" t="inlineStr">
        <is>
          <t>MAT-DAMPER-TRUC-SUS-201-D10</t>
        </is>
      </c>
      <c r="F606" t="inlineStr">
        <is>
          <t>m</t>
        </is>
      </c>
      <c r="G606" s="406" t="n">
        <v>0.42</v>
      </c>
      <c r="H606" s="402">
        <f>IFERROR(INDEX('00_TONG_HOP_BAO_GIA'!$G$1:$G$5000, MATCH(B606, '00_TONG_HOP_BAO_GIA'!$B$1:$B$5000, 0)), 1)</f>
        <v/>
      </c>
      <c r="I606" s="407">
        <f>G606*H606</f>
        <v/>
      </c>
      <c r="J606" s="402">
        <f>IFERROR(INDEX('06_BANG_GIA_VAT_TU_AP_DUNG'!$E$1:$E$5000, MATCH(E606, '06_BANG_GIA_VAT_TU_AP_DUNG'!$B$1:$B$5000, 0)), 0)</f>
        <v/>
      </c>
      <c r="K606" s="402">
        <f>I606*J606</f>
        <v/>
      </c>
      <c r="L606" t="inlineStr">
        <is>
          <t>2 trục dài 210mm</t>
        </is>
      </c>
    </row>
    <row r="607">
      <c r="A607" t="inlineStr">
        <is>
          <t>SW-DAMPER-117-BEARING</t>
        </is>
      </c>
      <c r="B607" t="inlineStr">
        <is>
          <t>SW-DAMPER-117</t>
        </is>
      </c>
      <c r="C607" t="inlineStr">
        <is>
          <t>Bạc đồng D10</t>
        </is>
      </c>
      <c r="D607" t="inlineStr">
        <is>
          <t>PHỤ_KIỆN_VAN</t>
        </is>
      </c>
      <c r="E607" t="inlineStr">
        <is>
          <t>MAT-DAMPER-BAC-DONG-D10</t>
        </is>
      </c>
      <c r="F607" t="inlineStr">
        <is>
          <t>Đôi</t>
        </is>
      </c>
      <c r="G607" s="406" t="n">
        <v>2</v>
      </c>
      <c r="H607" s="402">
        <f>IFERROR(INDEX('00_TONG_HOP_BAO_GIA'!$G$1:$G$5000, MATCH(B607, '00_TONG_HOP_BAO_GIA'!$B$1:$B$5000, 0)), 1)</f>
        <v/>
      </c>
      <c r="I607" s="407">
        <f>G607*H607</f>
        <v/>
      </c>
      <c r="J607" s="402">
        <f>IFERROR(INDEX('06_BANG_GIA_VAT_TU_AP_DUNG'!$E$1:$E$5000, MATCH(E607, '06_BANG_GIA_VAT_TU_AP_DUNG'!$B$1:$B$5000, 0)), 0)</f>
        <v/>
      </c>
      <c r="K607" s="402">
        <f>I607*J607</f>
        <v/>
      </c>
      <c r="L607" t="inlineStr">
        <is>
          <t>2 đôi bạc đỡ 2 bên thân</t>
        </is>
      </c>
    </row>
    <row r="608">
      <c r="A608" t="inlineStr">
        <is>
          <t>SW-DAMPER-117-GEAR</t>
        </is>
      </c>
      <c r="B608" t="inlineStr">
        <is>
          <t>SW-DAMPER-117</t>
        </is>
      </c>
      <c r="C608" t="inlineStr">
        <is>
          <t>Bánh răng van nhôm</t>
        </is>
      </c>
      <c r="D608" t="inlineStr">
        <is>
          <t>PHỤ_KIỆN_VAN</t>
        </is>
      </c>
      <c r="E608" t="inlineStr">
        <is>
          <t>MAT-DAMPER-BANH-RANG-VAN-NHOM</t>
        </is>
      </c>
      <c r="F608" t="inlineStr">
        <is>
          <t>Bộ</t>
        </is>
      </c>
      <c r="G608" s="406" t="n">
        <v>1</v>
      </c>
      <c r="H608" s="402">
        <f>IFERROR(INDEX('00_TONG_HOP_BAO_GIA'!$G$1:$G$5000, MATCH(B608, '00_TONG_HOP_BAO_GIA'!$B$1:$B$5000, 0)), 1)</f>
        <v/>
      </c>
      <c r="I608" s="407">
        <f>G608*H608</f>
        <v/>
      </c>
      <c r="J608" s="402">
        <f>IFERROR(INDEX('06_BANG_GIA_VAT_TU_AP_DUNG'!$E$1:$E$5000, MATCH(E608, '06_BANG_GIA_VAT_TU_AP_DUNG'!$B$1:$B$5000, 0)), 0)</f>
        <v/>
      </c>
      <c r="K608" s="402">
        <f>I608*J608</f>
        <v/>
      </c>
      <c r="L608" t="inlineStr">
        <is>
          <t>Cơ cấu liên động cánh (1 bộ)</t>
        </is>
      </c>
    </row>
    <row r="609">
      <c r="A609" t="inlineStr">
        <is>
          <t>SW-DAMPER-117-ACTUATOR</t>
        </is>
      </c>
      <c r="B609" t="inlineStr">
        <is>
          <t>SW-DAMPER-117</t>
        </is>
      </c>
      <c r="C609" t="inlineStr">
        <is>
          <t>Động cơ chặn lửa ON/OFF 9Nm, 230V/24V (BELIMO BFN24 / BFN230)</t>
        </is>
      </c>
      <c r="D609" t="inlineStr">
        <is>
          <t>ĐỘNG_CƠ_VÀ_CẢM_BIẾN</t>
        </is>
      </c>
      <c r="E609" t="inlineStr">
        <is>
          <t>MAT-ACTUATOR-BELIMO-BFN24</t>
        </is>
      </c>
      <c r="F609" t="inlineStr">
        <is>
          <t>Cái</t>
        </is>
      </c>
      <c r="G609" s="406" t="n">
        <v>1</v>
      </c>
      <c r="H609" s="402">
        <f>IFERROR(INDEX('00_TONG_HOP_BAO_GIA'!$G$1:$G$5000, MATCH(B609, '00_TONG_HOP_BAO_GIA'!$B$1:$B$5000, 0)), 1)</f>
        <v/>
      </c>
      <c r="I609" s="407">
        <f>G609*H609</f>
        <v/>
      </c>
      <c r="J609" s="402">
        <f>IFERROR(INDEX('06_BANG_GIA_VAT_TU_AP_DUNG'!$E$1:$E$5000, MATCH(E609, '06_BANG_GIA_VAT_TU_AP_DUNG'!$B$1:$B$5000, 0)), 0)</f>
        <v/>
      </c>
      <c r="K609" s="402">
        <f>I609*J609</f>
        <v/>
      </c>
      <c r="L609" t="inlineStr">
        <is>
          <t>Động cơ lò xo phản hồi MFD (1 bộ)</t>
        </is>
      </c>
    </row>
    <row r="610">
      <c r="A610" t="inlineStr">
        <is>
          <t>SW-DAMPER-117-FB10-BODY</t>
        </is>
      </c>
      <c r="B610" t="inlineStr">
        <is>
          <t>SW-DAMPER-117</t>
        </is>
      </c>
      <c r="C610" t="inlineStr">
        <is>
          <t>Tấm chống cháy dày 10mm bọc thân van FD/MFD (2 lớp)</t>
        </is>
      </c>
      <c r="D610" t="inlineStr">
        <is>
          <t>VẬT_LIỆU_CÁCH_NHIỆT</t>
        </is>
      </c>
      <c r="E610" t="inlineStr">
        <is>
          <t>MAT-FIREBOARD-10MM-BODY</t>
        </is>
      </c>
      <c r="F610" t="inlineStr">
        <is>
          <t>m2</t>
        </is>
      </c>
      <c r="G610" s="406" t="n">
        <v>0.6</v>
      </c>
      <c r="H610" s="402">
        <f>IFERROR(INDEX('00_TONG_HOP_BAO_GIA'!$G$1:$G$5000, MATCH(B610, '00_TONG_HOP_BAO_GIA'!$B$1:$B$5000, 0)), 1)</f>
        <v/>
      </c>
      <c r="I610" s="407">
        <f>G610*H610</f>
        <v/>
      </c>
      <c r="J610" s="402">
        <f>IFERROR(INDEX('06_BANG_GIA_VAT_TU_AP_DUNG'!$E$1:$E$5000, MATCH(E610, '06_BANG_GIA_VAT_TU_AP_DUNG'!$B$1:$B$5000, 0)), 0)</f>
        <v/>
      </c>
      <c r="K610" s="402">
        <f>I610*J610</f>
        <v/>
      </c>
      <c r="L610" t="inlineStr">
        <is>
          <t>Bọc 2 lớp tấm 10mm quanh thân L=300mm</t>
        </is>
      </c>
    </row>
    <row r="611">
      <c r="A611" t="inlineStr">
        <is>
          <t>SW-DAMPER-117-FB20-BLADE</t>
        </is>
      </c>
      <c r="B611" t="inlineStr">
        <is>
          <t>SW-DAMPER-117</t>
        </is>
      </c>
      <c r="C611" t="inlineStr">
        <is>
          <t>Tấm chống cháy dày 20mm làm lõi cánh van FD/MFD</t>
        </is>
      </c>
      <c r="D611" t="inlineStr">
        <is>
          <t>VẬT_LIỆU_CÁCH_NHIỆT</t>
        </is>
      </c>
      <c r="E611" t="inlineStr">
        <is>
          <t>MAT-FIREBOARD-20MM-BLADE</t>
        </is>
      </c>
      <c r="F611" t="inlineStr">
        <is>
          <t>m2</t>
        </is>
      </c>
      <c r="G611" s="406" t="n">
        <v>0.06953255033557047</v>
      </c>
      <c r="H611" s="402">
        <f>IFERROR(INDEX('00_TONG_HOP_BAO_GIA'!$G$1:$G$5000, MATCH(B611, '00_TONG_HOP_BAO_GIA'!$B$1:$B$5000, 0)), 1)</f>
        <v/>
      </c>
      <c r="I611" s="407">
        <f>G611*H611</f>
        <v/>
      </c>
      <c r="J611" s="402">
        <f>IFERROR(INDEX('06_BANG_GIA_VAT_TU_AP_DUNG'!$E$1:$E$5000, MATCH(E611, '06_BANG_GIA_VAT_TU_AP_DUNG'!$B$1:$B$5000, 0)), 0)</f>
        <v/>
      </c>
      <c r="K611" s="402">
        <f>I611*J611</f>
        <v/>
      </c>
      <c r="L611" t="inlineStr">
        <is>
          <t>Lõi cánh tấm 20mm (Đa cánh hệ số (H-5)/149=2.32, bản rộng 210mm, hao hụt 10%)</t>
        </is>
      </c>
    </row>
    <row r="612">
      <c r="A612" t="inlineStr">
        <is>
          <t>SW-DAMPER-117-FB10-BLADE</t>
        </is>
      </c>
      <c r="B612" t="inlineStr">
        <is>
          <t>SW-DAMPER-117</t>
        </is>
      </c>
      <c r="C612" t="inlineStr">
        <is>
          <t>Tấm chống cháy dày 10mm ốp 2 mặt cánh van FD/MFD</t>
        </is>
      </c>
      <c r="D612" t="inlineStr">
        <is>
          <t>VẬT_LIỆU_CÁCH_NHIỆT</t>
        </is>
      </c>
      <c r="E612" t="inlineStr">
        <is>
          <t>MAT-FIREBOARD-10MM-BLADE</t>
        </is>
      </c>
      <c r="F612" t="inlineStr">
        <is>
          <t>m2</t>
        </is>
      </c>
      <c r="G612" s="406" t="n">
        <v>0.1604597315436242</v>
      </c>
      <c r="H612" s="402">
        <f>IFERROR(INDEX('00_TONG_HOP_BAO_GIA'!$G$1:$G$5000, MATCH(B612, '00_TONG_HOP_BAO_GIA'!$B$1:$B$5000, 0)), 1)</f>
        <v/>
      </c>
      <c r="I612" s="407">
        <f>G612*H612</f>
        <v/>
      </c>
      <c r="J612" s="402">
        <f>IFERROR(INDEX('06_BANG_GIA_VAT_TU_AP_DUNG'!$E$1:$E$5000, MATCH(E612, '06_BANG_GIA_VAT_TU_AP_DUNG'!$B$1:$B$5000, 0)), 0)</f>
        <v/>
      </c>
      <c r="K612" s="402">
        <f>I612*J612</f>
        <v/>
      </c>
      <c r="L612" t="inlineStr">
        <is>
          <t>Ốp 2 mặt cánh tấm 10mm (Đa cánh hệ số (H-5)/149=2.32, bản rộng 210mm, hao hụt 10%)</t>
        </is>
      </c>
    </row>
    <row r="613">
      <c r="A613" t="inlineStr">
        <is>
          <t>SW-DAMPER-117-SPRING-BOX</t>
        </is>
      </c>
      <c r="B613" t="inlineStr">
        <is>
          <t>SW-DAMPER-117</t>
        </is>
      </c>
      <c r="C613" t="inlineStr">
        <is>
          <t>Hộp lò xo van chặn lửa FD/MFD</t>
        </is>
      </c>
      <c r="D613" t="inlineStr">
        <is>
          <t>PHỤ_KIỆN_VAN</t>
        </is>
      </c>
      <c r="E613" t="inlineStr">
        <is>
          <t>MAT-DAMPER-HOP-LO-XO</t>
        </is>
      </c>
      <c r="F613" t="inlineStr">
        <is>
          <t>Bộ</t>
        </is>
      </c>
      <c r="G613" s="406" t="n">
        <v>1</v>
      </c>
      <c r="H613" s="402">
        <f>IFERROR(INDEX('00_TONG_HOP_BAO_GIA'!$G$1:$G$5000, MATCH(B613, '00_TONG_HOP_BAO_GIA'!$B$1:$B$5000, 0)), 1)</f>
        <v/>
      </c>
      <c r="I613" s="407">
        <f>G613*H613</f>
        <v/>
      </c>
      <c r="J613" s="402">
        <f>IFERROR(INDEX('06_BANG_GIA_VAT_TU_AP_DUNG'!$E$1:$E$5000, MATCH(E613, '06_BANG_GIA_VAT_TU_AP_DUNG'!$B$1:$B$5000, 0)), 0)</f>
        <v/>
      </c>
      <c r="K613" s="402">
        <f>I613*J613</f>
        <v/>
      </c>
      <c r="L613" t="inlineStr">
        <is>
          <t>Hộp lò xo cơ cấu đóng sập (1 bộ)</t>
        </is>
      </c>
    </row>
    <row r="614">
      <c r="A614" t="inlineStr">
        <is>
          <t>SW-DAMPER-117-SILICON-BOLT</t>
        </is>
      </c>
      <c r="B614" t="inlineStr">
        <is>
          <t>SW-DAMPER-117</t>
        </is>
      </c>
      <c r="C614" t="inlineStr">
        <is>
          <t>Silicon chống cháy + bu lông, ốc vít van FD/MFD</t>
        </is>
      </c>
      <c r="D614" t="inlineStr">
        <is>
          <t>PHỤ_KIỆN_VAN</t>
        </is>
      </c>
      <c r="E614" t="inlineStr">
        <is>
          <t>MAT-DAMPER-SILICON-BULONG-VIT</t>
        </is>
      </c>
      <c r="F614" t="inlineStr">
        <is>
          <t>Bộ</t>
        </is>
      </c>
      <c r="G614" s="406" t="n">
        <v>1</v>
      </c>
      <c r="H614" s="402">
        <f>IFERROR(INDEX('00_TONG_HOP_BAO_GIA'!$G$1:$G$5000, MATCH(B614, '00_TONG_HOP_BAO_GIA'!$B$1:$B$5000, 0)), 1)</f>
        <v/>
      </c>
      <c r="I614" s="407">
        <f>G614*H614</f>
        <v/>
      </c>
      <c r="J614" s="402">
        <f>IFERROR(INDEX('06_BANG_GIA_VAT_TU_AP_DUNG'!$E$1:$E$5000, MATCH(E614, '06_BANG_GIA_VAT_TU_AP_DUNG'!$B$1:$B$5000, 0)), 0)</f>
        <v/>
      </c>
      <c r="K614" s="402">
        <f>I614*J614</f>
        <v/>
      </c>
      <c r="L614" t="inlineStr">
        <is>
          <t>Keo silicon chống cháy &amp; phụ kiện lắp ghép (1 bộ)</t>
        </is>
      </c>
    </row>
    <row r="615">
      <c r="A615" t="inlineStr">
        <is>
          <t>SW-DAMPER-118-BODY</t>
        </is>
      </c>
      <c r="B615" t="inlineStr">
        <is>
          <t>SW-DAMPER-118</t>
        </is>
      </c>
      <c r="C615" t="inlineStr">
        <is>
          <t>Thân vỏ van MFD bích C30/TDF (1.15mm)</t>
        </is>
      </c>
      <c r="D615" t="inlineStr">
        <is>
          <t>TÔN_CUỘN_MẠ_KẼM</t>
        </is>
      </c>
      <c r="E615" t="inlineStr">
        <is>
          <t>MAT-STEEL-PN-1.15</t>
        </is>
      </c>
      <c r="F615" t="inlineStr">
        <is>
          <t>kg</t>
        </is>
      </c>
      <c r="G615" s="406" t="n">
        <v>7.524330974999999</v>
      </c>
      <c r="H615" s="402">
        <f>IFERROR(INDEX('00_TONG_HOP_BAO_GIA'!$G$1:$G$5000, MATCH(B615, '00_TONG_HOP_BAO_GIA'!$B$1:$B$5000, 0)), 1)</f>
        <v/>
      </c>
      <c r="I615" s="407">
        <f>G615*H615</f>
        <v/>
      </c>
      <c r="J615" s="402">
        <f>IFERROR(INDEX('06_BANG_GIA_VAT_TU_AP_DUNG'!$E$1:$E$5000, MATCH(E615, '06_BANG_GIA_VAT_TU_AP_DUNG'!$B$1:$B$5000, 0)), 0)</f>
        <v/>
      </c>
      <c r="K615" s="402">
        <f>I615*J615</f>
        <v/>
      </c>
      <c r="L615" t="inlineStr">
        <is>
          <t>Kích thước vỏ 1100x350x200mm</t>
        </is>
      </c>
    </row>
    <row r="616">
      <c r="A616" t="inlineStr">
        <is>
          <t>SW-DAMPER-118-BLADE</t>
        </is>
      </c>
      <c r="B616" t="inlineStr">
        <is>
          <t>SW-DAMPER-118</t>
        </is>
      </c>
      <c r="C616" t="inlineStr">
        <is>
          <t>Lá cánh / Tôn tấm bọc van (2 cánh)</t>
        </is>
      </c>
      <c r="D616" t="inlineStr">
        <is>
          <t>TÔN_CUỘN_MẠ_KẼM</t>
        </is>
      </c>
      <c r="E616" t="inlineStr">
        <is>
          <t>MAT-STEEL-PN-1.15</t>
        </is>
      </c>
      <c r="F616" t="inlineStr">
        <is>
          <t>kg</t>
        </is>
      </c>
      <c r="G616" s="406" t="n">
        <v>6.951174999999998</v>
      </c>
      <c r="H616" s="402">
        <f>IFERROR(INDEX('00_TONG_HOP_BAO_GIA'!$G$1:$G$5000, MATCH(B616, '00_TONG_HOP_BAO_GIA'!$B$1:$B$5000, 0)), 1)</f>
        <v/>
      </c>
      <c r="I616" s="407">
        <f>G616*H616</f>
        <v/>
      </c>
      <c r="J616" s="402">
        <f>IFERROR(INDEX('06_BANG_GIA_VAT_TU_AP_DUNG'!$E$1:$E$5000, MATCH(E616, '06_BANG_GIA_VAT_TU_AP_DUNG'!$B$1:$B$5000, 0)), 0)</f>
        <v/>
      </c>
      <c r="K616" s="402">
        <f>I616*J616</f>
        <v/>
      </c>
      <c r="L616" t="inlineStr">
        <is>
          <t>Tôn bọc cánh &amp; thân (2 cánh/modul)</t>
        </is>
      </c>
    </row>
    <row r="617">
      <c r="A617" t="inlineStr">
        <is>
          <t>SW-DAMPER-118-AXLE</t>
        </is>
      </c>
      <c r="B617" t="inlineStr">
        <is>
          <t>SW-DAMPER-118</t>
        </is>
      </c>
      <c r="C617" t="inlineStr">
        <is>
          <t>Trục Sus 201 D10</t>
        </is>
      </c>
      <c r="D617" t="inlineStr">
        <is>
          <t>PHỤ_KIỆN_VAN</t>
        </is>
      </c>
      <c r="E617" t="inlineStr">
        <is>
          <t>MAT-DAMPER-TRUC-SUS-201-D10</t>
        </is>
      </c>
      <c r="F617" t="inlineStr">
        <is>
          <t>m</t>
        </is>
      </c>
      <c r="G617" s="406" t="n">
        <v>2.32</v>
      </c>
      <c r="H617" s="402">
        <f>IFERROR(INDEX('00_TONG_HOP_BAO_GIA'!$G$1:$G$5000, MATCH(B617, '00_TONG_HOP_BAO_GIA'!$B$1:$B$5000, 0)), 1)</f>
        <v/>
      </c>
      <c r="I617" s="407">
        <f>G617*H617</f>
        <v/>
      </c>
      <c r="J617" s="402">
        <f>IFERROR(INDEX('06_BANG_GIA_VAT_TU_AP_DUNG'!$E$1:$E$5000, MATCH(E617, '06_BANG_GIA_VAT_TU_AP_DUNG'!$B$1:$B$5000, 0)), 0)</f>
        <v/>
      </c>
      <c r="K617" s="402">
        <f>I617*J617</f>
        <v/>
      </c>
      <c r="L617" t="inlineStr">
        <is>
          <t>2 trục dài 1160mm</t>
        </is>
      </c>
    </row>
    <row r="618">
      <c r="A618" t="inlineStr">
        <is>
          <t>SW-DAMPER-118-BEARING</t>
        </is>
      </c>
      <c r="B618" t="inlineStr">
        <is>
          <t>SW-DAMPER-118</t>
        </is>
      </c>
      <c r="C618" t="inlineStr">
        <is>
          <t>Bạc đồng D10</t>
        </is>
      </c>
      <c r="D618" t="inlineStr">
        <is>
          <t>PHỤ_KIỆN_VAN</t>
        </is>
      </c>
      <c r="E618" t="inlineStr">
        <is>
          <t>MAT-DAMPER-BAC-DONG-D10</t>
        </is>
      </c>
      <c r="F618" t="inlineStr">
        <is>
          <t>Đôi</t>
        </is>
      </c>
      <c r="G618" s="406" t="n">
        <v>2</v>
      </c>
      <c r="H618" s="402">
        <f>IFERROR(INDEX('00_TONG_HOP_BAO_GIA'!$G$1:$G$5000, MATCH(B618, '00_TONG_HOP_BAO_GIA'!$B$1:$B$5000, 0)), 1)</f>
        <v/>
      </c>
      <c r="I618" s="407">
        <f>G618*H618</f>
        <v/>
      </c>
      <c r="J618" s="402">
        <f>IFERROR(INDEX('06_BANG_GIA_VAT_TU_AP_DUNG'!$E$1:$E$5000, MATCH(E618, '06_BANG_GIA_VAT_TU_AP_DUNG'!$B$1:$B$5000, 0)), 0)</f>
        <v/>
      </c>
      <c r="K618" s="402">
        <f>I618*J618</f>
        <v/>
      </c>
      <c r="L618" t="inlineStr">
        <is>
          <t>2 đôi bạc đỡ 2 bên thân</t>
        </is>
      </c>
    </row>
    <row r="619">
      <c r="A619" t="inlineStr">
        <is>
          <t>SW-DAMPER-118-GEAR</t>
        </is>
      </c>
      <c r="B619" t="inlineStr">
        <is>
          <t>SW-DAMPER-118</t>
        </is>
      </c>
      <c r="C619" t="inlineStr">
        <is>
          <t>Bánh răng van nhôm</t>
        </is>
      </c>
      <c r="D619" t="inlineStr">
        <is>
          <t>PHỤ_KIỆN_VAN</t>
        </is>
      </c>
      <c r="E619" t="inlineStr">
        <is>
          <t>MAT-DAMPER-BANH-RANG-VAN-NHOM</t>
        </is>
      </c>
      <c r="F619" t="inlineStr">
        <is>
          <t>Bộ</t>
        </is>
      </c>
      <c r="G619" s="406" t="n">
        <v>1</v>
      </c>
      <c r="H619" s="402">
        <f>IFERROR(INDEX('00_TONG_HOP_BAO_GIA'!$G$1:$G$5000, MATCH(B619, '00_TONG_HOP_BAO_GIA'!$B$1:$B$5000, 0)), 1)</f>
        <v/>
      </c>
      <c r="I619" s="407">
        <f>G619*H619</f>
        <v/>
      </c>
      <c r="J619" s="402">
        <f>IFERROR(INDEX('06_BANG_GIA_VAT_TU_AP_DUNG'!$E$1:$E$5000, MATCH(E619, '06_BANG_GIA_VAT_TU_AP_DUNG'!$B$1:$B$5000, 0)), 0)</f>
        <v/>
      </c>
      <c r="K619" s="402">
        <f>I619*J619</f>
        <v/>
      </c>
      <c r="L619" t="inlineStr">
        <is>
          <t>Cơ cấu liên động cánh (1 bộ)</t>
        </is>
      </c>
    </row>
    <row r="620">
      <c r="A620" t="inlineStr">
        <is>
          <t>SW-DAMPER-118-ACTUATOR</t>
        </is>
      </c>
      <c r="B620" t="inlineStr">
        <is>
          <t>SW-DAMPER-118</t>
        </is>
      </c>
      <c r="C620" t="inlineStr">
        <is>
          <t>Động cơ chặn lửa ON/OFF 9Nm, 230V/24V (BELIMO BFN24 / BFN230)</t>
        </is>
      </c>
      <c r="D620" t="inlineStr">
        <is>
          <t>ĐỘNG_CƠ_VÀ_CẢM_BIẾN</t>
        </is>
      </c>
      <c r="E620" t="inlineStr">
        <is>
          <t>MAT-ACTUATOR-BELIMO-BFN24</t>
        </is>
      </c>
      <c r="F620" t="inlineStr">
        <is>
          <t>Cái</t>
        </is>
      </c>
      <c r="G620" s="406" t="n">
        <v>1</v>
      </c>
      <c r="H620" s="402">
        <f>IFERROR(INDEX('00_TONG_HOP_BAO_GIA'!$G$1:$G$5000, MATCH(B620, '00_TONG_HOP_BAO_GIA'!$B$1:$B$5000, 0)), 1)</f>
        <v/>
      </c>
      <c r="I620" s="407">
        <f>G620*H620</f>
        <v/>
      </c>
      <c r="J620" s="402">
        <f>IFERROR(INDEX('06_BANG_GIA_VAT_TU_AP_DUNG'!$E$1:$E$5000, MATCH(E620, '06_BANG_GIA_VAT_TU_AP_DUNG'!$B$1:$B$5000, 0)), 0)</f>
        <v/>
      </c>
      <c r="K620" s="402">
        <f>I620*J620</f>
        <v/>
      </c>
      <c r="L620" t="inlineStr">
        <is>
          <t>Động cơ lò xo phản hồi MFD (1 bộ)</t>
        </is>
      </c>
    </row>
    <row r="621">
      <c r="A621" t="inlineStr">
        <is>
          <t>SW-DAMPER-118-FB10-BODY</t>
        </is>
      </c>
      <c r="B621" t="inlineStr">
        <is>
          <t>SW-DAMPER-118</t>
        </is>
      </c>
      <c r="C621" t="inlineStr">
        <is>
          <t>Tấm chống cháy dày 10mm bọc thân van FD/MFD (2 lớp)</t>
        </is>
      </c>
      <c r="D621" t="inlineStr">
        <is>
          <t>VẬT_LIỆU_CÁCH_NHIỆT</t>
        </is>
      </c>
      <c r="E621" t="inlineStr">
        <is>
          <t>MAT-FIREBOARD-10MM-BODY</t>
        </is>
      </c>
      <c r="F621" t="inlineStr">
        <is>
          <t>m2</t>
        </is>
      </c>
      <c r="G621" s="406" t="n">
        <v>1.74</v>
      </c>
      <c r="H621" s="402">
        <f>IFERROR(INDEX('00_TONG_HOP_BAO_GIA'!$G$1:$G$5000, MATCH(B621, '00_TONG_HOP_BAO_GIA'!$B$1:$B$5000, 0)), 1)</f>
        <v/>
      </c>
      <c r="I621" s="407">
        <f>G621*H621</f>
        <v/>
      </c>
      <c r="J621" s="402">
        <f>IFERROR(INDEX('06_BANG_GIA_VAT_TU_AP_DUNG'!$E$1:$E$5000, MATCH(E621, '06_BANG_GIA_VAT_TU_AP_DUNG'!$B$1:$B$5000, 0)), 0)</f>
        <v/>
      </c>
      <c r="K621" s="402">
        <f>I621*J621</f>
        <v/>
      </c>
      <c r="L621" t="inlineStr">
        <is>
          <t>Bọc 2 lớp tấm 10mm quanh thân L=300mm</t>
        </is>
      </c>
    </row>
    <row r="622">
      <c r="A622" t="inlineStr">
        <is>
          <t>SW-DAMPER-118-FB20-BLADE</t>
        </is>
      </c>
      <c r="B622" t="inlineStr">
        <is>
          <t>SW-DAMPER-118</t>
        </is>
      </c>
      <c r="C622" t="inlineStr">
        <is>
          <t>Tấm chống cháy dày 20mm làm lõi cánh van FD/MFD</t>
        </is>
      </c>
      <c r="D622" t="inlineStr">
        <is>
          <t>VẬT_LIỆU_CÁCH_NHIỆT</t>
        </is>
      </c>
      <c r="E622" t="inlineStr">
        <is>
          <t>MAT-FIREBOARD-20MM-BLADE</t>
        </is>
      </c>
      <c r="F622" t="inlineStr">
        <is>
          <t>m2</t>
        </is>
      </c>
      <c r="G622" s="406" t="n">
        <v>0.5776550335570471</v>
      </c>
      <c r="H622" s="402">
        <f>IFERROR(INDEX('00_TONG_HOP_BAO_GIA'!$G$1:$G$5000, MATCH(B622, '00_TONG_HOP_BAO_GIA'!$B$1:$B$5000, 0)), 1)</f>
        <v/>
      </c>
      <c r="I622" s="407">
        <f>G622*H622</f>
        <v/>
      </c>
      <c r="J622" s="402">
        <f>IFERROR(INDEX('06_BANG_GIA_VAT_TU_AP_DUNG'!$E$1:$E$5000, MATCH(E622, '06_BANG_GIA_VAT_TU_AP_DUNG'!$B$1:$B$5000, 0)), 0)</f>
        <v/>
      </c>
      <c r="K622" s="402">
        <f>I622*J622</f>
        <v/>
      </c>
      <c r="L622" t="inlineStr">
        <is>
          <t>Lõi cánh tấm 20mm (Đa cánh hệ số (H-5)/149=2.32, bản rộng 210mm, hao hụt 10%)</t>
        </is>
      </c>
    </row>
    <row r="623">
      <c r="A623" t="inlineStr">
        <is>
          <t>SW-DAMPER-118-FB10-BLADE</t>
        </is>
      </c>
      <c r="B623" t="inlineStr">
        <is>
          <t>SW-DAMPER-118</t>
        </is>
      </c>
      <c r="C623" t="inlineStr">
        <is>
          <t>Tấm chống cháy dày 10mm ốp 2 mặt cánh van FD/MFD</t>
        </is>
      </c>
      <c r="D623" t="inlineStr">
        <is>
          <t>VẬT_LIỆU_CÁCH_NHIỆT</t>
        </is>
      </c>
      <c r="E623" t="inlineStr">
        <is>
          <t>MAT-FIREBOARD-10MM-BLADE</t>
        </is>
      </c>
      <c r="F623" t="inlineStr">
        <is>
          <t>m2</t>
        </is>
      </c>
      <c r="G623" s="406" t="n">
        <v>1.176704697986577</v>
      </c>
      <c r="H623" s="402">
        <f>IFERROR(INDEX('00_TONG_HOP_BAO_GIA'!$G$1:$G$5000, MATCH(B623, '00_TONG_HOP_BAO_GIA'!$B$1:$B$5000, 0)), 1)</f>
        <v/>
      </c>
      <c r="I623" s="407">
        <f>G623*H623</f>
        <v/>
      </c>
      <c r="J623" s="402">
        <f>IFERROR(INDEX('06_BANG_GIA_VAT_TU_AP_DUNG'!$E$1:$E$5000, MATCH(E623, '06_BANG_GIA_VAT_TU_AP_DUNG'!$B$1:$B$5000, 0)), 0)</f>
        <v/>
      </c>
      <c r="K623" s="402">
        <f>I623*J623</f>
        <v/>
      </c>
      <c r="L623" t="inlineStr">
        <is>
          <t>Ốp 2 mặt cánh tấm 10mm (Đa cánh hệ số (H-5)/149=2.32, bản rộng 210mm, hao hụt 10%)</t>
        </is>
      </c>
    </row>
    <row r="624">
      <c r="A624" t="inlineStr">
        <is>
          <t>SW-DAMPER-118-SPRING-BOX</t>
        </is>
      </c>
      <c r="B624" t="inlineStr">
        <is>
          <t>SW-DAMPER-118</t>
        </is>
      </c>
      <c r="C624" t="inlineStr">
        <is>
          <t>Hộp lò xo van chặn lửa FD/MFD</t>
        </is>
      </c>
      <c r="D624" t="inlineStr">
        <is>
          <t>PHỤ_KIỆN_VAN</t>
        </is>
      </c>
      <c r="E624" t="inlineStr">
        <is>
          <t>MAT-DAMPER-HOP-LO-XO</t>
        </is>
      </c>
      <c r="F624" t="inlineStr">
        <is>
          <t>Bộ</t>
        </is>
      </c>
      <c r="G624" s="406" t="n">
        <v>1</v>
      </c>
      <c r="H624" s="402">
        <f>IFERROR(INDEX('00_TONG_HOP_BAO_GIA'!$G$1:$G$5000, MATCH(B624, '00_TONG_HOP_BAO_GIA'!$B$1:$B$5000, 0)), 1)</f>
        <v/>
      </c>
      <c r="I624" s="407">
        <f>G624*H624</f>
        <v/>
      </c>
      <c r="J624" s="402">
        <f>IFERROR(INDEX('06_BANG_GIA_VAT_TU_AP_DUNG'!$E$1:$E$5000, MATCH(E624, '06_BANG_GIA_VAT_TU_AP_DUNG'!$B$1:$B$5000, 0)), 0)</f>
        <v/>
      </c>
      <c r="K624" s="402">
        <f>I624*J624</f>
        <v/>
      </c>
      <c r="L624" t="inlineStr">
        <is>
          <t>Hộp lò xo cơ cấu đóng sập (1 bộ)</t>
        </is>
      </c>
    </row>
    <row r="625">
      <c r="A625" t="inlineStr">
        <is>
          <t>SW-DAMPER-118-SILICON-BOLT</t>
        </is>
      </c>
      <c r="B625" t="inlineStr">
        <is>
          <t>SW-DAMPER-118</t>
        </is>
      </c>
      <c r="C625" t="inlineStr">
        <is>
          <t>Silicon chống cháy + bu lông, ốc vít van FD/MFD</t>
        </is>
      </c>
      <c r="D625" t="inlineStr">
        <is>
          <t>PHỤ_KIỆN_VAN</t>
        </is>
      </c>
      <c r="E625" t="inlineStr">
        <is>
          <t>MAT-DAMPER-SILICON-BULONG-VIT</t>
        </is>
      </c>
      <c r="F625" t="inlineStr">
        <is>
          <t>Bộ</t>
        </is>
      </c>
      <c r="G625" s="406" t="n">
        <v>1</v>
      </c>
      <c r="H625" s="402">
        <f>IFERROR(INDEX('00_TONG_HOP_BAO_GIA'!$G$1:$G$5000, MATCH(B625, '00_TONG_HOP_BAO_GIA'!$B$1:$B$5000, 0)), 1)</f>
        <v/>
      </c>
      <c r="I625" s="407">
        <f>G625*H625</f>
        <v/>
      </c>
      <c r="J625" s="402">
        <f>IFERROR(INDEX('06_BANG_GIA_VAT_TU_AP_DUNG'!$E$1:$E$5000, MATCH(E625, '06_BANG_GIA_VAT_TU_AP_DUNG'!$B$1:$B$5000, 0)), 0)</f>
        <v/>
      </c>
      <c r="K625" s="402">
        <f>I625*J625</f>
        <v/>
      </c>
      <c r="L625" t="inlineStr">
        <is>
          <t>Keo silicon chống cháy &amp; phụ kiện lắp ghép (1 bộ)</t>
        </is>
      </c>
    </row>
    <row r="626">
      <c r="A626" t="inlineStr">
        <is>
          <t>SW-DAMPER-119-BODY</t>
        </is>
      </c>
      <c r="B626" t="inlineStr">
        <is>
          <t>SW-DAMPER-119</t>
        </is>
      </c>
      <c r="C626" t="inlineStr">
        <is>
          <t>Thân vỏ van MFD bích C30/TDF (1.15mm)</t>
        </is>
      </c>
      <c r="D626" t="inlineStr">
        <is>
          <t>TÔN_CUỘN_MẠ_KẼM</t>
        </is>
      </c>
      <c r="E626" t="inlineStr">
        <is>
          <t>MAT-STEEL-PN-1.15</t>
        </is>
      </c>
      <c r="F626" t="inlineStr">
        <is>
          <t>kg</t>
        </is>
      </c>
      <c r="G626" s="406" t="n">
        <v>5.732823600000001</v>
      </c>
      <c r="H626" s="402">
        <f>IFERROR(INDEX('00_TONG_HOP_BAO_GIA'!$G$1:$G$5000, MATCH(B626, '00_TONG_HOP_BAO_GIA'!$B$1:$B$5000, 0)), 1)</f>
        <v/>
      </c>
      <c r="I626" s="407">
        <f>G626*H626</f>
        <v/>
      </c>
      <c r="J626" s="402">
        <f>IFERROR(INDEX('06_BANG_GIA_VAT_TU_AP_DUNG'!$E$1:$E$5000, MATCH(E626, '06_BANG_GIA_VAT_TU_AP_DUNG'!$B$1:$B$5000, 0)), 0)</f>
        <v/>
      </c>
      <c r="K626" s="402">
        <f>I626*J626</f>
        <v/>
      </c>
      <c r="L626" t="inlineStr">
        <is>
          <t>Kích thước vỏ 800x300x200mm</t>
        </is>
      </c>
    </row>
    <row r="627">
      <c r="A627" t="inlineStr">
        <is>
          <t>SW-DAMPER-119-BLADE</t>
        </is>
      </c>
      <c r="B627" t="inlineStr">
        <is>
          <t>SW-DAMPER-119</t>
        </is>
      </c>
      <c r="C627" t="inlineStr">
        <is>
          <t>Lá cánh / Tôn tấm bọc van (2 cánh)</t>
        </is>
      </c>
      <c r="D627" t="inlineStr">
        <is>
          <t>TÔN_CUỘN_MẠ_KẼM</t>
        </is>
      </c>
      <c r="E627" t="inlineStr">
        <is>
          <t>MAT-STEEL-PN-1.15</t>
        </is>
      </c>
      <c r="F627" t="inlineStr">
        <is>
          <t>kg</t>
        </is>
      </c>
      <c r="G627" s="406" t="n">
        <v>4.333199999999999</v>
      </c>
      <c r="H627" s="402">
        <f>IFERROR(INDEX('00_TONG_HOP_BAO_GIA'!$G$1:$G$5000, MATCH(B627, '00_TONG_HOP_BAO_GIA'!$B$1:$B$5000, 0)), 1)</f>
        <v/>
      </c>
      <c r="I627" s="407">
        <f>G627*H627</f>
        <v/>
      </c>
      <c r="J627" s="402">
        <f>IFERROR(INDEX('06_BANG_GIA_VAT_TU_AP_DUNG'!$E$1:$E$5000, MATCH(E627, '06_BANG_GIA_VAT_TU_AP_DUNG'!$B$1:$B$5000, 0)), 0)</f>
        <v/>
      </c>
      <c r="K627" s="402">
        <f>I627*J627</f>
        <v/>
      </c>
      <c r="L627" t="inlineStr">
        <is>
          <t>Tôn bọc cánh &amp; thân (2 cánh/modul)</t>
        </is>
      </c>
    </row>
    <row r="628">
      <c r="A628" t="inlineStr">
        <is>
          <t>SW-DAMPER-119-AXLE</t>
        </is>
      </c>
      <c r="B628" t="inlineStr">
        <is>
          <t>SW-DAMPER-119</t>
        </is>
      </c>
      <c r="C628" t="inlineStr">
        <is>
          <t>Trục Sus 201 D10</t>
        </is>
      </c>
      <c r="D628" t="inlineStr">
        <is>
          <t>PHỤ_KIỆN_VAN</t>
        </is>
      </c>
      <c r="E628" t="inlineStr">
        <is>
          <t>MAT-DAMPER-TRUC-SUS-201-D10</t>
        </is>
      </c>
      <c r="F628" t="inlineStr">
        <is>
          <t>m</t>
        </is>
      </c>
      <c r="G628" s="406" t="n">
        <v>1.72</v>
      </c>
      <c r="H628" s="402">
        <f>IFERROR(INDEX('00_TONG_HOP_BAO_GIA'!$G$1:$G$5000, MATCH(B628, '00_TONG_HOP_BAO_GIA'!$B$1:$B$5000, 0)), 1)</f>
        <v/>
      </c>
      <c r="I628" s="407">
        <f>G628*H628</f>
        <v/>
      </c>
      <c r="J628" s="402">
        <f>IFERROR(INDEX('06_BANG_GIA_VAT_TU_AP_DUNG'!$E$1:$E$5000, MATCH(E628, '06_BANG_GIA_VAT_TU_AP_DUNG'!$B$1:$B$5000, 0)), 0)</f>
        <v/>
      </c>
      <c r="K628" s="402">
        <f>I628*J628</f>
        <v/>
      </c>
      <c r="L628" t="inlineStr">
        <is>
          <t>2 trục dài 860mm</t>
        </is>
      </c>
    </row>
    <row r="629">
      <c r="A629" t="inlineStr">
        <is>
          <t>SW-DAMPER-119-BEARING</t>
        </is>
      </c>
      <c r="B629" t="inlineStr">
        <is>
          <t>SW-DAMPER-119</t>
        </is>
      </c>
      <c r="C629" t="inlineStr">
        <is>
          <t>Bạc đồng D10</t>
        </is>
      </c>
      <c r="D629" t="inlineStr">
        <is>
          <t>PHỤ_KIỆN_VAN</t>
        </is>
      </c>
      <c r="E629" t="inlineStr">
        <is>
          <t>MAT-DAMPER-BAC-DONG-D10</t>
        </is>
      </c>
      <c r="F629" t="inlineStr">
        <is>
          <t>Đôi</t>
        </is>
      </c>
      <c r="G629" s="406" t="n">
        <v>2</v>
      </c>
      <c r="H629" s="402">
        <f>IFERROR(INDEX('00_TONG_HOP_BAO_GIA'!$G$1:$G$5000, MATCH(B629, '00_TONG_HOP_BAO_GIA'!$B$1:$B$5000, 0)), 1)</f>
        <v/>
      </c>
      <c r="I629" s="407">
        <f>G629*H629</f>
        <v/>
      </c>
      <c r="J629" s="402">
        <f>IFERROR(INDEX('06_BANG_GIA_VAT_TU_AP_DUNG'!$E$1:$E$5000, MATCH(E629, '06_BANG_GIA_VAT_TU_AP_DUNG'!$B$1:$B$5000, 0)), 0)</f>
        <v/>
      </c>
      <c r="K629" s="402">
        <f>I629*J629</f>
        <v/>
      </c>
      <c r="L629" t="inlineStr">
        <is>
          <t>2 đôi bạc đỡ 2 bên thân</t>
        </is>
      </c>
    </row>
    <row r="630">
      <c r="A630" t="inlineStr">
        <is>
          <t>SW-DAMPER-119-GEAR</t>
        </is>
      </c>
      <c r="B630" t="inlineStr">
        <is>
          <t>SW-DAMPER-119</t>
        </is>
      </c>
      <c r="C630" t="inlineStr">
        <is>
          <t>Bánh răng van nhôm</t>
        </is>
      </c>
      <c r="D630" t="inlineStr">
        <is>
          <t>PHỤ_KIỆN_VAN</t>
        </is>
      </c>
      <c r="E630" t="inlineStr">
        <is>
          <t>MAT-DAMPER-BANH-RANG-VAN-NHOM</t>
        </is>
      </c>
      <c r="F630" t="inlineStr">
        <is>
          <t>Bộ</t>
        </is>
      </c>
      <c r="G630" s="406" t="n">
        <v>1</v>
      </c>
      <c r="H630" s="402">
        <f>IFERROR(INDEX('00_TONG_HOP_BAO_GIA'!$G$1:$G$5000, MATCH(B630, '00_TONG_HOP_BAO_GIA'!$B$1:$B$5000, 0)), 1)</f>
        <v/>
      </c>
      <c r="I630" s="407">
        <f>G630*H630</f>
        <v/>
      </c>
      <c r="J630" s="402">
        <f>IFERROR(INDEX('06_BANG_GIA_VAT_TU_AP_DUNG'!$E$1:$E$5000, MATCH(E630, '06_BANG_GIA_VAT_TU_AP_DUNG'!$B$1:$B$5000, 0)), 0)</f>
        <v/>
      </c>
      <c r="K630" s="402">
        <f>I630*J630</f>
        <v/>
      </c>
      <c r="L630" t="inlineStr">
        <is>
          <t>Cơ cấu liên động cánh (1 bộ)</t>
        </is>
      </c>
    </row>
    <row r="631">
      <c r="A631" t="inlineStr">
        <is>
          <t>SW-DAMPER-119-ACTUATOR</t>
        </is>
      </c>
      <c r="B631" t="inlineStr">
        <is>
          <t>SW-DAMPER-119</t>
        </is>
      </c>
      <c r="C631" t="inlineStr">
        <is>
          <t>Động cơ chặn lửa ON/OFF 9Nm, 230V/24V (BELIMO BFN24 / BFN230)</t>
        </is>
      </c>
      <c r="D631" t="inlineStr">
        <is>
          <t>ĐỘNG_CƠ_VÀ_CẢM_BIẾN</t>
        </is>
      </c>
      <c r="E631" t="inlineStr">
        <is>
          <t>MAT-ACTUATOR-BELIMO-BFN24</t>
        </is>
      </c>
      <c r="F631" t="inlineStr">
        <is>
          <t>Cái</t>
        </is>
      </c>
      <c r="G631" s="406" t="n">
        <v>1</v>
      </c>
      <c r="H631" s="402">
        <f>IFERROR(INDEX('00_TONG_HOP_BAO_GIA'!$G$1:$G$5000, MATCH(B631, '00_TONG_HOP_BAO_GIA'!$B$1:$B$5000, 0)), 1)</f>
        <v/>
      </c>
      <c r="I631" s="407">
        <f>G631*H631</f>
        <v/>
      </c>
      <c r="J631" s="402">
        <f>IFERROR(INDEX('06_BANG_GIA_VAT_TU_AP_DUNG'!$E$1:$E$5000, MATCH(E631, '06_BANG_GIA_VAT_TU_AP_DUNG'!$B$1:$B$5000, 0)), 0)</f>
        <v/>
      </c>
      <c r="K631" s="402">
        <f>I631*J631</f>
        <v/>
      </c>
      <c r="L631" t="inlineStr">
        <is>
          <t>Động cơ lò xo phản hồi MFD (1 bộ)</t>
        </is>
      </c>
    </row>
    <row r="632">
      <c r="A632" t="inlineStr">
        <is>
          <t>SW-DAMPER-119-FB10-BODY</t>
        </is>
      </c>
      <c r="B632" t="inlineStr">
        <is>
          <t>SW-DAMPER-119</t>
        </is>
      </c>
      <c r="C632" t="inlineStr">
        <is>
          <t>Tấm chống cháy dày 10mm bọc thân van FD/MFD (2 lớp)</t>
        </is>
      </c>
      <c r="D632" t="inlineStr">
        <is>
          <t>VẬT_LIỆU_CÁCH_NHIỆT</t>
        </is>
      </c>
      <c r="E632" t="inlineStr">
        <is>
          <t>MAT-FIREBOARD-10MM-BODY</t>
        </is>
      </c>
      <c r="F632" t="inlineStr">
        <is>
          <t>m2</t>
        </is>
      </c>
      <c r="G632" s="406" t="n">
        <v>1.32</v>
      </c>
      <c r="H632" s="402">
        <f>IFERROR(INDEX('00_TONG_HOP_BAO_GIA'!$G$1:$G$5000, MATCH(B632, '00_TONG_HOP_BAO_GIA'!$B$1:$B$5000, 0)), 1)</f>
        <v/>
      </c>
      <c r="I632" s="407">
        <f>G632*H632</f>
        <v/>
      </c>
      <c r="J632" s="402">
        <f>IFERROR(INDEX('06_BANG_GIA_VAT_TU_AP_DUNG'!$E$1:$E$5000, MATCH(E632, '06_BANG_GIA_VAT_TU_AP_DUNG'!$B$1:$B$5000, 0)), 0)</f>
        <v/>
      </c>
      <c r="K632" s="402">
        <f>I632*J632</f>
        <v/>
      </c>
      <c r="L632" t="inlineStr">
        <is>
          <t>Bọc 2 lớp tấm 10mm quanh thân L=300mm</t>
        </is>
      </c>
    </row>
    <row r="633">
      <c r="A633" t="inlineStr">
        <is>
          <t>SW-DAMPER-119-FB20-BLADE</t>
        </is>
      </c>
      <c r="B633" t="inlineStr">
        <is>
          <t>SW-DAMPER-119</t>
        </is>
      </c>
      <c r="C633" t="inlineStr">
        <is>
          <t>Tấm chống cháy dày 20mm làm lõi cánh van FD/MFD</t>
        </is>
      </c>
      <c r="D633" t="inlineStr">
        <is>
          <t>VẬT_LIỆU_CÁCH_NHIỆT</t>
        </is>
      </c>
      <c r="E633" t="inlineStr">
        <is>
          <t>MAT-FIREBOARD-20MM-BLADE</t>
        </is>
      </c>
      <c r="F633" t="inlineStr">
        <is>
          <t>m2</t>
        </is>
      </c>
      <c r="G633" s="406" t="n">
        <v>0.3567322147651007</v>
      </c>
      <c r="H633" s="402">
        <f>IFERROR(INDEX('00_TONG_HOP_BAO_GIA'!$G$1:$G$5000, MATCH(B633, '00_TONG_HOP_BAO_GIA'!$B$1:$B$5000, 0)), 1)</f>
        <v/>
      </c>
      <c r="I633" s="407">
        <f>G633*H633</f>
        <v/>
      </c>
      <c r="J633" s="402">
        <f>IFERROR(INDEX('06_BANG_GIA_VAT_TU_AP_DUNG'!$E$1:$E$5000, MATCH(E633, '06_BANG_GIA_VAT_TU_AP_DUNG'!$B$1:$B$5000, 0)), 0)</f>
        <v/>
      </c>
      <c r="K633" s="402">
        <f>I633*J633</f>
        <v/>
      </c>
      <c r="L633" t="inlineStr">
        <is>
          <t>Lõi cánh tấm 20mm (Đa cánh hệ số (H-5)/149=1.98, bản rộng 210mm, hao hụt 10%)</t>
        </is>
      </c>
    </row>
    <row r="634">
      <c r="A634" t="inlineStr">
        <is>
          <t>SW-DAMPER-119-FB10-BLADE</t>
        </is>
      </c>
      <c r="B634" t="inlineStr">
        <is>
          <t>SW-DAMPER-119</t>
        </is>
      </c>
      <c r="C634" t="inlineStr">
        <is>
          <t>Tấm chống cháy dày 10mm ốp 2 mặt cánh van FD/MFD</t>
        </is>
      </c>
      <c r="D634" t="inlineStr">
        <is>
          <t>VẬT_LIỆU_CÁCH_NHIỆT</t>
        </is>
      </c>
      <c r="E634" t="inlineStr">
        <is>
          <t>MAT-FIREBOARD-10MM-BLADE</t>
        </is>
      </c>
      <c r="F634" t="inlineStr">
        <is>
          <t>m2</t>
        </is>
      </c>
      <c r="G634" s="406" t="n">
        <v>0.731758389261745</v>
      </c>
      <c r="H634" s="402">
        <f>IFERROR(INDEX('00_TONG_HOP_BAO_GIA'!$G$1:$G$5000, MATCH(B634, '00_TONG_HOP_BAO_GIA'!$B$1:$B$5000, 0)), 1)</f>
        <v/>
      </c>
      <c r="I634" s="407">
        <f>G634*H634</f>
        <v/>
      </c>
      <c r="J634" s="402">
        <f>IFERROR(INDEX('06_BANG_GIA_VAT_TU_AP_DUNG'!$E$1:$E$5000, MATCH(E634, '06_BANG_GIA_VAT_TU_AP_DUNG'!$B$1:$B$5000, 0)), 0)</f>
        <v/>
      </c>
      <c r="K634" s="402">
        <f>I634*J634</f>
        <v/>
      </c>
      <c r="L634" t="inlineStr">
        <is>
          <t>Ốp 2 mặt cánh tấm 10mm (Đa cánh hệ số (H-5)/149=1.98, bản rộng 210mm, hao hụt 10%)</t>
        </is>
      </c>
    </row>
    <row r="635">
      <c r="A635" t="inlineStr">
        <is>
          <t>SW-DAMPER-119-SPRING-BOX</t>
        </is>
      </c>
      <c r="B635" t="inlineStr">
        <is>
          <t>SW-DAMPER-119</t>
        </is>
      </c>
      <c r="C635" t="inlineStr">
        <is>
          <t>Hộp lò xo van chặn lửa FD/MFD</t>
        </is>
      </c>
      <c r="D635" t="inlineStr">
        <is>
          <t>PHỤ_KIỆN_VAN</t>
        </is>
      </c>
      <c r="E635" t="inlineStr">
        <is>
          <t>MAT-DAMPER-HOP-LO-XO</t>
        </is>
      </c>
      <c r="F635" t="inlineStr">
        <is>
          <t>Bộ</t>
        </is>
      </c>
      <c r="G635" s="406" t="n">
        <v>1</v>
      </c>
      <c r="H635" s="402">
        <f>IFERROR(INDEX('00_TONG_HOP_BAO_GIA'!$G$1:$G$5000, MATCH(B635, '00_TONG_HOP_BAO_GIA'!$B$1:$B$5000, 0)), 1)</f>
        <v/>
      </c>
      <c r="I635" s="407">
        <f>G635*H635</f>
        <v/>
      </c>
      <c r="J635" s="402">
        <f>IFERROR(INDEX('06_BANG_GIA_VAT_TU_AP_DUNG'!$E$1:$E$5000, MATCH(E635, '06_BANG_GIA_VAT_TU_AP_DUNG'!$B$1:$B$5000, 0)), 0)</f>
        <v/>
      </c>
      <c r="K635" s="402">
        <f>I635*J635</f>
        <v/>
      </c>
      <c r="L635" t="inlineStr">
        <is>
          <t>Hộp lò xo cơ cấu đóng sập (1 bộ)</t>
        </is>
      </c>
    </row>
    <row r="636">
      <c r="A636" t="inlineStr">
        <is>
          <t>SW-DAMPER-119-SILICON-BOLT</t>
        </is>
      </c>
      <c r="B636" t="inlineStr">
        <is>
          <t>SW-DAMPER-119</t>
        </is>
      </c>
      <c r="C636" t="inlineStr">
        <is>
          <t>Silicon chống cháy + bu lông, ốc vít van FD/MFD</t>
        </is>
      </c>
      <c r="D636" t="inlineStr">
        <is>
          <t>PHỤ_KIỆN_VAN</t>
        </is>
      </c>
      <c r="E636" t="inlineStr">
        <is>
          <t>MAT-DAMPER-SILICON-BULONG-VIT</t>
        </is>
      </c>
      <c r="F636" t="inlineStr">
        <is>
          <t>Bộ</t>
        </is>
      </c>
      <c r="G636" s="406" t="n">
        <v>1</v>
      </c>
      <c r="H636" s="402">
        <f>IFERROR(INDEX('00_TONG_HOP_BAO_GIA'!$G$1:$G$5000, MATCH(B636, '00_TONG_HOP_BAO_GIA'!$B$1:$B$5000, 0)), 1)</f>
        <v/>
      </c>
      <c r="I636" s="407">
        <f>G636*H636</f>
        <v/>
      </c>
      <c r="J636" s="402">
        <f>IFERROR(INDEX('06_BANG_GIA_VAT_TU_AP_DUNG'!$E$1:$E$5000, MATCH(E636, '06_BANG_GIA_VAT_TU_AP_DUNG'!$B$1:$B$5000, 0)), 0)</f>
        <v/>
      </c>
      <c r="K636" s="402">
        <f>I636*J636</f>
        <v/>
      </c>
      <c r="L636" t="inlineStr">
        <is>
          <t>Keo silicon chống cháy &amp; phụ kiện lắp ghép (1 bộ)</t>
        </is>
      </c>
    </row>
    <row r="637">
      <c r="A637" t="inlineStr">
        <is>
          <t>SW-DAMPER-120-BODY</t>
        </is>
      </c>
      <c r="B637" t="inlineStr">
        <is>
          <t>SW-DAMPER-120</t>
        </is>
      </c>
      <c r="C637" t="inlineStr">
        <is>
          <t>Thân vỏ van MFD bích C30/TDF (1.15mm)</t>
        </is>
      </c>
      <c r="D637" t="inlineStr">
        <is>
          <t>TÔN_CUỘN_MẠ_KẼM</t>
        </is>
      </c>
      <c r="E637" t="inlineStr">
        <is>
          <t>MAT-STEEL-PN-1.15</t>
        </is>
      </c>
      <c r="F637" t="inlineStr">
        <is>
          <t>kg</t>
        </is>
      </c>
      <c r="G637" s="406" t="n">
        <v>6.500612475</v>
      </c>
      <c r="H637" s="402">
        <f>IFERROR(INDEX('00_TONG_HOP_BAO_GIA'!$G$1:$G$5000, MATCH(B637, '00_TONG_HOP_BAO_GIA'!$B$1:$B$5000, 0)), 1)</f>
        <v/>
      </c>
      <c r="I637" s="407">
        <f>G637*H637</f>
        <v/>
      </c>
      <c r="J637" s="402">
        <f>IFERROR(INDEX('06_BANG_GIA_VAT_TU_AP_DUNG'!$E$1:$E$5000, MATCH(E637, '06_BANG_GIA_VAT_TU_AP_DUNG'!$B$1:$B$5000, 0)), 0)</f>
        <v/>
      </c>
      <c r="K637" s="402">
        <f>I637*J637</f>
        <v/>
      </c>
      <c r="L637" t="inlineStr">
        <is>
          <t>Kích thước vỏ 900x350x200mm</t>
        </is>
      </c>
    </row>
    <row r="638">
      <c r="A638" t="inlineStr">
        <is>
          <t>SW-DAMPER-120-BLADE</t>
        </is>
      </c>
      <c r="B638" t="inlineStr">
        <is>
          <t>SW-DAMPER-120</t>
        </is>
      </c>
      <c r="C638" t="inlineStr">
        <is>
          <t>Lá cánh / Tôn tấm bọc van (2 cánh)</t>
        </is>
      </c>
      <c r="D638" t="inlineStr">
        <is>
          <t>TÔN_CUỘN_MẠ_KẼM</t>
        </is>
      </c>
      <c r="E638" t="inlineStr">
        <is>
          <t>MAT-STEEL-PN-1.15</t>
        </is>
      </c>
      <c r="F638" t="inlineStr">
        <is>
          <t>kg</t>
        </is>
      </c>
      <c r="G638" s="406" t="n">
        <v>5.687324999999999</v>
      </c>
      <c r="H638" s="402">
        <f>IFERROR(INDEX('00_TONG_HOP_BAO_GIA'!$G$1:$G$5000, MATCH(B638, '00_TONG_HOP_BAO_GIA'!$B$1:$B$5000, 0)), 1)</f>
        <v/>
      </c>
      <c r="I638" s="407">
        <f>G638*H638</f>
        <v/>
      </c>
      <c r="J638" s="402">
        <f>IFERROR(INDEX('06_BANG_GIA_VAT_TU_AP_DUNG'!$E$1:$E$5000, MATCH(E638, '06_BANG_GIA_VAT_TU_AP_DUNG'!$B$1:$B$5000, 0)), 0)</f>
        <v/>
      </c>
      <c r="K638" s="402">
        <f>I638*J638</f>
        <v/>
      </c>
      <c r="L638" t="inlineStr">
        <is>
          <t>Tôn bọc cánh &amp; thân (2 cánh/modul)</t>
        </is>
      </c>
    </row>
    <row r="639">
      <c r="A639" t="inlineStr">
        <is>
          <t>SW-DAMPER-120-AXLE</t>
        </is>
      </c>
      <c r="B639" t="inlineStr">
        <is>
          <t>SW-DAMPER-120</t>
        </is>
      </c>
      <c r="C639" t="inlineStr">
        <is>
          <t>Trục Sus 201 D10</t>
        </is>
      </c>
      <c r="D639" t="inlineStr">
        <is>
          <t>PHỤ_KIỆN_VAN</t>
        </is>
      </c>
      <c r="E639" t="inlineStr">
        <is>
          <t>MAT-DAMPER-TRUC-SUS-201-D10</t>
        </is>
      </c>
      <c r="F639" t="inlineStr">
        <is>
          <t>m</t>
        </is>
      </c>
      <c r="G639" s="406" t="n">
        <v>1.92</v>
      </c>
      <c r="H639" s="402">
        <f>IFERROR(INDEX('00_TONG_HOP_BAO_GIA'!$G$1:$G$5000, MATCH(B639, '00_TONG_HOP_BAO_GIA'!$B$1:$B$5000, 0)), 1)</f>
        <v/>
      </c>
      <c r="I639" s="407">
        <f>G639*H639</f>
        <v/>
      </c>
      <c r="J639" s="402">
        <f>IFERROR(INDEX('06_BANG_GIA_VAT_TU_AP_DUNG'!$E$1:$E$5000, MATCH(E639, '06_BANG_GIA_VAT_TU_AP_DUNG'!$B$1:$B$5000, 0)), 0)</f>
        <v/>
      </c>
      <c r="K639" s="402">
        <f>I639*J639</f>
        <v/>
      </c>
      <c r="L639" t="inlineStr">
        <is>
          <t>2 trục dài 960mm</t>
        </is>
      </c>
    </row>
    <row r="640">
      <c r="A640" t="inlineStr">
        <is>
          <t>SW-DAMPER-120-BEARING</t>
        </is>
      </c>
      <c r="B640" t="inlineStr">
        <is>
          <t>SW-DAMPER-120</t>
        </is>
      </c>
      <c r="C640" t="inlineStr">
        <is>
          <t>Bạc đồng D10</t>
        </is>
      </c>
      <c r="D640" t="inlineStr">
        <is>
          <t>PHỤ_KIỆN_VAN</t>
        </is>
      </c>
      <c r="E640" t="inlineStr">
        <is>
          <t>MAT-DAMPER-BAC-DONG-D10</t>
        </is>
      </c>
      <c r="F640" t="inlineStr">
        <is>
          <t>Đôi</t>
        </is>
      </c>
      <c r="G640" s="406" t="n">
        <v>2</v>
      </c>
      <c r="H640" s="402">
        <f>IFERROR(INDEX('00_TONG_HOP_BAO_GIA'!$G$1:$G$5000, MATCH(B640, '00_TONG_HOP_BAO_GIA'!$B$1:$B$5000, 0)), 1)</f>
        <v/>
      </c>
      <c r="I640" s="407">
        <f>G640*H640</f>
        <v/>
      </c>
      <c r="J640" s="402">
        <f>IFERROR(INDEX('06_BANG_GIA_VAT_TU_AP_DUNG'!$E$1:$E$5000, MATCH(E640, '06_BANG_GIA_VAT_TU_AP_DUNG'!$B$1:$B$5000, 0)), 0)</f>
        <v/>
      </c>
      <c r="K640" s="402">
        <f>I640*J640</f>
        <v/>
      </c>
      <c r="L640" t="inlineStr">
        <is>
          <t>2 đôi bạc đỡ 2 bên thân</t>
        </is>
      </c>
    </row>
    <row r="641">
      <c r="A641" t="inlineStr">
        <is>
          <t>SW-DAMPER-120-GEAR</t>
        </is>
      </c>
      <c r="B641" t="inlineStr">
        <is>
          <t>SW-DAMPER-120</t>
        </is>
      </c>
      <c r="C641" t="inlineStr">
        <is>
          <t>Bánh răng van nhôm</t>
        </is>
      </c>
      <c r="D641" t="inlineStr">
        <is>
          <t>PHỤ_KIỆN_VAN</t>
        </is>
      </c>
      <c r="E641" t="inlineStr">
        <is>
          <t>MAT-DAMPER-BANH-RANG-VAN-NHOM</t>
        </is>
      </c>
      <c r="F641" t="inlineStr">
        <is>
          <t>Bộ</t>
        </is>
      </c>
      <c r="G641" s="406" t="n">
        <v>1</v>
      </c>
      <c r="H641" s="402">
        <f>IFERROR(INDEX('00_TONG_HOP_BAO_GIA'!$G$1:$G$5000, MATCH(B641, '00_TONG_HOP_BAO_GIA'!$B$1:$B$5000, 0)), 1)</f>
        <v/>
      </c>
      <c r="I641" s="407">
        <f>G641*H641</f>
        <v/>
      </c>
      <c r="J641" s="402">
        <f>IFERROR(INDEX('06_BANG_GIA_VAT_TU_AP_DUNG'!$E$1:$E$5000, MATCH(E641, '06_BANG_GIA_VAT_TU_AP_DUNG'!$B$1:$B$5000, 0)), 0)</f>
        <v/>
      </c>
      <c r="K641" s="402">
        <f>I641*J641</f>
        <v/>
      </c>
      <c r="L641" t="inlineStr">
        <is>
          <t>Cơ cấu liên động cánh (1 bộ)</t>
        </is>
      </c>
    </row>
    <row r="642">
      <c r="A642" t="inlineStr">
        <is>
          <t>SW-DAMPER-120-ACTUATOR</t>
        </is>
      </c>
      <c r="B642" t="inlineStr">
        <is>
          <t>SW-DAMPER-120</t>
        </is>
      </c>
      <c r="C642" t="inlineStr">
        <is>
          <t>Động cơ chặn lửa ON/OFF 9Nm, 230V/24V (BELIMO BFN24 / BFN230)</t>
        </is>
      </c>
      <c r="D642" t="inlineStr">
        <is>
          <t>ĐỘNG_CƠ_VÀ_CẢM_BIẾN</t>
        </is>
      </c>
      <c r="E642" t="inlineStr">
        <is>
          <t>MAT-ACTUATOR-BELIMO-BFN24</t>
        </is>
      </c>
      <c r="F642" t="inlineStr">
        <is>
          <t>Cái</t>
        </is>
      </c>
      <c r="G642" s="406" t="n">
        <v>1</v>
      </c>
      <c r="H642" s="402">
        <f>IFERROR(INDEX('00_TONG_HOP_BAO_GIA'!$G$1:$G$5000, MATCH(B642, '00_TONG_HOP_BAO_GIA'!$B$1:$B$5000, 0)), 1)</f>
        <v/>
      </c>
      <c r="I642" s="407">
        <f>G642*H642</f>
        <v/>
      </c>
      <c r="J642" s="402">
        <f>IFERROR(INDEX('06_BANG_GIA_VAT_TU_AP_DUNG'!$E$1:$E$5000, MATCH(E642, '06_BANG_GIA_VAT_TU_AP_DUNG'!$B$1:$B$5000, 0)), 0)</f>
        <v/>
      </c>
      <c r="K642" s="402">
        <f>I642*J642</f>
        <v/>
      </c>
      <c r="L642" t="inlineStr">
        <is>
          <t>Động cơ lò xo phản hồi MFD (1 bộ)</t>
        </is>
      </c>
    </row>
    <row r="643">
      <c r="A643" t="inlineStr">
        <is>
          <t>SW-DAMPER-120-FB10-BODY</t>
        </is>
      </c>
      <c r="B643" t="inlineStr">
        <is>
          <t>SW-DAMPER-120</t>
        </is>
      </c>
      <c r="C643" t="inlineStr">
        <is>
          <t>Tấm chống cháy dày 10mm bọc thân van FD/MFD (2 lớp)</t>
        </is>
      </c>
      <c r="D643" t="inlineStr">
        <is>
          <t>VẬT_LIỆU_CÁCH_NHIỆT</t>
        </is>
      </c>
      <c r="E643" t="inlineStr">
        <is>
          <t>MAT-FIREBOARD-10MM-BODY</t>
        </is>
      </c>
      <c r="F643" t="inlineStr">
        <is>
          <t>m2</t>
        </is>
      </c>
      <c r="G643" s="406" t="n">
        <v>1.5</v>
      </c>
      <c r="H643" s="402">
        <f>IFERROR(INDEX('00_TONG_HOP_BAO_GIA'!$G$1:$G$5000, MATCH(B643, '00_TONG_HOP_BAO_GIA'!$B$1:$B$5000, 0)), 1)</f>
        <v/>
      </c>
      <c r="I643" s="407">
        <f>G643*H643</f>
        <v/>
      </c>
      <c r="J643" s="402">
        <f>IFERROR(INDEX('06_BANG_GIA_VAT_TU_AP_DUNG'!$E$1:$E$5000, MATCH(E643, '06_BANG_GIA_VAT_TU_AP_DUNG'!$B$1:$B$5000, 0)), 0)</f>
        <v/>
      </c>
      <c r="K643" s="402">
        <f>I643*J643</f>
        <v/>
      </c>
      <c r="L643" t="inlineStr">
        <is>
          <t>Bọc 2 lớp tấm 10mm quanh thân L=300mm</t>
        </is>
      </c>
    </row>
    <row r="644">
      <c r="A644" t="inlineStr">
        <is>
          <t>SW-DAMPER-120-FB20-BLADE</t>
        </is>
      </c>
      <c r="B644" t="inlineStr">
        <is>
          <t>SW-DAMPER-120</t>
        </is>
      </c>
      <c r="C644" t="inlineStr">
        <is>
          <t>Tấm chống cháy dày 20mm làm lõi cánh van FD/MFD</t>
        </is>
      </c>
      <c r="D644" t="inlineStr">
        <is>
          <t>VẬT_LIỆU_CÁCH_NHIỆT</t>
        </is>
      </c>
      <c r="E644" t="inlineStr">
        <is>
          <t>MAT-FIREBOARD-20MM-BLADE</t>
        </is>
      </c>
      <c r="F644" t="inlineStr">
        <is>
          <t>m2</t>
        </is>
      </c>
      <c r="G644" s="406" t="n">
        <v>0.4706818791946309</v>
      </c>
      <c r="H644" s="402">
        <f>IFERROR(INDEX('00_TONG_HOP_BAO_GIA'!$G$1:$G$5000, MATCH(B644, '00_TONG_HOP_BAO_GIA'!$B$1:$B$5000, 0)), 1)</f>
        <v/>
      </c>
      <c r="I644" s="407">
        <f>G644*H644</f>
        <v/>
      </c>
      <c r="J644" s="402">
        <f>IFERROR(INDEX('06_BANG_GIA_VAT_TU_AP_DUNG'!$E$1:$E$5000, MATCH(E644, '06_BANG_GIA_VAT_TU_AP_DUNG'!$B$1:$B$5000, 0)), 0)</f>
        <v/>
      </c>
      <c r="K644" s="402">
        <f>I644*J644</f>
        <v/>
      </c>
      <c r="L644" t="inlineStr">
        <is>
          <t>Lõi cánh tấm 20mm (Đa cánh hệ số (H-5)/149=2.32, bản rộng 210mm, hao hụt 10%)</t>
        </is>
      </c>
    </row>
    <row r="645">
      <c r="A645" t="inlineStr">
        <is>
          <t>SW-DAMPER-120-FB10-BLADE</t>
        </is>
      </c>
      <c r="B645" t="inlineStr">
        <is>
          <t>SW-DAMPER-120</t>
        </is>
      </c>
      <c r="C645" t="inlineStr">
        <is>
          <t>Tấm chống cháy dày 10mm ốp 2 mặt cánh van FD/MFD</t>
        </is>
      </c>
      <c r="D645" t="inlineStr">
        <is>
          <t>VẬT_LIỆU_CÁCH_NHIỆT</t>
        </is>
      </c>
      <c r="E645" t="inlineStr">
        <is>
          <t>MAT-FIREBOARD-10MM-BLADE</t>
        </is>
      </c>
      <c r="F645" t="inlineStr">
        <is>
          <t>m2</t>
        </is>
      </c>
      <c r="G645" s="406" t="n">
        <v>0.962758389261745</v>
      </c>
      <c r="H645" s="402">
        <f>IFERROR(INDEX('00_TONG_HOP_BAO_GIA'!$G$1:$G$5000, MATCH(B645, '00_TONG_HOP_BAO_GIA'!$B$1:$B$5000, 0)), 1)</f>
        <v/>
      </c>
      <c r="I645" s="407">
        <f>G645*H645</f>
        <v/>
      </c>
      <c r="J645" s="402">
        <f>IFERROR(INDEX('06_BANG_GIA_VAT_TU_AP_DUNG'!$E$1:$E$5000, MATCH(E645, '06_BANG_GIA_VAT_TU_AP_DUNG'!$B$1:$B$5000, 0)), 0)</f>
        <v/>
      </c>
      <c r="K645" s="402">
        <f>I645*J645</f>
        <v/>
      </c>
      <c r="L645" t="inlineStr">
        <is>
          <t>Ốp 2 mặt cánh tấm 10mm (Đa cánh hệ số (H-5)/149=2.32, bản rộng 210mm, hao hụt 10%)</t>
        </is>
      </c>
    </row>
    <row r="646">
      <c r="A646" t="inlineStr">
        <is>
          <t>SW-DAMPER-120-SPRING-BOX</t>
        </is>
      </c>
      <c r="B646" t="inlineStr">
        <is>
          <t>SW-DAMPER-120</t>
        </is>
      </c>
      <c r="C646" t="inlineStr">
        <is>
          <t>Hộp lò xo van chặn lửa FD/MFD</t>
        </is>
      </c>
      <c r="D646" t="inlineStr">
        <is>
          <t>PHỤ_KIỆN_VAN</t>
        </is>
      </c>
      <c r="E646" t="inlineStr">
        <is>
          <t>MAT-DAMPER-HOP-LO-XO</t>
        </is>
      </c>
      <c r="F646" t="inlineStr">
        <is>
          <t>Bộ</t>
        </is>
      </c>
      <c r="G646" s="406" t="n">
        <v>1</v>
      </c>
      <c r="H646" s="402">
        <f>IFERROR(INDEX('00_TONG_HOP_BAO_GIA'!$G$1:$G$5000, MATCH(B646, '00_TONG_HOP_BAO_GIA'!$B$1:$B$5000, 0)), 1)</f>
        <v/>
      </c>
      <c r="I646" s="407">
        <f>G646*H646</f>
        <v/>
      </c>
      <c r="J646" s="402">
        <f>IFERROR(INDEX('06_BANG_GIA_VAT_TU_AP_DUNG'!$E$1:$E$5000, MATCH(E646, '06_BANG_GIA_VAT_TU_AP_DUNG'!$B$1:$B$5000, 0)), 0)</f>
        <v/>
      </c>
      <c r="K646" s="402">
        <f>I646*J646</f>
        <v/>
      </c>
      <c r="L646" t="inlineStr">
        <is>
          <t>Hộp lò xo cơ cấu đóng sập (1 bộ)</t>
        </is>
      </c>
    </row>
    <row r="647">
      <c r="A647" t="inlineStr">
        <is>
          <t>SW-DAMPER-120-SILICON-BOLT</t>
        </is>
      </c>
      <c r="B647" t="inlineStr">
        <is>
          <t>SW-DAMPER-120</t>
        </is>
      </c>
      <c r="C647" t="inlineStr">
        <is>
          <t>Silicon chống cháy + bu lông, ốc vít van FD/MFD</t>
        </is>
      </c>
      <c r="D647" t="inlineStr">
        <is>
          <t>PHỤ_KIỆN_VAN</t>
        </is>
      </c>
      <c r="E647" t="inlineStr">
        <is>
          <t>MAT-DAMPER-SILICON-BULONG-VIT</t>
        </is>
      </c>
      <c r="F647" t="inlineStr">
        <is>
          <t>Bộ</t>
        </is>
      </c>
      <c r="G647" s="406" t="n">
        <v>1</v>
      </c>
      <c r="H647" s="402">
        <f>IFERROR(INDEX('00_TONG_HOP_BAO_GIA'!$G$1:$G$5000, MATCH(B647, '00_TONG_HOP_BAO_GIA'!$B$1:$B$5000, 0)), 1)</f>
        <v/>
      </c>
      <c r="I647" s="407">
        <f>G647*H647</f>
        <v/>
      </c>
      <c r="J647" s="402">
        <f>IFERROR(INDEX('06_BANG_GIA_VAT_TU_AP_DUNG'!$E$1:$E$5000, MATCH(E647, '06_BANG_GIA_VAT_TU_AP_DUNG'!$B$1:$B$5000, 0)), 0)</f>
        <v/>
      </c>
      <c r="K647" s="402">
        <f>I647*J647</f>
        <v/>
      </c>
      <c r="L647" t="inlineStr">
        <is>
          <t>Keo silicon chống cháy &amp; phụ kiện lắp ghép (1 bộ)</t>
        </is>
      </c>
    </row>
    <row r="648">
      <c r="A648" t="inlineStr">
        <is>
          <t>SW-DAMPER-121-BODY</t>
        </is>
      </c>
      <c r="B648" t="inlineStr">
        <is>
          <t>SW-DAMPER-121</t>
        </is>
      </c>
      <c r="C648" t="inlineStr">
        <is>
          <t>Thân vỏ van MFD bích C30/TDF (1.15mm)</t>
        </is>
      </c>
      <c r="D648" t="inlineStr">
        <is>
          <t>TÔN_CUỘN_MẠ_KẼM</t>
        </is>
      </c>
      <c r="E648" t="inlineStr">
        <is>
          <t>MAT-STEEL-PN-1.15</t>
        </is>
      </c>
      <c r="F648" t="inlineStr">
        <is>
          <t>kg</t>
        </is>
      </c>
      <c r="G648" s="406" t="n">
        <v>9.059908725</v>
      </c>
      <c r="H648" s="402">
        <f>IFERROR(INDEX('00_TONG_HOP_BAO_GIA'!$G$1:$G$5000, MATCH(B648, '00_TONG_HOP_BAO_GIA'!$B$1:$B$5000, 0)), 1)</f>
        <v/>
      </c>
      <c r="I648" s="407">
        <f>G648*H648</f>
        <v/>
      </c>
      <c r="J648" s="402">
        <f>IFERROR(INDEX('06_BANG_GIA_VAT_TU_AP_DUNG'!$E$1:$E$5000, MATCH(E648, '06_BANG_GIA_VAT_TU_AP_DUNG'!$B$1:$B$5000, 0)), 0)</f>
        <v/>
      </c>
      <c r="K648" s="402">
        <f>I648*J648</f>
        <v/>
      </c>
      <c r="L648" t="inlineStr">
        <is>
          <t>Kích thước vỏ 1400x350x200mm</t>
        </is>
      </c>
    </row>
    <row r="649">
      <c r="A649" t="inlineStr">
        <is>
          <t>SW-DAMPER-121-BLADE</t>
        </is>
      </c>
      <c r="B649" t="inlineStr">
        <is>
          <t>SW-DAMPER-121</t>
        </is>
      </c>
      <c r="C649" t="inlineStr">
        <is>
          <t>Lá cánh / Tôn tấm bọc van (2 cánh)</t>
        </is>
      </c>
      <c r="D649" t="inlineStr">
        <is>
          <t>TÔN_CUỘN_MẠ_KẼM</t>
        </is>
      </c>
      <c r="E649" t="inlineStr">
        <is>
          <t>MAT-STEEL-PN-1.15</t>
        </is>
      </c>
      <c r="F649" t="inlineStr">
        <is>
          <t>kg</t>
        </is>
      </c>
      <c r="G649" s="406" t="n">
        <v>8.846949999999996</v>
      </c>
      <c r="H649" s="402">
        <f>IFERROR(INDEX('00_TONG_HOP_BAO_GIA'!$G$1:$G$5000, MATCH(B649, '00_TONG_HOP_BAO_GIA'!$B$1:$B$5000, 0)), 1)</f>
        <v/>
      </c>
      <c r="I649" s="407">
        <f>G649*H649</f>
        <v/>
      </c>
      <c r="J649" s="402">
        <f>IFERROR(INDEX('06_BANG_GIA_VAT_TU_AP_DUNG'!$E$1:$E$5000, MATCH(E649, '06_BANG_GIA_VAT_TU_AP_DUNG'!$B$1:$B$5000, 0)), 0)</f>
        <v/>
      </c>
      <c r="K649" s="402">
        <f>I649*J649</f>
        <v/>
      </c>
      <c r="L649" t="inlineStr">
        <is>
          <t>Tôn bọc cánh &amp; thân (2 cánh/modul)</t>
        </is>
      </c>
    </row>
    <row r="650">
      <c r="A650" t="inlineStr">
        <is>
          <t>SW-DAMPER-121-AXLE</t>
        </is>
      </c>
      <c r="B650" t="inlineStr">
        <is>
          <t>SW-DAMPER-121</t>
        </is>
      </c>
      <c r="C650" t="inlineStr">
        <is>
          <t>Trục Sus 201 D10</t>
        </is>
      </c>
      <c r="D650" t="inlineStr">
        <is>
          <t>PHỤ_KIỆN_VAN</t>
        </is>
      </c>
      <c r="E650" t="inlineStr">
        <is>
          <t>MAT-DAMPER-TRUC-SUS-201-D10</t>
        </is>
      </c>
      <c r="F650" t="inlineStr">
        <is>
          <t>m</t>
        </is>
      </c>
      <c r="G650" s="406" t="n">
        <v>2.92</v>
      </c>
      <c r="H650" s="402">
        <f>IFERROR(INDEX('00_TONG_HOP_BAO_GIA'!$G$1:$G$5000, MATCH(B650, '00_TONG_HOP_BAO_GIA'!$B$1:$B$5000, 0)), 1)</f>
        <v/>
      </c>
      <c r="I650" s="407">
        <f>G650*H650</f>
        <v/>
      </c>
      <c r="J650" s="402">
        <f>IFERROR(INDEX('06_BANG_GIA_VAT_TU_AP_DUNG'!$E$1:$E$5000, MATCH(E650, '06_BANG_GIA_VAT_TU_AP_DUNG'!$B$1:$B$5000, 0)), 0)</f>
        <v/>
      </c>
      <c r="K650" s="402">
        <f>I650*J650</f>
        <v/>
      </c>
      <c r="L650" t="inlineStr">
        <is>
          <t>2 trục dài 1460mm</t>
        </is>
      </c>
    </row>
    <row r="651">
      <c r="A651" t="inlineStr">
        <is>
          <t>SW-DAMPER-121-BEARING</t>
        </is>
      </c>
      <c r="B651" t="inlineStr">
        <is>
          <t>SW-DAMPER-121</t>
        </is>
      </c>
      <c r="C651" t="inlineStr">
        <is>
          <t>Bạc đồng D10</t>
        </is>
      </c>
      <c r="D651" t="inlineStr">
        <is>
          <t>PHỤ_KIỆN_VAN</t>
        </is>
      </c>
      <c r="E651" t="inlineStr">
        <is>
          <t>MAT-DAMPER-BAC-DONG-D10</t>
        </is>
      </c>
      <c r="F651" t="inlineStr">
        <is>
          <t>Đôi</t>
        </is>
      </c>
      <c r="G651" s="406" t="n">
        <v>2</v>
      </c>
      <c r="H651" s="402">
        <f>IFERROR(INDEX('00_TONG_HOP_BAO_GIA'!$G$1:$G$5000, MATCH(B651, '00_TONG_HOP_BAO_GIA'!$B$1:$B$5000, 0)), 1)</f>
        <v/>
      </c>
      <c r="I651" s="407">
        <f>G651*H651</f>
        <v/>
      </c>
      <c r="J651" s="402">
        <f>IFERROR(INDEX('06_BANG_GIA_VAT_TU_AP_DUNG'!$E$1:$E$5000, MATCH(E651, '06_BANG_GIA_VAT_TU_AP_DUNG'!$B$1:$B$5000, 0)), 0)</f>
        <v/>
      </c>
      <c r="K651" s="402">
        <f>I651*J651</f>
        <v/>
      </c>
      <c r="L651" t="inlineStr">
        <is>
          <t>2 đôi bạc đỡ 2 bên thân</t>
        </is>
      </c>
    </row>
    <row r="652">
      <c r="A652" t="inlineStr">
        <is>
          <t>SW-DAMPER-121-GEAR</t>
        </is>
      </c>
      <c r="B652" t="inlineStr">
        <is>
          <t>SW-DAMPER-121</t>
        </is>
      </c>
      <c r="C652" t="inlineStr">
        <is>
          <t>Bánh răng van nhôm</t>
        </is>
      </c>
      <c r="D652" t="inlineStr">
        <is>
          <t>PHỤ_KIỆN_VAN</t>
        </is>
      </c>
      <c r="E652" t="inlineStr">
        <is>
          <t>MAT-DAMPER-BANH-RANG-VAN-NHOM</t>
        </is>
      </c>
      <c r="F652" t="inlineStr">
        <is>
          <t>Bộ</t>
        </is>
      </c>
      <c r="G652" s="406" t="n">
        <v>1</v>
      </c>
      <c r="H652" s="402">
        <f>IFERROR(INDEX('00_TONG_HOP_BAO_GIA'!$G$1:$G$5000, MATCH(B652, '00_TONG_HOP_BAO_GIA'!$B$1:$B$5000, 0)), 1)</f>
        <v/>
      </c>
      <c r="I652" s="407">
        <f>G652*H652</f>
        <v/>
      </c>
      <c r="J652" s="402">
        <f>IFERROR(INDEX('06_BANG_GIA_VAT_TU_AP_DUNG'!$E$1:$E$5000, MATCH(E652, '06_BANG_GIA_VAT_TU_AP_DUNG'!$B$1:$B$5000, 0)), 0)</f>
        <v/>
      </c>
      <c r="K652" s="402">
        <f>I652*J652</f>
        <v/>
      </c>
      <c r="L652" t="inlineStr">
        <is>
          <t>Cơ cấu liên động cánh (1 bộ)</t>
        </is>
      </c>
    </row>
    <row r="653">
      <c r="A653" t="inlineStr">
        <is>
          <t>SW-DAMPER-121-ACTUATOR</t>
        </is>
      </c>
      <c r="B653" t="inlineStr">
        <is>
          <t>SW-DAMPER-121</t>
        </is>
      </c>
      <c r="C653" t="inlineStr">
        <is>
          <t>Động cơ chặn lửa ON/OFF 9Nm, 230V/24V (BELIMO BFN24 / BFN230)</t>
        </is>
      </c>
      <c r="D653" t="inlineStr">
        <is>
          <t>ĐỘNG_CƠ_VÀ_CẢM_BIẾN</t>
        </is>
      </c>
      <c r="E653" t="inlineStr">
        <is>
          <t>MAT-ACTUATOR-BELIMO-BFN24</t>
        </is>
      </c>
      <c r="F653" t="inlineStr">
        <is>
          <t>Cái</t>
        </is>
      </c>
      <c r="G653" s="406" t="n">
        <v>1</v>
      </c>
      <c r="H653" s="402">
        <f>IFERROR(INDEX('00_TONG_HOP_BAO_GIA'!$G$1:$G$5000, MATCH(B653, '00_TONG_HOP_BAO_GIA'!$B$1:$B$5000, 0)), 1)</f>
        <v/>
      </c>
      <c r="I653" s="407">
        <f>G653*H653</f>
        <v/>
      </c>
      <c r="J653" s="402">
        <f>IFERROR(INDEX('06_BANG_GIA_VAT_TU_AP_DUNG'!$E$1:$E$5000, MATCH(E653, '06_BANG_GIA_VAT_TU_AP_DUNG'!$B$1:$B$5000, 0)), 0)</f>
        <v/>
      </c>
      <c r="K653" s="402">
        <f>I653*J653</f>
        <v/>
      </c>
      <c r="L653" t="inlineStr">
        <is>
          <t>Động cơ lò xo phản hồi MFD (1 bộ)</t>
        </is>
      </c>
    </row>
    <row r="654">
      <c r="A654" t="inlineStr">
        <is>
          <t>SW-DAMPER-121-FB10-BODY</t>
        </is>
      </c>
      <c r="B654" t="inlineStr">
        <is>
          <t>SW-DAMPER-121</t>
        </is>
      </c>
      <c r="C654" t="inlineStr">
        <is>
          <t>Tấm chống cháy dày 10mm bọc thân van FD/MFD (2 lớp)</t>
        </is>
      </c>
      <c r="D654" t="inlineStr">
        <is>
          <t>VẬT_LIỆU_CÁCH_NHIỆT</t>
        </is>
      </c>
      <c r="E654" t="inlineStr">
        <is>
          <t>MAT-FIREBOARD-10MM-BODY</t>
        </is>
      </c>
      <c r="F654" t="inlineStr">
        <is>
          <t>m2</t>
        </is>
      </c>
      <c r="G654" s="406" t="n">
        <v>2.1</v>
      </c>
      <c r="H654" s="402">
        <f>IFERROR(INDEX('00_TONG_HOP_BAO_GIA'!$G$1:$G$5000, MATCH(B654, '00_TONG_HOP_BAO_GIA'!$B$1:$B$5000, 0)), 1)</f>
        <v/>
      </c>
      <c r="I654" s="407">
        <f>G654*H654</f>
        <v/>
      </c>
      <c r="J654" s="402">
        <f>IFERROR(INDEX('06_BANG_GIA_VAT_TU_AP_DUNG'!$E$1:$E$5000, MATCH(E654, '06_BANG_GIA_VAT_TU_AP_DUNG'!$B$1:$B$5000, 0)), 0)</f>
        <v/>
      </c>
      <c r="K654" s="402">
        <f>I654*J654</f>
        <v/>
      </c>
      <c r="L654" t="inlineStr">
        <is>
          <t>Bọc 2 lớp tấm 10mm quanh thân L=300mm</t>
        </is>
      </c>
    </row>
    <row r="655">
      <c r="A655" t="inlineStr">
        <is>
          <t>SW-DAMPER-121-FB20-BLADE</t>
        </is>
      </c>
      <c r="B655" t="inlineStr">
        <is>
          <t>SW-DAMPER-121</t>
        </is>
      </c>
      <c r="C655" t="inlineStr">
        <is>
          <t>Tấm chống cháy dày 20mm làm lõi cánh van FD/MFD</t>
        </is>
      </c>
      <c r="D655" t="inlineStr">
        <is>
          <t>VẬT_LIỆU_CÁCH_NHIỆT</t>
        </is>
      </c>
      <c r="E655" t="inlineStr">
        <is>
          <t>MAT-FIREBOARD-20MM-BLADE</t>
        </is>
      </c>
      <c r="F655" t="inlineStr">
        <is>
          <t>m2</t>
        </is>
      </c>
      <c r="G655" s="406" t="n">
        <v>0.7381147651006711</v>
      </c>
      <c r="H655" s="402">
        <f>IFERROR(INDEX('00_TONG_HOP_BAO_GIA'!$G$1:$G$5000, MATCH(B655, '00_TONG_HOP_BAO_GIA'!$B$1:$B$5000, 0)), 1)</f>
        <v/>
      </c>
      <c r="I655" s="407">
        <f>G655*H655</f>
        <v/>
      </c>
      <c r="J655" s="402">
        <f>IFERROR(INDEX('06_BANG_GIA_VAT_TU_AP_DUNG'!$E$1:$E$5000, MATCH(E655, '06_BANG_GIA_VAT_TU_AP_DUNG'!$B$1:$B$5000, 0)), 0)</f>
        <v/>
      </c>
      <c r="K655" s="402">
        <f>I655*J655</f>
        <v/>
      </c>
      <c r="L655" t="inlineStr">
        <is>
          <t>Lõi cánh tấm 20mm (Đa cánh hệ số (H-5)/149=2.32, bản rộng 210mm, hao hụt 10%)</t>
        </is>
      </c>
    </row>
    <row r="656">
      <c r="A656" t="inlineStr">
        <is>
          <t>SW-DAMPER-121-FB10-BLADE</t>
        </is>
      </c>
      <c r="B656" t="inlineStr">
        <is>
          <t>SW-DAMPER-121</t>
        </is>
      </c>
      <c r="C656" t="inlineStr">
        <is>
          <t>Tấm chống cháy dày 10mm ốp 2 mặt cánh van FD/MFD</t>
        </is>
      </c>
      <c r="D656" t="inlineStr">
        <is>
          <t>VẬT_LIỆU_CÁCH_NHIỆT</t>
        </is>
      </c>
      <c r="E656" t="inlineStr">
        <is>
          <t>MAT-FIREBOARD-10MM-BLADE</t>
        </is>
      </c>
      <c r="F656" t="inlineStr">
        <is>
          <t>m2</t>
        </is>
      </c>
      <c r="G656" s="406" t="n">
        <v>1.497624161073825</v>
      </c>
      <c r="H656" s="402">
        <f>IFERROR(INDEX('00_TONG_HOP_BAO_GIA'!$G$1:$G$5000, MATCH(B656, '00_TONG_HOP_BAO_GIA'!$B$1:$B$5000, 0)), 1)</f>
        <v/>
      </c>
      <c r="I656" s="407">
        <f>G656*H656</f>
        <v/>
      </c>
      <c r="J656" s="402">
        <f>IFERROR(INDEX('06_BANG_GIA_VAT_TU_AP_DUNG'!$E$1:$E$5000, MATCH(E656, '06_BANG_GIA_VAT_TU_AP_DUNG'!$B$1:$B$5000, 0)), 0)</f>
        <v/>
      </c>
      <c r="K656" s="402">
        <f>I656*J656</f>
        <v/>
      </c>
      <c r="L656" t="inlineStr">
        <is>
          <t>Ốp 2 mặt cánh tấm 10mm (Đa cánh hệ số (H-5)/149=2.32, bản rộng 210mm, hao hụt 10%)</t>
        </is>
      </c>
    </row>
    <row r="657">
      <c r="A657" t="inlineStr">
        <is>
          <t>SW-DAMPER-121-SPRING-BOX</t>
        </is>
      </c>
      <c r="B657" t="inlineStr">
        <is>
          <t>SW-DAMPER-121</t>
        </is>
      </c>
      <c r="C657" t="inlineStr">
        <is>
          <t>Hộp lò xo van chặn lửa FD/MFD</t>
        </is>
      </c>
      <c r="D657" t="inlineStr">
        <is>
          <t>PHỤ_KIỆN_VAN</t>
        </is>
      </c>
      <c r="E657" t="inlineStr">
        <is>
          <t>MAT-DAMPER-HOP-LO-XO</t>
        </is>
      </c>
      <c r="F657" t="inlineStr">
        <is>
          <t>Bộ</t>
        </is>
      </c>
      <c r="G657" s="406" t="n">
        <v>1</v>
      </c>
      <c r="H657" s="402">
        <f>IFERROR(INDEX('00_TONG_HOP_BAO_GIA'!$G$1:$G$5000, MATCH(B657, '00_TONG_HOP_BAO_GIA'!$B$1:$B$5000, 0)), 1)</f>
        <v/>
      </c>
      <c r="I657" s="407">
        <f>G657*H657</f>
        <v/>
      </c>
      <c r="J657" s="402">
        <f>IFERROR(INDEX('06_BANG_GIA_VAT_TU_AP_DUNG'!$E$1:$E$5000, MATCH(E657, '06_BANG_GIA_VAT_TU_AP_DUNG'!$B$1:$B$5000, 0)), 0)</f>
        <v/>
      </c>
      <c r="K657" s="402">
        <f>I657*J657</f>
        <v/>
      </c>
      <c r="L657" t="inlineStr">
        <is>
          <t>Hộp lò xo cơ cấu đóng sập (1 bộ)</t>
        </is>
      </c>
    </row>
    <row r="658">
      <c r="A658" t="inlineStr">
        <is>
          <t>SW-DAMPER-121-SILICON-BOLT</t>
        </is>
      </c>
      <c r="B658" t="inlineStr">
        <is>
          <t>SW-DAMPER-121</t>
        </is>
      </c>
      <c r="C658" t="inlineStr">
        <is>
          <t>Silicon chống cháy + bu lông, ốc vít van FD/MFD</t>
        </is>
      </c>
      <c r="D658" t="inlineStr">
        <is>
          <t>PHỤ_KIỆN_VAN</t>
        </is>
      </c>
      <c r="E658" t="inlineStr">
        <is>
          <t>MAT-DAMPER-SILICON-BULONG-VIT</t>
        </is>
      </c>
      <c r="F658" t="inlineStr">
        <is>
          <t>Bộ</t>
        </is>
      </c>
      <c r="G658" s="406" t="n">
        <v>1</v>
      </c>
      <c r="H658" s="402">
        <f>IFERROR(INDEX('00_TONG_HOP_BAO_GIA'!$G$1:$G$5000, MATCH(B658, '00_TONG_HOP_BAO_GIA'!$B$1:$B$5000, 0)), 1)</f>
        <v/>
      </c>
      <c r="I658" s="407">
        <f>G658*H658</f>
        <v/>
      </c>
      <c r="J658" s="402">
        <f>IFERROR(INDEX('06_BANG_GIA_VAT_TU_AP_DUNG'!$E$1:$E$5000, MATCH(E658, '06_BANG_GIA_VAT_TU_AP_DUNG'!$B$1:$B$5000, 0)), 0)</f>
        <v/>
      </c>
      <c r="K658" s="402">
        <f>I658*J658</f>
        <v/>
      </c>
      <c r="L658" t="inlineStr">
        <is>
          <t>Keo silicon chống cháy &amp; phụ kiện lắp ghép (1 bộ)</t>
        </is>
      </c>
    </row>
    <row r="659">
      <c r="A659" t="inlineStr">
        <is>
          <t>SW-DAMPER-122-BODY</t>
        </is>
      </c>
      <c r="B659" t="inlineStr">
        <is>
          <t>SW-DAMPER-122</t>
        </is>
      </c>
      <c r="C659" t="inlineStr">
        <is>
          <t>Thân vỏ van MFD bích C30/TDF (1.15mm)</t>
        </is>
      </c>
      <c r="D659" t="inlineStr">
        <is>
          <t>TÔN_CUỘN_MẠ_KẼM</t>
        </is>
      </c>
      <c r="E659" t="inlineStr">
        <is>
          <t>MAT-STEEL-PN-1.15</t>
        </is>
      </c>
      <c r="F659" t="inlineStr">
        <is>
          <t>kg</t>
        </is>
      </c>
      <c r="G659" s="406" t="n">
        <v>1.6379496</v>
      </c>
      <c r="H659" s="402">
        <f>IFERROR(INDEX('00_TONG_HOP_BAO_GIA'!$G$1:$G$5000, MATCH(B659, '00_TONG_HOP_BAO_GIA'!$B$1:$B$5000, 0)), 1)</f>
        <v/>
      </c>
      <c r="I659" s="407">
        <f>G659*H659</f>
        <v/>
      </c>
      <c r="J659" s="402">
        <f>IFERROR(INDEX('06_BANG_GIA_VAT_TU_AP_DUNG'!$E$1:$E$5000, MATCH(E659, '06_BANG_GIA_VAT_TU_AP_DUNG'!$B$1:$B$5000, 0)), 0)</f>
        <v/>
      </c>
      <c r="K659" s="402">
        <f>I659*J659</f>
        <v/>
      </c>
      <c r="L659" t="inlineStr">
        <is>
          <t>Kích thước vỏ 150x150x200mm (Thu côn từ 150x150mm về 100x100mm)</t>
        </is>
      </c>
    </row>
    <row r="660">
      <c r="A660" t="inlineStr">
        <is>
          <t>SW-DAMPER-122-BLADE</t>
        </is>
      </c>
      <c r="B660" t="inlineStr">
        <is>
          <t>SW-DAMPER-122</t>
        </is>
      </c>
      <c r="C660" t="inlineStr">
        <is>
          <t>Lá cánh / Tôn tấm bọc van (1 cánh)</t>
        </is>
      </c>
      <c r="D660" t="inlineStr">
        <is>
          <t>TÔN_CUỘN_MẠ_KẼM</t>
        </is>
      </c>
      <c r="E660" t="inlineStr">
        <is>
          <t>MAT-STEEL-PN-1.15</t>
        </is>
      </c>
      <c r="F660" t="inlineStr">
        <is>
          <t>kg</t>
        </is>
      </c>
      <c r="G660" s="406" t="n">
        <v>0.4062374999999999</v>
      </c>
      <c r="H660" s="402">
        <f>IFERROR(INDEX('00_TONG_HOP_BAO_GIA'!$G$1:$G$5000, MATCH(B660, '00_TONG_HOP_BAO_GIA'!$B$1:$B$5000, 0)), 1)</f>
        <v/>
      </c>
      <c r="I660" s="407">
        <f>G660*H660</f>
        <v/>
      </c>
      <c r="J660" s="402">
        <f>IFERROR(INDEX('06_BANG_GIA_VAT_TU_AP_DUNG'!$E$1:$E$5000, MATCH(E660, '06_BANG_GIA_VAT_TU_AP_DUNG'!$B$1:$B$5000, 0)), 0)</f>
        <v/>
      </c>
      <c r="K660" s="402">
        <f>I660*J660</f>
        <v/>
      </c>
      <c r="L660" t="inlineStr">
        <is>
          <t>Tôn bọc cánh &amp; thân (1 cánh/modul)</t>
        </is>
      </c>
    </row>
    <row r="661">
      <c r="A661" t="inlineStr">
        <is>
          <t>SW-DAMPER-122-AXLE</t>
        </is>
      </c>
      <c r="B661" t="inlineStr">
        <is>
          <t>SW-DAMPER-122</t>
        </is>
      </c>
      <c r="C661" t="inlineStr">
        <is>
          <t>Trục Sus 201 D10</t>
        </is>
      </c>
      <c r="D661" t="inlineStr">
        <is>
          <t>PHỤ_KIỆN_VAN</t>
        </is>
      </c>
      <c r="E661" t="inlineStr">
        <is>
          <t>MAT-DAMPER-TRUC-SUS-201-D10</t>
        </is>
      </c>
      <c r="F661" t="inlineStr">
        <is>
          <t>m</t>
        </is>
      </c>
      <c r="G661" s="406" t="n">
        <v>0.21</v>
      </c>
      <c r="H661" s="402">
        <f>IFERROR(INDEX('00_TONG_HOP_BAO_GIA'!$G$1:$G$5000, MATCH(B661, '00_TONG_HOP_BAO_GIA'!$B$1:$B$5000, 0)), 1)</f>
        <v/>
      </c>
      <c r="I661" s="407">
        <f>G661*H661</f>
        <v/>
      </c>
      <c r="J661" s="402">
        <f>IFERROR(INDEX('06_BANG_GIA_VAT_TU_AP_DUNG'!$E$1:$E$5000, MATCH(E661, '06_BANG_GIA_VAT_TU_AP_DUNG'!$B$1:$B$5000, 0)), 0)</f>
        <v/>
      </c>
      <c r="K661" s="402">
        <f>I661*J661</f>
        <v/>
      </c>
      <c r="L661" t="inlineStr">
        <is>
          <t>1 trục dài 210mm</t>
        </is>
      </c>
    </row>
    <row r="662">
      <c r="A662" t="inlineStr">
        <is>
          <t>SW-DAMPER-122-BEARING</t>
        </is>
      </c>
      <c r="B662" t="inlineStr">
        <is>
          <t>SW-DAMPER-122</t>
        </is>
      </c>
      <c r="C662" t="inlineStr">
        <is>
          <t>Bạc đồng D10</t>
        </is>
      </c>
      <c r="D662" t="inlineStr">
        <is>
          <t>PHỤ_KIỆN_VAN</t>
        </is>
      </c>
      <c r="E662" t="inlineStr">
        <is>
          <t>MAT-DAMPER-BAC-DONG-D10</t>
        </is>
      </c>
      <c r="F662" t="inlineStr">
        <is>
          <t>Đôi</t>
        </is>
      </c>
      <c r="G662" s="406" t="n">
        <v>1</v>
      </c>
      <c r="H662" s="402">
        <f>IFERROR(INDEX('00_TONG_HOP_BAO_GIA'!$G$1:$G$5000, MATCH(B662, '00_TONG_HOP_BAO_GIA'!$B$1:$B$5000, 0)), 1)</f>
        <v/>
      </c>
      <c r="I662" s="407">
        <f>G662*H662</f>
        <v/>
      </c>
      <c r="J662" s="402">
        <f>IFERROR(INDEX('06_BANG_GIA_VAT_TU_AP_DUNG'!$E$1:$E$5000, MATCH(E662, '06_BANG_GIA_VAT_TU_AP_DUNG'!$B$1:$B$5000, 0)), 0)</f>
        <v/>
      </c>
      <c r="K662" s="402">
        <f>I662*J662</f>
        <v/>
      </c>
      <c r="L662" t="inlineStr">
        <is>
          <t>1 đôi bạc đỡ 2 bên thân</t>
        </is>
      </c>
    </row>
    <row r="663">
      <c r="A663" t="inlineStr">
        <is>
          <t>SW-DAMPER-122-ACTUATOR</t>
        </is>
      </c>
      <c r="B663" t="inlineStr">
        <is>
          <t>SW-DAMPER-122</t>
        </is>
      </c>
      <c r="C663" t="inlineStr">
        <is>
          <t>Động cơ chặn lửa ON/OFF 3.5Nm, 230V/24V (BELIMO FSLF24 / FSLF230)</t>
        </is>
      </c>
      <c r="D663" t="inlineStr">
        <is>
          <t>ĐỘNG_CƠ_VÀ_CẢM_BIẾN</t>
        </is>
      </c>
      <c r="E663" t="inlineStr">
        <is>
          <t>MAT-ACTUATOR-BELIMO-FSLF24</t>
        </is>
      </c>
      <c r="F663" t="inlineStr">
        <is>
          <t>Cái</t>
        </is>
      </c>
      <c r="G663" s="406" t="n">
        <v>1</v>
      </c>
      <c r="H663" s="402">
        <f>IFERROR(INDEX('00_TONG_HOP_BAO_GIA'!$G$1:$G$5000, MATCH(B663, '00_TONG_HOP_BAO_GIA'!$B$1:$B$5000, 0)), 1)</f>
        <v/>
      </c>
      <c r="I663" s="407">
        <f>G663*H663</f>
        <v/>
      </c>
      <c r="J663" s="402">
        <f>IFERROR(INDEX('06_BANG_GIA_VAT_TU_AP_DUNG'!$E$1:$E$5000, MATCH(E663, '06_BANG_GIA_VAT_TU_AP_DUNG'!$B$1:$B$5000, 0)), 0)</f>
        <v/>
      </c>
      <c r="K663" s="402">
        <f>I663*J663</f>
        <v/>
      </c>
      <c r="L663" t="inlineStr">
        <is>
          <t>Động cơ lò xo phản hồi MFD (1 bộ)</t>
        </is>
      </c>
    </row>
    <row r="664">
      <c r="A664" t="inlineStr">
        <is>
          <t>SW-DAMPER-122-FB10-BODY</t>
        </is>
      </c>
      <c r="B664" t="inlineStr">
        <is>
          <t>SW-DAMPER-122</t>
        </is>
      </c>
      <c r="C664" t="inlineStr">
        <is>
          <t>Tấm chống cháy dày 10mm bọc thân van FD/MFD (2 lớp)</t>
        </is>
      </c>
      <c r="D664" t="inlineStr">
        <is>
          <t>VẬT_LIỆU_CÁCH_NHIỆT</t>
        </is>
      </c>
      <c r="E664" t="inlineStr">
        <is>
          <t>MAT-FIREBOARD-10MM-BODY</t>
        </is>
      </c>
      <c r="F664" t="inlineStr">
        <is>
          <t>m2</t>
        </is>
      </c>
      <c r="G664" s="406" t="n">
        <v>0.36</v>
      </c>
      <c r="H664" s="402">
        <f>IFERROR(INDEX('00_TONG_HOP_BAO_GIA'!$G$1:$G$5000, MATCH(B664, '00_TONG_HOP_BAO_GIA'!$B$1:$B$5000, 0)), 1)</f>
        <v/>
      </c>
      <c r="I664" s="407">
        <f>G664*H664</f>
        <v/>
      </c>
      <c r="J664" s="402">
        <f>IFERROR(INDEX('06_BANG_GIA_VAT_TU_AP_DUNG'!$E$1:$E$5000, MATCH(E664, '06_BANG_GIA_VAT_TU_AP_DUNG'!$B$1:$B$5000, 0)), 0)</f>
        <v/>
      </c>
      <c r="K664" s="402">
        <f>I664*J664</f>
        <v/>
      </c>
      <c r="L664" t="inlineStr">
        <is>
          <t>Bọc 2 lớp tấm 10mm quanh thân L=300mm</t>
        </is>
      </c>
    </row>
    <row r="665">
      <c r="A665" t="inlineStr">
        <is>
          <t>SW-DAMPER-122-FB20-BLADE</t>
        </is>
      </c>
      <c r="B665" t="inlineStr">
        <is>
          <t>SW-DAMPER-122</t>
        </is>
      </c>
      <c r="C665" t="inlineStr">
        <is>
          <t>Tấm chống cháy dày 20mm làm lõi cánh van FD/MFD</t>
        </is>
      </c>
      <c r="D665" t="inlineStr">
        <is>
          <t>VẬT_LIỆU_CÁCH_NHIỆT</t>
        </is>
      </c>
      <c r="E665" t="inlineStr">
        <is>
          <t>MAT-FIREBOARD-20MM-BLADE</t>
        </is>
      </c>
      <c r="F665" t="inlineStr">
        <is>
          <t>m2</t>
        </is>
      </c>
      <c r="G665" s="406" t="n">
        <v>0.0225</v>
      </c>
      <c r="H665" s="402">
        <f>IFERROR(INDEX('00_TONG_HOP_BAO_GIA'!$G$1:$G$5000, MATCH(B665, '00_TONG_HOP_BAO_GIA'!$B$1:$B$5000, 0)), 1)</f>
        <v/>
      </c>
      <c r="I665" s="407">
        <f>G665*H665</f>
        <v/>
      </c>
      <c r="J665" s="402">
        <f>IFERROR(INDEX('06_BANG_GIA_VAT_TU_AP_DUNG'!$E$1:$E$5000, MATCH(E665, '06_BANG_GIA_VAT_TU_AP_DUNG'!$B$1:$B$5000, 0)), 0)</f>
        <v/>
      </c>
      <c r="K665" s="402">
        <f>I665*J665</f>
        <v/>
      </c>
      <c r="L665" t="inlineStr">
        <is>
          <t>Lõi cánh tấm 20mm (Cánh đơn 150x150mm)</t>
        </is>
      </c>
    </row>
    <row r="666">
      <c r="A666" t="inlineStr">
        <is>
          <t>SW-DAMPER-122-FB10-BLADE</t>
        </is>
      </c>
      <c r="B666" t="inlineStr">
        <is>
          <t>SW-DAMPER-122</t>
        </is>
      </c>
      <c r="C666" t="inlineStr">
        <is>
          <t>Tấm chống cháy dày 10mm ốp 2 mặt cánh van FD/MFD</t>
        </is>
      </c>
      <c r="D666" t="inlineStr">
        <is>
          <t>VẬT_LIỆU_CÁCH_NHIỆT</t>
        </is>
      </c>
      <c r="E666" t="inlineStr">
        <is>
          <t>MAT-FIREBOARD-10MM-BLADE</t>
        </is>
      </c>
      <c r="F666" t="inlineStr">
        <is>
          <t>m2</t>
        </is>
      </c>
      <c r="G666" s="406" t="n">
        <v>0.045</v>
      </c>
      <c r="H666" s="402">
        <f>IFERROR(INDEX('00_TONG_HOP_BAO_GIA'!$G$1:$G$5000, MATCH(B666, '00_TONG_HOP_BAO_GIA'!$B$1:$B$5000, 0)), 1)</f>
        <v/>
      </c>
      <c r="I666" s="407">
        <f>G666*H666</f>
        <v/>
      </c>
      <c r="J666" s="402">
        <f>IFERROR(INDEX('06_BANG_GIA_VAT_TU_AP_DUNG'!$E$1:$E$5000, MATCH(E666, '06_BANG_GIA_VAT_TU_AP_DUNG'!$B$1:$B$5000, 0)), 0)</f>
        <v/>
      </c>
      <c r="K666" s="402">
        <f>I666*J666</f>
        <v/>
      </c>
      <c r="L666" t="inlineStr">
        <is>
          <t>Ốp 2 mặt cánh tấm 10mm (Cánh đơn 150x150mm)</t>
        </is>
      </c>
    </row>
    <row r="667">
      <c r="A667" t="inlineStr">
        <is>
          <t>SW-DAMPER-122-SPRING-BOX</t>
        </is>
      </c>
      <c r="B667" t="inlineStr">
        <is>
          <t>SW-DAMPER-122</t>
        </is>
      </c>
      <c r="C667" t="inlineStr">
        <is>
          <t>Hộp lò xo van chặn lửa FD/MFD</t>
        </is>
      </c>
      <c r="D667" t="inlineStr">
        <is>
          <t>PHỤ_KIỆN_VAN</t>
        </is>
      </c>
      <c r="E667" t="inlineStr">
        <is>
          <t>MAT-DAMPER-HOP-LO-XO</t>
        </is>
      </c>
      <c r="F667" t="inlineStr">
        <is>
          <t>Bộ</t>
        </is>
      </c>
      <c r="G667" s="406" t="n">
        <v>1</v>
      </c>
      <c r="H667" s="402">
        <f>IFERROR(INDEX('00_TONG_HOP_BAO_GIA'!$G$1:$G$5000, MATCH(B667, '00_TONG_HOP_BAO_GIA'!$B$1:$B$5000, 0)), 1)</f>
        <v/>
      </c>
      <c r="I667" s="407">
        <f>G667*H667</f>
        <v/>
      </c>
      <c r="J667" s="402">
        <f>IFERROR(INDEX('06_BANG_GIA_VAT_TU_AP_DUNG'!$E$1:$E$5000, MATCH(E667, '06_BANG_GIA_VAT_TU_AP_DUNG'!$B$1:$B$5000, 0)), 0)</f>
        <v/>
      </c>
      <c r="K667" s="402">
        <f>I667*J667</f>
        <v/>
      </c>
      <c r="L667" t="inlineStr">
        <is>
          <t>Hộp lò xo cơ cấu đóng sập (1 bộ)</t>
        </is>
      </c>
    </row>
    <row r="668">
      <c r="A668" t="inlineStr">
        <is>
          <t>SW-DAMPER-122-SILICON-BOLT</t>
        </is>
      </c>
      <c r="B668" t="inlineStr">
        <is>
          <t>SW-DAMPER-122</t>
        </is>
      </c>
      <c r="C668" t="inlineStr">
        <is>
          <t>Silicon chống cháy + bu lông, ốc vít van FD/MFD</t>
        </is>
      </c>
      <c r="D668" t="inlineStr">
        <is>
          <t>PHỤ_KIỆN_VAN</t>
        </is>
      </c>
      <c r="E668" t="inlineStr">
        <is>
          <t>MAT-DAMPER-SILICON-BULONG-VIT</t>
        </is>
      </c>
      <c r="F668" t="inlineStr">
        <is>
          <t>Bộ</t>
        </is>
      </c>
      <c r="G668" s="406" t="n">
        <v>1</v>
      </c>
      <c r="H668" s="402">
        <f>IFERROR(INDEX('00_TONG_HOP_BAO_GIA'!$G$1:$G$5000, MATCH(B668, '00_TONG_HOP_BAO_GIA'!$B$1:$B$5000, 0)), 1)</f>
        <v/>
      </c>
      <c r="I668" s="407">
        <f>G668*H668</f>
        <v/>
      </c>
      <c r="J668" s="402">
        <f>IFERROR(INDEX('06_BANG_GIA_VAT_TU_AP_DUNG'!$E$1:$E$5000, MATCH(E668, '06_BANG_GIA_VAT_TU_AP_DUNG'!$B$1:$B$5000, 0)), 0)</f>
        <v/>
      </c>
      <c r="K668" s="402">
        <f>I668*J668</f>
        <v/>
      </c>
      <c r="L668" t="inlineStr">
        <is>
          <t>Keo silicon chống cháy &amp; phụ kiện lắp ghép (1 bộ)</t>
        </is>
      </c>
    </row>
    <row r="669">
      <c r="A669" t="inlineStr">
        <is>
          <t>SW-DAMPER-123-BODY</t>
        </is>
      </c>
      <c r="B669" t="inlineStr">
        <is>
          <t>SW-DAMPER-123</t>
        </is>
      </c>
      <c r="C669" t="inlineStr">
        <is>
          <t>Thân vỏ van MFD bích C30/TDF (1.15mm)</t>
        </is>
      </c>
      <c r="D669" t="inlineStr">
        <is>
          <t>TÔN_CUỘN_MẠ_KẼM</t>
        </is>
      </c>
      <c r="E669" t="inlineStr">
        <is>
          <t>MAT-STEEL-PN-1.15</t>
        </is>
      </c>
      <c r="F669" t="inlineStr">
        <is>
          <t>kg</t>
        </is>
      </c>
      <c r="G669" s="406" t="n">
        <v>1.6379496</v>
      </c>
      <c r="H669" s="402">
        <f>IFERROR(INDEX('00_TONG_HOP_BAO_GIA'!$G$1:$G$5000, MATCH(B669, '00_TONG_HOP_BAO_GIA'!$B$1:$B$5000, 0)), 1)</f>
        <v/>
      </c>
      <c r="I669" s="407">
        <f>G669*H669</f>
        <v/>
      </c>
      <c r="J669" s="402">
        <f>IFERROR(INDEX('06_BANG_GIA_VAT_TU_AP_DUNG'!$E$1:$E$5000, MATCH(E669, '06_BANG_GIA_VAT_TU_AP_DUNG'!$B$1:$B$5000, 0)), 0)</f>
        <v/>
      </c>
      <c r="K669" s="402">
        <f>I669*J669</f>
        <v/>
      </c>
      <c r="L669" t="inlineStr">
        <is>
          <t>Kích thước vỏ 150x150x200mm</t>
        </is>
      </c>
    </row>
    <row r="670">
      <c r="A670" t="inlineStr">
        <is>
          <t>SW-DAMPER-123-BLADE</t>
        </is>
      </c>
      <c r="B670" t="inlineStr">
        <is>
          <t>SW-DAMPER-123</t>
        </is>
      </c>
      <c r="C670" t="inlineStr">
        <is>
          <t>Lá cánh / Tôn tấm bọc van (1 cánh)</t>
        </is>
      </c>
      <c r="D670" t="inlineStr">
        <is>
          <t>TÔN_CUỘN_MẠ_KẼM</t>
        </is>
      </c>
      <c r="E670" t="inlineStr">
        <is>
          <t>MAT-STEEL-PN-1.15</t>
        </is>
      </c>
      <c r="F670" t="inlineStr">
        <is>
          <t>kg</t>
        </is>
      </c>
      <c r="G670" s="406" t="n">
        <v>0.4062374999999999</v>
      </c>
      <c r="H670" s="402">
        <f>IFERROR(INDEX('00_TONG_HOP_BAO_GIA'!$G$1:$G$5000, MATCH(B670, '00_TONG_HOP_BAO_GIA'!$B$1:$B$5000, 0)), 1)</f>
        <v/>
      </c>
      <c r="I670" s="407">
        <f>G670*H670</f>
        <v/>
      </c>
      <c r="J670" s="402">
        <f>IFERROR(INDEX('06_BANG_GIA_VAT_TU_AP_DUNG'!$E$1:$E$5000, MATCH(E670, '06_BANG_GIA_VAT_TU_AP_DUNG'!$B$1:$B$5000, 0)), 0)</f>
        <v/>
      </c>
      <c r="K670" s="402">
        <f>I670*J670</f>
        <v/>
      </c>
      <c r="L670" t="inlineStr">
        <is>
          <t>Tôn bọc cánh &amp; thân (1 cánh/modul)</t>
        </is>
      </c>
    </row>
    <row r="671">
      <c r="A671" t="inlineStr">
        <is>
          <t>SW-DAMPER-123-AXLE</t>
        </is>
      </c>
      <c r="B671" t="inlineStr">
        <is>
          <t>SW-DAMPER-123</t>
        </is>
      </c>
      <c r="C671" t="inlineStr">
        <is>
          <t>Trục Sus 201 D10</t>
        </is>
      </c>
      <c r="D671" t="inlineStr">
        <is>
          <t>PHỤ_KIỆN_VAN</t>
        </is>
      </c>
      <c r="E671" t="inlineStr">
        <is>
          <t>MAT-DAMPER-TRUC-SUS-201-D10</t>
        </is>
      </c>
      <c r="F671" t="inlineStr">
        <is>
          <t>m</t>
        </is>
      </c>
      <c r="G671" s="406" t="n">
        <v>0.21</v>
      </c>
      <c r="H671" s="402">
        <f>IFERROR(INDEX('00_TONG_HOP_BAO_GIA'!$G$1:$G$5000, MATCH(B671, '00_TONG_HOP_BAO_GIA'!$B$1:$B$5000, 0)), 1)</f>
        <v/>
      </c>
      <c r="I671" s="407">
        <f>G671*H671</f>
        <v/>
      </c>
      <c r="J671" s="402">
        <f>IFERROR(INDEX('06_BANG_GIA_VAT_TU_AP_DUNG'!$E$1:$E$5000, MATCH(E671, '06_BANG_GIA_VAT_TU_AP_DUNG'!$B$1:$B$5000, 0)), 0)</f>
        <v/>
      </c>
      <c r="K671" s="402">
        <f>I671*J671</f>
        <v/>
      </c>
      <c r="L671" t="inlineStr">
        <is>
          <t>1 trục dài 210mm</t>
        </is>
      </c>
    </row>
    <row r="672">
      <c r="A672" t="inlineStr">
        <is>
          <t>SW-DAMPER-123-BEARING</t>
        </is>
      </c>
      <c r="B672" t="inlineStr">
        <is>
          <t>SW-DAMPER-123</t>
        </is>
      </c>
      <c r="C672" t="inlineStr">
        <is>
          <t>Bạc đồng D10</t>
        </is>
      </c>
      <c r="D672" t="inlineStr">
        <is>
          <t>PHỤ_KIỆN_VAN</t>
        </is>
      </c>
      <c r="E672" t="inlineStr">
        <is>
          <t>MAT-DAMPER-BAC-DONG-D10</t>
        </is>
      </c>
      <c r="F672" t="inlineStr">
        <is>
          <t>Đôi</t>
        </is>
      </c>
      <c r="G672" s="406" t="n">
        <v>1</v>
      </c>
      <c r="H672" s="402">
        <f>IFERROR(INDEX('00_TONG_HOP_BAO_GIA'!$G$1:$G$5000, MATCH(B672, '00_TONG_HOP_BAO_GIA'!$B$1:$B$5000, 0)), 1)</f>
        <v/>
      </c>
      <c r="I672" s="407">
        <f>G672*H672</f>
        <v/>
      </c>
      <c r="J672" s="402">
        <f>IFERROR(INDEX('06_BANG_GIA_VAT_TU_AP_DUNG'!$E$1:$E$5000, MATCH(E672, '06_BANG_GIA_VAT_TU_AP_DUNG'!$B$1:$B$5000, 0)), 0)</f>
        <v/>
      </c>
      <c r="K672" s="402">
        <f>I672*J672</f>
        <v/>
      </c>
      <c r="L672" t="inlineStr">
        <is>
          <t>1 đôi bạc đỡ 2 bên thân</t>
        </is>
      </c>
    </row>
    <row r="673">
      <c r="A673" t="inlineStr">
        <is>
          <t>SW-DAMPER-123-ACTUATOR</t>
        </is>
      </c>
      <c r="B673" t="inlineStr">
        <is>
          <t>SW-DAMPER-123</t>
        </is>
      </c>
      <c r="C673" t="inlineStr">
        <is>
          <t>Động cơ chặn lửa ON/OFF 3.5Nm, 230V/24V (BELIMO FSLF24 / FSLF230)</t>
        </is>
      </c>
      <c r="D673" t="inlineStr">
        <is>
          <t>ĐỘNG_CƠ_VÀ_CẢM_BIẾN</t>
        </is>
      </c>
      <c r="E673" t="inlineStr">
        <is>
          <t>MAT-ACTUATOR-BELIMO-FSLF24</t>
        </is>
      </c>
      <c r="F673" t="inlineStr">
        <is>
          <t>Cái</t>
        </is>
      </c>
      <c r="G673" s="406" t="n">
        <v>1</v>
      </c>
      <c r="H673" s="402">
        <f>IFERROR(INDEX('00_TONG_HOP_BAO_GIA'!$G$1:$G$5000, MATCH(B673, '00_TONG_HOP_BAO_GIA'!$B$1:$B$5000, 0)), 1)</f>
        <v/>
      </c>
      <c r="I673" s="407">
        <f>G673*H673</f>
        <v/>
      </c>
      <c r="J673" s="402">
        <f>IFERROR(INDEX('06_BANG_GIA_VAT_TU_AP_DUNG'!$E$1:$E$5000, MATCH(E673, '06_BANG_GIA_VAT_TU_AP_DUNG'!$B$1:$B$5000, 0)), 0)</f>
        <v/>
      </c>
      <c r="K673" s="402">
        <f>I673*J673</f>
        <v/>
      </c>
      <c r="L673" t="inlineStr">
        <is>
          <t>Động cơ lò xo phản hồi MFD (1 bộ)</t>
        </is>
      </c>
    </row>
    <row r="674">
      <c r="A674" t="inlineStr">
        <is>
          <t>SW-DAMPER-123-FB10-BODY</t>
        </is>
      </c>
      <c r="B674" t="inlineStr">
        <is>
          <t>SW-DAMPER-123</t>
        </is>
      </c>
      <c r="C674" t="inlineStr">
        <is>
          <t>Tấm chống cháy dày 10mm bọc thân van FD/MFD (2 lớp)</t>
        </is>
      </c>
      <c r="D674" t="inlineStr">
        <is>
          <t>VẬT_LIỆU_CÁCH_NHIỆT</t>
        </is>
      </c>
      <c r="E674" t="inlineStr">
        <is>
          <t>MAT-FIREBOARD-10MM-BODY</t>
        </is>
      </c>
      <c r="F674" t="inlineStr">
        <is>
          <t>m2</t>
        </is>
      </c>
      <c r="G674" s="406" t="n">
        <v>0.36</v>
      </c>
      <c r="H674" s="402">
        <f>IFERROR(INDEX('00_TONG_HOP_BAO_GIA'!$G$1:$G$5000, MATCH(B674, '00_TONG_HOP_BAO_GIA'!$B$1:$B$5000, 0)), 1)</f>
        <v/>
      </c>
      <c r="I674" s="407">
        <f>G674*H674</f>
        <v/>
      </c>
      <c r="J674" s="402">
        <f>IFERROR(INDEX('06_BANG_GIA_VAT_TU_AP_DUNG'!$E$1:$E$5000, MATCH(E674, '06_BANG_GIA_VAT_TU_AP_DUNG'!$B$1:$B$5000, 0)), 0)</f>
        <v/>
      </c>
      <c r="K674" s="402">
        <f>I674*J674</f>
        <v/>
      </c>
      <c r="L674" t="inlineStr">
        <is>
          <t>Bọc 2 lớp tấm 10mm quanh thân L=300mm</t>
        </is>
      </c>
    </row>
    <row r="675">
      <c r="A675" t="inlineStr">
        <is>
          <t>SW-DAMPER-123-FB20-BLADE</t>
        </is>
      </c>
      <c r="B675" t="inlineStr">
        <is>
          <t>SW-DAMPER-123</t>
        </is>
      </c>
      <c r="C675" t="inlineStr">
        <is>
          <t>Tấm chống cháy dày 20mm làm lõi cánh van FD/MFD</t>
        </is>
      </c>
      <c r="D675" t="inlineStr">
        <is>
          <t>VẬT_LIỆU_CÁCH_NHIỆT</t>
        </is>
      </c>
      <c r="E675" t="inlineStr">
        <is>
          <t>MAT-FIREBOARD-20MM-BLADE</t>
        </is>
      </c>
      <c r="F675" t="inlineStr">
        <is>
          <t>m2</t>
        </is>
      </c>
      <c r="G675" s="406" t="n">
        <v>0.0225</v>
      </c>
      <c r="H675" s="402">
        <f>IFERROR(INDEX('00_TONG_HOP_BAO_GIA'!$G$1:$G$5000, MATCH(B675, '00_TONG_HOP_BAO_GIA'!$B$1:$B$5000, 0)), 1)</f>
        <v/>
      </c>
      <c r="I675" s="407">
        <f>G675*H675</f>
        <v/>
      </c>
      <c r="J675" s="402">
        <f>IFERROR(INDEX('06_BANG_GIA_VAT_TU_AP_DUNG'!$E$1:$E$5000, MATCH(E675, '06_BANG_GIA_VAT_TU_AP_DUNG'!$B$1:$B$5000, 0)), 0)</f>
        <v/>
      </c>
      <c r="K675" s="402">
        <f>I675*J675</f>
        <v/>
      </c>
      <c r="L675" t="inlineStr">
        <is>
          <t>Lõi cánh tấm 20mm (Cánh đơn 150x150mm)</t>
        </is>
      </c>
    </row>
    <row r="676">
      <c r="A676" t="inlineStr">
        <is>
          <t>SW-DAMPER-123-FB10-BLADE</t>
        </is>
      </c>
      <c r="B676" t="inlineStr">
        <is>
          <t>SW-DAMPER-123</t>
        </is>
      </c>
      <c r="C676" t="inlineStr">
        <is>
          <t>Tấm chống cháy dày 10mm ốp 2 mặt cánh van FD/MFD</t>
        </is>
      </c>
      <c r="D676" t="inlineStr">
        <is>
          <t>VẬT_LIỆU_CÁCH_NHIỆT</t>
        </is>
      </c>
      <c r="E676" t="inlineStr">
        <is>
          <t>MAT-FIREBOARD-10MM-BLADE</t>
        </is>
      </c>
      <c r="F676" t="inlineStr">
        <is>
          <t>m2</t>
        </is>
      </c>
      <c r="G676" s="406" t="n">
        <v>0.045</v>
      </c>
      <c r="H676" s="402">
        <f>IFERROR(INDEX('00_TONG_HOP_BAO_GIA'!$G$1:$G$5000, MATCH(B676, '00_TONG_HOP_BAO_GIA'!$B$1:$B$5000, 0)), 1)</f>
        <v/>
      </c>
      <c r="I676" s="407">
        <f>G676*H676</f>
        <v/>
      </c>
      <c r="J676" s="402">
        <f>IFERROR(INDEX('06_BANG_GIA_VAT_TU_AP_DUNG'!$E$1:$E$5000, MATCH(E676, '06_BANG_GIA_VAT_TU_AP_DUNG'!$B$1:$B$5000, 0)), 0)</f>
        <v/>
      </c>
      <c r="K676" s="402">
        <f>I676*J676</f>
        <v/>
      </c>
      <c r="L676" t="inlineStr">
        <is>
          <t>Ốp 2 mặt cánh tấm 10mm (Cánh đơn 150x150mm)</t>
        </is>
      </c>
    </row>
    <row r="677">
      <c r="A677" t="inlineStr">
        <is>
          <t>SW-DAMPER-123-SPRING-BOX</t>
        </is>
      </c>
      <c r="B677" t="inlineStr">
        <is>
          <t>SW-DAMPER-123</t>
        </is>
      </c>
      <c r="C677" t="inlineStr">
        <is>
          <t>Hộp lò xo van chặn lửa FD/MFD</t>
        </is>
      </c>
      <c r="D677" t="inlineStr">
        <is>
          <t>PHỤ_KIỆN_VAN</t>
        </is>
      </c>
      <c r="E677" t="inlineStr">
        <is>
          <t>MAT-DAMPER-HOP-LO-XO</t>
        </is>
      </c>
      <c r="F677" t="inlineStr">
        <is>
          <t>Bộ</t>
        </is>
      </c>
      <c r="G677" s="406" t="n">
        <v>1</v>
      </c>
      <c r="H677" s="402">
        <f>IFERROR(INDEX('00_TONG_HOP_BAO_GIA'!$G$1:$G$5000, MATCH(B677, '00_TONG_HOP_BAO_GIA'!$B$1:$B$5000, 0)), 1)</f>
        <v/>
      </c>
      <c r="I677" s="407">
        <f>G677*H677</f>
        <v/>
      </c>
      <c r="J677" s="402">
        <f>IFERROR(INDEX('06_BANG_GIA_VAT_TU_AP_DUNG'!$E$1:$E$5000, MATCH(E677, '06_BANG_GIA_VAT_TU_AP_DUNG'!$B$1:$B$5000, 0)), 0)</f>
        <v/>
      </c>
      <c r="K677" s="402">
        <f>I677*J677</f>
        <v/>
      </c>
      <c r="L677" t="inlineStr">
        <is>
          <t>Hộp lò xo cơ cấu đóng sập (1 bộ)</t>
        </is>
      </c>
    </row>
    <row r="678">
      <c r="A678" t="inlineStr">
        <is>
          <t>SW-DAMPER-123-SILICON-BOLT</t>
        </is>
      </c>
      <c r="B678" t="inlineStr">
        <is>
          <t>SW-DAMPER-123</t>
        </is>
      </c>
      <c r="C678" t="inlineStr">
        <is>
          <t>Silicon chống cháy + bu lông, ốc vít van FD/MFD</t>
        </is>
      </c>
      <c r="D678" t="inlineStr">
        <is>
          <t>PHỤ_KIỆN_VAN</t>
        </is>
      </c>
      <c r="E678" t="inlineStr">
        <is>
          <t>MAT-DAMPER-SILICON-BULONG-VIT</t>
        </is>
      </c>
      <c r="F678" t="inlineStr">
        <is>
          <t>Bộ</t>
        </is>
      </c>
      <c r="G678" s="406" t="n">
        <v>1</v>
      </c>
      <c r="H678" s="402">
        <f>IFERROR(INDEX('00_TONG_HOP_BAO_GIA'!$G$1:$G$5000, MATCH(B678, '00_TONG_HOP_BAO_GIA'!$B$1:$B$5000, 0)), 1)</f>
        <v/>
      </c>
      <c r="I678" s="407">
        <f>G678*H678</f>
        <v/>
      </c>
      <c r="J678" s="402">
        <f>IFERROR(INDEX('06_BANG_GIA_VAT_TU_AP_DUNG'!$E$1:$E$5000, MATCH(E678, '06_BANG_GIA_VAT_TU_AP_DUNG'!$B$1:$B$5000, 0)), 0)</f>
        <v/>
      </c>
      <c r="K678" s="402">
        <f>I678*J678</f>
        <v/>
      </c>
      <c r="L678" t="inlineStr">
        <is>
          <t>Keo silicon chống cháy &amp; phụ kiện lắp ghép (1 bộ)</t>
        </is>
      </c>
    </row>
    <row r="679">
      <c r="A679" t="inlineStr">
        <is>
          <t>SW-DAMPER-124-BODY</t>
        </is>
      </c>
      <c r="B679" t="inlineStr">
        <is>
          <t>SW-DAMPER-124</t>
        </is>
      </c>
      <c r="C679" t="inlineStr">
        <is>
          <t>Thân vỏ van MFD bích C30/TDF (1.15mm)</t>
        </is>
      </c>
      <c r="D679" t="inlineStr">
        <is>
          <t>TÔN_CUỘN_MẠ_KẼM</t>
        </is>
      </c>
      <c r="E679" t="inlineStr">
        <is>
          <t>MAT-STEEL-PN-1.15</t>
        </is>
      </c>
      <c r="F679" t="inlineStr">
        <is>
          <t>kg</t>
        </is>
      </c>
      <c r="G679" s="406" t="n">
        <v>3.941316225</v>
      </c>
      <c r="H679" s="402">
        <f>IFERROR(INDEX('00_TONG_HOP_BAO_GIA'!$G$1:$G$5000, MATCH(B679, '00_TONG_HOP_BAO_GIA'!$B$1:$B$5000, 0)), 1)</f>
        <v/>
      </c>
      <c r="I679" s="407">
        <f>G679*H679</f>
        <v/>
      </c>
      <c r="J679" s="402">
        <f>IFERROR(INDEX('06_BANG_GIA_VAT_TU_AP_DUNG'!$E$1:$E$5000, MATCH(E679, '06_BANG_GIA_VAT_TU_AP_DUNG'!$B$1:$B$5000, 0)), 0)</f>
        <v/>
      </c>
      <c r="K679" s="402">
        <f>I679*J679</f>
        <v/>
      </c>
      <c r="L679" t="inlineStr">
        <is>
          <t>Kích thước vỏ 450x300x200mm</t>
        </is>
      </c>
    </row>
    <row r="680">
      <c r="A680" t="inlineStr">
        <is>
          <t>SW-DAMPER-124-BLADE</t>
        </is>
      </c>
      <c r="B680" t="inlineStr">
        <is>
          <t>SW-DAMPER-124</t>
        </is>
      </c>
      <c r="C680" t="inlineStr">
        <is>
          <t>Lá cánh / Tôn tấm bọc van (2 cánh)</t>
        </is>
      </c>
      <c r="D680" t="inlineStr">
        <is>
          <t>TÔN_CUỘN_MẠ_KẼM</t>
        </is>
      </c>
      <c r="E680" t="inlineStr">
        <is>
          <t>MAT-STEEL-PN-1.15</t>
        </is>
      </c>
      <c r="F680" t="inlineStr">
        <is>
          <t>kg</t>
        </is>
      </c>
      <c r="G680" s="406" t="n">
        <v>2.437425</v>
      </c>
      <c r="H680" s="402">
        <f>IFERROR(INDEX('00_TONG_HOP_BAO_GIA'!$G$1:$G$5000, MATCH(B680, '00_TONG_HOP_BAO_GIA'!$B$1:$B$5000, 0)), 1)</f>
        <v/>
      </c>
      <c r="I680" s="407">
        <f>G680*H680</f>
        <v/>
      </c>
      <c r="J680" s="402">
        <f>IFERROR(INDEX('06_BANG_GIA_VAT_TU_AP_DUNG'!$E$1:$E$5000, MATCH(E680, '06_BANG_GIA_VAT_TU_AP_DUNG'!$B$1:$B$5000, 0)), 0)</f>
        <v/>
      </c>
      <c r="K680" s="402">
        <f>I680*J680</f>
        <v/>
      </c>
      <c r="L680" t="inlineStr">
        <is>
          <t>Tôn bọc cánh &amp; thân (2 cánh/modul)</t>
        </is>
      </c>
    </row>
    <row r="681">
      <c r="A681" t="inlineStr">
        <is>
          <t>SW-DAMPER-124-AXLE</t>
        </is>
      </c>
      <c r="B681" t="inlineStr">
        <is>
          <t>SW-DAMPER-124</t>
        </is>
      </c>
      <c r="C681" t="inlineStr">
        <is>
          <t>Trục Sus 201 D10</t>
        </is>
      </c>
      <c r="D681" t="inlineStr">
        <is>
          <t>PHỤ_KIỆN_VAN</t>
        </is>
      </c>
      <c r="E681" t="inlineStr">
        <is>
          <t>MAT-DAMPER-TRUC-SUS-201-D10</t>
        </is>
      </c>
      <c r="F681" t="inlineStr">
        <is>
          <t>m</t>
        </is>
      </c>
      <c r="G681" s="406" t="n">
        <v>1.02</v>
      </c>
      <c r="H681" s="402">
        <f>IFERROR(INDEX('00_TONG_HOP_BAO_GIA'!$G$1:$G$5000, MATCH(B681, '00_TONG_HOP_BAO_GIA'!$B$1:$B$5000, 0)), 1)</f>
        <v/>
      </c>
      <c r="I681" s="407">
        <f>G681*H681</f>
        <v/>
      </c>
      <c r="J681" s="402">
        <f>IFERROR(INDEX('06_BANG_GIA_VAT_TU_AP_DUNG'!$E$1:$E$5000, MATCH(E681, '06_BANG_GIA_VAT_TU_AP_DUNG'!$B$1:$B$5000, 0)), 0)</f>
        <v/>
      </c>
      <c r="K681" s="402">
        <f>I681*J681</f>
        <v/>
      </c>
      <c r="L681" t="inlineStr">
        <is>
          <t>2 trục dài 510mm</t>
        </is>
      </c>
    </row>
    <row r="682">
      <c r="A682" t="inlineStr">
        <is>
          <t>SW-DAMPER-124-BEARING</t>
        </is>
      </c>
      <c r="B682" t="inlineStr">
        <is>
          <t>SW-DAMPER-124</t>
        </is>
      </c>
      <c r="C682" t="inlineStr">
        <is>
          <t>Bạc đồng D10</t>
        </is>
      </c>
      <c r="D682" t="inlineStr">
        <is>
          <t>PHỤ_KIỆN_VAN</t>
        </is>
      </c>
      <c r="E682" t="inlineStr">
        <is>
          <t>MAT-DAMPER-BAC-DONG-D10</t>
        </is>
      </c>
      <c r="F682" t="inlineStr">
        <is>
          <t>Đôi</t>
        </is>
      </c>
      <c r="G682" s="406" t="n">
        <v>2</v>
      </c>
      <c r="H682" s="402">
        <f>IFERROR(INDEX('00_TONG_HOP_BAO_GIA'!$G$1:$G$5000, MATCH(B682, '00_TONG_HOP_BAO_GIA'!$B$1:$B$5000, 0)), 1)</f>
        <v/>
      </c>
      <c r="I682" s="407">
        <f>G682*H682</f>
        <v/>
      </c>
      <c r="J682" s="402">
        <f>IFERROR(INDEX('06_BANG_GIA_VAT_TU_AP_DUNG'!$E$1:$E$5000, MATCH(E682, '06_BANG_GIA_VAT_TU_AP_DUNG'!$B$1:$B$5000, 0)), 0)</f>
        <v/>
      </c>
      <c r="K682" s="402">
        <f>I682*J682</f>
        <v/>
      </c>
      <c r="L682" t="inlineStr">
        <is>
          <t>2 đôi bạc đỡ 2 bên thân</t>
        </is>
      </c>
    </row>
    <row r="683">
      <c r="A683" t="inlineStr">
        <is>
          <t>SW-DAMPER-124-GEAR</t>
        </is>
      </c>
      <c r="B683" t="inlineStr">
        <is>
          <t>SW-DAMPER-124</t>
        </is>
      </c>
      <c r="C683" t="inlineStr">
        <is>
          <t>Bánh răng van nhôm</t>
        </is>
      </c>
      <c r="D683" t="inlineStr">
        <is>
          <t>PHỤ_KIỆN_VAN</t>
        </is>
      </c>
      <c r="E683" t="inlineStr">
        <is>
          <t>MAT-DAMPER-BANH-RANG-VAN-NHOM</t>
        </is>
      </c>
      <c r="F683" t="inlineStr">
        <is>
          <t>Bộ</t>
        </is>
      </c>
      <c r="G683" s="406" t="n">
        <v>1</v>
      </c>
      <c r="H683" s="402">
        <f>IFERROR(INDEX('00_TONG_HOP_BAO_GIA'!$G$1:$G$5000, MATCH(B683, '00_TONG_HOP_BAO_GIA'!$B$1:$B$5000, 0)), 1)</f>
        <v/>
      </c>
      <c r="I683" s="407">
        <f>G683*H683</f>
        <v/>
      </c>
      <c r="J683" s="402">
        <f>IFERROR(INDEX('06_BANG_GIA_VAT_TU_AP_DUNG'!$E$1:$E$5000, MATCH(E683, '06_BANG_GIA_VAT_TU_AP_DUNG'!$B$1:$B$5000, 0)), 0)</f>
        <v/>
      </c>
      <c r="K683" s="402">
        <f>I683*J683</f>
        <v/>
      </c>
      <c r="L683" t="inlineStr">
        <is>
          <t>Cơ cấu liên động cánh (1 bộ)</t>
        </is>
      </c>
    </row>
    <row r="684">
      <c r="A684" t="inlineStr">
        <is>
          <t>SW-DAMPER-124-ACTUATOR</t>
        </is>
      </c>
      <c r="B684" t="inlineStr">
        <is>
          <t>SW-DAMPER-124</t>
        </is>
      </c>
      <c r="C684" t="inlineStr">
        <is>
          <t>Động cơ chặn lửa ON/OFF 9Nm, 230V/24V (BELIMO BFN24 / BFN230)</t>
        </is>
      </c>
      <c r="D684" t="inlineStr">
        <is>
          <t>ĐỘNG_CƠ_VÀ_CẢM_BIẾN</t>
        </is>
      </c>
      <c r="E684" t="inlineStr">
        <is>
          <t>MAT-ACTUATOR-BELIMO-BFN24</t>
        </is>
      </c>
      <c r="F684" t="inlineStr">
        <is>
          <t>Cái</t>
        </is>
      </c>
      <c r="G684" s="406" t="n">
        <v>1</v>
      </c>
      <c r="H684" s="402">
        <f>IFERROR(INDEX('00_TONG_HOP_BAO_GIA'!$G$1:$G$5000, MATCH(B684, '00_TONG_HOP_BAO_GIA'!$B$1:$B$5000, 0)), 1)</f>
        <v/>
      </c>
      <c r="I684" s="407">
        <f>G684*H684</f>
        <v/>
      </c>
      <c r="J684" s="402">
        <f>IFERROR(INDEX('06_BANG_GIA_VAT_TU_AP_DUNG'!$E$1:$E$5000, MATCH(E684, '06_BANG_GIA_VAT_TU_AP_DUNG'!$B$1:$B$5000, 0)), 0)</f>
        <v/>
      </c>
      <c r="K684" s="402">
        <f>I684*J684</f>
        <v/>
      </c>
      <c r="L684" t="inlineStr">
        <is>
          <t>Động cơ lò xo phản hồi MFD (1 bộ)</t>
        </is>
      </c>
    </row>
    <row r="685">
      <c r="A685" t="inlineStr">
        <is>
          <t>SW-DAMPER-124-FB10-BODY</t>
        </is>
      </c>
      <c r="B685" t="inlineStr">
        <is>
          <t>SW-DAMPER-124</t>
        </is>
      </c>
      <c r="C685" t="inlineStr">
        <is>
          <t>Tấm chống cháy dày 10mm bọc thân van FD/MFD (2 lớp)</t>
        </is>
      </c>
      <c r="D685" t="inlineStr">
        <is>
          <t>VẬT_LIỆU_CÁCH_NHIỆT</t>
        </is>
      </c>
      <c r="E685" t="inlineStr">
        <is>
          <t>MAT-FIREBOARD-10MM-BODY</t>
        </is>
      </c>
      <c r="F685" t="inlineStr">
        <is>
          <t>m2</t>
        </is>
      </c>
      <c r="G685" s="406" t="n">
        <v>0.9</v>
      </c>
      <c r="H685" s="402">
        <f>IFERROR(INDEX('00_TONG_HOP_BAO_GIA'!$G$1:$G$5000, MATCH(B685, '00_TONG_HOP_BAO_GIA'!$B$1:$B$5000, 0)), 1)</f>
        <v/>
      </c>
      <c r="I685" s="407">
        <f>G685*H685</f>
        <v/>
      </c>
      <c r="J685" s="402">
        <f>IFERROR(INDEX('06_BANG_GIA_VAT_TU_AP_DUNG'!$E$1:$E$5000, MATCH(E685, '06_BANG_GIA_VAT_TU_AP_DUNG'!$B$1:$B$5000, 0)), 0)</f>
        <v/>
      </c>
      <c r="K685" s="402">
        <f>I685*J685</f>
        <v/>
      </c>
      <c r="L685" t="inlineStr">
        <is>
          <t>Bọc 2 lớp tấm 10mm quanh thân L=300mm</t>
        </is>
      </c>
    </row>
    <row r="686">
      <c r="A686" t="inlineStr">
        <is>
          <t>SW-DAMPER-124-FB20-BLADE</t>
        </is>
      </c>
      <c r="B686" t="inlineStr">
        <is>
          <t>SW-DAMPER-124</t>
        </is>
      </c>
      <c r="C686" t="inlineStr">
        <is>
          <t>Tấm chống cháy dày 20mm làm lõi cánh van FD/MFD</t>
        </is>
      </c>
      <c r="D686" t="inlineStr">
        <is>
          <t>VẬT_LIỆU_CÁCH_NHIỆT</t>
        </is>
      </c>
      <c r="E686" t="inlineStr">
        <is>
          <t>MAT-FIREBOARD-20MM-BLADE</t>
        </is>
      </c>
      <c r="F686" t="inlineStr">
        <is>
          <t>m2</t>
        </is>
      </c>
      <c r="G686" s="406" t="n">
        <v>0.196660067114094</v>
      </c>
      <c r="H686" s="402">
        <f>IFERROR(INDEX('00_TONG_HOP_BAO_GIA'!$G$1:$G$5000, MATCH(B686, '00_TONG_HOP_BAO_GIA'!$B$1:$B$5000, 0)), 1)</f>
        <v/>
      </c>
      <c r="I686" s="407">
        <f>G686*H686</f>
        <v/>
      </c>
      <c r="J686" s="402">
        <f>IFERROR(INDEX('06_BANG_GIA_VAT_TU_AP_DUNG'!$E$1:$E$5000, MATCH(E686, '06_BANG_GIA_VAT_TU_AP_DUNG'!$B$1:$B$5000, 0)), 0)</f>
        <v/>
      </c>
      <c r="K686" s="402">
        <f>I686*J686</f>
        <v/>
      </c>
      <c r="L686" t="inlineStr">
        <is>
          <t>Lõi cánh tấm 20mm (Đa cánh hệ số (H-5)/149=1.98, bản rộng 210mm, hao hụt 10%)</t>
        </is>
      </c>
    </row>
    <row r="687">
      <c r="A687" t="inlineStr">
        <is>
          <t>SW-DAMPER-124-FB10-BLADE</t>
        </is>
      </c>
      <c r="B687" t="inlineStr">
        <is>
          <t>SW-DAMPER-124</t>
        </is>
      </c>
      <c r="C687" t="inlineStr">
        <is>
          <t>Tấm chống cháy dày 10mm ốp 2 mặt cánh van FD/MFD</t>
        </is>
      </c>
      <c r="D687" t="inlineStr">
        <is>
          <t>VẬT_LIỆU_CÁCH_NHIỆT</t>
        </is>
      </c>
      <c r="E687" t="inlineStr">
        <is>
          <t>MAT-FIREBOARD-10MM-BLADE</t>
        </is>
      </c>
      <c r="F687" t="inlineStr">
        <is>
          <t>m2</t>
        </is>
      </c>
      <c r="G687" s="406" t="n">
        <v>0.4116140939597316</v>
      </c>
      <c r="H687" s="402">
        <f>IFERROR(INDEX('00_TONG_HOP_BAO_GIA'!$G$1:$G$5000, MATCH(B687, '00_TONG_HOP_BAO_GIA'!$B$1:$B$5000, 0)), 1)</f>
        <v/>
      </c>
      <c r="I687" s="407">
        <f>G687*H687</f>
        <v/>
      </c>
      <c r="J687" s="402">
        <f>IFERROR(INDEX('06_BANG_GIA_VAT_TU_AP_DUNG'!$E$1:$E$5000, MATCH(E687, '06_BANG_GIA_VAT_TU_AP_DUNG'!$B$1:$B$5000, 0)), 0)</f>
        <v/>
      </c>
      <c r="K687" s="402">
        <f>I687*J687</f>
        <v/>
      </c>
      <c r="L687" t="inlineStr">
        <is>
          <t>Ốp 2 mặt cánh tấm 10mm (Đa cánh hệ số (H-5)/149=1.98, bản rộng 210mm, hao hụt 10%)</t>
        </is>
      </c>
    </row>
    <row r="688">
      <c r="A688" t="inlineStr">
        <is>
          <t>SW-DAMPER-124-SPRING-BOX</t>
        </is>
      </c>
      <c r="B688" t="inlineStr">
        <is>
          <t>SW-DAMPER-124</t>
        </is>
      </c>
      <c r="C688" t="inlineStr">
        <is>
          <t>Hộp lò xo van chặn lửa FD/MFD</t>
        </is>
      </c>
      <c r="D688" t="inlineStr">
        <is>
          <t>PHỤ_KIỆN_VAN</t>
        </is>
      </c>
      <c r="E688" t="inlineStr">
        <is>
          <t>MAT-DAMPER-HOP-LO-XO</t>
        </is>
      </c>
      <c r="F688" t="inlineStr">
        <is>
          <t>Bộ</t>
        </is>
      </c>
      <c r="G688" s="406" t="n">
        <v>1</v>
      </c>
      <c r="H688" s="402">
        <f>IFERROR(INDEX('00_TONG_HOP_BAO_GIA'!$G$1:$G$5000, MATCH(B688, '00_TONG_HOP_BAO_GIA'!$B$1:$B$5000, 0)), 1)</f>
        <v/>
      </c>
      <c r="I688" s="407">
        <f>G688*H688</f>
        <v/>
      </c>
      <c r="J688" s="402">
        <f>IFERROR(INDEX('06_BANG_GIA_VAT_TU_AP_DUNG'!$E$1:$E$5000, MATCH(E688, '06_BANG_GIA_VAT_TU_AP_DUNG'!$B$1:$B$5000, 0)), 0)</f>
        <v/>
      </c>
      <c r="K688" s="402">
        <f>I688*J688</f>
        <v/>
      </c>
      <c r="L688" t="inlineStr">
        <is>
          <t>Hộp lò xo cơ cấu đóng sập (1 bộ)</t>
        </is>
      </c>
    </row>
    <row r="689">
      <c r="A689" t="inlineStr">
        <is>
          <t>SW-DAMPER-124-SILICON-BOLT</t>
        </is>
      </c>
      <c r="B689" t="inlineStr">
        <is>
          <t>SW-DAMPER-124</t>
        </is>
      </c>
      <c r="C689" t="inlineStr">
        <is>
          <t>Silicon chống cháy + bu lông, ốc vít van FD/MFD</t>
        </is>
      </c>
      <c r="D689" t="inlineStr">
        <is>
          <t>PHỤ_KIỆN_VAN</t>
        </is>
      </c>
      <c r="E689" t="inlineStr">
        <is>
          <t>MAT-DAMPER-SILICON-BULONG-VIT</t>
        </is>
      </c>
      <c r="F689" t="inlineStr">
        <is>
          <t>Bộ</t>
        </is>
      </c>
      <c r="G689" s="406" t="n">
        <v>1</v>
      </c>
      <c r="H689" s="402">
        <f>IFERROR(INDEX('00_TONG_HOP_BAO_GIA'!$G$1:$G$5000, MATCH(B689, '00_TONG_HOP_BAO_GIA'!$B$1:$B$5000, 0)), 1)</f>
        <v/>
      </c>
      <c r="I689" s="407">
        <f>G689*H689</f>
        <v/>
      </c>
      <c r="J689" s="402">
        <f>IFERROR(INDEX('06_BANG_GIA_VAT_TU_AP_DUNG'!$E$1:$E$5000, MATCH(E689, '06_BANG_GIA_VAT_TU_AP_DUNG'!$B$1:$B$5000, 0)), 0)</f>
        <v/>
      </c>
      <c r="K689" s="402">
        <f>I689*J689</f>
        <v/>
      </c>
      <c r="L689" t="inlineStr">
        <is>
          <t>Keo silicon chống cháy &amp; phụ kiện lắp ghép (1 bộ)</t>
        </is>
      </c>
    </row>
    <row r="690">
      <c r="A690" t="inlineStr">
        <is>
          <t>SW-DAMPER-125-BODY</t>
        </is>
      </c>
      <c r="B690" t="inlineStr">
        <is>
          <t>SW-DAMPER-125</t>
        </is>
      </c>
      <c r="C690" t="inlineStr">
        <is>
          <t>Thân vỏ van FD bích C30/TDF (1.15mm)</t>
        </is>
      </c>
      <c r="D690" t="inlineStr">
        <is>
          <t>TÔN_CUỘN_MẠ_KẼM</t>
        </is>
      </c>
      <c r="E690" t="inlineStr">
        <is>
          <t>MAT-STEEL-PN-1.15</t>
        </is>
      </c>
      <c r="F690" t="inlineStr">
        <is>
          <t>kg</t>
        </is>
      </c>
      <c r="G690" s="406" t="n">
        <v>5.476893975</v>
      </c>
      <c r="H690" s="402">
        <f>IFERROR(INDEX('00_TONG_HOP_BAO_GIA'!$G$1:$G$5000, MATCH(B690, '00_TONG_HOP_BAO_GIA'!$B$1:$B$5000, 0)), 1)</f>
        <v/>
      </c>
      <c r="I690" s="407">
        <f>G690*H690</f>
        <v/>
      </c>
      <c r="J690" s="402">
        <f>IFERROR(INDEX('06_BANG_GIA_VAT_TU_AP_DUNG'!$E$1:$E$5000, MATCH(E690, '06_BANG_GIA_VAT_TU_AP_DUNG'!$B$1:$B$5000, 0)), 0)</f>
        <v/>
      </c>
      <c r="K690" s="402">
        <f>I690*J690</f>
        <v/>
      </c>
      <c r="L690" t="inlineStr">
        <is>
          <t>Kích thước vỏ 800x250x200mm</t>
        </is>
      </c>
    </row>
    <row r="691">
      <c r="A691" t="inlineStr">
        <is>
          <t>SW-DAMPER-125-BLADE</t>
        </is>
      </c>
      <c r="B691" t="inlineStr">
        <is>
          <t>SW-DAMPER-125</t>
        </is>
      </c>
      <c r="C691" t="inlineStr">
        <is>
          <t>Lá cánh / Tôn tấm bọc van (1 cánh)</t>
        </is>
      </c>
      <c r="D691" t="inlineStr">
        <is>
          <t>TÔN_CUỘN_MẠ_KẼM</t>
        </is>
      </c>
      <c r="E691" t="inlineStr">
        <is>
          <t>MAT-STEEL-PN-1.15</t>
        </is>
      </c>
      <c r="F691" t="inlineStr">
        <is>
          <t>kg</t>
        </is>
      </c>
      <c r="G691" s="406" t="n">
        <v>3.610999999999999</v>
      </c>
      <c r="H691" s="402">
        <f>IFERROR(INDEX('00_TONG_HOP_BAO_GIA'!$G$1:$G$5000, MATCH(B691, '00_TONG_HOP_BAO_GIA'!$B$1:$B$5000, 0)), 1)</f>
        <v/>
      </c>
      <c r="I691" s="407">
        <f>G691*H691</f>
        <v/>
      </c>
      <c r="J691" s="402">
        <f>IFERROR(INDEX('06_BANG_GIA_VAT_TU_AP_DUNG'!$E$1:$E$5000, MATCH(E691, '06_BANG_GIA_VAT_TU_AP_DUNG'!$B$1:$B$5000, 0)), 0)</f>
        <v/>
      </c>
      <c r="K691" s="402">
        <f>I691*J691</f>
        <v/>
      </c>
      <c r="L691" t="inlineStr">
        <is>
          <t>Tôn bọc cánh &amp; thân (1 cánh/modul)</t>
        </is>
      </c>
    </row>
    <row r="692">
      <c r="A692" t="inlineStr">
        <is>
          <t>SW-DAMPER-125-AXLE</t>
        </is>
      </c>
      <c r="B692" t="inlineStr">
        <is>
          <t>SW-DAMPER-125</t>
        </is>
      </c>
      <c r="C692" t="inlineStr">
        <is>
          <t>Trục Sus 201 D10</t>
        </is>
      </c>
      <c r="D692" t="inlineStr">
        <is>
          <t>PHỤ_KIỆN_VAN</t>
        </is>
      </c>
      <c r="E692" t="inlineStr">
        <is>
          <t>MAT-DAMPER-TRUC-SUS-201-D10</t>
        </is>
      </c>
      <c r="F692" t="inlineStr">
        <is>
          <t>m</t>
        </is>
      </c>
      <c r="G692" s="406" t="n">
        <v>0.86</v>
      </c>
      <c r="H692" s="402">
        <f>IFERROR(INDEX('00_TONG_HOP_BAO_GIA'!$G$1:$G$5000, MATCH(B692, '00_TONG_HOP_BAO_GIA'!$B$1:$B$5000, 0)), 1)</f>
        <v/>
      </c>
      <c r="I692" s="407">
        <f>G692*H692</f>
        <v/>
      </c>
      <c r="J692" s="402">
        <f>IFERROR(INDEX('06_BANG_GIA_VAT_TU_AP_DUNG'!$E$1:$E$5000, MATCH(E692, '06_BANG_GIA_VAT_TU_AP_DUNG'!$B$1:$B$5000, 0)), 0)</f>
        <v/>
      </c>
      <c r="K692" s="402">
        <f>I692*J692</f>
        <v/>
      </c>
      <c r="L692" t="inlineStr">
        <is>
          <t>1 trục dài 860mm</t>
        </is>
      </c>
    </row>
    <row r="693">
      <c r="A693" t="inlineStr">
        <is>
          <t>SW-DAMPER-125-BEARING</t>
        </is>
      </c>
      <c r="B693" t="inlineStr">
        <is>
          <t>SW-DAMPER-125</t>
        </is>
      </c>
      <c r="C693" t="inlineStr">
        <is>
          <t>Bạc đồng D10</t>
        </is>
      </c>
      <c r="D693" t="inlineStr">
        <is>
          <t>PHỤ_KIỆN_VAN</t>
        </is>
      </c>
      <c r="E693" t="inlineStr">
        <is>
          <t>MAT-DAMPER-BAC-DONG-D10</t>
        </is>
      </c>
      <c r="F693" t="inlineStr">
        <is>
          <t>Đôi</t>
        </is>
      </c>
      <c r="G693" s="406" t="n">
        <v>1</v>
      </c>
      <c r="H693" s="402">
        <f>IFERROR(INDEX('00_TONG_HOP_BAO_GIA'!$G$1:$G$5000, MATCH(B693, '00_TONG_HOP_BAO_GIA'!$B$1:$B$5000, 0)), 1)</f>
        <v/>
      </c>
      <c r="I693" s="407">
        <f>G693*H693</f>
        <v/>
      </c>
      <c r="J693" s="402">
        <f>IFERROR(INDEX('06_BANG_GIA_VAT_TU_AP_DUNG'!$E$1:$E$5000, MATCH(E693, '06_BANG_GIA_VAT_TU_AP_DUNG'!$B$1:$B$5000, 0)), 0)</f>
        <v/>
      </c>
      <c r="K693" s="402">
        <f>I693*J693</f>
        <v/>
      </c>
      <c r="L693" t="inlineStr">
        <is>
          <t>1 đôi bạc đỡ 2 bên thân</t>
        </is>
      </c>
    </row>
    <row r="694">
      <c r="A694" t="inlineStr">
        <is>
          <t>SW-DAMPER-125-FUSE</t>
        </is>
      </c>
      <c r="B694" t="inlineStr">
        <is>
          <t>SW-DAMPER-125</t>
        </is>
      </c>
      <c r="C694" t="inlineStr">
        <is>
          <t>Cầu chì nhiệt nóng chảy 70°C/74°C (Elsie/USA)</t>
        </is>
      </c>
      <c r="D694" t="inlineStr">
        <is>
          <t>PHỤ_KIỆN_VAN</t>
        </is>
      </c>
      <c r="E694" t="inlineStr">
        <is>
          <t>MAT-DAMPER-CAU-CHI-USA-2-400X400</t>
        </is>
      </c>
      <c r="F694" t="inlineStr">
        <is>
          <t>Cái</t>
        </is>
      </c>
      <c r="G694" s="406" t="n">
        <v>1</v>
      </c>
      <c r="H694" s="402">
        <f>IFERROR(INDEX('00_TONG_HOP_BAO_GIA'!$G$1:$G$5000, MATCH(B694, '00_TONG_HOP_BAO_GIA'!$B$1:$B$5000, 0)), 1)</f>
        <v/>
      </c>
      <c r="I694" s="407">
        <f>G694*H694</f>
        <v/>
      </c>
      <c r="J694" s="402">
        <f>IFERROR(INDEX('06_BANG_GIA_VAT_TU_AP_DUNG'!$E$1:$E$5000, MATCH(E694, '06_BANG_GIA_VAT_TU_AP_DUNG'!$B$1:$B$5000, 0)), 0)</f>
        <v/>
      </c>
      <c r="K694" s="402">
        <f>I694*J694</f>
        <v/>
      </c>
      <c r="L694" t="inlineStr">
        <is>
          <t>Cầu chì kiểm định PCCC (1 cái)</t>
        </is>
      </c>
    </row>
    <row r="695">
      <c r="A695" t="inlineStr">
        <is>
          <t>SW-DAMPER-125-FB10-BODY</t>
        </is>
      </c>
      <c r="B695" t="inlineStr">
        <is>
          <t>SW-DAMPER-125</t>
        </is>
      </c>
      <c r="C695" t="inlineStr">
        <is>
          <t>Tấm chống cháy dày 10mm bọc thân van FD/MFD (2 lớp)</t>
        </is>
      </c>
      <c r="D695" t="inlineStr">
        <is>
          <t>VẬT_LIỆU_CÁCH_NHIỆT</t>
        </is>
      </c>
      <c r="E695" t="inlineStr">
        <is>
          <t>MAT-FIREBOARD-10MM-BODY</t>
        </is>
      </c>
      <c r="F695" t="inlineStr">
        <is>
          <t>m2</t>
        </is>
      </c>
      <c r="G695" s="406" t="n">
        <v>1.26</v>
      </c>
      <c r="H695" s="402">
        <f>IFERROR(INDEX('00_TONG_HOP_BAO_GIA'!$G$1:$G$5000, MATCH(B695, '00_TONG_HOP_BAO_GIA'!$B$1:$B$5000, 0)), 1)</f>
        <v/>
      </c>
      <c r="I695" s="407">
        <f>G695*H695</f>
        <v/>
      </c>
      <c r="J695" s="402">
        <f>IFERROR(INDEX('06_BANG_GIA_VAT_TU_AP_DUNG'!$E$1:$E$5000, MATCH(E695, '06_BANG_GIA_VAT_TU_AP_DUNG'!$B$1:$B$5000, 0)), 0)</f>
        <v/>
      </c>
      <c r="K695" s="402">
        <f>I695*J695</f>
        <v/>
      </c>
      <c r="L695" t="inlineStr">
        <is>
          <t>Bọc 2 lớp tấm 10mm quanh thân L=300mm</t>
        </is>
      </c>
    </row>
    <row r="696">
      <c r="A696" t="inlineStr">
        <is>
          <t>SW-DAMPER-125-FB20-BLADE</t>
        </is>
      </c>
      <c r="B696" t="inlineStr">
        <is>
          <t>SW-DAMPER-125</t>
        </is>
      </c>
      <c r="C696" t="inlineStr">
        <is>
          <t>Tấm chống cháy dày 20mm làm lõi cánh van FD/MFD</t>
        </is>
      </c>
      <c r="D696" t="inlineStr">
        <is>
          <t>VẬT_LIỆU_CÁCH_NHIỆT</t>
        </is>
      </c>
      <c r="E696" t="inlineStr">
        <is>
          <t>MAT-FIREBOARD-20MM-BLADE</t>
        </is>
      </c>
      <c r="F696" t="inlineStr">
        <is>
          <t>m2</t>
        </is>
      </c>
      <c r="G696" s="406" t="n">
        <v>0.2</v>
      </c>
      <c r="H696" s="402">
        <f>IFERROR(INDEX('00_TONG_HOP_BAO_GIA'!$G$1:$G$5000, MATCH(B696, '00_TONG_HOP_BAO_GIA'!$B$1:$B$5000, 0)), 1)</f>
        <v/>
      </c>
      <c r="I696" s="407">
        <f>G696*H696</f>
        <v/>
      </c>
      <c r="J696" s="402">
        <f>IFERROR(INDEX('06_BANG_GIA_VAT_TU_AP_DUNG'!$E$1:$E$5000, MATCH(E696, '06_BANG_GIA_VAT_TU_AP_DUNG'!$B$1:$B$5000, 0)), 0)</f>
        <v/>
      </c>
      <c r="K696" s="402">
        <f>I696*J696</f>
        <v/>
      </c>
      <c r="L696" t="inlineStr">
        <is>
          <t>Lõi cánh tấm 20mm (Cánh đơn 800x250mm)</t>
        </is>
      </c>
    </row>
    <row r="697">
      <c r="A697" t="inlineStr">
        <is>
          <t>SW-DAMPER-125-FB10-BLADE</t>
        </is>
      </c>
      <c r="B697" t="inlineStr">
        <is>
          <t>SW-DAMPER-125</t>
        </is>
      </c>
      <c r="C697" t="inlineStr">
        <is>
          <t>Tấm chống cháy dày 10mm ốp 2 mặt cánh van FD/MFD</t>
        </is>
      </c>
      <c r="D697" t="inlineStr">
        <is>
          <t>VẬT_LIỆU_CÁCH_NHIỆT</t>
        </is>
      </c>
      <c r="E697" t="inlineStr">
        <is>
          <t>MAT-FIREBOARD-10MM-BLADE</t>
        </is>
      </c>
      <c r="F697" t="inlineStr">
        <is>
          <t>m2</t>
        </is>
      </c>
      <c r="G697" s="406" t="n">
        <v>0.4</v>
      </c>
      <c r="H697" s="402">
        <f>IFERROR(INDEX('00_TONG_HOP_BAO_GIA'!$G$1:$G$5000, MATCH(B697, '00_TONG_HOP_BAO_GIA'!$B$1:$B$5000, 0)), 1)</f>
        <v/>
      </c>
      <c r="I697" s="407">
        <f>G697*H697</f>
        <v/>
      </c>
      <c r="J697" s="402">
        <f>IFERROR(INDEX('06_BANG_GIA_VAT_TU_AP_DUNG'!$E$1:$E$5000, MATCH(E697, '06_BANG_GIA_VAT_TU_AP_DUNG'!$B$1:$B$5000, 0)), 0)</f>
        <v/>
      </c>
      <c r="K697" s="402">
        <f>I697*J697</f>
        <v/>
      </c>
      <c r="L697" t="inlineStr">
        <is>
          <t>Ốp 2 mặt cánh tấm 10mm (Cánh đơn 800x250mm)</t>
        </is>
      </c>
    </row>
    <row r="698">
      <c r="A698" t="inlineStr">
        <is>
          <t>SW-DAMPER-125-SPRING-BOX</t>
        </is>
      </c>
      <c r="B698" t="inlineStr">
        <is>
          <t>SW-DAMPER-125</t>
        </is>
      </c>
      <c r="C698" t="inlineStr">
        <is>
          <t>Hộp lò xo van chặn lửa FD/MFD</t>
        </is>
      </c>
      <c r="D698" t="inlineStr">
        <is>
          <t>PHỤ_KIỆN_VAN</t>
        </is>
      </c>
      <c r="E698" t="inlineStr">
        <is>
          <t>MAT-DAMPER-HOP-LO-XO</t>
        </is>
      </c>
      <c r="F698" t="inlineStr">
        <is>
          <t>Bộ</t>
        </is>
      </c>
      <c r="G698" s="406" t="n">
        <v>1</v>
      </c>
      <c r="H698" s="402">
        <f>IFERROR(INDEX('00_TONG_HOP_BAO_GIA'!$G$1:$G$5000, MATCH(B698, '00_TONG_HOP_BAO_GIA'!$B$1:$B$5000, 0)), 1)</f>
        <v/>
      </c>
      <c r="I698" s="407">
        <f>G698*H698</f>
        <v/>
      </c>
      <c r="J698" s="402">
        <f>IFERROR(INDEX('06_BANG_GIA_VAT_TU_AP_DUNG'!$E$1:$E$5000, MATCH(E698, '06_BANG_GIA_VAT_TU_AP_DUNG'!$B$1:$B$5000, 0)), 0)</f>
        <v/>
      </c>
      <c r="K698" s="402">
        <f>I698*J698</f>
        <v/>
      </c>
      <c r="L698" t="inlineStr">
        <is>
          <t>Hộp lò xo cơ cấu đóng sập (1 bộ)</t>
        </is>
      </c>
    </row>
    <row r="699">
      <c r="A699" t="inlineStr">
        <is>
          <t>SW-DAMPER-125-SILICON-BOLT</t>
        </is>
      </c>
      <c r="B699" t="inlineStr">
        <is>
          <t>SW-DAMPER-125</t>
        </is>
      </c>
      <c r="C699" t="inlineStr">
        <is>
          <t>Silicon chống cháy + bu lông, ốc vít van FD/MFD</t>
        </is>
      </c>
      <c r="D699" t="inlineStr">
        <is>
          <t>PHỤ_KIỆN_VAN</t>
        </is>
      </c>
      <c r="E699" t="inlineStr">
        <is>
          <t>MAT-DAMPER-SILICON-BULONG-VIT</t>
        </is>
      </c>
      <c r="F699" t="inlineStr">
        <is>
          <t>Bộ</t>
        </is>
      </c>
      <c r="G699" s="406" t="n">
        <v>1</v>
      </c>
      <c r="H699" s="402">
        <f>IFERROR(INDEX('00_TONG_HOP_BAO_GIA'!$G$1:$G$5000, MATCH(B699, '00_TONG_HOP_BAO_GIA'!$B$1:$B$5000, 0)), 1)</f>
        <v/>
      </c>
      <c r="I699" s="407">
        <f>G699*H699</f>
        <v/>
      </c>
      <c r="J699" s="402">
        <f>IFERROR(INDEX('06_BANG_GIA_VAT_TU_AP_DUNG'!$E$1:$E$5000, MATCH(E699, '06_BANG_GIA_VAT_TU_AP_DUNG'!$B$1:$B$5000, 0)), 0)</f>
        <v/>
      </c>
      <c r="K699" s="402">
        <f>I699*J699</f>
        <v/>
      </c>
      <c r="L699" t="inlineStr">
        <is>
          <t>Keo silicon chống cháy &amp; phụ kiện lắp ghép (1 bộ)</t>
        </is>
      </c>
    </row>
    <row r="700">
      <c r="A700" t="inlineStr">
        <is>
          <t>SW-DAMPER-126-BODY</t>
        </is>
      </c>
      <c r="B700" t="inlineStr">
        <is>
          <t>SW-DAMPER-126</t>
        </is>
      </c>
      <c r="C700" t="inlineStr">
        <is>
          <t>Thân vỏ van FD bích C30/TDF (1.15mm)</t>
        </is>
      </c>
      <c r="D700" t="inlineStr">
        <is>
          <t>TÔN_CUỘN_MẠ_KẼM</t>
        </is>
      </c>
      <c r="E700" t="inlineStr">
        <is>
          <t>MAT-STEEL-PN-1.15</t>
        </is>
      </c>
      <c r="F700" t="inlineStr">
        <is>
          <t>kg</t>
        </is>
      </c>
      <c r="G700" s="406" t="n">
        <v>2.6616681</v>
      </c>
      <c r="H700" s="402">
        <f>IFERROR(INDEX('00_TONG_HOP_BAO_GIA'!$G$1:$G$5000, MATCH(B700, '00_TONG_HOP_BAO_GIA'!$B$1:$B$5000, 0)), 1)</f>
        <v/>
      </c>
      <c r="I700" s="407">
        <f>G700*H700</f>
        <v/>
      </c>
      <c r="J700" s="402">
        <f>IFERROR(INDEX('06_BANG_GIA_VAT_TU_AP_DUNG'!$E$1:$E$5000, MATCH(E700, '06_BANG_GIA_VAT_TU_AP_DUNG'!$B$1:$B$5000, 0)), 0)</f>
        <v/>
      </c>
      <c r="K700" s="402">
        <f>I700*J700</f>
        <v/>
      </c>
      <c r="L700" t="inlineStr">
        <is>
          <t>Kích thước vỏ 300x200x200mm</t>
        </is>
      </c>
    </row>
    <row r="701">
      <c r="A701" t="inlineStr">
        <is>
          <t>SW-DAMPER-126-BLADE</t>
        </is>
      </c>
      <c r="B701" t="inlineStr">
        <is>
          <t>SW-DAMPER-126</t>
        </is>
      </c>
      <c r="C701" t="inlineStr">
        <is>
          <t>Lá cánh / Tôn tấm bọc van (1 cánh)</t>
        </is>
      </c>
      <c r="D701" t="inlineStr">
        <is>
          <t>TÔN_CUỘN_MẠ_KẼM</t>
        </is>
      </c>
      <c r="E701" t="inlineStr">
        <is>
          <t>MAT-STEEL-PN-1.15</t>
        </is>
      </c>
      <c r="F701" t="inlineStr">
        <is>
          <t>kg</t>
        </is>
      </c>
      <c r="G701" s="406" t="n">
        <v>1.0833</v>
      </c>
      <c r="H701" s="402">
        <f>IFERROR(INDEX('00_TONG_HOP_BAO_GIA'!$G$1:$G$5000, MATCH(B701, '00_TONG_HOP_BAO_GIA'!$B$1:$B$5000, 0)), 1)</f>
        <v/>
      </c>
      <c r="I701" s="407">
        <f>G701*H701</f>
        <v/>
      </c>
      <c r="J701" s="402">
        <f>IFERROR(INDEX('06_BANG_GIA_VAT_TU_AP_DUNG'!$E$1:$E$5000, MATCH(E701, '06_BANG_GIA_VAT_TU_AP_DUNG'!$B$1:$B$5000, 0)), 0)</f>
        <v/>
      </c>
      <c r="K701" s="402">
        <f>I701*J701</f>
        <v/>
      </c>
      <c r="L701" t="inlineStr">
        <is>
          <t>Tôn bọc cánh &amp; thân (1 cánh/modul)</t>
        </is>
      </c>
    </row>
    <row r="702">
      <c r="A702" t="inlineStr">
        <is>
          <t>SW-DAMPER-126-AXLE</t>
        </is>
      </c>
      <c r="B702" t="inlineStr">
        <is>
          <t>SW-DAMPER-126</t>
        </is>
      </c>
      <c r="C702" t="inlineStr">
        <is>
          <t>Trục Sus 201 D10</t>
        </is>
      </c>
      <c r="D702" t="inlineStr">
        <is>
          <t>PHỤ_KIỆN_VAN</t>
        </is>
      </c>
      <c r="E702" t="inlineStr">
        <is>
          <t>MAT-DAMPER-TRUC-SUS-201-D10</t>
        </is>
      </c>
      <c r="F702" t="inlineStr">
        <is>
          <t>m</t>
        </is>
      </c>
      <c r="G702" s="406" t="n">
        <v>0.36</v>
      </c>
      <c r="H702" s="402">
        <f>IFERROR(INDEX('00_TONG_HOP_BAO_GIA'!$G$1:$G$5000, MATCH(B702, '00_TONG_HOP_BAO_GIA'!$B$1:$B$5000, 0)), 1)</f>
        <v/>
      </c>
      <c r="I702" s="407">
        <f>G702*H702</f>
        <v/>
      </c>
      <c r="J702" s="402">
        <f>IFERROR(INDEX('06_BANG_GIA_VAT_TU_AP_DUNG'!$E$1:$E$5000, MATCH(E702, '06_BANG_GIA_VAT_TU_AP_DUNG'!$B$1:$B$5000, 0)), 0)</f>
        <v/>
      </c>
      <c r="K702" s="402">
        <f>I702*J702</f>
        <v/>
      </c>
      <c r="L702" t="inlineStr">
        <is>
          <t>1 trục dài 360mm</t>
        </is>
      </c>
    </row>
    <row r="703">
      <c r="A703" t="inlineStr">
        <is>
          <t>SW-DAMPER-126-BEARING</t>
        </is>
      </c>
      <c r="B703" t="inlineStr">
        <is>
          <t>SW-DAMPER-126</t>
        </is>
      </c>
      <c r="C703" t="inlineStr">
        <is>
          <t>Bạc đồng D10</t>
        </is>
      </c>
      <c r="D703" t="inlineStr">
        <is>
          <t>PHỤ_KIỆN_VAN</t>
        </is>
      </c>
      <c r="E703" t="inlineStr">
        <is>
          <t>MAT-DAMPER-BAC-DONG-D10</t>
        </is>
      </c>
      <c r="F703" t="inlineStr">
        <is>
          <t>Đôi</t>
        </is>
      </c>
      <c r="G703" s="406" t="n">
        <v>1</v>
      </c>
      <c r="H703" s="402">
        <f>IFERROR(INDEX('00_TONG_HOP_BAO_GIA'!$G$1:$G$5000, MATCH(B703, '00_TONG_HOP_BAO_GIA'!$B$1:$B$5000, 0)), 1)</f>
        <v/>
      </c>
      <c r="I703" s="407">
        <f>G703*H703</f>
        <v/>
      </c>
      <c r="J703" s="402">
        <f>IFERROR(INDEX('06_BANG_GIA_VAT_TU_AP_DUNG'!$E$1:$E$5000, MATCH(E703, '06_BANG_GIA_VAT_TU_AP_DUNG'!$B$1:$B$5000, 0)), 0)</f>
        <v/>
      </c>
      <c r="K703" s="402">
        <f>I703*J703</f>
        <v/>
      </c>
      <c r="L703" t="inlineStr">
        <is>
          <t>1 đôi bạc đỡ 2 bên thân</t>
        </is>
      </c>
    </row>
    <row r="704">
      <c r="A704" t="inlineStr">
        <is>
          <t>SW-DAMPER-126-FUSE</t>
        </is>
      </c>
      <c r="B704" t="inlineStr">
        <is>
          <t>SW-DAMPER-126</t>
        </is>
      </c>
      <c r="C704" t="inlineStr">
        <is>
          <t>Cầu chì nhiệt nóng chảy 70°C/74°C (Elsie/USA)</t>
        </is>
      </c>
      <c r="D704" t="inlineStr">
        <is>
          <t>PHỤ_KIỆN_VAN</t>
        </is>
      </c>
      <c r="E704" t="inlineStr">
        <is>
          <t>MAT-DAMPER-CAU-CHI-USA-1-400X400</t>
        </is>
      </c>
      <c r="F704" t="inlineStr">
        <is>
          <t>Cái</t>
        </is>
      </c>
      <c r="G704" s="406" t="n">
        <v>1</v>
      </c>
      <c r="H704" s="402">
        <f>IFERROR(INDEX('00_TONG_HOP_BAO_GIA'!$G$1:$G$5000, MATCH(B704, '00_TONG_HOP_BAO_GIA'!$B$1:$B$5000, 0)), 1)</f>
        <v/>
      </c>
      <c r="I704" s="407">
        <f>G704*H704</f>
        <v/>
      </c>
      <c r="J704" s="402">
        <f>IFERROR(INDEX('06_BANG_GIA_VAT_TU_AP_DUNG'!$E$1:$E$5000, MATCH(E704, '06_BANG_GIA_VAT_TU_AP_DUNG'!$B$1:$B$5000, 0)), 0)</f>
        <v/>
      </c>
      <c r="K704" s="402">
        <f>I704*J704</f>
        <v/>
      </c>
      <c r="L704" t="inlineStr">
        <is>
          <t>Cầu chì kiểm định PCCC (1 cái)</t>
        </is>
      </c>
    </row>
    <row r="705">
      <c r="A705" t="inlineStr">
        <is>
          <t>SW-DAMPER-126-FB10-BODY</t>
        </is>
      </c>
      <c r="B705" t="inlineStr">
        <is>
          <t>SW-DAMPER-126</t>
        </is>
      </c>
      <c r="C705" t="inlineStr">
        <is>
          <t>Tấm chống cháy dày 10mm bọc thân van FD/MFD (2 lớp)</t>
        </is>
      </c>
      <c r="D705" t="inlineStr">
        <is>
          <t>VẬT_LIỆU_CÁCH_NHIỆT</t>
        </is>
      </c>
      <c r="E705" t="inlineStr">
        <is>
          <t>MAT-FIREBOARD-10MM-BODY</t>
        </is>
      </c>
      <c r="F705" t="inlineStr">
        <is>
          <t>m2</t>
        </is>
      </c>
      <c r="G705" s="406" t="n">
        <v>0.6</v>
      </c>
      <c r="H705" s="402">
        <f>IFERROR(INDEX('00_TONG_HOP_BAO_GIA'!$G$1:$G$5000, MATCH(B705, '00_TONG_HOP_BAO_GIA'!$B$1:$B$5000, 0)), 1)</f>
        <v/>
      </c>
      <c r="I705" s="407">
        <f>G705*H705</f>
        <v/>
      </c>
      <c r="J705" s="402">
        <f>IFERROR(INDEX('06_BANG_GIA_VAT_TU_AP_DUNG'!$E$1:$E$5000, MATCH(E705, '06_BANG_GIA_VAT_TU_AP_DUNG'!$B$1:$B$5000, 0)), 0)</f>
        <v/>
      </c>
      <c r="K705" s="402">
        <f>I705*J705</f>
        <v/>
      </c>
      <c r="L705" t="inlineStr">
        <is>
          <t>Bọc 2 lớp tấm 10mm quanh thân L=300mm</t>
        </is>
      </c>
    </row>
    <row r="706">
      <c r="A706" t="inlineStr">
        <is>
          <t>SW-DAMPER-126-FB20-BLADE</t>
        </is>
      </c>
      <c r="B706" t="inlineStr">
        <is>
          <t>SW-DAMPER-126</t>
        </is>
      </c>
      <c r="C706" t="inlineStr">
        <is>
          <t>Tấm chống cháy dày 20mm làm lõi cánh van FD/MFD</t>
        </is>
      </c>
      <c r="D706" t="inlineStr">
        <is>
          <t>VẬT_LIỆU_CÁCH_NHIỆT</t>
        </is>
      </c>
      <c r="E706" t="inlineStr">
        <is>
          <t>MAT-FIREBOARD-20MM-BLADE</t>
        </is>
      </c>
      <c r="F706" t="inlineStr">
        <is>
          <t>m2</t>
        </is>
      </c>
      <c r="G706" s="406" t="n">
        <v>0.06</v>
      </c>
      <c r="H706" s="402">
        <f>IFERROR(INDEX('00_TONG_HOP_BAO_GIA'!$G$1:$G$5000, MATCH(B706, '00_TONG_HOP_BAO_GIA'!$B$1:$B$5000, 0)), 1)</f>
        <v/>
      </c>
      <c r="I706" s="407">
        <f>G706*H706</f>
        <v/>
      </c>
      <c r="J706" s="402">
        <f>IFERROR(INDEX('06_BANG_GIA_VAT_TU_AP_DUNG'!$E$1:$E$5000, MATCH(E706, '06_BANG_GIA_VAT_TU_AP_DUNG'!$B$1:$B$5000, 0)), 0)</f>
        <v/>
      </c>
      <c r="K706" s="402">
        <f>I706*J706</f>
        <v/>
      </c>
      <c r="L706" t="inlineStr">
        <is>
          <t>Lõi cánh tấm 20mm (Cánh đơn 300x200mm)</t>
        </is>
      </c>
    </row>
    <row r="707">
      <c r="A707" t="inlineStr">
        <is>
          <t>SW-DAMPER-126-FB10-BLADE</t>
        </is>
      </c>
      <c r="B707" t="inlineStr">
        <is>
          <t>SW-DAMPER-126</t>
        </is>
      </c>
      <c r="C707" t="inlineStr">
        <is>
          <t>Tấm chống cháy dày 10mm ốp 2 mặt cánh van FD/MFD</t>
        </is>
      </c>
      <c r="D707" t="inlineStr">
        <is>
          <t>VẬT_LIỆU_CÁCH_NHIỆT</t>
        </is>
      </c>
      <c r="E707" t="inlineStr">
        <is>
          <t>MAT-FIREBOARD-10MM-BLADE</t>
        </is>
      </c>
      <c r="F707" t="inlineStr">
        <is>
          <t>m2</t>
        </is>
      </c>
      <c r="G707" s="406" t="n">
        <v>0.12</v>
      </c>
      <c r="H707" s="402">
        <f>IFERROR(INDEX('00_TONG_HOP_BAO_GIA'!$G$1:$G$5000, MATCH(B707, '00_TONG_HOP_BAO_GIA'!$B$1:$B$5000, 0)), 1)</f>
        <v/>
      </c>
      <c r="I707" s="407">
        <f>G707*H707</f>
        <v/>
      </c>
      <c r="J707" s="402">
        <f>IFERROR(INDEX('06_BANG_GIA_VAT_TU_AP_DUNG'!$E$1:$E$5000, MATCH(E707, '06_BANG_GIA_VAT_TU_AP_DUNG'!$B$1:$B$5000, 0)), 0)</f>
        <v/>
      </c>
      <c r="K707" s="402">
        <f>I707*J707</f>
        <v/>
      </c>
      <c r="L707" t="inlineStr">
        <is>
          <t>Ốp 2 mặt cánh tấm 10mm (Cánh đơn 300x200mm)</t>
        </is>
      </c>
    </row>
    <row r="708">
      <c r="A708" t="inlineStr">
        <is>
          <t>SW-DAMPER-126-SPRING-BOX</t>
        </is>
      </c>
      <c r="B708" t="inlineStr">
        <is>
          <t>SW-DAMPER-126</t>
        </is>
      </c>
      <c r="C708" t="inlineStr">
        <is>
          <t>Hộp lò xo van chặn lửa FD/MFD</t>
        </is>
      </c>
      <c r="D708" t="inlineStr">
        <is>
          <t>PHỤ_KIỆN_VAN</t>
        </is>
      </c>
      <c r="E708" t="inlineStr">
        <is>
          <t>MAT-DAMPER-HOP-LO-XO</t>
        </is>
      </c>
      <c r="F708" t="inlineStr">
        <is>
          <t>Bộ</t>
        </is>
      </c>
      <c r="G708" s="406" t="n">
        <v>1</v>
      </c>
      <c r="H708" s="402">
        <f>IFERROR(INDEX('00_TONG_HOP_BAO_GIA'!$G$1:$G$5000, MATCH(B708, '00_TONG_HOP_BAO_GIA'!$B$1:$B$5000, 0)), 1)</f>
        <v/>
      </c>
      <c r="I708" s="407">
        <f>G708*H708</f>
        <v/>
      </c>
      <c r="J708" s="402">
        <f>IFERROR(INDEX('06_BANG_GIA_VAT_TU_AP_DUNG'!$E$1:$E$5000, MATCH(E708, '06_BANG_GIA_VAT_TU_AP_DUNG'!$B$1:$B$5000, 0)), 0)</f>
        <v/>
      </c>
      <c r="K708" s="402">
        <f>I708*J708</f>
        <v/>
      </c>
      <c r="L708" t="inlineStr">
        <is>
          <t>Hộp lò xo cơ cấu đóng sập (1 bộ)</t>
        </is>
      </c>
    </row>
    <row r="709">
      <c r="A709" t="inlineStr">
        <is>
          <t>SW-DAMPER-126-SILICON-BOLT</t>
        </is>
      </c>
      <c r="B709" t="inlineStr">
        <is>
          <t>SW-DAMPER-126</t>
        </is>
      </c>
      <c r="C709" t="inlineStr">
        <is>
          <t>Silicon chống cháy + bu lông, ốc vít van FD/MFD</t>
        </is>
      </c>
      <c r="D709" t="inlineStr">
        <is>
          <t>PHỤ_KIỆN_VAN</t>
        </is>
      </c>
      <c r="E709" t="inlineStr">
        <is>
          <t>MAT-DAMPER-SILICON-BULONG-VIT</t>
        </is>
      </c>
      <c r="F709" t="inlineStr">
        <is>
          <t>Bộ</t>
        </is>
      </c>
      <c r="G709" s="406" t="n">
        <v>1</v>
      </c>
      <c r="H709" s="402">
        <f>IFERROR(INDEX('00_TONG_HOP_BAO_GIA'!$G$1:$G$5000, MATCH(B709, '00_TONG_HOP_BAO_GIA'!$B$1:$B$5000, 0)), 1)</f>
        <v/>
      </c>
      <c r="I709" s="407">
        <f>G709*H709</f>
        <v/>
      </c>
      <c r="J709" s="402">
        <f>IFERROR(INDEX('06_BANG_GIA_VAT_TU_AP_DUNG'!$E$1:$E$5000, MATCH(E709, '06_BANG_GIA_VAT_TU_AP_DUNG'!$B$1:$B$5000, 0)), 0)</f>
        <v/>
      </c>
      <c r="K709" s="402">
        <f>I709*J709</f>
        <v/>
      </c>
      <c r="L709" t="inlineStr">
        <is>
          <t>Keo silicon chống cháy &amp; phụ kiện lắp ghép (1 bộ)</t>
        </is>
      </c>
    </row>
    <row r="710">
      <c r="A710" t="inlineStr">
        <is>
          <t>SW-DAMPER-127-BODY</t>
        </is>
      </c>
      <c r="B710" t="inlineStr">
        <is>
          <t>SW-DAMPER-127</t>
        </is>
      </c>
      <c r="C710" t="inlineStr">
        <is>
          <t>Thân vỏ van FD bích C30/TDF (1.15mm)</t>
        </is>
      </c>
      <c r="D710" t="inlineStr">
        <is>
          <t>TÔN_CUỘN_MẠ_KẼM</t>
        </is>
      </c>
      <c r="E710" t="inlineStr">
        <is>
          <t>MAT-STEEL-PN-1.15</t>
        </is>
      </c>
      <c r="F710" t="inlineStr">
        <is>
          <t>kg</t>
        </is>
      </c>
      <c r="G710" s="406" t="n">
        <v>2.14980885</v>
      </c>
      <c r="H710" s="402">
        <f>IFERROR(INDEX('00_TONG_HOP_BAO_GIA'!$G$1:$G$5000, MATCH(B710, '00_TONG_HOP_BAO_GIA'!$B$1:$B$5000, 0)), 1)</f>
        <v/>
      </c>
      <c r="I710" s="407">
        <f>G710*H710</f>
        <v/>
      </c>
      <c r="J710" s="402">
        <f>IFERROR(INDEX('06_BANG_GIA_VAT_TU_AP_DUNG'!$E$1:$E$5000, MATCH(E710, '06_BANG_GIA_VAT_TU_AP_DUNG'!$B$1:$B$5000, 0)), 0)</f>
        <v/>
      </c>
      <c r="K710" s="402">
        <f>I710*J710</f>
        <v/>
      </c>
      <c r="L710" t="inlineStr">
        <is>
          <t>Kích thước vỏ 200x200x200mm</t>
        </is>
      </c>
    </row>
    <row r="711">
      <c r="A711" t="inlineStr">
        <is>
          <t>SW-DAMPER-127-BLADE</t>
        </is>
      </c>
      <c r="B711" t="inlineStr">
        <is>
          <t>SW-DAMPER-127</t>
        </is>
      </c>
      <c r="C711" t="inlineStr">
        <is>
          <t>Lá cánh / Tôn tấm bọc van (1 cánh)</t>
        </is>
      </c>
      <c r="D711" t="inlineStr">
        <is>
          <t>TÔN_CUỘN_MẠ_KẼM</t>
        </is>
      </c>
      <c r="E711" t="inlineStr">
        <is>
          <t>MAT-STEEL-PN-1.15</t>
        </is>
      </c>
      <c r="F711" t="inlineStr">
        <is>
          <t>kg</t>
        </is>
      </c>
      <c r="G711" s="406" t="n">
        <v>0.7222</v>
      </c>
      <c r="H711" s="402">
        <f>IFERROR(INDEX('00_TONG_HOP_BAO_GIA'!$G$1:$G$5000, MATCH(B711, '00_TONG_HOP_BAO_GIA'!$B$1:$B$5000, 0)), 1)</f>
        <v/>
      </c>
      <c r="I711" s="407">
        <f>G711*H711</f>
        <v/>
      </c>
      <c r="J711" s="402">
        <f>IFERROR(INDEX('06_BANG_GIA_VAT_TU_AP_DUNG'!$E$1:$E$5000, MATCH(E711, '06_BANG_GIA_VAT_TU_AP_DUNG'!$B$1:$B$5000, 0)), 0)</f>
        <v/>
      </c>
      <c r="K711" s="402">
        <f>I711*J711</f>
        <v/>
      </c>
      <c r="L711" t="inlineStr">
        <is>
          <t>Tôn bọc cánh &amp; thân (1 cánh/modul)</t>
        </is>
      </c>
    </row>
    <row r="712">
      <c r="A712" t="inlineStr">
        <is>
          <t>SW-DAMPER-127-AXLE</t>
        </is>
      </c>
      <c r="B712" t="inlineStr">
        <is>
          <t>SW-DAMPER-127</t>
        </is>
      </c>
      <c r="C712" t="inlineStr">
        <is>
          <t>Trục Sus 201 D10</t>
        </is>
      </c>
      <c r="D712" t="inlineStr">
        <is>
          <t>PHỤ_KIỆN_VAN</t>
        </is>
      </c>
      <c r="E712" t="inlineStr">
        <is>
          <t>MAT-DAMPER-TRUC-SUS-201-D10</t>
        </is>
      </c>
      <c r="F712" t="inlineStr">
        <is>
          <t>m</t>
        </is>
      </c>
      <c r="G712" s="406" t="n">
        <v>0.26</v>
      </c>
      <c r="H712" s="402">
        <f>IFERROR(INDEX('00_TONG_HOP_BAO_GIA'!$G$1:$G$5000, MATCH(B712, '00_TONG_HOP_BAO_GIA'!$B$1:$B$5000, 0)), 1)</f>
        <v/>
      </c>
      <c r="I712" s="407">
        <f>G712*H712</f>
        <v/>
      </c>
      <c r="J712" s="402">
        <f>IFERROR(INDEX('06_BANG_GIA_VAT_TU_AP_DUNG'!$E$1:$E$5000, MATCH(E712, '06_BANG_GIA_VAT_TU_AP_DUNG'!$B$1:$B$5000, 0)), 0)</f>
        <v/>
      </c>
      <c r="K712" s="402">
        <f>I712*J712</f>
        <v/>
      </c>
      <c r="L712" t="inlineStr">
        <is>
          <t>1 trục dài 260mm</t>
        </is>
      </c>
    </row>
    <row r="713">
      <c r="A713" t="inlineStr">
        <is>
          <t>SW-DAMPER-127-BEARING</t>
        </is>
      </c>
      <c r="B713" t="inlineStr">
        <is>
          <t>SW-DAMPER-127</t>
        </is>
      </c>
      <c r="C713" t="inlineStr">
        <is>
          <t>Bạc đồng D10</t>
        </is>
      </c>
      <c r="D713" t="inlineStr">
        <is>
          <t>PHỤ_KIỆN_VAN</t>
        </is>
      </c>
      <c r="E713" t="inlineStr">
        <is>
          <t>MAT-DAMPER-BAC-DONG-D10</t>
        </is>
      </c>
      <c r="F713" t="inlineStr">
        <is>
          <t>Đôi</t>
        </is>
      </c>
      <c r="G713" s="406" t="n">
        <v>1</v>
      </c>
      <c r="H713" s="402">
        <f>IFERROR(INDEX('00_TONG_HOP_BAO_GIA'!$G$1:$G$5000, MATCH(B713, '00_TONG_HOP_BAO_GIA'!$B$1:$B$5000, 0)), 1)</f>
        <v/>
      </c>
      <c r="I713" s="407">
        <f>G713*H713</f>
        <v/>
      </c>
      <c r="J713" s="402">
        <f>IFERROR(INDEX('06_BANG_GIA_VAT_TU_AP_DUNG'!$E$1:$E$5000, MATCH(E713, '06_BANG_GIA_VAT_TU_AP_DUNG'!$B$1:$B$5000, 0)), 0)</f>
        <v/>
      </c>
      <c r="K713" s="402">
        <f>I713*J713</f>
        <v/>
      </c>
      <c r="L713" t="inlineStr">
        <is>
          <t>1 đôi bạc đỡ 2 bên thân</t>
        </is>
      </c>
    </row>
    <row r="714">
      <c r="A714" t="inlineStr">
        <is>
          <t>SW-DAMPER-127-FUSE</t>
        </is>
      </c>
      <c r="B714" t="inlineStr">
        <is>
          <t>SW-DAMPER-127</t>
        </is>
      </c>
      <c r="C714" t="inlineStr">
        <is>
          <t>Cầu chì nhiệt nóng chảy 70°C/74°C (Elsie/USA)</t>
        </is>
      </c>
      <c r="D714" t="inlineStr">
        <is>
          <t>PHỤ_KIỆN_VAN</t>
        </is>
      </c>
      <c r="E714" t="inlineStr">
        <is>
          <t>MAT-DAMPER-CAU-CHI-USA-1-400X400</t>
        </is>
      </c>
      <c r="F714" t="inlineStr">
        <is>
          <t>Cái</t>
        </is>
      </c>
      <c r="G714" s="406" t="n">
        <v>1</v>
      </c>
      <c r="H714" s="402">
        <f>IFERROR(INDEX('00_TONG_HOP_BAO_GIA'!$G$1:$G$5000, MATCH(B714, '00_TONG_HOP_BAO_GIA'!$B$1:$B$5000, 0)), 1)</f>
        <v/>
      </c>
      <c r="I714" s="407">
        <f>G714*H714</f>
        <v/>
      </c>
      <c r="J714" s="402">
        <f>IFERROR(INDEX('06_BANG_GIA_VAT_TU_AP_DUNG'!$E$1:$E$5000, MATCH(E714, '06_BANG_GIA_VAT_TU_AP_DUNG'!$B$1:$B$5000, 0)), 0)</f>
        <v/>
      </c>
      <c r="K714" s="402">
        <f>I714*J714</f>
        <v/>
      </c>
      <c r="L714" t="inlineStr">
        <is>
          <t>Cầu chì kiểm định PCCC (1 cái)</t>
        </is>
      </c>
    </row>
    <row r="715">
      <c r="A715" t="inlineStr">
        <is>
          <t>SW-DAMPER-127-FB10-BODY</t>
        </is>
      </c>
      <c r="B715" t="inlineStr">
        <is>
          <t>SW-DAMPER-127</t>
        </is>
      </c>
      <c r="C715" t="inlineStr">
        <is>
          <t>Tấm chống cháy dày 10mm bọc thân van FD/MFD (2 lớp)</t>
        </is>
      </c>
      <c r="D715" t="inlineStr">
        <is>
          <t>VẬT_LIỆU_CÁCH_NHIỆT</t>
        </is>
      </c>
      <c r="E715" t="inlineStr">
        <is>
          <t>MAT-FIREBOARD-10MM-BODY</t>
        </is>
      </c>
      <c r="F715" t="inlineStr">
        <is>
          <t>m2</t>
        </is>
      </c>
      <c r="G715" s="406" t="n">
        <v>0.48</v>
      </c>
      <c r="H715" s="402">
        <f>IFERROR(INDEX('00_TONG_HOP_BAO_GIA'!$G$1:$G$5000, MATCH(B715, '00_TONG_HOP_BAO_GIA'!$B$1:$B$5000, 0)), 1)</f>
        <v/>
      </c>
      <c r="I715" s="407">
        <f>G715*H715</f>
        <v/>
      </c>
      <c r="J715" s="402">
        <f>IFERROR(INDEX('06_BANG_GIA_VAT_TU_AP_DUNG'!$E$1:$E$5000, MATCH(E715, '06_BANG_GIA_VAT_TU_AP_DUNG'!$B$1:$B$5000, 0)), 0)</f>
        <v/>
      </c>
      <c r="K715" s="402">
        <f>I715*J715</f>
        <v/>
      </c>
      <c r="L715" t="inlineStr">
        <is>
          <t>Bọc 2 lớp tấm 10mm quanh thân L=300mm</t>
        </is>
      </c>
    </row>
    <row r="716">
      <c r="A716" t="inlineStr">
        <is>
          <t>SW-DAMPER-127-FB20-BLADE</t>
        </is>
      </c>
      <c r="B716" t="inlineStr">
        <is>
          <t>SW-DAMPER-127</t>
        </is>
      </c>
      <c r="C716" t="inlineStr">
        <is>
          <t>Tấm chống cháy dày 20mm làm lõi cánh van FD/MFD</t>
        </is>
      </c>
      <c r="D716" t="inlineStr">
        <is>
          <t>VẬT_LIỆU_CÁCH_NHIỆT</t>
        </is>
      </c>
      <c r="E716" t="inlineStr">
        <is>
          <t>MAT-FIREBOARD-20MM-BLADE</t>
        </is>
      </c>
      <c r="F716" t="inlineStr">
        <is>
          <t>m2</t>
        </is>
      </c>
      <c r="G716" s="406" t="n">
        <v>0.04000000000000001</v>
      </c>
      <c r="H716" s="402">
        <f>IFERROR(INDEX('00_TONG_HOP_BAO_GIA'!$G$1:$G$5000, MATCH(B716, '00_TONG_HOP_BAO_GIA'!$B$1:$B$5000, 0)), 1)</f>
        <v/>
      </c>
      <c r="I716" s="407">
        <f>G716*H716</f>
        <v/>
      </c>
      <c r="J716" s="402">
        <f>IFERROR(INDEX('06_BANG_GIA_VAT_TU_AP_DUNG'!$E$1:$E$5000, MATCH(E716, '06_BANG_GIA_VAT_TU_AP_DUNG'!$B$1:$B$5000, 0)), 0)</f>
        <v/>
      </c>
      <c r="K716" s="402">
        <f>I716*J716</f>
        <v/>
      </c>
      <c r="L716" t="inlineStr">
        <is>
          <t>Lõi cánh tấm 20mm (Cánh đơn 200x200mm)</t>
        </is>
      </c>
    </row>
    <row r="717">
      <c r="A717" t="inlineStr">
        <is>
          <t>SW-DAMPER-127-FB10-BLADE</t>
        </is>
      </c>
      <c r="B717" t="inlineStr">
        <is>
          <t>SW-DAMPER-127</t>
        </is>
      </c>
      <c r="C717" t="inlineStr">
        <is>
          <t>Tấm chống cháy dày 10mm ốp 2 mặt cánh van FD/MFD</t>
        </is>
      </c>
      <c r="D717" t="inlineStr">
        <is>
          <t>VẬT_LIỆU_CÁCH_NHIỆT</t>
        </is>
      </c>
      <c r="E717" t="inlineStr">
        <is>
          <t>MAT-FIREBOARD-10MM-BLADE</t>
        </is>
      </c>
      <c r="F717" t="inlineStr">
        <is>
          <t>m2</t>
        </is>
      </c>
      <c r="G717" s="406" t="n">
        <v>0.08000000000000002</v>
      </c>
      <c r="H717" s="402">
        <f>IFERROR(INDEX('00_TONG_HOP_BAO_GIA'!$G$1:$G$5000, MATCH(B717, '00_TONG_HOP_BAO_GIA'!$B$1:$B$5000, 0)), 1)</f>
        <v/>
      </c>
      <c r="I717" s="407">
        <f>G717*H717</f>
        <v/>
      </c>
      <c r="J717" s="402">
        <f>IFERROR(INDEX('06_BANG_GIA_VAT_TU_AP_DUNG'!$E$1:$E$5000, MATCH(E717, '06_BANG_GIA_VAT_TU_AP_DUNG'!$B$1:$B$5000, 0)), 0)</f>
        <v/>
      </c>
      <c r="K717" s="402">
        <f>I717*J717</f>
        <v/>
      </c>
      <c r="L717" t="inlineStr">
        <is>
          <t>Ốp 2 mặt cánh tấm 10mm (Cánh đơn 200x200mm)</t>
        </is>
      </c>
    </row>
    <row r="718">
      <c r="A718" t="inlineStr">
        <is>
          <t>SW-DAMPER-127-SPRING-BOX</t>
        </is>
      </c>
      <c r="B718" t="inlineStr">
        <is>
          <t>SW-DAMPER-127</t>
        </is>
      </c>
      <c r="C718" t="inlineStr">
        <is>
          <t>Hộp lò xo van chặn lửa FD/MFD</t>
        </is>
      </c>
      <c r="D718" t="inlineStr">
        <is>
          <t>PHỤ_KIỆN_VAN</t>
        </is>
      </c>
      <c r="E718" t="inlineStr">
        <is>
          <t>MAT-DAMPER-HOP-LO-XO</t>
        </is>
      </c>
      <c r="F718" t="inlineStr">
        <is>
          <t>Bộ</t>
        </is>
      </c>
      <c r="G718" s="406" t="n">
        <v>1</v>
      </c>
      <c r="H718" s="402">
        <f>IFERROR(INDEX('00_TONG_HOP_BAO_GIA'!$G$1:$G$5000, MATCH(B718, '00_TONG_HOP_BAO_GIA'!$B$1:$B$5000, 0)), 1)</f>
        <v/>
      </c>
      <c r="I718" s="407">
        <f>G718*H718</f>
        <v/>
      </c>
      <c r="J718" s="402">
        <f>IFERROR(INDEX('06_BANG_GIA_VAT_TU_AP_DUNG'!$E$1:$E$5000, MATCH(E718, '06_BANG_GIA_VAT_TU_AP_DUNG'!$B$1:$B$5000, 0)), 0)</f>
        <v/>
      </c>
      <c r="K718" s="402">
        <f>I718*J718</f>
        <v/>
      </c>
      <c r="L718" t="inlineStr">
        <is>
          <t>Hộp lò xo cơ cấu đóng sập (1 bộ)</t>
        </is>
      </c>
    </row>
    <row r="719">
      <c r="A719" t="inlineStr">
        <is>
          <t>SW-DAMPER-127-SILICON-BOLT</t>
        </is>
      </c>
      <c r="B719" t="inlineStr">
        <is>
          <t>SW-DAMPER-127</t>
        </is>
      </c>
      <c r="C719" t="inlineStr">
        <is>
          <t>Silicon chống cháy + bu lông, ốc vít van FD/MFD</t>
        </is>
      </c>
      <c r="D719" t="inlineStr">
        <is>
          <t>PHỤ_KIỆN_VAN</t>
        </is>
      </c>
      <c r="E719" t="inlineStr">
        <is>
          <t>MAT-DAMPER-SILICON-BULONG-VIT</t>
        </is>
      </c>
      <c r="F719" t="inlineStr">
        <is>
          <t>Bộ</t>
        </is>
      </c>
      <c r="G719" s="406" t="n">
        <v>1</v>
      </c>
      <c r="H719" s="402">
        <f>IFERROR(INDEX('00_TONG_HOP_BAO_GIA'!$G$1:$G$5000, MATCH(B719, '00_TONG_HOP_BAO_GIA'!$B$1:$B$5000, 0)), 1)</f>
        <v/>
      </c>
      <c r="I719" s="407">
        <f>G719*H719</f>
        <v/>
      </c>
      <c r="J719" s="402">
        <f>IFERROR(INDEX('06_BANG_GIA_VAT_TU_AP_DUNG'!$E$1:$E$5000, MATCH(E719, '06_BANG_GIA_VAT_TU_AP_DUNG'!$B$1:$B$5000, 0)), 0)</f>
        <v/>
      </c>
      <c r="K719" s="402">
        <f>I719*J719</f>
        <v/>
      </c>
      <c r="L719" t="inlineStr">
        <is>
          <t>Keo silicon chống cháy &amp; phụ kiện lắp ghép (1 bộ)</t>
        </is>
      </c>
    </row>
    <row r="720">
      <c r="A720" t="inlineStr">
        <is>
          <t>SW-DAMPER-128-BODY</t>
        </is>
      </c>
      <c r="B720" t="inlineStr">
        <is>
          <t>SW-DAMPER-128</t>
        </is>
      </c>
      <c r="C720" t="inlineStr">
        <is>
          <t>Thân vỏ van FD bích C30/TDF (1.15mm)</t>
        </is>
      </c>
      <c r="D720" t="inlineStr">
        <is>
          <t>TÔN_CUỘN_MẠ_KẼM</t>
        </is>
      </c>
      <c r="E720" t="inlineStr">
        <is>
          <t>MAT-STEEL-PN-1.15</t>
        </is>
      </c>
      <c r="F720" t="inlineStr">
        <is>
          <t>kg</t>
        </is>
      </c>
      <c r="G720" s="406" t="n">
        <v>2.917597725</v>
      </c>
      <c r="H720" s="402">
        <f>IFERROR(INDEX('00_TONG_HOP_BAO_GIA'!$G$1:$G$5000, MATCH(B720, '00_TONG_HOP_BAO_GIA'!$B$1:$B$5000, 0)), 1)</f>
        <v/>
      </c>
      <c r="I720" s="407">
        <f>G720*H720</f>
        <v/>
      </c>
      <c r="J720" s="402">
        <f>IFERROR(INDEX('06_BANG_GIA_VAT_TU_AP_DUNG'!$E$1:$E$5000, MATCH(E720, '06_BANG_GIA_VAT_TU_AP_DUNG'!$B$1:$B$5000, 0)), 0)</f>
        <v/>
      </c>
      <c r="K720" s="402">
        <f>I720*J720</f>
        <v/>
      </c>
      <c r="L720" t="inlineStr">
        <is>
          <t>Kích thước vỏ 350x200x200mm</t>
        </is>
      </c>
    </row>
    <row r="721">
      <c r="A721" t="inlineStr">
        <is>
          <t>SW-DAMPER-128-BLADE</t>
        </is>
      </c>
      <c r="B721" t="inlineStr">
        <is>
          <t>SW-DAMPER-128</t>
        </is>
      </c>
      <c r="C721" t="inlineStr">
        <is>
          <t>Lá cánh / Tôn tấm bọc van (1 cánh)</t>
        </is>
      </c>
      <c r="D721" t="inlineStr">
        <is>
          <t>TÔN_CUỘN_MẠ_KẼM</t>
        </is>
      </c>
      <c r="E721" t="inlineStr">
        <is>
          <t>MAT-STEEL-PN-1.15</t>
        </is>
      </c>
      <c r="F721" t="inlineStr">
        <is>
          <t>kg</t>
        </is>
      </c>
      <c r="G721" s="406" t="n">
        <v>1.26385</v>
      </c>
      <c r="H721" s="402">
        <f>IFERROR(INDEX('00_TONG_HOP_BAO_GIA'!$G$1:$G$5000, MATCH(B721, '00_TONG_HOP_BAO_GIA'!$B$1:$B$5000, 0)), 1)</f>
        <v/>
      </c>
      <c r="I721" s="407">
        <f>G721*H721</f>
        <v/>
      </c>
      <c r="J721" s="402">
        <f>IFERROR(INDEX('06_BANG_GIA_VAT_TU_AP_DUNG'!$E$1:$E$5000, MATCH(E721, '06_BANG_GIA_VAT_TU_AP_DUNG'!$B$1:$B$5000, 0)), 0)</f>
        <v/>
      </c>
      <c r="K721" s="402">
        <f>I721*J721</f>
        <v/>
      </c>
      <c r="L721" t="inlineStr">
        <is>
          <t>Tôn bọc cánh &amp; thân (1 cánh/modul)</t>
        </is>
      </c>
    </row>
    <row r="722">
      <c r="A722" t="inlineStr">
        <is>
          <t>SW-DAMPER-128-AXLE</t>
        </is>
      </c>
      <c r="B722" t="inlineStr">
        <is>
          <t>SW-DAMPER-128</t>
        </is>
      </c>
      <c r="C722" t="inlineStr">
        <is>
          <t>Trục Sus 201 D10</t>
        </is>
      </c>
      <c r="D722" t="inlineStr">
        <is>
          <t>PHỤ_KIỆN_VAN</t>
        </is>
      </c>
      <c r="E722" t="inlineStr">
        <is>
          <t>MAT-DAMPER-TRUC-SUS-201-D10</t>
        </is>
      </c>
      <c r="F722" t="inlineStr">
        <is>
          <t>m</t>
        </is>
      </c>
      <c r="G722" s="406" t="n">
        <v>0.41</v>
      </c>
      <c r="H722" s="402">
        <f>IFERROR(INDEX('00_TONG_HOP_BAO_GIA'!$G$1:$G$5000, MATCH(B722, '00_TONG_HOP_BAO_GIA'!$B$1:$B$5000, 0)), 1)</f>
        <v/>
      </c>
      <c r="I722" s="407">
        <f>G722*H722</f>
        <v/>
      </c>
      <c r="J722" s="402">
        <f>IFERROR(INDEX('06_BANG_GIA_VAT_TU_AP_DUNG'!$E$1:$E$5000, MATCH(E722, '06_BANG_GIA_VAT_TU_AP_DUNG'!$B$1:$B$5000, 0)), 0)</f>
        <v/>
      </c>
      <c r="K722" s="402">
        <f>I722*J722</f>
        <v/>
      </c>
      <c r="L722" t="inlineStr">
        <is>
          <t>1 trục dài 410mm</t>
        </is>
      </c>
    </row>
    <row r="723">
      <c r="A723" t="inlineStr">
        <is>
          <t>SW-DAMPER-128-BEARING</t>
        </is>
      </c>
      <c r="B723" t="inlineStr">
        <is>
          <t>SW-DAMPER-128</t>
        </is>
      </c>
      <c r="C723" t="inlineStr">
        <is>
          <t>Bạc đồng D10</t>
        </is>
      </c>
      <c r="D723" t="inlineStr">
        <is>
          <t>PHỤ_KIỆN_VAN</t>
        </is>
      </c>
      <c r="E723" t="inlineStr">
        <is>
          <t>MAT-DAMPER-BAC-DONG-D10</t>
        </is>
      </c>
      <c r="F723" t="inlineStr">
        <is>
          <t>Đôi</t>
        </is>
      </c>
      <c r="G723" s="406" t="n">
        <v>1</v>
      </c>
      <c r="H723" s="402">
        <f>IFERROR(INDEX('00_TONG_HOP_BAO_GIA'!$G$1:$G$5000, MATCH(B723, '00_TONG_HOP_BAO_GIA'!$B$1:$B$5000, 0)), 1)</f>
        <v/>
      </c>
      <c r="I723" s="407">
        <f>G723*H723</f>
        <v/>
      </c>
      <c r="J723" s="402">
        <f>IFERROR(INDEX('06_BANG_GIA_VAT_TU_AP_DUNG'!$E$1:$E$5000, MATCH(E723, '06_BANG_GIA_VAT_TU_AP_DUNG'!$B$1:$B$5000, 0)), 0)</f>
        <v/>
      </c>
      <c r="K723" s="402">
        <f>I723*J723</f>
        <v/>
      </c>
      <c r="L723" t="inlineStr">
        <is>
          <t>1 đôi bạc đỡ 2 bên thân</t>
        </is>
      </c>
    </row>
    <row r="724">
      <c r="A724" t="inlineStr">
        <is>
          <t>SW-DAMPER-128-FUSE</t>
        </is>
      </c>
      <c r="B724" t="inlineStr">
        <is>
          <t>SW-DAMPER-128</t>
        </is>
      </c>
      <c r="C724" t="inlineStr">
        <is>
          <t>Cầu chì nhiệt nóng chảy 70°C/74°C (Elsie/USA)</t>
        </is>
      </c>
      <c r="D724" t="inlineStr">
        <is>
          <t>PHỤ_KIỆN_VAN</t>
        </is>
      </c>
      <c r="E724" t="inlineStr">
        <is>
          <t>MAT-DAMPER-CAU-CHI-USA-1-400X400</t>
        </is>
      </c>
      <c r="F724" t="inlineStr">
        <is>
          <t>Cái</t>
        </is>
      </c>
      <c r="G724" s="406" t="n">
        <v>1</v>
      </c>
      <c r="H724" s="402">
        <f>IFERROR(INDEX('00_TONG_HOP_BAO_GIA'!$G$1:$G$5000, MATCH(B724, '00_TONG_HOP_BAO_GIA'!$B$1:$B$5000, 0)), 1)</f>
        <v/>
      </c>
      <c r="I724" s="407">
        <f>G724*H724</f>
        <v/>
      </c>
      <c r="J724" s="402">
        <f>IFERROR(INDEX('06_BANG_GIA_VAT_TU_AP_DUNG'!$E$1:$E$5000, MATCH(E724, '06_BANG_GIA_VAT_TU_AP_DUNG'!$B$1:$B$5000, 0)), 0)</f>
        <v/>
      </c>
      <c r="K724" s="402">
        <f>I724*J724</f>
        <v/>
      </c>
      <c r="L724" t="inlineStr">
        <is>
          <t>Cầu chì kiểm định PCCC (1 cái)</t>
        </is>
      </c>
    </row>
    <row r="725">
      <c r="A725" t="inlineStr">
        <is>
          <t>SW-DAMPER-128-FB10-BODY</t>
        </is>
      </c>
      <c r="B725" t="inlineStr">
        <is>
          <t>SW-DAMPER-128</t>
        </is>
      </c>
      <c r="C725" t="inlineStr">
        <is>
          <t>Tấm chống cháy dày 10mm bọc thân van FD/MFD (2 lớp)</t>
        </is>
      </c>
      <c r="D725" t="inlineStr">
        <is>
          <t>VẬT_LIỆU_CÁCH_NHIỆT</t>
        </is>
      </c>
      <c r="E725" t="inlineStr">
        <is>
          <t>MAT-FIREBOARD-10MM-BODY</t>
        </is>
      </c>
      <c r="F725" t="inlineStr">
        <is>
          <t>m2</t>
        </is>
      </c>
      <c r="G725" s="406" t="n">
        <v>0.66</v>
      </c>
      <c r="H725" s="402">
        <f>IFERROR(INDEX('00_TONG_HOP_BAO_GIA'!$G$1:$G$5000, MATCH(B725, '00_TONG_HOP_BAO_GIA'!$B$1:$B$5000, 0)), 1)</f>
        <v/>
      </c>
      <c r="I725" s="407">
        <f>G725*H725</f>
        <v/>
      </c>
      <c r="J725" s="402">
        <f>IFERROR(INDEX('06_BANG_GIA_VAT_TU_AP_DUNG'!$E$1:$E$5000, MATCH(E725, '06_BANG_GIA_VAT_TU_AP_DUNG'!$B$1:$B$5000, 0)), 0)</f>
        <v/>
      </c>
      <c r="K725" s="402">
        <f>I725*J725</f>
        <v/>
      </c>
      <c r="L725" t="inlineStr">
        <is>
          <t>Bọc 2 lớp tấm 10mm quanh thân L=300mm</t>
        </is>
      </c>
    </row>
    <row r="726">
      <c r="A726" t="inlineStr">
        <is>
          <t>SW-DAMPER-128-FB20-BLADE</t>
        </is>
      </c>
      <c r="B726" t="inlineStr">
        <is>
          <t>SW-DAMPER-128</t>
        </is>
      </c>
      <c r="C726" t="inlineStr">
        <is>
          <t>Tấm chống cháy dày 20mm làm lõi cánh van FD/MFD</t>
        </is>
      </c>
      <c r="D726" t="inlineStr">
        <is>
          <t>VẬT_LIỆU_CÁCH_NHIỆT</t>
        </is>
      </c>
      <c r="E726" t="inlineStr">
        <is>
          <t>MAT-FIREBOARD-20MM-BLADE</t>
        </is>
      </c>
      <c r="F726" t="inlineStr">
        <is>
          <t>m2</t>
        </is>
      </c>
      <c r="G726" s="406" t="n">
        <v>0.06999999999999999</v>
      </c>
      <c r="H726" s="402">
        <f>IFERROR(INDEX('00_TONG_HOP_BAO_GIA'!$G$1:$G$5000, MATCH(B726, '00_TONG_HOP_BAO_GIA'!$B$1:$B$5000, 0)), 1)</f>
        <v/>
      </c>
      <c r="I726" s="407">
        <f>G726*H726</f>
        <v/>
      </c>
      <c r="J726" s="402">
        <f>IFERROR(INDEX('06_BANG_GIA_VAT_TU_AP_DUNG'!$E$1:$E$5000, MATCH(E726, '06_BANG_GIA_VAT_TU_AP_DUNG'!$B$1:$B$5000, 0)), 0)</f>
        <v/>
      </c>
      <c r="K726" s="402">
        <f>I726*J726</f>
        <v/>
      </c>
      <c r="L726" t="inlineStr">
        <is>
          <t>Lõi cánh tấm 20mm (Cánh đơn 350x200mm)</t>
        </is>
      </c>
    </row>
    <row r="727">
      <c r="A727" t="inlineStr">
        <is>
          <t>SW-DAMPER-128-FB10-BLADE</t>
        </is>
      </c>
      <c r="B727" t="inlineStr">
        <is>
          <t>SW-DAMPER-128</t>
        </is>
      </c>
      <c r="C727" t="inlineStr">
        <is>
          <t>Tấm chống cháy dày 10mm ốp 2 mặt cánh van FD/MFD</t>
        </is>
      </c>
      <c r="D727" t="inlineStr">
        <is>
          <t>VẬT_LIỆU_CÁCH_NHIỆT</t>
        </is>
      </c>
      <c r="E727" t="inlineStr">
        <is>
          <t>MAT-FIREBOARD-10MM-BLADE</t>
        </is>
      </c>
      <c r="F727" t="inlineStr">
        <is>
          <t>m2</t>
        </is>
      </c>
      <c r="G727" s="406" t="n">
        <v>0.14</v>
      </c>
      <c r="H727" s="402">
        <f>IFERROR(INDEX('00_TONG_HOP_BAO_GIA'!$G$1:$G$5000, MATCH(B727, '00_TONG_HOP_BAO_GIA'!$B$1:$B$5000, 0)), 1)</f>
        <v/>
      </c>
      <c r="I727" s="407">
        <f>G727*H727</f>
        <v/>
      </c>
      <c r="J727" s="402">
        <f>IFERROR(INDEX('06_BANG_GIA_VAT_TU_AP_DUNG'!$E$1:$E$5000, MATCH(E727, '06_BANG_GIA_VAT_TU_AP_DUNG'!$B$1:$B$5000, 0)), 0)</f>
        <v/>
      </c>
      <c r="K727" s="402">
        <f>I727*J727</f>
        <v/>
      </c>
      <c r="L727" t="inlineStr">
        <is>
          <t>Ốp 2 mặt cánh tấm 10mm (Cánh đơn 350x200mm)</t>
        </is>
      </c>
    </row>
    <row r="728">
      <c r="A728" t="inlineStr">
        <is>
          <t>SW-DAMPER-128-SPRING-BOX</t>
        </is>
      </c>
      <c r="B728" t="inlineStr">
        <is>
          <t>SW-DAMPER-128</t>
        </is>
      </c>
      <c r="C728" t="inlineStr">
        <is>
          <t>Hộp lò xo van chặn lửa FD/MFD</t>
        </is>
      </c>
      <c r="D728" t="inlineStr">
        <is>
          <t>PHỤ_KIỆN_VAN</t>
        </is>
      </c>
      <c r="E728" t="inlineStr">
        <is>
          <t>MAT-DAMPER-HOP-LO-XO</t>
        </is>
      </c>
      <c r="F728" t="inlineStr">
        <is>
          <t>Bộ</t>
        </is>
      </c>
      <c r="G728" s="406" t="n">
        <v>1</v>
      </c>
      <c r="H728" s="402">
        <f>IFERROR(INDEX('00_TONG_HOP_BAO_GIA'!$G$1:$G$5000, MATCH(B728, '00_TONG_HOP_BAO_GIA'!$B$1:$B$5000, 0)), 1)</f>
        <v/>
      </c>
      <c r="I728" s="407">
        <f>G728*H728</f>
        <v/>
      </c>
      <c r="J728" s="402">
        <f>IFERROR(INDEX('06_BANG_GIA_VAT_TU_AP_DUNG'!$E$1:$E$5000, MATCH(E728, '06_BANG_GIA_VAT_TU_AP_DUNG'!$B$1:$B$5000, 0)), 0)</f>
        <v/>
      </c>
      <c r="K728" s="402">
        <f>I728*J728</f>
        <v/>
      </c>
      <c r="L728" t="inlineStr">
        <is>
          <t>Hộp lò xo cơ cấu đóng sập (1 bộ)</t>
        </is>
      </c>
    </row>
    <row r="729">
      <c r="A729" t="inlineStr">
        <is>
          <t>SW-DAMPER-128-SILICON-BOLT</t>
        </is>
      </c>
      <c r="B729" t="inlineStr">
        <is>
          <t>SW-DAMPER-128</t>
        </is>
      </c>
      <c r="C729" t="inlineStr">
        <is>
          <t>Silicon chống cháy + bu lông, ốc vít van FD/MFD</t>
        </is>
      </c>
      <c r="D729" t="inlineStr">
        <is>
          <t>PHỤ_KIỆN_VAN</t>
        </is>
      </c>
      <c r="E729" t="inlineStr">
        <is>
          <t>MAT-DAMPER-SILICON-BULONG-VIT</t>
        </is>
      </c>
      <c r="F729" t="inlineStr">
        <is>
          <t>Bộ</t>
        </is>
      </c>
      <c r="G729" s="406" t="n">
        <v>1</v>
      </c>
      <c r="H729" s="402">
        <f>IFERROR(INDEX('00_TONG_HOP_BAO_GIA'!$G$1:$G$5000, MATCH(B729, '00_TONG_HOP_BAO_GIA'!$B$1:$B$5000, 0)), 1)</f>
        <v/>
      </c>
      <c r="I729" s="407">
        <f>G729*H729</f>
        <v/>
      </c>
      <c r="J729" s="402">
        <f>IFERROR(INDEX('06_BANG_GIA_VAT_TU_AP_DUNG'!$E$1:$E$5000, MATCH(E729, '06_BANG_GIA_VAT_TU_AP_DUNG'!$B$1:$B$5000, 0)), 0)</f>
        <v/>
      </c>
      <c r="K729" s="402">
        <f>I729*J729</f>
        <v/>
      </c>
      <c r="L729" t="inlineStr">
        <is>
          <t>Keo silicon chống cháy &amp; phụ kiện lắp ghép (1 bộ)</t>
        </is>
      </c>
    </row>
    <row r="730">
      <c r="A730" t="inlineStr">
        <is>
          <t>SW-DAMPER-129-BODY</t>
        </is>
      </c>
      <c r="B730" t="inlineStr">
        <is>
          <t>SW-DAMPER-129</t>
        </is>
      </c>
      <c r="C730" t="inlineStr">
        <is>
          <t>Thân vỏ van FD bích C30/TDF (1.15mm)</t>
        </is>
      </c>
      <c r="D730" t="inlineStr">
        <is>
          <t>TÔN_CUỘN_MẠ_KẼM</t>
        </is>
      </c>
      <c r="E730" t="inlineStr">
        <is>
          <t>MAT-STEEL-PN-1.15</t>
        </is>
      </c>
      <c r="F730" t="inlineStr">
        <is>
          <t>kg</t>
        </is>
      </c>
      <c r="G730" s="406" t="n">
        <v>3.429456975</v>
      </c>
      <c r="H730" s="402">
        <f>IFERROR(INDEX('00_TONG_HOP_BAO_GIA'!$G$1:$G$5000, MATCH(B730, '00_TONG_HOP_BAO_GIA'!$B$1:$B$5000, 0)), 1)</f>
        <v/>
      </c>
      <c r="I730" s="407">
        <f>G730*H730</f>
        <v/>
      </c>
      <c r="J730" s="402">
        <f>IFERROR(INDEX('06_BANG_GIA_VAT_TU_AP_DUNG'!$E$1:$E$5000, MATCH(E730, '06_BANG_GIA_VAT_TU_AP_DUNG'!$B$1:$B$5000, 0)), 0)</f>
        <v/>
      </c>
      <c r="K730" s="402">
        <f>I730*J730</f>
        <v/>
      </c>
      <c r="L730" t="inlineStr">
        <is>
          <t>Kích thước vỏ 450x200x200mm</t>
        </is>
      </c>
    </row>
    <row r="731">
      <c r="A731" t="inlineStr">
        <is>
          <t>SW-DAMPER-129-BLADE</t>
        </is>
      </c>
      <c r="B731" t="inlineStr">
        <is>
          <t>SW-DAMPER-129</t>
        </is>
      </c>
      <c r="C731" t="inlineStr">
        <is>
          <t>Lá cánh / Tôn tấm bọc van (1 cánh)</t>
        </is>
      </c>
      <c r="D731" t="inlineStr">
        <is>
          <t>TÔN_CUỘN_MẠ_KẼM</t>
        </is>
      </c>
      <c r="E731" t="inlineStr">
        <is>
          <t>MAT-STEEL-PN-1.15</t>
        </is>
      </c>
      <c r="F731" t="inlineStr">
        <is>
          <t>kg</t>
        </is>
      </c>
      <c r="G731" s="406" t="n">
        <v>1.62495</v>
      </c>
      <c r="H731" s="402">
        <f>IFERROR(INDEX('00_TONG_HOP_BAO_GIA'!$G$1:$G$5000, MATCH(B731, '00_TONG_HOP_BAO_GIA'!$B$1:$B$5000, 0)), 1)</f>
        <v/>
      </c>
      <c r="I731" s="407">
        <f>G731*H731</f>
        <v/>
      </c>
      <c r="J731" s="402">
        <f>IFERROR(INDEX('06_BANG_GIA_VAT_TU_AP_DUNG'!$E$1:$E$5000, MATCH(E731, '06_BANG_GIA_VAT_TU_AP_DUNG'!$B$1:$B$5000, 0)), 0)</f>
        <v/>
      </c>
      <c r="K731" s="402">
        <f>I731*J731</f>
        <v/>
      </c>
      <c r="L731" t="inlineStr">
        <is>
          <t>Tôn bọc cánh &amp; thân (1 cánh/modul)</t>
        </is>
      </c>
    </row>
    <row r="732">
      <c r="A732" t="inlineStr">
        <is>
          <t>SW-DAMPER-129-AXLE</t>
        </is>
      </c>
      <c r="B732" t="inlineStr">
        <is>
          <t>SW-DAMPER-129</t>
        </is>
      </c>
      <c r="C732" t="inlineStr">
        <is>
          <t>Trục Sus 201 D10</t>
        </is>
      </c>
      <c r="D732" t="inlineStr">
        <is>
          <t>PHỤ_KIỆN_VAN</t>
        </is>
      </c>
      <c r="E732" t="inlineStr">
        <is>
          <t>MAT-DAMPER-TRUC-SUS-201-D10</t>
        </is>
      </c>
      <c r="F732" t="inlineStr">
        <is>
          <t>m</t>
        </is>
      </c>
      <c r="G732" s="406" t="n">
        <v>0.51</v>
      </c>
      <c r="H732" s="402">
        <f>IFERROR(INDEX('00_TONG_HOP_BAO_GIA'!$G$1:$G$5000, MATCH(B732, '00_TONG_HOP_BAO_GIA'!$B$1:$B$5000, 0)), 1)</f>
        <v/>
      </c>
      <c r="I732" s="407">
        <f>G732*H732</f>
        <v/>
      </c>
      <c r="J732" s="402">
        <f>IFERROR(INDEX('06_BANG_GIA_VAT_TU_AP_DUNG'!$E$1:$E$5000, MATCH(E732, '06_BANG_GIA_VAT_TU_AP_DUNG'!$B$1:$B$5000, 0)), 0)</f>
        <v/>
      </c>
      <c r="K732" s="402">
        <f>I732*J732</f>
        <v/>
      </c>
      <c r="L732" t="inlineStr">
        <is>
          <t>1 trục dài 510mm</t>
        </is>
      </c>
    </row>
    <row r="733">
      <c r="A733" t="inlineStr">
        <is>
          <t>SW-DAMPER-129-BEARING</t>
        </is>
      </c>
      <c r="B733" t="inlineStr">
        <is>
          <t>SW-DAMPER-129</t>
        </is>
      </c>
      <c r="C733" t="inlineStr">
        <is>
          <t>Bạc đồng D10</t>
        </is>
      </c>
      <c r="D733" t="inlineStr">
        <is>
          <t>PHỤ_KIỆN_VAN</t>
        </is>
      </c>
      <c r="E733" t="inlineStr">
        <is>
          <t>MAT-DAMPER-BAC-DONG-D10</t>
        </is>
      </c>
      <c r="F733" t="inlineStr">
        <is>
          <t>Đôi</t>
        </is>
      </c>
      <c r="G733" s="406" t="n">
        <v>1</v>
      </c>
      <c r="H733" s="402">
        <f>IFERROR(INDEX('00_TONG_HOP_BAO_GIA'!$G$1:$G$5000, MATCH(B733, '00_TONG_HOP_BAO_GIA'!$B$1:$B$5000, 0)), 1)</f>
        <v/>
      </c>
      <c r="I733" s="407">
        <f>G733*H733</f>
        <v/>
      </c>
      <c r="J733" s="402">
        <f>IFERROR(INDEX('06_BANG_GIA_VAT_TU_AP_DUNG'!$E$1:$E$5000, MATCH(E733, '06_BANG_GIA_VAT_TU_AP_DUNG'!$B$1:$B$5000, 0)), 0)</f>
        <v/>
      </c>
      <c r="K733" s="402">
        <f>I733*J733</f>
        <v/>
      </c>
      <c r="L733" t="inlineStr">
        <is>
          <t>1 đôi bạc đỡ 2 bên thân</t>
        </is>
      </c>
    </row>
    <row r="734">
      <c r="A734" t="inlineStr">
        <is>
          <t>SW-DAMPER-129-FUSE</t>
        </is>
      </c>
      <c r="B734" t="inlineStr">
        <is>
          <t>SW-DAMPER-129</t>
        </is>
      </c>
      <c r="C734" t="inlineStr">
        <is>
          <t>Cầu chì nhiệt nóng chảy 70°C/74°C (Elsie/USA)</t>
        </is>
      </c>
      <c r="D734" t="inlineStr">
        <is>
          <t>PHỤ_KIỆN_VAN</t>
        </is>
      </c>
      <c r="E734" t="inlineStr">
        <is>
          <t>MAT-DAMPER-CAU-CHI-USA-2-400X400</t>
        </is>
      </c>
      <c r="F734" t="inlineStr">
        <is>
          <t>Cái</t>
        </is>
      </c>
      <c r="G734" s="406" t="n">
        <v>1</v>
      </c>
      <c r="H734" s="402">
        <f>IFERROR(INDEX('00_TONG_HOP_BAO_GIA'!$G$1:$G$5000, MATCH(B734, '00_TONG_HOP_BAO_GIA'!$B$1:$B$5000, 0)), 1)</f>
        <v/>
      </c>
      <c r="I734" s="407">
        <f>G734*H734</f>
        <v/>
      </c>
      <c r="J734" s="402">
        <f>IFERROR(INDEX('06_BANG_GIA_VAT_TU_AP_DUNG'!$E$1:$E$5000, MATCH(E734, '06_BANG_GIA_VAT_TU_AP_DUNG'!$B$1:$B$5000, 0)), 0)</f>
        <v/>
      </c>
      <c r="K734" s="402">
        <f>I734*J734</f>
        <v/>
      </c>
      <c r="L734" t="inlineStr">
        <is>
          <t>Cầu chì kiểm định PCCC (1 cái)</t>
        </is>
      </c>
    </row>
    <row r="735">
      <c r="A735" t="inlineStr">
        <is>
          <t>SW-DAMPER-129-FB10-BODY</t>
        </is>
      </c>
      <c r="B735" t="inlineStr">
        <is>
          <t>SW-DAMPER-129</t>
        </is>
      </c>
      <c r="C735" t="inlineStr">
        <is>
          <t>Tấm chống cháy dày 10mm bọc thân van FD/MFD (2 lớp)</t>
        </is>
      </c>
      <c r="D735" t="inlineStr">
        <is>
          <t>VẬT_LIỆU_CÁCH_NHIỆT</t>
        </is>
      </c>
      <c r="E735" t="inlineStr">
        <is>
          <t>MAT-FIREBOARD-10MM-BODY</t>
        </is>
      </c>
      <c r="F735" t="inlineStr">
        <is>
          <t>m2</t>
        </is>
      </c>
      <c r="G735" s="406" t="n">
        <v>0.78</v>
      </c>
      <c r="H735" s="402">
        <f>IFERROR(INDEX('00_TONG_HOP_BAO_GIA'!$G$1:$G$5000, MATCH(B735, '00_TONG_HOP_BAO_GIA'!$B$1:$B$5000, 0)), 1)</f>
        <v/>
      </c>
      <c r="I735" s="407">
        <f>G735*H735</f>
        <v/>
      </c>
      <c r="J735" s="402">
        <f>IFERROR(INDEX('06_BANG_GIA_VAT_TU_AP_DUNG'!$E$1:$E$5000, MATCH(E735, '06_BANG_GIA_VAT_TU_AP_DUNG'!$B$1:$B$5000, 0)), 0)</f>
        <v/>
      </c>
      <c r="K735" s="402">
        <f>I735*J735</f>
        <v/>
      </c>
      <c r="L735" t="inlineStr">
        <is>
          <t>Bọc 2 lớp tấm 10mm quanh thân L=300mm</t>
        </is>
      </c>
    </row>
    <row r="736">
      <c r="A736" t="inlineStr">
        <is>
          <t>SW-DAMPER-129-FB20-BLADE</t>
        </is>
      </c>
      <c r="B736" t="inlineStr">
        <is>
          <t>SW-DAMPER-129</t>
        </is>
      </c>
      <c r="C736" t="inlineStr">
        <is>
          <t>Tấm chống cháy dày 20mm làm lõi cánh van FD/MFD</t>
        </is>
      </c>
      <c r="D736" t="inlineStr">
        <is>
          <t>VẬT_LIỆU_CÁCH_NHIỆT</t>
        </is>
      </c>
      <c r="E736" t="inlineStr">
        <is>
          <t>MAT-FIREBOARD-20MM-BLADE</t>
        </is>
      </c>
      <c r="F736" t="inlineStr">
        <is>
          <t>m2</t>
        </is>
      </c>
      <c r="G736" s="406" t="n">
        <v>0.09000000000000001</v>
      </c>
      <c r="H736" s="402">
        <f>IFERROR(INDEX('00_TONG_HOP_BAO_GIA'!$G$1:$G$5000, MATCH(B736, '00_TONG_HOP_BAO_GIA'!$B$1:$B$5000, 0)), 1)</f>
        <v/>
      </c>
      <c r="I736" s="407">
        <f>G736*H736</f>
        <v/>
      </c>
      <c r="J736" s="402">
        <f>IFERROR(INDEX('06_BANG_GIA_VAT_TU_AP_DUNG'!$E$1:$E$5000, MATCH(E736, '06_BANG_GIA_VAT_TU_AP_DUNG'!$B$1:$B$5000, 0)), 0)</f>
        <v/>
      </c>
      <c r="K736" s="402">
        <f>I736*J736</f>
        <v/>
      </c>
      <c r="L736" t="inlineStr">
        <is>
          <t>Lõi cánh tấm 20mm (Cánh đơn 450x200mm)</t>
        </is>
      </c>
    </row>
    <row r="737">
      <c r="A737" t="inlineStr">
        <is>
          <t>SW-DAMPER-129-FB10-BLADE</t>
        </is>
      </c>
      <c r="B737" t="inlineStr">
        <is>
          <t>SW-DAMPER-129</t>
        </is>
      </c>
      <c r="C737" t="inlineStr">
        <is>
          <t>Tấm chống cháy dày 10mm ốp 2 mặt cánh van FD/MFD</t>
        </is>
      </c>
      <c r="D737" t="inlineStr">
        <is>
          <t>VẬT_LIỆU_CÁCH_NHIỆT</t>
        </is>
      </c>
      <c r="E737" t="inlineStr">
        <is>
          <t>MAT-FIREBOARD-10MM-BLADE</t>
        </is>
      </c>
      <c r="F737" t="inlineStr">
        <is>
          <t>m2</t>
        </is>
      </c>
      <c r="G737" s="406" t="n">
        <v>0.18</v>
      </c>
      <c r="H737" s="402">
        <f>IFERROR(INDEX('00_TONG_HOP_BAO_GIA'!$G$1:$G$5000, MATCH(B737, '00_TONG_HOP_BAO_GIA'!$B$1:$B$5000, 0)), 1)</f>
        <v/>
      </c>
      <c r="I737" s="407">
        <f>G737*H737</f>
        <v/>
      </c>
      <c r="J737" s="402">
        <f>IFERROR(INDEX('06_BANG_GIA_VAT_TU_AP_DUNG'!$E$1:$E$5000, MATCH(E737, '06_BANG_GIA_VAT_TU_AP_DUNG'!$B$1:$B$5000, 0)), 0)</f>
        <v/>
      </c>
      <c r="K737" s="402">
        <f>I737*J737</f>
        <v/>
      </c>
      <c r="L737" t="inlineStr">
        <is>
          <t>Ốp 2 mặt cánh tấm 10mm (Cánh đơn 450x200mm)</t>
        </is>
      </c>
    </row>
    <row r="738">
      <c r="A738" t="inlineStr">
        <is>
          <t>SW-DAMPER-129-SPRING-BOX</t>
        </is>
      </c>
      <c r="B738" t="inlineStr">
        <is>
          <t>SW-DAMPER-129</t>
        </is>
      </c>
      <c r="C738" t="inlineStr">
        <is>
          <t>Hộp lò xo van chặn lửa FD/MFD</t>
        </is>
      </c>
      <c r="D738" t="inlineStr">
        <is>
          <t>PHỤ_KIỆN_VAN</t>
        </is>
      </c>
      <c r="E738" t="inlineStr">
        <is>
          <t>MAT-DAMPER-HOP-LO-XO</t>
        </is>
      </c>
      <c r="F738" t="inlineStr">
        <is>
          <t>Bộ</t>
        </is>
      </c>
      <c r="G738" s="406" t="n">
        <v>1</v>
      </c>
      <c r="H738" s="402">
        <f>IFERROR(INDEX('00_TONG_HOP_BAO_GIA'!$G$1:$G$5000, MATCH(B738, '00_TONG_HOP_BAO_GIA'!$B$1:$B$5000, 0)), 1)</f>
        <v/>
      </c>
      <c r="I738" s="407">
        <f>G738*H738</f>
        <v/>
      </c>
      <c r="J738" s="402">
        <f>IFERROR(INDEX('06_BANG_GIA_VAT_TU_AP_DUNG'!$E$1:$E$5000, MATCH(E738, '06_BANG_GIA_VAT_TU_AP_DUNG'!$B$1:$B$5000, 0)), 0)</f>
        <v/>
      </c>
      <c r="K738" s="402">
        <f>I738*J738</f>
        <v/>
      </c>
      <c r="L738" t="inlineStr">
        <is>
          <t>Hộp lò xo cơ cấu đóng sập (1 bộ)</t>
        </is>
      </c>
    </row>
    <row r="739">
      <c r="A739" t="inlineStr">
        <is>
          <t>SW-DAMPER-129-SILICON-BOLT</t>
        </is>
      </c>
      <c r="B739" t="inlineStr">
        <is>
          <t>SW-DAMPER-129</t>
        </is>
      </c>
      <c r="C739" t="inlineStr">
        <is>
          <t>Silicon chống cháy + bu lông, ốc vít van FD/MFD</t>
        </is>
      </c>
      <c r="D739" t="inlineStr">
        <is>
          <t>PHỤ_KIỆN_VAN</t>
        </is>
      </c>
      <c r="E739" t="inlineStr">
        <is>
          <t>MAT-DAMPER-SILICON-BULONG-VIT</t>
        </is>
      </c>
      <c r="F739" t="inlineStr">
        <is>
          <t>Bộ</t>
        </is>
      </c>
      <c r="G739" s="406" t="n">
        <v>1</v>
      </c>
      <c r="H739" s="402">
        <f>IFERROR(INDEX('00_TONG_HOP_BAO_GIA'!$G$1:$G$5000, MATCH(B739, '00_TONG_HOP_BAO_GIA'!$B$1:$B$5000, 0)), 1)</f>
        <v/>
      </c>
      <c r="I739" s="407">
        <f>G739*H739</f>
        <v/>
      </c>
      <c r="J739" s="402">
        <f>IFERROR(INDEX('06_BANG_GIA_VAT_TU_AP_DUNG'!$E$1:$E$5000, MATCH(E739, '06_BANG_GIA_VAT_TU_AP_DUNG'!$B$1:$B$5000, 0)), 0)</f>
        <v/>
      </c>
      <c r="K739" s="402">
        <f>I739*J739</f>
        <v/>
      </c>
      <c r="L739" t="inlineStr">
        <is>
          <t>Keo silicon chống cháy &amp; phụ kiện lắp ghép (1 bộ)</t>
        </is>
      </c>
    </row>
    <row r="740">
      <c r="A740" t="inlineStr">
        <is>
          <t>SW-DAMPER-130-BODY</t>
        </is>
      </c>
      <c r="B740" t="inlineStr">
        <is>
          <t>SW-DAMPER-130</t>
        </is>
      </c>
      <c r="C740" t="inlineStr">
        <is>
          <t>Thân vỏ van MD bích C30/TDF (0.75mm)</t>
        </is>
      </c>
      <c r="D740" t="inlineStr">
        <is>
          <t>TÔN_CUỘN_MẠ_KẼM</t>
        </is>
      </c>
      <c r="E740" t="inlineStr">
        <is>
          <t>MAT-STEEL-PN-0.75</t>
        </is>
      </c>
      <c r="F740" t="inlineStr">
        <is>
          <t>kg</t>
        </is>
      </c>
      <c r="G740" s="406" t="n">
        <v>1.6270695</v>
      </c>
      <c r="H740" s="402">
        <f>IFERROR(INDEX('00_TONG_HOP_BAO_GIA'!$G$1:$G$5000, MATCH(B740, '00_TONG_HOP_BAO_GIA'!$B$1:$B$5000, 0)), 1)</f>
        <v/>
      </c>
      <c r="I740" s="407">
        <f>G740*H740</f>
        <v/>
      </c>
      <c r="J740" s="402">
        <f>IFERROR(INDEX('06_BANG_GIA_VAT_TU_AP_DUNG'!$E$1:$E$5000, MATCH(E740, '06_BANG_GIA_VAT_TU_AP_DUNG'!$B$1:$B$5000, 0)), 0)</f>
        <v/>
      </c>
      <c r="K740" s="402">
        <f>I740*J740</f>
        <v/>
      </c>
      <c r="L740" t="inlineStr">
        <is>
          <t>Kích thước vỏ 300x150x210mm</t>
        </is>
      </c>
    </row>
    <row r="741">
      <c r="A741" t="inlineStr">
        <is>
          <t>SW-DAMPER-130-BLADE</t>
        </is>
      </c>
      <c r="B741" t="inlineStr">
        <is>
          <t>SW-DAMPER-130</t>
        </is>
      </c>
      <c r="C741" t="inlineStr">
        <is>
          <t>Lá cánh / Tôn tấm bọc van (1 cánh)</t>
        </is>
      </c>
      <c r="D741" t="inlineStr">
        <is>
          <t>TÔN_CUỘN_MẠ_KẼM</t>
        </is>
      </c>
      <c r="E741" t="inlineStr">
        <is>
          <t>MAT-STEEL-PN-0.75</t>
        </is>
      </c>
      <c r="F741" t="inlineStr">
        <is>
          <t>kg</t>
        </is>
      </c>
      <c r="G741" s="406" t="n">
        <v>0.3242835</v>
      </c>
      <c r="H741" s="402">
        <f>IFERROR(INDEX('00_TONG_HOP_BAO_GIA'!$G$1:$G$5000, MATCH(B741, '00_TONG_HOP_BAO_GIA'!$B$1:$B$5000, 0)), 1)</f>
        <v/>
      </c>
      <c r="I741" s="407">
        <f>G741*H741</f>
        <v/>
      </c>
      <c r="J741" s="402">
        <f>IFERROR(INDEX('06_BANG_GIA_VAT_TU_AP_DUNG'!$E$1:$E$5000, MATCH(E741, '06_BANG_GIA_VAT_TU_AP_DUNG'!$B$1:$B$5000, 0)), 0)</f>
        <v/>
      </c>
      <c r="K741" s="402">
        <f>I741*J741</f>
        <v/>
      </c>
      <c r="L741" t="inlineStr">
        <is>
          <t>1 cánh cao 170mm</t>
        </is>
      </c>
    </row>
    <row r="742">
      <c r="A742" t="inlineStr">
        <is>
          <t>SW-DAMPER-130-AXLE</t>
        </is>
      </c>
      <c r="B742" t="inlineStr">
        <is>
          <t>SW-DAMPER-130</t>
        </is>
      </c>
      <c r="C742" t="inlineStr">
        <is>
          <t>Trục Sus 201 D10</t>
        </is>
      </c>
      <c r="D742" t="inlineStr">
        <is>
          <t>PHỤ_KIỆN_VAN</t>
        </is>
      </c>
      <c r="E742" t="inlineStr">
        <is>
          <t>MAT-DAMPER-TRUC-SUS-201-D10</t>
        </is>
      </c>
      <c r="F742" t="inlineStr">
        <is>
          <t>m</t>
        </is>
      </c>
      <c r="G742" s="406" t="n">
        <v>0.36</v>
      </c>
      <c r="H742" s="402">
        <f>IFERROR(INDEX('00_TONG_HOP_BAO_GIA'!$G$1:$G$5000, MATCH(B742, '00_TONG_HOP_BAO_GIA'!$B$1:$B$5000, 0)), 1)</f>
        <v/>
      </c>
      <c r="I742" s="407">
        <f>G742*H742</f>
        <v/>
      </c>
      <c r="J742" s="402">
        <f>IFERROR(INDEX('06_BANG_GIA_VAT_TU_AP_DUNG'!$E$1:$E$5000, MATCH(E742, '06_BANG_GIA_VAT_TU_AP_DUNG'!$B$1:$B$5000, 0)), 0)</f>
        <v/>
      </c>
      <c r="K742" s="402">
        <f>I742*J742</f>
        <v/>
      </c>
      <c r="L742" t="inlineStr">
        <is>
          <t>1 trục dài 360mm</t>
        </is>
      </c>
    </row>
    <row r="743">
      <c r="A743" t="inlineStr">
        <is>
          <t>SW-DAMPER-130-BEARING</t>
        </is>
      </c>
      <c r="B743" t="inlineStr">
        <is>
          <t>SW-DAMPER-130</t>
        </is>
      </c>
      <c r="C743" t="inlineStr">
        <is>
          <t>Bạc đồng D10</t>
        </is>
      </c>
      <c r="D743" t="inlineStr">
        <is>
          <t>PHỤ_KIỆN_VAN</t>
        </is>
      </c>
      <c r="E743" t="inlineStr">
        <is>
          <t>MAT-DAMPER-BAC-DONG-D10</t>
        </is>
      </c>
      <c r="F743" t="inlineStr">
        <is>
          <t>Đôi</t>
        </is>
      </c>
      <c r="G743" s="406" t="n">
        <v>1</v>
      </c>
      <c r="H743" s="402">
        <f>IFERROR(INDEX('00_TONG_HOP_BAO_GIA'!$G$1:$G$5000, MATCH(B743, '00_TONG_HOP_BAO_GIA'!$B$1:$B$5000, 0)), 1)</f>
        <v/>
      </c>
      <c r="I743" s="407">
        <f>G743*H743</f>
        <v/>
      </c>
      <c r="J743" s="402">
        <f>IFERROR(INDEX('06_BANG_GIA_VAT_TU_AP_DUNG'!$E$1:$E$5000, MATCH(E743, '06_BANG_GIA_VAT_TU_AP_DUNG'!$B$1:$B$5000, 0)), 0)</f>
        <v/>
      </c>
      <c r="K743" s="402">
        <f>I743*J743</f>
        <v/>
      </c>
      <c r="L743" t="inlineStr">
        <is>
          <t>1 đôi bạc đỡ 2 bên thân</t>
        </is>
      </c>
    </row>
    <row r="744">
      <c r="A744" t="inlineStr">
        <is>
          <t>SW-DAMPER-130-ACTUATOR</t>
        </is>
      </c>
      <c r="B744" t="inlineStr">
        <is>
          <t>SW-DAMPER-130</t>
        </is>
      </c>
      <c r="C744" t="inlineStr">
        <is>
          <t>Động cơ van gió Belimo ON/OFF 5Nm</t>
        </is>
      </c>
      <c r="D744" t="inlineStr">
        <is>
          <t>ĐỘNG_CƠ_VÀ_CẢM_BIẾN</t>
        </is>
      </c>
      <c r="E744" t="inlineStr">
        <is>
          <t>MAT-ACTUATOR-BELIMO-5NM</t>
        </is>
      </c>
      <c r="F744" t="inlineStr">
        <is>
          <t>Cái</t>
        </is>
      </c>
      <c r="G744" s="406" t="n">
        <v>1</v>
      </c>
      <c r="H744" s="402">
        <f>IFERROR(INDEX('00_TONG_HOP_BAO_GIA'!$G$1:$G$5000, MATCH(B744, '00_TONG_HOP_BAO_GIA'!$B$1:$B$5000, 0)), 1)</f>
        <v/>
      </c>
      <c r="I744" s="407">
        <f>G744*H744</f>
        <v/>
      </c>
      <c r="J744" s="402">
        <f>IFERROR(INDEX('06_BANG_GIA_VAT_TU_AP_DUNG'!$E$1:$E$5000, MATCH(E744, '06_BANG_GIA_VAT_TU_AP_DUNG'!$B$1:$B$5000, 0)), 0)</f>
        <v/>
      </c>
      <c r="K744" s="402">
        <f>I744*J744</f>
        <v/>
      </c>
      <c r="L744" t="inlineStr">
        <is>
          <t>Tiết diện 0.04m2/modul (1 bộ)</t>
        </is>
      </c>
    </row>
    <row r="745">
      <c r="A745" t="inlineStr">
        <is>
          <t>SW-DAMPER-131-BODY</t>
        </is>
      </c>
      <c r="B745" t="inlineStr">
        <is>
          <t>SW-DAMPER-131</t>
        </is>
      </c>
      <c r="C745" t="inlineStr">
        <is>
          <t>Thân vỏ van VCD bích C30/TDF (0.75mm)</t>
        </is>
      </c>
      <c r="D745" t="inlineStr">
        <is>
          <t>TÔN_CUỘN_MẠ_KẼM</t>
        </is>
      </c>
      <c r="E745" t="inlineStr">
        <is>
          <t>MAT-STEEL-PN-0.75</t>
        </is>
      </c>
      <c r="F745" t="inlineStr">
        <is>
          <t>kg</t>
        </is>
      </c>
      <c r="G745" s="406" t="n">
        <v>2.146347</v>
      </c>
      <c r="H745" s="402">
        <f>IFERROR(INDEX('00_TONG_HOP_BAO_GIA'!$G$1:$G$5000, MATCH(B745, '00_TONG_HOP_BAO_GIA'!$B$1:$B$5000, 0)), 1)</f>
        <v/>
      </c>
      <c r="I745" s="407">
        <f>G745*H745</f>
        <v/>
      </c>
      <c r="J745" s="402">
        <f>IFERROR(INDEX('06_BANG_GIA_VAT_TU_AP_DUNG'!$E$1:$E$5000, MATCH(E745, '06_BANG_GIA_VAT_TU_AP_DUNG'!$B$1:$B$5000, 0)), 0)</f>
        <v/>
      </c>
      <c r="K745" s="402">
        <f>I745*J745</f>
        <v/>
      </c>
      <c r="L745" t="inlineStr">
        <is>
          <t>Kích thước vỏ 300x300x210mm</t>
        </is>
      </c>
    </row>
    <row r="746">
      <c r="A746" t="inlineStr">
        <is>
          <t>SW-DAMPER-131-BLADE</t>
        </is>
      </c>
      <c r="B746" t="inlineStr">
        <is>
          <t>SW-DAMPER-131</t>
        </is>
      </c>
      <c r="C746" t="inlineStr">
        <is>
          <t>Lá cánh / Tôn tấm bọc van (2 cánh)</t>
        </is>
      </c>
      <c r="D746" t="inlineStr">
        <is>
          <t>TÔN_CUỘN_MẠ_KẼM</t>
        </is>
      </c>
      <c r="E746" t="inlineStr">
        <is>
          <t>MAT-STEEL-PN-0.75</t>
        </is>
      </c>
      <c r="F746" t="inlineStr">
        <is>
          <t>kg</t>
        </is>
      </c>
      <c r="G746" s="406" t="n">
        <v>0.648567</v>
      </c>
      <c r="H746" s="402">
        <f>IFERROR(INDEX('00_TONG_HOP_BAO_GIA'!$G$1:$G$5000, MATCH(B746, '00_TONG_HOP_BAO_GIA'!$B$1:$B$5000, 0)), 1)</f>
        <v/>
      </c>
      <c r="I746" s="407">
        <f>G746*H746</f>
        <v/>
      </c>
      <c r="J746" s="402">
        <f>IFERROR(INDEX('06_BANG_GIA_VAT_TU_AP_DUNG'!$E$1:$E$5000, MATCH(E746, '06_BANG_GIA_VAT_TU_AP_DUNG'!$B$1:$B$5000, 0)), 0)</f>
        <v/>
      </c>
      <c r="K746" s="402">
        <f>I746*J746</f>
        <v/>
      </c>
      <c r="L746" t="inlineStr">
        <is>
          <t>2 cánh cao 170mm</t>
        </is>
      </c>
    </row>
    <row r="747">
      <c r="A747" t="inlineStr">
        <is>
          <t>SW-DAMPER-131-AXLE</t>
        </is>
      </c>
      <c r="B747" t="inlineStr">
        <is>
          <t>SW-DAMPER-131</t>
        </is>
      </c>
      <c r="C747" t="inlineStr">
        <is>
          <t>Trục Sus 201 D10</t>
        </is>
      </c>
      <c r="D747" t="inlineStr">
        <is>
          <t>PHỤ_KIỆN_VAN</t>
        </is>
      </c>
      <c r="E747" t="inlineStr">
        <is>
          <t>MAT-DAMPER-TRUC-SUS-201-D10</t>
        </is>
      </c>
      <c r="F747" t="inlineStr">
        <is>
          <t>m</t>
        </is>
      </c>
      <c r="G747" s="406" t="n">
        <v>0.72</v>
      </c>
      <c r="H747" s="402">
        <f>IFERROR(INDEX('00_TONG_HOP_BAO_GIA'!$G$1:$G$5000, MATCH(B747, '00_TONG_HOP_BAO_GIA'!$B$1:$B$5000, 0)), 1)</f>
        <v/>
      </c>
      <c r="I747" s="407">
        <f>G747*H747</f>
        <v/>
      </c>
      <c r="J747" s="402">
        <f>IFERROR(INDEX('06_BANG_GIA_VAT_TU_AP_DUNG'!$E$1:$E$5000, MATCH(E747, '06_BANG_GIA_VAT_TU_AP_DUNG'!$B$1:$B$5000, 0)), 0)</f>
        <v/>
      </c>
      <c r="K747" s="402">
        <f>I747*J747</f>
        <v/>
      </c>
      <c r="L747" t="inlineStr">
        <is>
          <t>2 trục dài 360mm</t>
        </is>
      </c>
    </row>
    <row r="748">
      <c r="A748" t="inlineStr">
        <is>
          <t>SW-DAMPER-131-BEARING</t>
        </is>
      </c>
      <c r="B748" t="inlineStr">
        <is>
          <t>SW-DAMPER-131</t>
        </is>
      </c>
      <c r="C748" t="inlineStr">
        <is>
          <t>Bạc đồng D10</t>
        </is>
      </c>
      <c r="D748" t="inlineStr">
        <is>
          <t>PHỤ_KIỆN_VAN</t>
        </is>
      </c>
      <c r="E748" t="inlineStr">
        <is>
          <t>MAT-DAMPER-BAC-DONG-D10</t>
        </is>
      </c>
      <c r="F748" t="inlineStr">
        <is>
          <t>Đôi</t>
        </is>
      </c>
      <c r="G748" s="406" t="n">
        <v>2</v>
      </c>
      <c r="H748" s="402">
        <f>IFERROR(INDEX('00_TONG_HOP_BAO_GIA'!$G$1:$G$5000, MATCH(B748, '00_TONG_HOP_BAO_GIA'!$B$1:$B$5000, 0)), 1)</f>
        <v/>
      </c>
      <c r="I748" s="407">
        <f>G748*H748</f>
        <v/>
      </c>
      <c r="J748" s="402">
        <f>IFERROR(INDEX('06_BANG_GIA_VAT_TU_AP_DUNG'!$E$1:$E$5000, MATCH(E748, '06_BANG_GIA_VAT_TU_AP_DUNG'!$B$1:$B$5000, 0)), 0)</f>
        <v/>
      </c>
      <c r="K748" s="402">
        <f>I748*J748</f>
        <v/>
      </c>
      <c r="L748" t="inlineStr">
        <is>
          <t>2 đôi bạc đỡ 2 bên thân</t>
        </is>
      </c>
    </row>
    <row r="749">
      <c r="A749" t="inlineStr">
        <is>
          <t>SW-DAMPER-131-GEAR</t>
        </is>
      </c>
      <c r="B749" t="inlineStr">
        <is>
          <t>SW-DAMPER-131</t>
        </is>
      </c>
      <c r="C749" t="inlineStr">
        <is>
          <t>Bánh răng van nhôm</t>
        </is>
      </c>
      <c r="D749" t="inlineStr">
        <is>
          <t>PHỤ_KIỆN_VAN</t>
        </is>
      </c>
      <c r="E749" t="inlineStr">
        <is>
          <t>MAT-DAMPER-BANH-RANG-VAN-NHOM</t>
        </is>
      </c>
      <c r="F749" t="inlineStr">
        <is>
          <t>Bộ</t>
        </is>
      </c>
      <c r="G749" s="406" t="n">
        <v>1</v>
      </c>
      <c r="H749" s="402">
        <f>IFERROR(INDEX('00_TONG_HOP_BAO_GIA'!$G$1:$G$5000, MATCH(B749, '00_TONG_HOP_BAO_GIA'!$B$1:$B$5000, 0)), 1)</f>
        <v/>
      </c>
      <c r="I749" s="407">
        <f>G749*H749</f>
        <v/>
      </c>
      <c r="J749" s="402">
        <f>IFERROR(INDEX('06_BANG_GIA_VAT_TU_AP_DUNG'!$E$1:$E$5000, MATCH(E749, '06_BANG_GIA_VAT_TU_AP_DUNG'!$B$1:$B$5000, 0)), 0)</f>
        <v/>
      </c>
      <c r="K749" s="402">
        <f>I749*J749</f>
        <v/>
      </c>
      <c r="L749" t="inlineStr">
        <is>
          <t>Cơ cấu liên động cánh (1 bộ)</t>
        </is>
      </c>
    </row>
    <row r="750">
      <c r="A750" t="inlineStr">
        <is>
          <t>SW-DAMPER-131-HANDLE</t>
        </is>
      </c>
      <c r="B750" t="inlineStr">
        <is>
          <t>SW-DAMPER-131</t>
        </is>
      </c>
      <c r="C750" t="inlineStr">
        <is>
          <t>Tay gạt nhỏ</t>
        </is>
      </c>
      <c r="D750" t="inlineStr">
        <is>
          <t>PHỤ_KIỆN_VAN</t>
        </is>
      </c>
      <c r="E750" t="inlineStr">
        <is>
          <t>MAT-DAMPER-TAY-GAT-NHO</t>
        </is>
      </c>
      <c r="F750" t="inlineStr">
        <is>
          <t>Bộ</t>
        </is>
      </c>
      <c r="G750" s="406" t="n">
        <v>1</v>
      </c>
      <c r="H750" s="402">
        <f>IFERROR(INDEX('00_TONG_HOP_BAO_GIA'!$G$1:$G$5000, MATCH(B750, '00_TONG_HOP_BAO_GIA'!$B$1:$B$5000, 0)), 1)</f>
        <v/>
      </c>
      <c r="I750" s="407">
        <f>G750*H750</f>
        <v/>
      </c>
      <c r="J750" s="402">
        <f>IFERROR(INDEX('06_BANG_GIA_VAT_TU_AP_DUNG'!$E$1:$E$5000, MATCH(E750, '06_BANG_GIA_VAT_TU_AP_DUNG'!$B$1:$B$5000, 0)), 0)</f>
        <v/>
      </c>
      <c r="K750" s="402">
        <f>I750*J750</f>
        <v/>
      </c>
      <c r="L750" t="inlineStr">
        <is>
          <t>Tay gạt khóa vị trí nan (S=0.09m2)</t>
        </is>
      </c>
    </row>
    <row r="751">
      <c r="A751" t="inlineStr">
        <is>
          <t>SW-DAMPER-132-BODY</t>
        </is>
      </c>
      <c r="B751" t="inlineStr">
        <is>
          <t>SW-DAMPER-132</t>
        </is>
      </c>
      <c r="C751" t="inlineStr">
        <is>
          <t>Thân vỏ van VCD bích C30/TDF (0.75mm)</t>
        </is>
      </c>
      <c r="D751" t="inlineStr">
        <is>
          <t>TÔN_CUỘN_MẠ_KẼM</t>
        </is>
      </c>
      <c r="E751" t="inlineStr">
        <is>
          <t>MAT-STEEL-PN-0.75</t>
        </is>
      </c>
      <c r="F751" t="inlineStr">
        <is>
          <t>kg</t>
        </is>
      </c>
      <c r="G751" s="406" t="n">
        <v>6.715989</v>
      </c>
      <c r="H751" s="402">
        <f>IFERROR(INDEX('00_TONG_HOP_BAO_GIA'!$G$1:$G$5000, MATCH(B751, '00_TONG_HOP_BAO_GIA'!$B$1:$B$5000, 0)), 1)</f>
        <v/>
      </c>
      <c r="I751" s="407">
        <f>G751*H751</f>
        <v/>
      </c>
      <c r="J751" s="402">
        <f>IFERROR(INDEX('06_BANG_GIA_VAT_TU_AP_DUNG'!$E$1:$E$5000, MATCH(E751, '06_BANG_GIA_VAT_TU_AP_DUNG'!$B$1:$B$5000, 0)), 0)</f>
        <v/>
      </c>
      <c r="K751" s="402">
        <f>I751*J751</f>
        <v/>
      </c>
      <c r="L751" t="inlineStr">
        <is>
          <t>Kích thước vỏ 1300x300x210mm (2 modul 650x300mm)</t>
        </is>
      </c>
    </row>
    <row r="752">
      <c r="A752" t="inlineStr">
        <is>
          <t>SW-DAMPER-132-BLADE</t>
        </is>
      </c>
      <c r="B752" t="inlineStr">
        <is>
          <t>SW-DAMPER-132</t>
        </is>
      </c>
      <c r="C752" t="inlineStr">
        <is>
          <t>Lá cánh / Tôn tấm bọc van (4 cánh)</t>
        </is>
      </c>
      <c r="D752" t="inlineStr">
        <is>
          <t>TÔN_CUỘN_MẠ_KẼM</t>
        </is>
      </c>
      <c r="E752" t="inlineStr">
        <is>
          <t>MAT-STEEL-PN-0.75</t>
        </is>
      </c>
      <c r="F752" t="inlineStr">
        <is>
          <t>kg</t>
        </is>
      </c>
      <c r="G752" s="406" t="n">
        <v>2.810457</v>
      </c>
      <c r="H752" s="402">
        <f>IFERROR(INDEX('00_TONG_HOP_BAO_GIA'!$G$1:$G$5000, MATCH(B752, '00_TONG_HOP_BAO_GIA'!$B$1:$B$5000, 0)), 1)</f>
        <v/>
      </c>
      <c r="I752" s="407">
        <f>G752*H752</f>
        <v/>
      </c>
      <c r="J752" s="402">
        <f>IFERROR(INDEX('06_BANG_GIA_VAT_TU_AP_DUNG'!$E$1:$E$5000, MATCH(E752, '06_BANG_GIA_VAT_TU_AP_DUNG'!$B$1:$B$5000, 0)), 0)</f>
        <v/>
      </c>
      <c r="K752" s="402">
        <f>I752*J752</f>
        <v/>
      </c>
      <c r="L752" t="inlineStr">
        <is>
          <t>4 cánh cao 170mm (2 modul 650x300mm)</t>
        </is>
      </c>
    </row>
    <row r="753">
      <c r="A753" t="inlineStr">
        <is>
          <t>SW-DAMPER-132-AXLE</t>
        </is>
      </c>
      <c r="B753" t="inlineStr">
        <is>
          <t>SW-DAMPER-132</t>
        </is>
      </c>
      <c r="C753" t="inlineStr">
        <is>
          <t>Trục Sus 201 D10</t>
        </is>
      </c>
      <c r="D753" t="inlineStr">
        <is>
          <t>PHỤ_KIỆN_VAN</t>
        </is>
      </c>
      <c r="E753" t="inlineStr">
        <is>
          <t>MAT-DAMPER-TRUC-SUS-201-D10</t>
        </is>
      </c>
      <c r="F753" t="inlineStr">
        <is>
          <t>m</t>
        </is>
      </c>
      <c r="G753" s="406" t="n">
        <v>2.84</v>
      </c>
      <c r="H753" s="402">
        <f>IFERROR(INDEX('00_TONG_HOP_BAO_GIA'!$G$1:$G$5000, MATCH(B753, '00_TONG_HOP_BAO_GIA'!$B$1:$B$5000, 0)), 1)</f>
        <v/>
      </c>
      <c r="I753" s="407">
        <f>G753*H753</f>
        <v/>
      </c>
      <c r="J753" s="402">
        <f>IFERROR(INDEX('06_BANG_GIA_VAT_TU_AP_DUNG'!$E$1:$E$5000, MATCH(E753, '06_BANG_GIA_VAT_TU_AP_DUNG'!$B$1:$B$5000, 0)), 0)</f>
        <v/>
      </c>
      <c r="K753" s="402">
        <f>I753*J753</f>
        <v/>
      </c>
      <c r="L753" t="inlineStr">
        <is>
          <t>4 trục dài 710mm</t>
        </is>
      </c>
    </row>
    <row r="754">
      <c r="A754" t="inlineStr">
        <is>
          <t>SW-DAMPER-132-BEARING</t>
        </is>
      </c>
      <c r="B754" t="inlineStr">
        <is>
          <t>SW-DAMPER-132</t>
        </is>
      </c>
      <c r="C754" t="inlineStr">
        <is>
          <t>Bạc đồng D10</t>
        </is>
      </c>
      <c r="D754" t="inlineStr">
        <is>
          <t>PHỤ_KIỆN_VAN</t>
        </is>
      </c>
      <c r="E754" t="inlineStr">
        <is>
          <t>MAT-DAMPER-BAC-DONG-D10</t>
        </is>
      </c>
      <c r="F754" t="inlineStr">
        <is>
          <t>Đôi</t>
        </is>
      </c>
      <c r="G754" s="406" t="n">
        <v>4</v>
      </c>
      <c r="H754" s="402">
        <f>IFERROR(INDEX('00_TONG_HOP_BAO_GIA'!$G$1:$G$5000, MATCH(B754, '00_TONG_HOP_BAO_GIA'!$B$1:$B$5000, 0)), 1)</f>
        <v/>
      </c>
      <c r="I754" s="407">
        <f>G754*H754</f>
        <v/>
      </c>
      <c r="J754" s="402">
        <f>IFERROR(INDEX('06_BANG_GIA_VAT_TU_AP_DUNG'!$E$1:$E$5000, MATCH(E754, '06_BANG_GIA_VAT_TU_AP_DUNG'!$B$1:$B$5000, 0)), 0)</f>
        <v/>
      </c>
      <c r="K754" s="402">
        <f>I754*J754</f>
        <v/>
      </c>
      <c r="L754" t="inlineStr">
        <is>
          <t>4 đôi bạc đỡ 2 bên thân</t>
        </is>
      </c>
    </row>
    <row r="755">
      <c r="A755" t="inlineStr">
        <is>
          <t>SW-DAMPER-132-GEAR</t>
        </is>
      </c>
      <c r="B755" t="inlineStr">
        <is>
          <t>SW-DAMPER-132</t>
        </is>
      </c>
      <c r="C755" t="inlineStr">
        <is>
          <t>Bánh răng van nhôm</t>
        </is>
      </c>
      <c r="D755" t="inlineStr">
        <is>
          <t>PHỤ_KIỆN_VAN</t>
        </is>
      </c>
      <c r="E755" t="inlineStr">
        <is>
          <t>MAT-DAMPER-BANH-RANG-VAN-NHOM</t>
        </is>
      </c>
      <c r="F755" t="inlineStr">
        <is>
          <t>Bộ</t>
        </is>
      </c>
      <c r="G755" s="406" t="n">
        <v>2</v>
      </c>
      <c r="H755" s="402">
        <f>IFERROR(INDEX('00_TONG_HOP_BAO_GIA'!$G$1:$G$5000, MATCH(B755, '00_TONG_HOP_BAO_GIA'!$B$1:$B$5000, 0)), 1)</f>
        <v/>
      </c>
      <c r="I755" s="407">
        <f>G755*H755</f>
        <v/>
      </c>
      <c r="J755" s="402">
        <f>IFERROR(INDEX('06_BANG_GIA_VAT_TU_AP_DUNG'!$E$1:$E$5000, MATCH(E755, '06_BANG_GIA_VAT_TU_AP_DUNG'!$B$1:$B$5000, 0)), 0)</f>
        <v/>
      </c>
      <c r="K755" s="402">
        <f>I755*J755</f>
        <v/>
      </c>
      <c r="L755" t="inlineStr">
        <is>
          <t>Cơ cấu liên động cánh (2 bộ)</t>
        </is>
      </c>
    </row>
    <row r="756">
      <c r="A756" t="inlineStr">
        <is>
          <t>SW-DAMPER-132-HANDLE</t>
        </is>
      </c>
      <c r="B756" t="inlineStr">
        <is>
          <t>SW-DAMPER-132</t>
        </is>
      </c>
      <c r="C756" t="inlineStr">
        <is>
          <t>Tay gạt nhỏ</t>
        </is>
      </c>
      <c r="D756" t="inlineStr">
        <is>
          <t>PHỤ_KIỆN_VAN</t>
        </is>
      </c>
      <c r="E756" t="inlineStr">
        <is>
          <t>MAT-DAMPER-TAY-GAT-NHO</t>
        </is>
      </c>
      <c r="F756" t="inlineStr">
        <is>
          <t>Bộ</t>
        </is>
      </c>
      <c r="G756" s="406" t="n">
        <v>2</v>
      </c>
      <c r="H756" s="402">
        <f>IFERROR(INDEX('00_TONG_HOP_BAO_GIA'!$G$1:$G$5000, MATCH(B756, '00_TONG_HOP_BAO_GIA'!$B$1:$B$5000, 0)), 1)</f>
        <v/>
      </c>
      <c r="I756" s="407">
        <f>G756*H756</f>
        <v/>
      </c>
      <c r="J756" s="402">
        <f>IFERROR(INDEX('06_BANG_GIA_VAT_TU_AP_DUNG'!$E$1:$E$5000, MATCH(E756, '06_BANG_GIA_VAT_TU_AP_DUNG'!$B$1:$B$5000, 0)), 0)</f>
        <v/>
      </c>
      <c r="K756" s="402">
        <f>I756*J756</f>
        <v/>
      </c>
      <c r="L756" t="inlineStr">
        <is>
          <t>Tay gạt khóa vị trí nan (S=0.20m2)</t>
        </is>
      </c>
    </row>
    <row r="757">
      <c r="A757" t="inlineStr">
        <is>
          <t>SW-DAMPER-132-FB10-EI</t>
        </is>
      </c>
      <c r="B757" t="inlineStr">
        <is>
          <t>SW-DAMPER-132</t>
        </is>
      </c>
      <c r="C757" t="inlineStr">
        <is>
          <t>Tấm chống cháy dày 10mm bọc thân van VCD (EI60)</t>
        </is>
      </c>
      <c r="D757" t="inlineStr">
        <is>
          <t>VẬT_LIỆU_CÁCH_NHIỆT</t>
        </is>
      </c>
      <c r="E757" t="inlineStr">
        <is>
          <t>MAT-FIREBOARD-10MM-BODY</t>
        </is>
      </c>
      <c r="F757" t="inlineStr">
        <is>
          <t>m2</t>
        </is>
      </c>
      <c r="G757" s="406" t="n">
        <v>1.1362</v>
      </c>
      <c r="H757" s="402">
        <f>IFERROR(INDEX('00_TONG_HOP_BAO_GIA'!$G$1:$G$5000, MATCH(B757, '00_TONG_HOP_BAO_GIA'!$B$1:$B$5000, 0)), 1)</f>
        <v/>
      </c>
      <c r="I757" s="407">
        <f>G757*H757</f>
        <v/>
      </c>
      <c r="J757" s="402">
        <f>IFERROR(INDEX('06_BANG_GIA_VAT_TU_AP_DUNG'!$E$1:$E$5000, MATCH(E757, '06_BANG_GIA_VAT_TU_AP_DUNG'!$B$1:$B$5000, 0)), 0)</f>
        <v/>
      </c>
      <c r="K757" s="402">
        <f>I757*J757</f>
        <v/>
      </c>
      <c r="L757" t="inlineStr">
        <is>
          <t>Bọc chống cháy EI60 quanh thân van (2 modul 650x300mm)</t>
        </is>
      </c>
    </row>
    <row r="758">
      <c r="A758" t="inlineStr">
        <is>
          <t>SW-DAMPER-133-BODY</t>
        </is>
      </c>
      <c r="B758" t="inlineStr">
        <is>
          <t>SW-DAMPER-133</t>
        </is>
      </c>
      <c r="C758" t="inlineStr">
        <is>
          <t>Thân vỏ van VCD bích C30/TDF (0.75mm)</t>
        </is>
      </c>
      <c r="D758" t="inlineStr">
        <is>
          <t>TÔN_CUỘN_MẠ_KẼM</t>
        </is>
      </c>
      <c r="E758" t="inlineStr">
        <is>
          <t>MAT-STEEL-PN-0.75</t>
        </is>
      </c>
      <c r="F758" t="inlineStr">
        <is>
          <t>kg</t>
        </is>
      </c>
      <c r="G758" s="406" t="n">
        <v>1.107792</v>
      </c>
      <c r="H758" s="402">
        <f>IFERROR(INDEX('00_TONG_HOP_BAO_GIA'!$G$1:$G$5000, MATCH(B758, '00_TONG_HOP_BAO_GIA'!$B$1:$B$5000, 0)), 1)</f>
        <v/>
      </c>
      <c r="I758" s="407">
        <f>G758*H758</f>
        <v/>
      </c>
      <c r="J758" s="402">
        <f>IFERROR(INDEX('06_BANG_GIA_VAT_TU_AP_DUNG'!$E$1:$E$5000, MATCH(E758, '06_BANG_GIA_VAT_TU_AP_DUNG'!$B$1:$B$5000, 0)), 0)</f>
        <v/>
      </c>
      <c r="K758" s="402">
        <f>I758*J758</f>
        <v/>
      </c>
      <c r="L758" t="inlineStr">
        <is>
          <t>Kích thước vỏ 150x150x210mm</t>
        </is>
      </c>
    </row>
    <row r="759">
      <c r="A759" t="inlineStr">
        <is>
          <t>SW-DAMPER-133-BLADE</t>
        </is>
      </c>
      <c r="B759" t="inlineStr">
        <is>
          <t>SW-DAMPER-133</t>
        </is>
      </c>
      <c r="C759" t="inlineStr">
        <is>
          <t>Lá cánh / Tôn tấm bọc van (1 cánh)</t>
        </is>
      </c>
      <c r="D759" t="inlineStr">
        <is>
          <t>TÔN_CUỘN_MẠ_KẼM</t>
        </is>
      </c>
      <c r="E759" t="inlineStr">
        <is>
          <t>MAT-STEEL-PN-0.75</t>
        </is>
      </c>
      <c r="F759" t="inlineStr">
        <is>
          <t>kg</t>
        </is>
      </c>
      <c r="G759" s="406" t="n">
        <v>0.16214175</v>
      </c>
      <c r="H759" s="402">
        <f>IFERROR(INDEX('00_TONG_HOP_BAO_GIA'!$G$1:$G$5000, MATCH(B759, '00_TONG_HOP_BAO_GIA'!$B$1:$B$5000, 0)), 1)</f>
        <v/>
      </c>
      <c r="I759" s="407">
        <f>G759*H759</f>
        <v/>
      </c>
      <c r="J759" s="402">
        <f>IFERROR(INDEX('06_BANG_GIA_VAT_TU_AP_DUNG'!$E$1:$E$5000, MATCH(E759, '06_BANG_GIA_VAT_TU_AP_DUNG'!$B$1:$B$5000, 0)), 0)</f>
        <v/>
      </c>
      <c r="K759" s="402">
        <f>I759*J759</f>
        <v/>
      </c>
      <c r="L759" t="inlineStr">
        <is>
          <t>1 cánh cao 170mm</t>
        </is>
      </c>
    </row>
    <row r="760">
      <c r="A760" t="inlineStr">
        <is>
          <t>SW-DAMPER-133-AXLE</t>
        </is>
      </c>
      <c r="B760" t="inlineStr">
        <is>
          <t>SW-DAMPER-133</t>
        </is>
      </c>
      <c r="C760" t="inlineStr">
        <is>
          <t>Trục Sus 201 D10</t>
        </is>
      </c>
      <c r="D760" t="inlineStr">
        <is>
          <t>PHỤ_KIỆN_VAN</t>
        </is>
      </c>
      <c r="E760" t="inlineStr">
        <is>
          <t>MAT-DAMPER-TRUC-SUS-201-D10</t>
        </is>
      </c>
      <c r="F760" t="inlineStr">
        <is>
          <t>m</t>
        </is>
      </c>
      <c r="G760" s="406" t="n">
        <v>0.21</v>
      </c>
      <c r="H760" s="402">
        <f>IFERROR(INDEX('00_TONG_HOP_BAO_GIA'!$G$1:$G$5000, MATCH(B760, '00_TONG_HOP_BAO_GIA'!$B$1:$B$5000, 0)), 1)</f>
        <v/>
      </c>
      <c r="I760" s="407">
        <f>G760*H760</f>
        <v/>
      </c>
      <c r="J760" s="402">
        <f>IFERROR(INDEX('06_BANG_GIA_VAT_TU_AP_DUNG'!$E$1:$E$5000, MATCH(E760, '06_BANG_GIA_VAT_TU_AP_DUNG'!$B$1:$B$5000, 0)), 0)</f>
        <v/>
      </c>
      <c r="K760" s="402">
        <f>I760*J760</f>
        <v/>
      </c>
      <c r="L760" t="inlineStr">
        <is>
          <t>1 trục dài 210mm</t>
        </is>
      </c>
    </row>
    <row r="761">
      <c r="A761" t="inlineStr">
        <is>
          <t>SW-DAMPER-133-BEARING</t>
        </is>
      </c>
      <c r="B761" t="inlineStr">
        <is>
          <t>SW-DAMPER-133</t>
        </is>
      </c>
      <c r="C761" t="inlineStr">
        <is>
          <t>Bạc đồng D10</t>
        </is>
      </c>
      <c r="D761" t="inlineStr">
        <is>
          <t>PHỤ_KIỆN_VAN</t>
        </is>
      </c>
      <c r="E761" t="inlineStr">
        <is>
          <t>MAT-DAMPER-BAC-DONG-D10</t>
        </is>
      </c>
      <c r="F761" t="inlineStr">
        <is>
          <t>Đôi</t>
        </is>
      </c>
      <c r="G761" s="406" t="n">
        <v>1</v>
      </c>
      <c r="H761" s="402">
        <f>IFERROR(INDEX('00_TONG_HOP_BAO_GIA'!$G$1:$G$5000, MATCH(B761, '00_TONG_HOP_BAO_GIA'!$B$1:$B$5000, 0)), 1)</f>
        <v/>
      </c>
      <c r="I761" s="407">
        <f>G761*H761</f>
        <v/>
      </c>
      <c r="J761" s="402">
        <f>IFERROR(INDEX('06_BANG_GIA_VAT_TU_AP_DUNG'!$E$1:$E$5000, MATCH(E761, '06_BANG_GIA_VAT_TU_AP_DUNG'!$B$1:$B$5000, 0)), 0)</f>
        <v/>
      </c>
      <c r="K761" s="402">
        <f>I761*J761</f>
        <v/>
      </c>
      <c r="L761" t="inlineStr">
        <is>
          <t>1 đôi bạc đỡ 2 bên thân</t>
        </is>
      </c>
    </row>
    <row r="762">
      <c r="A762" t="inlineStr">
        <is>
          <t>SW-DAMPER-133-HANDLE</t>
        </is>
      </c>
      <c r="B762" t="inlineStr">
        <is>
          <t>SW-DAMPER-133</t>
        </is>
      </c>
      <c r="C762" t="inlineStr">
        <is>
          <t>Tay gạt nhỏ</t>
        </is>
      </c>
      <c r="D762" t="inlineStr">
        <is>
          <t>PHỤ_KIỆN_VAN</t>
        </is>
      </c>
      <c r="E762" t="inlineStr">
        <is>
          <t>MAT-DAMPER-TAY-GAT-NHO</t>
        </is>
      </c>
      <c r="F762" t="inlineStr">
        <is>
          <t>Bộ</t>
        </is>
      </c>
      <c r="G762" s="406" t="n">
        <v>1</v>
      </c>
      <c r="H762" s="402">
        <f>IFERROR(INDEX('00_TONG_HOP_BAO_GIA'!$G$1:$G$5000, MATCH(B762, '00_TONG_HOP_BAO_GIA'!$B$1:$B$5000, 0)), 1)</f>
        <v/>
      </c>
      <c r="I762" s="407">
        <f>G762*H762</f>
        <v/>
      </c>
      <c r="J762" s="402">
        <f>IFERROR(INDEX('06_BANG_GIA_VAT_TU_AP_DUNG'!$E$1:$E$5000, MATCH(E762, '06_BANG_GIA_VAT_TU_AP_DUNG'!$B$1:$B$5000, 0)), 0)</f>
        <v/>
      </c>
      <c r="K762" s="402">
        <f>I762*J762</f>
        <v/>
      </c>
      <c r="L762" t="inlineStr">
        <is>
          <t>Tay gạt khóa vị trí nan (S=0.02m2)</t>
        </is>
      </c>
    </row>
    <row r="763">
      <c r="A763" t="inlineStr">
        <is>
          <t>SW-DAMPER-134-BODY</t>
        </is>
      </c>
      <c r="B763" t="inlineStr">
        <is>
          <t>SW-DAMPER-134</t>
        </is>
      </c>
      <c r="C763" t="inlineStr">
        <is>
          <t>Thân vỏ van VCD bích C30/TDF (0.75mm)</t>
        </is>
      </c>
      <c r="D763" t="inlineStr">
        <is>
          <t>TÔN_CUỘN_MẠ_KẼM</t>
        </is>
      </c>
      <c r="E763" t="inlineStr">
        <is>
          <t>MAT-STEEL-PN-0.75</t>
        </is>
      </c>
      <c r="F763" t="inlineStr">
        <is>
          <t>kg</t>
        </is>
      </c>
      <c r="G763" s="406" t="n">
        <v>1.107792</v>
      </c>
      <c r="H763" s="402">
        <f>IFERROR(INDEX('00_TONG_HOP_BAO_GIA'!$G$1:$G$5000, MATCH(B763, '00_TONG_HOP_BAO_GIA'!$B$1:$B$5000, 0)), 1)</f>
        <v/>
      </c>
      <c r="I763" s="407">
        <f>G763*H763</f>
        <v/>
      </c>
      <c r="J763" s="402">
        <f>IFERROR(INDEX('06_BANG_GIA_VAT_TU_AP_DUNG'!$E$1:$E$5000, MATCH(E763, '06_BANG_GIA_VAT_TU_AP_DUNG'!$B$1:$B$5000, 0)), 0)</f>
        <v/>
      </c>
      <c r="K763" s="402">
        <f>I763*J763</f>
        <v/>
      </c>
      <c r="L763" t="inlineStr">
        <is>
          <t>Kích thước vỏ 150x150x210mm</t>
        </is>
      </c>
    </row>
    <row r="764">
      <c r="A764" t="inlineStr">
        <is>
          <t>SW-DAMPER-134-BLADE</t>
        </is>
      </c>
      <c r="B764" t="inlineStr">
        <is>
          <t>SW-DAMPER-134</t>
        </is>
      </c>
      <c r="C764" t="inlineStr">
        <is>
          <t>Lá cánh / Tôn tấm bọc van (1 cánh)</t>
        </is>
      </c>
      <c r="D764" t="inlineStr">
        <is>
          <t>TÔN_CUỘN_MẠ_KẼM</t>
        </is>
      </c>
      <c r="E764" t="inlineStr">
        <is>
          <t>MAT-STEEL-PN-0.75</t>
        </is>
      </c>
      <c r="F764" t="inlineStr">
        <is>
          <t>kg</t>
        </is>
      </c>
      <c r="G764" s="406" t="n">
        <v>0.16214175</v>
      </c>
      <c r="H764" s="402">
        <f>IFERROR(INDEX('00_TONG_HOP_BAO_GIA'!$G$1:$G$5000, MATCH(B764, '00_TONG_HOP_BAO_GIA'!$B$1:$B$5000, 0)), 1)</f>
        <v/>
      </c>
      <c r="I764" s="407">
        <f>G764*H764</f>
        <v/>
      </c>
      <c r="J764" s="402">
        <f>IFERROR(INDEX('06_BANG_GIA_VAT_TU_AP_DUNG'!$E$1:$E$5000, MATCH(E764, '06_BANG_GIA_VAT_TU_AP_DUNG'!$B$1:$B$5000, 0)), 0)</f>
        <v/>
      </c>
      <c r="K764" s="402">
        <f>I764*J764</f>
        <v/>
      </c>
      <c r="L764" t="inlineStr">
        <is>
          <t>1 cánh cao 170mm</t>
        </is>
      </c>
    </row>
    <row r="765">
      <c r="A765" t="inlineStr">
        <is>
          <t>SW-DAMPER-134-AXLE</t>
        </is>
      </c>
      <c r="B765" t="inlineStr">
        <is>
          <t>SW-DAMPER-134</t>
        </is>
      </c>
      <c r="C765" t="inlineStr">
        <is>
          <t>Trục Sus 201 D10</t>
        </is>
      </c>
      <c r="D765" t="inlineStr">
        <is>
          <t>PHỤ_KIỆN_VAN</t>
        </is>
      </c>
      <c r="E765" t="inlineStr">
        <is>
          <t>MAT-DAMPER-TRUC-SUS-201-D10</t>
        </is>
      </c>
      <c r="F765" t="inlineStr">
        <is>
          <t>m</t>
        </is>
      </c>
      <c r="G765" s="406" t="n">
        <v>0.21</v>
      </c>
      <c r="H765" s="402">
        <f>IFERROR(INDEX('00_TONG_HOP_BAO_GIA'!$G$1:$G$5000, MATCH(B765, '00_TONG_HOP_BAO_GIA'!$B$1:$B$5000, 0)), 1)</f>
        <v/>
      </c>
      <c r="I765" s="407">
        <f>G765*H765</f>
        <v/>
      </c>
      <c r="J765" s="402">
        <f>IFERROR(INDEX('06_BANG_GIA_VAT_TU_AP_DUNG'!$E$1:$E$5000, MATCH(E765, '06_BANG_GIA_VAT_TU_AP_DUNG'!$B$1:$B$5000, 0)), 0)</f>
        <v/>
      </c>
      <c r="K765" s="402">
        <f>I765*J765</f>
        <v/>
      </c>
      <c r="L765" t="inlineStr">
        <is>
          <t>1 trục dài 210mm</t>
        </is>
      </c>
    </row>
    <row r="766">
      <c r="A766" t="inlineStr">
        <is>
          <t>SW-DAMPER-134-BEARING</t>
        </is>
      </c>
      <c r="B766" t="inlineStr">
        <is>
          <t>SW-DAMPER-134</t>
        </is>
      </c>
      <c r="C766" t="inlineStr">
        <is>
          <t>Bạc đồng D10</t>
        </is>
      </c>
      <c r="D766" t="inlineStr">
        <is>
          <t>PHỤ_KIỆN_VAN</t>
        </is>
      </c>
      <c r="E766" t="inlineStr">
        <is>
          <t>MAT-DAMPER-BAC-DONG-D10</t>
        </is>
      </c>
      <c r="F766" t="inlineStr">
        <is>
          <t>Đôi</t>
        </is>
      </c>
      <c r="G766" s="406" t="n">
        <v>1</v>
      </c>
      <c r="H766" s="402">
        <f>IFERROR(INDEX('00_TONG_HOP_BAO_GIA'!$G$1:$G$5000, MATCH(B766, '00_TONG_HOP_BAO_GIA'!$B$1:$B$5000, 0)), 1)</f>
        <v/>
      </c>
      <c r="I766" s="407">
        <f>G766*H766</f>
        <v/>
      </c>
      <c r="J766" s="402">
        <f>IFERROR(INDEX('06_BANG_GIA_VAT_TU_AP_DUNG'!$E$1:$E$5000, MATCH(E766, '06_BANG_GIA_VAT_TU_AP_DUNG'!$B$1:$B$5000, 0)), 0)</f>
        <v/>
      </c>
      <c r="K766" s="402">
        <f>I766*J766</f>
        <v/>
      </c>
      <c r="L766" t="inlineStr">
        <is>
          <t>1 đôi bạc đỡ 2 bên thân</t>
        </is>
      </c>
    </row>
    <row r="767">
      <c r="A767" t="inlineStr">
        <is>
          <t>SW-DAMPER-134-HANDLE</t>
        </is>
      </c>
      <c r="B767" t="inlineStr">
        <is>
          <t>SW-DAMPER-134</t>
        </is>
      </c>
      <c r="C767" t="inlineStr">
        <is>
          <t>Tay gạt nhỏ</t>
        </is>
      </c>
      <c r="D767" t="inlineStr">
        <is>
          <t>PHỤ_KIỆN_VAN</t>
        </is>
      </c>
      <c r="E767" t="inlineStr">
        <is>
          <t>MAT-DAMPER-TAY-GAT-NHO</t>
        </is>
      </c>
      <c r="F767" t="inlineStr">
        <is>
          <t>Bộ</t>
        </is>
      </c>
      <c r="G767" s="406" t="n">
        <v>1</v>
      </c>
      <c r="H767" s="402">
        <f>IFERROR(INDEX('00_TONG_HOP_BAO_GIA'!$G$1:$G$5000, MATCH(B767, '00_TONG_HOP_BAO_GIA'!$B$1:$B$5000, 0)), 1)</f>
        <v/>
      </c>
      <c r="I767" s="407">
        <f>G767*H767</f>
        <v/>
      </c>
      <c r="J767" s="402">
        <f>IFERROR(INDEX('06_BANG_GIA_VAT_TU_AP_DUNG'!$E$1:$E$5000, MATCH(E767, '06_BANG_GIA_VAT_TU_AP_DUNG'!$B$1:$B$5000, 0)), 0)</f>
        <v/>
      </c>
      <c r="K767" s="402">
        <f>I767*J767</f>
        <v/>
      </c>
      <c r="L767" t="inlineStr">
        <is>
          <t>Tay gạt khóa vị trí nan (S=0.02m2)</t>
        </is>
      </c>
    </row>
    <row r="768">
      <c r="A768" t="inlineStr">
        <is>
          <t>SW-DAMPER-135-BODY</t>
        </is>
      </c>
      <c r="B768" t="inlineStr">
        <is>
          <t>SW-DAMPER-135</t>
        </is>
      </c>
      <c r="C768" t="inlineStr">
        <is>
          <t>Thân vỏ van VCD bích C30/TDF (0.75mm)</t>
        </is>
      </c>
      <c r="D768" t="inlineStr">
        <is>
          <t>TÔN_CUỘN_MẠ_KẼM</t>
        </is>
      </c>
      <c r="E768" t="inlineStr">
        <is>
          <t>MAT-STEEL-PN-0.75</t>
        </is>
      </c>
      <c r="F768" t="inlineStr">
        <is>
          <t>kg</t>
        </is>
      </c>
      <c r="G768" s="406" t="n">
        <v>1.453977</v>
      </c>
      <c r="H768" s="402">
        <f>IFERROR(INDEX('00_TONG_HOP_BAO_GIA'!$G$1:$G$5000, MATCH(B768, '00_TONG_HOP_BAO_GIA'!$B$1:$B$5000, 0)), 1)</f>
        <v/>
      </c>
      <c r="I768" s="407">
        <f>G768*H768</f>
        <v/>
      </c>
      <c r="J768" s="402">
        <f>IFERROR(INDEX('06_BANG_GIA_VAT_TU_AP_DUNG'!$E$1:$E$5000, MATCH(E768, '06_BANG_GIA_VAT_TU_AP_DUNG'!$B$1:$B$5000, 0)), 0)</f>
        <v/>
      </c>
      <c r="K768" s="402">
        <f>I768*J768</f>
        <v/>
      </c>
      <c r="L768" t="inlineStr">
        <is>
          <t>Kích thước vỏ 200x200x210mm</t>
        </is>
      </c>
    </row>
    <row r="769">
      <c r="A769" t="inlineStr">
        <is>
          <t>SW-DAMPER-135-BLADE</t>
        </is>
      </c>
      <c r="B769" t="inlineStr">
        <is>
          <t>SW-DAMPER-135</t>
        </is>
      </c>
      <c r="C769" t="inlineStr">
        <is>
          <t>Lá cánh / Tôn tấm bọc van (2 cánh)</t>
        </is>
      </c>
      <c r="D769" t="inlineStr">
        <is>
          <t>TÔN_CUỘN_MẠ_KẼM</t>
        </is>
      </c>
      <c r="E769" t="inlineStr">
        <is>
          <t>MAT-STEEL-PN-0.75</t>
        </is>
      </c>
      <c r="F769" t="inlineStr">
        <is>
          <t>kg</t>
        </is>
      </c>
      <c r="G769" s="406" t="n">
        <v>0.305208</v>
      </c>
      <c r="H769" s="402">
        <f>IFERROR(INDEX('00_TONG_HOP_BAO_GIA'!$G$1:$G$5000, MATCH(B769, '00_TONG_HOP_BAO_GIA'!$B$1:$B$5000, 0)), 1)</f>
        <v/>
      </c>
      <c r="I769" s="407">
        <f>G769*H769</f>
        <v/>
      </c>
      <c r="J769" s="402">
        <f>IFERROR(INDEX('06_BANG_GIA_VAT_TU_AP_DUNG'!$E$1:$E$5000, MATCH(E769, '06_BANG_GIA_VAT_TU_AP_DUNG'!$B$1:$B$5000, 0)), 0)</f>
        <v/>
      </c>
      <c r="K769" s="402">
        <f>I769*J769</f>
        <v/>
      </c>
      <c r="L769" t="inlineStr">
        <is>
          <t>2 cánh cao 120mm</t>
        </is>
      </c>
    </row>
    <row r="770">
      <c r="A770" t="inlineStr">
        <is>
          <t>SW-DAMPER-135-AXLE</t>
        </is>
      </c>
      <c r="B770" t="inlineStr">
        <is>
          <t>SW-DAMPER-135</t>
        </is>
      </c>
      <c r="C770" t="inlineStr">
        <is>
          <t>Trục Sus 201 D10</t>
        </is>
      </c>
      <c r="D770" t="inlineStr">
        <is>
          <t>PHỤ_KIỆN_VAN</t>
        </is>
      </c>
      <c r="E770" t="inlineStr">
        <is>
          <t>MAT-DAMPER-TRUC-SUS-201-D10</t>
        </is>
      </c>
      <c r="F770" t="inlineStr">
        <is>
          <t>m</t>
        </is>
      </c>
      <c r="G770" s="406" t="n">
        <v>0.52</v>
      </c>
      <c r="H770" s="402">
        <f>IFERROR(INDEX('00_TONG_HOP_BAO_GIA'!$G$1:$G$5000, MATCH(B770, '00_TONG_HOP_BAO_GIA'!$B$1:$B$5000, 0)), 1)</f>
        <v/>
      </c>
      <c r="I770" s="407">
        <f>G770*H770</f>
        <v/>
      </c>
      <c r="J770" s="402">
        <f>IFERROR(INDEX('06_BANG_GIA_VAT_TU_AP_DUNG'!$E$1:$E$5000, MATCH(E770, '06_BANG_GIA_VAT_TU_AP_DUNG'!$B$1:$B$5000, 0)), 0)</f>
        <v/>
      </c>
      <c r="K770" s="402">
        <f>I770*J770</f>
        <v/>
      </c>
      <c r="L770" t="inlineStr">
        <is>
          <t>2 trục dài 260mm</t>
        </is>
      </c>
    </row>
    <row r="771">
      <c r="A771" t="inlineStr">
        <is>
          <t>SW-DAMPER-135-BEARING</t>
        </is>
      </c>
      <c r="B771" t="inlineStr">
        <is>
          <t>SW-DAMPER-135</t>
        </is>
      </c>
      <c r="C771" t="inlineStr">
        <is>
          <t>Bạc đồng D10</t>
        </is>
      </c>
      <c r="D771" t="inlineStr">
        <is>
          <t>PHỤ_KIỆN_VAN</t>
        </is>
      </c>
      <c r="E771" t="inlineStr">
        <is>
          <t>MAT-DAMPER-BAC-DONG-D10</t>
        </is>
      </c>
      <c r="F771" t="inlineStr">
        <is>
          <t>Đôi</t>
        </is>
      </c>
      <c r="G771" s="406" t="n">
        <v>2</v>
      </c>
      <c r="H771" s="402">
        <f>IFERROR(INDEX('00_TONG_HOP_BAO_GIA'!$G$1:$G$5000, MATCH(B771, '00_TONG_HOP_BAO_GIA'!$B$1:$B$5000, 0)), 1)</f>
        <v/>
      </c>
      <c r="I771" s="407">
        <f>G771*H771</f>
        <v/>
      </c>
      <c r="J771" s="402">
        <f>IFERROR(INDEX('06_BANG_GIA_VAT_TU_AP_DUNG'!$E$1:$E$5000, MATCH(E771, '06_BANG_GIA_VAT_TU_AP_DUNG'!$B$1:$B$5000, 0)), 0)</f>
        <v/>
      </c>
      <c r="K771" s="402">
        <f>I771*J771</f>
        <v/>
      </c>
      <c r="L771" t="inlineStr">
        <is>
          <t>2 đôi bạc đỡ 2 bên thân</t>
        </is>
      </c>
    </row>
    <row r="772">
      <c r="A772" t="inlineStr">
        <is>
          <t>SW-DAMPER-135-GEAR</t>
        </is>
      </c>
      <c r="B772" t="inlineStr">
        <is>
          <t>SW-DAMPER-135</t>
        </is>
      </c>
      <c r="C772" t="inlineStr">
        <is>
          <t>Bánh răng van nhôm</t>
        </is>
      </c>
      <c r="D772" t="inlineStr">
        <is>
          <t>PHỤ_KIỆN_VAN</t>
        </is>
      </c>
      <c r="E772" t="inlineStr">
        <is>
          <t>MAT-DAMPER-BANH-RANG-VAN-NHOM</t>
        </is>
      </c>
      <c r="F772" t="inlineStr">
        <is>
          <t>Bộ</t>
        </is>
      </c>
      <c r="G772" s="406" t="n">
        <v>1</v>
      </c>
      <c r="H772" s="402">
        <f>IFERROR(INDEX('00_TONG_HOP_BAO_GIA'!$G$1:$G$5000, MATCH(B772, '00_TONG_HOP_BAO_GIA'!$B$1:$B$5000, 0)), 1)</f>
        <v/>
      </c>
      <c r="I772" s="407">
        <f>G772*H772</f>
        <v/>
      </c>
      <c r="J772" s="402">
        <f>IFERROR(INDEX('06_BANG_GIA_VAT_TU_AP_DUNG'!$E$1:$E$5000, MATCH(E772, '06_BANG_GIA_VAT_TU_AP_DUNG'!$B$1:$B$5000, 0)), 0)</f>
        <v/>
      </c>
      <c r="K772" s="402">
        <f>I772*J772</f>
        <v/>
      </c>
      <c r="L772" t="inlineStr">
        <is>
          <t>Cơ cấu liên động cánh (1 bộ)</t>
        </is>
      </c>
    </row>
    <row r="773">
      <c r="A773" t="inlineStr">
        <is>
          <t>SW-DAMPER-135-HANDLE</t>
        </is>
      </c>
      <c r="B773" t="inlineStr">
        <is>
          <t>SW-DAMPER-135</t>
        </is>
      </c>
      <c r="C773" t="inlineStr">
        <is>
          <t>Tay gạt nhỏ</t>
        </is>
      </c>
      <c r="D773" t="inlineStr">
        <is>
          <t>PHỤ_KIỆN_VAN</t>
        </is>
      </c>
      <c r="E773" t="inlineStr">
        <is>
          <t>MAT-DAMPER-TAY-GAT-NHO</t>
        </is>
      </c>
      <c r="F773" t="inlineStr">
        <is>
          <t>Bộ</t>
        </is>
      </c>
      <c r="G773" s="406" t="n">
        <v>1</v>
      </c>
      <c r="H773" s="402">
        <f>IFERROR(INDEX('00_TONG_HOP_BAO_GIA'!$G$1:$G$5000, MATCH(B773, '00_TONG_HOP_BAO_GIA'!$B$1:$B$5000, 0)), 1)</f>
        <v/>
      </c>
      <c r="I773" s="407">
        <f>G773*H773</f>
        <v/>
      </c>
      <c r="J773" s="402">
        <f>IFERROR(INDEX('06_BANG_GIA_VAT_TU_AP_DUNG'!$E$1:$E$5000, MATCH(E773, '06_BANG_GIA_VAT_TU_AP_DUNG'!$B$1:$B$5000, 0)), 0)</f>
        <v/>
      </c>
      <c r="K773" s="402">
        <f>I773*J773</f>
        <v/>
      </c>
      <c r="L773" t="inlineStr">
        <is>
          <t>Tay gạt khóa vị trí nan (S=0.04m2)</t>
        </is>
      </c>
    </row>
    <row r="774">
      <c r="A774" t="inlineStr">
        <is>
          <t>SW-DAMPER-145-BODY</t>
        </is>
      </c>
      <c r="B774" t="inlineStr">
        <is>
          <t>SW-DAMPER-145</t>
        </is>
      </c>
      <c r="C774" t="inlineStr">
        <is>
          <t>Thân vỏ van MFD bích C30/TDF (1.15mm)</t>
        </is>
      </c>
      <c r="D774" t="inlineStr">
        <is>
          <t>TÔN_CUỘN_MẠ_KẼM</t>
        </is>
      </c>
      <c r="E774" t="inlineStr">
        <is>
          <t>MAT-STEEL-PN-1.15</t>
        </is>
      </c>
      <c r="F774" t="inlineStr">
        <is>
          <t>kg</t>
        </is>
      </c>
      <c r="G774" s="406" t="n">
        <v>20.67911369999999</v>
      </c>
      <c r="H774" s="402">
        <f>IFERROR(INDEX('00_TONG_HOP_BAO_GIA'!$G$1:$G$5000, MATCH(B774, '00_TONG_HOP_BAO_GIA'!$B$1:$B$5000, 0)), 1)</f>
        <v/>
      </c>
      <c r="I774" s="407">
        <f>G774*H774</f>
        <v/>
      </c>
      <c r="J774" s="402">
        <f>IFERROR(INDEX('06_BANG_GIA_VAT_TU_AP_DUNG'!$E$1:$E$5000, MATCH(E774, '06_BANG_GIA_VAT_TU_AP_DUNG'!$B$1:$B$5000, 0)), 0)</f>
        <v/>
      </c>
      <c r="K774" s="402">
        <f>I774*J774</f>
        <v/>
      </c>
      <c r="L774" t="inlineStr">
        <is>
          <t>Kích thước vỏ 1500x1000x200mm (2 modul 1500x500mm)</t>
        </is>
      </c>
    </row>
    <row r="775">
      <c r="A775" t="inlineStr">
        <is>
          <t>SW-DAMPER-145-BLADE</t>
        </is>
      </c>
      <c r="B775" t="inlineStr">
        <is>
          <t>SW-DAMPER-145</t>
        </is>
      </c>
      <c r="C775" t="inlineStr">
        <is>
          <t>Lá cánh / Tôn tấm bọc van (6 cánh)</t>
        </is>
      </c>
      <c r="D775" t="inlineStr">
        <is>
          <t>TÔN_CUỘN_MẠ_KẼM</t>
        </is>
      </c>
      <c r="E775" t="inlineStr">
        <is>
          <t>MAT-STEEL-PN-1.15</t>
        </is>
      </c>
      <c r="F775" t="inlineStr">
        <is>
          <t>kg</t>
        </is>
      </c>
      <c r="G775" s="406" t="n">
        <v>27.0825</v>
      </c>
      <c r="H775" s="402">
        <f>IFERROR(INDEX('00_TONG_HOP_BAO_GIA'!$G$1:$G$5000, MATCH(B775, '00_TONG_HOP_BAO_GIA'!$B$1:$B$5000, 0)), 1)</f>
        <v/>
      </c>
      <c r="I775" s="407">
        <f>G775*H775</f>
        <v/>
      </c>
      <c r="J775" s="402">
        <f>IFERROR(INDEX('06_BANG_GIA_VAT_TU_AP_DUNG'!$E$1:$E$5000, MATCH(E775, '06_BANG_GIA_VAT_TU_AP_DUNG'!$B$1:$B$5000, 0)), 0)</f>
        <v/>
      </c>
      <c r="K775" s="402">
        <f>I775*J775</f>
        <v/>
      </c>
      <c r="L775" t="inlineStr">
        <is>
          <t>Tôn bọc cánh &amp; thân (3 cánh/modul (2 modul 1500x500mm))</t>
        </is>
      </c>
    </row>
    <row r="776">
      <c r="A776" t="inlineStr">
        <is>
          <t>SW-DAMPER-145-AXLE</t>
        </is>
      </c>
      <c r="B776" t="inlineStr">
        <is>
          <t>SW-DAMPER-145</t>
        </is>
      </c>
      <c r="C776" t="inlineStr">
        <is>
          <t>Trục Sus 201 D10</t>
        </is>
      </c>
      <c r="D776" t="inlineStr">
        <is>
          <t>PHỤ_KIỆN_VAN</t>
        </is>
      </c>
      <c r="E776" t="inlineStr">
        <is>
          <t>MAT-DAMPER-TRUC-SUS-201-D10</t>
        </is>
      </c>
      <c r="F776" t="inlineStr">
        <is>
          <t>m</t>
        </is>
      </c>
      <c r="G776" s="406" t="n">
        <v>9.359999999999999</v>
      </c>
      <c r="H776" s="402">
        <f>IFERROR(INDEX('00_TONG_HOP_BAO_GIA'!$G$1:$G$5000, MATCH(B776, '00_TONG_HOP_BAO_GIA'!$B$1:$B$5000, 0)), 1)</f>
        <v/>
      </c>
      <c r="I776" s="407">
        <f>G776*H776</f>
        <v/>
      </c>
      <c r="J776" s="402">
        <f>IFERROR(INDEX('06_BANG_GIA_VAT_TU_AP_DUNG'!$E$1:$E$5000, MATCH(E776, '06_BANG_GIA_VAT_TU_AP_DUNG'!$B$1:$B$5000, 0)), 0)</f>
        <v/>
      </c>
      <c r="K776" s="402">
        <f>I776*J776</f>
        <v/>
      </c>
      <c r="L776" t="inlineStr">
        <is>
          <t>6 trục dài 1560mm</t>
        </is>
      </c>
    </row>
    <row r="777">
      <c r="A777" t="inlineStr">
        <is>
          <t>SW-DAMPER-145-BEARING</t>
        </is>
      </c>
      <c r="B777" t="inlineStr">
        <is>
          <t>SW-DAMPER-145</t>
        </is>
      </c>
      <c r="C777" t="inlineStr">
        <is>
          <t>Bạc đồng D10</t>
        </is>
      </c>
      <c r="D777" t="inlineStr">
        <is>
          <t>PHỤ_KIỆN_VAN</t>
        </is>
      </c>
      <c r="E777" t="inlineStr">
        <is>
          <t>MAT-DAMPER-BAC-DONG-D10</t>
        </is>
      </c>
      <c r="F777" t="inlineStr">
        <is>
          <t>Đôi</t>
        </is>
      </c>
      <c r="G777" s="406" t="n">
        <v>6</v>
      </c>
      <c r="H777" s="402">
        <f>IFERROR(INDEX('00_TONG_HOP_BAO_GIA'!$G$1:$G$5000, MATCH(B777, '00_TONG_HOP_BAO_GIA'!$B$1:$B$5000, 0)), 1)</f>
        <v/>
      </c>
      <c r="I777" s="407">
        <f>G777*H777</f>
        <v/>
      </c>
      <c r="J777" s="402">
        <f>IFERROR(INDEX('06_BANG_GIA_VAT_TU_AP_DUNG'!$E$1:$E$5000, MATCH(E777, '06_BANG_GIA_VAT_TU_AP_DUNG'!$B$1:$B$5000, 0)), 0)</f>
        <v/>
      </c>
      <c r="K777" s="402">
        <f>I777*J777</f>
        <v/>
      </c>
      <c r="L777" t="inlineStr">
        <is>
          <t>6 đôi bạc đỡ 2 bên thân</t>
        </is>
      </c>
    </row>
    <row r="778">
      <c r="A778" t="inlineStr">
        <is>
          <t>SW-DAMPER-145-GEAR</t>
        </is>
      </c>
      <c r="B778" t="inlineStr">
        <is>
          <t>SW-DAMPER-145</t>
        </is>
      </c>
      <c r="C778" t="inlineStr">
        <is>
          <t>Bánh răng van nhôm</t>
        </is>
      </c>
      <c r="D778" t="inlineStr">
        <is>
          <t>PHỤ_KIỆN_VAN</t>
        </is>
      </c>
      <c r="E778" t="inlineStr">
        <is>
          <t>MAT-DAMPER-BANH-RANG-VAN-NHOM</t>
        </is>
      </c>
      <c r="F778" t="inlineStr">
        <is>
          <t>Bộ</t>
        </is>
      </c>
      <c r="G778" s="406" t="n">
        <v>2</v>
      </c>
      <c r="H778" s="402">
        <f>IFERROR(INDEX('00_TONG_HOP_BAO_GIA'!$G$1:$G$5000, MATCH(B778, '00_TONG_HOP_BAO_GIA'!$B$1:$B$5000, 0)), 1)</f>
        <v/>
      </c>
      <c r="I778" s="407">
        <f>G778*H778</f>
        <v/>
      </c>
      <c r="J778" s="402">
        <f>IFERROR(INDEX('06_BANG_GIA_VAT_TU_AP_DUNG'!$E$1:$E$5000, MATCH(E778, '06_BANG_GIA_VAT_TU_AP_DUNG'!$B$1:$B$5000, 0)), 0)</f>
        <v/>
      </c>
      <c r="K778" s="402">
        <f>I778*J778</f>
        <v/>
      </c>
      <c r="L778" t="inlineStr">
        <is>
          <t>Cơ cấu liên động cánh (2 bộ)</t>
        </is>
      </c>
    </row>
    <row r="779">
      <c r="A779" t="inlineStr">
        <is>
          <t>SW-DAMPER-145-ACTUATOR</t>
        </is>
      </c>
      <c r="B779" t="inlineStr">
        <is>
          <t>SW-DAMPER-145</t>
        </is>
      </c>
      <c r="C779" t="inlineStr">
        <is>
          <t>Động cơ chặn lửa ON/OFF 9Nm, 230V/24V (BELIMO BFN24 / BFN230)</t>
        </is>
      </c>
      <c r="D779" t="inlineStr">
        <is>
          <t>ĐỘNG_CƠ_VÀ_CẢM_BIẾN</t>
        </is>
      </c>
      <c r="E779" t="inlineStr">
        <is>
          <t>MAT-ACTUATOR-BELIMO-BFN24</t>
        </is>
      </c>
      <c r="F779" t="inlineStr">
        <is>
          <t>Cái</t>
        </is>
      </c>
      <c r="G779" s="406" t="n">
        <v>2</v>
      </c>
      <c r="H779" s="402">
        <f>IFERROR(INDEX('00_TONG_HOP_BAO_GIA'!$G$1:$G$5000, MATCH(B779, '00_TONG_HOP_BAO_GIA'!$B$1:$B$5000, 0)), 1)</f>
        <v/>
      </c>
      <c r="I779" s="407">
        <f>G779*H779</f>
        <v/>
      </c>
      <c r="J779" s="402">
        <f>IFERROR(INDEX('06_BANG_GIA_VAT_TU_AP_DUNG'!$E$1:$E$5000, MATCH(E779, '06_BANG_GIA_VAT_TU_AP_DUNG'!$B$1:$B$5000, 0)), 0)</f>
        <v/>
      </c>
      <c r="K779" s="402">
        <f>I779*J779</f>
        <v/>
      </c>
      <c r="L779" t="inlineStr">
        <is>
          <t>Động cơ lò xo phản hồi MFD (2 bộ (2 modul 1500x500mm))</t>
        </is>
      </c>
    </row>
    <row r="780">
      <c r="A780" t="inlineStr">
        <is>
          <t>SW-DAMPER-145-FB10-BODY</t>
        </is>
      </c>
      <c r="B780" t="inlineStr">
        <is>
          <t>SW-DAMPER-145</t>
        </is>
      </c>
      <c r="C780" t="inlineStr">
        <is>
          <t>Tấm chống cháy dày 10mm bọc thân van FD/MFD (2 lớp)</t>
        </is>
      </c>
      <c r="D780" t="inlineStr">
        <is>
          <t>VẬT_LIỆU_CÁCH_NHIỆT</t>
        </is>
      </c>
      <c r="E780" t="inlineStr">
        <is>
          <t>MAT-FIREBOARD-10MM-BODY</t>
        </is>
      </c>
      <c r="F780" t="inlineStr">
        <is>
          <t>m2</t>
        </is>
      </c>
      <c r="G780" s="406" t="n">
        <v>4.8</v>
      </c>
      <c r="H780" s="402">
        <f>IFERROR(INDEX('00_TONG_HOP_BAO_GIA'!$G$1:$G$5000, MATCH(B780, '00_TONG_HOP_BAO_GIA'!$B$1:$B$5000, 0)), 1)</f>
        <v/>
      </c>
      <c r="I780" s="407">
        <f>G780*H780</f>
        <v/>
      </c>
      <c r="J780" s="402">
        <f>IFERROR(INDEX('06_BANG_GIA_VAT_TU_AP_DUNG'!$E$1:$E$5000, MATCH(E780, '06_BANG_GIA_VAT_TU_AP_DUNG'!$B$1:$B$5000, 0)), 0)</f>
        <v/>
      </c>
      <c r="K780" s="402">
        <f>I780*J780</f>
        <v/>
      </c>
      <c r="L780" t="inlineStr">
        <is>
          <t>Bọc 2 lớp tấm 10mm quanh thân L=300mm (2 modul 1500x500mm)</t>
        </is>
      </c>
    </row>
    <row r="781">
      <c r="A781" t="inlineStr">
        <is>
          <t>SW-DAMPER-145-FB20-BLADE</t>
        </is>
      </c>
      <c r="B781" t="inlineStr">
        <is>
          <t>SW-DAMPER-145</t>
        </is>
      </c>
      <c r="C781" t="inlineStr">
        <is>
          <t>Tấm chống cháy dày 20mm làm lõi cánh van FD/MFD</t>
        </is>
      </c>
      <c r="D781" t="inlineStr">
        <is>
          <t>VẬT_LIỆU_CÁCH_NHIỆT</t>
        </is>
      </c>
      <c r="E781" t="inlineStr">
        <is>
          <t>MAT-FIREBOARD-20MM-BLADE</t>
        </is>
      </c>
      <c r="F781" t="inlineStr">
        <is>
          <t>m2</t>
        </is>
      </c>
      <c r="G781" s="406" t="n">
        <v>2.271551677852349</v>
      </c>
      <c r="H781" s="402">
        <f>IFERROR(INDEX('00_TONG_HOP_BAO_GIA'!$G$1:$G$5000, MATCH(B781, '00_TONG_HOP_BAO_GIA'!$B$1:$B$5000, 0)), 1)</f>
        <v/>
      </c>
      <c r="I781" s="407">
        <f>G781*H781</f>
        <v/>
      </c>
      <c r="J781" s="402">
        <f>IFERROR(INDEX('06_BANG_GIA_VAT_TU_AP_DUNG'!$E$1:$E$5000, MATCH(E781, '06_BANG_GIA_VAT_TU_AP_DUNG'!$B$1:$B$5000, 0)), 0)</f>
        <v/>
      </c>
      <c r="K781" s="402">
        <f>I781*J781</f>
        <v/>
      </c>
      <c r="L781" t="inlineStr">
        <is>
          <t>Lõi cánh tấm 20mm (Đa cánh hệ số (H-5)/149=3.32, bản rộng 210mm, hao hụt 10% (2 modul 1500x500mm))</t>
        </is>
      </c>
    </row>
    <row r="782">
      <c r="A782" t="inlineStr">
        <is>
          <t>SW-DAMPER-145-FB10-BLADE</t>
        </is>
      </c>
      <c r="B782" t="inlineStr">
        <is>
          <t>SW-DAMPER-145</t>
        </is>
      </c>
      <c r="C782" t="inlineStr">
        <is>
          <t>Tấm chống cháy dày 10mm ốp 2 mặt cánh van FD/MFD</t>
        </is>
      </c>
      <c r="D782" t="inlineStr">
        <is>
          <t>VẬT_LIỆU_CÁCH_NHIỆT</t>
        </is>
      </c>
      <c r="E782" t="inlineStr">
        <is>
          <t>MAT-FIREBOARD-10MM-BLADE</t>
        </is>
      </c>
      <c r="F782" t="inlineStr">
        <is>
          <t>m2</t>
        </is>
      </c>
      <c r="G782" s="406" t="n">
        <v>4.604496644295303</v>
      </c>
      <c r="H782" s="402">
        <f>IFERROR(INDEX('00_TONG_HOP_BAO_GIA'!$G$1:$G$5000, MATCH(B782, '00_TONG_HOP_BAO_GIA'!$B$1:$B$5000, 0)), 1)</f>
        <v/>
      </c>
      <c r="I782" s="407">
        <f>G782*H782</f>
        <v/>
      </c>
      <c r="J782" s="402">
        <f>IFERROR(INDEX('06_BANG_GIA_VAT_TU_AP_DUNG'!$E$1:$E$5000, MATCH(E782, '06_BANG_GIA_VAT_TU_AP_DUNG'!$B$1:$B$5000, 0)), 0)</f>
        <v/>
      </c>
      <c r="K782" s="402">
        <f>I782*J782</f>
        <v/>
      </c>
      <c r="L782" t="inlineStr">
        <is>
          <t>Ốp 2 mặt cánh tấm 10mm (Đa cánh hệ số (H-5)/149=3.32, bản rộng 210mm, hao hụt 10% (2 modul 1500x500mm))</t>
        </is>
      </c>
    </row>
    <row r="783">
      <c r="A783" t="inlineStr">
        <is>
          <t>SW-DAMPER-145-SPRING-BOX</t>
        </is>
      </c>
      <c r="B783" t="inlineStr">
        <is>
          <t>SW-DAMPER-145</t>
        </is>
      </c>
      <c r="C783" t="inlineStr">
        <is>
          <t>Hộp lò xo van chặn lửa FD/MFD</t>
        </is>
      </c>
      <c r="D783" t="inlineStr">
        <is>
          <t>PHỤ_KIỆN_VAN</t>
        </is>
      </c>
      <c r="E783" t="inlineStr">
        <is>
          <t>MAT-DAMPER-HOP-LO-XO</t>
        </is>
      </c>
      <c r="F783" t="inlineStr">
        <is>
          <t>Bộ</t>
        </is>
      </c>
      <c r="G783" s="406" t="n">
        <v>2</v>
      </c>
      <c r="H783" s="402">
        <f>IFERROR(INDEX('00_TONG_HOP_BAO_GIA'!$G$1:$G$5000, MATCH(B783, '00_TONG_HOP_BAO_GIA'!$B$1:$B$5000, 0)), 1)</f>
        <v/>
      </c>
      <c r="I783" s="407">
        <f>G783*H783</f>
        <v/>
      </c>
      <c r="J783" s="402">
        <f>IFERROR(INDEX('06_BANG_GIA_VAT_TU_AP_DUNG'!$E$1:$E$5000, MATCH(E783, '06_BANG_GIA_VAT_TU_AP_DUNG'!$B$1:$B$5000, 0)), 0)</f>
        <v/>
      </c>
      <c r="K783" s="402">
        <f>I783*J783</f>
        <v/>
      </c>
      <c r="L783" t="inlineStr">
        <is>
          <t>Hộp lò xo cơ cấu đóng sập (2 bộ)</t>
        </is>
      </c>
    </row>
    <row r="784">
      <c r="A784" t="inlineStr">
        <is>
          <t>SW-DAMPER-145-SILICON-BOLT</t>
        </is>
      </c>
      <c r="B784" t="inlineStr">
        <is>
          <t>SW-DAMPER-145</t>
        </is>
      </c>
      <c r="C784" t="inlineStr">
        <is>
          <t>Silicon chống cháy + bu lông, ốc vít van FD/MFD</t>
        </is>
      </c>
      <c r="D784" t="inlineStr">
        <is>
          <t>PHỤ_KIỆN_VAN</t>
        </is>
      </c>
      <c r="E784" t="inlineStr">
        <is>
          <t>MAT-DAMPER-SILICON-BULONG-VIT</t>
        </is>
      </c>
      <c r="F784" t="inlineStr">
        <is>
          <t>Bộ</t>
        </is>
      </c>
      <c r="G784" s="406" t="n">
        <v>2</v>
      </c>
      <c r="H784" s="402">
        <f>IFERROR(INDEX('00_TONG_HOP_BAO_GIA'!$G$1:$G$5000, MATCH(B784, '00_TONG_HOP_BAO_GIA'!$B$1:$B$5000, 0)), 1)</f>
        <v/>
      </c>
      <c r="I784" s="407">
        <f>G784*H784</f>
        <v/>
      </c>
      <c r="J784" s="402">
        <f>IFERROR(INDEX('06_BANG_GIA_VAT_TU_AP_DUNG'!$E$1:$E$5000, MATCH(E784, '06_BANG_GIA_VAT_TU_AP_DUNG'!$B$1:$B$5000, 0)), 0)</f>
        <v/>
      </c>
      <c r="K784" s="402">
        <f>I784*J784</f>
        <v/>
      </c>
      <c r="L784" t="inlineStr">
        <is>
          <t>Keo silicon chống cháy &amp; phụ kiện lắp ghép (2 bộ)</t>
        </is>
      </c>
    </row>
    <row r="785">
      <c r="A785" t="inlineStr">
        <is>
          <t>SW-DAMPER-146-BODY</t>
        </is>
      </c>
      <c r="B785" t="inlineStr">
        <is>
          <t>SW-DAMPER-146</t>
        </is>
      </c>
      <c r="C785" t="inlineStr">
        <is>
          <t>Thân vỏ van MFD bích C30/TDF (1.15mm)</t>
        </is>
      </c>
      <c r="D785" t="inlineStr">
        <is>
          <t>TÔN_CUỘN_MẠ_KẼM</t>
        </is>
      </c>
      <c r="E785" t="inlineStr">
        <is>
          <t>MAT-STEEL-PN-1.15</t>
        </is>
      </c>
      <c r="F785" t="inlineStr">
        <is>
          <t>kg</t>
        </is>
      </c>
      <c r="G785" s="406" t="n">
        <v>9.315838349999998</v>
      </c>
      <c r="H785" s="402">
        <f>IFERROR(INDEX('00_TONG_HOP_BAO_GIA'!$G$1:$G$5000, MATCH(B785, '00_TONG_HOP_BAO_GIA'!$B$1:$B$5000, 0)), 1)</f>
        <v/>
      </c>
      <c r="I785" s="407">
        <f>G785*H785</f>
        <v/>
      </c>
      <c r="J785" s="402">
        <f>IFERROR(INDEX('06_BANG_GIA_VAT_TU_AP_DUNG'!$E$1:$E$5000, MATCH(E785, '06_BANG_GIA_VAT_TU_AP_DUNG'!$B$1:$B$5000, 0)), 0)</f>
        <v/>
      </c>
      <c r="K785" s="402">
        <f>I785*J785</f>
        <v/>
      </c>
      <c r="L785" t="inlineStr">
        <is>
          <t>Kích thước vỏ 1000x800x200mm</t>
        </is>
      </c>
    </row>
    <row r="786">
      <c r="A786" t="inlineStr">
        <is>
          <t>SW-DAMPER-146-BLADE</t>
        </is>
      </c>
      <c r="B786" t="inlineStr">
        <is>
          <t>SW-DAMPER-146</t>
        </is>
      </c>
      <c r="C786" t="inlineStr">
        <is>
          <t>Lá cánh / Tôn tấm bọc van (5 cánh)</t>
        </is>
      </c>
      <c r="D786" t="inlineStr">
        <is>
          <t>TÔN_CUỘN_MẠ_KẼM</t>
        </is>
      </c>
      <c r="E786" t="inlineStr">
        <is>
          <t>MAT-STEEL-PN-1.15</t>
        </is>
      </c>
      <c r="F786" t="inlineStr">
        <is>
          <t>kg</t>
        </is>
      </c>
      <c r="G786" s="406" t="n">
        <v>14.444</v>
      </c>
      <c r="H786" s="402">
        <f>IFERROR(INDEX('00_TONG_HOP_BAO_GIA'!$G$1:$G$5000, MATCH(B786, '00_TONG_HOP_BAO_GIA'!$B$1:$B$5000, 0)), 1)</f>
        <v/>
      </c>
      <c r="I786" s="407">
        <f>G786*H786</f>
        <v/>
      </c>
      <c r="J786" s="402">
        <f>IFERROR(INDEX('06_BANG_GIA_VAT_TU_AP_DUNG'!$E$1:$E$5000, MATCH(E786, '06_BANG_GIA_VAT_TU_AP_DUNG'!$B$1:$B$5000, 0)), 0)</f>
        <v/>
      </c>
      <c r="K786" s="402">
        <f>I786*J786</f>
        <v/>
      </c>
      <c r="L786" t="inlineStr">
        <is>
          <t>Tôn bọc cánh &amp; thân (5 cánh/modul)</t>
        </is>
      </c>
    </row>
    <row r="787">
      <c r="A787" t="inlineStr">
        <is>
          <t>SW-DAMPER-146-AXLE</t>
        </is>
      </c>
      <c r="B787" t="inlineStr">
        <is>
          <t>SW-DAMPER-146</t>
        </is>
      </c>
      <c r="C787" t="inlineStr">
        <is>
          <t>Trục Sus 201 D10</t>
        </is>
      </c>
      <c r="D787" t="inlineStr">
        <is>
          <t>PHỤ_KIỆN_VAN</t>
        </is>
      </c>
      <c r="E787" t="inlineStr">
        <is>
          <t>MAT-DAMPER-TRUC-SUS-201-D10</t>
        </is>
      </c>
      <c r="F787" t="inlineStr">
        <is>
          <t>m</t>
        </is>
      </c>
      <c r="G787" s="406" t="n">
        <v>5.300000000000001</v>
      </c>
      <c r="H787" s="402">
        <f>IFERROR(INDEX('00_TONG_HOP_BAO_GIA'!$G$1:$G$5000, MATCH(B787, '00_TONG_HOP_BAO_GIA'!$B$1:$B$5000, 0)), 1)</f>
        <v/>
      </c>
      <c r="I787" s="407">
        <f>G787*H787</f>
        <v/>
      </c>
      <c r="J787" s="402">
        <f>IFERROR(INDEX('06_BANG_GIA_VAT_TU_AP_DUNG'!$E$1:$E$5000, MATCH(E787, '06_BANG_GIA_VAT_TU_AP_DUNG'!$B$1:$B$5000, 0)), 0)</f>
        <v/>
      </c>
      <c r="K787" s="402">
        <f>I787*J787</f>
        <v/>
      </c>
      <c r="L787" t="inlineStr">
        <is>
          <t>5 trục dài 1060mm</t>
        </is>
      </c>
    </row>
    <row r="788">
      <c r="A788" t="inlineStr">
        <is>
          <t>SW-DAMPER-146-BEARING</t>
        </is>
      </c>
      <c r="B788" t="inlineStr">
        <is>
          <t>SW-DAMPER-146</t>
        </is>
      </c>
      <c r="C788" t="inlineStr">
        <is>
          <t>Bạc đồng D10</t>
        </is>
      </c>
      <c r="D788" t="inlineStr">
        <is>
          <t>PHỤ_KIỆN_VAN</t>
        </is>
      </c>
      <c r="E788" t="inlineStr">
        <is>
          <t>MAT-DAMPER-BAC-DONG-D10</t>
        </is>
      </c>
      <c r="F788" t="inlineStr">
        <is>
          <t>Đôi</t>
        </is>
      </c>
      <c r="G788" s="406" t="n">
        <v>5</v>
      </c>
      <c r="H788" s="402">
        <f>IFERROR(INDEX('00_TONG_HOP_BAO_GIA'!$G$1:$G$5000, MATCH(B788, '00_TONG_HOP_BAO_GIA'!$B$1:$B$5000, 0)), 1)</f>
        <v/>
      </c>
      <c r="I788" s="407">
        <f>G788*H788</f>
        <v/>
      </c>
      <c r="J788" s="402">
        <f>IFERROR(INDEX('06_BANG_GIA_VAT_TU_AP_DUNG'!$E$1:$E$5000, MATCH(E788, '06_BANG_GIA_VAT_TU_AP_DUNG'!$B$1:$B$5000, 0)), 0)</f>
        <v/>
      </c>
      <c r="K788" s="402">
        <f>I788*J788</f>
        <v/>
      </c>
      <c r="L788" t="inlineStr">
        <is>
          <t>5 đôi bạc đỡ 2 bên thân</t>
        </is>
      </c>
    </row>
    <row r="789">
      <c r="A789" t="inlineStr">
        <is>
          <t>SW-DAMPER-146-GEAR</t>
        </is>
      </c>
      <c r="B789" t="inlineStr">
        <is>
          <t>SW-DAMPER-146</t>
        </is>
      </c>
      <c r="C789" t="inlineStr">
        <is>
          <t>Bánh răng van nhôm</t>
        </is>
      </c>
      <c r="D789" t="inlineStr">
        <is>
          <t>PHỤ_KIỆN_VAN</t>
        </is>
      </c>
      <c r="E789" t="inlineStr">
        <is>
          <t>MAT-DAMPER-BANH-RANG-VAN-NHOM</t>
        </is>
      </c>
      <c r="F789" t="inlineStr">
        <is>
          <t>Bộ</t>
        </is>
      </c>
      <c r="G789" s="406" t="n">
        <v>1</v>
      </c>
      <c r="H789" s="402">
        <f>IFERROR(INDEX('00_TONG_HOP_BAO_GIA'!$G$1:$G$5000, MATCH(B789, '00_TONG_HOP_BAO_GIA'!$B$1:$B$5000, 0)), 1)</f>
        <v/>
      </c>
      <c r="I789" s="407">
        <f>G789*H789</f>
        <v/>
      </c>
      <c r="J789" s="402">
        <f>IFERROR(INDEX('06_BANG_GIA_VAT_TU_AP_DUNG'!$E$1:$E$5000, MATCH(E789, '06_BANG_GIA_VAT_TU_AP_DUNG'!$B$1:$B$5000, 0)), 0)</f>
        <v/>
      </c>
      <c r="K789" s="402">
        <f>I789*J789</f>
        <v/>
      </c>
      <c r="L789" t="inlineStr">
        <is>
          <t>Cơ cấu liên động cánh (1 bộ)</t>
        </is>
      </c>
    </row>
    <row r="790">
      <c r="A790" t="inlineStr">
        <is>
          <t>SW-DAMPER-146-ACTUATOR</t>
        </is>
      </c>
      <c r="B790" t="inlineStr">
        <is>
          <t>SW-DAMPER-146</t>
        </is>
      </c>
      <c r="C790" t="inlineStr">
        <is>
          <t>Động cơ chặn lửa ON/OFF 9Nm, 230V/24V (BELIMO BFN24 / BFN230)</t>
        </is>
      </c>
      <c r="D790" t="inlineStr">
        <is>
          <t>ĐỘNG_CƠ_VÀ_CẢM_BIẾN</t>
        </is>
      </c>
      <c r="E790" t="inlineStr">
        <is>
          <t>MAT-ACTUATOR-BELIMO-BFN24</t>
        </is>
      </c>
      <c r="F790" t="inlineStr">
        <is>
          <t>Cái</t>
        </is>
      </c>
      <c r="G790" s="406" t="n">
        <v>1</v>
      </c>
      <c r="H790" s="402">
        <f>IFERROR(INDEX('00_TONG_HOP_BAO_GIA'!$G$1:$G$5000, MATCH(B790, '00_TONG_HOP_BAO_GIA'!$B$1:$B$5000, 0)), 1)</f>
        <v/>
      </c>
      <c r="I790" s="407">
        <f>G790*H790</f>
        <v/>
      </c>
      <c r="J790" s="402">
        <f>IFERROR(INDEX('06_BANG_GIA_VAT_TU_AP_DUNG'!$E$1:$E$5000, MATCH(E790, '06_BANG_GIA_VAT_TU_AP_DUNG'!$B$1:$B$5000, 0)), 0)</f>
        <v/>
      </c>
      <c r="K790" s="402">
        <f>I790*J790</f>
        <v/>
      </c>
      <c r="L790" t="inlineStr">
        <is>
          <t>Động cơ lò xo phản hồi MFD (1 bộ)</t>
        </is>
      </c>
    </row>
    <row r="791">
      <c r="A791" t="inlineStr">
        <is>
          <t>SW-DAMPER-146-FB10-BODY</t>
        </is>
      </c>
      <c r="B791" t="inlineStr">
        <is>
          <t>SW-DAMPER-146</t>
        </is>
      </c>
      <c r="C791" t="inlineStr">
        <is>
          <t>Tấm chống cháy dày 10mm bọc thân van FD/MFD (2 lớp)</t>
        </is>
      </c>
      <c r="D791" t="inlineStr">
        <is>
          <t>VẬT_LIỆU_CÁCH_NHIỆT</t>
        </is>
      </c>
      <c r="E791" t="inlineStr">
        <is>
          <t>MAT-FIREBOARD-10MM-BODY</t>
        </is>
      </c>
      <c r="F791" t="inlineStr">
        <is>
          <t>m2</t>
        </is>
      </c>
      <c r="G791" s="406" t="n">
        <v>2.16</v>
      </c>
      <c r="H791" s="402">
        <f>IFERROR(INDEX('00_TONG_HOP_BAO_GIA'!$G$1:$G$5000, MATCH(B791, '00_TONG_HOP_BAO_GIA'!$B$1:$B$5000, 0)), 1)</f>
        <v/>
      </c>
      <c r="I791" s="407">
        <f>G791*H791</f>
        <v/>
      </c>
      <c r="J791" s="402">
        <f>IFERROR(INDEX('06_BANG_GIA_VAT_TU_AP_DUNG'!$E$1:$E$5000, MATCH(E791, '06_BANG_GIA_VAT_TU_AP_DUNG'!$B$1:$B$5000, 0)), 0)</f>
        <v/>
      </c>
      <c r="K791" s="402">
        <f>I791*J791</f>
        <v/>
      </c>
      <c r="L791" t="inlineStr">
        <is>
          <t>Bọc 2 lớp tấm 10mm quanh thân L=300mm</t>
        </is>
      </c>
    </row>
    <row r="792">
      <c r="A792" t="inlineStr">
        <is>
          <t>SW-DAMPER-146-FB20-BLADE</t>
        </is>
      </c>
      <c r="B792" t="inlineStr">
        <is>
          <t>SW-DAMPER-146</t>
        </is>
      </c>
      <c r="C792" t="inlineStr">
        <is>
          <t>Tấm chống cháy dày 20mm làm lõi cánh van FD/MFD</t>
        </is>
      </c>
      <c r="D792" t="inlineStr">
        <is>
          <t>VẬT_LIỆU_CÁCH_NHIỆT</t>
        </is>
      </c>
      <c r="E792" t="inlineStr">
        <is>
          <t>MAT-FIREBOARD-20MM-BLADE</t>
        </is>
      </c>
      <c r="F792" t="inlineStr">
        <is>
          <t>m2</t>
        </is>
      </c>
      <c r="G792" s="406" t="n">
        <v>1.20786644295302</v>
      </c>
      <c r="H792" s="402">
        <f>IFERROR(INDEX('00_TONG_HOP_BAO_GIA'!$G$1:$G$5000, MATCH(B792, '00_TONG_HOP_BAO_GIA'!$B$1:$B$5000, 0)), 1)</f>
        <v/>
      </c>
      <c r="I792" s="407">
        <f>G792*H792</f>
        <v/>
      </c>
      <c r="J792" s="402">
        <f>IFERROR(INDEX('06_BANG_GIA_VAT_TU_AP_DUNG'!$E$1:$E$5000, MATCH(E792, '06_BANG_GIA_VAT_TU_AP_DUNG'!$B$1:$B$5000, 0)), 0)</f>
        <v/>
      </c>
      <c r="K792" s="402">
        <f>I792*J792</f>
        <v/>
      </c>
      <c r="L792" t="inlineStr">
        <is>
          <t>Lõi cánh tấm 20mm (Đa cánh hệ số (H-5)/149=5.34, bản rộng 210mm, hao hụt 10%)</t>
        </is>
      </c>
    </row>
    <row r="793">
      <c r="A793" t="inlineStr">
        <is>
          <t>SW-DAMPER-146-FB10-BLADE</t>
        </is>
      </c>
      <c r="B793" t="inlineStr">
        <is>
          <t>SW-DAMPER-146</t>
        </is>
      </c>
      <c r="C793" t="inlineStr">
        <is>
          <t>Tấm chống cháy dày 10mm ốp 2 mặt cánh van FD/MFD</t>
        </is>
      </c>
      <c r="D793" t="inlineStr">
        <is>
          <t>VẬT_LIỆU_CÁCH_NHIỆT</t>
        </is>
      </c>
      <c r="E793" t="inlineStr">
        <is>
          <t>MAT-FIREBOARD-10MM-BLADE</t>
        </is>
      </c>
      <c r="F793" t="inlineStr">
        <is>
          <t>m2</t>
        </is>
      </c>
      <c r="G793" s="406" t="n">
        <v>2.46503355704698</v>
      </c>
      <c r="H793" s="402">
        <f>IFERROR(INDEX('00_TONG_HOP_BAO_GIA'!$G$1:$G$5000, MATCH(B793, '00_TONG_HOP_BAO_GIA'!$B$1:$B$5000, 0)), 1)</f>
        <v/>
      </c>
      <c r="I793" s="407">
        <f>G793*H793</f>
        <v/>
      </c>
      <c r="J793" s="402">
        <f>IFERROR(INDEX('06_BANG_GIA_VAT_TU_AP_DUNG'!$E$1:$E$5000, MATCH(E793, '06_BANG_GIA_VAT_TU_AP_DUNG'!$B$1:$B$5000, 0)), 0)</f>
        <v/>
      </c>
      <c r="K793" s="402">
        <f>I793*J793</f>
        <v/>
      </c>
      <c r="L793" t="inlineStr">
        <is>
          <t>Ốp 2 mặt cánh tấm 10mm (Đa cánh hệ số (H-5)/149=5.34, bản rộng 210mm, hao hụt 10%)</t>
        </is>
      </c>
    </row>
    <row r="794">
      <c r="A794" t="inlineStr">
        <is>
          <t>SW-DAMPER-146-SPRING-BOX</t>
        </is>
      </c>
      <c r="B794" t="inlineStr">
        <is>
          <t>SW-DAMPER-146</t>
        </is>
      </c>
      <c r="C794" t="inlineStr">
        <is>
          <t>Hộp lò xo van chặn lửa FD/MFD</t>
        </is>
      </c>
      <c r="D794" t="inlineStr">
        <is>
          <t>PHỤ_KIỆN_VAN</t>
        </is>
      </c>
      <c r="E794" t="inlineStr">
        <is>
          <t>MAT-DAMPER-HOP-LO-XO</t>
        </is>
      </c>
      <c r="F794" t="inlineStr">
        <is>
          <t>Bộ</t>
        </is>
      </c>
      <c r="G794" s="406" t="n">
        <v>1</v>
      </c>
      <c r="H794" s="402">
        <f>IFERROR(INDEX('00_TONG_HOP_BAO_GIA'!$G$1:$G$5000, MATCH(B794, '00_TONG_HOP_BAO_GIA'!$B$1:$B$5000, 0)), 1)</f>
        <v/>
      </c>
      <c r="I794" s="407">
        <f>G794*H794</f>
        <v/>
      </c>
      <c r="J794" s="402">
        <f>IFERROR(INDEX('06_BANG_GIA_VAT_TU_AP_DUNG'!$E$1:$E$5000, MATCH(E794, '06_BANG_GIA_VAT_TU_AP_DUNG'!$B$1:$B$5000, 0)), 0)</f>
        <v/>
      </c>
      <c r="K794" s="402">
        <f>I794*J794</f>
        <v/>
      </c>
      <c r="L794" t="inlineStr">
        <is>
          <t>Hộp lò xo cơ cấu đóng sập (1 bộ)</t>
        </is>
      </c>
    </row>
    <row r="795">
      <c r="A795" t="inlineStr">
        <is>
          <t>SW-DAMPER-146-SILICON-BOLT</t>
        </is>
      </c>
      <c r="B795" t="inlineStr">
        <is>
          <t>SW-DAMPER-146</t>
        </is>
      </c>
      <c r="C795" t="inlineStr">
        <is>
          <t>Silicon chống cháy + bu lông, ốc vít van FD/MFD</t>
        </is>
      </c>
      <c r="D795" t="inlineStr">
        <is>
          <t>PHỤ_KIỆN_VAN</t>
        </is>
      </c>
      <c r="E795" t="inlineStr">
        <is>
          <t>MAT-DAMPER-SILICON-BULONG-VIT</t>
        </is>
      </c>
      <c r="F795" t="inlineStr">
        <is>
          <t>Bộ</t>
        </is>
      </c>
      <c r="G795" s="406" t="n">
        <v>1</v>
      </c>
      <c r="H795" s="402">
        <f>IFERROR(INDEX('00_TONG_HOP_BAO_GIA'!$G$1:$G$5000, MATCH(B795, '00_TONG_HOP_BAO_GIA'!$B$1:$B$5000, 0)), 1)</f>
        <v/>
      </c>
      <c r="I795" s="407">
        <f>G795*H795</f>
        <v/>
      </c>
      <c r="J795" s="402">
        <f>IFERROR(INDEX('06_BANG_GIA_VAT_TU_AP_DUNG'!$E$1:$E$5000, MATCH(E795, '06_BANG_GIA_VAT_TU_AP_DUNG'!$B$1:$B$5000, 0)), 0)</f>
        <v/>
      </c>
      <c r="K795" s="402">
        <f>I795*J795</f>
        <v/>
      </c>
      <c r="L795" t="inlineStr">
        <is>
          <t>Keo silicon chống cháy &amp; phụ kiện lắp ghép (1 bộ)</t>
        </is>
      </c>
    </row>
    <row r="796">
      <c r="A796" t="inlineStr">
        <is>
          <t>SW-DAMPER-147-BODY</t>
        </is>
      </c>
      <c r="B796" t="inlineStr">
        <is>
          <t>SW-DAMPER-147</t>
        </is>
      </c>
      <c r="C796" t="inlineStr">
        <is>
          <t>Thân vỏ van MFD bích C30/TDF (1.15mm)</t>
        </is>
      </c>
      <c r="D796" t="inlineStr">
        <is>
          <t>TÔN_CUỘN_MẠ_KẼM</t>
        </is>
      </c>
      <c r="E796" t="inlineStr">
        <is>
          <t>MAT-STEEL-PN-1.15</t>
        </is>
      </c>
      <c r="F796" t="inlineStr">
        <is>
          <t>kg</t>
        </is>
      </c>
      <c r="G796" s="406" t="n">
        <v>9.059908725</v>
      </c>
      <c r="H796" s="402">
        <f>IFERROR(INDEX('00_TONG_HOP_BAO_GIA'!$G$1:$G$5000, MATCH(B796, '00_TONG_HOP_BAO_GIA'!$B$1:$B$5000, 0)), 1)</f>
        <v/>
      </c>
      <c r="I796" s="407">
        <f>G796*H796</f>
        <v/>
      </c>
      <c r="J796" s="402">
        <f>IFERROR(INDEX('06_BANG_GIA_VAT_TU_AP_DUNG'!$E$1:$E$5000, MATCH(E796, '06_BANG_GIA_VAT_TU_AP_DUNG'!$B$1:$B$5000, 0)), 0)</f>
        <v/>
      </c>
      <c r="K796" s="402">
        <f>I796*J796</f>
        <v/>
      </c>
      <c r="L796" t="inlineStr">
        <is>
          <t>Kích thước vỏ 1000x750x200mm</t>
        </is>
      </c>
    </row>
    <row r="797">
      <c r="A797" t="inlineStr">
        <is>
          <t>SW-DAMPER-147-BLADE</t>
        </is>
      </c>
      <c r="B797" t="inlineStr">
        <is>
          <t>SW-DAMPER-147</t>
        </is>
      </c>
      <c r="C797" t="inlineStr">
        <is>
          <t>Lá cánh / Tôn tấm bọc van (5 cánh)</t>
        </is>
      </c>
      <c r="D797" t="inlineStr">
        <is>
          <t>TÔN_CUỘN_MẠ_KẼM</t>
        </is>
      </c>
      <c r="E797" t="inlineStr">
        <is>
          <t>MAT-STEEL-PN-1.15</t>
        </is>
      </c>
      <c r="F797" t="inlineStr">
        <is>
          <t>kg</t>
        </is>
      </c>
      <c r="G797" s="406" t="n">
        <v>13.54125</v>
      </c>
      <c r="H797" s="402">
        <f>IFERROR(INDEX('00_TONG_HOP_BAO_GIA'!$G$1:$G$5000, MATCH(B797, '00_TONG_HOP_BAO_GIA'!$B$1:$B$5000, 0)), 1)</f>
        <v/>
      </c>
      <c r="I797" s="407">
        <f>G797*H797</f>
        <v/>
      </c>
      <c r="J797" s="402">
        <f>IFERROR(INDEX('06_BANG_GIA_VAT_TU_AP_DUNG'!$E$1:$E$5000, MATCH(E797, '06_BANG_GIA_VAT_TU_AP_DUNG'!$B$1:$B$5000, 0)), 0)</f>
        <v/>
      </c>
      <c r="K797" s="402">
        <f>I797*J797</f>
        <v/>
      </c>
      <c r="L797" t="inlineStr">
        <is>
          <t>Tôn bọc cánh &amp; thân (5 cánh/modul)</t>
        </is>
      </c>
    </row>
    <row r="798">
      <c r="A798" t="inlineStr">
        <is>
          <t>SW-DAMPER-147-AXLE</t>
        </is>
      </c>
      <c r="B798" t="inlineStr">
        <is>
          <t>SW-DAMPER-147</t>
        </is>
      </c>
      <c r="C798" t="inlineStr">
        <is>
          <t>Trục Sus 201 D10</t>
        </is>
      </c>
      <c r="D798" t="inlineStr">
        <is>
          <t>PHỤ_KIỆN_VAN</t>
        </is>
      </c>
      <c r="E798" t="inlineStr">
        <is>
          <t>MAT-DAMPER-TRUC-SUS-201-D10</t>
        </is>
      </c>
      <c r="F798" t="inlineStr">
        <is>
          <t>m</t>
        </is>
      </c>
      <c r="G798" s="406" t="n">
        <v>5.300000000000001</v>
      </c>
      <c r="H798" s="402">
        <f>IFERROR(INDEX('00_TONG_HOP_BAO_GIA'!$G$1:$G$5000, MATCH(B798, '00_TONG_HOP_BAO_GIA'!$B$1:$B$5000, 0)), 1)</f>
        <v/>
      </c>
      <c r="I798" s="407">
        <f>G798*H798</f>
        <v/>
      </c>
      <c r="J798" s="402">
        <f>IFERROR(INDEX('06_BANG_GIA_VAT_TU_AP_DUNG'!$E$1:$E$5000, MATCH(E798, '06_BANG_GIA_VAT_TU_AP_DUNG'!$B$1:$B$5000, 0)), 0)</f>
        <v/>
      </c>
      <c r="K798" s="402">
        <f>I798*J798</f>
        <v/>
      </c>
      <c r="L798" t="inlineStr">
        <is>
          <t>5 trục dài 1060mm</t>
        </is>
      </c>
    </row>
    <row r="799">
      <c r="A799" t="inlineStr">
        <is>
          <t>SW-DAMPER-147-BEARING</t>
        </is>
      </c>
      <c r="B799" t="inlineStr">
        <is>
          <t>SW-DAMPER-147</t>
        </is>
      </c>
      <c r="C799" t="inlineStr">
        <is>
          <t>Bạc đồng D10</t>
        </is>
      </c>
      <c r="D799" t="inlineStr">
        <is>
          <t>PHỤ_KIỆN_VAN</t>
        </is>
      </c>
      <c r="E799" t="inlineStr">
        <is>
          <t>MAT-DAMPER-BAC-DONG-D10</t>
        </is>
      </c>
      <c r="F799" t="inlineStr">
        <is>
          <t>Đôi</t>
        </is>
      </c>
      <c r="G799" s="406" t="n">
        <v>5</v>
      </c>
      <c r="H799" s="402">
        <f>IFERROR(INDEX('00_TONG_HOP_BAO_GIA'!$G$1:$G$5000, MATCH(B799, '00_TONG_HOP_BAO_GIA'!$B$1:$B$5000, 0)), 1)</f>
        <v/>
      </c>
      <c r="I799" s="407">
        <f>G799*H799</f>
        <v/>
      </c>
      <c r="J799" s="402">
        <f>IFERROR(INDEX('06_BANG_GIA_VAT_TU_AP_DUNG'!$E$1:$E$5000, MATCH(E799, '06_BANG_GIA_VAT_TU_AP_DUNG'!$B$1:$B$5000, 0)), 0)</f>
        <v/>
      </c>
      <c r="K799" s="402">
        <f>I799*J799</f>
        <v/>
      </c>
      <c r="L799" t="inlineStr">
        <is>
          <t>5 đôi bạc đỡ 2 bên thân</t>
        </is>
      </c>
    </row>
    <row r="800">
      <c r="A800" t="inlineStr">
        <is>
          <t>SW-DAMPER-147-GEAR</t>
        </is>
      </c>
      <c r="B800" t="inlineStr">
        <is>
          <t>SW-DAMPER-147</t>
        </is>
      </c>
      <c r="C800" t="inlineStr">
        <is>
          <t>Bánh răng van nhôm</t>
        </is>
      </c>
      <c r="D800" t="inlineStr">
        <is>
          <t>PHỤ_KIỆN_VAN</t>
        </is>
      </c>
      <c r="E800" t="inlineStr">
        <is>
          <t>MAT-DAMPER-BANH-RANG-VAN-NHOM</t>
        </is>
      </c>
      <c r="F800" t="inlineStr">
        <is>
          <t>Bộ</t>
        </is>
      </c>
      <c r="G800" s="406" t="n">
        <v>1</v>
      </c>
      <c r="H800" s="402">
        <f>IFERROR(INDEX('00_TONG_HOP_BAO_GIA'!$G$1:$G$5000, MATCH(B800, '00_TONG_HOP_BAO_GIA'!$B$1:$B$5000, 0)), 1)</f>
        <v/>
      </c>
      <c r="I800" s="407">
        <f>G800*H800</f>
        <v/>
      </c>
      <c r="J800" s="402">
        <f>IFERROR(INDEX('06_BANG_GIA_VAT_TU_AP_DUNG'!$E$1:$E$5000, MATCH(E800, '06_BANG_GIA_VAT_TU_AP_DUNG'!$B$1:$B$5000, 0)), 0)</f>
        <v/>
      </c>
      <c r="K800" s="402">
        <f>I800*J800</f>
        <v/>
      </c>
      <c r="L800" t="inlineStr">
        <is>
          <t>Cơ cấu liên động cánh (1 bộ)</t>
        </is>
      </c>
    </row>
    <row r="801">
      <c r="A801" t="inlineStr">
        <is>
          <t>SW-DAMPER-147-ACTUATOR</t>
        </is>
      </c>
      <c r="B801" t="inlineStr">
        <is>
          <t>SW-DAMPER-147</t>
        </is>
      </c>
      <c r="C801" t="inlineStr">
        <is>
          <t>Động cơ chặn lửa ON/OFF 9Nm, 230V/24V (BELIMO BFN24 / BFN230)</t>
        </is>
      </c>
      <c r="D801" t="inlineStr">
        <is>
          <t>ĐỘNG_CƠ_VÀ_CẢM_BIẾN</t>
        </is>
      </c>
      <c r="E801" t="inlineStr">
        <is>
          <t>MAT-ACTUATOR-BELIMO-BFN24</t>
        </is>
      </c>
      <c r="F801" t="inlineStr">
        <is>
          <t>Cái</t>
        </is>
      </c>
      <c r="G801" s="406" t="n">
        <v>1</v>
      </c>
      <c r="H801" s="402">
        <f>IFERROR(INDEX('00_TONG_HOP_BAO_GIA'!$G$1:$G$5000, MATCH(B801, '00_TONG_HOP_BAO_GIA'!$B$1:$B$5000, 0)), 1)</f>
        <v/>
      </c>
      <c r="I801" s="407">
        <f>G801*H801</f>
        <v/>
      </c>
      <c r="J801" s="402">
        <f>IFERROR(INDEX('06_BANG_GIA_VAT_TU_AP_DUNG'!$E$1:$E$5000, MATCH(E801, '06_BANG_GIA_VAT_TU_AP_DUNG'!$B$1:$B$5000, 0)), 0)</f>
        <v/>
      </c>
      <c r="K801" s="402">
        <f>I801*J801</f>
        <v/>
      </c>
      <c r="L801" t="inlineStr">
        <is>
          <t>Động cơ lò xo phản hồi MFD (1 bộ)</t>
        </is>
      </c>
    </row>
    <row r="802">
      <c r="A802" t="inlineStr">
        <is>
          <t>SW-DAMPER-147-FB10-BODY</t>
        </is>
      </c>
      <c r="B802" t="inlineStr">
        <is>
          <t>SW-DAMPER-147</t>
        </is>
      </c>
      <c r="C802" t="inlineStr">
        <is>
          <t>Tấm chống cháy dày 10mm bọc thân van FD/MFD (2 lớp)</t>
        </is>
      </c>
      <c r="D802" t="inlineStr">
        <is>
          <t>VẬT_LIỆU_CÁCH_NHIỆT</t>
        </is>
      </c>
      <c r="E802" t="inlineStr">
        <is>
          <t>MAT-FIREBOARD-10MM-BODY</t>
        </is>
      </c>
      <c r="F802" t="inlineStr">
        <is>
          <t>m2</t>
        </is>
      </c>
      <c r="G802" s="406" t="n">
        <v>2.1</v>
      </c>
      <c r="H802" s="402">
        <f>IFERROR(INDEX('00_TONG_HOP_BAO_GIA'!$G$1:$G$5000, MATCH(B802, '00_TONG_HOP_BAO_GIA'!$B$1:$B$5000, 0)), 1)</f>
        <v/>
      </c>
      <c r="I802" s="407">
        <f>G802*H802</f>
        <v/>
      </c>
      <c r="J802" s="402">
        <f>IFERROR(INDEX('06_BANG_GIA_VAT_TU_AP_DUNG'!$E$1:$E$5000, MATCH(E802, '06_BANG_GIA_VAT_TU_AP_DUNG'!$B$1:$B$5000, 0)), 0)</f>
        <v/>
      </c>
      <c r="K802" s="402">
        <f>I802*J802</f>
        <v/>
      </c>
      <c r="L802" t="inlineStr">
        <is>
          <t>Bọc 2 lớp tấm 10mm quanh thân L=300mm</t>
        </is>
      </c>
    </row>
    <row r="803">
      <c r="A803" t="inlineStr">
        <is>
          <t>SW-DAMPER-147-FB20-BLADE</t>
        </is>
      </c>
      <c r="B803" t="inlineStr">
        <is>
          <t>SW-DAMPER-147</t>
        </is>
      </c>
      <c r="C803" t="inlineStr">
        <is>
          <t>Tấm chống cháy dày 20mm làm lõi cánh van FD/MFD</t>
        </is>
      </c>
      <c r="D803" t="inlineStr">
        <is>
          <t>VẬT_LIỆU_CÁCH_NHIỆT</t>
        </is>
      </c>
      <c r="E803" t="inlineStr">
        <is>
          <t>MAT-FIREBOARD-20MM-BLADE</t>
        </is>
      </c>
      <c r="F803" t="inlineStr">
        <is>
          <t>m2</t>
        </is>
      </c>
      <c r="G803" s="406" t="n">
        <v>1.1319</v>
      </c>
      <c r="H803" s="402">
        <f>IFERROR(INDEX('00_TONG_HOP_BAO_GIA'!$G$1:$G$5000, MATCH(B803, '00_TONG_HOP_BAO_GIA'!$B$1:$B$5000, 0)), 1)</f>
        <v/>
      </c>
      <c r="I803" s="407">
        <f>G803*H803</f>
        <v/>
      </c>
      <c r="J803" s="402">
        <f>IFERROR(INDEX('06_BANG_GIA_VAT_TU_AP_DUNG'!$E$1:$E$5000, MATCH(E803, '06_BANG_GIA_VAT_TU_AP_DUNG'!$B$1:$B$5000, 0)), 0)</f>
        <v/>
      </c>
      <c r="K803" s="402">
        <f>I803*J803</f>
        <v/>
      </c>
      <c r="L803" t="inlineStr">
        <is>
          <t>Lõi cánh tấm 20mm (Đa cánh hệ số (H-5)/149=5.00, bản rộng 210mm, hao hụt 10%)</t>
        </is>
      </c>
    </row>
    <row r="804">
      <c r="A804" t="inlineStr">
        <is>
          <t>SW-DAMPER-147-FB10-BLADE</t>
        </is>
      </c>
      <c r="B804" t="inlineStr">
        <is>
          <t>SW-DAMPER-147</t>
        </is>
      </c>
      <c r="C804" t="inlineStr">
        <is>
          <t>Tấm chống cháy dày 10mm ốp 2 mặt cánh van FD/MFD</t>
        </is>
      </c>
      <c r="D804" t="inlineStr">
        <is>
          <t>VẬT_LIỆU_CÁCH_NHIỆT</t>
        </is>
      </c>
      <c r="E804" t="inlineStr">
        <is>
          <t>MAT-FIREBOARD-10MM-BLADE</t>
        </is>
      </c>
      <c r="F804" t="inlineStr">
        <is>
          <t>m2</t>
        </is>
      </c>
      <c r="G804" s="406" t="n">
        <v>2.31</v>
      </c>
      <c r="H804" s="402">
        <f>IFERROR(INDEX('00_TONG_HOP_BAO_GIA'!$G$1:$G$5000, MATCH(B804, '00_TONG_HOP_BAO_GIA'!$B$1:$B$5000, 0)), 1)</f>
        <v/>
      </c>
      <c r="I804" s="407">
        <f>G804*H804</f>
        <v/>
      </c>
      <c r="J804" s="402">
        <f>IFERROR(INDEX('06_BANG_GIA_VAT_TU_AP_DUNG'!$E$1:$E$5000, MATCH(E804, '06_BANG_GIA_VAT_TU_AP_DUNG'!$B$1:$B$5000, 0)), 0)</f>
        <v/>
      </c>
      <c r="K804" s="402">
        <f>I804*J804</f>
        <v/>
      </c>
      <c r="L804" t="inlineStr">
        <is>
          <t>Ốp 2 mặt cánh tấm 10mm (Đa cánh hệ số (H-5)/149=5.00, bản rộng 210mm, hao hụt 10%)</t>
        </is>
      </c>
    </row>
    <row r="805">
      <c r="A805" t="inlineStr">
        <is>
          <t>SW-DAMPER-147-SPRING-BOX</t>
        </is>
      </c>
      <c r="B805" t="inlineStr">
        <is>
          <t>SW-DAMPER-147</t>
        </is>
      </c>
      <c r="C805" t="inlineStr">
        <is>
          <t>Hộp lò xo van chặn lửa FD/MFD</t>
        </is>
      </c>
      <c r="D805" t="inlineStr">
        <is>
          <t>PHỤ_KIỆN_VAN</t>
        </is>
      </c>
      <c r="E805" t="inlineStr">
        <is>
          <t>MAT-DAMPER-HOP-LO-XO</t>
        </is>
      </c>
      <c r="F805" t="inlineStr">
        <is>
          <t>Bộ</t>
        </is>
      </c>
      <c r="G805" s="406" t="n">
        <v>1</v>
      </c>
      <c r="H805" s="402">
        <f>IFERROR(INDEX('00_TONG_HOP_BAO_GIA'!$G$1:$G$5000, MATCH(B805, '00_TONG_HOP_BAO_GIA'!$B$1:$B$5000, 0)), 1)</f>
        <v/>
      </c>
      <c r="I805" s="407">
        <f>G805*H805</f>
        <v/>
      </c>
      <c r="J805" s="402">
        <f>IFERROR(INDEX('06_BANG_GIA_VAT_TU_AP_DUNG'!$E$1:$E$5000, MATCH(E805, '06_BANG_GIA_VAT_TU_AP_DUNG'!$B$1:$B$5000, 0)), 0)</f>
        <v/>
      </c>
      <c r="K805" s="402">
        <f>I805*J805</f>
        <v/>
      </c>
      <c r="L805" t="inlineStr">
        <is>
          <t>Hộp lò xo cơ cấu đóng sập (1 bộ)</t>
        </is>
      </c>
    </row>
    <row r="806">
      <c r="A806" t="inlineStr">
        <is>
          <t>SW-DAMPER-147-SILICON-BOLT</t>
        </is>
      </c>
      <c r="B806" t="inlineStr">
        <is>
          <t>SW-DAMPER-147</t>
        </is>
      </c>
      <c r="C806" t="inlineStr">
        <is>
          <t>Silicon chống cháy + bu lông, ốc vít van FD/MFD</t>
        </is>
      </c>
      <c r="D806" t="inlineStr">
        <is>
          <t>PHỤ_KIỆN_VAN</t>
        </is>
      </c>
      <c r="E806" t="inlineStr">
        <is>
          <t>MAT-DAMPER-SILICON-BULONG-VIT</t>
        </is>
      </c>
      <c r="F806" t="inlineStr">
        <is>
          <t>Bộ</t>
        </is>
      </c>
      <c r="G806" s="406" t="n">
        <v>1</v>
      </c>
      <c r="H806" s="402">
        <f>IFERROR(INDEX('00_TONG_HOP_BAO_GIA'!$G$1:$G$5000, MATCH(B806, '00_TONG_HOP_BAO_GIA'!$B$1:$B$5000, 0)), 1)</f>
        <v/>
      </c>
      <c r="I806" s="407">
        <f>G806*H806</f>
        <v/>
      </c>
      <c r="J806" s="402">
        <f>IFERROR(INDEX('06_BANG_GIA_VAT_TU_AP_DUNG'!$E$1:$E$5000, MATCH(E806, '06_BANG_GIA_VAT_TU_AP_DUNG'!$B$1:$B$5000, 0)), 0)</f>
        <v/>
      </c>
      <c r="K806" s="402">
        <f>I806*J806</f>
        <v/>
      </c>
      <c r="L806" t="inlineStr">
        <is>
          <t>Keo silicon chống cháy &amp; phụ kiện lắp ghép (1 bộ)</t>
        </is>
      </c>
    </row>
    <row r="807">
      <c r="A807" t="inlineStr">
        <is>
          <t>SW-DAMPER-167-BODY</t>
        </is>
      </c>
      <c r="B807" t="inlineStr">
        <is>
          <t>SW-DAMPER-167</t>
        </is>
      </c>
      <c r="C807" t="inlineStr">
        <is>
          <t>Thân vỏ van FD bích C30/TDF (1.15mm)</t>
        </is>
      </c>
      <c r="D807" t="inlineStr">
        <is>
          <t>TÔN_CUỘN_MẠ_KẼM</t>
        </is>
      </c>
      <c r="E807" t="inlineStr">
        <is>
          <t>MAT-STEEL-PN-1.15</t>
        </is>
      </c>
      <c r="F807" t="inlineStr">
        <is>
          <t>kg</t>
        </is>
      </c>
      <c r="G807" s="406" t="n">
        <v>1.6379496</v>
      </c>
      <c r="H807" s="402">
        <f>IFERROR(INDEX('00_TONG_HOP_BAO_GIA'!$G$1:$G$5000, MATCH(B807, '00_TONG_HOP_BAO_GIA'!$B$1:$B$5000, 0)), 1)</f>
        <v/>
      </c>
      <c r="I807" s="407">
        <f>G807*H807</f>
        <v/>
      </c>
      <c r="J807" s="402">
        <f>IFERROR(INDEX('06_BANG_GIA_VAT_TU_AP_DUNG'!$E$1:$E$5000, MATCH(E807, '06_BANG_GIA_VAT_TU_AP_DUNG'!$B$1:$B$5000, 0)), 0)</f>
        <v/>
      </c>
      <c r="K807" s="402">
        <f>I807*J807</f>
        <v/>
      </c>
      <c r="L807" t="inlineStr">
        <is>
          <t>Kích thước vỏ 150x150x200mm</t>
        </is>
      </c>
    </row>
    <row r="808">
      <c r="A808" t="inlineStr">
        <is>
          <t>SW-DAMPER-167-BLADE</t>
        </is>
      </c>
      <c r="B808" t="inlineStr">
        <is>
          <t>SW-DAMPER-167</t>
        </is>
      </c>
      <c r="C808" t="inlineStr">
        <is>
          <t>Lá cánh / Tôn tấm bọc van (1 cánh)</t>
        </is>
      </c>
      <c r="D808" t="inlineStr">
        <is>
          <t>TÔN_CUỘN_MẠ_KẼM</t>
        </is>
      </c>
      <c r="E808" t="inlineStr">
        <is>
          <t>MAT-STEEL-PN-1.15</t>
        </is>
      </c>
      <c r="F808" t="inlineStr">
        <is>
          <t>kg</t>
        </is>
      </c>
      <c r="G808" s="406" t="n">
        <v>0.4062374999999999</v>
      </c>
      <c r="H808" s="402">
        <f>IFERROR(INDEX('00_TONG_HOP_BAO_GIA'!$G$1:$G$5000, MATCH(B808, '00_TONG_HOP_BAO_GIA'!$B$1:$B$5000, 0)), 1)</f>
        <v/>
      </c>
      <c r="I808" s="407">
        <f>G808*H808</f>
        <v/>
      </c>
      <c r="J808" s="402">
        <f>IFERROR(INDEX('06_BANG_GIA_VAT_TU_AP_DUNG'!$E$1:$E$5000, MATCH(E808, '06_BANG_GIA_VAT_TU_AP_DUNG'!$B$1:$B$5000, 0)), 0)</f>
        <v/>
      </c>
      <c r="K808" s="402">
        <f>I808*J808</f>
        <v/>
      </c>
      <c r="L808" t="inlineStr">
        <is>
          <t>Tôn bọc cánh &amp; thân (1 cánh/modul)</t>
        </is>
      </c>
    </row>
    <row r="809">
      <c r="A809" t="inlineStr">
        <is>
          <t>SW-DAMPER-167-AXLE</t>
        </is>
      </c>
      <c r="B809" t="inlineStr">
        <is>
          <t>SW-DAMPER-167</t>
        </is>
      </c>
      <c r="C809" t="inlineStr">
        <is>
          <t>Trục Sus 201 D10</t>
        </is>
      </c>
      <c r="D809" t="inlineStr">
        <is>
          <t>PHỤ_KIỆN_VAN</t>
        </is>
      </c>
      <c r="E809" t="inlineStr">
        <is>
          <t>MAT-DAMPER-TRUC-SUS-201-D10</t>
        </is>
      </c>
      <c r="F809" t="inlineStr">
        <is>
          <t>m</t>
        </is>
      </c>
      <c r="G809" s="406" t="n">
        <v>0.21</v>
      </c>
      <c r="H809" s="402">
        <f>IFERROR(INDEX('00_TONG_HOP_BAO_GIA'!$G$1:$G$5000, MATCH(B809, '00_TONG_HOP_BAO_GIA'!$B$1:$B$5000, 0)), 1)</f>
        <v/>
      </c>
      <c r="I809" s="407">
        <f>G809*H809</f>
        <v/>
      </c>
      <c r="J809" s="402">
        <f>IFERROR(INDEX('06_BANG_GIA_VAT_TU_AP_DUNG'!$E$1:$E$5000, MATCH(E809, '06_BANG_GIA_VAT_TU_AP_DUNG'!$B$1:$B$5000, 0)), 0)</f>
        <v/>
      </c>
      <c r="K809" s="402">
        <f>I809*J809</f>
        <v/>
      </c>
      <c r="L809" t="inlineStr">
        <is>
          <t>1 trục dài 210mm</t>
        </is>
      </c>
    </row>
    <row r="810">
      <c r="A810" t="inlineStr">
        <is>
          <t>SW-DAMPER-167-BEARING</t>
        </is>
      </c>
      <c r="B810" t="inlineStr">
        <is>
          <t>SW-DAMPER-167</t>
        </is>
      </c>
      <c r="C810" t="inlineStr">
        <is>
          <t>Bạc đồng D10</t>
        </is>
      </c>
      <c r="D810" t="inlineStr">
        <is>
          <t>PHỤ_KIỆN_VAN</t>
        </is>
      </c>
      <c r="E810" t="inlineStr">
        <is>
          <t>MAT-DAMPER-BAC-DONG-D10</t>
        </is>
      </c>
      <c r="F810" t="inlineStr">
        <is>
          <t>Đôi</t>
        </is>
      </c>
      <c r="G810" s="406" t="n">
        <v>1</v>
      </c>
      <c r="H810" s="402">
        <f>IFERROR(INDEX('00_TONG_HOP_BAO_GIA'!$G$1:$G$5000, MATCH(B810, '00_TONG_HOP_BAO_GIA'!$B$1:$B$5000, 0)), 1)</f>
        <v/>
      </c>
      <c r="I810" s="407">
        <f>G810*H810</f>
        <v/>
      </c>
      <c r="J810" s="402">
        <f>IFERROR(INDEX('06_BANG_GIA_VAT_TU_AP_DUNG'!$E$1:$E$5000, MATCH(E810, '06_BANG_GIA_VAT_TU_AP_DUNG'!$B$1:$B$5000, 0)), 0)</f>
        <v/>
      </c>
      <c r="K810" s="402">
        <f>I810*J810</f>
        <v/>
      </c>
      <c r="L810" t="inlineStr">
        <is>
          <t>1 đôi bạc đỡ 2 bên thân</t>
        </is>
      </c>
    </row>
    <row r="811">
      <c r="A811" t="inlineStr">
        <is>
          <t>SW-DAMPER-167-FUSE</t>
        </is>
      </c>
      <c r="B811" t="inlineStr">
        <is>
          <t>SW-DAMPER-167</t>
        </is>
      </c>
      <c r="C811" t="inlineStr">
        <is>
          <t>Cầu chì nhiệt nóng chảy 70°C/74°C (Elsie/USA)</t>
        </is>
      </c>
      <c r="D811" t="inlineStr">
        <is>
          <t>PHỤ_KIỆN_VAN</t>
        </is>
      </c>
      <c r="E811" t="inlineStr">
        <is>
          <t>MAT-DAMPER-CAU-CHI-USA-1-400X400</t>
        </is>
      </c>
      <c r="F811" t="inlineStr">
        <is>
          <t>Cái</t>
        </is>
      </c>
      <c r="G811" s="406" t="n">
        <v>1</v>
      </c>
      <c r="H811" s="402">
        <f>IFERROR(INDEX('00_TONG_HOP_BAO_GIA'!$G$1:$G$5000, MATCH(B811, '00_TONG_HOP_BAO_GIA'!$B$1:$B$5000, 0)), 1)</f>
        <v/>
      </c>
      <c r="I811" s="407">
        <f>G811*H811</f>
        <v/>
      </c>
      <c r="J811" s="402">
        <f>IFERROR(INDEX('06_BANG_GIA_VAT_TU_AP_DUNG'!$E$1:$E$5000, MATCH(E811, '06_BANG_GIA_VAT_TU_AP_DUNG'!$B$1:$B$5000, 0)), 0)</f>
        <v/>
      </c>
      <c r="K811" s="402">
        <f>I811*J811</f>
        <v/>
      </c>
      <c r="L811" t="inlineStr">
        <is>
          <t>Cầu chì kiểm định PCCC (1 cái)</t>
        </is>
      </c>
    </row>
    <row r="812">
      <c r="A812" t="inlineStr">
        <is>
          <t>SW-DAMPER-167-FB10-BODY</t>
        </is>
      </c>
      <c r="B812" t="inlineStr">
        <is>
          <t>SW-DAMPER-167</t>
        </is>
      </c>
      <c r="C812" t="inlineStr">
        <is>
          <t>Tấm chống cháy dày 10mm bọc thân van FD/MFD (2 lớp)</t>
        </is>
      </c>
      <c r="D812" t="inlineStr">
        <is>
          <t>VẬT_LIỆU_CÁCH_NHIỆT</t>
        </is>
      </c>
      <c r="E812" t="inlineStr">
        <is>
          <t>MAT-FIREBOARD-10MM-BODY</t>
        </is>
      </c>
      <c r="F812" t="inlineStr">
        <is>
          <t>m2</t>
        </is>
      </c>
      <c r="G812" s="406" t="n">
        <v>0.36</v>
      </c>
      <c r="H812" s="402">
        <f>IFERROR(INDEX('00_TONG_HOP_BAO_GIA'!$G$1:$G$5000, MATCH(B812, '00_TONG_HOP_BAO_GIA'!$B$1:$B$5000, 0)), 1)</f>
        <v/>
      </c>
      <c r="I812" s="407">
        <f>G812*H812</f>
        <v/>
      </c>
      <c r="J812" s="402">
        <f>IFERROR(INDEX('06_BANG_GIA_VAT_TU_AP_DUNG'!$E$1:$E$5000, MATCH(E812, '06_BANG_GIA_VAT_TU_AP_DUNG'!$B$1:$B$5000, 0)), 0)</f>
        <v/>
      </c>
      <c r="K812" s="402">
        <f>I812*J812</f>
        <v/>
      </c>
      <c r="L812" t="inlineStr">
        <is>
          <t>Bọc 2 lớp tấm 10mm quanh thân L=300mm</t>
        </is>
      </c>
    </row>
    <row r="813">
      <c r="A813" t="inlineStr">
        <is>
          <t>SW-DAMPER-167-FB20-BLADE</t>
        </is>
      </c>
      <c r="B813" t="inlineStr">
        <is>
          <t>SW-DAMPER-167</t>
        </is>
      </c>
      <c r="C813" t="inlineStr">
        <is>
          <t>Tấm chống cháy dày 20mm làm lõi cánh van FD/MFD</t>
        </is>
      </c>
      <c r="D813" t="inlineStr">
        <is>
          <t>VẬT_LIỆU_CÁCH_NHIỆT</t>
        </is>
      </c>
      <c r="E813" t="inlineStr">
        <is>
          <t>MAT-FIREBOARD-20MM-BLADE</t>
        </is>
      </c>
      <c r="F813" t="inlineStr">
        <is>
          <t>m2</t>
        </is>
      </c>
      <c r="G813" s="406" t="n">
        <v>0.0225</v>
      </c>
      <c r="H813" s="402">
        <f>IFERROR(INDEX('00_TONG_HOP_BAO_GIA'!$G$1:$G$5000, MATCH(B813, '00_TONG_HOP_BAO_GIA'!$B$1:$B$5000, 0)), 1)</f>
        <v/>
      </c>
      <c r="I813" s="407">
        <f>G813*H813</f>
        <v/>
      </c>
      <c r="J813" s="402">
        <f>IFERROR(INDEX('06_BANG_GIA_VAT_TU_AP_DUNG'!$E$1:$E$5000, MATCH(E813, '06_BANG_GIA_VAT_TU_AP_DUNG'!$B$1:$B$5000, 0)), 0)</f>
        <v/>
      </c>
      <c r="K813" s="402">
        <f>I813*J813</f>
        <v/>
      </c>
      <c r="L813" t="inlineStr">
        <is>
          <t>Lõi cánh tấm 20mm (Cánh đơn 150x150mm)</t>
        </is>
      </c>
    </row>
    <row r="814">
      <c r="A814" t="inlineStr">
        <is>
          <t>SW-DAMPER-167-FB10-BLADE</t>
        </is>
      </c>
      <c r="B814" t="inlineStr">
        <is>
          <t>SW-DAMPER-167</t>
        </is>
      </c>
      <c r="C814" t="inlineStr">
        <is>
          <t>Tấm chống cháy dày 10mm ốp 2 mặt cánh van FD/MFD</t>
        </is>
      </c>
      <c r="D814" t="inlineStr">
        <is>
          <t>VẬT_LIỆU_CÁCH_NHIỆT</t>
        </is>
      </c>
      <c r="E814" t="inlineStr">
        <is>
          <t>MAT-FIREBOARD-10MM-BLADE</t>
        </is>
      </c>
      <c r="F814" t="inlineStr">
        <is>
          <t>m2</t>
        </is>
      </c>
      <c r="G814" s="406" t="n">
        <v>0.045</v>
      </c>
      <c r="H814" s="402">
        <f>IFERROR(INDEX('00_TONG_HOP_BAO_GIA'!$G$1:$G$5000, MATCH(B814, '00_TONG_HOP_BAO_GIA'!$B$1:$B$5000, 0)), 1)</f>
        <v/>
      </c>
      <c r="I814" s="407">
        <f>G814*H814</f>
        <v/>
      </c>
      <c r="J814" s="402">
        <f>IFERROR(INDEX('06_BANG_GIA_VAT_TU_AP_DUNG'!$E$1:$E$5000, MATCH(E814, '06_BANG_GIA_VAT_TU_AP_DUNG'!$B$1:$B$5000, 0)), 0)</f>
        <v/>
      </c>
      <c r="K814" s="402">
        <f>I814*J814</f>
        <v/>
      </c>
      <c r="L814" t="inlineStr">
        <is>
          <t>Ốp 2 mặt cánh tấm 10mm (Cánh đơn 150x150mm)</t>
        </is>
      </c>
    </row>
    <row r="815">
      <c r="A815" t="inlineStr">
        <is>
          <t>SW-DAMPER-167-SPRING-BOX</t>
        </is>
      </c>
      <c r="B815" t="inlineStr">
        <is>
          <t>SW-DAMPER-167</t>
        </is>
      </c>
      <c r="C815" t="inlineStr">
        <is>
          <t>Hộp lò xo van chặn lửa FD/MFD</t>
        </is>
      </c>
      <c r="D815" t="inlineStr">
        <is>
          <t>PHỤ_KIỆN_VAN</t>
        </is>
      </c>
      <c r="E815" t="inlineStr">
        <is>
          <t>MAT-DAMPER-HOP-LO-XO</t>
        </is>
      </c>
      <c r="F815" t="inlineStr">
        <is>
          <t>Bộ</t>
        </is>
      </c>
      <c r="G815" s="406" t="n">
        <v>1</v>
      </c>
      <c r="H815" s="402">
        <f>IFERROR(INDEX('00_TONG_HOP_BAO_GIA'!$G$1:$G$5000, MATCH(B815, '00_TONG_HOP_BAO_GIA'!$B$1:$B$5000, 0)), 1)</f>
        <v/>
      </c>
      <c r="I815" s="407">
        <f>G815*H815</f>
        <v/>
      </c>
      <c r="J815" s="402">
        <f>IFERROR(INDEX('06_BANG_GIA_VAT_TU_AP_DUNG'!$E$1:$E$5000, MATCH(E815, '06_BANG_GIA_VAT_TU_AP_DUNG'!$B$1:$B$5000, 0)), 0)</f>
        <v/>
      </c>
      <c r="K815" s="402">
        <f>I815*J815</f>
        <v/>
      </c>
      <c r="L815" t="inlineStr">
        <is>
          <t>Hộp lò xo cơ cấu đóng sập (1 bộ)</t>
        </is>
      </c>
    </row>
    <row r="816">
      <c r="A816" t="inlineStr">
        <is>
          <t>SW-DAMPER-167-SILICON-BOLT</t>
        </is>
      </c>
      <c r="B816" t="inlineStr">
        <is>
          <t>SW-DAMPER-167</t>
        </is>
      </c>
      <c r="C816" t="inlineStr">
        <is>
          <t>Silicon chống cháy + bu lông, ốc vít van FD/MFD</t>
        </is>
      </c>
      <c r="D816" t="inlineStr">
        <is>
          <t>PHỤ_KIỆN_VAN</t>
        </is>
      </c>
      <c r="E816" t="inlineStr">
        <is>
          <t>MAT-DAMPER-SILICON-BULONG-VIT</t>
        </is>
      </c>
      <c r="F816" t="inlineStr">
        <is>
          <t>Bộ</t>
        </is>
      </c>
      <c r="G816" s="406" t="n">
        <v>1</v>
      </c>
      <c r="H816" s="402">
        <f>IFERROR(INDEX('00_TONG_HOP_BAO_GIA'!$G$1:$G$5000, MATCH(B816, '00_TONG_HOP_BAO_GIA'!$B$1:$B$5000, 0)), 1)</f>
        <v/>
      </c>
      <c r="I816" s="407">
        <f>G816*H816</f>
        <v/>
      </c>
      <c r="J816" s="402">
        <f>IFERROR(INDEX('06_BANG_GIA_VAT_TU_AP_DUNG'!$E$1:$E$5000, MATCH(E816, '06_BANG_GIA_VAT_TU_AP_DUNG'!$B$1:$B$5000, 0)), 0)</f>
        <v/>
      </c>
      <c r="K816" s="402">
        <f>I816*J816</f>
        <v/>
      </c>
      <c r="L816" t="inlineStr">
        <is>
          <t>Keo silicon chống cháy &amp; phụ kiện lắp ghép (1 bộ)</t>
        </is>
      </c>
    </row>
    <row r="817">
      <c r="A817" t="inlineStr">
        <is>
          <t>SW-DAMPER-168-BODY</t>
        </is>
      </c>
      <c r="B817" t="inlineStr">
        <is>
          <t>SW-DAMPER-168</t>
        </is>
      </c>
      <c r="C817" t="inlineStr">
        <is>
          <t>Thân vỏ van FD bích C30/TDF (1.15mm)</t>
        </is>
      </c>
      <c r="D817" t="inlineStr">
        <is>
          <t>TÔN_CUỘN_MẠ_KẼM</t>
        </is>
      </c>
      <c r="E817" t="inlineStr">
        <is>
          <t>MAT-STEEL-PN-1.15</t>
        </is>
      </c>
      <c r="F817" t="inlineStr">
        <is>
          <t>kg</t>
        </is>
      </c>
      <c r="G817" s="406" t="n">
        <v>2.917597725</v>
      </c>
      <c r="H817" s="402">
        <f>IFERROR(INDEX('00_TONG_HOP_BAO_GIA'!$G$1:$G$5000, MATCH(B817, '00_TONG_HOP_BAO_GIA'!$B$1:$B$5000, 0)), 1)</f>
        <v/>
      </c>
      <c r="I817" s="407">
        <f>G817*H817</f>
        <v/>
      </c>
      <c r="J817" s="402">
        <f>IFERROR(INDEX('06_BANG_GIA_VAT_TU_AP_DUNG'!$E$1:$E$5000, MATCH(E817, '06_BANG_GIA_VAT_TU_AP_DUNG'!$B$1:$B$5000, 0)), 0)</f>
        <v/>
      </c>
      <c r="K817" s="402">
        <f>I817*J817</f>
        <v/>
      </c>
      <c r="L817" t="inlineStr">
        <is>
          <t>Kích thước vỏ 400x150x200mm</t>
        </is>
      </c>
    </row>
    <row r="818">
      <c r="A818" t="inlineStr">
        <is>
          <t>SW-DAMPER-168-BLADE</t>
        </is>
      </c>
      <c r="B818" t="inlineStr">
        <is>
          <t>SW-DAMPER-168</t>
        </is>
      </c>
      <c r="C818" t="inlineStr">
        <is>
          <t>Lá cánh / Tôn tấm bọc van (1 cánh)</t>
        </is>
      </c>
      <c r="D818" t="inlineStr">
        <is>
          <t>TÔN_CUỘN_MẠ_KẼM</t>
        </is>
      </c>
      <c r="E818" t="inlineStr">
        <is>
          <t>MAT-STEEL-PN-1.15</t>
        </is>
      </c>
      <c r="F818" t="inlineStr">
        <is>
          <t>kg</t>
        </is>
      </c>
      <c r="G818" s="406" t="n">
        <v>1.0833</v>
      </c>
      <c r="H818" s="402">
        <f>IFERROR(INDEX('00_TONG_HOP_BAO_GIA'!$G$1:$G$5000, MATCH(B818, '00_TONG_HOP_BAO_GIA'!$B$1:$B$5000, 0)), 1)</f>
        <v/>
      </c>
      <c r="I818" s="407">
        <f>G818*H818</f>
        <v/>
      </c>
      <c r="J818" s="402">
        <f>IFERROR(INDEX('06_BANG_GIA_VAT_TU_AP_DUNG'!$E$1:$E$5000, MATCH(E818, '06_BANG_GIA_VAT_TU_AP_DUNG'!$B$1:$B$5000, 0)), 0)</f>
        <v/>
      </c>
      <c r="K818" s="402">
        <f>I818*J818</f>
        <v/>
      </c>
      <c r="L818" t="inlineStr">
        <is>
          <t>Tôn bọc cánh &amp; thân (1 cánh/modul)</t>
        </is>
      </c>
    </row>
    <row r="819">
      <c r="A819" t="inlineStr">
        <is>
          <t>SW-DAMPER-168-AXLE</t>
        </is>
      </c>
      <c r="B819" t="inlineStr">
        <is>
          <t>SW-DAMPER-168</t>
        </is>
      </c>
      <c r="C819" t="inlineStr">
        <is>
          <t>Trục Sus 201 D10</t>
        </is>
      </c>
      <c r="D819" t="inlineStr">
        <is>
          <t>PHỤ_KIỆN_VAN</t>
        </is>
      </c>
      <c r="E819" t="inlineStr">
        <is>
          <t>MAT-DAMPER-TRUC-SUS-201-D10</t>
        </is>
      </c>
      <c r="F819" t="inlineStr">
        <is>
          <t>m</t>
        </is>
      </c>
      <c r="G819" s="406" t="n">
        <v>0.46</v>
      </c>
      <c r="H819" s="402">
        <f>IFERROR(INDEX('00_TONG_HOP_BAO_GIA'!$G$1:$G$5000, MATCH(B819, '00_TONG_HOP_BAO_GIA'!$B$1:$B$5000, 0)), 1)</f>
        <v/>
      </c>
      <c r="I819" s="407">
        <f>G819*H819</f>
        <v/>
      </c>
      <c r="J819" s="402">
        <f>IFERROR(INDEX('06_BANG_GIA_VAT_TU_AP_DUNG'!$E$1:$E$5000, MATCH(E819, '06_BANG_GIA_VAT_TU_AP_DUNG'!$B$1:$B$5000, 0)), 0)</f>
        <v/>
      </c>
      <c r="K819" s="402">
        <f>I819*J819</f>
        <v/>
      </c>
      <c r="L819" t="inlineStr">
        <is>
          <t>1 trục dài 460mm</t>
        </is>
      </c>
    </row>
    <row r="820">
      <c r="A820" t="inlineStr">
        <is>
          <t>SW-DAMPER-168-BEARING</t>
        </is>
      </c>
      <c r="B820" t="inlineStr">
        <is>
          <t>SW-DAMPER-168</t>
        </is>
      </c>
      <c r="C820" t="inlineStr">
        <is>
          <t>Bạc đồng D10</t>
        </is>
      </c>
      <c r="D820" t="inlineStr">
        <is>
          <t>PHỤ_KIỆN_VAN</t>
        </is>
      </c>
      <c r="E820" t="inlineStr">
        <is>
          <t>MAT-DAMPER-BAC-DONG-D10</t>
        </is>
      </c>
      <c r="F820" t="inlineStr">
        <is>
          <t>Đôi</t>
        </is>
      </c>
      <c r="G820" s="406" t="n">
        <v>1</v>
      </c>
      <c r="H820" s="402">
        <f>IFERROR(INDEX('00_TONG_HOP_BAO_GIA'!$G$1:$G$5000, MATCH(B820, '00_TONG_HOP_BAO_GIA'!$B$1:$B$5000, 0)), 1)</f>
        <v/>
      </c>
      <c r="I820" s="407">
        <f>G820*H820</f>
        <v/>
      </c>
      <c r="J820" s="402">
        <f>IFERROR(INDEX('06_BANG_GIA_VAT_TU_AP_DUNG'!$E$1:$E$5000, MATCH(E820, '06_BANG_GIA_VAT_TU_AP_DUNG'!$B$1:$B$5000, 0)), 0)</f>
        <v/>
      </c>
      <c r="K820" s="402">
        <f>I820*J820</f>
        <v/>
      </c>
      <c r="L820" t="inlineStr">
        <is>
          <t>1 đôi bạc đỡ 2 bên thân</t>
        </is>
      </c>
    </row>
    <row r="821">
      <c r="A821" t="inlineStr">
        <is>
          <t>SW-DAMPER-168-FUSE</t>
        </is>
      </c>
      <c r="B821" t="inlineStr">
        <is>
          <t>SW-DAMPER-168</t>
        </is>
      </c>
      <c r="C821" t="inlineStr">
        <is>
          <t>Cầu chì nhiệt nóng chảy 70°C/74°C (Elsie/USA)</t>
        </is>
      </c>
      <c r="D821" t="inlineStr">
        <is>
          <t>PHỤ_KIỆN_VAN</t>
        </is>
      </c>
      <c r="E821" t="inlineStr">
        <is>
          <t>MAT-DAMPER-CAU-CHI-USA-2-400X400</t>
        </is>
      </c>
      <c r="F821" t="inlineStr">
        <is>
          <t>Cái</t>
        </is>
      </c>
      <c r="G821" s="406" t="n">
        <v>1</v>
      </c>
      <c r="H821" s="402">
        <f>IFERROR(INDEX('00_TONG_HOP_BAO_GIA'!$G$1:$G$5000, MATCH(B821, '00_TONG_HOP_BAO_GIA'!$B$1:$B$5000, 0)), 1)</f>
        <v/>
      </c>
      <c r="I821" s="407">
        <f>G821*H821</f>
        <v/>
      </c>
      <c r="J821" s="402">
        <f>IFERROR(INDEX('06_BANG_GIA_VAT_TU_AP_DUNG'!$E$1:$E$5000, MATCH(E821, '06_BANG_GIA_VAT_TU_AP_DUNG'!$B$1:$B$5000, 0)), 0)</f>
        <v/>
      </c>
      <c r="K821" s="402">
        <f>I821*J821</f>
        <v/>
      </c>
      <c r="L821" t="inlineStr">
        <is>
          <t>Cầu chì kiểm định PCCC (1 cái)</t>
        </is>
      </c>
    </row>
    <row r="822">
      <c r="A822" t="inlineStr">
        <is>
          <t>SW-DAMPER-168-FB10-BODY</t>
        </is>
      </c>
      <c r="B822" t="inlineStr">
        <is>
          <t>SW-DAMPER-168</t>
        </is>
      </c>
      <c r="C822" t="inlineStr">
        <is>
          <t>Tấm chống cháy dày 10mm bọc thân van FD/MFD (2 lớp)</t>
        </is>
      </c>
      <c r="D822" t="inlineStr">
        <is>
          <t>VẬT_LIỆU_CÁCH_NHIỆT</t>
        </is>
      </c>
      <c r="E822" t="inlineStr">
        <is>
          <t>MAT-FIREBOARD-10MM-BODY</t>
        </is>
      </c>
      <c r="F822" t="inlineStr">
        <is>
          <t>m2</t>
        </is>
      </c>
      <c r="G822" s="406" t="n">
        <v>0.66</v>
      </c>
      <c r="H822" s="402">
        <f>IFERROR(INDEX('00_TONG_HOP_BAO_GIA'!$G$1:$G$5000, MATCH(B822, '00_TONG_HOP_BAO_GIA'!$B$1:$B$5000, 0)), 1)</f>
        <v/>
      </c>
      <c r="I822" s="407">
        <f>G822*H822</f>
        <v/>
      </c>
      <c r="J822" s="402">
        <f>IFERROR(INDEX('06_BANG_GIA_VAT_TU_AP_DUNG'!$E$1:$E$5000, MATCH(E822, '06_BANG_GIA_VAT_TU_AP_DUNG'!$B$1:$B$5000, 0)), 0)</f>
        <v/>
      </c>
      <c r="K822" s="402">
        <f>I822*J822</f>
        <v/>
      </c>
      <c r="L822" t="inlineStr">
        <is>
          <t>Bọc 2 lớp tấm 10mm quanh thân L=300mm</t>
        </is>
      </c>
    </row>
    <row r="823">
      <c r="A823" t="inlineStr">
        <is>
          <t>SW-DAMPER-168-FB20-BLADE</t>
        </is>
      </c>
      <c r="B823" t="inlineStr">
        <is>
          <t>SW-DAMPER-168</t>
        </is>
      </c>
      <c r="C823" t="inlineStr">
        <is>
          <t>Tấm chống cháy dày 20mm làm lõi cánh van FD/MFD</t>
        </is>
      </c>
      <c r="D823" t="inlineStr">
        <is>
          <t>VẬT_LIỆU_CÁCH_NHIỆT</t>
        </is>
      </c>
      <c r="E823" t="inlineStr">
        <is>
          <t>MAT-FIREBOARD-20MM-BLADE</t>
        </is>
      </c>
      <c r="F823" t="inlineStr">
        <is>
          <t>m2</t>
        </is>
      </c>
      <c r="G823" s="406" t="n">
        <v>0.06</v>
      </c>
      <c r="H823" s="402">
        <f>IFERROR(INDEX('00_TONG_HOP_BAO_GIA'!$G$1:$G$5000, MATCH(B823, '00_TONG_HOP_BAO_GIA'!$B$1:$B$5000, 0)), 1)</f>
        <v/>
      </c>
      <c r="I823" s="407">
        <f>G823*H823</f>
        <v/>
      </c>
      <c r="J823" s="402">
        <f>IFERROR(INDEX('06_BANG_GIA_VAT_TU_AP_DUNG'!$E$1:$E$5000, MATCH(E823, '06_BANG_GIA_VAT_TU_AP_DUNG'!$B$1:$B$5000, 0)), 0)</f>
        <v/>
      </c>
      <c r="K823" s="402">
        <f>I823*J823</f>
        <v/>
      </c>
      <c r="L823" t="inlineStr">
        <is>
          <t>Lõi cánh tấm 20mm (Cánh đơn 400x150mm)</t>
        </is>
      </c>
    </row>
    <row r="824">
      <c r="A824" t="inlineStr">
        <is>
          <t>SW-DAMPER-168-FB10-BLADE</t>
        </is>
      </c>
      <c r="B824" t="inlineStr">
        <is>
          <t>SW-DAMPER-168</t>
        </is>
      </c>
      <c r="C824" t="inlineStr">
        <is>
          <t>Tấm chống cháy dày 10mm ốp 2 mặt cánh van FD/MFD</t>
        </is>
      </c>
      <c r="D824" t="inlineStr">
        <is>
          <t>VẬT_LIỆU_CÁCH_NHIỆT</t>
        </is>
      </c>
      <c r="E824" t="inlineStr">
        <is>
          <t>MAT-FIREBOARD-10MM-BLADE</t>
        </is>
      </c>
      <c r="F824" t="inlineStr">
        <is>
          <t>m2</t>
        </is>
      </c>
      <c r="G824" s="406" t="n">
        <v>0.12</v>
      </c>
      <c r="H824" s="402">
        <f>IFERROR(INDEX('00_TONG_HOP_BAO_GIA'!$G$1:$G$5000, MATCH(B824, '00_TONG_HOP_BAO_GIA'!$B$1:$B$5000, 0)), 1)</f>
        <v/>
      </c>
      <c r="I824" s="407">
        <f>G824*H824</f>
        <v/>
      </c>
      <c r="J824" s="402">
        <f>IFERROR(INDEX('06_BANG_GIA_VAT_TU_AP_DUNG'!$E$1:$E$5000, MATCH(E824, '06_BANG_GIA_VAT_TU_AP_DUNG'!$B$1:$B$5000, 0)), 0)</f>
        <v/>
      </c>
      <c r="K824" s="402">
        <f>I824*J824</f>
        <v/>
      </c>
      <c r="L824" t="inlineStr">
        <is>
          <t>Ốp 2 mặt cánh tấm 10mm (Cánh đơn 400x150mm)</t>
        </is>
      </c>
    </row>
    <row r="825">
      <c r="A825" t="inlineStr">
        <is>
          <t>SW-DAMPER-168-SPRING-BOX</t>
        </is>
      </c>
      <c r="B825" t="inlineStr">
        <is>
          <t>SW-DAMPER-168</t>
        </is>
      </c>
      <c r="C825" t="inlineStr">
        <is>
          <t>Hộp lò xo van chặn lửa FD/MFD</t>
        </is>
      </c>
      <c r="D825" t="inlineStr">
        <is>
          <t>PHỤ_KIỆN_VAN</t>
        </is>
      </c>
      <c r="E825" t="inlineStr">
        <is>
          <t>MAT-DAMPER-HOP-LO-XO</t>
        </is>
      </c>
      <c r="F825" t="inlineStr">
        <is>
          <t>Bộ</t>
        </is>
      </c>
      <c r="G825" s="406" t="n">
        <v>1</v>
      </c>
      <c r="H825" s="402">
        <f>IFERROR(INDEX('00_TONG_HOP_BAO_GIA'!$G$1:$G$5000, MATCH(B825, '00_TONG_HOP_BAO_GIA'!$B$1:$B$5000, 0)), 1)</f>
        <v/>
      </c>
      <c r="I825" s="407">
        <f>G825*H825</f>
        <v/>
      </c>
      <c r="J825" s="402">
        <f>IFERROR(INDEX('06_BANG_GIA_VAT_TU_AP_DUNG'!$E$1:$E$5000, MATCH(E825, '06_BANG_GIA_VAT_TU_AP_DUNG'!$B$1:$B$5000, 0)), 0)</f>
        <v/>
      </c>
      <c r="K825" s="402">
        <f>I825*J825</f>
        <v/>
      </c>
      <c r="L825" t="inlineStr">
        <is>
          <t>Hộp lò xo cơ cấu đóng sập (1 bộ)</t>
        </is>
      </c>
    </row>
    <row r="826">
      <c r="A826" t="inlineStr">
        <is>
          <t>SW-DAMPER-168-SILICON-BOLT</t>
        </is>
      </c>
      <c r="B826" t="inlineStr">
        <is>
          <t>SW-DAMPER-168</t>
        </is>
      </c>
      <c r="C826" t="inlineStr">
        <is>
          <t>Silicon chống cháy + bu lông, ốc vít van FD/MFD</t>
        </is>
      </c>
      <c r="D826" t="inlineStr">
        <is>
          <t>PHỤ_KIỆN_VAN</t>
        </is>
      </c>
      <c r="E826" t="inlineStr">
        <is>
          <t>MAT-DAMPER-SILICON-BULONG-VIT</t>
        </is>
      </c>
      <c r="F826" t="inlineStr">
        <is>
          <t>Bộ</t>
        </is>
      </c>
      <c r="G826" s="406" t="n">
        <v>1</v>
      </c>
      <c r="H826" s="402">
        <f>IFERROR(INDEX('00_TONG_HOP_BAO_GIA'!$G$1:$G$5000, MATCH(B826, '00_TONG_HOP_BAO_GIA'!$B$1:$B$5000, 0)), 1)</f>
        <v/>
      </c>
      <c r="I826" s="407">
        <f>G826*H826</f>
        <v/>
      </c>
      <c r="J826" s="402">
        <f>IFERROR(INDEX('06_BANG_GIA_VAT_TU_AP_DUNG'!$E$1:$E$5000, MATCH(E826, '06_BANG_GIA_VAT_TU_AP_DUNG'!$B$1:$B$5000, 0)), 0)</f>
        <v/>
      </c>
      <c r="K826" s="402">
        <f>I826*J826</f>
        <v/>
      </c>
      <c r="L826" t="inlineStr">
        <is>
          <t>Keo silicon chống cháy &amp; phụ kiện lắp ghép (1 bộ)</t>
        </is>
      </c>
    </row>
    <row r="827">
      <c r="A827" t="inlineStr">
        <is>
          <t>SW-DAMPER-169-BODY</t>
        </is>
      </c>
      <c r="B827" t="inlineStr">
        <is>
          <t>SW-DAMPER-169</t>
        </is>
      </c>
      <c r="C827" t="inlineStr">
        <is>
          <t>Thân vỏ van FD bích C30/TDF (1.15mm)</t>
        </is>
      </c>
      <c r="D827" t="inlineStr">
        <is>
          <t>TÔN_CUỘN_MẠ_KẼM</t>
        </is>
      </c>
      <c r="E827" t="inlineStr">
        <is>
          <t>MAT-STEEL-PN-1.15</t>
        </is>
      </c>
      <c r="F827" t="inlineStr">
        <is>
          <t>kg</t>
        </is>
      </c>
      <c r="G827" s="406" t="n">
        <v>3.17352735</v>
      </c>
      <c r="H827" s="402">
        <f>IFERROR(INDEX('00_TONG_HOP_BAO_GIA'!$G$1:$G$5000, MATCH(B827, '00_TONG_HOP_BAO_GIA'!$B$1:$B$5000, 0)), 1)</f>
        <v/>
      </c>
      <c r="I827" s="407">
        <f>G827*H827</f>
        <v/>
      </c>
      <c r="J827" s="402">
        <f>IFERROR(INDEX('06_BANG_GIA_VAT_TU_AP_DUNG'!$E$1:$E$5000, MATCH(E827, '06_BANG_GIA_VAT_TU_AP_DUNG'!$B$1:$B$5000, 0)), 0)</f>
        <v/>
      </c>
      <c r="K827" s="402">
        <f>I827*J827</f>
        <v/>
      </c>
      <c r="L827" t="inlineStr">
        <is>
          <t>Kích thước vỏ 400x200x200mm</t>
        </is>
      </c>
    </row>
    <row r="828">
      <c r="A828" t="inlineStr">
        <is>
          <t>SW-DAMPER-169-BLADE</t>
        </is>
      </c>
      <c r="B828" t="inlineStr">
        <is>
          <t>SW-DAMPER-169</t>
        </is>
      </c>
      <c r="C828" t="inlineStr">
        <is>
          <t>Lá cánh / Tôn tấm bọc van (1 cánh)</t>
        </is>
      </c>
      <c r="D828" t="inlineStr">
        <is>
          <t>TÔN_CUỘN_MẠ_KẼM</t>
        </is>
      </c>
      <c r="E828" t="inlineStr">
        <is>
          <t>MAT-STEEL-PN-1.15</t>
        </is>
      </c>
      <c r="F828" t="inlineStr">
        <is>
          <t>kg</t>
        </is>
      </c>
      <c r="G828" s="406" t="n">
        <v>1.4444</v>
      </c>
      <c r="H828" s="402">
        <f>IFERROR(INDEX('00_TONG_HOP_BAO_GIA'!$G$1:$G$5000, MATCH(B828, '00_TONG_HOP_BAO_GIA'!$B$1:$B$5000, 0)), 1)</f>
        <v/>
      </c>
      <c r="I828" s="407">
        <f>G828*H828</f>
        <v/>
      </c>
      <c r="J828" s="402">
        <f>IFERROR(INDEX('06_BANG_GIA_VAT_TU_AP_DUNG'!$E$1:$E$5000, MATCH(E828, '06_BANG_GIA_VAT_TU_AP_DUNG'!$B$1:$B$5000, 0)), 0)</f>
        <v/>
      </c>
      <c r="K828" s="402">
        <f>I828*J828</f>
        <v/>
      </c>
      <c r="L828" t="inlineStr">
        <is>
          <t>Tôn bọc cánh &amp; thân (1 cánh/modul)</t>
        </is>
      </c>
    </row>
    <row r="829">
      <c r="A829" t="inlineStr">
        <is>
          <t>SW-DAMPER-169-AXLE</t>
        </is>
      </c>
      <c r="B829" t="inlineStr">
        <is>
          <t>SW-DAMPER-169</t>
        </is>
      </c>
      <c r="C829" t="inlineStr">
        <is>
          <t>Trục Sus 201 D10</t>
        </is>
      </c>
      <c r="D829" t="inlineStr">
        <is>
          <t>PHỤ_KIỆN_VAN</t>
        </is>
      </c>
      <c r="E829" t="inlineStr">
        <is>
          <t>MAT-DAMPER-TRUC-SUS-201-D10</t>
        </is>
      </c>
      <c r="F829" t="inlineStr">
        <is>
          <t>m</t>
        </is>
      </c>
      <c r="G829" s="406" t="n">
        <v>0.46</v>
      </c>
      <c r="H829" s="402">
        <f>IFERROR(INDEX('00_TONG_HOP_BAO_GIA'!$G$1:$G$5000, MATCH(B829, '00_TONG_HOP_BAO_GIA'!$B$1:$B$5000, 0)), 1)</f>
        <v/>
      </c>
      <c r="I829" s="407">
        <f>G829*H829</f>
        <v/>
      </c>
      <c r="J829" s="402">
        <f>IFERROR(INDEX('06_BANG_GIA_VAT_TU_AP_DUNG'!$E$1:$E$5000, MATCH(E829, '06_BANG_GIA_VAT_TU_AP_DUNG'!$B$1:$B$5000, 0)), 0)</f>
        <v/>
      </c>
      <c r="K829" s="402">
        <f>I829*J829</f>
        <v/>
      </c>
      <c r="L829" t="inlineStr">
        <is>
          <t>1 trục dài 460mm</t>
        </is>
      </c>
    </row>
    <row r="830">
      <c r="A830" t="inlineStr">
        <is>
          <t>SW-DAMPER-169-BEARING</t>
        </is>
      </c>
      <c r="B830" t="inlineStr">
        <is>
          <t>SW-DAMPER-169</t>
        </is>
      </c>
      <c r="C830" t="inlineStr">
        <is>
          <t>Bạc đồng D10</t>
        </is>
      </c>
      <c r="D830" t="inlineStr">
        <is>
          <t>PHỤ_KIỆN_VAN</t>
        </is>
      </c>
      <c r="E830" t="inlineStr">
        <is>
          <t>MAT-DAMPER-BAC-DONG-D10</t>
        </is>
      </c>
      <c r="F830" t="inlineStr">
        <is>
          <t>Đôi</t>
        </is>
      </c>
      <c r="G830" s="406" t="n">
        <v>1</v>
      </c>
      <c r="H830" s="402">
        <f>IFERROR(INDEX('00_TONG_HOP_BAO_GIA'!$G$1:$G$5000, MATCH(B830, '00_TONG_HOP_BAO_GIA'!$B$1:$B$5000, 0)), 1)</f>
        <v/>
      </c>
      <c r="I830" s="407">
        <f>G830*H830</f>
        <v/>
      </c>
      <c r="J830" s="402">
        <f>IFERROR(INDEX('06_BANG_GIA_VAT_TU_AP_DUNG'!$E$1:$E$5000, MATCH(E830, '06_BANG_GIA_VAT_TU_AP_DUNG'!$B$1:$B$5000, 0)), 0)</f>
        <v/>
      </c>
      <c r="K830" s="402">
        <f>I830*J830</f>
        <v/>
      </c>
      <c r="L830" t="inlineStr">
        <is>
          <t>1 đôi bạc đỡ 2 bên thân</t>
        </is>
      </c>
    </row>
    <row r="831">
      <c r="A831" t="inlineStr">
        <is>
          <t>SW-DAMPER-169-FUSE</t>
        </is>
      </c>
      <c r="B831" t="inlineStr">
        <is>
          <t>SW-DAMPER-169</t>
        </is>
      </c>
      <c r="C831" t="inlineStr">
        <is>
          <t>Cầu chì nhiệt nóng chảy 70°C/74°C (Elsie/USA)</t>
        </is>
      </c>
      <c r="D831" t="inlineStr">
        <is>
          <t>PHỤ_KIỆN_VAN</t>
        </is>
      </c>
      <c r="E831" t="inlineStr">
        <is>
          <t>MAT-DAMPER-CAU-CHI-USA-2-400X400</t>
        </is>
      </c>
      <c r="F831" t="inlineStr">
        <is>
          <t>Cái</t>
        </is>
      </c>
      <c r="G831" s="406" t="n">
        <v>1</v>
      </c>
      <c r="H831" s="402">
        <f>IFERROR(INDEX('00_TONG_HOP_BAO_GIA'!$G$1:$G$5000, MATCH(B831, '00_TONG_HOP_BAO_GIA'!$B$1:$B$5000, 0)), 1)</f>
        <v/>
      </c>
      <c r="I831" s="407">
        <f>G831*H831</f>
        <v/>
      </c>
      <c r="J831" s="402">
        <f>IFERROR(INDEX('06_BANG_GIA_VAT_TU_AP_DUNG'!$E$1:$E$5000, MATCH(E831, '06_BANG_GIA_VAT_TU_AP_DUNG'!$B$1:$B$5000, 0)), 0)</f>
        <v/>
      </c>
      <c r="K831" s="402">
        <f>I831*J831</f>
        <v/>
      </c>
      <c r="L831" t="inlineStr">
        <is>
          <t>Cầu chì kiểm định PCCC (1 cái)</t>
        </is>
      </c>
    </row>
    <row r="832">
      <c r="A832" t="inlineStr">
        <is>
          <t>SW-DAMPER-169-FB10-BODY</t>
        </is>
      </c>
      <c r="B832" t="inlineStr">
        <is>
          <t>SW-DAMPER-169</t>
        </is>
      </c>
      <c r="C832" t="inlineStr">
        <is>
          <t>Tấm chống cháy dày 10mm bọc thân van FD/MFD (2 lớp)</t>
        </is>
      </c>
      <c r="D832" t="inlineStr">
        <is>
          <t>VẬT_LIỆU_CÁCH_NHIỆT</t>
        </is>
      </c>
      <c r="E832" t="inlineStr">
        <is>
          <t>MAT-FIREBOARD-10MM-BODY</t>
        </is>
      </c>
      <c r="F832" t="inlineStr">
        <is>
          <t>m2</t>
        </is>
      </c>
      <c r="G832" s="406" t="n">
        <v>0.72</v>
      </c>
      <c r="H832" s="402">
        <f>IFERROR(INDEX('00_TONG_HOP_BAO_GIA'!$G$1:$G$5000, MATCH(B832, '00_TONG_HOP_BAO_GIA'!$B$1:$B$5000, 0)), 1)</f>
        <v/>
      </c>
      <c r="I832" s="407">
        <f>G832*H832</f>
        <v/>
      </c>
      <c r="J832" s="402">
        <f>IFERROR(INDEX('06_BANG_GIA_VAT_TU_AP_DUNG'!$E$1:$E$5000, MATCH(E832, '06_BANG_GIA_VAT_TU_AP_DUNG'!$B$1:$B$5000, 0)), 0)</f>
        <v/>
      </c>
      <c r="K832" s="402">
        <f>I832*J832</f>
        <v/>
      </c>
      <c r="L832" t="inlineStr">
        <is>
          <t>Bọc 2 lớp tấm 10mm quanh thân L=300mm</t>
        </is>
      </c>
    </row>
    <row r="833">
      <c r="A833" t="inlineStr">
        <is>
          <t>SW-DAMPER-169-FB20-BLADE</t>
        </is>
      </c>
      <c r="B833" t="inlineStr">
        <is>
          <t>SW-DAMPER-169</t>
        </is>
      </c>
      <c r="C833" t="inlineStr">
        <is>
          <t>Tấm chống cháy dày 20mm làm lõi cánh van FD/MFD</t>
        </is>
      </c>
      <c r="D833" t="inlineStr">
        <is>
          <t>VẬT_LIỆU_CÁCH_NHIỆT</t>
        </is>
      </c>
      <c r="E833" t="inlineStr">
        <is>
          <t>MAT-FIREBOARD-20MM-BLADE</t>
        </is>
      </c>
      <c r="F833" t="inlineStr">
        <is>
          <t>m2</t>
        </is>
      </c>
      <c r="G833" s="406" t="n">
        <v>0.08000000000000002</v>
      </c>
      <c r="H833" s="402">
        <f>IFERROR(INDEX('00_TONG_HOP_BAO_GIA'!$G$1:$G$5000, MATCH(B833, '00_TONG_HOP_BAO_GIA'!$B$1:$B$5000, 0)), 1)</f>
        <v/>
      </c>
      <c r="I833" s="407">
        <f>G833*H833</f>
        <v/>
      </c>
      <c r="J833" s="402">
        <f>IFERROR(INDEX('06_BANG_GIA_VAT_TU_AP_DUNG'!$E$1:$E$5000, MATCH(E833, '06_BANG_GIA_VAT_TU_AP_DUNG'!$B$1:$B$5000, 0)), 0)</f>
        <v/>
      </c>
      <c r="K833" s="402">
        <f>I833*J833</f>
        <v/>
      </c>
      <c r="L833" t="inlineStr">
        <is>
          <t>Lõi cánh tấm 20mm (Cánh đơn 400x200mm)</t>
        </is>
      </c>
    </row>
    <row r="834">
      <c r="A834" t="inlineStr">
        <is>
          <t>SW-DAMPER-169-FB10-BLADE</t>
        </is>
      </c>
      <c r="B834" t="inlineStr">
        <is>
          <t>SW-DAMPER-169</t>
        </is>
      </c>
      <c r="C834" t="inlineStr">
        <is>
          <t>Tấm chống cháy dày 10mm ốp 2 mặt cánh van FD/MFD</t>
        </is>
      </c>
      <c r="D834" t="inlineStr">
        <is>
          <t>VẬT_LIỆU_CÁCH_NHIỆT</t>
        </is>
      </c>
      <c r="E834" t="inlineStr">
        <is>
          <t>MAT-FIREBOARD-10MM-BLADE</t>
        </is>
      </c>
      <c r="F834" t="inlineStr">
        <is>
          <t>m2</t>
        </is>
      </c>
      <c r="G834" s="406" t="n">
        <v>0.16</v>
      </c>
      <c r="H834" s="402">
        <f>IFERROR(INDEX('00_TONG_HOP_BAO_GIA'!$G$1:$G$5000, MATCH(B834, '00_TONG_HOP_BAO_GIA'!$B$1:$B$5000, 0)), 1)</f>
        <v/>
      </c>
      <c r="I834" s="407">
        <f>G834*H834</f>
        <v/>
      </c>
      <c r="J834" s="402">
        <f>IFERROR(INDEX('06_BANG_GIA_VAT_TU_AP_DUNG'!$E$1:$E$5000, MATCH(E834, '06_BANG_GIA_VAT_TU_AP_DUNG'!$B$1:$B$5000, 0)), 0)</f>
        <v/>
      </c>
      <c r="K834" s="402">
        <f>I834*J834</f>
        <v/>
      </c>
      <c r="L834" t="inlineStr">
        <is>
          <t>Ốp 2 mặt cánh tấm 10mm (Cánh đơn 400x200mm)</t>
        </is>
      </c>
    </row>
    <row r="835">
      <c r="A835" t="inlineStr">
        <is>
          <t>SW-DAMPER-169-SPRING-BOX</t>
        </is>
      </c>
      <c r="B835" t="inlineStr">
        <is>
          <t>SW-DAMPER-169</t>
        </is>
      </c>
      <c r="C835" t="inlineStr">
        <is>
          <t>Hộp lò xo van chặn lửa FD/MFD</t>
        </is>
      </c>
      <c r="D835" t="inlineStr">
        <is>
          <t>PHỤ_KIỆN_VAN</t>
        </is>
      </c>
      <c r="E835" t="inlineStr">
        <is>
          <t>MAT-DAMPER-HOP-LO-XO</t>
        </is>
      </c>
      <c r="F835" t="inlineStr">
        <is>
          <t>Bộ</t>
        </is>
      </c>
      <c r="G835" s="406" t="n">
        <v>1</v>
      </c>
      <c r="H835" s="402">
        <f>IFERROR(INDEX('00_TONG_HOP_BAO_GIA'!$G$1:$G$5000, MATCH(B835, '00_TONG_HOP_BAO_GIA'!$B$1:$B$5000, 0)), 1)</f>
        <v/>
      </c>
      <c r="I835" s="407">
        <f>G835*H835</f>
        <v/>
      </c>
      <c r="J835" s="402">
        <f>IFERROR(INDEX('06_BANG_GIA_VAT_TU_AP_DUNG'!$E$1:$E$5000, MATCH(E835, '06_BANG_GIA_VAT_TU_AP_DUNG'!$B$1:$B$5000, 0)), 0)</f>
        <v/>
      </c>
      <c r="K835" s="402">
        <f>I835*J835</f>
        <v/>
      </c>
      <c r="L835" t="inlineStr">
        <is>
          <t>Hộp lò xo cơ cấu đóng sập (1 bộ)</t>
        </is>
      </c>
    </row>
    <row r="836">
      <c r="A836" t="inlineStr">
        <is>
          <t>SW-DAMPER-169-SILICON-BOLT</t>
        </is>
      </c>
      <c r="B836" t="inlineStr">
        <is>
          <t>SW-DAMPER-169</t>
        </is>
      </c>
      <c r="C836" t="inlineStr">
        <is>
          <t>Silicon chống cháy + bu lông, ốc vít van FD/MFD</t>
        </is>
      </c>
      <c r="D836" t="inlineStr">
        <is>
          <t>PHỤ_KIỆN_VAN</t>
        </is>
      </c>
      <c r="E836" t="inlineStr">
        <is>
          <t>MAT-DAMPER-SILICON-BULONG-VIT</t>
        </is>
      </c>
      <c r="F836" t="inlineStr">
        <is>
          <t>Bộ</t>
        </is>
      </c>
      <c r="G836" s="406" t="n">
        <v>1</v>
      </c>
      <c r="H836" s="402">
        <f>IFERROR(INDEX('00_TONG_HOP_BAO_GIA'!$G$1:$G$5000, MATCH(B836, '00_TONG_HOP_BAO_GIA'!$B$1:$B$5000, 0)), 1)</f>
        <v/>
      </c>
      <c r="I836" s="407">
        <f>G836*H836</f>
        <v/>
      </c>
      <c r="J836" s="402">
        <f>IFERROR(INDEX('06_BANG_GIA_VAT_TU_AP_DUNG'!$E$1:$E$5000, MATCH(E836, '06_BANG_GIA_VAT_TU_AP_DUNG'!$B$1:$B$5000, 0)), 0)</f>
        <v/>
      </c>
      <c r="K836" s="402">
        <f>I836*J836</f>
        <v/>
      </c>
      <c r="L836" t="inlineStr">
        <is>
          <t>Keo silicon chống cháy &amp; phụ kiện lắp ghép (1 bộ)</t>
        </is>
      </c>
    </row>
    <row r="837">
      <c r="A837" t="inlineStr">
        <is>
          <t>SW-DAMPER-170-BODY</t>
        </is>
      </c>
      <c r="B837" t="inlineStr">
        <is>
          <t>SW-DAMPER-170</t>
        </is>
      </c>
      <c r="C837" t="inlineStr">
        <is>
          <t>Thân vỏ van FD bích C30/TDF (1.15mm)</t>
        </is>
      </c>
      <c r="D837" t="inlineStr">
        <is>
          <t>TÔN_CUỘN_MẠ_KẼM</t>
        </is>
      </c>
      <c r="E837" t="inlineStr">
        <is>
          <t>MAT-STEEL-PN-1.15</t>
        </is>
      </c>
      <c r="F837" t="inlineStr">
        <is>
          <t>kg</t>
        </is>
      </c>
      <c r="G837" s="406" t="n">
        <v>2.405738475</v>
      </c>
      <c r="H837" s="402">
        <f>IFERROR(INDEX('00_TONG_HOP_BAO_GIA'!$G$1:$G$5000, MATCH(B837, '00_TONG_HOP_BAO_GIA'!$B$1:$B$5000, 0)), 1)</f>
        <v/>
      </c>
      <c r="I837" s="407">
        <f>G837*H837</f>
        <v/>
      </c>
      <c r="J837" s="402">
        <f>IFERROR(INDEX('06_BANG_GIA_VAT_TU_AP_DUNG'!$E$1:$E$5000, MATCH(E837, '06_BANG_GIA_VAT_TU_AP_DUNG'!$B$1:$B$5000, 0)), 0)</f>
        <v/>
      </c>
      <c r="K837" s="402">
        <f>I837*J837</f>
        <v/>
      </c>
      <c r="L837" t="inlineStr">
        <is>
          <t>Kích thước vỏ 300x150x200mm</t>
        </is>
      </c>
    </row>
    <row r="838">
      <c r="A838" t="inlineStr">
        <is>
          <t>SW-DAMPER-170-BLADE</t>
        </is>
      </c>
      <c r="B838" t="inlineStr">
        <is>
          <t>SW-DAMPER-170</t>
        </is>
      </c>
      <c r="C838" t="inlineStr">
        <is>
          <t>Lá cánh / Tôn tấm bọc van (1 cánh)</t>
        </is>
      </c>
      <c r="D838" t="inlineStr">
        <is>
          <t>TÔN_CUỘN_MẠ_KẼM</t>
        </is>
      </c>
      <c r="E838" t="inlineStr">
        <is>
          <t>MAT-STEEL-PN-1.15</t>
        </is>
      </c>
      <c r="F838" t="inlineStr">
        <is>
          <t>kg</t>
        </is>
      </c>
      <c r="G838" s="406" t="n">
        <v>0.8124749999999998</v>
      </c>
      <c r="H838" s="402">
        <f>IFERROR(INDEX('00_TONG_HOP_BAO_GIA'!$G$1:$G$5000, MATCH(B838, '00_TONG_HOP_BAO_GIA'!$B$1:$B$5000, 0)), 1)</f>
        <v/>
      </c>
      <c r="I838" s="407">
        <f>G838*H838</f>
        <v/>
      </c>
      <c r="J838" s="402">
        <f>IFERROR(INDEX('06_BANG_GIA_VAT_TU_AP_DUNG'!$E$1:$E$5000, MATCH(E838, '06_BANG_GIA_VAT_TU_AP_DUNG'!$B$1:$B$5000, 0)), 0)</f>
        <v/>
      </c>
      <c r="K838" s="402">
        <f>I838*J838</f>
        <v/>
      </c>
      <c r="L838" t="inlineStr">
        <is>
          <t>Tôn bọc cánh &amp; thân (1 cánh/modul)</t>
        </is>
      </c>
    </row>
    <row r="839">
      <c r="A839" t="inlineStr">
        <is>
          <t>SW-DAMPER-170-AXLE</t>
        </is>
      </c>
      <c r="B839" t="inlineStr">
        <is>
          <t>SW-DAMPER-170</t>
        </is>
      </c>
      <c r="C839" t="inlineStr">
        <is>
          <t>Trục Sus 201 D10</t>
        </is>
      </c>
      <c r="D839" t="inlineStr">
        <is>
          <t>PHỤ_KIỆN_VAN</t>
        </is>
      </c>
      <c r="E839" t="inlineStr">
        <is>
          <t>MAT-DAMPER-TRUC-SUS-201-D10</t>
        </is>
      </c>
      <c r="F839" t="inlineStr">
        <is>
          <t>m</t>
        </is>
      </c>
      <c r="G839" s="406" t="n">
        <v>0.36</v>
      </c>
      <c r="H839" s="402">
        <f>IFERROR(INDEX('00_TONG_HOP_BAO_GIA'!$G$1:$G$5000, MATCH(B839, '00_TONG_HOP_BAO_GIA'!$B$1:$B$5000, 0)), 1)</f>
        <v/>
      </c>
      <c r="I839" s="407">
        <f>G839*H839</f>
        <v/>
      </c>
      <c r="J839" s="402">
        <f>IFERROR(INDEX('06_BANG_GIA_VAT_TU_AP_DUNG'!$E$1:$E$5000, MATCH(E839, '06_BANG_GIA_VAT_TU_AP_DUNG'!$B$1:$B$5000, 0)), 0)</f>
        <v/>
      </c>
      <c r="K839" s="402">
        <f>I839*J839</f>
        <v/>
      </c>
      <c r="L839" t="inlineStr">
        <is>
          <t>1 trục dài 360mm</t>
        </is>
      </c>
    </row>
    <row r="840">
      <c r="A840" t="inlineStr">
        <is>
          <t>SW-DAMPER-170-BEARING</t>
        </is>
      </c>
      <c r="B840" t="inlineStr">
        <is>
          <t>SW-DAMPER-170</t>
        </is>
      </c>
      <c r="C840" t="inlineStr">
        <is>
          <t>Bạc đồng D10</t>
        </is>
      </c>
      <c r="D840" t="inlineStr">
        <is>
          <t>PHỤ_KIỆN_VAN</t>
        </is>
      </c>
      <c r="E840" t="inlineStr">
        <is>
          <t>MAT-DAMPER-BAC-DONG-D10</t>
        </is>
      </c>
      <c r="F840" t="inlineStr">
        <is>
          <t>Đôi</t>
        </is>
      </c>
      <c r="G840" s="406" t="n">
        <v>1</v>
      </c>
      <c r="H840" s="402">
        <f>IFERROR(INDEX('00_TONG_HOP_BAO_GIA'!$G$1:$G$5000, MATCH(B840, '00_TONG_HOP_BAO_GIA'!$B$1:$B$5000, 0)), 1)</f>
        <v/>
      </c>
      <c r="I840" s="407">
        <f>G840*H840</f>
        <v/>
      </c>
      <c r="J840" s="402">
        <f>IFERROR(INDEX('06_BANG_GIA_VAT_TU_AP_DUNG'!$E$1:$E$5000, MATCH(E840, '06_BANG_GIA_VAT_TU_AP_DUNG'!$B$1:$B$5000, 0)), 0)</f>
        <v/>
      </c>
      <c r="K840" s="402">
        <f>I840*J840</f>
        <v/>
      </c>
      <c r="L840" t="inlineStr">
        <is>
          <t>1 đôi bạc đỡ 2 bên thân</t>
        </is>
      </c>
    </row>
    <row r="841">
      <c r="A841" t="inlineStr">
        <is>
          <t>SW-DAMPER-170-FUSE</t>
        </is>
      </c>
      <c r="B841" t="inlineStr">
        <is>
          <t>SW-DAMPER-170</t>
        </is>
      </c>
      <c r="C841" t="inlineStr">
        <is>
          <t>Cầu chì nhiệt nóng chảy 70°C/74°C (Elsie/USA)</t>
        </is>
      </c>
      <c r="D841" t="inlineStr">
        <is>
          <t>PHỤ_KIỆN_VAN</t>
        </is>
      </c>
      <c r="E841" t="inlineStr">
        <is>
          <t>MAT-DAMPER-CAU-CHI-USA-1-400X400</t>
        </is>
      </c>
      <c r="F841" t="inlineStr">
        <is>
          <t>Cái</t>
        </is>
      </c>
      <c r="G841" s="406" t="n">
        <v>1</v>
      </c>
      <c r="H841" s="402">
        <f>IFERROR(INDEX('00_TONG_HOP_BAO_GIA'!$G$1:$G$5000, MATCH(B841, '00_TONG_HOP_BAO_GIA'!$B$1:$B$5000, 0)), 1)</f>
        <v/>
      </c>
      <c r="I841" s="407">
        <f>G841*H841</f>
        <v/>
      </c>
      <c r="J841" s="402">
        <f>IFERROR(INDEX('06_BANG_GIA_VAT_TU_AP_DUNG'!$E$1:$E$5000, MATCH(E841, '06_BANG_GIA_VAT_TU_AP_DUNG'!$B$1:$B$5000, 0)), 0)</f>
        <v/>
      </c>
      <c r="K841" s="402">
        <f>I841*J841</f>
        <v/>
      </c>
      <c r="L841" t="inlineStr">
        <is>
          <t>Cầu chì kiểm định PCCC (1 cái)</t>
        </is>
      </c>
    </row>
    <row r="842">
      <c r="A842" t="inlineStr">
        <is>
          <t>SW-DAMPER-170-FB10-BODY</t>
        </is>
      </c>
      <c r="B842" t="inlineStr">
        <is>
          <t>SW-DAMPER-170</t>
        </is>
      </c>
      <c r="C842" t="inlineStr">
        <is>
          <t>Tấm chống cháy dày 10mm bọc thân van FD/MFD (2 lớp)</t>
        </is>
      </c>
      <c r="D842" t="inlineStr">
        <is>
          <t>VẬT_LIỆU_CÁCH_NHIỆT</t>
        </is>
      </c>
      <c r="E842" t="inlineStr">
        <is>
          <t>MAT-FIREBOARD-10MM-BODY</t>
        </is>
      </c>
      <c r="F842" t="inlineStr">
        <is>
          <t>m2</t>
        </is>
      </c>
      <c r="G842" s="406" t="n">
        <v>0.54</v>
      </c>
      <c r="H842" s="402">
        <f>IFERROR(INDEX('00_TONG_HOP_BAO_GIA'!$G$1:$G$5000, MATCH(B842, '00_TONG_HOP_BAO_GIA'!$B$1:$B$5000, 0)), 1)</f>
        <v/>
      </c>
      <c r="I842" s="407">
        <f>G842*H842</f>
        <v/>
      </c>
      <c r="J842" s="402">
        <f>IFERROR(INDEX('06_BANG_GIA_VAT_TU_AP_DUNG'!$E$1:$E$5000, MATCH(E842, '06_BANG_GIA_VAT_TU_AP_DUNG'!$B$1:$B$5000, 0)), 0)</f>
        <v/>
      </c>
      <c r="K842" s="402">
        <f>I842*J842</f>
        <v/>
      </c>
      <c r="L842" t="inlineStr">
        <is>
          <t>Bọc 2 lớp tấm 10mm quanh thân L=300mm</t>
        </is>
      </c>
    </row>
    <row r="843">
      <c r="A843" t="inlineStr">
        <is>
          <t>SW-DAMPER-170-FB20-BLADE</t>
        </is>
      </c>
      <c r="B843" t="inlineStr">
        <is>
          <t>SW-DAMPER-170</t>
        </is>
      </c>
      <c r="C843" t="inlineStr">
        <is>
          <t>Tấm chống cháy dày 20mm làm lõi cánh van FD/MFD</t>
        </is>
      </c>
      <c r="D843" t="inlineStr">
        <is>
          <t>VẬT_LIỆU_CÁCH_NHIỆT</t>
        </is>
      </c>
      <c r="E843" t="inlineStr">
        <is>
          <t>MAT-FIREBOARD-20MM-BLADE</t>
        </is>
      </c>
      <c r="F843" t="inlineStr">
        <is>
          <t>m2</t>
        </is>
      </c>
      <c r="G843" s="406" t="n">
        <v>0.045</v>
      </c>
      <c r="H843" s="402">
        <f>IFERROR(INDEX('00_TONG_HOP_BAO_GIA'!$G$1:$G$5000, MATCH(B843, '00_TONG_HOP_BAO_GIA'!$B$1:$B$5000, 0)), 1)</f>
        <v/>
      </c>
      <c r="I843" s="407">
        <f>G843*H843</f>
        <v/>
      </c>
      <c r="J843" s="402">
        <f>IFERROR(INDEX('06_BANG_GIA_VAT_TU_AP_DUNG'!$E$1:$E$5000, MATCH(E843, '06_BANG_GIA_VAT_TU_AP_DUNG'!$B$1:$B$5000, 0)), 0)</f>
        <v/>
      </c>
      <c r="K843" s="402">
        <f>I843*J843</f>
        <v/>
      </c>
      <c r="L843" t="inlineStr">
        <is>
          <t>Lõi cánh tấm 20mm (Cánh đơn 300x150mm)</t>
        </is>
      </c>
    </row>
    <row r="844">
      <c r="A844" t="inlineStr">
        <is>
          <t>SW-DAMPER-170-FB10-BLADE</t>
        </is>
      </c>
      <c r="B844" t="inlineStr">
        <is>
          <t>SW-DAMPER-170</t>
        </is>
      </c>
      <c r="C844" t="inlineStr">
        <is>
          <t>Tấm chống cháy dày 10mm ốp 2 mặt cánh van FD/MFD</t>
        </is>
      </c>
      <c r="D844" t="inlineStr">
        <is>
          <t>VẬT_LIỆU_CÁCH_NHIỆT</t>
        </is>
      </c>
      <c r="E844" t="inlineStr">
        <is>
          <t>MAT-FIREBOARD-10MM-BLADE</t>
        </is>
      </c>
      <c r="F844" t="inlineStr">
        <is>
          <t>m2</t>
        </is>
      </c>
      <c r="G844" s="406" t="n">
        <v>0.09</v>
      </c>
      <c r="H844" s="402">
        <f>IFERROR(INDEX('00_TONG_HOP_BAO_GIA'!$G$1:$G$5000, MATCH(B844, '00_TONG_HOP_BAO_GIA'!$B$1:$B$5000, 0)), 1)</f>
        <v/>
      </c>
      <c r="I844" s="407">
        <f>G844*H844</f>
        <v/>
      </c>
      <c r="J844" s="402">
        <f>IFERROR(INDEX('06_BANG_GIA_VAT_TU_AP_DUNG'!$E$1:$E$5000, MATCH(E844, '06_BANG_GIA_VAT_TU_AP_DUNG'!$B$1:$B$5000, 0)), 0)</f>
        <v/>
      </c>
      <c r="K844" s="402">
        <f>I844*J844</f>
        <v/>
      </c>
      <c r="L844" t="inlineStr">
        <is>
          <t>Ốp 2 mặt cánh tấm 10mm (Cánh đơn 300x150mm)</t>
        </is>
      </c>
    </row>
    <row r="845">
      <c r="A845" t="inlineStr">
        <is>
          <t>SW-DAMPER-170-SPRING-BOX</t>
        </is>
      </c>
      <c r="B845" t="inlineStr">
        <is>
          <t>SW-DAMPER-170</t>
        </is>
      </c>
      <c r="C845" t="inlineStr">
        <is>
          <t>Hộp lò xo van chặn lửa FD/MFD</t>
        </is>
      </c>
      <c r="D845" t="inlineStr">
        <is>
          <t>PHỤ_KIỆN_VAN</t>
        </is>
      </c>
      <c r="E845" t="inlineStr">
        <is>
          <t>MAT-DAMPER-HOP-LO-XO</t>
        </is>
      </c>
      <c r="F845" t="inlineStr">
        <is>
          <t>Bộ</t>
        </is>
      </c>
      <c r="G845" s="406" t="n">
        <v>1</v>
      </c>
      <c r="H845" s="402">
        <f>IFERROR(INDEX('00_TONG_HOP_BAO_GIA'!$G$1:$G$5000, MATCH(B845, '00_TONG_HOP_BAO_GIA'!$B$1:$B$5000, 0)), 1)</f>
        <v/>
      </c>
      <c r="I845" s="407">
        <f>G845*H845</f>
        <v/>
      </c>
      <c r="J845" s="402">
        <f>IFERROR(INDEX('06_BANG_GIA_VAT_TU_AP_DUNG'!$E$1:$E$5000, MATCH(E845, '06_BANG_GIA_VAT_TU_AP_DUNG'!$B$1:$B$5000, 0)), 0)</f>
        <v/>
      </c>
      <c r="K845" s="402">
        <f>I845*J845</f>
        <v/>
      </c>
      <c r="L845" t="inlineStr">
        <is>
          <t>Hộp lò xo cơ cấu đóng sập (1 bộ)</t>
        </is>
      </c>
    </row>
    <row r="846">
      <c r="A846" t="inlineStr">
        <is>
          <t>SW-DAMPER-170-SILICON-BOLT</t>
        </is>
      </c>
      <c r="B846" t="inlineStr">
        <is>
          <t>SW-DAMPER-170</t>
        </is>
      </c>
      <c r="C846" t="inlineStr">
        <is>
          <t>Silicon chống cháy + bu lông, ốc vít van FD/MFD</t>
        </is>
      </c>
      <c r="D846" t="inlineStr">
        <is>
          <t>PHỤ_KIỆN_VAN</t>
        </is>
      </c>
      <c r="E846" t="inlineStr">
        <is>
          <t>MAT-DAMPER-SILICON-BULONG-VIT</t>
        </is>
      </c>
      <c r="F846" t="inlineStr">
        <is>
          <t>Bộ</t>
        </is>
      </c>
      <c r="G846" s="406" t="n">
        <v>1</v>
      </c>
      <c r="H846" s="402">
        <f>IFERROR(INDEX('00_TONG_HOP_BAO_GIA'!$G$1:$G$5000, MATCH(B846, '00_TONG_HOP_BAO_GIA'!$B$1:$B$5000, 0)), 1)</f>
        <v/>
      </c>
      <c r="I846" s="407">
        <f>G846*H846</f>
        <v/>
      </c>
      <c r="J846" s="402">
        <f>IFERROR(INDEX('06_BANG_GIA_VAT_TU_AP_DUNG'!$E$1:$E$5000, MATCH(E846, '06_BANG_GIA_VAT_TU_AP_DUNG'!$B$1:$B$5000, 0)), 0)</f>
        <v/>
      </c>
      <c r="K846" s="402">
        <f>I846*J846</f>
        <v/>
      </c>
      <c r="L846" t="inlineStr">
        <is>
          <t>Keo silicon chống cháy &amp; phụ kiện lắp ghép (1 bộ)</t>
        </is>
      </c>
    </row>
    <row r="847">
      <c r="A847" t="inlineStr">
        <is>
          <t>SW-DAMPER-171-BODY</t>
        </is>
      </c>
      <c r="B847" t="inlineStr">
        <is>
          <t>SW-DAMPER-171</t>
        </is>
      </c>
      <c r="C847" t="inlineStr">
        <is>
          <t>Thân vỏ van FD bích C30/TDF (1.15mm)</t>
        </is>
      </c>
      <c r="D847" t="inlineStr">
        <is>
          <t>TÔN_CUỘN_MẠ_KẼM</t>
        </is>
      </c>
      <c r="E847" t="inlineStr">
        <is>
          <t>MAT-STEEL-PN-1.15</t>
        </is>
      </c>
      <c r="F847" t="inlineStr">
        <is>
          <t>kg</t>
        </is>
      </c>
      <c r="G847" s="406" t="n">
        <v>2.6616681</v>
      </c>
      <c r="H847" s="402">
        <f>IFERROR(INDEX('00_TONG_HOP_BAO_GIA'!$G$1:$G$5000, MATCH(B847, '00_TONG_HOP_BAO_GIA'!$B$1:$B$5000, 0)), 1)</f>
        <v/>
      </c>
      <c r="I847" s="407">
        <f>G847*H847</f>
        <v/>
      </c>
      <c r="J847" s="402">
        <f>IFERROR(INDEX('06_BANG_GIA_VAT_TU_AP_DUNG'!$E$1:$E$5000, MATCH(E847, '06_BANG_GIA_VAT_TU_AP_DUNG'!$B$1:$B$5000, 0)), 0)</f>
        <v/>
      </c>
      <c r="K847" s="402">
        <f>I847*J847</f>
        <v/>
      </c>
      <c r="L847" t="inlineStr">
        <is>
          <t>Kích thước vỏ 300x200x200mm</t>
        </is>
      </c>
    </row>
    <row r="848">
      <c r="A848" t="inlineStr">
        <is>
          <t>SW-DAMPER-171-BLADE</t>
        </is>
      </c>
      <c r="B848" t="inlineStr">
        <is>
          <t>SW-DAMPER-171</t>
        </is>
      </c>
      <c r="C848" t="inlineStr">
        <is>
          <t>Lá cánh / Tôn tấm bọc van (1 cánh)</t>
        </is>
      </c>
      <c r="D848" t="inlineStr">
        <is>
          <t>TÔN_CUỘN_MẠ_KẼM</t>
        </is>
      </c>
      <c r="E848" t="inlineStr">
        <is>
          <t>MAT-STEEL-PN-1.15</t>
        </is>
      </c>
      <c r="F848" t="inlineStr">
        <is>
          <t>kg</t>
        </is>
      </c>
      <c r="G848" s="406" t="n">
        <v>1.0833</v>
      </c>
      <c r="H848" s="402">
        <f>IFERROR(INDEX('00_TONG_HOP_BAO_GIA'!$G$1:$G$5000, MATCH(B848, '00_TONG_HOP_BAO_GIA'!$B$1:$B$5000, 0)), 1)</f>
        <v/>
      </c>
      <c r="I848" s="407">
        <f>G848*H848</f>
        <v/>
      </c>
      <c r="J848" s="402">
        <f>IFERROR(INDEX('06_BANG_GIA_VAT_TU_AP_DUNG'!$E$1:$E$5000, MATCH(E848, '06_BANG_GIA_VAT_TU_AP_DUNG'!$B$1:$B$5000, 0)), 0)</f>
        <v/>
      </c>
      <c r="K848" s="402">
        <f>I848*J848</f>
        <v/>
      </c>
      <c r="L848" t="inlineStr">
        <is>
          <t>Tôn bọc cánh &amp; thân (1 cánh/modul)</t>
        </is>
      </c>
    </row>
    <row r="849">
      <c r="A849" t="inlineStr">
        <is>
          <t>SW-DAMPER-171-AXLE</t>
        </is>
      </c>
      <c r="B849" t="inlineStr">
        <is>
          <t>SW-DAMPER-171</t>
        </is>
      </c>
      <c r="C849" t="inlineStr">
        <is>
          <t>Trục Sus 201 D10</t>
        </is>
      </c>
      <c r="D849" t="inlineStr">
        <is>
          <t>PHỤ_KIỆN_VAN</t>
        </is>
      </c>
      <c r="E849" t="inlineStr">
        <is>
          <t>MAT-DAMPER-TRUC-SUS-201-D10</t>
        </is>
      </c>
      <c r="F849" t="inlineStr">
        <is>
          <t>m</t>
        </is>
      </c>
      <c r="G849" s="406" t="n">
        <v>0.36</v>
      </c>
      <c r="H849" s="402">
        <f>IFERROR(INDEX('00_TONG_HOP_BAO_GIA'!$G$1:$G$5000, MATCH(B849, '00_TONG_HOP_BAO_GIA'!$B$1:$B$5000, 0)), 1)</f>
        <v/>
      </c>
      <c r="I849" s="407">
        <f>G849*H849</f>
        <v/>
      </c>
      <c r="J849" s="402">
        <f>IFERROR(INDEX('06_BANG_GIA_VAT_TU_AP_DUNG'!$E$1:$E$5000, MATCH(E849, '06_BANG_GIA_VAT_TU_AP_DUNG'!$B$1:$B$5000, 0)), 0)</f>
        <v/>
      </c>
      <c r="K849" s="402">
        <f>I849*J849</f>
        <v/>
      </c>
      <c r="L849" t="inlineStr">
        <is>
          <t>1 trục dài 360mm</t>
        </is>
      </c>
    </row>
    <row r="850">
      <c r="A850" t="inlineStr">
        <is>
          <t>SW-DAMPER-171-BEARING</t>
        </is>
      </c>
      <c r="B850" t="inlineStr">
        <is>
          <t>SW-DAMPER-171</t>
        </is>
      </c>
      <c r="C850" t="inlineStr">
        <is>
          <t>Bạc đồng D10</t>
        </is>
      </c>
      <c r="D850" t="inlineStr">
        <is>
          <t>PHỤ_KIỆN_VAN</t>
        </is>
      </c>
      <c r="E850" t="inlineStr">
        <is>
          <t>MAT-DAMPER-BAC-DONG-D10</t>
        </is>
      </c>
      <c r="F850" t="inlineStr">
        <is>
          <t>Đôi</t>
        </is>
      </c>
      <c r="G850" s="406" t="n">
        <v>1</v>
      </c>
      <c r="H850" s="402">
        <f>IFERROR(INDEX('00_TONG_HOP_BAO_GIA'!$G$1:$G$5000, MATCH(B850, '00_TONG_HOP_BAO_GIA'!$B$1:$B$5000, 0)), 1)</f>
        <v/>
      </c>
      <c r="I850" s="407">
        <f>G850*H850</f>
        <v/>
      </c>
      <c r="J850" s="402">
        <f>IFERROR(INDEX('06_BANG_GIA_VAT_TU_AP_DUNG'!$E$1:$E$5000, MATCH(E850, '06_BANG_GIA_VAT_TU_AP_DUNG'!$B$1:$B$5000, 0)), 0)</f>
        <v/>
      </c>
      <c r="K850" s="402">
        <f>I850*J850</f>
        <v/>
      </c>
      <c r="L850" t="inlineStr">
        <is>
          <t>1 đôi bạc đỡ 2 bên thân</t>
        </is>
      </c>
    </row>
    <row r="851">
      <c r="A851" t="inlineStr">
        <is>
          <t>SW-DAMPER-171-FUSE</t>
        </is>
      </c>
      <c r="B851" t="inlineStr">
        <is>
          <t>SW-DAMPER-171</t>
        </is>
      </c>
      <c r="C851" t="inlineStr">
        <is>
          <t>Cầu chì nhiệt nóng chảy 70°C/74°C (Elsie/USA)</t>
        </is>
      </c>
      <c r="D851" t="inlineStr">
        <is>
          <t>PHỤ_KIỆN_VAN</t>
        </is>
      </c>
      <c r="E851" t="inlineStr">
        <is>
          <t>MAT-DAMPER-CAU-CHI-USA-1-400X400</t>
        </is>
      </c>
      <c r="F851" t="inlineStr">
        <is>
          <t>Cái</t>
        </is>
      </c>
      <c r="G851" s="406" t="n">
        <v>1</v>
      </c>
      <c r="H851" s="402">
        <f>IFERROR(INDEX('00_TONG_HOP_BAO_GIA'!$G$1:$G$5000, MATCH(B851, '00_TONG_HOP_BAO_GIA'!$B$1:$B$5000, 0)), 1)</f>
        <v/>
      </c>
      <c r="I851" s="407">
        <f>G851*H851</f>
        <v/>
      </c>
      <c r="J851" s="402">
        <f>IFERROR(INDEX('06_BANG_GIA_VAT_TU_AP_DUNG'!$E$1:$E$5000, MATCH(E851, '06_BANG_GIA_VAT_TU_AP_DUNG'!$B$1:$B$5000, 0)), 0)</f>
        <v/>
      </c>
      <c r="K851" s="402">
        <f>I851*J851</f>
        <v/>
      </c>
      <c r="L851" t="inlineStr">
        <is>
          <t>Cầu chì kiểm định PCCC (1 cái)</t>
        </is>
      </c>
    </row>
    <row r="852">
      <c r="A852" t="inlineStr">
        <is>
          <t>SW-DAMPER-171-FB10-BODY</t>
        </is>
      </c>
      <c r="B852" t="inlineStr">
        <is>
          <t>SW-DAMPER-171</t>
        </is>
      </c>
      <c r="C852" t="inlineStr">
        <is>
          <t>Tấm chống cháy dày 10mm bọc thân van FD/MFD (2 lớp)</t>
        </is>
      </c>
      <c r="D852" t="inlineStr">
        <is>
          <t>VẬT_LIỆU_CÁCH_NHIỆT</t>
        </is>
      </c>
      <c r="E852" t="inlineStr">
        <is>
          <t>MAT-FIREBOARD-10MM-BODY</t>
        </is>
      </c>
      <c r="F852" t="inlineStr">
        <is>
          <t>m2</t>
        </is>
      </c>
      <c r="G852" s="406" t="n">
        <v>0.6</v>
      </c>
      <c r="H852" s="402">
        <f>IFERROR(INDEX('00_TONG_HOP_BAO_GIA'!$G$1:$G$5000, MATCH(B852, '00_TONG_HOP_BAO_GIA'!$B$1:$B$5000, 0)), 1)</f>
        <v/>
      </c>
      <c r="I852" s="407">
        <f>G852*H852</f>
        <v/>
      </c>
      <c r="J852" s="402">
        <f>IFERROR(INDEX('06_BANG_GIA_VAT_TU_AP_DUNG'!$E$1:$E$5000, MATCH(E852, '06_BANG_GIA_VAT_TU_AP_DUNG'!$B$1:$B$5000, 0)), 0)</f>
        <v/>
      </c>
      <c r="K852" s="402">
        <f>I852*J852</f>
        <v/>
      </c>
      <c r="L852" t="inlineStr">
        <is>
          <t>Bọc 2 lớp tấm 10mm quanh thân L=300mm</t>
        </is>
      </c>
    </row>
    <row r="853">
      <c r="A853" t="inlineStr">
        <is>
          <t>SW-DAMPER-171-FB20-BLADE</t>
        </is>
      </c>
      <c r="B853" t="inlineStr">
        <is>
          <t>SW-DAMPER-171</t>
        </is>
      </c>
      <c r="C853" t="inlineStr">
        <is>
          <t>Tấm chống cháy dày 20mm làm lõi cánh van FD/MFD</t>
        </is>
      </c>
      <c r="D853" t="inlineStr">
        <is>
          <t>VẬT_LIỆU_CÁCH_NHIỆT</t>
        </is>
      </c>
      <c r="E853" t="inlineStr">
        <is>
          <t>MAT-FIREBOARD-20MM-BLADE</t>
        </is>
      </c>
      <c r="F853" t="inlineStr">
        <is>
          <t>m2</t>
        </is>
      </c>
      <c r="G853" s="406" t="n">
        <v>0.06</v>
      </c>
      <c r="H853" s="402">
        <f>IFERROR(INDEX('00_TONG_HOP_BAO_GIA'!$G$1:$G$5000, MATCH(B853, '00_TONG_HOP_BAO_GIA'!$B$1:$B$5000, 0)), 1)</f>
        <v/>
      </c>
      <c r="I853" s="407">
        <f>G853*H853</f>
        <v/>
      </c>
      <c r="J853" s="402">
        <f>IFERROR(INDEX('06_BANG_GIA_VAT_TU_AP_DUNG'!$E$1:$E$5000, MATCH(E853, '06_BANG_GIA_VAT_TU_AP_DUNG'!$B$1:$B$5000, 0)), 0)</f>
        <v/>
      </c>
      <c r="K853" s="402">
        <f>I853*J853</f>
        <v/>
      </c>
      <c r="L853" t="inlineStr">
        <is>
          <t>Lõi cánh tấm 20mm (Cánh đơn 300x200mm)</t>
        </is>
      </c>
    </row>
    <row r="854">
      <c r="A854" t="inlineStr">
        <is>
          <t>SW-DAMPER-171-FB10-BLADE</t>
        </is>
      </c>
      <c r="B854" t="inlineStr">
        <is>
          <t>SW-DAMPER-171</t>
        </is>
      </c>
      <c r="C854" t="inlineStr">
        <is>
          <t>Tấm chống cháy dày 10mm ốp 2 mặt cánh van FD/MFD</t>
        </is>
      </c>
      <c r="D854" t="inlineStr">
        <is>
          <t>VẬT_LIỆU_CÁCH_NHIỆT</t>
        </is>
      </c>
      <c r="E854" t="inlineStr">
        <is>
          <t>MAT-FIREBOARD-10MM-BLADE</t>
        </is>
      </c>
      <c r="F854" t="inlineStr">
        <is>
          <t>m2</t>
        </is>
      </c>
      <c r="G854" s="406" t="n">
        <v>0.12</v>
      </c>
      <c r="H854" s="402">
        <f>IFERROR(INDEX('00_TONG_HOP_BAO_GIA'!$G$1:$G$5000, MATCH(B854, '00_TONG_HOP_BAO_GIA'!$B$1:$B$5000, 0)), 1)</f>
        <v/>
      </c>
      <c r="I854" s="407">
        <f>G854*H854</f>
        <v/>
      </c>
      <c r="J854" s="402">
        <f>IFERROR(INDEX('06_BANG_GIA_VAT_TU_AP_DUNG'!$E$1:$E$5000, MATCH(E854, '06_BANG_GIA_VAT_TU_AP_DUNG'!$B$1:$B$5000, 0)), 0)</f>
        <v/>
      </c>
      <c r="K854" s="402">
        <f>I854*J854</f>
        <v/>
      </c>
      <c r="L854" t="inlineStr">
        <is>
          <t>Ốp 2 mặt cánh tấm 10mm (Cánh đơn 300x200mm)</t>
        </is>
      </c>
    </row>
    <row r="855">
      <c r="A855" t="inlineStr">
        <is>
          <t>SW-DAMPER-171-SPRING-BOX</t>
        </is>
      </c>
      <c r="B855" t="inlineStr">
        <is>
          <t>SW-DAMPER-171</t>
        </is>
      </c>
      <c r="C855" t="inlineStr">
        <is>
          <t>Hộp lò xo van chặn lửa FD/MFD</t>
        </is>
      </c>
      <c r="D855" t="inlineStr">
        <is>
          <t>PHỤ_KIỆN_VAN</t>
        </is>
      </c>
      <c r="E855" t="inlineStr">
        <is>
          <t>MAT-DAMPER-HOP-LO-XO</t>
        </is>
      </c>
      <c r="F855" t="inlineStr">
        <is>
          <t>Bộ</t>
        </is>
      </c>
      <c r="G855" s="406" t="n">
        <v>1</v>
      </c>
      <c r="H855" s="402">
        <f>IFERROR(INDEX('00_TONG_HOP_BAO_GIA'!$G$1:$G$5000, MATCH(B855, '00_TONG_HOP_BAO_GIA'!$B$1:$B$5000, 0)), 1)</f>
        <v/>
      </c>
      <c r="I855" s="407">
        <f>G855*H855</f>
        <v/>
      </c>
      <c r="J855" s="402">
        <f>IFERROR(INDEX('06_BANG_GIA_VAT_TU_AP_DUNG'!$E$1:$E$5000, MATCH(E855, '06_BANG_GIA_VAT_TU_AP_DUNG'!$B$1:$B$5000, 0)), 0)</f>
        <v/>
      </c>
      <c r="K855" s="402">
        <f>I855*J855</f>
        <v/>
      </c>
      <c r="L855" t="inlineStr">
        <is>
          <t>Hộp lò xo cơ cấu đóng sập (1 bộ)</t>
        </is>
      </c>
    </row>
    <row r="856">
      <c r="A856" t="inlineStr">
        <is>
          <t>SW-DAMPER-171-SILICON-BOLT</t>
        </is>
      </c>
      <c r="B856" t="inlineStr">
        <is>
          <t>SW-DAMPER-171</t>
        </is>
      </c>
      <c r="C856" t="inlineStr">
        <is>
          <t>Silicon chống cháy + bu lông, ốc vít van FD/MFD</t>
        </is>
      </c>
      <c r="D856" t="inlineStr">
        <is>
          <t>PHỤ_KIỆN_VAN</t>
        </is>
      </c>
      <c r="E856" t="inlineStr">
        <is>
          <t>MAT-DAMPER-SILICON-BULONG-VIT</t>
        </is>
      </c>
      <c r="F856" t="inlineStr">
        <is>
          <t>Bộ</t>
        </is>
      </c>
      <c r="G856" s="406" t="n">
        <v>1</v>
      </c>
      <c r="H856" s="402">
        <f>IFERROR(INDEX('00_TONG_HOP_BAO_GIA'!$G$1:$G$5000, MATCH(B856, '00_TONG_HOP_BAO_GIA'!$B$1:$B$5000, 0)), 1)</f>
        <v/>
      </c>
      <c r="I856" s="407">
        <f>G856*H856</f>
        <v/>
      </c>
      <c r="J856" s="402">
        <f>IFERROR(INDEX('06_BANG_GIA_VAT_TU_AP_DUNG'!$E$1:$E$5000, MATCH(E856, '06_BANG_GIA_VAT_TU_AP_DUNG'!$B$1:$B$5000, 0)), 0)</f>
        <v/>
      </c>
      <c r="K856" s="402">
        <f>I856*J856</f>
        <v/>
      </c>
      <c r="L856" t="inlineStr">
        <is>
          <t>Keo silicon chống cháy &amp; phụ kiện lắp ghép (1 bộ)</t>
        </is>
      </c>
    </row>
    <row r="857">
      <c r="A857" t="inlineStr">
        <is>
          <t>SW-DAMPER-172-BODY</t>
        </is>
      </c>
      <c r="B857" t="inlineStr">
        <is>
          <t>SW-DAMPER-172</t>
        </is>
      </c>
      <c r="C857" t="inlineStr">
        <is>
          <t>Thân vỏ van FD bích C30/TDF (1.15mm)</t>
        </is>
      </c>
      <c r="D857" t="inlineStr">
        <is>
          <t>TÔN_CUỘN_MẠ_KẼM</t>
        </is>
      </c>
      <c r="E857" t="inlineStr">
        <is>
          <t>MAT-STEEL-PN-1.15</t>
        </is>
      </c>
      <c r="F857" t="inlineStr">
        <is>
          <t>kg</t>
        </is>
      </c>
      <c r="G857" s="406" t="n">
        <v>2.917597725</v>
      </c>
      <c r="H857" s="402">
        <f>IFERROR(INDEX('00_TONG_HOP_BAO_GIA'!$G$1:$G$5000, MATCH(B857, '00_TONG_HOP_BAO_GIA'!$B$1:$B$5000, 0)), 1)</f>
        <v/>
      </c>
      <c r="I857" s="407">
        <f>G857*H857</f>
        <v/>
      </c>
      <c r="J857" s="402">
        <f>IFERROR(INDEX('06_BANG_GIA_VAT_TU_AP_DUNG'!$E$1:$E$5000, MATCH(E857, '06_BANG_GIA_VAT_TU_AP_DUNG'!$B$1:$B$5000, 0)), 0)</f>
        <v/>
      </c>
      <c r="K857" s="402">
        <f>I857*J857</f>
        <v/>
      </c>
      <c r="L857" t="inlineStr">
        <is>
          <t>Kích thước vỏ 400x150x200mm</t>
        </is>
      </c>
    </row>
    <row r="858">
      <c r="A858" t="inlineStr">
        <is>
          <t>SW-DAMPER-172-BLADE</t>
        </is>
      </c>
      <c r="B858" t="inlineStr">
        <is>
          <t>SW-DAMPER-172</t>
        </is>
      </c>
      <c r="C858" t="inlineStr">
        <is>
          <t>Lá cánh / Tôn tấm bọc van (1 cánh)</t>
        </is>
      </c>
      <c r="D858" t="inlineStr">
        <is>
          <t>TÔN_CUỘN_MẠ_KẼM</t>
        </is>
      </c>
      <c r="E858" t="inlineStr">
        <is>
          <t>MAT-STEEL-PN-1.15</t>
        </is>
      </c>
      <c r="F858" t="inlineStr">
        <is>
          <t>kg</t>
        </is>
      </c>
      <c r="G858" s="406" t="n">
        <v>1.0833</v>
      </c>
      <c r="H858" s="402">
        <f>IFERROR(INDEX('00_TONG_HOP_BAO_GIA'!$G$1:$G$5000, MATCH(B858, '00_TONG_HOP_BAO_GIA'!$B$1:$B$5000, 0)), 1)</f>
        <v/>
      </c>
      <c r="I858" s="407">
        <f>G858*H858</f>
        <v/>
      </c>
      <c r="J858" s="402">
        <f>IFERROR(INDEX('06_BANG_GIA_VAT_TU_AP_DUNG'!$E$1:$E$5000, MATCH(E858, '06_BANG_GIA_VAT_TU_AP_DUNG'!$B$1:$B$5000, 0)), 0)</f>
        <v/>
      </c>
      <c r="K858" s="402">
        <f>I858*J858</f>
        <v/>
      </c>
      <c r="L858" t="inlineStr">
        <is>
          <t>Tôn bọc cánh &amp; thân (1 cánh/modul)</t>
        </is>
      </c>
    </row>
    <row r="859">
      <c r="A859" t="inlineStr">
        <is>
          <t>SW-DAMPER-172-AXLE</t>
        </is>
      </c>
      <c r="B859" t="inlineStr">
        <is>
          <t>SW-DAMPER-172</t>
        </is>
      </c>
      <c r="C859" t="inlineStr">
        <is>
          <t>Trục Sus 201 D10</t>
        </is>
      </c>
      <c r="D859" t="inlineStr">
        <is>
          <t>PHỤ_KIỆN_VAN</t>
        </is>
      </c>
      <c r="E859" t="inlineStr">
        <is>
          <t>MAT-DAMPER-TRUC-SUS-201-D10</t>
        </is>
      </c>
      <c r="F859" t="inlineStr">
        <is>
          <t>m</t>
        </is>
      </c>
      <c r="G859" s="406" t="n">
        <v>0.46</v>
      </c>
      <c r="H859" s="402">
        <f>IFERROR(INDEX('00_TONG_HOP_BAO_GIA'!$G$1:$G$5000, MATCH(B859, '00_TONG_HOP_BAO_GIA'!$B$1:$B$5000, 0)), 1)</f>
        <v/>
      </c>
      <c r="I859" s="407">
        <f>G859*H859</f>
        <v/>
      </c>
      <c r="J859" s="402">
        <f>IFERROR(INDEX('06_BANG_GIA_VAT_TU_AP_DUNG'!$E$1:$E$5000, MATCH(E859, '06_BANG_GIA_VAT_TU_AP_DUNG'!$B$1:$B$5000, 0)), 0)</f>
        <v/>
      </c>
      <c r="K859" s="402">
        <f>I859*J859</f>
        <v/>
      </c>
      <c r="L859" t="inlineStr">
        <is>
          <t>1 trục dài 460mm</t>
        </is>
      </c>
    </row>
    <row r="860">
      <c r="A860" t="inlineStr">
        <is>
          <t>SW-DAMPER-172-BEARING</t>
        </is>
      </c>
      <c r="B860" t="inlineStr">
        <is>
          <t>SW-DAMPER-172</t>
        </is>
      </c>
      <c r="C860" t="inlineStr">
        <is>
          <t>Bạc đồng D10</t>
        </is>
      </c>
      <c r="D860" t="inlineStr">
        <is>
          <t>PHỤ_KIỆN_VAN</t>
        </is>
      </c>
      <c r="E860" t="inlineStr">
        <is>
          <t>MAT-DAMPER-BAC-DONG-D10</t>
        </is>
      </c>
      <c r="F860" t="inlineStr">
        <is>
          <t>Đôi</t>
        </is>
      </c>
      <c r="G860" s="406" t="n">
        <v>1</v>
      </c>
      <c r="H860" s="402">
        <f>IFERROR(INDEX('00_TONG_HOP_BAO_GIA'!$G$1:$G$5000, MATCH(B860, '00_TONG_HOP_BAO_GIA'!$B$1:$B$5000, 0)), 1)</f>
        <v/>
      </c>
      <c r="I860" s="407">
        <f>G860*H860</f>
        <v/>
      </c>
      <c r="J860" s="402">
        <f>IFERROR(INDEX('06_BANG_GIA_VAT_TU_AP_DUNG'!$E$1:$E$5000, MATCH(E860, '06_BANG_GIA_VAT_TU_AP_DUNG'!$B$1:$B$5000, 0)), 0)</f>
        <v/>
      </c>
      <c r="K860" s="402">
        <f>I860*J860</f>
        <v/>
      </c>
      <c r="L860" t="inlineStr">
        <is>
          <t>1 đôi bạc đỡ 2 bên thân</t>
        </is>
      </c>
    </row>
    <row r="861">
      <c r="A861" t="inlineStr">
        <is>
          <t>SW-DAMPER-172-FUSE</t>
        </is>
      </c>
      <c r="B861" t="inlineStr">
        <is>
          <t>SW-DAMPER-172</t>
        </is>
      </c>
      <c r="C861" t="inlineStr">
        <is>
          <t>Cầu chì nhiệt nóng chảy 70°C/74°C (Elsie/USA)</t>
        </is>
      </c>
      <c r="D861" t="inlineStr">
        <is>
          <t>PHỤ_KIỆN_VAN</t>
        </is>
      </c>
      <c r="E861" t="inlineStr">
        <is>
          <t>MAT-DAMPER-CAU-CHI-USA-2-400X400</t>
        </is>
      </c>
      <c r="F861" t="inlineStr">
        <is>
          <t>Cái</t>
        </is>
      </c>
      <c r="G861" s="406" t="n">
        <v>1</v>
      </c>
      <c r="H861" s="402">
        <f>IFERROR(INDEX('00_TONG_HOP_BAO_GIA'!$G$1:$G$5000, MATCH(B861, '00_TONG_HOP_BAO_GIA'!$B$1:$B$5000, 0)), 1)</f>
        <v/>
      </c>
      <c r="I861" s="407">
        <f>G861*H861</f>
        <v/>
      </c>
      <c r="J861" s="402">
        <f>IFERROR(INDEX('06_BANG_GIA_VAT_TU_AP_DUNG'!$E$1:$E$5000, MATCH(E861, '06_BANG_GIA_VAT_TU_AP_DUNG'!$B$1:$B$5000, 0)), 0)</f>
        <v/>
      </c>
      <c r="K861" s="402">
        <f>I861*J861</f>
        <v/>
      </c>
      <c r="L861" t="inlineStr">
        <is>
          <t>Cầu chì kiểm định PCCC (1 cái)</t>
        </is>
      </c>
    </row>
    <row r="862">
      <c r="A862" t="inlineStr">
        <is>
          <t>SW-DAMPER-172-FB10-BODY</t>
        </is>
      </c>
      <c r="B862" t="inlineStr">
        <is>
          <t>SW-DAMPER-172</t>
        </is>
      </c>
      <c r="C862" t="inlineStr">
        <is>
          <t>Tấm chống cháy dày 10mm bọc thân van FD/MFD (2 lớp)</t>
        </is>
      </c>
      <c r="D862" t="inlineStr">
        <is>
          <t>VẬT_LIỆU_CÁCH_NHIỆT</t>
        </is>
      </c>
      <c r="E862" t="inlineStr">
        <is>
          <t>MAT-FIREBOARD-10MM-BODY</t>
        </is>
      </c>
      <c r="F862" t="inlineStr">
        <is>
          <t>m2</t>
        </is>
      </c>
      <c r="G862" s="406" t="n">
        <v>0.66</v>
      </c>
      <c r="H862" s="402">
        <f>IFERROR(INDEX('00_TONG_HOP_BAO_GIA'!$G$1:$G$5000, MATCH(B862, '00_TONG_HOP_BAO_GIA'!$B$1:$B$5000, 0)), 1)</f>
        <v/>
      </c>
      <c r="I862" s="407">
        <f>G862*H862</f>
        <v/>
      </c>
      <c r="J862" s="402">
        <f>IFERROR(INDEX('06_BANG_GIA_VAT_TU_AP_DUNG'!$E$1:$E$5000, MATCH(E862, '06_BANG_GIA_VAT_TU_AP_DUNG'!$B$1:$B$5000, 0)), 0)</f>
        <v/>
      </c>
      <c r="K862" s="402">
        <f>I862*J862</f>
        <v/>
      </c>
      <c r="L862" t="inlineStr">
        <is>
          <t>Bọc 2 lớp tấm 10mm quanh thân L=300mm</t>
        </is>
      </c>
    </row>
    <row r="863">
      <c r="A863" t="inlineStr">
        <is>
          <t>SW-DAMPER-172-FB20-BLADE</t>
        </is>
      </c>
      <c r="B863" t="inlineStr">
        <is>
          <t>SW-DAMPER-172</t>
        </is>
      </c>
      <c r="C863" t="inlineStr">
        <is>
          <t>Tấm chống cháy dày 20mm làm lõi cánh van FD/MFD</t>
        </is>
      </c>
      <c r="D863" t="inlineStr">
        <is>
          <t>VẬT_LIỆU_CÁCH_NHIỆT</t>
        </is>
      </c>
      <c r="E863" t="inlineStr">
        <is>
          <t>MAT-FIREBOARD-20MM-BLADE</t>
        </is>
      </c>
      <c r="F863" t="inlineStr">
        <is>
          <t>m2</t>
        </is>
      </c>
      <c r="G863" s="406" t="n">
        <v>0.06</v>
      </c>
      <c r="H863" s="402">
        <f>IFERROR(INDEX('00_TONG_HOP_BAO_GIA'!$G$1:$G$5000, MATCH(B863, '00_TONG_HOP_BAO_GIA'!$B$1:$B$5000, 0)), 1)</f>
        <v/>
      </c>
      <c r="I863" s="407">
        <f>G863*H863</f>
        <v/>
      </c>
      <c r="J863" s="402">
        <f>IFERROR(INDEX('06_BANG_GIA_VAT_TU_AP_DUNG'!$E$1:$E$5000, MATCH(E863, '06_BANG_GIA_VAT_TU_AP_DUNG'!$B$1:$B$5000, 0)), 0)</f>
        <v/>
      </c>
      <c r="K863" s="402">
        <f>I863*J863</f>
        <v/>
      </c>
      <c r="L863" t="inlineStr">
        <is>
          <t>Lõi cánh tấm 20mm (Cánh đơn 400x150mm)</t>
        </is>
      </c>
    </row>
    <row r="864">
      <c r="A864" t="inlineStr">
        <is>
          <t>SW-DAMPER-172-FB10-BLADE</t>
        </is>
      </c>
      <c r="B864" t="inlineStr">
        <is>
          <t>SW-DAMPER-172</t>
        </is>
      </c>
      <c r="C864" t="inlineStr">
        <is>
          <t>Tấm chống cháy dày 10mm ốp 2 mặt cánh van FD/MFD</t>
        </is>
      </c>
      <c r="D864" t="inlineStr">
        <is>
          <t>VẬT_LIỆU_CÁCH_NHIỆT</t>
        </is>
      </c>
      <c r="E864" t="inlineStr">
        <is>
          <t>MAT-FIREBOARD-10MM-BLADE</t>
        </is>
      </c>
      <c r="F864" t="inlineStr">
        <is>
          <t>m2</t>
        </is>
      </c>
      <c r="G864" s="406" t="n">
        <v>0.12</v>
      </c>
      <c r="H864" s="402">
        <f>IFERROR(INDEX('00_TONG_HOP_BAO_GIA'!$G$1:$G$5000, MATCH(B864, '00_TONG_HOP_BAO_GIA'!$B$1:$B$5000, 0)), 1)</f>
        <v/>
      </c>
      <c r="I864" s="407">
        <f>G864*H864</f>
        <v/>
      </c>
      <c r="J864" s="402">
        <f>IFERROR(INDEX('06_BANG_GIA_VAT_TU_AP_DUNG'!$E$1:$E$5000, MATCH(E864, '06_BANG_GIA_VAT_TU_AP_DUNG'!$B$1:$B$5000, 0)), 0)</f>
        <v/>
      </c>
      <c r="K864" s="402">
        <f>I864*J864</f>
        <v/>
      </c>
      <c r="L864" t="inlineStr">
        <is>
          <t>Ốp 2 mặt cánh tấm 10mm (Cánh đơn 400x150mm)</t>
        </is>
      </c>
    </row>
    <row r="865">
      <c r="A865" t="inlineStr">
        <is>
          <t>SW-DAMPER-172-SPRING-BOX</t>
        </is>
      </c>
      <c r="B865" t="inlineStr">
        <is>
          <t>SW-DAMPER-172</t>
        </is>
      </c>
      <c r="C865" t="inlineStr">
        <is>
          <t>Hộp lò xo van chặn lửa FD/MFD</t>
        </is>
      </c>
      <c r="D865" t="inlineStr">
        <is>
          <t>PHỤ_KIỆN_VAN</t>
        </is>
      </c>
      <c r="E865" t="inlineStr">
        <is>
          <t>MAT-DAMPER-HOP-LO-XO</t>
        </is>
      </c>
      <c r="F865" t="inlineStr">
        <is>
          <t>Bộ</t>
        </is>
      </c>
      <c r="G865" s="406" t="n">
        <v>1</v>
      </c>
      <c r="H865" s="402">
        <f>IFERROR(INDEX('00_TONG_HOP_BAO_GIA'!$G$1:$G$5000, MATCH(B865, '00_TONG_HOP_BAO_GIA'!$B$1:$B$5000, 0)), 1)</f>
        <v/>
      </c>
      <c r="I865" s="407">
        <f>G865*H865</f>
        <v/>
      </c>
      <c r="J865" s="402">
        <f>IFERROR(INDEX('06_BANG_GIA_VAT_TU_AP_DUNG'!$E$1:$E$5000, MATCH(E865, '06_BANG_GIA_VAT_TU_AP_DUNG'!$B$1:$B$5000, 0)), 0)</f>
        <v/>
      </c>
      <c r="K865" s="402">
        <f>I865*J865</f>
        <v/>
      </c>
      <c r="L865" t="inlineStr">
        <is>
          <t>Hộp lò xo cơ cấu đóng sập (1 bộ)</t>
        </is>
      </c>
    </row>
    <row r="866">
      <c r="A866" t="inlineStr">
        <is>
          <t>SW-DAMPER-172-SILICON-BOLT</t>
        </is>
      </c>
      <c r="B866" t="inlineStr">
        <is>
          <t>SW-DAMPER-172</t>
        </is>
      </c>
      <c r="C866" t="inlineStr">
        <is>
          <t>Silicon chống cháy + bu lông, ốc vít van FD/MFD</t>
        </is>
      </c>
      <c r="D866" t="inlineStr">
        <is>
          <t>PHỤ_KIỆN_VAN</t>
        </is>
      </c>
      <c r="E866" t="inlineStr">
        <is>
          <t>MAT-DAMPER-SILICON-BULONG-VIT</t>
        </is>
      </c>
      <c r="F866" t="inlineStr">
        <is>
          <t>Bộ</t>
        </is>
      </c>
      <c r="G866" s="406" t="n">
        <v>1</v>
      </c>
      <c r="H866" s="402">
        <f>IFERROR(INDEX('00_TONG_HOP_BAO_GIA'!$G$1:$G$5000, MATCH(B866, '00_TONG_HOP_BAO_GIA'!$B$1:$B$5000, 0)), 1)</f>
        <v/>
      </c>
      <c r="I866" s="407">
        <f>G866*H866</f>
        <v/>
      </c>
      <c r="J866" s="402">
        <f>IFERROR(INDEX('06_BANG_GIA_VAT_TU_AP_DUNG'!$E$1:$E$5000, MATCH(E866, '06_BANG_GIA_VAT_TU_AP_DUNG'!$B$1:$B$5000, 0)), 0)</f>
        <v/>
      </c>
      <c r="K866" s="402">
        <f>I866*J866</f>
        <v/>
      </c>
      <c r="L866" t="inlineStr">
        <is>
          <t>Keo silicon chống cháy &amp; phụ kiện lắp ghép (1 bộ)</t>
        </is>
      </c>
    </row>
    <row r="867">
      <c r="A867" t="inlineStr">
        <is>
          <t>SW-DAMPER-173-BODY</t>
        </is>
      </c>
      <c r="B867" t="inlineStr">
        <is>
          <t>SW-DAMPER-173</t>
        </is>
      </c>
      <c r="C867" t="inlineStr">
        <is>
          <t>Thân vỏ van FD bích C30/TDF (1.15mm)</t>
        </is>
      </c>
      <c r="D867" t="inlineStr">
        <is>
          <t>TÔN_CUỘN_MẠ_KẼM</t>
        </is>
      </c>
      <c r="E867" t="inlineStr">
        <is>
          <t>MAT-STEEL-PN-1.15</t>
        </is>
      </c>
      <c r="F867" t="inlineStr">
        <is>
          <t>kg</t>
        </is>
      </c>
      <c r="G867" s="406" t="n">
        <v>5.476893975</v>
      </c>
      <c r="H867" s="402">
        <f>IFERROR(INDEX('00_TONG_HOP_BAO_GIA'!$G$1:$G$5000, MATCH(B867, '00_TONG_HOP_BAO_GIA'!$B$1:$B$5000, 0)), 1)</f>
        <v/>
      </c>
      <c r="I867" s="407">
        <f>G867*H867</f>
        <v/>
      </c>
      <c r="J867" s="402">
        <f>IFERROR(INDEX('06_BANG_GIA_VAT_TU_AP_DUNG'!$E$1:$E$5000, MATCH(E867, '06_BANG_GIA_VAT_TU_AP_DUNG'!$B$1:$B$5000, 0)), 0)</f>
        <v/>
      </c>
      <c r="K867" s="402">
        <f>I867*J867</f>
        <v/>
      </c>
      <c r="L867" t="inlineStr">
        <is>
          <t>Kích thước vỏ 800x250x200mm</t>
        </is>
      </c>
    </row>
    <row r="868">
      <c r="A868" t="inlineStr">
        <is>
          <t>SW-DAMPER-173-BLADE</t>
        </is>
      </c>
      <c r="B868" t="inlineStr">
        <is>
          <t>SW-DAMPER-173</t>
        </is>
      </c>
      <c r="C868" t="inlineStr">
        <is>
          <t>Lá cánh / Tôn tấm bọc van (1 cánh)</t>
        </is>
      </c>
      <c r="D868" t="inlineStr">
        <is>
          <t>TÔN_CUỘN_MẠ_KẼM</t>
        </is>
      </c>
      <c r="E868" t="inlineStr">
        <is>
          <t>MAT-STEEL-PN-1.15</t>
        </is>
      </c>
      <c r="F868" t="inlineStr">
        <is>
          <t>kg</t>
        </is>
      </c>
      <c r="G868" s="406" t="n">
        <v>3.610999999999999</v>
      </c>
      <c r="H868" s="402">
        <f>IFERROR(INDEX('00_TONG_HOP_BAO_GIA'!$G$1:$G$5000, MATCH(B868, '00_TONG_HOP_BAO_GIA'!$B$1:$B$5000, 0)), 1)</f>
        <v/>
      </c>
      <c r="I868" s="407">
        <f>G868*H868</f>
        <v/>
      </c>
      <c r="J868" s="402">
        <f>IFERROR(INDEX('06_BANG_GIA_VAT_TU_AP_DUNG'!$E$1:$E$5000, MATCH(E868, '06_BANG_GIA_VAT_TU_AP_DUNG'!$B$1:$B$5000, 0)), 0)</f>
        <v/>
      </c>
      <c r="K868" s="402">
        <f>I868*J868</f>
        <v/>
      </c>
      <c r="L868" t="inlineStr">
        <is>
          <t>Tôn bọc cánh &amp; thân (1 cánh/modul)</t>
        </is>
      </c>
    </row>
    <row r="869">
      <c r="A869" t="inlineStr">
        <is>
          <t>SW-DAMPER-173-AXLE</t>
        </is>
      </c>
      <c r="B869" t="inlineStr">
        <is>
          <t>SW-DAMPER-173</t>
        </is>
      </c>
      <c r="C869" t="inlineStr">
        <is>
          <t>Trục Sus 201 D10</t>
        </is>
      </c>
      <c r="D869" t="inlineStr">
        <is>
          <t>PHỤ_KIỆN_VAN</t>
        </is>
      </c>
      <c r="E869" t="inlineStr">
        <is>
          <t>MAT-DAMPER-TRUC-SUS-201-D10</t>
        </is>
      </c>
      <c r="F869" t="inlineStr">
        <is>
          <t>m</t>
        </is>
      </c>
      <c r="G869" s="406" t="n">
        <v>0.86</v>
      </c>
      <c r="H869" s="402">
        <f>IFERROR(INDEX('00_TONG_HOP_BAO_GIA'!$G$1:$G$5000, MATCH(B869, '00_TONG_HOP_BAO_GIA'!$B$1:$B$5000, 0)), 1)</f>
        <v/>
      </c>
      <c r="I869" s="407">
        <f>G869*H869</f>
        <v/>
      </c>
      <c r="J869" s="402">
        <f>IFERROR(INDEX('06_BANG_GIA_VAT_TU_AP_DUNG'!$E$1:$E$5000, MATCH(E869, '06_BANG_GIA_VAT_TU_AP_DUNG'!$B$1:$B$5000, 0)), 0)</f>
        <v/>
      </c>
      <c r="K869" s="402">
        <f>I869*J869</f>
        <v/>
      </c>
      <c r="L869" t="inlineStr">
        <is>
          <t>1 trục dài 860mm</t>
        </is>
      </c>
    </row>
    <row r="870">
      <c r="A870" t="inlineStr">
        <is>
          <t>SW-DAMPER-173-BEARING</t>
        </is>
      </c>
      <c r="B870" t="inlineStr">
        <is>
          <t>SW-DAMPER-173</t>
        </is>
      </c>
      <c r="C870" t="inlineStr">
        <is>
          <t>Bạc đồng D10</t>
        </is>
      </c>
      <c r="D870" t="inlineStr">
        <is>
          <t>PHỤ_KIỆN_VAN</t>
        </is>
      </c>
      <c r="E870" t="inlineStr">
        <is>
          <t>MAT-DAMPER-BAC-DONG-D10</t>
        </is>
      </c>
      <c r="F870" t="inlineStr">
        <is>
          <t>Đôi</t>
        </is>
      </c>
      <c r="G870" s="406" t="n">
        <v>1</v>
      </c>
      <c r="H870" s="402">
        <f>IFERROR(INDEX('00_TONG_HOP_BAO_GIA'!$G$1:$G$5000, MATCH(B870, '00_TONG_HOP_BAO_GIA'!$B$1:$B$5000, 0)), 1)</f>
        <v/>
      </c>
      <c r="I870" s="407">
        <f>G870*H870</f>
        <v/>
      </c>
      <c r="J870" s="402">
        <f>IFERROR(INDEX('06_BANG_GIA_VAT_TU_AP_DUNG'!$E$1:$E$5000, MATCH(E870, '06_BANG_GIA_VAT_TU_AP_DUNG'!$B$1:$B$5000, 0)), 0)</f>
        <v/>
      </c>
      <c r="K870" s="402">
        <f>I870*J870</f>
        <v/>
      </c>
      <c r="L870" t="inlineStr">
        <is>
          <t>1 đôi bạc đỡ 2 bên thân</t>
        </is>
      </c>
    </row>
    <row r="871">
      <c r="A871" t="inlineStr">
        <is>
          <t>SW-DAMPER-173-FUSE</t>
        </is>
      </c>
      <c r="B871" t="inlineStr">
        <is>
          <t>SW-DAMPER-173</t>
        </is>
      </c>
      <c r="C871" t="inlineStr">
        <is>
          <t>Cầu chì nhiệt nóng chảy 70°C/74°C (Elsie/USA)</t>
        </is>
      </c>
      <c r="D871" t="inlineStr">
        <is>
          <t>PHỤ_KIỆN_VAN</t>
        </is>
      </c>
      <c r="E871" t="inlineStr">
        <is>
          <t>MAT-DAMPER-CAU-CHI-USA-2-400X400</t>
        </is>
      </c>
      <c r="F871" t="inlineStr">
        <is>
          <t>Cái</t>
        </is>
      </c>
      <c r="G871" s="406" t="n">
        <v>1</v>
      </c>
      <c r="H871" s="402">
        <f>IFERROR(INDEX('00_TONG_HOP_BAO_GIA'!$G$1:$G$5000, MATCH(B871, '00_TONG_HOP_BAO_GIA'!$B$1:$B$5000, 0)), 1)</f>
        <v/>
      </c>
      <c r="I871" s="407">
        <f>G871*H871</f>
        <v/>
      </c>
      <c r="J871" s="402">
        <f>IFERROR(INDEX('06_BANG_GIA_VAT_TU_AP_DUNG'!$E$1:$E$5000, MATCH(E871, '06_BANG_GIA_VAT_TU_AP_DUNG'!$B$1:$B$5000, 0)), 0)</f>
        <v/>
      </c>
      <c r="K871" s="402">
        <f>I871*J871</f>
        <v/>
      </c>
      <c r="L871" t="inlineStr">
        <is>
          <t>Cầu chì kiểm định PCCC (1 cái)</t>
        </is>
      </c>
    </row>
    <row r="872">
      <c r="A872" t="inlineStr">
        <is>
          <t>SW-DAMPER-173-FB10-BODY</t>
        </is>
      </c>
      <c r="B872" t="inlineStr">
        <is>
          <t>SW-DAMPER-173</t>
        </is>
      </c>
      <c r="C872" t="inlineStr">
        <is>
          <t>Tấm chống cháy dày 10mm bọc thân van FD/MFD (2 lớp)</t>
        </is>
      </c>
      <c r="D872" t="inlineStr">
        <is>
          <t>VẬT_LIỆU_CÁCH_NHIỆT</t>
        </is>
      </c>
      <c r="E872" t="inlineStr">
        <is>
          <t>MAT-FIREBOARD-10MM-BODY</t>
        </is>
      </c>
      <c r="F872" t="inlineStr">
        <is>
          <t>m2</t>
        </is>
      </c>
      <c r="G872" s="406" t="n">
        <v>1.26</v>
      </c>
      <c r="H872" s="402">
        <f>IFERROR(INDEX('00_TONG_HOP_BAO_GIA'!$G$1:$G$5000, MATCH(B872, '00_TONG_HOP_BAO_GIA'!$B$1:$B$5000, 0)), 1)</f>
        <v/>
      </c>
      <c r="I872" s="407">
        <f>G872*H872</f>
        <v/>
      </c>
      <c r="J872" s="402">
        <f>IFERROR(INDEX('06_BANG_GIA_VAT_TU_AP_DUNG'!$E$1:$E$5000, MATCH(E872, '06_BANG_GIA_VAT_TU_AP_DUNG'!$B$1:$B$5000, 0)), 0)</f>
        <v/>
      </c>
      <c r="K872" s="402">
        <f>I872*J872</f>
        <v/>
      </c>
      <c r="L872" t="inlineStr">
        <is>
          <t>Bọc 2 lớp tấm 10mm quanh thân L=300mm</t>
        </is>
      </c>
    </row>
    <row r="873">
      <c r="A873" t="inlineStr">
        <is>
          <t>SW-DAMPER-173-FB20-BLADE</t>
        </is>
      </c>
      <c r="B873" t="inlineStr">
        <is>
          <t>SW-DAMPER-173</t>
        </is>
      </c>
      <c r="C873" t="inlineStr">
        <is>
          <t>Tấm chống cháy dày 20mm làm lõi cánh van FD/MFD</t>
        </is>
      </c>
      <c r="D873" t="inlineStr">
        <is>
          <t>VẬT_LIỆU_CÁCH_NHIỆT</t>
        </is>
      </c>
      <c r="E873" t="inlineStr">
        <is>
          <t>MAT-FIREBOARD-20MM-BLADE</t>
        </is>
      </c>
      <c r="F873" t="inlineStr">
        <is>
          <t>m2</t>
        </is>
      </c>
      <c r="G873" s="406" t="n">
        <v>0.2</v>
      </c>
      <c r="H873" s="402">
        <f>IFERROR(INDEX('00_TONG_HOP_BAO_GIA'!$G$1:$G$5000, MATCH(B873, '00_TONG_HOP_BAO_GIA'!$B$1:$B$5000, 0)), 1)</f>
        <v/>
      </c>
      <c r="I873" s="407">
        <f>G873*H873</f>
        <v/>
      </c>
      <c r="J873" s="402">
        <f>IFERROR(INDEX('06_BANG_GIA_VAT_TU_AP_DUNG'!$E$1:$E$5000, MATCH(E873, '06_BANG_GIA_VAT_TU_AP_DUNG'!$B$1:$B$5000, 0)), 0)</f>
        <v/>
      </c>
      <c r="K873" s="402">
        <f>I873*J873</f>
        <v/>
      </c>
      <c r="L873" t="inlineStr">
        <is>
          <t>Lõi cánh tấm 20mm (Cánh đơn 800x250mm)</t>
        </is>
      </c>
    </row>
    <row r="874">
      <c r="A874" t="inlineStr">
        <is>
          <t>SW-DAMPER-173-FB10-BLADE</t>
        </is>
      </c>
      <c r="B874" t="inlineStr">
        <is>
          <t>SW-DAMPER-173</t>
        </is>
      </c>
      <c r="C874" t="inlineStr">
        <is>
          <t>Tấm chống cháy dày 10mm ốp 2 mặt cánh van FD/MFD</t>
        </is>
      </c>
      <c r="D874" t="inlineStr">
        <is>
          <t>VẬT_LIỆU_CÁCH_NHIỆT</t>
        </is>
      </c>
      <c r="E874" t="inlineStr">
        <is>
          <t>MAT-FIREBOARD-10MM-BLADE</t>
        </is>
      </c>
      <c r="F874" t="inlineStr">
        <is>
          <t>m2</t>
        </is>
      </c>
      <c r="G874" s="406" t="n">
        <v>0.4</v>
      </c>
      <c r="H874" s="402">
        <f>IFERROR(INDEX('00_TONG_HOP_BAO_GIA'!$G$1:$G$5000, MATCH(B874, '00_TONG_HOP_BAO_GIA'!$B$1:$B$5000, 0)), 1)</f>
        <v/>
      </c>
      <c r="I874" s="407">
        <f>G874*H874</f>
        <v/>
      </c>
      <c r="J874" s="402">
        <f>IFERROR(INDEX('06_BANG_GIA_VAT_TU_AP_DUNG'!$E$1:$E$5000, MATCH(E874, '06_BANG_GIA_VAT_TU_AP_DUNG'!$B$1:$B$5000, 0)), 0)</f>
        <v/>
      </c>
      <c r="K874" s="402">
        <f>I874*J874</f>
        <v/>
      </c>
      <c r="L874" t="inlineStr">
        <is>
          <t>Ốp 2 mặt cánh tấm 10mm (Cánh đơn 800x250mm)</t>
        </is>
      </c>
    </row>
    <row r="875">
      <c r="A875" t="inlineStr">
        <is>
          <t>SW-DAMPER-173-SPRING-BOX</t>
        </is>
      </c>
      <c r="B875" t="inlineStr">
        <is>
          <t>SW-DAMPER-173</t>
        </is>
      </c>
      <c r="C875" t="inlineStr">
        <is>
          <t>Hộp lò xo van chặn lửa FD/MFD</t>
        </is>
      </c>
      <c r="D875" t="inlineStr">
        <is>
          <t>PHỤ_KIỆN_VAN</t>
        </is>
      </c>
      <c r="E875" t="inlineStr">
        <is>
          <t>MAT-DAMPER-HOP-LO-XO</t>
        </is>
      </c>
      <c r="F875" t="inlineStr">
        <is>
          <t>Bộ</t>
        </is>
      </c>
      <c r="G875" s="406" t="n">
        <v>1</v>
      </c>
      <c r="H875" s="402">
        <f>IFERROR(INDEX('00_TONG_HOP_BAO_GIA'!$G$1:$G$5000, MATCH(B875, '00_TONG_HOP_BAO_GIA'!$B$1:$B$5000, 0)), 1)</f>
        <v/>
      </c>
      <c r="I875" s="407">
        <f>G875*H875</f>
        <v/>
      </c>
      <c r="J875" s="402">
        <f>IFERROR(INDEX('06_BANG_GIA_VAT_TU_AP_DUNG'!$E$1:$E$5000, MATCH(E875, '06_BANG_GIA_VAT_TU_AP_DUNG'!$B$1:$B$5000, 0)), 0)</f>
        <v/>
      </c>
      <c r="K875" s="402">
        <f>I875*J875</f>
        <v/>
      </c>
      <c r="L875" t="inlineStr">
        <is>
          <t>Hộp lò xo cơ cấu đóng sập (1 bộ)</t>
        </is>
      </c>
    </row>
    <row r="876">
      <c r="A876" t="inlineStr">
        <is>
          <t>SW-DAMPER-173-SILICON-BOLT</t>
        </is>
      </c>
      <c r="B876" t="inlineStr">
        <is>
          <t>SW-DAMPER-173</t>
        </is>
      </c>
      <c r="C876" t="inlineStr">
        <is>
          <t>Silicon chống cháy + bu lông, ốc vít van FD/MFD</t>
        </is>
      </c>
      <c r="D876" t="inlineStr">
        <is>
          <t>PHỤ_KIỆN_VAN</t>
        </is>
      </c>
      <c r="E876" t="inlineStr">
        <is>
          <t>MAT-DAMPER-SILICON-BULONG-VIT</t>
        </is>
      </c>
      <c r="F876" t="inlineStr">
        <is>
          <t>Bộ</t>
        </is>
      </c>
      <c r="G876" s="406" t="n">
        <v>1</v>
      </c>
      <c r="H876" s="402">
        <f>IFERROR(INDEX('00_TONG_HOP_BAO_GIA'!$G$1:$G$5000, MATCH(B876, '00_TONG_HOP_BAO_GIA'!$B$1:$B$5000, 0)), 1)</f>
        <v/>
      </c>
      <c r="I876" s="407">
        <f>G876*H876</f>
        <v/>
      </c>
      <c r="J876" s="402">
        <f>IFERROR(INDEX('06_BANG_GIA_VAT_TU_AP_DUNG'!$E$1:$E$5000, MATCH(E876, '06_BANG_GIA_VAT_TU_AP_DUNG'!$B$1:$B$5000, 0)), 0)</f>
        <v/>
      </c>
      <c r="K876" s="402">
        <f>I876*J876</f>
        <v/>
      </c>
      <c r="L876" t="inlineStr">
        <is>
          <t>Keo silicon chống cháy &amp; phụ kiện lắp ghép (1 bộ)</t>
        </is>
      </c>
    </row>
    <row r="877">
      <c r="A877" t="inlineStr">
        <is>
          <t>SW-DAMPER-174-BODY</t>
        </is>
      </c>
      <c r="B877" t="inlineStr">
        <is>
          <t>SW-DAMPER-174</t>
        </is>
      </c>
      <c r="C877" t="inlineStr">
        <is>
          <t>Thân vỏ van FD bích C30/TDF (1.15mm)</t>
        </is>
      </c>
      <c r="D877" t="inlineStr">
        <is>
          <t>TÔN_CUỘN_MẠ_KẼM</t>
        </is>
      </c>
      <c r="E877" t="inlineStr">
        <is>
          <t>MAT-STEEL-PN-1.15</t>
        </is>
      </c>
      <c r="F877" t="inlineStr">
        <is>
          <t>kg</t>
        </is>
      </c>
      <c r="G877" s="406" t="n">
        <v>8.036190225</v>
      </c>
      <c r="H877" s="402">
        <f>IFERROR(INDEX('00_TONG_HOP_BAO_GIA'!$G$1:$G$5000, MATCH(B877, '00_TONG_HOP_BAO_GIA'!$B$1:$B$5000, 0)), 1)</f>
        <v/>
      </c>
      <c r="I877" s="407">
        <f>G877*H877</f>
        <v/>
      </c>
      <c r="J877" s="402">
        <f>IFERROR(INDEX('06_BANG_GIA_VAT_TU_AP_DUNG'!$E$1:$E$5000, MATCH(E877, '06_BANG_GIA_VAT_TU_AP_DUNG'!$B$1:$B$5000, 0)), 0)</f>
        <v/>
      </c>
      <c r="K877" s="402">
        <f>I877*J877</f>
        <v/>
      </c>
      <c r="L877" t="inlineStr">
        <is>
          <t>Kích thước vỏ 1200x350x200mm</t>
        </is>
      </c>
    </row>
    <row r="878">
      <c r="A878" t="inlineStr">
        <is>
          <t>SW-DAMPER-174-BLADE</t>
        </is>
      </c>
      <c r="B878" t="inlineStr">
        <is>
          <t>SW-DAMPER-174</t>
        </is>
      </c>
      <c r="C878" t="inlineStr">
        <is>
          <t>Lá cánh / Tôn tấm bọc van (2 cánh)</t>
        </is>
      </c>
      <c r="D878" t="inlineStr">
        <is>
          <t>TÔN_CUỘN_MẠ_KẼM</t>
        </is>
      </c>
      <c r="E878" t="inlineStr">
        <is>
          <t>MAT-STEEL-PN-1.15</t>
        </is>
      </c>
      <c r="F878" t="inlineStr">
        <is>
          <t>kg</t>
        </is>
      </c>
      <c r="G878" s="406" t="n">
        <v>7.583099999999998</v>
      </c>
      <c r="H878" s="402">
        <f>IFERROR(INDEX('00_TONG_HOP_BAO_GIA'!$G$1:$G$5000, MATCH(B878, '00_TONG_HOP_BAO_GIA'!$B$1:$B$5000, 0)), 1)</f>
        <v/>
      </c>
      <c r="I878" s="407">
        <f>G878*H878</f>
        <v/>
      </c>
      <c r="J878" s="402">
        <f>IFERROR(INDEX('06_BANG_GIA_VAT_TU_AP_DUNG'!$E$1:$E$5000, MATCH(E878, '06_BANG_GIA_VAT_TU_AP_DUNG'!$B$1:$B$5000, 0)), 0)</f>
        <v/>
      </c>
      <c r="K878" s="402">
        <f>I878*J878</f>
        <v/>
      </c>
      <c r="L878" t="inlineStr">
        <is>
          <t>Tôn bọc cánh &amp; thân (2 cánh/modul)</t>
        </is>
      </c>
    </row>
    <row r="879">
      <c r="A879" t="inlineStr">
        <is>
          <t>SW-DAMPER-174-AXLE</t>
        </is>
      </c>
      <c r="B879" t="inlineStr">
        <is>
          <t>SW-DAMPER-174</t>
        </is>
      </c>
      <c r="C879" t="inlineStr">
        <is>
          <t>Trục Sus 201 D10</t>
        </is>
      </c>
      <c r="D879" t="inlineStr">
        <is>
          <t>PHỤ_KIỆN_VAN</t>
        </is>
      </c>
      <c r="E879" t="inlineStr">
        <is>
          <t>MAT-DAMPER-TRUC-SUS-201-D10</t>
        </is>
      </c>
      <c r="F879" t="inlineStr">
        <is>
          <t>m</t>
        </is>
      </c>
      <c r="G879" s="406" t="n">
        <v>2.52</v>
      </c>
      <c r="H879" s="402">
        <f>IFERROR(INDEX('00_TONG_HOP_BAO_GIA'!$G$1:$G$5000, MATCH(B879, '00_TONG_HOP_BAO_GIA'!$B$1:$B$5000, 0)), 1)</f>
        <v/>
      </c>
      <c r="I879" s="407">
        <f>G879*H879</f>
        <v/>
      </c>
      <c r="J879" s="402">
        <f>IFERROR(INDEX('06_BANG_GIA_VAT_TU_AP_DUNG'!$E$1:$E$5000, MATCH(E879, '06_BANG_GIA_VAT_TU_AP_DUNG'!$B$1:$B$5000, 0)), 0)</f>
        <v/>
      </c>
      <c r="K879" s="402">
        <f>I879*J879</f>
        <v/>
      </c>
      <c r="L879" t="inlineStr">
        <is>
          <t>2 trục dài 1260mm</t>
        </is>
      </c>
    </row>
    <row r="880">
      <c r="A880" t="inlineStr">
        <is>
          <t>SW-DAMPER-174-BEARING</t>
        </is>
      </c>
      <c r="B880" t="inlineStr">
        <is>
          <t>SW-DAMPER-174</t>
        </is>
      </c>
      <c r="C880" t="inlineStr">
        <is>
          <t>Bạc đồng D10</t>
        </is>
      </c>
      <c r="D880" t="inlineStr">
        <is>
          <t>PHỤ_KIỆN_VAN</t>
        </is>
      </c>
      <c r="E880" t="inlineStr">
        <is>
          <t>MAT-DAMPER-BAC-DONG-D10</t>
        </is>
      </c>
      <c r="F880" t="inlineStr">
        <is>
          <t>Đôi</t>
        </is>
      </c>
      <c r="G880" s="406" t="n">
        <v>2</v>
      </c>
      <c r="H880" s="402">
        <f>IFERROR(INDEX('00_TONG_HOP_BAO_GIA'!$G$1:$G$5000, MATCH(B880, '00_TONG_HOP_BAO_GIA'!$B$1:$B$5000, 0)), 1)</f>
        <v/>
      </c>
      <c r="I880" s="407">
        <f>G880*H880</f>
        <v/>
      </c>
      <c r="J880" s="402">
        <f>IFERROR(INDEX('06_BANG_GIA_VAT_TU_AP_DUNG'!$E$1:$E$5000, MATCH(E880, '06_BANG_GIA_VAT_TU_AP_DUNG'!$B$1:$B$5000, 0)), 0)</f>
        <v/>
      </c>
      <c r="K880" s="402">
        <f>I880*J880</f>
        <v/>
      </c>
      <c r="L880" t="inlineStr">
        <is>
          <t>2 đôi bạc đỡ 2 bên thân</t>
        </is>
      </c>
    </row>
    <row r="881">
      <c r="A881" t="inlineStr">
        <is>
          <t>SW-DAMPER-174-GEAR</t>
        </is>
      </c>
      <c r="B881" t="inlineStr">
        <is>
          <t>SW-DAMPER-174</t>
        </is>
      </c>
      <c r="C881" t="inlineStr">
        <is>
          <t>Bánh răng van nhôm</t>
        </is>
      </c>
      <c r="D881" t="inlineStr">
        <is>
          <t>PHỤ_KIỆN_VAN</t>
        </is>
      </c>
      <c r="E881" t="inlineStr">
        <is>
          <t>MAT-DAMPER-BANH-RANG-VAN-NHOM</t>
        </is>
      </c>
      <c r="F881" t="inlineStr">
        <is>
          <t>Bộ</t>
        </is>
      </c>
      <c r="G881" s="406" t="n">
        <v>1</v>
      </c>
      <c r="H881" s="402">
        <f>IFERROR(INDEX('00_TONG_HOP_BAO_GIA'!$G$1:$G$5000, MATCH(B881, '00_TONG_HOP_BAO_GIA'!$B$1:$B$5000, 0)), 1)</f>
        <v/>
      </c>
      <c r="I881" s="407">
        <f>G881*H881</f>
        <v/>
      </c>
      <c r="J881" s="402">
        <f>IFERROR(INDEX('06_BANG_GIA_VAT_TU_AP_DUNG'!$E$1:$E$5000, MATCH(E881, '06_BANG_GIA_VAT_TU_AP_DUNG'!$B$1:$B$5000, 0)), 0)</f>
        <v/>
      </c>
      <c r="K881" s="402">
        <f>I881*J881</f>
        <v/>
      </c>
      <c r="L881" t="inlineStr">
        <is>
          <t>Cơ cấu liên động cánh (1 bộ)</t>
        </is>
      </c>
    </row>
    <row r="882">
      <c r="A882" t="inlineStr">
        <is>
          <t>SW-DAMPER-174-FUSE</t>
        </is>
      </c>
      <c r="B882" t="inlineStr">
        <is>
          <t>SW-DAMPER-174</t>
        </is>
      </c>
      <c r="C882" t="inlineStr">
        <is>
          <t>Cầu chì nhiệt nóng chảy 70°C/74°C (Elsie/USA)</t>
        </is>
      </c>
      <c r="D882" t="inlineStr">
        <is>
          <t>PHỤ_KIỆN_VAN</t>
        </is>
      </c>
      <c r="E882" t="inlineStr">
        <is>
          <t>MAT-DAMPER-CAU-CHI-USA-2-400X400</t>
        </is>
      </c>
      <c r="F882" t="inlineStr">
        <is>
          <t>Cái</t>
        </is>
      </c>
      <c r="G882" s="406" t="n">
        <v>1</v>
      </c>
      <c r="H882" s="402">
        <f>IFERROR(INDEX('00_TONG_HOP_BAO_GIA'!$G$1:$G$5000, MATCH(B882, '00_TONG_HOP_BAO_GIA'!$B$1:$B$5000, 0)), 1)</f>
        <v/>
      </c>
      <c r="I882" s="407">
        <f>G882*H882</f>
        <v/>
      </c>
      <c r="J882" s="402">
        <f>IFERROR(INDEX('06_BANG_GIA_VAT_TU_AP_DUNG'!$E$1:$E$5000, MATCH(E882, '06_BANG_GIA_VAT_TU_AP_DUNG'!$B$1:$B$5000, 0)), 0)</f>
        <v/>
      </c>
      <c r="K882" s="402">
        <f>I882*J882</f>
        <v/>
      </c>
      <c r="L882" t="inlineStr">
        <is>
          <t>Cầu chì kiểm định PCCC (1 cái)</t>
        </is>
      </c>
    </row>
    <row r="883">
      <c r="A883" t="inlineStr">
        <is>
          <t>SW-DAMPER-174-FB10-BODY</t>
        </is>
      </c>
      <c r="B883" t="inlineStr">
        <is>
          <t>SW-DAMPER-174</t>
        </is>
      </c>
      <c r="C883" t="inlineStr">
        <is>
          <t>Tấm chống cháy dày 10mm bọc thân van FD/MFD (2 lớp)</t>
        </is>
      </c>
      <c r="D883" t="inlineStr">
        <is>
          <t>VẬT_LIỆU_CÁCH_NHIỆT</t>
        </is>
      </c>
      <c r="E883" t="inlineStr">
        <is>
          <t>MAT-FIREBOARD-10MM-BODY</t>
        </is>
      </c>
      <c r="F883" t="inlineStr">
        <is>
          <t>m2</t>
        </is>
      </c>
      <c r="G883" s="406" t="n">
        <v>1.86</v>
      </c>
      <c r="H883" s="402">
        <f>IFERROR(INDEX('00_TONG_HOP_BAO_GIA'!$G$1:$G$5000, MATCH(B883, '00_TONG_HOP_BAO_GIA'!$B$1:$B$5000, 0)), 1)</f>
        <v/>
      </c>
      <c r="I883" s="407">
        <f>G883*H883</f>
        <v/>
      </c>
      <c r="J883" s="402">
        <f>IFERROR(INDEX('06_BANG_GIA_VAT_TU_AP_DUNG'!$E$1:$E$5000, MATCH(E883, '06_BANG_GIA_VAT_TU_AP_DUNG'!$B$1:$B$5000, 0)), 0)</f>
        <v/>
      </c>
      <c r="K883" s="402">
        <f>I883*J883</f>
        <v/>
      </c>
      <c r="L883" t="inlineStr">
        <is>
          <t>Bọc 2 lớp tấm 10mm quanh thân L=300mm</t>
        </is>
      </c>
    </row>
    <row r="884">
      <c r="A884" t="inlineStr">
        <is>
          <t>SW-DAMPER-174-FB20-BLADE</t>
        </is>
      </c>
      <c r="B884" t="inlineStr">
        <is>
          <t>SW-DAMPER-174</t>
        </is>
      </c>
      <c r="C884" t="inlineStr">
        <is>
          <t>Tấm chống cháy dày 20mm làm lõi cánh van FD/MFD</t>
        </is>
      </c>
      <c r="D884" t="inlineStr">
        <is>
          <t>VẬT_LIỆU_CÁCH_NHIỆT</t>
        </is>
      </c>
      <c r="E884" t="inlineStr">
        <is>
          <t>MAT-FIREBOARD-20MM-BLADE</t>
        </is>
      </c>
      <c r="F884" t="inlineStr">
        <is>
          <t>m2</t>
        </is>
      </c>
      <c r="G884" s="406" t="n">
        <v>0.6311416107382549</v>
      </c>
      <c r="H884" s="402">
        <f>IFERROR(INDEX('00_TONG_HOP_BAO_GIA'!$G$1:$G$5000, MATCH(B884, '00_TONG_HOP_BAO_GIA'!$B$1:$B$5000, 0)), 1)</f>
        <v/>
      </c>
      <c r="I884" s="407">
        <f>G884*H884</f>
        <v/>
      </c>
      <c r="J884" s="402">
        <f>IFERROR(INDEX('06_BANG_GIA_VAT_TU_AP_DUNG'!$E$1:$E$5000, MATCH(E884, '06_BANG_GIA_VAT_TU_AP_DUNG'!$B$1:$B$5000, 0)), 0)</f>
        <v/>
      </c>
      <c r="K884" s="402">
        <f>I884*J884</f>
        <v/>
      </c>
      <c r="L884" t="inlineStr">
        <is>
          <t>Lõi cánh tấm 20mm (Đa cánh hệ số (H-5)/149=2.32, bản rộng 210mm, hao hụt 10%)</t>
        </is>
      </c>
    </row>
    <row r="885">
      <c r="A885" t="inlineStr">
        <is>
          <t>SW-DAMPER-174-FB10-BLADE</t>
        </is>
      </c>
      <c r="B885" t="inlineStr">
        <is>
          <t>SW-DAMPER-174</t>
        </is>
      </c>
      <c r="C885" t="inlineStr">
        <is>
          <t>Tấm chống cháy dày 10mm ốp 2 mặt cánh van FD/MFD</t>
        </is>
      </c>
      <c r="D885" t="inlineStr">
        <is>
          <t>VẬT_LIỆU_CÁCH_NHIỆT</t>
        </is>
      </c>
      <c r="E885" t="inlineStr">
        <is>
          <t>MAT-FIREBOARD-10MM-BLADE</t>
        </is>
      </c>
      <c r="F885" t="inlineStr">
        <is>
          <t>m2</t>
        </is>
      </c>
      <c r="G885" s="406" t="n">
        <v>1.283677852348993</v>
      </c>
      <c r="H885" s="402">
        <f>IFERROR(INDEX('00_TONG_HOP_BAO_GIA'!$G$1:$G$5000, MATCH(B885, '00_TONG_HOP_BAO_GIA'!$B$1:$B$5000, 0)), 1)</f>
        <v/>
      </c>
      <c r="I885" s="407">
        <f>G885*H885</f>
        <v/>
      </c>
      <c r="J885" s="402">
        <f>IFERROR(INDEX('06_BANG_GIA_VAT_TU_AP_DUNG'!$E$1:$E$5000, MATCH(E885, '06_BANG_GIA_VAT_TU_AP_DUNG'!$B$1:$B$5000, 0)), 0)</f>
        <v/>
      </c>
      <c r="K885" s="402">
        <f>I885*J885</f>
        <v/>
      </c>
      <c r="L885" t="inlineStr">
        <is>
          <t>Ốp 2 mặt cánh tấm 10mm (Đa cánh hệ số (H-5)/149=2.32, bản rộng 210mm, hao hụt 10%)</t>
        </is>
      </c>
    </row>
    <row r="886">
      <c r="A886" t="inlineStr">
        <is>
          <t>SW-DAMPER-174-SPRING-BOX</t>
        </is>
      </c>
      <c r="B886" t="inlineStr">
        <is>
          <t>SW-DAMPER-174</t>
        </is>
      </c>
      <c r="C886" t="inlineStr">
        <is>
          <t>Hộp lò xo van chặn lửa FD/MFD</t>
        </is>
      </c>
      <c r="D886" t="inlineStr">
        <is>
          <t>PHỤ_KIỆN_VAN</t>
        </is>
      </c>
      <c r="E886" t="inlineStr">
        <is>
          <t>MAT-DAMPER-HOP-LO-XO</t>
        </is>
      </c>
      <c r="F886" t="inlineStr">
        <is>
          <t>Bộ</t>
        </is>
      </c>
      <c r="G886" s="406" t="n">
        <v>1</v>
      </c>
      <c r="H886" s="402">
        <f>IFERROR(INDEX('00_TONG_HOP_BAO_GIA'!$G$1:$G$5000, MATCH(B886, '00_TONG_HOP_BAO_GIA'!$B$1:$B$5000, 0)), 1)</f>
        <v/>
      </c>
      <c r="I886" s="407">
        <f>G886*H886</f>
        <v/>
      </c>
      <c r="J886" s="402">
        <f>IFERROR(INDEX('06_BANG_GIA_VAT_TU_AP_DUNG'!$E$1:$E$5000, MATCH(E886, '06_BANG_GIA_VAT_TU_AP_DUNG'!$B$1:$B$5000, 0)), 0)</f>
        <v/>
      </c>
      <c r="K886" s="402">
        <f>I886*J886</f>
        <v/>
      </c>
      <c r="L886" t="inlineStr">
        <is>
          <t>Hộp lò xo cơ cấu đóng sập (1 bộ)</t>
        </is>
      </c>
    </row>
    <row r="887">
      <c r="A887" t="inlineStr">
        <is>
          <t>SW-DAMPER-174-SILICON-BOLT</t>
        </is>
      </c>
      <c r="B887" t="inlineStr">
        <is>
          <t>SW-DAMPER-174</t>
        </is>
      </c>
      <c r="C887" t="inlineStr">
        <is>
          <t>Silicon chống cháy + bu lông, ốc vít van FD/MFD</t>
        </is>
      </c>
      <c r="D887" t="inlineStr">
        <is>
          <t>PHỤ_KIỆN_VAN</t>
        </is>
      </c>
      <c r="E887" t="inlineStr">
        <is>
          <t>MAT-DAMPER-SILICON-BULONG-VIT</t>
        </is>
      </c>
      <c r="F887" t="inlineStr">
        <is>
          <t>Bộ</t>
        </is>
      </c>
      <c r="G887" s="406" t="n">
        <v>1</v>
      </c>
      <c r="H887" s="402">
        <f>IFERROR(INDEX('00_TONG_HOP_BAO_GIA'!$G$1:$G$5000, MATCH(B887, '00_TONG_HOP_BAO_GIA'!$B$1:$B$5000, 0)), 1)</f>
        <v/>
      </c>
      <c r="I887" s="407">
        <f>G887*H887</f>
        <v/>
      </c>
      <c r="J887" s="402">
        <f>IFERROR(INDEX('06_BANG_GIA_VAT_TU_AP_DUNG'!$E$1:$E$5000, MATCH(E887, '06_BANG_GIA_VAT_TU_AP_DUNG'!$B$1:$B$5000, 0)), 0)</f>
        <v/>
      </c>
      <c r="K887" s="402">
        <f>I887*J887</f>
        <v/>
      </c>
      <c r="L887" t="inlineStr">
        <is>
          <t>Keo silicon chống cháy &amp; phụ kiện lắp ghép (1 bộ)</t>
        </is>
      </c>
    </row>
    <row r="888">
      <c r="A888" t="inlineStr">
        <is>
          <t>SW-DAMPER-175-BODY</t>
        </is>
      </c>
      <c r="B888" t="inlineStr">
        <is>
          <t>SW-DAMPER-175</t>
        </is>
      </c>
      <c r="C888" t="inlineStr">
        <is>
          <t>Thân vỏ van FD bích C30/TDF (1.15mm)</t>
        </is>
      </c>
      <c r="D888" t="inlineStr">
        <is>
          <t>TÔN_CUỘN_MẠ_KẼM</t>
        </is>
      </c>
      <c r="E888" t="inlineStr">
        <is>
          <t>MAT-STEEL-PN-1.15</t>
        </is>
      </c>
      <c r="F888" t="inlineStr">
        <is>
          <t>kg</t>
        </is>
      </c>
      <c r="G888" s="406" t="n">
        <v>6.7565421</v>
      </c>
      <c r="H888" s="402">
        <f>IFERROR(INDEX('00_TONG_HOP_BAO_GIA'!$G$1:$G$5000, MATCH(B888, '00_TONG_HOP_BAO_GIA'!$B$1:$B$5000, 0)), 1)</f>
        <v/>
      </c>
      <c r="I888" s="407">
        <f>G888*H888</f>
        <v/>
      </c>
      <c r="J888" s="402">
        <f>IFERROR(INDEX('06_BANG_GIA_VAT_TU_AP_DUNG'!$E$1:$E$5000, MATCH(E888, '06_BANG_GIA_VAT_TU_AP_DUNG'!$B$1:$B$5000, 0)), 0)</f>
        <v/>
      </c>
      <c r="K888" s="402">
        <f>I888*J888</f>
        <v/>
      </c>
      <c r="L888" t="inlineStr">
        <is>
          <t>Kích thước vỏ 1000x300x200mm</t>
        </is>
      </c>
    </row>
    <row r="889">
      <c r="A889" t="inlineStr">
        <is>
          <t>SW-DAMPER-175-BLADE</t>
        </is>
      </c>
      <c r="B889" t="inlineStr">
        <is>
          <t>SW-DAMPER-175</t>
        </is>
      </c>
      <c r="C889" t="inlineStr">
        <is>
          <t>Lá cánh / Tôn tấm bọc van (2 cánh)</t>
        </is>
      </c>
      <c r="D889" t="inlineStr">
        <is>
          <t>TÔN_CUỘN_MẠ_KẼM</t>
        </is>
      </c>
      <c r="E889" t="inlineStr">
        <is>
          <t>MAT-STEEL-PN-1.15</t>
        </is>
      </c>
      <c r="F889" t="inlineStr">
        <is>
          <t>kg</t>
        </is>
      </c>
      <c r="G889" s="406" t="n">
        <v>5.416499999999998</v>
      </c>
      <c r="H889" s="402">
        <f>IFERROR(INDEX('00_TONG_HOP_BAO_GIA'!$G$1:$G$5000, MATCH(B889, '00_TONG_HOP_BAO_GIA'!$B$1:$B$5000, 0)), 1)</f>
        <v/>
      </c>
      <c r="I889" s="407">
        <f>G889*H889</f>
        <v/>
      </c>
      <c r="J889" s="402">
        <f>IFERROR(INDEX('06_BANG_GIA_VAT_TU_AP_DUNG'!$E$1:$E$5000, MATCH(E889, '06_BANG_GIA_VAT_TU_AP_DUNG'!$B$1:$B$5000, 0)), 0)</f>
        <v/>
      </c>
      <c r="K889" s="402">
        <f>I889*J889</f>
        <v/>
      </c>
      <c r="L889" t="inlineStr">
        <is>
          <t>Tôn bọc cánh &amp; thân (2 cánh/modul)</t>
        </is>
      </c>
    </row>
    <row r="890">
      <c r="A890" t="inlineStr">
        <is>
          <t>SW-DAMPER-175-AXLE</t>
        </is>
      </c>
      <c r="B890" t="inlineStr">
        <is>
          <t>SW-DAMPER-175</t>
        </is>
      </c>
      <c r="C890" t="inlineStr">
        <is>
          <t>Trục Sus 201 D10</t>
        </is>
      </c>
      <c r="D890" t="inlineStr">
        <is>
          <t>PHỤ_KIỆN_VAN</t>
        </is>
      </c>
      <c r="E890" t="inlineStr">
        <is>
          <t>MAT-DAMPER-TRUC-SUS-201-D10</t>
        </is>
      </c>
      <c r="F890" t="inlineStr">
        <is>
          <t>m</t>
        </is>
      </c>
      <c r="G890" s="406" t="n">
        <v>2.12</v>
      </c>
      <c r="H890" s="402">
        <f>IFERROR(INDEX('00_TONG_HOP_BAO_GIA'!$G$1:$G$5000, MATCH(B890, '00_TONG_HOP_BAO_GIA'!$B$1:$B$5000, 0)), 1)</f>
        <v/>
      </c>
      <c r="I890" s="407">
        <f>G890*H890</f>
        <v/>
      </c>
      <c r="J890" s="402">
        <f>IFERROR(INDEX('06_BANG_GIA_VAT_TU_AP_DUNG'!$E$1:$E$5000, MATCH(E890, '06_BANG_GIA_VAT_TU_AP_DUNG'!$B$1:$B$5000, 0)), 0)</f>
        <v/>
      </c>
      <c r="K890" s="402">
        <f>I890*J890</f>
        <v/>
      </c>
      <c r="L890" t="inlineStr">
        <is>
          <t>2 trục dài 1060mm</t>
        </is>
      </c>
    </row>
    <row r="891">
      <c r="A891" t="inlineStr">
        <is>
          <t>SW-DAMPER-175-BEARING</t>
        </is>
      </c>
      <c r="B891" t="inlineStr">
        <is>
          <t>SW-DAMPER-175</t>
        </is>
      </c>
      <c r="C891" t="inlineStr">
        <is>
          <t>Bạc đồng D10</t>
        </is>
      </c>
      <c r="D891" t="inlineStr">
        <is>
          <t>PHỤ_KIỆN_VAN</t>
        </is>
      </c>
      <c r="E891" t="inlineStr">
        <is>
          <t>MAT-DAMPER-BAC-DONG-D10</t>
        </is>
      </c>
      <c r="F891" t="inlineStr">
        <is>
          <t>Đôi</t>
        </is>
      </c>
      <c r="G891" s="406" t="n">
        <v>2</v>
      </c>
      <c r="H891" s="402">
        <f>IFERROR(INDEX('00_TONG_HOP_BAO_GIA'!$G$1:$G$5000, MATCH(B891, '00_TONG_HOP_BAO_GIA'!$B$1:$B$5000, 0)), 1)</f>
        <v/>
      </c>
      <c r="I891" s="407">
        <f>G891*H891</f>
        <v/>
      </c>
      <c r="J891" s="402">
        <f>IFERROR(INDEX('06_BANG_GIA_VAT_TU_AP_DUNG'!$E$1:$E$5000, MATCH(E891, '06_BANG_GIA_VAT_TU_AP_DUNG'!$B$1:$B$5000, 0)), 0)</f>
        <v/>
      </c>
      <c r="K891" s="402">
        <f>I891*J891</f>
        <v/>
      </c>
      <c r="L891" t="inlineStr">
        <is>
          <t>2 đôi bạc đỡ 2 bên thân</t>
        </is>
      </c>
    </row>
    <row r="892">
      <c r="A892" t="inlineStr">
        <is>
          <t>SW-DAMPER-175-GEAR</t>
        </is>
      </c>
      <c r="B892" t="inlineStr">
        <is>
          <t>SW-DAMPER-175</t>
        </is>
      </c>
      <c r="C892" t="inlineStr">
        <is>
          <t>Bánh răng van nhôm</t>
        </is>
      </c>
      <c r="D892" t="inlineStr">
        <is>
          <t>PHỤ_KIỆN_VAN</t>
        </is>
      </c>
      <c r="E892" t="inlineStr">
        <is>
          <t>MAT-DAMPER-BANH-RANG-VAN-NHOM</t>
        </is>
      </c>
      <c r="F892" t="inlineStr">
        <is>
          <t>Bộ</t>
        </is>
      </c>
      <c r="G892" s="406" t="n">
        <v>1</v>
      </c>
      <c r="H892" s="402">
        <f>IFERROR(INDEX('00_TONG_HOP_BAO_GIA'!$G$1:$G$5000, MATCH(B892, '00_TONG_HOP_BAO_GIA'!$B$1:$B$5000, 0)), 1)</f>
        <v/>
      </c>
      <c r="I892" s="407">
        <f>G892*H892</f>
        <v/>
      </c>
      <c r="J892" s="402">
        <f>IFERROR(INDEX('06_BANG_GIA_VAT_TU_AP_DUNG'!$E$1:$E$5000, MATCH(E892, '06_BANG_GIA_VAT_TU_AP_DUNG'!$B$1:$B$5000, 0)), 0)</f>
        <v/>
      </c>
      <c r="K892" s="402">
        <f>I892*J892</f>
        <v/>
      </c>
      <c r="L892" t="inlineStr">
        <is>
          <t>Cơ cấu liên động cánh (1 bộ)</t>
        </is>
      </c>
    </row>
    <row r="893">
      <c r="A893" t="inlineStr">
        <is>
          <t>SW-DAMPER-175-FUSE</t>
        </is>
      </c>
      <c r="B893" t="inlineStr">
        <is>
          <t>SW-DAMPER-175</t>
        </is>
      </c>
      <c r="C893" t="inlineStr">
        <is>
          <t>Cầu chì nhiệt nóng chảy 70°C/74°C (Elsie/USA)</t>
        </is>
      </c>
      <c r="D893" t="inlineStr">
        <is>
          <t>PHỤ_KIỆN_VAN</t>
        </is>
      </c>
      <c r="E893" t="inlineStr">
        <is>
          <t>MAT-DAMPER-CAU-CHI-USA-2-400X400</t>
        </is>
      </c>
      <c r="F893" t="inlineStr">
        <is>
          <t>Cái</t>
        </is>
      </c>
      <c r="G893" s="406" t="n">
        <v>1</v>
      </c>
      <c r="H893" s="402">
        <f>IFERROR(INDEX('00_TONG_HOP_BAO_GIA'!$G$1:$G$5000, MATCH(B893, '00_TONG_HOP_BAO_GIA'!$B$1:$B$5000, 0)), 1)</f>
        <v/>
      </c>
      <c r="I893" s="407">
        <f>G893*H893</f>
        <v/>
      </c>
      <c r="J893" s="402">
        <f>IFERROR(INDEX('06_BANG_GIA_VAT_TU_AP_DUNG'!$E$1:$E$5000, MATCH(E893, '06_BANG_GIA_VAT_TU_AP_DUNG'!$B$1:$B$5000, 0)), 0)</f>
        <v/>
      </c>
      <c r="K893" s="402">
        <f>I893*J893</f>
        <v/>
      </c>
      <c r="L893" t="inlineStr">
        <is>
          <t>Cầu chì kiểm định PCCC (1 cái)</t>
        </is>
      </c>
    </row>
    <row r="894">
      <c r="A894" t="inlineStr">
        <is>
          <t>SW-DAMPER-175-FB10-BODY</t>
        </is>
      </c>
      <c r="B894" t="inlineStr">
        <is>
          <t>SW-DAMPER-175</t>
        </is>
      </c>
      <c r="C894" t="inlineStr">
        <is>
          <t>Tấm chống cháy dày 10mm bọc thân van FD/MFD (2 lớp)</t>
        </is>
      </c>
      <c r="D894" t="inlineStr">
        <is>
          <t>VẬT_LIỆU_CÁCH_NHIỆT</t>
        </is>
      </c>
      <c r="E894" t="inlineStr">
        <is>
          <t>MAT-FIREBOARD-10MM-BODY</t>
        </is>
      </c>
      <c r="F894" t="inlineStr">
        <is>
          <t>m2</t>
        </is>
      </c>
      <c r="G894" s="406" t="n">
        <v>1.56</v>
      </c>
      <c r="H894" s="402">
        <f>IFERROR(INDEX('00_TONG_HOP_BAO_GIA'!$G$1:$G$5000, MATCH(B894, '00_TONG_HOP_BAO_GIA'!$B$1:$B$5000, 0)), 1)</f>
        <v/>
      </c>
      <c r="I894" s="407">
        <f>G894*H894</f>
        <v/>
      </c>
      <c r="J894" s="402">
        <f>IFERROR(INDEX('06_BANG_GIA_VAT_TU_AP_DUNG'!$E$1:$E$5000, MATCH(E894, '06_BANG_GIA_VAT_TU_AP_DUNG'!$B$1:$B$5000, 0)), 0)</f>
        <v/>
      </c>
      <c r="K894" s="402">
        <f>I894*J894</f>
        <v/>
      </c>
      <c r="L894" t="inlineStr">
        <is>
          <t>Bọc 2 lớp tấm 10mm quanh thân L=300mm</t>
        </is>
      </c>
    </row>
    <row r="895">
      <c r="A895" t="inlineStr">
        <is>
          <t>SW-DAMPER-175-FB20-BLADE</t>
        </is>
      </c>
      <c r="B895" t="inlineStr">
        <is>
          <t>SW-DAMPER-175</t>
        </is>
      </c>
      <c r="C895" t="inlineStr">
        <is>
          <t>Tấm chống cháy dày 20mm làm lõi cánh van FD/MFD</t>
        </is>
      </c>
      <c r="D895" t="inlineStr">
        <is>
          <t>VẬT_LIỆU_CÁCH_NHIỆT</t>
        </is>
      </c>
      <c r="E895" t="inlineStr">
        <is>
          <t>MAT-FIREBOARD-20MM-BLADE</t>
        </is>
      </c>
      <c r="F895" t="inlineStr">
        <is>
          <t>m2</t>
        </is>
      </c>
      <c r="G895" s="406" t="n">
        <v>0.4482020134228188</v>
      </c>
      <c r="H895" s="402">
        <f>IFERROR(INDEX('00_TONG_HOP_BAO_GIA'!$G$1:$G$5000, MATCH(B895, '00_TONG_HOP_BAO_GIA'!$B$1:$B$5000, 0)), 1)</f>
        <v/>
      </c>
      <c r="I895" s="407">
        <f>G895*H895</f>
        <v/>
      </c>
      <c r="J895" s="402">
        <f>IFERROR(INDEX('06_BANG_GIA_VAT_TU_AP_DUNG'!$E$1:$E$5000, MATCH(E895, '06_BANG_GIA_VAT_TU_AP_DUNG'!$B$1:$B$5000, 0)), 0)</f>
        <v/>
      </c>
      <c r="K895" s="402">
        <f>I895*J895</f>
        <v/>
      </c>
      <c r="L895" t="inlineStr">
        <is>
          <t>Lõi cánh tấm 20mm (Đa cánh hệ số (H-5)/149=1.98, bản rộng 210mm, hao hụt 10%)</t>
        </is>
      </c>
    </row>
    <row r="896">
      <c r="A896" t="inlineStr">
        <is>
          <t>SW-DAMPER-175-FB10-BLADE</t>
        </is>
      </c>
      <c r="B896" t="inlineStr">
        <is>
          <t>SW-DAMPER-175</t>
        </is>
      </c>
      <c r="C896" t="inlineStr">
        <is>
          <t>Tấm chống cháy dày 10mm ốp 2 mặt cánh van FD/MFD</t>
        </is>
      </c>
      <c r="D896" t="inlineStr">
        <is>
          <t>VẬT_LIỆU_CÁCH_NHIỆT</t>
        </is>
      </c>
      <c r="E896" t="inlineStr">
        <is>
          <t>MAT-FIREBOARD-10MM-BLADE</t>
        </is>
      </c>
      <c r="F896" t="inlineStr">
        <is>
          <t>m2</t>
        </is>
      </c>
      <c r="G896" s="406" t="n">
        <v>0.9146979865771812</v>
      </c>
      <c r="H896" s="402">
        <f>IFERROR(INDEX('00_TONG_HOP_BAO_GIA'!$G$1:$G$5000, MATCH(B896, '00_TONG_HOP_BAO_GIA'!$B$1:$B$5000, 0)), 1)</f>
        <v/>
      </c>
      <c r="I896" s="407">
        <f>G896*H896</f>
        <v/>
      </c>
      <c r="J896" s="402">
        <f>IFERROR(INDEX('06_BANG_GIA_VAT_TU_AP_DUNG'!$E$1:$E$5000, MATCH(E896, '06_BANG_GIA_VAT_TU_AP_DUNG'!$B$1:$B$5000, 0)), 0)</f>
        <v/>
      </c>
      <c r="K896" s="402">
        <f>I896*J896</f>
        <v/>
      </c>
      <c r="L896" t="inlineStr">
        <is>
          <t>Ốp 2 mặt cánh tấm 10mm (Đa cánh hệ số (H-5)/149=1.98, bản rộng 210mm, hao hụt 10%)</t>
        </is>
      </c>
    </row>
    <row r="897">
      <c r="A897" t="inlineStr">
        <is>
          <t>SW-DAMPER-175-SPRING-BOX</t>
        </is>
      </c>
      <c r="B897" t="inlineStr">
        <is>
          <t>SW-DAMPER-175</t>
        </is>
      </c>
      <c r="C897" t="inlineStr">
        <is>
          <t>Hộp lò xo van chặn lửa FD/MFD</t>
        </is>
      </c>
      <c r="D897" t="inlineStr">
        <is>
          <t>PHỤ_KIỆN_VAN</t>
        </is>
      </c>
      <c r="E897" t="inlineStr">
        <is>
          <t>MAT-DAMPER-HOP-LO-XO</t>
        </is>
      </c>
      <c r="F897" t="inlineStr">
        <is>
          <t>Bộ</t>
        </is>
      </c>
      <c r="G897" s="406" t="n">
        <v>1</v>
      </c>
      <c r="H897" s="402">
        <f>IFERROR(INDEX('00_TONG_HOP_BAO_GIA'!$G$1:$G$5000, MATCH(B897, '00_TONG_HOP_BAO_GIA'!$B$1:$B$5000, 0)), 1)</f>
        <v/>
      </c>
      <c r="I897" s="407">
        <f>G897*H897</f>
        <v/>
      </c>
      <c r="J897" s="402">
        <f>IFERROR(INDEX('06_BANG_GIA_VAT_TU_AP_DUNG'!$E$1:$E$5000, MATCH(E897, '06_BANG_GIA_VAT_TU_AP_DUNG'!$B$1:$B$5000, 0)), 0)</f>
        <v/>
      </c>
      <c r="K897" s="402">
        <f>I897*J897</f>
        <v/>
      </c>
      <c r="L897" t="inlineStr">
        <is>
          <t>Hộp lò xo cơ cấu đóng sập (1 bộ)</t>
        </is>
      </c>
    </row>
    <row r="898">
      <c r="A898" t="inlineStr">
        <is>
          <t>SW-DAMPER-175-SILICON-BOLT</t>
        </is>
      </c>
      <c r="B898" t="inlineStr">
        <is>
          <t>SW-DAMPER-175</t>
        </is>
      </c>
      <c r="C898" t="inlineStr">
        <is>
          <t>Silicon chống cháy + bu lông, ốc vít van FD/MFD</t>
        </is>
      </c>
      <c r="D898" t="inlineStr">
        <is>
          <t>PHỤ_KIỆN_VAN</t>
        </is>
      </c>
      <c r="E898" t="inlineStr">
        <is>
          <t>MAT-DAMPER-SILICON-BULONG-VIT</t>
        </is>
      </c>
      <c r="F898" t="inlineStr">
        <is>
          <t>Bộ</t>
        </is>
      </c>
      <c r="G898" s="406" t="n">
        <v>1</v>
      </c>
      <c r="H898" s="402">
        <f>IFERROR(INDEX('00_TONG_HOP_BAO_GIA'!$G$1:$G$5000, MATCH(B898, '00_TONG_HOP_BAO_GIA'!$B$1:$B$5000, 0)), 1)</f>
        <v/>
      </c>
      <c r="I898" s="407">
        <f>G898*H898</f>
        <v/>
      </c>
      <c r="J898" s="402">
        <f>IFERROR(INDEX('06_BANG_GIA_VAT_TU_AP_DUNG'!$E$1:$E$5000, MATCH(E898, '06_BANG_GIA_VAT_TU_AP_DUNG'!$B$1:$B$5000, 0)), 0)</f>
        <v/>
      </c>
      <c r="K898" s="402">
        <f>I898*J898</f>
        <v/>
      </c>
      <c r="L898" t="inlineStr">
        <is>
          <t>Keo silicon chống cháy &amp; phụ kiện lắp ghép (1 bộ)</t>
        </is>
      </c>
    </row>
    <row r="899">
      <c r="A899" t="inlineStr">
        <is>
          <t>SW-DAMPER-176-BODY</t>
        </is>
      </c>
      <c r="B899" t="inlineStr">
        <is>
          <t>SW-DAMPER-176</t>
        </is>
      </c>
      <c r="C899" t="inlineStr">
        <is>
          <t>Thân vỏ van FD bích C30/TDF (1.15mm)</t>
        </is>
      </c>
      <c r="D899" t="inlineStr">
        <is>
          <t>TÔN_CUỘN_MẠ_KẼM</t>
        </is>
      </c>
      <c r="E899" t="inlineStr">
        <is>
          <t>MAT-STEEL-PN-1.15</t>
        </is>
      </c>
      <c r="F899" t="inlineStr">
        <is>
          <t>kg</t>
        </is>
      </c>
      <c r="G899" s="406" t="n">
        <v>4.7091051</v>
      </c>
      <c r="H899" s="402">
        <f>IFERROR(INDEX('00_TONG_HOP_BAO_GIA'!$G$1:$G$5000, MATCH(B899, '00_TONG_HOP_BAO_GIA'!$B$1:$B$5000, 0)), 1)</f>
        <v/>
      </c>
      <c r="I899" s="407">
        <f>G899*H899</f>
        <v/>
      </c>
      <c r="J899" s="402">
        <f>IFERROR(INDEX('06_BANG_GIA_VAT_TU_AP_DUNG'!$E$1:$E$5000, MATCH(E899, '06_BANG_GIA_VAT_TU_AP_DUNG'!$B$1:$B$5000, 0)), 0)</f>
        <v/>
      </c>
      <c r="K899" s="402">
        <f>I899*J899</f>
        <v/>
      </c>
      <c r="L899" t="inlineStr">
        <is>
          <t>Kích thước vỏ 600x300x200mm</t>
        </is>
      </c>
    </row>
    <row r="900">
      <c r="A900" t="inlineStr">
        <is>
          <t>SW-DAMPER-176-BLADE</t>
        </is>
      </c>
      <c r="B900" t="inlineStr">
        <is>
          <t>SW-DAMPER-176</t>
        </is>
      </c>
      <c r="C900" t="inlineStr">
        <is>
          <t>Lá cánh / Tôn tấm bọc van (2 cánh)</t>
        </is>
      </c>
      <c r="D900" t="inlineStr">
        <is>
          <t>TÔN_CUỘN_MẠ_KẼM</t>
        </is>
      </c>
      <c r="E900" t="inlineStr">
        <is>
          <t>MAT-STEEL-PN-1.15</t>
        </is>
      </c>
      <c r="F900" t="inlineStr">
        <is>
          <t>kg</t>
        </is>
      </c>
      <c r="G900" s="406" t="n">
        <v>3.249899999999999</v>
      </c>
      <c r="H900" s="402">
        <f>IFERROR(INDEX('00_TONG_HOP_BAO_GIA'!$G$1:$G$5000, MATCH(B900, '00_TONG_HOP_BAO_GIA'!$B$1:$B$5000, 0)), 1)</f>
        <v/>
      </c>
      <c r="I900" s="407">
        <f>G900*H900</f>
        <v/>
      </c>
      <c r="J900" s="402">
        <f>IFERROR(INDEX('06_BANG_GIA_VAT_TU_AP_DUNG'!$E$1:$E$5000, MATCH(E900, '06_BANG_GIA_VAT_TU_AP_DUNG'!$B$1:$B$5000, 0)), 0)</f>
        <v/>
      </c>
      <c r="K900" s="402">
        <f>I900*J900</f>
        <v/>
      </c>
      <c r="L900" t="inlineStr">
        <is>
          <t>Tôn bọc cánh &amp; thân (2 cánh/modul)</t>
        </is>
      </c>
    </row>
    <row r="901">
      <c r="A901" t="inlineStr">
        <is>
          <t>SW-DAMPER-176-AXLE</t>
        </is>
      </c>
      <c r="B901" t="inlineStr">
        <is>
          <t>SW-DAMPER-176</t>
        </is>
      </c>
      <c r="C901" t="inlineStr">
        <is>
          <t>Trục Sus 201 D10</t>
        </is>
      </c>
      <c r="D901" t="inlineStr">
        <is>
          <t>PHỤ_KIỆN_VAN</t>
        </is>
      </c>
      <c r="E901" t="inlineStr">
        <is>
          <t>MAT-DAMPER-TRUC-SUS-201-D10</t>
        </is>
      </c>
      <c r="F901" t="inlineStr">
        <is>
          <t>m</t>
        </is>
      </c>
      <c r="G901" s="406" t="n">
        <v>1.32</v>
      </c>
      <c r="H901" s="402">
        <f>IFERROR(INDEX('00_TONG_HOP_BAO_GIA'!$G$1:$G$5000, MATCH(B901, '00_TONG_HOP_BAO_GIA'!$B$1:$B$5000, 0)), 1)</f>
        <v/>
      </c>
      <c r="I901" s="407">
        <f>G901*H901</f>
        <v/>
      </c>
      <c r="J901" s="402">
        <f>IFERROR(INDEX('06_BANG_GIA_VAT_TU_AP_DUNG'!$E$1:$E$5000, MATCH(E901, '06_BANG_GIA_VAT_TU_AP_DUNG'!$B$1:$B$5000, 0)), 0)</f>
        <v/>
      </c>
      <c r="K901" s="402">
        <f>I901*J901</f>
        <v/>
      </c>
      <c r="L901" t="inlineStr">
        <is>
          <t>2 trục dài 660mm</t>
        </is>
      </c>
    </row>
    <row r="902">
      <c r="A902" t="inlineStr">
        <is>
          <t>SW-DAMPER-176-BEARING</t>
        </is>
      </c>
      <c r="B902" t="inlineStr">
        <is>
          <t>SW-DAMPER-176</t>
        </is>
      </c>
      <c r="C902" t="inlineStr">
        <is>
          <t>Bạc đồng D10</t>
        </is>
      </c>
      <c r="D902" t="inlineStr">
        <is>
          <t>PHỤ_KIỆN_VAN</t>
        </is>
      </c>
      <c r="E902" t="inlineStr">
        <is>
          <t>MAT-DAMPER-BAC-DONG-D10</t>
        </is>
      </c>
      <c r="F902" t="inlineStr">
        <is>
          <t>Đôi</t>
        </is>
      </c>
      <c r="G902" s="406" t="n">
        <v>2</v>
      </c>
      <c r="H902" s="402">
        <f>IFERROR(INDEX('00_TONG_HOP_BAO_GIA'!$G$1:$G$5000, MATCH(B902, '00_TONG_HOP_BAO_GIA'!$B$1:$B$5000, 0)), 1)</f>
        <v/>
      </c>
      <c r="I902" s="407">
        <f>G902*H902</f>
        <v/>
      </c>
      <c r="J902" s="402">
        <f>IFERROR(INDEX('06_BANG_GIA_VAT_TU_AP_DUNG'!$E$1:$E$5000, MATCH(E902, '06_BANG_GIA_VAT_TU_AP_DUNG'!$B$1:$B$5000, 0)), 0)</f>
        <v/>
      </c>
      <c r="K902" s="402">
        <f>I902*J902</f>
        <v/>
      </c>
      <c r="L902" t="inlineStr">
        <is>
          <t>2 đôi bạc đỡ 2 bên thân</t>
        </is>
      </c>
    </row>
    <row r="903">
      <c r="A903" t="inlineStr">
        <is>
          <t>SW-DAMPER-176-GEAR</t>
        </is>
      </c>
      <c r="B903" t="inlineStr">
        <is>
          <t>SW-DAMPER-176</t>
        </is>
      </c>
      <c r="C903" t="inlineStr">
        <is>
          <t>Bánh răng van nhôm</t>
        </is>
      </c>
      <c r="D903" t="inlineStr">
        <is>
          <t>PHỤ_KIỆN_VAN</t>
        </is>
      </c>
      <c r="E903" t="inlineStr">
        <is>
          <t>MAT-DAMPER-BANH-RANG-VAN-NHOM</t>
        </is>
      </c>
      <c r="F903" t="inlineStr">
        <is>
          <t>Bộ</t>
        </is>
      </c>
      <c r="G903" s="406" t="n">
        <v>1</v>
      </c>
      <c r="H903" s="402">
        <f>IFERROR(INDEX('00_TONG_HOP_BAO_GIA'!$G$1:$G$5000, MATCH(B903, '00_TONG_HOP_BAO_GIA'!$B$1:$B$5000, 0)), 1)</f>
        <v/>
      </c>
      <c r="I903" s="407">
        <f>G903*H903</f>
        <v/>
      </c>
      <c r="J903" s="402">
        <f>IFERROR(INDEX('06_BANG_GIA_VAT_TU_AP_DUNG'!$E$1:$E$5000, MATCH(E903, '06_BANG_GIA_VAT_TU_AP_DUNG'!$B$1:$B$5000, 0)), 0)</f>
        <v/>
      </c>
      <c r="K903" s="402">
        <f>I903*J903</f>
        <v/>
      </c>
      <c r="L903" t="inlineStr">
        <is>
          <t>Cơ cấu liên động cánh (1 bộ)</t>
        </is>
      </c>
    </row>
    <row r="904">
      <c r="A904" t="inlineStr">
        <is>
          <t>SW-DAMPER-176-FUSE</t>
        </is>
      </c>
      <c r="B904" t="inlineStr">
        <is>
          <t>SW-DAMPER-176</t>
        </is>
      </c>
      <c r="C904" t="inlineStr">
        <is>
          <t>Cầu chì nhiệt nóng chảy 70°C/74°C (Elsie/USA)</t>
        </is>
      </c>
      <c r="D904" t="inlineStr">
        <is>
          <t>PHỤ_KIỆN_VAN</t>
        </is>
      </c>
      <c r="E904" t="inlineStr">
        <is>
          <t>MAT-DAMPER-CAU-CHI-USA-2-400X400</t>
        </is>
      </c>
      <c r="F904" t="inlineStr">
        <is>
          <t>Cái</t>
        </is>
      </c>
      <c r="G904" s="406" t="n">
        <v>1</v>
      </c>
      <c r="H904" s="402">
        <f>IFERROR(INDEX('00_TONG_HOP_BAO_GIA'!$G$1:$G$5000, MATCH(B904, '00_TONG_HOP_BAO_GIA'!$B$1:$B$5000, 0)), 1)</f>
        <v/>
      </c>
      <c r="I904" s="407">
        <f>G904*H904</f>
        <v/>
      </c>
      <c r="J904" s="402">
        <f>IFERROR(INDEX('06_BANG_GIA_VAT_TU_AP_DUNG'!$E$1:$E$5000, MATCH(E904, '06_BANG_GIA_VAT_TU_AP_DUNG'!$B$1:$B$5000, 0)), 0)</f>
        <v/>
      </c>
      <c r="K904" s="402">
        <f>I904*J904</f>
        <v/>
      </c>
      <c r="L904" t="inlineStr">
        <is>
          <t>Cầu chì kiểm định PCCC (1 cái)</t>
        </is>
      </c>
    </row>
    <row r="905">
      <c r="A905" t="inlineStr">
        <is>
          <t>SW-DAMPER-176-FB10-BODY</t>
        </is>
      </c>
      <c r="B905" t="inlineStr">
        <is>
          <t>SW-DAMPER-176</t>
        </is>
      </c>
      <c r="C905" t="inlineStr">
        <is>
          <t>Tấm chống cháy dày 10mm bọc thân van FD/MFD (2 lớp)</t>
        </is>
      </c>
      <c r="D905" t="inlineStr">
        <is>
          <t>VẬT_LIỆU_CÁCH_NHIỆT</t>
        </is>
      </c>
      <c r="E905" t="inlineStr">
        <is>
          <t>MAT-FIREBOARD-10MM-BODY</t>
        </is>
      </c>
      <c r="F905" t="inlineStr">
        <is>
          <t>m2</t>
        </is>
      </c>
      <c r="G905" s="406" t="n">
        <v>1.08</v>
      </c>
      <c r="H905" s="402">
        <f>IFERROR(INDEX('00_TONG_HOP_BAO_GIA'!$G$1:$G$5000, MATCH(B905, '00_TONG_HOP_BAO_GIA'!$B$1:$B$5000, 0)), 1)</f>
        <v/>
      </c>
      <c r="I905" s="407">
        <f>G905*H905</f>
        <v/>
      </c>
      <c r="J905" s="402">
        <f>IFERROR(INDEX('06_BANG_GIA_VAT_TU_AP_DUNG'!$E$1:$E$5000, MATCH(E905, '06_BANG_GIA_VAT_TU_AP_DUNG'!$B$1:$B$5000, 0)), 0)</f>
        <v/>
      </c>
      <c r="K905" s="402">
        <f>I905*J905</f>
        <v/>
      </c>
      <c r="L905" t="inlineStr">
        <is>
          <t>Bọc 2 lớp tấm 10mm quanh thân L=300mm</t>
        </is>
      </c>
    </row>
    <row r="906">
      <c r="A906" t="inlineStr">
        <is>
          <t>SW-DAMPER-176-FB20-BLADE</t>
        </is>
      </c>
      <c r="B906" t="inlineStr">
        <is>
          <t>SW-DAMPER-176</t>
        </is>
      </c>
      <c r="C906" t="inlineStr">
        <is>
          <t>Tấm chống cháy dày 20mm làm lõi cánh van FD/MFD</t>
        </is>
      </c>
      <c r="D906" t="inlineStr">
        <is>
          <t>VẬT_LIỆU_CÁCH_NHIỆT</t>
        </is>
      </c>
      <c r="E906" t="inlineStr">
        <is>
          <t>MAT-FIREBOARD-20MM-BLADE</t>
        </is>
      </c>
      <c r="F906" t="inlineStr">
        <is>
          <t>m2</t>
        </is>
      </c>
      <c r="G906" s="406" t="n">
        <v>0.2652624161073825</v>
      </c>
      <c r="H906" s="402">
        <f>IFERROR(INDEX('00_TONG_HOP_BAO_GIA'!$G$1:$G$5000, MATCH(B906, '00_TONG_HOP_BAO_GIA'!$B$1:$B$5000, 0)), 1)</f>
        <v/>
      </c>
      <c r="I906" s="407">
        <f>G906*H906</f>
        <v/>
      </c>
      <c r="J906" s="402">
        <f>IFERROR(INDEX('06_BANG_GIA_VAT_TU_AP_DUNG'!$E$1:$E$5000, MATCH(E906, '06_BANG_GIA_VAT_TU_AP_DUNG'!$B$1:$B$5000, 0)), 0)</f>
        <v/>
      </c>
      <c r="K906" s="402">
        <f>I906*J906</f>
        <v/>
      </c>
      <c r="L906" t="inlineStr">
        <is>
          <t>Lõi cánh tấm 20mm (Đa cánh hệ số (H-5)/149=1.98, bản rộng 210mm, hao hụt 10%)</t>
        </is>
      </c>
    </row>
    <row r="907">
      <c r="A907" t="inlineStr">
        <is>
          <t>SW-DAMPER-176-FB10-BLADE</t>
        </is>
      </c>
      <c r="B907" t="inlineStr">
        <is>
          <t>SW-DAMPER-176</t>
        </is>
      </c>
      <c r="C907" t="inlineStr">
        <is>
          <t>Tấm chống cháy dày 10mm ốp 2 mặt cánh van FD/MFD</t>
        </is>
      </c>
      <c r="D907" t="inlineStr">
        <is>
          <t>VẬT_LIỆU_CÁCH_NHIỆT</t>
        </is>
      </c>
      <c r="E907" t="inlineStr">
        <is>
          <t>MAT-FIREBOARD-10MM-BLADE</t>
        </is>
      </c>
      <c r="F907" t="inlineStr">
        <is>
          <t>m2</t>
        </is>
      </c>
      <c r="G907" s="406" t="n">
        <v>0.5488187919463088</v>
      </c>
      <c r="H907" s="402">
        <f>IFERROR(INDEX('00_TONG_HOP_BAO_GIA'!$G$1:$G$5000, MATCH(B907, '00_TONG_HOP_BAO_GIA'!$B$1:$B$5000, 0)), 1)</f>
        <v/>
      </c>
      <c r="I907" s="407">
        <f>G907*H907</f>
        <v/>
      </c>
      <c r="J907" s="402">
        <f>IFERROR(INDEX('06_BANG_GIA_VAT_TU_AP_DUNG'!$E$1:$E$5000, MATCH(E907, '06_BANG_GIA_VAT_TU_AP_DUNG'!$B$1:$B$5000, 0)), 0)</f>
        <v/>
      </c>
      <c r="K907" s="402">
        <f>I907*J907</f>
        <v/>
      </c>
      <c r="L907" t="inlineStr">
        <is>
          <t>Ốp 2 mặt cánh tấm 10mm (Đa cánh hệ số (H-5)/149=1.98, bản rộng 210mm, hao hụt 10%)</t>
        </is>
      </c>
    </row>
    <row r="908">
      <c r="A908" t="inlineStr">
        <is>
          <t>SW-DAMPER-176-SPRING-BOX</t>
        </is>
      </c>
      <c r="B908" t="inlineStr">
        <is>
          <t>SW-DAMPER-176</t>
        </is>
      </c>
      <c r="C908" t="inlineStr">
        <is>
          <t>Hộp lò xo van chặn lửa FD/MFD</t>
        </is>
      </c>
      <c r="D908" t="inlineStr">
        <is>
          <t>PHỤ_KIỆN_VAN</t>
        </is>
      </c>
      <c r="E908" t="inlineStr">
        <is>
          <t>MAT-DAMPER-HOP-LO-XO</t>
        </is>
      </c>
      <c r="F908" t="inlineStr">
        <is>
          <t>Bộ</t>
        </is>
      </c>
      <c r="G908" s="406" t="n">
        <v>1</v>
      </c>
      <c r="H908" s="402">
        <f>IFERROR(INDEX('00_TONG_HOP_BAO_GIA'!$G$1:$G$5000, MATCH(B908, '00_TONG_HOP_BAO_GIA'!$B$1:$B$5000, 0)), 1)</f>
        <v/>
      </c>
      <c r="I908" s="407">
        <f>G908*H908</f>
        <v/>
      </c>
      <c r="J908" s="402">
        <f>IFERROR(INDEX('06_BANG_GIA_VAT_TU_AP_DUNG'!$E$1:$E$5000, MATCH(E908, '06_BANG_GIA_VAT_TU_AP_DUNG'!$B$1:$B$5000, 0)), 0)</f>
        <v/>
      </c>
      <c r="K908" s="402">
        <f>I908*J908</f>
        <v/>
      </c>
      <c r="L908" t="inlineStr">
        <is>
          <t>Hộp lò xo cơ cấu đóng sập (1 bộ)</t>
        </is>
      </c>
    </row>
    <row r="909">
      <c r="A909" t="inlineStr">
        <is>
          <t>SW-DAMPER-176-SILICON-BOLT</t>
        </is>
      </c>
      <c r="B909" t="inlineStr">
        <is>
          <t>SW-DAMPER-176</t>
        </is>
      </c>
      <c r="C909" t="inlineStr">
        <is>
          <t>Silicon chống cháy + bu lông, ốc vít van FD/MFD</t>
        </is>
      </c>
      <c r="D909" t="inlineStr">
        <is>
          <t>PHỤ_KIỆN_VAN</t>
        </is>
      </c>
      <c r="E909" t="inlineStr">
        <is>
          <t>MAT-DAMPER-SILICON-BULONG-VIT</t>
        </is>
      </c>
      <c r="F909" t="inlineStr">
        <is>
          <t>Bộ</t>
        </is>
      </c>
      <c r="G909" s="406" t="n">
        <v>1</v>
      </c>
      <c r="H909" s="402">
        <f>IFERROR(INDEX('00_TONG_HOP_BAO_GIA'!$G$1:$G$5000, MATCH(B909, '00_TONG_HOP_BAO_GIA'!$B$1:$B$5000, 0)), 1)</f>
        <v/>
      </c>
      <c r="I909" s="407">
        <f>G909*H909</f>
        <v/>
      </c>
      <c r="J909" s="402">
        <f>IFERROR(INDEX('06_BANG_GIA_VAT_TU_AP_DUNG'!$E$1:$E$5000, MATCH(E909, '06_BANG_GIA_VAT_TU_AP_DUNG'!$B$1:$B$5000, 0)), 0)</f>
        <v/>
      </c>
      <c r="K909" s="402">
        <f>I909*J909</f>
        <v/>
      </c>
      <c r="L909" t="inlineStr">
        <is>
          <t>Keo silicon chống cháy &amp; phụ kiện lắp ghép (1 bộ)</t>
        </is>
      </c>
    </row>
    <row r="910">
      <c r="A910" t="inlineStr">
        <is>
          <t>SW-DAMPER-177-BODY</t>
        </is>
      </c>
      <c r="B910" t="inlineStr">
        <is>
          <t>SW-DAMPER-177</t>
        </is>
      </c>
      <c r="C910" t="inlineStr">
        <is>
          <t>Thân vỏ van FD bích C30/TDF (1.15mm)</t>
        </is>
      </c>
      <c r="D910" t="inlineStr">
        <is>
          <t>TÔN_CUỘN_MẠ_KẼM</t>
        </is>
      </c>
      <c r="E910" t="inlineStr">
        <is>
          <t>MAT-STEEL-PN-1.15</t>
        </is>
      </c>
      <c r="F910" t="inlineStr">
        <is>
          <t>kg</t>
        </is>
      </c>
      <c r="G910" s="406" t="n">
        <v>3.17352735</v>
      </c>
      <c r="H910" s="402">
        <f>IFERROR(INDEX('00_TONG_HOP_BAO_GIA'!$G$1:$G$5000, MATCH(B910, '00_TONG_HOP_BAO_GIA'!$B$1:$B$5000, 0)), 1)</f>
        <v/>
      </c>
      <c r="I910" s="407">
        <f>G910*H910</f>
        <v/>
      </c>
      <c r="J910" s="402">
        <f>IFERROR(INDEX('06_BANG_GIA_VAT_TU_AP_DUNG'!$E$1:$E$5000, MATCH(E910, '06_BANG_GIA_VAT_TU_AP_DUNG'!$B$1:$B$5000, 0)), 0)</f>
        <v/>
      </c>
      <c r="K910" s="402">
        <f>I910*J910</f>
        <v/>
      </c>
      <c r="L910" t="inlineStr">
        <is>
          <t>Kích thước vỏ 400x200x200mm</t>
        </is>
      </c>
    </row>
    <row r="911">
      <c r="A911" t="inlineStr">
        <is>
          <t>SW-DAMPER-177-BLADE</t>
        </is>
      </c>
      <c r="B911" t="inlineStr">
        <is>
          <t>SW-DAMPER-177</t>
        </is>
      </c>
      <c r="C911" t="inlineStr">
        <is>
          <t>Lá cánh / Tôn tấm bọc van (1 cánh)</t>
        </is>
      </c>
      <c r="D911" t="inlineStr">
        <is>
          <t>TÔN_CUỘN_MẠ_KẼM</t>
        </is>
      </c>
      <c r="E911" t="inlineStr">
        <is>
          <t>MAT-STEEL-PN-1.15</t>
        </is>
      </c>
      <c r="F911" t="inlineStr">
        <is>
          <t>kg</t>
        </is>
      </c>
      <c r="G911" s="406" t="n">
        <v>1.4444</v>
      </c>
      <c r="H911" s="402">
        <f>IFERROR(INDEX('00_TONG_HOP_BAO_GIA'!$G$1:$G$5000, MATCH(B911, '00_TONG_HOP_BAO_GIA'!$B$1:$B$5000, 0)), 1)</f>
        <v/>
      </c>
      <c r="I911" s="407">
        <f>G911*H911</f>
        <v/>
      </c>
      <c r="J911" s="402">
        <f>IFERROR(INDEX('06_BANG_GIA_VAT_TU_AP_DUNG'!$E$1:$E$5000, MATCH(E911, '06_BANG_GIA_VAT_TU_AP_DUNG'!$B$1:$B$5000, 0)), 0)</f>
        <v/>
      </c>
      <c r="K911" s="402">
        <f>I911*J911</f>
        <v/>
      </c>
      <c r="L911" t="inlineStr">
        <is>
          <t>Tôn bọc cánh &amp; thân (1 cánh/modul)</t>
        </is>
      </c>
    </row>
    <row r="912">
      <c r="A912" t="inlineStr">
        <is>
          <t>SW-DAMPER-177-AXLE</t>
        </is>
      </c>
      <c r="B912" t="inlineStr">
        <is>
          <t>SW-DAMPER-177</t>
        </is>
      </c>
      <c r="C912" t="inlineStr">
        <is>
          <t>Trục Sus 201 D10</t>
        </is>
      </c>
      <c r="D912" t="inlineStr">
        <is>
          <t>PHỤ_KIỆN_VAN</t>
        </is>
      </c>
      <c r="E912" t="inlineStr">
        <is>
          <t>MAT-DAMPER-TRUC-SUS-201-D10</t>
        </is>
      </c>
      <c r="F912" t="inlineStr">
        <is>
          <t>m</t>
        </is>
      </c>
      <c r="G912" s="406" t="n">
        <v>0.46</v>
      </c>
      <c r="H912" s="402">
        <f>IFERROR(INDEX('00_TONG_HOP_BAO_GIA'!$G$1:$G$5000, MATCH(B912, '00_TONG_HOP_BAO_GIA'!$B$1:$B$5000, 0)), 1)</f>
        <v/>
      </c>
      <c r="I912" s="407">
        <f>G912*H912</f>
        <v/>
      </c>
      <c r="J912" s="402">
        <f>IFERROR(INDEX('06_BANG_GIA_VAT_TU_AP_DUNG'!$E$1:$E$5000, MATCH(E912, '06_BANG_GIA_VAT_TU_AP_DUNG'!$B$1:$B$5000, 0)), 0)</f>
        <v/>
      </c>
      <c r="K912" s="402">
        <f>I912*J912</f>
        <v/>
      </c>
      <c r="L912" t="inlineStr">
        <is>
          <t>1 trục dài 460mm</t>
        </is>
      </c>
    </row>
    <row r="913">
      <c r="A913" t="inlineStr">
        <is>
          <t>SW-DAMPER-177-BEARING</t>
        </is>
      </c>
      <c r="B913" t="inlineStr">
        <is>
          <t>SW-DAMPER-177</t>
        </is>
      </c>
      <c r="C913" t="inlineStr">
        <is>
          <t>Bạc đồng D10</t>
        </is>
      </c>
      <c r="D913" t="inlineStr">
        <is>
          <t>PHỤ_KIỆN_VAN</t>
        </is>
      </c>
      <c r="E913" t="inlineStr">
        <is>
          <t>MAT-DAMPER-BAC-DONG-D10</t>
        </is>
      </c>
      <c r="F913" t="inlineStr">
        <is>
          <t>Đôi</t>
        </is>
      </c>
      <c r="G913" s="406" t="n">
        <v>1</v>
      </c>
      <c r="H913" s="402">
        <f>IFERROR(INDEX('00_TONG_HOP_BAO_GIA'!$G$1:$G$5000, MATCH(B913, '00_TONG_HOP_BAO_GIA'!$B$1:$B$5000, 0)), 1)</f>
        <v/>
      </c>
      <c r="I913" s="407">
        <f>G913*H913</f>
        <v/>
      </c>
      <c r="J913" s="402">
        <f>IFERROR(INDEX('06_BANG_GIA_VAT_TU_AP_DUNG'!$E$1:$E$5000, MATCH(E913, '06_BANG_GIA_VAT_TU_AP_DUNG'!$B$1:$B$5000, 0)), 0)</f>
        <v/>
      </c>
      <c r="K913" s="402">
        <f>I913*J913</f>
        <v/>
      </c>
      <c r="L913" t="inlineStr">
        <is>
          <t>1 đôi bạc đỡ 2 bên thân</t>
        </is>
      </c>
    </row>
    <row r="914">
      <c r="A914" t="inlineStr">
        <is>
          <t>SW-DAMPER-177-FUSE</t>
        </is>
      </c>
      <c r="B914" t="inlineStr">
        <is>
          <t>SW-DAMPER-177</t>
        </is>
      </c>
      <c r="C914" t="inlineStr">
        <is>
          <t>Cầu chì nhiệt nóng chảy 70°C/74°C (Elsie/USA)</t>
        </is>
      </c>
      <c r="D914" t="inlineStr">
        <is>
          <t>PHỤ_KIỆN_VAN</t>
        </is>
      </c>
      <c r="E914" t="inlineStr">
        <is>
          <t>MAT-DAMPER-CAU-CHI-USA-2-400X400</t>
        </is>
      </c>
      <c r="F914" t="inlineStr">
        <is>
          <t>Cái</t>
        </is>
      </c>
      <c r="G914" s="406" t="n">
        <v>1</v>
      </c>
      <c r="H914" s="402">
        <f>IFERROR(INDEX('00_TONG_HOP_BAO_GIA'!$G$1:$G$5000, MATCH(B914, '00_TONG_HOP_BAO_GIA'!$B$1:$B$5000, 0)), 1)</f>
        <v/>
      </c>
      <c r="I914" s="407">
        <f>G914*H914</f>
        <v/>
      </c>
      <c r="J914" s="402">
        <f>IFERROR(INDEX('06_BANG_GIA_VAT_TU_AP_DUNG'!$E$1:$E$5000, MATCH(E914, '06_BANG_GIA_VAT_TU_AP_DUNG'!$B$1:$B$5000, 0)), 0)</f>
        <v/>
      </c>
      <c r="K914" s="402">
        <f>I914*J914</f>
        <v/>
      </c>
      <c r="L914" t="inlineStr">
        <is>
          <t>Cầu chì kiểm định PCCC (1 cái)</t>
        </is>
      </c>
    </row>
    <row r="915">
      <c r="A915" t="inlineStr">
        <is>
          <t>SW-DAMPER-177-FB10-BODY</t>
        </is>
      </c>
      <c r="B915" t="inlineStr">
        <is>
          <t>SW-DAMPER-177</t>
        </is>
      </c>
      <c r="C915" t="inlineStr">
        <is>
          <t>Tấm chống cháy dày 10mm bọc thân van FD/MFD (2 lớp)</t>
        </is>
      </c>
      <c r="D915" t="inlineStr">
        <is>
          <t>VẬT_LIỆU_CÁCH_NHIỆT</t>
        </is>
      </c>
      <c r="E915" t="inlineStr">
        <is>
          <t>MAT-FIREBOARD-10MM-BODY</t>
        </is>
      </c>
      <c r="F915" t="inlineStr">
        <is>
          <t>m2</t>
        </is>
      </c>
      <c r="G915" s="406" t="n">
        <v>0.72</v>
      </c>
      <c r="H915" s="402">
        <f>IFERROR(INDEX('00_TONG_HOP_BAO_GIA'!$G$1:$G$5000, MATCH(B915, '00_TONG_HOP_BAO_GIA'!$B$1:$B$5000, 0)), 1)</f>
        <v/>
      </c>
      <c r="I915" s="407">
        <f>G915*H915</f>
        <v/>
      </c>
      <c r="J915" s="402">
        <f>IFERROR(INDEX('06_BANG_GIA_VAT_TU_AP_DUNG'!$E$1:$E$5000, MATCH(E915, '06_BANG_GIA_VAT_TU_AP_DUNG'!$B$1:$B$5000, 0)), 0)</f>
        <v/>
      </c>
      <c r="K915" s="402">
        <f>I915*J915</f>
        <v/>
      </c>
      <c r="L915" t="inlineStr">
        <is>
          <t>Bọc 2 lớp tấm 10mm quanh thân L=300mm</t>
        </is>
      </c>
    </row>
    <row r="916">
      <c r="A916" t="inlineStr">
        <is>
          <t>SW-DAMPER-177-FB20-BLADE</t>
        </is>
      </c>
      <c r="B916" t="inlineStr">
        <is>
          <t>SW-DAMPER-177</t>
        </is>
      </c>
      <c r="C916" t="inlineStr">
        <is>
          <t>Tấm chống cháy dày 20mm làm lõi cánh van FD/MFD</t>
        </is>
      </c>
      <c r="D916" t="inlineStr">
        <is>
          <t>VẬT_LIỆU_CÁCH_NHIỆT</t>
        </is>
      </c>
      <c r="E916" t="inlineStr">
        <is>
          <t>MAT-FIREBOARD-20MM-BLADE</t>
        </is>
      </c>
      <c r="F916" t="inlineStr">
        <is>
          <t>m2</t>
        </is>
      </c>
      <c r="G916" s="406" t="n">
        <v>0.08000000000000002</v>
      </c>
      <c r="H916" s="402">
        <f>IFERROR(INDEX('00_TONG_HOP_BAO_GIA'!$G$1:$G$5000, MATCH(B916, '00_TONG_HOP_BAO_GIA'!$B$1:$B$5000, 0)), 1)</f>
        <v/>
      </c>
      <c r="I916" s="407">
        <f>G916*H916</f>
        <v/>
      </c>
      <c r="J916" s="402">
        <f>IFERROR(INDEX('06_BANG_GIA_VAT_TU_AP_DUNG'!$E$1:$E$5000, MATCH(E916, '06_BANG_GIA_VAT_TU_AP_DUNG'!$B$1:$B$5000, 0)), 0)</f>
        <v/>
      </c>
      <c r="K916" s="402">
        <f>I916*J916</f>
        <v/>
      </c>
      <c r="L916" t="inlineStr">
        <is>
          <t>Lõi cánh tấm 20mm (Cánh đơn 400x200mm)</t>
        </is>
      </c>
    </row>
    <row r="917">
      <c r="A917" t="inlineStr">
        <is>
          <t>SW-DAMPER-177-FB10-BLADE</t>
        </is>
      </c>
      <c r="B917" t="inlineStr">
        <is>
          <t>SW-DAMPER-177</t>
        </is>
      </c>
      <c r="C917" t="inlineStr">
        <is>
          <t>Tấm chống cháy dày 10mm ốp 2 mặt cánh van FD/MFD</t>
        </is>
      </c>
      <c r="D917" t="inlineStr">
        <is>
          <t>VẬT_LIỆU_CÁCH_NHIỆT</t>
        </is>
      </c>
      <c r="E917" t="inlineStr">
        <is>
          <t>MAT-FIREBOARD-10MM-BLADE</t>
        </is>
      </c>
      <c r="F917" t="inlineStr">
        <is>
          <t>m2</t>
        </is>
      </c>
      <c r="G917" s="406" t="n">
        <v>0.16</v>
      </c>
      <c r="H917" s="402">
        <f>IFERROR(INDEX('00_TONG_HOP_BAO_GIA'!$G$1:$G$5000, MATCH(B917, '00_TONG_HOP_BAO_GIA'!$B$1:$B$5000, 0)), 1)</f>
        <v/>
      </c>
      <c r="I917" s="407">
        <f>G917*H917</f>
        <v/>
      </c>
      <c r="J917" s="402">
        <f>IFERROR(INDEX('06_BANG_GIA_VAT_TU_AP_DUNG'!$E$1:$E$5000, MATCH(E917, '06_BANG_GIA_VAT_TU_AP_DUNG'!$B$1:$B$5000, 0)), 0)</f>
        <v/>
      </c>
      <c r="K917" s="402">
        <f>I917*J917</f>
        <v/>
      </c>
      <c r="L917" t="inlineStr">
        <is>
          <t>Ốp 2 mặt cánh tấm 10mm (Cánh đơn 400x200mm)</t>
        </is>
      </c>
    </row>
    <row r="918">
      <c r="A918" t="inlineStr">
        <is>
          <t>SW-DAMPER-177-SPRING-BOX</t>
        </is>
      </c>
      <c r="B918" t="inlineStr">
        <is>
          <t>SW-DAMPER-177</t>
        </is>
      </c>
      <c r="C918" t="inlineStr">
        <is>
          <t>Hộp lò xo van chặn lửa FD/MFD</t>
        </is>
      </c>
      <c r="D918" t="inlineStr">
        <is>
          <t>PHỤ_KIỆN_VAN</t>
        </is>
      </c>
      <c r="E918" t="inlineStr">
        <is>
          <t>MAT-DAMPER-HOP-LO-XO</t>
        </is>
      </c>
      <c r="F918" t="inlineStr">
        <is>
          <t>Bộ</t>
        </is>
      </c>
      <c r="G918" s="406" t="n">
        <v>1</v>
      </c>
      <c r="H918" s="402">
        <f>IFERROR(INDEX('00_TONG_HOP_BAO_GIA'!$G$1:$G$5000, MATCH(B918, '00_TONG_HOP_BAO_GIA'!$B$1:$B$5000, 0)), 1)</f>
        <v/>
      </c>
      <c r="I918" s="407">
        <f>G918*H918</f>
        <v/>
      </c>
      <c r="J918" s="402">
        <f>IFERROR(INDEX('06_BANG_GIA_VAT_TU_AP_DUNG'!$E$1:$E$5000, MATCH(E918, '06_BANG_GIA_VAT_TU_AP_DUNG'!$B$1:$B$5000, 0)), 0)</f>
        <v/>
      </c>
      <c r="K918" s="402">
        <f>I918*J918</f>
        <v/>
      </c>
      <c r="L918" t="inlineStr">
        <is>
          <t>Hộp lò xo cơ cấu đóng sập (1 bộ)</t>
        </is>
      </c>
    </row>
    <row r="919">
      <c r="A919" t="inlineStr">
        <is>
          <t>SW-DAMPER-177-SILICON-BOLT</t>
        </is>
      </c>
      <c r="B919" t="inlineStr">
        <is>
          <t>SW-DAMPER-177</t>
        </is>
      </c>
      <c r="C919" t="inlineStr">
        <is>
          <t>Silicon chống cháy + bu lông, ốc vít van FD/MFD</t>
        </is>
      </c>
      <c r="D919" t="inlineStr">
        <is>
          <t>PHỤ_KIỆN_VAN</t>
        </is>
      </c>
      <c r="E919" t="inlineStr">
        <is>
          <t>MAT-DAMPER-SILICON-BULONG-VIT</t>
        </is>
      </c>
      <c r="F919" t="inlineStr">
        <is>
          <t>Bộ</t>
        </is>
      </c>
      <c r="G919" s="406" t="n">
        <v>1</v>
      </c>
      <c r="H919" s="402">
        <f>IFERROR(INDEX('00_TONG_HOP_BAO_GIA'!$G$1:$G$5000, MATCH(B919, '00_TONG_HOP_BAO_GIA'!$B$1:$B$5000, 0)), 1)</f>
        <v/>
      </c>
      <c r="I919" s="407">
        <f>G919*H919</f>
        <v/>
      </c>
      <c r="J919" s="402">
        <f>IFERROR(INDEX('06_BANG_GIA_VAT_TU_AP_DUNG'!$E$1:$E$5000, MATCH(E919, '06_BANG_GIA_VAT_TU_AP_DUNG'!$B$1:$B$5000, 0)), 0)</f>
        <v/>
      </c>
      <c r="K919" s="402">
        <f>I919*J919</f>
        <v/>
      </c>
      <c r="L919" t="inlineStr">
        <is>
          <t>Keo silicon chống cháy &amp; phụ kiện lắp ghép (1 bộ)</t>
        </is>
      </c>
    </row>
    <row r="920">
      <c r="A920" t="inlineStr">
        <is>
          <t>SW-DAMPER-178-BODY</t>
        </is>
      </c>
      <c r="B920" t="inlineStr">
        <is>
          <t>SW-DAMPER-178</t>
        </is>
      </c>
      <c r="C920" t="inlineStr">
        <is>
          <t>Thân vỏ van FD bích C30/TDF (1.15mm)</t>
        </is>
      </c>
      <c r="D920" t="inlineStr">
        <is>
          <t>TÔN_CUỘN_MẠ_KẼM</t>
        </is>
      </c>
      <c r="E920" t="inlineStr">
        <is>
          <t>MAT-STEEL-PN-1.15</t>
        </is>
      </c>
      <c r="F920" t="inlineStr">
        <is>
          <t>kg</t>
        </is>
      </c>
      <c r="G920" s="406" t="n">
        <v>2.6616681</v>
      </c>
      <c r="H920" s="402">
        <f>IFERROR(INDEX('00_TONG_HOP_BAO_GIA'!$G$1:$G$5000, MATCH(B920, '00_TONG_HOP_BAO_GIA'!$B$1:$B$5000, 0)), 1)</f>
        <v/>
      </c>
      <c r="I920" s="407">
        <f>G920*H920</f>
        <v/>
      </c>
      <c r="J920" s="402">
        <f>IFERROR(INDEX('06_BANG_GIA_VAT_TU_AP_DUNG'!$E$1:$E$5000, MATCH(E920, '06_BANG_GIA_VAT_TU_AP_DUNG'!$B$1:$B$5000, 0)), 0)</f>
        <v/>
      </c>
      <c r="K920" s="402">
        <f>I920*J920</f>
        <v/>
      </c>
      <c r="L920" t="inlineStr">
        <is>
          <t>Kích thước vỏ 300x200x200mm</t>
        </is>
      </c>
    </row>
    <row r="921">
      <c r="A921" t="inlineStr">
        <is>
          <t>SW-DAMPER-178-BLADE</t>
        </is>
      </c>
      <c r="B921" t="inlineStr">
        <is>
          <t>SW-DAMPER-178</t>
        </is>
      </c>
      <c r="C921" t="inlineStr">
        <is>
          <t>Lá cánh / Tôn tấm bọc van (1 cánh)</t>
        </is>
      </c>
      <c r="D921" t="inlineStr">
        <is>
          <t>TÔN_CUỘN_MẠ_KẼM</t>
        </is>
      </c>
      <c r="E921" t="inlineStr">
        <is>
          <t>MAT-STEEL-PN-1.15</t>
        </is>
      </c>
      <c r="F921" t="inlineStr">
        <is>
          <t>kg</t>
        </is>
      </c>
      <c r="G921" s="406" t="n">
        <v>1.0833</v>
      </c>
      <c r="H921" s="402">
        <f>IFERROR(INDEX('00_TONG_HOP_BAO_GIA'!$G$1:$G$5000, MATCH(B921, '00_TONG_HOP_BAO_GIA'!$B$1:$B$5000, 0)), 1)</f>
        <v/>
      </c>
      <c r="I921" s="407">
        <f>G921*H921</f>
        <v/>
      </c>
      <c r="J921" s="402">
        <f>IFERROR(INDEX('06_BANG_GIA_VAT_TU_AP_DUNG'!$E$1:$E$5000, MATCH(E921, '06_BANG_GIA_VAT_TU_AP_DUNG'!$B$1:$B$5000, 0)), 0)</f>
        <v/>
      </c>
      <c r="K921" s="402">
        <f>I921*J921</f>
        <v/>
      </c>
      <c r="L921" t="inlineStr">
        <is>
          <t>Tôn bọc cánh &amp; thân (1 cánh/modul)</t>
        </is>
      </c>
    </row>
    <row r="922">
      <c r="A922" t="inlineStr">
        <is>
          <t>SW-DAMPER-178-AXLE</t>
        </is>
      </c>
      <c r="B922" t="inlineStr">
        <is>
          <t>SW-DAMPER-178</t>
        </is>
      </c>
      <c r="C922" t="inlineStr">
        <is>
          <t>Trục Sus 201 D10</t>
        </is>
      </c>
      <c r="D922" t="inlineStr">
        <is>
          <t>PHỤ_KIỆN_VAN</t>
        </is>
      </c>
      <c r="E922" t="inlineStr">
        <is>
          <t>MAT-DAMPER-TRUC-SUS-201-D10</t>
        </is>
      </c>
      <c r="F922" t="inlineStr">
        <is>
          <t>m</t>
        </is>
      </c>
      <c r="G922" s="406" t="n">
        <v>0.36</v>
      </c>
      <c r="H922" s="402">
        <f>IFERROR(INDEX('00_TONG_HOP_BAO_GIA'!$G$1:$G$5000, MATCH(B922, '00_TONG_HOP_BAO_GIA'!$B$1:$B$5000, 0)), 1)</f>
        <v/>
      </c>
      <c r="I922" s="407">
        <f>G922*H922</f>
        <v/>
      </c>
      <c r="J922" s="402">
        <f>IFERROR(INDEX('06_BANG_GIA_VAT_TU_AP_DUNG'!$E$1:$E$5000, MATCH(E922, '06_BANG_GIA_VAT_TU_AP_DUNG'!$B$1:$B$5000, 0)), 0)</f>
        <v/>
      </c>
      <c r="K922" s="402">
        <f>I922*J922</f>
        <v/>
      </c>
      <c r="L922" t="inlineStr">
        <is>
          <t>1 trục dài 360mm</t>
        </is>
      </c>
    </row>
    <row r="923">
      <c r="A923" t="inlineStr">
        <is>
          <t>SW-DAMPER-178-BEARING</t>
        </is>
      </c>
      <c r="B923" t="inlineStr">
        <is>
          <t>SW-DAMPER-178</t>
        </is>
      </c>
      <c r="C923" t="inlineStr">
        <is>
          <t>Bạc đồng D10</t>
        </is>
      </c>
      <c r="D923" t="inlineStr">
        <is>
          <t>PHỤ_KIỆN_VAN</t>
        </is>
      </c>
      <c r="E923" t="inlineStr">
        <is>
          <t>MAT-DAMPER-BAC-DONG-D10</t>
        </is>
      </c>
      <c r="F923" t="inlineStr">
        <is>
          <t>Đôi</t>
        </is>
      </c>
      <c r="G923" s="406" t="n">
        <v>1</v>
      </c>
      <c r="H923" s="402">
        <f>IFERROR(INDEX('00_TONG_HOP_BAO_GIA'!$G$1:$G$5000, MATCH(B923, '00_TONG_HOP_BAO_GIA'!$B$1:$B$5000, 0)), 1)</f>
        <v/>
      </c>
      <c r="I923" s="407">
        <f>G923*H923</f>
        <v/>
      </c>
      <c r="J923" s="402">
        <f>IFERROR(INDEX('06_BANG_GIA_VAT_TU_AP_DUNG'!$E$1:$E$5000, MATCH(E923, '06_BANG_GIA_VAT_TU_AP_DUNG'!$B$1:$B$5000, 0)), 0)</f>
        <v/>
      </c>
      <c r="K923" s="402">
        <f>I923*J923</f>
        <v/>
      </c>
      <c r="L923" t="inlineStr">
        <is>
          <t>1 đôi bạc đỡ 2 bên thân</t>
        </is>
      </c>
    </row>
    <row r="924">
      <c r="A924" t="inlineStr">
        <is>
          <t>SW-DAMPER-178-FUSE</t>
        </is>
      </c>
      <c r="B924" t="inlineStr">
        <is>
          <t>SW-DAMPER-178</t>
        </is>
      </c>
      <c r="C924" t="inlineStr">
        <is>
          <t>Cầu chì nhiệt nóng chảy 70°C/74°C (Elsie/USA)</t>
        </is>
      </c>
      <c r="D924" t="inlineStr">
        <is>
          <t>PHỤ_KIỆN_VAN</t>
        </is>
      </c>
      <c r="E924" t="inlineStr">
        <is>
          <t>MAT-DAMPER-CAU-CHI-USA-1-400X400</t>
        </is>
      </c>
      <c r="F924" t="inlineStr">
        <is>
          <t>Cái</t>
        </is>
      </c>
      <c r="G924" s="406" t="n">
        <v>1</v>
      </c>
      <c r="H924" s="402">
        <f>IFERROR(INDEX('00_TONG_HOP_BAO_GIA'!$G$1:$G$5000, MATCH(B924, '00_TONG_HOP_BAO_GIA'!$B$1:$B$5000, 0)), 1)</f>
        <v/>
      </c>
      <c r="I924" s="407">
        <f>G924*H924</f>
        <v/>
      </c>
      <c r="J924" s="402">
        <f>IFERROR(INDEX('06_BANG_GIA_VAT_TU_AP_DUNG'!$E$1:$E$5000, MATCH(E924, '06_BANG_GIA_VAT_TU_AP_DUNG'!$B$1:$B$5000, 0)), 0)</f>
        <v/>
      </c>
      <c r="K924" s="402">
        <f>I924*J924</f>
        <v/>
      </c>
      <c r="L924" t="inlineStr">
        <is>
          <t>Cầu chì kiểm định PCCC (1 cái)</t>
        </is>
      </c>
    </row>
    <row r="925">
      <c r="A925" t="inlineStr">
        <is>
          <t>SW-DAMPER-178-FB10-BODY</t>
        </is>
      </c>
      <c r="B925" t="inlineStr">
        <is>
          <t>SW-DAMPER-178</t>
        </is>
      </c>
      <c r="C925" t="inlineStr">
        <is>
          <t>Tấm chống cháy dày 10mm bọc thân van FD/MFD (2 lớp)</t>
        </is>
      </c>
      <c r="D925" t="inlineStr">
        <is>
          <t>VẬT_LIỆU_CÁCH_NHIỆT</t>
        </is>
      </c>
      <c r="E925" t="inlineStr">
        <is>
          <t>MAT-FIREBOARD-10MM-BODY</t>
        </is>
      </c>
      <c r="F925" t="inlineStr">
        <is>
          <t>m2</t>
        </is>
      </c>
      <c r="G925" s="406" t="n">
        <v>0.6</v>
      </c>
      <c r="H925" s="402">
        <f>IFERROR(INDEX('00_TONG_HOP_BAO_GIA'!$G$1:$G$5000, MATCH(B925, '00_TONG_HOP_BAO_GIA'!$B$1:$B$5000, 0)), 1)</f>
        <v/>
      </c>
      <c r="I925" s="407">
        <f>G925*H925</f>
        <v/>
      </c>
      <c r="J925" s="402">
        <f>IFERROR(INDEX('06_BANG_GIA_VAT_TU_AP_DUNG'!$E$1:$E$5000, MATCH(E925, '06_BANG_GIA_VAT_TU_AP_DUNG'!$B$1:$B$5000, 0)), 0)</f>
        <v/>
      </c>
      <c r="K925" s="402">
        <f>I925*J925</f>
        <v/>
      </c>
      <c r="L925" t="inlineStr">
        <is>
          <t>Bọc 2 lớp tấm 10mm quanh thân L=300mm</t>
        </is>
      </c>
    </row>
    <row r="926">
      <c r="A926" t="inlineStr">
        <is>
          <t>SW-DAMPER-178-FB20-BLADE</t>
        </is>
      </c>
      <c r="B926" t="inlineStr">
        <is>
          <t>SW-DAMPER-178</t>
        </is>
      </c>
      <c r="C926" t="inlineStr">
        <is>
          <t>Tấm chống cháy dày 20mm làm lõi cánh van FD/MFD</t>
        </is>
      </c>
      <c r="D926" t="inlineStr">
        <is>
          <t>VẬT_LIỆU_CÁCH_NHIỆT</t>
        </is>
      </c>
      <c r="E926" t="inlineStr">
        <is>
          <t>MAT-FIREBOARD-20MM-BLADE</t>
        </is>
      </c>
      <c r="F926" t="inlineStr">
        <is>
          <t>m2</t>
        </is>
      </c>
      <c r="G926" s="406" t="n">
        <v>0.06</v>
      </c>
      <c r="H926" s="402">
        <f>IFERROR(INDEX('00_TONG_HOP_BAO_GIA'!$G$1:$G$5000, MATCH(B926, '00_TONG_HOP_BAO_GIA'!$B$1:$B$5000, 0)), 1)</f>
        <v/>
      </c>
      <c r="I926" s="407">
        <f>G926*H926</f>
        <v/>
      </c>
      <c r="J926" s="402">
        <f>IFERROR(INDEX('06_BANG_GIA_VAT_TU_AP_DUNG'!$E$1:$E$5000, MATCH(E926, '06_BANG_GIA_VAT_TU_AP_DUNG'!$B$1:$B$5000, 0)), 0)</f>
        <v/>
      </c>
      <c r="K926" s="402">
        <f>I926*J926</f>
        <v/>
      </c>
      <c r="L926" t="inlineStr">
        <is>
          <t>Lõi cánh tấm 20mm (Cánh đơn 300x200mm)</t>
        </is>
      </c>
    </row>
    <row r="927">
      <c r="A927" t="inlineStr">
        <is>
          <t>SW-DAMPER-178-FB10-BLADE</t>
        </is>
      </c>
      <c r="B927" t="inlineStr">
        <is>
          <t>SW-DAMPER-178</t>
        </is>
      </c>
      <c r="C927" t="inlineStr">
        <is>
          <t>Tấm chống cháy dày 10mm ốp 2 mặt cánh van FD/MFD</t>
        </is>
      </c>
      <c r="D927" t="inlineStr">
        <is>
          <t>VẬT_LIỆU_CÁCH_NHIỆT</t>
        </is>
      </c>
      <c r="E927" t="inlineStr">
        <is>
          <t>MAT-FIREBOARD-10MM-BLADE</t>
        </is>
      </c>
      <c r="F927" t="inlineStr">
        <is>
          <t>m2</t>
        </is>
      </c>
      <c r="G927" s="406" t="n">
        <v>0.12</v>
      </c>
      <c r="H927" s="402">
        <f>IFERROR(INDEX('00_TONG_HOP_BAO_GIA'!$G$1:$G$5000, MATCH(B927, '00_TONG_HOP_BAO_GIA'!$B$1:$B$5000, 0)), 1)</f>
        <v/>
      </c>
      <c r="I927" s="407">
        <f>G927*H927</f>
        <v/>
      </c>
      <c r="J927" s="402">
        <f>IFERROR(INDEX('06_BANG_GIA_VAT_TU_AP_DUNG'!$E$1:$E$5000, MATCH(E927, '06_BANG_GIA_VAT_TU_AP_DUNG'!$B$1:$B$5000, 0)), 0)</f>
        <v/>
      </c>
      <c r="K927" s="402">
        <f>I927*J927</f>
        <v/>
      </c>
      <c r="L927" t="inlineStr">
        <is>
          <t>Ốp 2 mặt cánh tấm 10mm (Cánh đơn 300x200mm)</t>
        </is>
      </c>
    </row>
    <row r="928">
      <c r="A928" t="inlineStr">
        <is>
          <t>SW-DAMPER-178-SPRING-BOX</t>
        </is>
      </c>
      <c r="B928" t="inlineStr">
        <is>
          <t>SW-DAMPER-178</t>
        </is>
      </c>
      <c r="C928" t="inlineStr">
        <is>
          <t>Hộp lò xo van chặn lửa FD/MFD</t>
        </is>
      </c>
      <c r="D928" t="inlineStr">
        <is>
          <t>PHỤ_KIỆN_VAN</t>
        </is>
      </c>
      <c r="E928" t="inlineStr">
        <is>
          <t>MAT-DAMPER-HOP-LO-XO</t>
        </is>
      </c>
      <c r="F928" t="inlineStr">
        <is>
          <t>Bộ</t>
        </is>
      </c>
      <c r="G928" s="406" t="n">
        <v>1</v>
      </c>
      <c r="H928" s="402">
        <f>IFERROR(INDEX('00_TONG_HOP_BAO_GIA'!$G$1:$G$5000, MATCH(B928, '00_TONG_HOP_BAO_GIA'!$B$1:$B$5000, 0)), 1)</f>
        <v/>
      </c>
      <c r="I928" s="407">
        <f>G928*H928</f>
        <v/>
      </c>
      <c r="J928" s="402">
        <f>IFERROR(INDEX('06_BANG_GIA_VAT_TU_AP_DUNG'!$E$1:$E$5000, MATCH(E928, '06_BANG_GIA_VAT_TU_AP_DUNG'!$B$1:$B$5000, 0)), 0)</f>
        <v/>
      </c>
      <c r="K928" s="402">
        <f>I928*J928</f>
        <v/>
      </c>
      <c r="L928" t="inlineStr">
        <is>
          <t>Hộp lò xo cơ cấu đóng sập (1 bộ)</t>
        </is>
      </c>
    </row>
    <row r="929">
      <c r="A929" t="inlineStr">
        <is>
          <t>SW-DAMPER-178-SILICON-BOLT</t>
        </is>
      </c>
      <c r="B929" t="inlineStr">
        <is>
          <t>SW-DAMPER-178</t>
        </is>
      </c>
      <c r="C929" t="inlineStr">
        <is>
          <t>Silicon chống cháy + bu lông, ốc vít van FD/MFD</t>
        </is>
      </c>
      <c r="D929" t="inlineStr">
        <is>
          <t>PHỤ_KIỆN_VAN</t>
        </is>
      </c>
      <c r="E929" t="inlineStr">
        <is>
          <t>MAT-DAMPER-SILICON-BULONG-VIT</t>
        </is>
      </c>
      <c r="F929" t="inlineStr">
        <is>
          <t>Bộ</t>
        </is>
      </c>
      <c r="G929" s="406" t="n">
        <v>1</v>
      </c>
      <c r="H929" s="402">
        <f>IFERROR(INDEX('00_TONG_HOP_BAO_GIA'!$G$1:$G$5000, MATCH(B929, '00_TONG_HOP_BAO_GIA'!$B$1:$B$5000, 0)), 1)</f>
        <v/>
      </c>
      <c r="I929" s="407">
        <f>G929*H929</f>
        <v/>
      </c>
      <c r="J929" s="402">
        <f>IFERROR(INDEX('06_BANG_GIA_VAT_TU_AP_DUNG'!$E$1:$E$5000, MATCH(E929, '06_BANG_GIA_VAT_TU_AP_DUNG'!$B$1:$B$5000, 0)), 0)</f>
        <v/>
      </c>
      <c r="K929" s="402">
        <f>I929*J929</f>
        <v/>
      </c>
      <c r="L929" t="inlineStr">
        <is>
          <t>Keo silicon chống cháy &amp; phụ kiện lắp ghép (1 bộ)</t>
        </is>
      </c>
    </row>
    <row r="930">
      <c r="A930" t="inlineStr">
        <is>
          <t>SW-DAMPER-179-BODY</t>
        </is>
      </c>
      <c r="B930" t="inlineStr">
        <is>
          <t>SW-DAMPER-179</t>
        </is>
      </c>
      <c r="C930" t="inlineStr">
        <is>
          <t>Thân vỏ van FD bích C30/TDF (1.15mm)</t>
        </is>
      </c>
      <c r="D930" t="inlineStr">
        <is>
          <t>TÔN_CUỘN_MẠ_KẼM</t>
        </is>
      </c>
      <c r="E930" t="inlineStr">
        <is>
          <t>MAT-STEEL-PN-1.15</t>
        </is>
      </c>
      <c r="F930" t="inlineStr">
        <is>
          <t>kg</t>
        </is>
      </c>
      <c r="G930" s="406" t="n">
        <v>2.917597725</v>
      </c>
      <c r="H930" s="402">
        <f>IFERROR(INDEX('00_TONG_HOP_BAO_GIA'!$G$1:$G$5000, MATCH(B930, '00_TONG_HOP_BAO_GIA'!$B$1:$B$5000, 0)), 1)</f>
        <v/>
      </c>
      <c r="I930" s="407">
        <f>G930*H930</f>
        <v/>
      </c>
      <c r="J930" s="402">
        <f>IFERROR(INDEX('06_BANG_GIA_VAT_TU_AP_DUNG'!$E$1:$E$5000, MATCH(E930, '06_BANG_GIA_VAT_TU_AP_DUNG'!$B$1:$B$5000, 0)), 0)</f>
        <v/>
      </c>
      <c r="K930" s="402">
        <f>I930*J930</f>
        <v/>
      </c>
      <c r="L930" t="inlineStr">
        <is>
          <t>Kích thước vỏ 350x200x200mm</t>
        </is>
      </c>
    </row>
    <row r="931">
      <c r="A931" t="inlineStr">
        <is>
          <t>SW-DAMPER-179-BLADE</t>
        </is>
      </c>
      <c r="B931" t="inlineStr">
        <is>
          <t>SW-DAMPER-179</t>
        </is>
      </c>
      <c r="C931" t="inlineStr">
        <is>
          <t>Lá cánh / Tôn tấm bọc van (1 cánh)</t>
        </is>
      </c>
      <c r="D931" t="inlineStr">
        <is>
          <t>TÔN_CUỘN_MẠ_KẼM</t>
        </is>
      </c>
      <c r="E931" t="inlineStr">
        <is>
          <t>MAT-STEEL-PN-1.15</t>
        </is>
      </c>
      <c r="F931" t="inlineStr">
        <is>
          <t>kg</t>
        </is>
      </c>
      <c r="G931" s="406" t="n">
        <v>1.26385</v>
      </c>
      <c r="H931" s="402">
        <f>IFERROR(INDEX('00_TONG_HOP_BAO_GIA'!$G$1:$G$5000, MATCH(B931, '00_TONG_HOP_BAO_GIA'!$B$1:$B$5000, 0)), 1)</f>
        <v/>
      </c>
      <c r="I931" s="407">
        <f>G931*H931</f>
        <v/>
      </c>
      <c r="J931" s="402">
        <f>IFERROR(INDEX('06_BANG_GIA_VAT_TU_AP_DUNG'!$E$1:$E$5000, MATCH(E931, '06_BANG_GIA_VAT_TU_AP_DUNG'!$B$1:$B$5000, 0)), 0)</f>
        <v/>
      </c>
      <c r="K931" s="402">
        <f>I931*J931</f>
        <v/>
      </c>
      <c r="L931" t="inlineStr">
        <is>
          <t>Tôn bọc cánh &amp; thân (1 cánh/modul)</t>
        </is>
      </c>
    </row>
    <row r="932">
      <c r="A932" t="inlineStr">
        <is>
          <t>SW-DAMPER-179-AXLE</t>
        </is>
      </c>
      <c r="B932" t="inlineStr">
        <is>
          <t>SW-DAMPER-179</t>
        </is>
      </c>
      <c r="C932" t="inlineStr">
        <is>
          <t>Trục Sus 201 D10</t>
        </is>
      </c>
      <c r="D932" t="inlineStr">
        <is>
          <t>PHỤ_KIỆN_VAN</t>
        </is>
      </c>
      <c r="E932" t="inlineStr">
        <is>
          <t>MAT-DAMPER-TRUC-SUS-201-D10</t>
        </is>
      </c>
      <c r="F932" t="inlineStr">
        <is>
          <t>m</t>
        </is>
      </c>
      <c r="G932" s="406" t="n">
        <v>0.41</v>
      </c>
      <c r="H932" s="402">
        <f>IFERROR(INDEX('00_TONG_HOP_BAO_GIA'!$G$1:$G$5000, MATCH(B932, '00_TONG_HOP_BAO_GIA'!$B$1:$B$5000, 0)), 1)</f>
        <v/>
      </c>
      <c r="I932" s="407">
        <f>G932*H932</f>
        <v/>
      </c>
      <c r="J932" s="402">
        <f>IFERROR(INDEX('06_BANG_GIA_VAT_TU_AP_DUNG'!$E$1:$E$5000, MATCH(E932, '06_BANG_GIA_VAT_TU_AP_DUNG'!$B$1:$B$5000, 0)), 0)</f>
        <v/>
      </c>
      <c r="K932" s="402">
        <f>I932*J932</f>
        <v/>
      </c>
      <c r="L932" t="inlineStr">
        <is>
          <t>1 trục dài 410mm</t>
        </is>
      </c>
    </row>
    <row r="933">
      <c r="A933" t="inlineStr">
        <is>
          <t>SW-DAMPER-179-BEARING</t>
        </is>
      </c>
      <c r="B933" t="inlineStr">
        <is>
          <t>SW-DAMPER-179</t>
        </is>
      </c>
      <c r="C933" t="inlineStr">
        <is>
          <t>Bạc đồng D10</t>
        </is>
      </c>
      <c r="D933" t="inlineStr">
        <is>
          <t>PHỤ_KIỆN_VAN</t>
        </is>
      </c>
      <c r="E933" t="inlineStr">
        <is>
          <t>MAT-DAMPER-BAC-DONG-D10</t>
        </is>
      </c>
      <c r="F933" t="inlineStr">
        <is>
          <t>Đôi</t>
        </is>
      </c>
      <c r="G933" s="406" t="n">
        <v>1</v>
      </c>
      <c r="H933" s="402">
        <f>IFERROR(INDEX('00_TONG_HOP_BAO_GIA'!$G$1:$G$5000, MATCH(B933, '00_TONG_HOP_BAO_GIA'!$B$1:$B$5000, 0)), 1)</f>
        <v/>
      </c>
      <c r="I933" s="407">
        <f>G933*H933</f>
        <v/>
      </c>
      <c r="J933" s="402">
        <f>IFERROR(INDEX('06_BANG_GIA_VAT_TU_AP_DUNG'!$E$1:$E$5000, MATCH(E933, '06_BANG_GIA_VAT_TU_AP_DUNG'!$B$1:$B$5000, 0)), 0)</f>
        <v/>
      </c>
      <c r="K933" s="402">
        <f>I933*J933</f>
        <v/>
      </c>
      <c r="L933" t="inlineStr">
        <is>
          <t>1 đôi bạc đỡ 2 bên thân</t>
        </is>
      </c>
    </row>
    <row r="934">
      <c r="A934" t="inlineStr">
        <is>
          <t>SW-DAMPER-179-FUSE</t>
        </is>
      </c>
      <c r="B934" t="inlineStr">
        <is>
          <t>SW-DAMPER-179</t>
        </is>
      </c>
      <c r="C934" t="inlineStr">
        <is>
          <t>Cầu chì nhiệt nóng chảy 70°C/74°C (Elsie/USA)</t>
        </is>
      </c>
      <c r="D934" t="inlineStr">
        <is>
          <t>PHỤ_KIỆN_VAN</t>
        </is>
      </c>
      <c r="E934" t="inlineStr">
        <is>
          <t>MAT-DAMPER-CAU-CHI-USA-1-400X400</t>
        </is>
      </c>
      <c r="F934" t="inlineStr">
        <is>
          <t>Cái</t>
        </is>
      </c>
      <c r="G934" s="406" t="n">
        <v>1</v>
      </c>
      <c r="H934" s="402">
        <f>IFERROR(INDEX('00_TONG_HOP_BAO_GIA'!$G$1:$G$5000, MATCH(B934, '00_TONG_HOP_BAO_GIA'!$B$1:$B$5000, 0)), 1)</f>
        <v/>
      </c>
      <c r="I934" s="407">
        <f>G934*H934</f>
        <v/>
      </c>
      <c r="J934" s="402">
        <f>IFERROR(INDEX('06_BANG_GIA_VAT_TU_AP_DUNG'!$E$1:$E$5000, MATCH(E934, '06_BANG_GIA_VAT_TU_AP_DUNG'!$B$1:$B$5000, 0)), 0)</f>
        <v/>
      </c>
      <c r="K934" s="402">
        <f>I934*J934</f>
        <v/>
      </c>
      <c r="L934" t="inlineStr">
        <is>
          <t>Cầu chì kiểm định PCCC (1 cái)</t>
        </is>
      </c>
    </row>
    <row r="935">
      <c r="A935" t="inlineStr">
        <is>
          <t>SW-DAMPER-179-FB10-BODY</t>
        </is>
      </c>
      <c r="B935" t="inlineStr">
        <is>
          <t>SW-DAMPER-179</t>
        </is>
      </c>
      <c r="C935" t="inlineStr">
        <is>
          <t>Tấm chống cháy dày 10mm bọc thân van FD/MFD (2 lớp)</t>
        </is>
      </c>
      <c r="D935" t="inlineStr">
        <is>
          <t>VẬT_LIỆU_CÁCH_NHIỆT</t>
        </is>
      </c>
      <c r="E935" t="inlineStr">
        <is>
          <t>MAT-FIREBOARD-10MM-BODY</t>
        </is>
      </c>
      <c r="F935" t="inlineStr">
        <is>
          <t>m2</t>
        </is>
      </c>
      <c r="G935" s="406" t="n">
        <v>0.66</v>
      </c>
      <c r="H935" s="402">
        <f>IFERROR(INDEX('00_TONG_HOP_BAO_GIA'!$G$1:$G$5000, MATCH(B935, '00_TONG_HOP_BAO_GIA'!$B$1:$B$5000, 0)), 1)</f>
        <v/>
      </c>
      <c r="I935" s="407">
        <f>G935*H935</f>
        <v/>
      </c>
      <c r="J935" s="402">
        <f>IFERROR(INDEX('06_BANG_GIA_VAT_TU_AP_DUNG'!$E$1:$E$5000, MATCH(E935, '06_BANG_GIA_VAT_TU_AP_DUNG'!$B$1:$B$5000, 0)), 0)</f>
        <v/>
      </c>
      <c r="K935" s="402">
        <f>I935*J935</f>
        <v/>
      </c>
      <c r="L935" t="inlineStr">
        <is>
          <t>Bọc 2 lớp tấm 10mm quanh thân L=300mm</t>
        </is>
      </c>
    </row>
    <row r="936">
      <c r="A936" t="inlineStr">
        <is>
          <t>SW-DAMPER-179-FB20-BLADE</t>
        </is>
      </c>
      <c r="B936" t="inlineStr">
        <is>
          <t>SW-DAMPER-179</t>
        </is>
      </c>
      <c r="C936" t="inlineStr">
        <is>
          <t>Tấm chống cháy dày 20mm làm lõi cánh van FD/MFD</t>
        </is>
      </c>
      <c r="D936" t="inlineStr">
        <is>
          <t>VẬT_LIỆU_CÁCH_NHIỆT</t>
        </is>
      </c>
      <c r="E936" t="inlineStr">
        <is>
          <t>MAT-FIREBOARD-20MM-BLADE</t>
        </is>
      </c>
      <c r="F936" t="inlineStr">
        <is>
          <t>m2</t>
        </is>
      </c>
      <c r="G936" s="406" t="n">
        <v>0.06999999999999999</v>
      </c>
      <c r="H936" s="402">
        <f>IFERROR(INDEX('00_TONG_HOP_BAO_GIA'!$G$1:$G$5000, MATCH(B936, '00_TONG_HOP_BAO_GIA'!$B$1:$B$5000, 0)), 1)</f>
        <v/>
      </c>
      <c r="I936" s="407">
        <f>G936*H936</f>
        <v/>
      </c>
      <c r="J936" s="402">
        <f>IFERROR(INDEX('06_BANG_GIA_VAT_TU_AP_DUNG'!$E$1:$E$5000, MATCH(E936, '06_BANG_GIA_VAT_TU_AP_DUNG'!$B$1:$B$5000, 0)), 0)</f>
        <v/>
      </c>
      <c r="K936" s="402">
        <f>I936*J936</f>
        <v/>
      </c>
      <c r="L936" t="inlineStr">
        <is>
          <t>Lõi cánh tấm 20mm (Cánh đơn 350x200mm)</t>
        </is>
      </c>
    </row>
    <row r="937">
      <c r="A937" t="inlineStr">
        <is>
          <t>SW-DAMPER-179-FB10-BLADE</t>
        </is>
      </c>
      <c r="B937" t="inlineStr">
        <is>
          <t>SW-DAMPER-179</t>
        </is>
      </c>
      <c r="C937" t="inlineStr">
        <is>
          <t>Tấm chống cháy dày 10mm ốp 2 mặt cánh van FD/MFD</t>
        </is>
      </c>
      <c r="D937" t="inlineStr">
        <is>
          <t>VẬT_LIỆU_CÁCH_NHIỆT</t>
        </is>
      </c>
      <c r="E937" t="inlineStr">
        <is>
          <t>MAT-FIREBOARD-10MM-BLADE</t>
        </is>
      </c>
      <c r="F937" t="inlineStr">
        <is>
          <t>m2</t>
        </is>
      </c>
      <c r="G937" s="406" t="n">
        <v>0.14</v>
      </c>
      <c r="H937" s="402">
        <f>IFERROR(INDEX('00_TONG_HOP_BAO_GIA'!$G$1:$G$5000, MATCH(B937, '00_TONG_HOP_BAO_GIA'!$B$1:$B$5000, 0)), 1)</f>
        <v/>
      </c>
      <c r="I937" s="407">
        <f>G937*H937</f>
        <v/>
      </c>
      <c r="J937" s="402">
        <f>IFERROR(INDEX('06_BANG_GIA_VAT_TU_AP_DUNG'!$E$1:$E$5000, MATCH(E937, '06_BANG_GIA_VAT_TU_AP_DUNG'!$B$1:$B$5000, 0)), 0)</f>
        <v/>
      </c>
      <c r="K937" s="402">
        <f>I937*J937</f>
        <v/>
      </c>
      <c r="L937" t="inlineStr">
        <is>
          <t>Ốp 2 mặt cánh tấm 10mm (Cánh đơn 350x200mm)</t>
        </is>
      </c>
    </row>
    <row r="938">
      <c r="A938" t="inlineStr">
        <is>
          <t>SW-DAMPER-179-SPRING-BOX</t>
        </is>
      </c>
      <c r="B938" t="inlineStr">
        <is>
          <t>SW-DAMPER-179</t>
        </is>
      </c>
      <c r="C938" t="inlineStr">
        <is>
          <t>Hộp lò xo van chặn lửa FD/MFD</t>
        </is>
      </c>
      <c r="D938" t="inlineStr">
        <is>
          <t>PHỤ_KIỆN_VAN</t>
        </is>
      </c>
      <c r="E938" t="inlineStr">
        <is>
          <t>MAT-DAMPER-HOP-LO-XO</t>
        </is>
      </c>
      <c r="F938" t="inlineStr">
        <is>
          <t>Bộ</t>
        </is>
      </c>
      <c r="G938" s="406" t="n">
        <v>1</v>
      </c>
      <c r="H938" s="402">
        <f>IFERROR(INDEX('00_TONG_HOP_BAO_GIA'!$G$1:$G$5000, MATCH(B938, '00_TONG_HOP_BAO_GIA'!$B$1:$B$5000, 0)), 1)</f>
        <v/>
      </c>
      <c r="I938" s="407">
        <f>G938*H938</f>
        <v/>
      </c>
      <c r="J938" s="402">
        <f>IFERROR(INDEX('06_BANG_GIA_VAT_TU_AP_DUNG'!$E$1:$E$5000, MATCH(E938, '06_BANG_GIA_VAT_TU_AP_DUNG'!$B$1:$B$5000, 0)), 0)</f>
        <v/>
      </c>
      <c r="K938" s="402">
        <f>I938*J938</f>
        <v/>
      </c>
      <c r="L938" t="inlineStr">
        <is>
          <t>Hộp lò xo cơ cấu đóng sập (1 bộ)</t>
        </is>
      </c>
    </row>
    <row r="939">
      <c r="A939" t="inlineStr">
        <is>
          <t>SW-DAMPER-179-SILICON-BOLT</t>
        </is>
      </c>
      <c r="B939" t="inlineStr">
        <is>
          <t>SW-DAMPER-179</t>
        </is>
      </c>
      <c r="C939" t="inlineStr">
        <is>
          <t>Silicon chống cháy + bu lông, ốc vít van FD/MFD</t>
        </is>
      </c>
      <c r="D939" t="inlineStr">
        <is>
          <t>PHỤ_KIỆN_VAN</t>
        </is>
      </c>
      <c r="E939" t="inlineStr">
        <is>
          <t>MAT-DAMPER-SILICON-BULONG-VIT</t>
        </is>
      </c>
      <c r="F939" t="inlineStr">
        <is>
          <t>Bộ</t>
        </is>
      </c>
      <c r="G939" s="406" t="n">
        <v>1</v>
      </c>
      <c r="H939" s="402">
        <f>IFERROR(INDEX('00_TONG_HOP_BAO_GIA'!$G$1:$G$5000, MATCH(B939, '00_TONG_HOP_BAO_GIA'!$B$1:$B$5000, 0)), 1)</f>
        <v/>
      </c>
      <c r="I939" s="407">
        <f>G939*H939</f>
        <v/>
      </c>
      <c r="J939" s="402">
        <f>IFERROR(INDEX('06_BANG_GIA_VAT_TU_AP_DUNG'!$E$1:$E$5000, MATCH(E939, '06_BANG_GIA_VAT_TU_AP_DUNG'!$B$1:$B$5000, 0)), 0)</f>
        <v/>
      </c>
      <c r="K939" s="402">
        <f>I939*J939</f>
        <v/>
      </c>
      <c r="L939" t="inlineStr">
        <is>
          <t>Keo silicon chống cháy &amp; phụ kiện lắp ghép (1 bộ)</t>
        </is>
      </c>
    </row>
    <row r="940">
      <c r="A940" t="inlineStr">
        <is>
          <t>SW-DAMPER-180-BODY</t>
        </is>
      </c>
      <c r="B940" t="inlineStr">
        <is>
          <t>SW-DAMPER-180</t>
        </is>
      </c>
      <c r="C940" t="inlineStr">
        <is>
          <t>Thân vỏ van FD bích C30/TDF (1.15mm)</t>
        </is>
      </c>
      <c r="D940" t="inlineStr">
        <is>
          <t>TÔN_CUỘN_MẠ_KẼM</t>
        </is>
      </c>
      <c r="E940" t="inlineStr">
        <is>
          <t>MAT-STEEL-PN-1.15</t>
        </is>
      </c>
      <c r="F940" t="inlineStr">
        <is>
          <t>kg</t>
        </is>
      </c>
      <c r="G940" s="406" t="n">
        <v>3.6853866</v>
      </c>
      <c r="H940" s="402">
        <f>IFERROR(INDEX('00_TONG_HOP_BAO_GIA'!$G$1:$G$5000, MATCH(B940, '00_TONG_HOP_BAO_GIA'!$B$1:$B$5000, 0)), 1)</f>
        <v/>
      </c>
      <c r="I940" s="407">
        <f>G940*H940</f>
        <v/>
      </c>
      <c r="J940" s="402">
        <f>IFERROR(INDEX('06_BANG_GIA_VAT_TU_AP_DUNG'!$E$1:$E$5000, MATCH(E940, '06_BANG_GIA_VAT_TU_AP_DUNG'!$B$1:$B$5000, 0)), 0)</f>
        <v/>
      </c>
      <c r="K940" s="402">
        <f>I940*J940</f>
        <v/>
      </c>
      <c r="L940" t="inlineStr">
        <is>
          <t>Kích thước vỏ 500x200x200mm</t>
        </is>
      </c>
    </row>
    <row r="941">
      <c r="A941" t="inlineStr">
        <is>
          <t>SW-DAMPER-180-BLADE</t>
        </is>
      </c>
      <c r="B941" t="inlineStr">
        <is>
          <t>SW-DAMPER-180</t>
        </is>
      </c>
      <c r="C941" t="inlineStr">
        <is>
          <t>Lá cánh / Tôn tấm bọc van (1 cánh)</t>
        </is>
      </c>
      <c r="D941" t="inlineStr">
        <is>
          <t>TÔN_CUỘN_MẠ_KẼM</t>
        </is>
      </c>
      <c r="E941" t="inlineStr">
        <is>
          <t>MAT-STEEL-PN-1.15</t>
        </is>
      </c>
      <c r="F941" t="inlineStr">
        <is>
          <t>kg</t>
        </is>
      </c>
      <c r="G941" s="406" t="n">
        <v>1.8055</v>
      </c>
      <c r="H941" s="402">
        <f>IFERROR(INDEX('00_TONG_HOP_BAO_GIA'!$G$1:$G$5000, MATCH(B941, '00_TONG_HOP_BAO_GIA'!$B$1:$B$5000, 0)), 1)</f>
        <v/>
      </c>
      <c r="I941" s="407">
        <f>G941*H941</f>
        <v/>
      </c>
      <c r="J941" s="402">
        <f>IFERROR(INDEX('06_BANG_GIA_VAT_TU_AP_DUNG'!$E$1:$E$5000, MATCH(E941, '06_BANG_GIA_VAT_TU_AP_DUNG'!$B$1:$B$5000, 0)), 0)</f>
        <v/>
      </c>
      <c r="K941" s="402">
        <f>I941*J941</f>
        <v/>
      </c>
      <c r="L941" t="inlineStr">
        <is>
          <t>Tôn bọc cánh &amp; thân (1 cánh/modul)</t>
        </is>
      </c>
    </row>
    <row r="942">
      <c r="A942" t="inlineStr">
        <is>
          <t>SW-DAMPER-180-AXLE</t>
        </is>
      </c>
      <c r="B942" t="inlineStr">
        <is>
          <t>SW-DAMPER-180</t>
        </is>
      </c>
      <c r="C942" t="inlineStr">
        <is>
          <t>Trục Sus 201 D10</t>
        </is>
      </c>
      <c r="D942" t="inlineStr">
        <is>
          <t>PHỤ_KIỆN_VAN</t>
        </is>
      </c>
      <c r="E942" t="inlineStr">
        <is>
          <t>MAT-DAMPER-TRUC-SUS-201-D10</t>
        </is>
      </c>
      <c r="F942" t="inlineStr">
        <is>
          <t>m</t>
        </is>
      </c>
      <c r="G942" s="406" t="n">
        <v>0.5600000000000001</v>
      </c>
      <c r="H942" s="402">
        <f>IFERROR(INDEX('00_TONG_HOP_BAO_GIA'!$G$1:$G$5000, MATCH(B942, '00_TONG_HOP_BAO_GIA'!$B$1:$B$5000, 0)), 1)</f>
        <v/>
      </c>
      <c r="I942" s="407">
        <f>G942*H942</f>
        <v/>
      </c>
      <c r="J942" s="402">
        <f>IFERROR(INDEX('06_BANG_GIA_VAT_TU_AP_DUNG'!$E$1:$E$5000, MATCH(E942, '06_BANG_GIA_VAT_TU_AP_DUNG'!$B$1:$B$5000, 0)), 0)</f>
        <v/>
      </c>
      <c r="K942" s="402">
        <f>I942*J942</f>
        <v/>
      </c>
      <c r="L942" t="inlineStr">
        <is>
          <t>1 trục dài 560mm</t>
        </is>
      </c>
    </row>
    <row r="943">
      <c r="A943" t="inlineStr">
        <is>
          <t>SW-DAMPER-180-BEARING</t>
        </is>
      </c>
      <c r="B943" t="inlineStr">
        <is>
          <t>SW-DAMPER-180</t>
        </is>
      </c>
      <c r="C943" t="inlineStr">
        <is>
          <t>Bạc đồng D10</t>
        </is>
      </c>
      <c r="D943" t="inlineStr">
        <is>
          <t>PHỤ_KIỆN_VAN</t>
        </is>
      </c>
      <c r="E943" t="inlineStr">
        <is>
          <t>MAT-DAMPER-BAC-DONG-D10</t>
        </is>
      </c>
      <c r="F943" t="inlineStr">
        <is>
          <t>Đôi</t>
        </is>
      </c>
      <c r="G943" s="406" t="n">
        <v>1</v>
      </c>
      <c r="H943" s="402">
        <f>IFERROR(INDEX('00_TONG_HOP_BAO_GIA'!$G$1:$G$5000, MATCH(B943, '00_TONG_HOP_BAO_GIA'!$B$1:$B$5000, 0)), 1)</f>
        <v/>
      </c>
      <c r="I943" s="407">
        <f>G943*H943</f>
        <v/>
      </c>
      <c r="J943" s="402">
        <f>IFERROR(INDEX('06_BANG_GIA_VAT_TU_AP_DUNG'!$E$1:$E$5000, MATCH(E943, '06_BANG_GIA_VAT_TU_AP_DUNG'!$B$1:$B$5000, 0)), 0)</f>
        <v/>
      </c>
      <c r="K943" s="402">
        <f>I943*J943</f>
        <v/>
      </c>
      <c r="L943" t="inlineStr">
        <is>
          <t>1 đôi bạc đỡ 2 bên thân</t>
        </is>
      </c>
    </row>
    <row r="944">
      <c r="A944" t="inlineStr">
        <is>
          <t>SW-DAMPER-180-FUSE</t>
        </is>
      </c>
      <c r="B944" t="inlineStr">
        <is>
          <t>SW-DAMPER-180</t>
        </is>
      </c>
      <c r="C944" t="inlineStr">
        <is>
          <t>Cầu chì nhiệt nóng chảy 70°C/74°C (Elsie/USA)</t>
        </is>
      </c>
      <c r="D944" t="inlineStr">
        <is>
          <t>PHỤ_KIỆN_VAN</t>
        </is>
      </c>
      <c r="E944" t="inlineStr">
        <is>
          <t>MAT-DAMPER-CAU-CHI-USA-2-400X400</t>
        </is>
      </c>
      <c r="F944" t="inlineStr">
        <is>
          <t>Cái</t>
        </is>
      </c>
      <c r="G944" s="406" t="n">
        <v>1</v>
      </c>
      <c r="H944" s="402">
        <f>IFERROR(INDEX('00_TONG_HOP_BAO_GIA'!$G$1:$G$5000, MATCH(B944, '00_TONG_HOP_BAO_GIA'!$B$1:$B$5000, 0)), 1)</f>
        <v/>
      </c>
      <c r="I944" s="407">
        <f>G944*H944</f>
        <v/>
      </c>
      <c r="J944" s="402">
        <f>IFERROR(INDEX('06_BANG_GIA_VAT_TU_AP_DUNG'!$E$1:$E$5000, MATCH(E944, '06_BANG_GIA_VAT_TU_AP_DUNG'!$B$1:$B$5000, 0)), 0)</f>
        <v/>
      </c>
      <c r="K944" s="402">
        <f>I944*J944</f>
        <v/>
      </c>
      <c r="L944" t="inlineStr">
        <is>
          <t>Cầu chì kiểm định PCCC (1 cái)</t>
        </is>
      </c>
    </row>
    <row r="945">
      <c r="A945" t="inlineStr">
        <is>
          <t>SW-DAMPER-180-FB10-BODY</t>
        </is>
      </c>
      <c r="B945" t="inlineStr">
        <is>
          <t>SW-DAMPER-180</t>
        </is>
      </c>
      <c r="C945" t="inlineStr">
        <is>
          <t>Tấm chống cháy dày 10mm bọc thân van FD/MFD (2 lớp)</t>
        </is>
      </c>
      <c r="D945" t="inlineStr">
        <is>
          <t>VẬT_LIỆU_CÁCH_NHIỆT</t>
        </is>
      </c>
      <c r="E945" t="inlineStr">
        <is>
          <t>MAT-FIREBOARD-10MM-BODY</t>
        </is>
      </c>
      <c r="F945" t="inlineStr">
        <is>
          <t>m2</t>
        </is>
      </c>
      <c r="G945" s="406" t="n">
        <v>0.84</v>
      </c>
      <c r="H945" s="402">
        <f>IFERROR(INDEX('00_TONG_HOP_BAO_GIA'!$G$1:$G$5000, MATCH(B945, '00_TONG_HOP_BAO_GIA'!$B$1:$B$5000, 0)), 1)</f>
        <v/>
      </c>
      <c r="I945" s="407">
        <f>G945*H945</f>
        <v/>
      </c>
      <c r="J945" s="402">
        <f>IFERROR(INDEX('06_BANG_GIA_VAT_TU_AP_DUNG'!$E$1:$E$5000, MATCH(E945, '06_BANG_GIA_VAT_TU_AP_DUNG'!$B$1:$B$5000, 0)), 0)</f>
        <v/>
      </c>
      <c r="K945" s="402">
        <f>I945*J945</f>
        <v/>
      </c>
      <c r="L945" t="inlineStr">
        <is>
          <t>Bọc 2 lớp tấm 10mm quanh thân L=300mm</t>
        </is>
      </c>
    </row>
    <row r="946">
      <c r="A946" t="inlineStr">
        <is>
          <t>SW-DAMPER-180-FB20-BLADE</t>
        </is>
      </c>
      <c r="B946" t="inlineStr">
        <is>
          <t>SW-DAMPER-180</t>
        </is>
      </c>
      <c r="C946" t="inlineStr">
        <is>
          <t>Tấm chống cháy dày 20mm làm lõi cánh van FD/MFD</t>
        </is>
      </c>
      <c r="D946" t="inlineStr">
        <is>
          <t>VẬT_LIỆU_CÁCH_NHIỆT</t>
        </is>
      </c>
      <c r="E946" t="inlineStr">
        <is>
          <t>MAT-FIREBOARD-20MM-BLADE</t>
        </is>
      </c>
      <c r="F946" t="inlineStr">
        <is>
          <t>m2</t>
        </is>
      </c>
      <c r="G946" s="406" t="n">
        <v>0.1</v>
      </c>
      <c r="H946" s="402">
        <f>IFERROR(INDEX('00_TONG_HOP_BAO_GIA'!$G$1:$G$5000, MATCH(B946, '00_TONG_HOP_BAO_GIA'!$B$1:$B$5000, 0)), 1)</f>
        <v/>
      </c>
      <c r="I946" s="407">
        <f>G946*H946</f>
        <v/>
      </c>
      <c r="J946" s="402">
        <f>IFERROR(INDEX('06_BANG_GIA_VAT_TU_AP_DUNG'!$E$1:$E$5000, MATCH(E946, '06_BANG_GIA_VAT_TU_AP_DUNG'!$B$1:$B$5000, 0)), 0)</f>
        <v/>
      </c>
      <c r="K946" s="402">
        <f>I946*J946</f>
        <v/>
      </c>
      <c r="L946" t="inlineStr">
        <is>
          <t>Lõi cánh tấm 20mm (Cánh đơn 500x200mm)</t>
        </is>
      </c>
    </row>
    <row r="947">
      <c r="A947" t="inlineStr">
        <is>
          <t>SW-DAMPER-180-FB10-BLADE</t>
        </is>
      </c>
      <c r="B947" t="inlineStr">
        <is>
          <t>SW-DAMPER-180</t>
        </is>
      </c>
      <c r="C947" t="inlineStr">
        <is>
          <t>Tấm chống cháy dày 10mm ốp 2 mặt cánh van FD/MFD</t>
        </is>
      </c>
      <c r="D947" t="inlineStr">
        <is>
          <t>VẬT_LIỆU_CÁCH_NHIỆT</t>
        </is>
      </c>
      <c r="E947" t="inlineStr">
        <is>
          <t>MAT-FIREBOARD-10MM-BLADE</t>
        </is>
      </c>
      <c r="F947" t="inlineStr">
        <is>
          <t>m2</t>
        </is>
      </c>
      <c r="G947" s="406" t="n">
        <v>0.2</v>
      </c>
      <c r="H947" s="402">
        <f>IFERROR(INDEX('00_TONG_HOP_BAO_GIA'!$G$1:$G$5000, MATCH(B947, '00_TONG_HOP_BAO_GIA'!$B$1:$B$5000, 0)), 1)</f>
        <v/>
      </c>
      <c r="I947" s="407">
        <f>G947*H947</f>
        <v/>
      </c>
      <c r="J947" s="402">
        <f>IFERROR(INDEX('06_BANG_GIA_VAT_TU_AP_DUNG'!$E$1:$E$5000, MATCH(E947, '06_BANG_GIA_VAT_TU_AP_DUNG'!$B$1:$B$5000, 0)), 0)</f>
        <v/>
      </c>
      <c r="K947" s="402">
        <f>I947*J947</f>
        <v/>
      </c>
      <c r="L947" t="inlineStr">
        <is>
          <t>Ốp 2 mặt cánh tấm 10mm (Cánh đơn 500x200mm)</t>
        </is>
      </c>
    </row>
    <row r="948">
      <c r="A948" t="inlineStr">
        <is>
          <t>SW-DAMPER-180-SPRING-BOX</t>
        </is>
      </c>
      <c r="B948" t="inlineStr">
        <is>
          <t>SW-DAMPER-180</t>
        </is>
      </c>
      <c r="C948" t="inlineStr">
        <is>
          <t>Hộp lò xo van chặn lửa FD/MFD</t>
        </is>
      </c>
      <c r="D948" t="inlineStr">
        <is>
          <t>PHỤ_KIỆN_VAN</t>
        </is>
      </c>
      <c r="E948" t="inlineStr">
        <is>
          <t>MAT-DAMPER-HOP-LO-XO</t>
        </is>
      </c>
      <c r="F948" t="inlineStr">
        <is>
          <t>Bộ</t>
        </is>
      </c>
      <c r="G948" s="406" t="n">
        <v>1</v>
      </c>
      <c r="H948" s="402">
        <f>IFERROR(INDEX('00_TONG_HOP_BAO_GIA'!$G$1:$G$5000, MATCH(B948, '00_TONG_HOP_BAO_GIA'!$B$1:$B$5000, 0)), 1)</f>
        <v/>
      </c>
      <c r="I948" s="407">
        <f>G948*H948</f>
        <v/>
      </c>
      <c r="J948" s="402">
        <f>IFERROR(INDEX('06_BANG_GIA_VAT_TU_AP_DUNG'!$E$1:$E$5000, MATCH(E948, '06_BANG_GIA_VAT_TU_AP_DUNG'!$B$1:$B$5000, 0)), 0)</f>
        <v/>
      </c>
      <c r="K948" s="402">
        <f>I948*J948</f>
        <v/>
      </c>
      <c r="L948" t="inlineStr">
        <is>
          <t>Hộp lò xo cơ cấu đóng sập (1 bộ)</t>
        </is>
      </c>
    </row>
    <row r="949">
      <c r="A949" t="inlineStr">
        <is>
          <t>SW-DAMPER-180-SILICON-BOLT</t>
        </is>
      </c>
      <c r="B949" t="inlineStr">
        <is>
          <t>SW-DAMPER-180</t>
        </is>
      </c>
      <c r="C949" t="inlineStr">
        <is>
          <t>Silicon chống cháy + bu lông, ốc vít van FD/MFD</t>
        </is>
      </c>
      <c r="D949" t="inlineStr">
        <is>
          <t>PHỤ_KIỆN_VAN</t>
        </is>
      </c>
      <c r="E949" t="inlineStr">
        <is>
          <t>MAT-DAMPER-SILICON-BULONG-VIT</t>
        </is>
      </c>
      <c r="F949" t="inlineStr">
        <is>
          <t>Bộ</t>
        </is>
      </c>
      <c r="G949" s="406" t="n">
        <v>1</v>
      </c>
      <c r="H949" s="402">
        <f>IFERROR(INDEX('00_TONG_HOP_BAO_GIA'!$G$1:$G$5000, MATCH(B949, '00_TONG_HOP_BAO_GIA'!$B$1:$B$5000, 0)), 1)</f>
        <v/>
      </c>
      <c r="I949" s="407">
        <f>G949*H949</f>
        <v/>
      </c>
      <c r="J949" s="402">
        <f>IFERROR(INDEX('06_BANG_GIA_VAT_TU_AP_DUNG'!$E$1:$E$5000, MATCH(E949, '06_BANG_GIA_VAT_TU_AP_DUNG'!$B$1:$B$5000, 0)), 0)</f>
        <v/>
      </c>
      <c r="K949" s="402">
        <f>I949*J949</f>
        <v/>
      </c>
      <c r="L949" t="inlineStr">
        <is>
          <t>Keo silicon chống cháy &amp; phụ kiện lắp ghép (1 bộ)</t>
        </is>
      </c>
    </row>
    <row r="950">
      <c r="A950" t="inlineStr">
        <is>
          <t>SW-DAMPER-181-BODY</t>
        </is>
      </c>
      <c r="B950" t="inlineStr">
        <is>
          <t>SW-DAMPER-181</t>
        </is>
      </c>
      <c r="C950" t="inlineStr">
        <is>
          <t>Thân vỏ van MFD bích C30/TDF (1.15mm)</t>
        </is>
      </c>
      <c r="D950" t="inlineStr">
        <is>
          <t>TÔN_CUỘN_MẠ_KẼM</t>
        </is>
      </c>
      <c r="E950" t="inlineStr">
        <is>
          <t>MAT-STEEL-PN-1.15</t>
        </is>
      </c>
      <c r="F950" t="inlineStr">
        <is>
          <t>kg</t>
        </is>
      </c>
      <c r="G950" s="406" t="n">
        <v>8.292119849999999</v>
      </c>
      <c r="H950" s="402">
        <f>IFERROR(INDEX('00_TONG_HOP_BAO_GIA'!$G$1:$G$5000, MATCH(B950, '00_TONG_HOP_BAO_GIA'!$B$1:$B$5000, 0)), 1)</f>
        <v/>
      </c>
      <c r="I950" s="407">
        <f>G950*H950</f>
        <v/>
      </c>
      <c r="J950" s="402">
        <f>IFERROR(INDEX('06_BANG_GIA_VAT_TU_AP_DUNG'!$E$1:$E$5000, MATCH(E950, '06_BANG_GIA_VAT_TU_AP_DUNG'!$B$1:$B$5000, 0)), 0)</f>
        <v/>
      </c>
      <c r="K950" s="402">
        <f>I950*J950</f>
        <v/>
      </c>
      <c r="L950" t="inlineStr">
        <is>
          <t>Kích thước vỏ 1250x350x200mm</t>
        </is>
      </c>
    </row>
    <row r="951">
      <c r="A951" t="inlineStr">
        <is>
          <t>SW-DAMPER-181-BLADE</t>
        </is>
      </c>
      <c r="B951" t="inlineStr">
        <is>
          <t>SW-DAMPER-181</t>
        </is>
      </c>
      <c r="C951" t="inlineStr">
        <is>
          <t>Lá cánh / Tôn tấm bọc van (2 cánh)</t>
        </is>
      </c>
      <c r="D951" t="inlineStr">
        <is>
          <t>TÔN_CUỘN_MẠ_KẼM</t>
        </is>
      </c>
      <c r="E951" t="inlineStr">
        <is>
          <t>MAT-STEEL-PN-1.15</t>
        </is>
      </c>
      <c r="F951" t="inlineStr">
        <is>
          <t>kg</t>
        </is>
      </c>
      <c r="G951" s="406" t="n">
        <v>7.899062499999999</v>
      </c>
      <c r="H951" s="402">
        <f>IFERROR(INDEX('00_TONG_HOP_BAO_GIA'!$G$1:$G$5000, MATCH(B951, '00_TONG_HOP_BAO_GIA'!$B$1:$B$5000, 0)), 1)</f>
        <v/>
      </c>
      <c r="I951" s="407">
        <f>G951*H951</f>
        <v/>
      </c>
      <c r="J951" s="402">
        <f>IFERROR(INDEX('06_BANG_GIA_VAT_TU_AP_DUNG'!$E$1:$E$5000, MATCH(E951, '06_BANG_GIA_VAT_TU_AP_DUNG'!$B$1:$B$5000, 0)), 0)</f>
        <v/>
      </c>
      <c r="K951" s="402">
        <f>I951*J951</f>
        <v/>
      </c>
      <c r="L951" t="inlineStr">
        <is>
          <t>Tôn bọc cánh &amp; thân (2 cánh/modul)</t>
        </is>
      </c>
    </row>
    <row r="952">
      <c r="A952" t="inlineStr">
        <is>
          <t>SW-DAMPER-181-AXLE</t>
        </is>
      </c>
      <c r="B952" t="inlineStr">
        <is>
          <t>SW-DAMPER-181</t>
        </is>
      </c>
      <c r="C952" t="inlineStr">
        <is>
          <t>Trục Sus 201 D10</t>
        </is>
      </c>
      <c r="D952" t="inlineStr">
        <is>
          <t>PHỤ_KIỆN_VAN</t>
        </is>
      </c>
      <c r="E952" t="inlineStr">
        <is>
          <t>MAT-DAMPER-TRUC-SUS-201-D10</t>
        </is>
      </c>
      <c r="F952" t="inlineStr">
        <is>
          <t>m</t>
        </is>
      </c>
      <c r="G952" s="406" t="n">
        <v>2.62</v>
      </c>
      <c r="H952" s="402">
        <f>IFERROR(INDEX('00_TONG_HOP_BAO_GIA'!$G$1:$G$5000, MATCH(B952, '00_TONG_HOP_BAO_GIA'!$B$1:$B$5000, 0)), 1)</f>
        <v/>
      </c>
      <c r="I952" s="407">
        <f>G952*H952</f>
        <v/>
      </c>
      <c r="J952" s="402">
        <f>IFERROR(INDEX('06_BANG_GIA_VAT_TU_AP_DUNG'!$E$1:$E$5000, MATCH(E952, '06_BANG_GIA_VAT_TU_AP_DUNG'!$B$1:$B$5000, 0)), 0)</f>
        <v/>
      </c>
      <c r="K952" s="402">
        <f>I952*J952</f>
        <v/>
      </c>
      <c r="L952" t="inlineStr">
        <is>
          <t>2 trục dài 1310mm</t>
        </is>
      </c>
    </row>
    <row r="953">
      <c r="A953" t="inlineStr">
        <is>
          <t>SW-DAMPER-181-BEARING</t>
        </is>
      </c>
      <c r="B953" t="inlineStr">
        <is>
          <t>SW-DAMPER-181</t>
        </is>
      </c>
      <c r="C953" t="inlineStr">
        <is>
          <t>Bạc đồng D10</t>
        </is>
      </c>
      <c r="D953" t="inlineStr">
        <is>
          <t>PHỤ_KIỆN_VAN</t>
        </is>
      </c>
      <c r="E953" t="inlineStr">
        <is>
          <t>MAT-DAMPER-BAC-DONG-D10</t>
        </is>
      </c>
      <c r="F953" t="inlineStr">
        <is>
          <t>Đôi</t>
        </is>
      </c>
      <c r="G953" s="406" t="n">
        <v>2</v>
      </c>
      <c r="H953" s="402">
        <f>IFERROR(INDEX('00_TONG_HOP_BAO_GIA'!$G$1:$G$5000, MATCH(B953, '00_TONG_HOP_BAO_GIA'!$B$1:$B$5000, 0)), 1)</f>
        <v/>
      </c>
      <c r="I953" s="407">
        <f>G953*H953</f>
        <v/>
      </c>
      <c r="J953" s="402">
        <f>IFERROR(INDEX('06_BANG_GIA_VAT_TU_AP_DUNG'!$E$1:$E$5000, MATCH(E953, '06_BANG_GIA_VAT_TU_AP_DUNG'!$B$1:$B$5000, 0)), 0)</f>
        <v/>
      </c>
      <c r="K953" s="402">
        <f>I953*J953</f>
        <v/>
      </c>
      <c r="L953" t="inlineStr">
        <is>
          <t>2 đôi bạc đỡ 2 bên thân</t>
        </is>
      </c>
    </row>
    <row r="954">
      <c r="A954" t="inlineStr">
        <is>
          <t>SW-DAMPER-181-GEAR</t>
        </is>
      </c>
      <c r="B954" t="inlineStr">
        <is>
          <t>SW-DAMPER-181</t>
        </is>
      </c>
      <c r="C954" t="inlineStr">
        <is>
          <t>Bánh răng van nhôm</t>
        </is>
      </c>
      <c r="D954" t="inlineStr">
        <is>
          <t>PHỤ_KIỆN_VAN</t>
        </is>
      </c>
      <c r="E954" t="inlineStr">
        <is>
          <t>MAT-DAMPER-BANH-RANG-VAN-NHOM</t>
        </is>
      </c>
      <c r="F954" t="inlineStr">
        <is>
          <t>Bộ</t>
        </is>
      </c>
      <c r="G954" s="406" t="n">
        <v>1</v>
      </c>
      <c r="H954" s="402">
        <f>IFERROR(INDEX('00_TONG_HOP_BAO_GIA'!$G$1:$G$5000, MATCH(B954, '00_TONG_HOP_BAO_GIA'!$B$1:$B$5000, 0)), 1)</f>
        <v/>
      </c>
      <c r="I954" s="407">
        <f>G954*H954</f>
        <v/>
      </c>
      <c r="J954" s="402">
        <f>IFERROR(INDEX('06_BANG_GIA_VAT_TU_AP_DUNG'!$E$1:$E$5000, MATCH(E954, '06_BANG_GIA_VAT_TU_AP_DUNG'!$B$1:$B$5000, 0)), 0)</f>
        <v/>
      </c>
      <c r="K954" s="402">
        <f>I954*J954</f>
        <v/>
      </c>
      <c r="L954" t="inlineStr">
        <is>
          <t>Cơ cấu liên động cánh (1 bộ)</t>
        </is>
      </c>
    </row>
    <row r="955">
      <c r="A955" t="inlineStr">
        <is>
          <t>SW-DAMPER-181-ACTUATOR</t>
        </is>
      </c>
      <c r="B955" t="inlineStr">
        <is>
          <t>SW-DAMPER-181</t>
        </is>
      </c>
      <c r="C955" t="inlineStr">
        <is>
          <t>Động cơ chặn lửa ON/OFF 9Nm, 230V/24V (BELIMO BFN24 / BFN230)</t>
        </is>
      </c>
      <c r="D955" t="inlineStr">
        <is>
          <t>ĐỘNG_CƠ_VÀ_CẢM_BIẾN</t>
        </is>
      </c>
      <c r="E955" t="inlineStr">
        <is>
          <t>MAT-ACTUATOR-BELIMO-BFN24</t>
        </is>
      </c>
      <c r="F955" t="inlineStr">
        <is>
          <t>Cái</t>
        </is>
      </c>
      <c r="G955" s="406" t="n">
        <v>1</v>
      </c>
      <c r="H955" s="402">
        <f>IFERROR(INDEX('00_TONG_HOP_BAO_GIA'!$G$1:$G$5000, MATCH(B955, '00_TONG_HOP_BAO_GIA'!$B$1:$B$5000, 0)), 1)</f>
        <v/>
      </c>
      <c r="I955" s="407">
        <f>G955*H955</f>
        <v/>
      </c>
      <c r="J955" s="402">
        <f>IFERROR(INDEX('06_BANG_GIA_VAT_TU_AP_DUNG'!$E$1:$E$5000, MATCH(E955, '06_BANG_GIA_VAT_TU_AP_DUNG'!$B$1:$B$5000, 0)), 0)</f>
        <v/>
      </c>
      <c r="K955" s="402">
        <f>I955*J955</f>
        <v/>
      </c>
      <c r="L955" t="inlineStr">
        <is>
          <t>Động cơ lò xo phản hồi MFD (1 bộ)</t>
        </is>
      </c>
    </row>
    <row r="956">
      <c r="A956" t="inlineStr">
        <is>
          <t>SW-DAMPER-181-FB10-BODY</t>
        </is>
      </c>
      <c r="B956" t="inlineStr">
        <is>
          <t>SW-DAMPER-181</t>
        </is>
      </c>
      <c r="C956" t="inlineStr">
        <is>
          <t>Tấm chống cháy dày 10mm bọc thân van FD/MFD (2 lớp)</t>
        </is>
      </c>
      <c r="D956" t="inlineStr">
        <is>
          <t>VẬT_LIỆU_CÁCH_NHIỆT</t>
        </is>
      </c>
      <c r="E956" t="inlineStr">
        <is>
          <t>MAT-FIREBOARD-10MM-BODY</t>
        </is>
      </c>
      <c r="F956" t="inlineStr">
        <is>
          <t>m2</t>
        </is>
      </c>
      <c r="G956" s="406" t="n">
        <v>1.92</v>
      </c>
      <c r="H956" s="402">
        <f>IFERROR(INDEX('00_TONG_HOP_BAO_GIA'!$G$1:$G$5000, MATCH(B956, '00_TONG_HOP_BAO_GIA'!$B$1:$B$5000, 0)), 1)</f>
        <v/>
      </c>
      <c r="I956" s="407">
        <f>G956*H956</f>
        <v/>
      </c>
      <c r="J956" s="402">
        <f>IFERROR(INDEX('06_BANG_GIA_VAT_TU_AP_DUNG'!$E$1:$E$5000, MATCH(E956, '06_BANG_GIA_VAT_TU_AP_DUNG'!$B$1:$B$5000, 0)), 0)</f>
        <v/>
      </c>
      <c r="K956" s="402">
        <f>I956*J956</f>
        <v/>
      </c>
      <c r="L956" t="inlineStr">
        <is>
          <t>Bọc 2 lớp tấm 10mm quanh thân L=300mm</t>
        </is>
      </c>
    </row>
    <row r="957">
      <c r="A957" t="inlineStr">
        <is>
          <t>SW-DAMPER-181-FB20-BLADE</t>
        </is>
      </c>
      <c r="B957" t="inlineStr">
        <is>
          <t>SW-DAMPER-181</t>
        </is>
      </c>
      <c r="C957" t="inlineStr">
        <is>
          <t>Tấm chống cháy dày 20mm làm lõi cánh van FD/MFD</t>
        </is>
      </c>
      <c r="D957" t="inlineStr">
        <is>
          <t>VẬT_LIỆU_CÁCH_NHIỆT</t>
        </is>
      </c>
      <c r="E957" t="inlineStr">
        <is>
          <t>MAT-FIREBOARD-20MM-BLADE</t>
        </is>
      </c>
      <c r="F957" t="inlineStr">
        <is>
          <t>m2</t>
        </is>
      </c>
      <c r="G957" s="406" t="n">
        <v>0.6578848993288591</v>
      </c>
      <c r="H957" s="402">
        <f>IFERROR(INDEX('00_TONG_HOP_BAO_GIA'!$G$1:$G$5000, MATCH(B957, '00_TONG_HOP_BAO_GIA'!$B$1:$B$5000, 0)), 1)</f>
        <v/>
      </c>
      <c r="I957" s="407">
        <f>G957*H957</f>
        <v/>
      </c>
      <c r="J957" s="402">
        <f>IFERROR(INDEX('06_BANG_GIA_VAT_TU_AP_DUNG'!$E$1:$E$5000, MATCH(E957, '06_BANG_GIA_VAT_TU_AP_DUNG'!$B$1:$B$5000, 0)), 0)</f>
        <v/>
      </c>
      <c r="K957" s="402">
        <f>I957*J957</f>
        <v/>
      </c>
      <c r="L957" t="inlineStr">
        <is>
          <t>Lõi cánh tấm 20mm (Đa cánh hệ số (H-5)/149=2.32, bản rộng 210mm, hao hụt 10%)</t>
        </is>
      </c>
    </row>
    <row r="958">
      <c r="A958" t="inlineStr">
        <is>
          <t>SW-DAMPER-181-FB10-BLADE</t>
        </is>
      </c>
      <c r="B958" t="inlineStr">
        <is>
          <t>SW-DAMPER-181</t>
        </is>
      </c>
      <c r="C958" t="inlineStr">
        <is>
          <t>Tấm chống cháy dày 10mm ốp 2 mặt cánh van FD/MFD</t>
        </is>
      </c>
      <c r="D958" t="inlineStr">
        <is>
          <t>VẬT_LIỆU_CÁCH_NHIỆT</t>
        </is>
      </c>
      <c r="E958" t="inlineStr">
        <is>
          <t>MAT-FIREBOARD-10MM-BLADE</t>
        </is>
      </c>
      <c r="F958" t="inlineStr">
        <is>
          <t>m2</t>
        </is>
      </c>
      <c r="G958" s="406" t="n">
        <v>1.337164429530201</v>
      </c>
      <c r="H958" s="402">
        <f>IFERROR(INDEX('00_TONG_HOP_BAO_GIA'!$G$1:$G$5000, MATCH(B958, '00_TONG_HOP_BAO_GIA'!$B$1:$B$5000, 0)), 1)</f>
        <v/>
      </c>
      <c r="I958" s="407">
        <f>G958*H958</f>
        <v/>
      </c>
      <c r="J958" s="402">
        <f>IFERROR(INDEX('06_BANG_GIA_VAT_TU_AP_DUNG'!$E$1:$E$5000, MATCH(E958, '06_BANG_GIA_VAT_TU_AP_DUNG'!$B$1:$B$5000, 0)), 0)</f>
        <v/>
      </c>
      <c r="K958" s="402">
        <f>I958*J958</f>
        <v/>
      </c>
      <c r="L958" t="inlineStr">
        <is>
          <t>Ốp 2 mặt cánh tấm 10mm (Đa cánh hệ số (H-5)/149=2.32, bản rộng 210mm, hao hụt 10%)</t>
        </is>
      </c>
    </row>
    <row r="959">
      <c r="A959" t="inlineStr">
        <is>
          <t>SW-DAMPER-181-SPRING-BOX</t>
        </is>
      </c>
      <c r="B959" t="inlineStr">
        <is>
          <t>SW-DAMPER-181</t>
        </is>
      </c>
      <c r="C959" t="inlineStr">
        <is>
          <t>Hộp lò xo van chặn lửa FD/MFD</t>
        </is>
      </c>
      <c r="D959" t="inlineStr">
        <is>
          <t>PHỤ_KIỆN_VAN</t>
        </is>
      </c>
      <c r="E959" t="inlineStr">
        <is>
          <t>MAT-DAMPER-HOP-LO-XO</t>
        </is>
      </c>
      <c r="F959" t="inlineStr">
        <is>
          <t>Bộ</t>
        </is>
      </c>
      <c r="G959" s="406" t="n">
        <v>1</v>
      </c>
      <c r="H959" s="402">
        <f>IFERROR(INDEX('00_TONG_HOP_BAO_GIA'!$G$1:$G$5000, MATCH(B959, '00_TONG_HOP_BAO_GIA'!$B$1:$B$5000, 0)), 1)</f>
        <v/>
      </c>
      <c r="I959" s="407">
        <f>G959*H959</f>
        <v/>
      </c>
      <c r="J959" s="402">
        <f>IFERROR(INDEX('06_BANG_GIA_VAT_TU_AP_DUNG'!$E$1:$E$5000, MATCH(E959, '06_BANG_GIA_VAT_TU_AP_DUNG'!$B$1:$B$5000, 0)), 0)</f>
        <v/>
      </c>
      <c r="K959" s="402">
        <f>I959*J959</f>
        <v/>
      </c>
      <c r="L959" t="inlineStr">
        <is>
          <t>Hộp lò xo cơ cấu đóng sập (1 bộ)</t>
        </is>
      </c>
    </row>
    <row r="960">
      <c r="A960" t="inlineStr">
        <is>
          <t>SW-DAMPER-181-SILICON-BOLT</t>
        </is>
      </c>
      <c r="B960" t="inlineStr">
        <is>
          <t>SW-DAMPER-181</t>
        </is>
      </c>
      <c r="C960" t="inlineStr">
        <is>
          <t>Silicon chống cháy + bu lông, ốc vít van FD/MFD</t>
        </is>
      </c>
      <c r="D960" t="inlineStr">
        <is>
          <t>PHỤ_KIỆN_VAN</t>
        </is>
      </c>
      <c r="E960" t="inlineStr">
        <is>
          <t>MAT-DAMPER-SILICON-BULONG-VIT</t>
        </is>
      </c>
      <c r="F960" t="inlineStr">
        <is>
          <t>Bộ</t>
        </is>
      </c>
      <c r="G960" s="406" t="n">
        <v>1</v>
      </c>
      <c r="H960" s="402">
        <f>IFERROR(INDEX('00_TONG_HOP_BAO_GIA'!$G$1:$G$5000, MATCH(B960, '00_TONG_HOP_BAO_GIA'!$B$1:$B$5000, 0)), 1)</f>
        <v/>
      </c>
      <c r="I960" s="407">
        <f>G960*H960</f>
        <v/>
      </c>
      <c r="J960" s="402">
        <f>IFERROR(INDEX('06_BANG_GIA_VAT_TU_AP_DUNG'!$E$1:$E$5000, MATCH(E960, '06_BANG_GIA_VAT_TU_AP_DUNG'!$B$1:$B$5000, 0)), 0)</f>
        <v/>
      </c>
      <c r="K960" s="402">
        <f>I960*J960</f>
        <v/>
      </c>
      <c r="L960" t="inlineStr">
        <is>
          <t>Keo silicon chống cháy &amp; phụ kiện lắp ghép (1 bộ)</t>
        </is>
      </c>
    </row>
    <row r="961">
      <c r="A961" t="inlineStr">
        <is>
          <t>SW-DAMPER-182-BODY</t>
        </is>
      </c>
      <c r="B961" t="inlineStr">
        <is>
          <t>SW-DAMPER-182</t>
        </is>
      </c>
      <c r="C961" t="inlineStr">
        <is>
          <t>Thân vỏ van MFD bích C30/TDF (1.15mm)</t>
        </is>
      </c>
      <c r="D961" t="inlineStr">
        <is>
          <t>TÔN_CUỘN_MẠ_KẼM</t>
        </is>
      </c>
      <c r="E961" t="inlineStr">
        <is>
          <t>MAT-STEEL-PN-1.15</t>
        </is>
      </c>
      <c r="F961" t="inlineStr">
        <is>
          <t>kg</t>
        </is>
      </c>
      <c r="G961" s="406" t="n">
        <v>8.036190225</v>
      </c>
      <c r="H961" s="402">
        <f>IFERROR(INDEX('00_TONG_HOP_BAO_GIA'!$G$1:$G$5000, MATCH(B961, '00_TONG_HOP_BAO_GIA'!$B$1:$B$5000, 0)), 1)</f>
        <v/>
      </c>
      <c r="I961" s="407">
        <f>G961*H961</f>
        <v/>
      </c>
      <c r="J961" s="402">
        <f>IFERROR(INDEX('06_BANG_GIA_VAT_TU_AP_DUNG'!$E$1:$E$5000, MATCH(E961, '06_BANG_GIA_VAT_TU_AP_DUNG'!$B$1:$B$5000, 0)), 0)</f>
        <v/>
      </c>
      <c r="K961" s="402">
        <f>I961*J961</f>
        <v/>
      </c>
      <c r="L961" t="inlineStr">
        <is>
          <t>Kích thước vỏ 1000x550x200mm</t>
        </is>
      </c>
    </row>
    <row r="962">
      <c r="A962" t="inlineStr">
        <is>
          <t>SW-DAMPER-182-BLADE</t>
        </is>
      </c>
      <c r="B962" t="inlineStr">
        <is>
          <t>SW-DAMPER-182</t>
        </is>
      </c>
      <c r="C962" t="inlineStr">
        <is>
          <t>Lá cánh / Tôn tấm bọc van (4 cánh)</t>
        </is>
      </c>
      <c r="D962" t="inlineStr">
        <is>
          <t>TÔN_CUỘN_MẠ_KẼM</t>
        </is>
      </c>
      <c r="E962" t="inlineStr">
        <is>
          <t>MAT-STEEL-PN-1.15</t>
        </is>
      </c>
      <c r="F962" t="inlineStr">
        <is>
          <t>kg</t>
        </is>
      </c>
      <c r="G962" s="406" t="n">
        <v>9.930249999999999</v>
      </c>
      <c r="H962" s="402">
        <f>IFERROR(INDEX('00_TONG_HOP_BAO_GIA'!$G$1:$G$5000, MATCH(B962, '00_TONG_HOP_BAO_GIA'!$B$1:$B$5000, 0)), 1)</f>
        <v/>
      </c>
      <c r="I962" s="407">
        <f>G962*H962</f>
        <v/>
      </c>
      <c r="J962" s="402">
        <f>IFERROR(INDEX('06_BANG_GIA_VAT_TU_AP_DUNG'!$E$1:$E$5000, MATCH(E962, '06_BANG_GIA_VAT_TU_AP_DUNG'!$B$1:$B$5000, 0)), 0)</f>
        <v/>
      </c>
      <c r="K962" s="402">
        <f>I962*J962</f>
        <v/>
      </c>
      <c r="L962" t="inlineStr">
        <is>
          <t>Tôn bọc cánh &amp; thân (4 cánh/modul)</t>
        </is>
      </c>
    </row>
    <row r="963">
      <c r="A963" t="inlineStr">
        <is>
          <t>SW-DAMPER-182-AXLE</t>
        </is>
      </c>
      <c r="B963" t="inlineStr">
        <is>
          <t>SW-DAMPER-182</t>
        </is>
      </c>
      <c r="C963" t="inlineStr">
        <is>
          <t>Trục Sus 201 D10</t>
        </is>
      </c>
      <c r="D963" t="inlineStr">
        <is>
          <t>PHỤ_KIỆN_VAN</t>
        </is>
      </c>
      <c r="E963" t="inlineStr">
        <is>
          <t>MAT-DAMPER-TRUC-SUS-201-D10</t>
        </is>
      </c>
      <c r="F963" t="inlineStr">
        <is>
          <t>m</t>
        </is>
      </c>
      <c r="G963" s="406" t="n">
        <v>4.24</v>
      </c>
      <c r="H963" s="402">
        <f>IFERROR(INDEX('00_TONG_HOP_BAO_GIA'!$G$1:$G$5000, MATCH(B963, '00_TONG_HOP_BAO_GIA'!$B$1:$B$5000, 0)), 1)</f>
        <v/>
      </c>
      <c r="I963" s="407">
        <f>G963*H963</f>
        <v/>
      </c>
      <c r="J963" s="402">
        <f>IFERROR(INDEX('06_BANG_GIA_VAT_TU_AP_DUNG'!$E$1:$E$5000, MATCH(E963, '06_BANG_GIA_VAT_TU_AP_DUNG'!$B$1:$B$5000, 0)), 0)</f>
        <v/>
      </c>
      <c r="K963" s="402">
        <f>I963*J963</f>
        <v/>
      </c>
      <c r="L963" t="inlineStr">
        <is>
          <t>4 trục dài 1060mm</t>
        </is>
      </c>
    </row>
    <row r="964">
      <c r="A964" t="inlineStr">
        <is>
          <t>SW-DAMPER-182-BEARING</t>
        </is>
      </c>
      <c r="B964" t="inlineStr">
        <is>
          <t>SW-DAMPER-182</t>
        </is>
      </c>
      <c r="C964" t="inlineStr">
        <is>
          <t>Bạc đồng D10</t>
        </is>
      </c>
      <c r="D964" t="inlineStr">
        <is>
          <t>PHỤ_KIỆN_VAN</t>
        </is>
      </c>
      <c r="E964" t="inlineStr">
        <is>
          <t>MAT-DAMPER-BAC-DONG-D10</t>
        </is>
      </c>
      <c r="F964" t="inlineStr">
        <is>
          <t>Đôi</t>
        </is>
      </c>
      <c r="G964" s="406" t="n">
        <v>4</v>
      </c>
      <c r="H964" s="402">
        <f>IFERROR(INDEX('00_TONG_HOP_BAO_GIA'!$G$1:$G$5000, MATCH(B964, '00_TONG_HOP_BAO_GIA'!$B$1:$B$5000, 0)), 1)</f>
        <v/>
      </c>
      <c r="I964" s="407">
        <f>G964*H964</f>
        <v/>
      </c>
      <c r="J964" s="402">
        <f>IFERROR(INDEX('06_BANG_GIA_VAT_TU_AP_DUNG'!$E$1:$E$5000, MATCH(E964, '06_BANG_GIA_VAT_TU_AP_DUNG'!$B$1:$B$5000, 0)), 0)</f>
        <v/>
      </c>
      <c r="K964" s="402">
        <f>I964*J964</f>
        <v/>
      </c>
      <c r="L964" t="inlineStr">
        <is>
          <t>4 đôi bạc đỡ 2 bên thân</t>
        </is>
      </c>
    </row>
    <row r="965">
      <c r="A965" t="inlineStr">
        <is>
          <t>SW-DAMPER-182-GEAR</t>
        </is>
      </c>
      <c r="B965" t="inlineStr">
        <is>
          <t>SW-DAMPER-182</t>
        </is>
      </c>
      <c r="C965" t="inlineStr">
        <is>
          <t>Bánh răng van nhôm</t>
        </is>
      </c>
      <c r="D965" t="inlineStr">
        <is>
          <t>PHỤ_KIỆN_VAN</t>
        </is>
      </c>
      <c r="E965" t="inlineStr">
        <is>
          <t>MAT-DAMPER-BANH-RANG-VAN-NHOM</t>
        </is>
      </c>
      <c r="F965" t="inlineStr">
        <is>
          <t>Bộ</t>
        </is>
      </c>
      <c r="G965" s="406" t="n">
        <v>1</v>
      </c>
      <c r="H965" s="402">
        <f>IFERROR(INDEX('00_TONG_HOP_BAO_GIA'!$G$1:$G$5000, MATCH(B965, '00_TONG_HOP_BAO_GIA'!$B$1:$B$5000, 0)), 1)</f>
        <v/>
      </c>
      <c r="I965" s="407">
        <f>G965*H965</f>
        <v/>
      </c>
      <c r="J965" s="402">
        <f>IFERROR(INDEX('06_BANG_GIA_VAT_TU_AP_DUNG'!$E$1:$E$5000, MATCH(E965, '06_BANG_GIA_VAT_TU_AP_DUNG'!$B$1:$B$5000, 0)), 0)</f>
        <v/>
      </c>
      <c r="K965" s="402">
        <f>I965*J965</f>
        <v/>
      </c>
      <c r="L965" t="inlineStr">
        <is>
          <t>Cơ cấu liên động cánh (1 bộ)</t>
        </is>
      </c>
    </row>
    <row r="966">
      <c r="A966" t="inlineStr">
        <is>
          <t>SW-DAMPER-182-ACTUATOR</t>
        </is>
      </c>
      <c r="B966" t="inlineStr">
        <is>
          <t>SW-DAMPER-182</t>
        </is>
      </c>
      <c r="C966" t="inlineStr">
        <is>
          <t>Động cơ chặn lửa ON/OFF 9Nm, 230V/24V (BELIMO BFN24 / BFN230)</t>
        </is>
      </c>
      <c r="D966" t="inlineStr">
        <is>
          <t>ĐỘNG_CƠ_VÀ_CẢM_BIẾN</t>
        </is>
      </c>
      <c r="E966" t="inlineStr">
        <is>
          <t>MAT-ACTUATOR-BELIMO-BFN24</t>
        </is>
      </c>
      <c r="F966" t="inlineStr">
        <is>
          <t>Cái</t>
        </is>
      </c>
      <c r="G966" s="406" t="n">
        <v>1</v>
      </c>
      <c r="H966" s="402">
        <f>IFERROR(INDEX('00_TONG_HOP_BAO_GIA'!$G$1:$G$5000, MATCH(B966, '00_TONG_HOP_BAO_GIA'!$B$1:$B$5000, 0)), 1)</f>
        <v/>
      </c>
      <c r="I966" s="407">
        <f>G966*H966</f>
        <v/>
      </c>
      <c r="J966" s="402">
        <f>IFERROR(INDEX('06_BANG_GIA_VAT_TU_AP_DUNG'!$E$1:$E$5000, MATCH(E966, '06_BANG_GIA_VAT_TU_AP_DUNG'!$B$1:$B$5000, 0)), 0)</f>
        <v/>
      </c>
      <c r="K966" s="402">
        <f>I966*J966</f>
        <v/>
      </c>
      <c r="L966" t="inlineStr">
        <is>
          <t>Động cơ lò xo phản hồi MFD (1 bộ)</t>
        </is>
      </c>
    </row>
    <row r="967">
      <c r="A967" t="inlineStr">
        <is>
          <t>SW-DAMPER-182-FB10-BODY</t>
        </is>
      </c>
      <c r="B967" t="inlineStr">
        <is>
          <t>SW-DAMPER-182</t>
        </is>
      </c>
      <c r="C967" t="inlineStr">
        <is>
          <t>Tấm chống cháy dày 10mm bọc thân van FD/MFD (2 lớp)</t>
        </is>
      </c>
      <c r="D967" t="inlineStr">
        <is>
          <t>VẬT_LIỆU_CÁCH_NHIỆT</t>
        </is>
      </c>
      <c r="E967" t="inlineStr">
        <is>
          <t>MAT-FIREBOARD-10MM-BODY</t>
        </is>
      </c>
      <c r="F967" t="inlineStr">
        <is>
          <t>m2</t>
        </is>
      </c>
      <c r="G967" s="406" t="n">
        <v>1.86</v>
      </c>
      <c r="H967" s="402">
        <f>IFERROR(INDEX('00_TONG_HOP_BAO_GIA'!$G$1:$G$5000, MATCH(B967, '00_TONG_HOP_BAO_GIA'!$B$1:$B$5000, 0)), 1)</f>
        <v/>
      </c>
      <c r="I967" s="407">
        <f>G967*H967</f>
        <v/>
      </c>
      <c r="J967" s="402">
        <f>IFERROR(INDEX('06_BANG_GIA_VAT_TU_AP_DUNG'!$E$1:$E$5000, MATCH(E967, '06_BANG_GIA_VAT_TU_AP_DUNG'!$B$1:$B$5000, 0)), 0)</f>
        <v/>
      </c>
      <c r="K967" s="402">
        <f>I967*J967</f>
        <v/>
      </c>
      <c r="L967" t="inlineStr">
        <is>
          <t>Bọc 2 lớp tấm 10mm quanh thân L=300mm</t>
        </is>
      </c>
    </row>
    <row r="968">
      <c r="A968" t="inlineStr">
        <is>
          <t>SW-DAMPER-182-FB20-BLADE</t>
        </is>
      </c>
      <c r="B968" t="inlineStr">
        <is>
          <t>SW-DAMPER-182</t>
        </is>
      </c>
      <c r="C968" t="inlineStr">
        <is>
          <t>Tấm chống cháy dày 20mm làm lõi cánh van FD/MFD</t>
        </is>
      </c>
      <c r="D968" t="inlineStr">
        <is>
          <t>VẬT_LIỆU_CÁCH_NHIỆT</t>
        </is>
      </c>
      <c r="E968" t="inlineStr">
        <is>
          <t>MAT-FIREBOARD-20MM-BLADE</t>
        </is>
      </c>
      <c r="F968" t="inlineStr">
        <is>
          <t>m2</t>
        </is>
      </c>
      <c r="G968" s="406" t="n">
        <v>0.8280342281879196</v>
      </c>
      <c r="H968" s="402">
        <f>IFERROR(INDEX('00_TONG_HOP_BAO_GIA'!$G$1:$G$5000, MATCH(B968, '00_TONG_HOP_BAO_GIA'!$B$1:$B$5000, 0)), 1)</f>
        <v/>
      </c>
      <c r="I968" s="407">
        <f>G968*H968</f>
        <v/>
      </c>
      <c r="J968" s="402">
        <f>IFERROR(INDEX('06_BANG_GIA_VAT_TU_AP_DUNG'!$E$1:$E$5000, MATCH(E968, '06_BANG_GIA_VAT_TU_AP_DUNG'!$B$1:$B$5000, 0)), 0)</f>
        <v/>
      </c>
      <c r="K968" s="402">
        <f>I968*J968</f>
        <v/>
      </c>
      <c r="L968" t="inlineStr">
        <is>
          <t>Lõi cánh tấm 20mm (Đa cánh hệ số (H-5)/149=3.66, bản rộng 210mm, hao hụt 10%)</t>
        </is>
      </c>
    </row>
    <row r="969">
      <c r="A969" t="inlineStr">
        <is>
          <t>SW-DAMPER-182-FB10-BLADE</t>
        </is>
      </c>
      <c r="B969" t="inlineStr">
        <is>
          <t>SW-DAMPER-182</t>
        </is>
      </c>
      <c r="C969" t="inlineStr">
        <is>
          <t>Tấm chống cháy dày 10mm ốp 2 mặt cánh van FD/MFD</t>
        </is>
      </c>
      <c r="D969" t="inlineStr">
        <is>
          <t>VẬT_LIỆU_CÁCH_NHIỆT</t>
        </is>
      </c>
      <c r="E969" t="inlineStr">
        <is>
          <t>MAT-FIREBOARD-10MM-BLADE</t>
        </is>
      </c>
      <c r="F969" t="inlineStr">
        <is>
          <t>m2</t>
        </is>
      </c>
      <c r="G969" s="406" t="n">
        <v>1.689865771812081</v>
      </c>
      <c r="H969" s="402">
        <f>IFERROR(INDEX('00_TONG_HOP_BAO_GIA'!$G$1:$G$5000, MATCH(B969, '00_TONG_HOP_BAO_GIA'!$B$1:$B$5000, 0)), 1)</f>
        <v/>
      </c>
      <c r="I969" s="407">
        <f>G969*H969</f>
        <v/>
      </c>
      <c r="J969" s="402">
        <f>IFERROR(INDEX('06_BANG_GIA_VAT_TU_AP_DUNG'!$E$1:$E$5000, MATCH(E969, '06_BANG_GIA_VAT_TU_AP_DUNG'!$B$1:$B$5000, 0)), 0)</f>
        <v/>
      </c>
      <c r="K969" s="402">
        <f>I969*J969</f>
        <v/>
      </c>
      <c r="L969" t="inlineStr">
        <is>
          <t>Ốp 2 mặt cánh tấm 10mm (Đa cánh hệ số (H-5)/149=3.66, bản rộng 210mm, hao hụt 10%)</t>
        </is>
      </c>
    </row>
    <row r="970">
      <c r="A970" t="inlineStr">
        <is>
          <t>SW-DAMPER-182-SPRING-BOX</t>
        </is>
      </c>
      <c r="B970" t="inlineStr">
        <is>
          <t>SW-DAMPER-182</t>
        </is>
      </c>
      <c r="C970" t="inlineStr">
        <is>
          <t>Hộp lò xo van chặn lửa FD/MFD</t>
        </is>
      </c>
      <c r="D970" t="inlineStr">
        <is>
          <t>PHỤ_KIỆN_VAN</t>
        </is>
      </c>
      <c r="E970" t="inlineStr">
        <is>
          <t>MAT-DAMPER-HOP-LO-XO</t>
        </is>
      </c>
      <c r="F970" t="inlineStr">
        <is>
          <t>Bộ</t>
        </is>
      </c>
      <c r="G970" s="406" t="n">
        <v>1</v>
      </c>
      <c r="H970" s="402">
        <f>IFERROR(INDEX('00_TONG_HOP_BAO_GIA'!$G$1:$G$5000, MATCH(B970, '00_TONG_HOP_BAO_GIA'!$B$1:$B$5000, 0)), 1)</f>
        <v/>
      </c>
      <c r="I970" s="407">
        <f>G970*H970</f>
        <v/>
      </c>
      <c r="J970" s="402">
        <f>IFERROR(INDEX('06_BANG_GIA_VAT_TU_AP_DUNG'!$E$1:$E$5000, MATCH(E970, '06_BANG_GIA_VAT_TU_AP_DUNG'!$B$1:$B$5000, 0)), 0)</f>
        <v/>
      </c>
      <c r="K970" s="402">
        <f>I970*J970</f>
        <v/>
      </c>
      <c r="L970" t="inlineStr">
        <is>
          <t>Hộp lò xo cơ cấu đóng sập (1 bộ)</t>
        </is>
      </c>
    </row>
    <row r="971">
      <c r="A971" t="inlineStr">
        <is>
          <t>SW-DAMPER-182-SILICON-BOLT</t>
        </is>
      </c>
      <c r="B971" t="inlineStr">
        <is>
          <t>SW-DAMPER-182</t>
        </is>
      </c>
      <c r="C971" t="inlineStr">
        <is>
          <t>Silicon chống cháy + bu lông, ốc vít van FD/MFD</t>
        </is>
      </c>
      <c r="D971" t="inlineStr">
        <is>
          <t>PHỤ_KIỆN_VAN</t>
        </is>
      </c>
      <c r="E971" t="inlineStr">
        <is>
          <t>MAT-DAMPER-SILICON-BULONG-VIT</t>
        </is>
      </c>
      <c r="F971" t="inlineStr">
        <is>
          <t>Bộ</t>
        </is>
      </c>
      <c r="G971" s="406" t="n">
        <v>1</v>
      </c>
      <c r="H971" s="402">
        <f>IFERROR(INDEX('00_TONG_HOP_BAO_GIA'!$G$1:$G$5000, MATCH(B971, '00_TONG_HOP_BAO_GIA'!$B$1:$B$5000, 0)), 1)</f>
        <v/>
      </c>
      <c r="I971" s="407">
        <f>G971*H971</f>
        <v/>
      </c>
      <c r="J971" s="402">
        <f>IFERROR(INDEX('06_BANG_GIA_VAT_TU_AP_DUNG'!$E$1:$E$5000, MATCH(E971, '06_BANG_GIA_VAT_TU_AP_DUNG'!$B$1:$B$5000, 0)), 0)</f>
        <v/>
      </c>
      <c r="K971" s="402">
        <f>I971*J971</f>
        <v/>
      </c>
      <c r="L971" t="inlineStr">
        <is>
          <t>Keo silicon chống cháy &amp; phụ kiện lắp ghép (1 bộ)</t>
        </is>
      </c>
    </row>
    <row r="972">
      <c r="A972" t="inlineStr">
        <is>
          <t>SW-DAMPER-183-BODY</t>
        </is>
      </c>
      <c r="B972" t="inlineStr">
        <is>
          <t>SW-DAMPER-183</t>
        </is>
      </c>
      <c r="C972" t="inlineStr">
        <is>
          <t>Thân vỏ van MFD bích C30/TDF (1.15mm)</t>
        </is>
      </c>
      <c r="D972" t="inlineStr">
        <is>
          <t>TÔN_CUỘN_MẠ_KẼM</t>
        </is>
      </c>
      <c r="E972" t="inlineStr">
        <is>
          <t>MAT-STEEL-PN-1.15</t>
        </is>
      </c>
      <c r="F972" t="inlineStr">
        <is>
          <t>kg</t>
        </is>
      </c>
      <c r="G972" s="406" t="n">
        <v>3.6853866</v>
      </c>
      <c r="H972" s="402">
        <f>IFERROR(INDEX('00_TONG_HOP_BAO_GIA'!$G$1:$G$5000, MATCH(B972, '00_TONG_HOP_BAO_GIA'!$B$1:$B$5000, 0)), 1)</f>
        <v/>
      </c>
      <c r="I972" s="407">
        <f>G972*H972</f>
        <v/>
      </c>
      <c r="J972" s="402">
        <f>IFERROR(INDEX('06_BANG_GIA_VAT_TU_AP_DUNG'!$E$1:$E$5000, MATCH(E972, '06_BANG_GIA_VAT_TU_AP_DUNG'!$B$1:$B$5000, 0)), 0)</f>
        <v/>
      </c>
      <c r="K972" s="402">
        <f>I972*J972</f>
        <v/>
      </c>
      <c r="L972" t="inlineStr">
        <is>
          <t>Kích thước vỏ 500x200x200mm</t>
        </is>
      </c>
    </row>
    <row r="973">
      <c r="A973" t="inlineStr">
        <is>
          <t>SW-DAMPER-183-BLADE</t>
        </is>
      </c>
      <c r="B973" t="inlineStr">
        <is>
          <t>SW-DAMPER-183</t>
        </is>
      </c>
      <c r="C973" t="inlineStr">
        <is>
          <t>Lá cánh / Tôn tấm bọc van (1 cánh)</t>
        </is>
      </c>
      <c r="D973" t="inlineStr">
        <is>
          <t>TÔN_CUỘN_MẠ_KẼM</t>
        </is>
      </c>
      <c r="E973" t="inlineStr">
        <is>
          <t>MAT-STEEL-PN-1.15</t>
        </is>
      </c>
      <c r="F973" t="inlineStr">
        <is>
          <t>kg</t>
        </is>
      </c>
      <c r="G973" s="406" t="n">
        <v>1.8055</v>
      </c>
      <c r="H973" s="402">
        <f>IFERROR(INDEX('00_TONG_HOP_BAO_GIA'!$G$1:$G$5000, MATCH(B973, '00_TONG_HOP_BAO_GIA'!$B$1:$B$5000, 0)), 1)</f>
        <v/>
      </c>
      <c r="I973" s="407">
        <f>G973*H973</f>
        <v/>
      </c>
      <c r="J973" s="402">
        <f>IFERROR(INDEX('06_BANG_GIA_VAT_TU_AP_DUNG'!$E$1:$E$5000, MATCH(E973, '06_BANG_GIA_VAT_TU_AP_DUNG'!$B$1:$B$5000, 0)), 0)</f>
        <v/>
      </c>
      <c r="K973" s="402">
        <f>I973*J973</f>
        <v/>
      </c>
      <c r="L973" t="inlineStr">
        <is>
          <t>Tôn bọc cánh &amp; thân (1 cánh/modul)</t>
        </is>
      </c>
    </row>
    <row r="974">
      <c r="A974" t="inlineStr">
        <is>
          <t>SW-DAMPER-183-AXLE</t>
        </is>
      </c>
      <c r="B974" t="inlineStr">
        <is>
          <t>SW-DAMPER-183</t>
        </is>
      </c>
      <c r="C974" t="inlineStr">
        <is>
          <t>Trục Sus 201 D10</t>
        </is>
      </c>
      <c r="D974" t="inlineStr">
        <is>
          <t>PHỤ_KIỆN_VAN</t>
        </is>
      </c>
      <c r="E974" t="inlineStr">
        <is>
          <t>MAT-DAMPER-TRUC-SUS-201-D10</t>
        </is>
      </c>
      <c r="F974" t="inlineStr">
        <is>
          <t>m</t>
        </is>
      </c>
      <c r="G974" s="406" t="n">
        <v>0.5600000000000001</v>
      </c>
      <c r="H974" s="402">
        <f>IFERROR(INDEX('00_TONG_HOP_BAO_GIA'!$G$1:$G$5000, MATCH(B974, '00_TONG_HOP_BAO_GIA'!$B$1:$B$5000, 0)), 1)</f>
        <v/>
      </c>
      <c r="I974" s="407">
        <f>G974*H974</f>
        <v/>
      </c>
      <c r="J974" s="402">
        <f>IFERROR(INDEX('06_BANG_GIA_VAT_TU_AP_DUNG'!$E$1:$E$5000, MATCH(E974, '06_BANG_GIA_VAT_TU_AP_DUNG'!$B$1:$B$5000, 0)), 0)</f>
        <v/>
      </c>
      <c r="K974" s="402">
        <f>I974*J974</f>
        <v/>
      </c>
      <c r="L974" t="inlineStr">
        <is>
          <t>1 trục dài 560mm</t>
        </is>
      </c>
    </row>
    <row r="975">
      <c r="A975" t="inlineStr">
        <is>
          <t>SW-DAMPER-183-BEARING</t>
        </is>
      </c>
      <c r="B975" t="inlineStr">
        <is>
          <t>SW-DAMPER-183</t>
        </is>
      </c>
      <c r="C975" t="inlineStr">
        <is>
          <t>Bạc đồng D10</t>
        </is>
      </c>
      <c r="D975" t="inlineStr">
        <is>
          <t>PHỤ_KIỆN_VAN</t>
        </is>
      </c>
      <c r="E975" t="inlineStr">
        <is>
          <t>MAT-DAMPER-BAC-DONG-D10</t>
        </is>
      </c>
      <c r="F975" t="inlineStr">
        <is>
          <t>Đôi</t>
        </is>
      </c>
      <c r="G975" s="406" t="n">
        <v>1</v>
      </c>
      <c r="H975" s="402">
        <f>IFERROR(INDEX('00_TONG_HOP_BAO_GIA'!$G$1:$G$5000, MATCH(B975, '00_TONG_HOP_BAO_GIA'!$B$1:$B$5000, 0)), 1)</f>
        <v/>
      </c>
      <c r="I975" s="407">
        <f>G975*H975</f>
        <v/>
      </c>
      <c r="J975" s="402">
        <f>IFERROR(INDEX('06_BANG_GIA_VAT_TU_AP_DUNG'!$E$1:$E$5000, MATCH(E975, '06_BANG_GIA_VAT_TU_AP_DUNG'!$B$1:$B$5000, 0)), 0)</f>
        <v/>
      </c>
      <c r="K975" s="402">
        <f>I975*J975</f>
        <v/>
      </c>
      <c r="L975" t="inlineStr">
        <is>
          <t>1 đôi bạc đỡ 2 bên thân</t>
        </is>
      </c>
    </row>
    <row r="976">
      <c r="A976" t="inlineStr">
        <is>
          <t>SW-DAMPER-183-ACTUATOR</t>
        </is>
      </c>
      <c r="B976" t="inlineStr">
        <is>
          <t>SW-DAMPER-183</t>
        </is>
      </c>
      <c r="C976" t="inlineStr">
        <is>
          <t>Động cơ chặn lửa ON/OFF 3.5Nm, 230V/24V (BELIMO FSLF24 / FSLF230)</t>
        </is>
      </c>
      <c r="D976" t="inlineStr">
        <is>
          <t>ĐỘNG_CƠ_VÀ_CẢM_BIẾN</t>
        </is>
      </c>
      <c r="E976" t="inlineStr">
        <is>
          <t>MAT-ACTUATOR-BELIMO-FSLF24</t>
        </is>
      </c>
      <c r="F976" t="inlineStr">
        <is>
          <t>Cái</t>
        </is>
      </c>
      <c r="G976" s="406" t="n">
        <v>1</v>
      </c>
      <c r="H976" s="402">
        <f>IFERROR(INDEX('00_TONG_HOP_BAO_GIA'!$G$1:$G$5000, MATCH(B976, '00_TONG_HOP_BAO_GIA'!$B$1:$B$5000, 0)), 1)</f>
        <v/>
      </c>
      <c r="I976" s="407">
        <f>G976*H976</f>
        <v/>
      </c>
      <c r="J976" s="402">
        <f>IFERROR(INDEX('06_BANG_GIA_VAT_TU_AP_DUNG'!$E$1:$E$5000, MATCH(E976, '06_BANG_GIA_VAT_TU_AP_DUNG'!$B$1:$B$5000, 0)), 0)</f>
        <v/>
      </c>
      <c r="K976" s="402">
        <f>I976*J976</f>
        <v/>
      </c>
      <c r="L976" t="inlineStr">
        <is>
          <t>Động cơ lò xo phản hồi MFD (1 bộ)</t>
        </is>
      </c>
    </row>
    <row r="977">
      <c r="A977" t="inlineStr">
        <is>
          <t>SW-DAMPER-183-FB10-BODY</t>
        </is>
      </c>
      <c r="B977" t="inlineStr">
        <is>
          <t>SW-DAMPER-183</t>
        </is>
      </c>
      <c r="C977" t="inlineStr">
        <is>
          <t>Tấm chống cháy dày 10mm bọc thân van FD/MFD (2 lớp)</t>
        </is>
      </c>
      <c r="D977" t="inlineStr">
        <is>
          <t>VẬT_LIỆU_CÁCH_NHIỆT</t>
        </is>
      </c>
      <c r="E977" t="inlineStr">
        <is>
          <t>MAT-FIREBOARD-10MM-BODY</t>
        </is>
      </c>
      <c r="F977" t="inlineStr">
        <is>
          <t>m2</t>
        </is>
      </c>
      <c r="G977" s="406" t="n">
        <v>0.84</v>
      </c>
      <c r="H977" s="402">
        <f>IFERROR(INDEX('00_TONG_HOP_BAO_GIA'!$G$1:$G$5000, MATCH(B977, '00_TONG_HOP_BAO_GIA'!$B$1:$B$5000, 0)), 1)</f>
        <v/>
      </c>
      <c r="I977" s="407">
        <f>G977*H977</f>
        <v/>
      </c>
      <c r="J977" s="402">
        <f>IFERROR(INDEX('06_BANG_GIA_VAT_TU_AP_DUNG'!$E$1:$E$5000, MATCH(E977, '06_BANG_GIA_VAT_TU_AP_DUNG'!$B$1:$B$5000, 0)), 0)</f>
        <v/>
      </c>
      <c r="K977" s="402">
        <f>I977*J977</f>
        <v/>
      </c>
      <c r="L977" t="inlineStr">
        <is>
          <t>Bọc 2 lớp tấm 10mm quanh thân L=300mm</t>
        </is>
      </c>
    </row>
    <row r="978">
      <c r="A978" t="inlineStr">
        <is>
          <t>SW-DAMPER-183-FB20-BLADE</t>
        </is>
      </c>
      <c r="B978" t="inlineStr">
        <is>
          <t>SW-DAMPER-183</t>
        </is>
      </c>
      <c r="C978" t="inlineStr">
        <is>
          <t>Tấm chống cháy dày 20mm làm lõi cánh van FD/MFD</t>
        </is>
      </c>
      <c r="D978" t="inlineStr">
        <is>
          <t>VẬT_LIỆU_CÁCH_NHIỆT</t>
        </is>
      </c>
      <c r="E978" t="inlineStr">
        <is>
          <t>MAT-FIREBOARD-20MM-BLADE</t>
        </is>
      </c>
      <c r="F978" t="inlineStr">
        <is>
          <t>m2</t>
        </is>
      </c>
      <c r="G978" s="406" t="n">
        <v>0.1</v>
      </c>
      <c r="H978" s="402">
        <f>IFERROR(INDEX('00_TONG_HOP_BAO_GIA'!$G$1:$G$5000, MATCH(B978, '00_TONG_HOP_BAO_GIA'!$B$1:$B$5000, 0)), 1)</f>
        <v/>
      </c>
      <c r="I978" s="407">
        <f>G978*H978</f>
        <v/>
      </c>
      <c r="J978" s="402">
        <f>IFERROR(INDEX('06_BANG_GIA_VAT_TU_AP_DUNG'!$E$1:$E$5000, MATCH(E978, '06_BANG_GIA_VAT_TU_AP_DUNG'!$B$1:$B$5000, 0)), 0)</f>
        <v/>
      </c>
      <c r="K978" s="402">
        <f>I978*J978</f>
        <v/>
      </c>
      <c r="L978" t="inlineStr">
        <is>
          <t>Lõi cánh tấm 20mm (Cánh đơn 500x200mm)</t>
        </is>
      </c>
    </row>
    <row r="979">
      <c r="A979" t="inlineStr">
        <is>
          <t>SW-DAMPER-183-FB10-BLADE</t>
        </is>
      </c>
      <c r="B979" t="inlineStr">
        <is>
          <t>SW-DAMPER-183</t>
        </is>
      </c>
      <c r="C979" t="inlineStr">
        <is>
          <t>Tấm chống cháy dày 10mm ốp 2 mặt cánh van FD/MFD</t>
        </is>
      </c>
      <c r="D979" t="inlineStr">
        <is>
          <t>VẬT_LIỆU_CÁCH_NHIỆT</t>
        </is>
      </c>
      <c r="E979" t="inlineStr">
        <is>
          <t>MAT-FIREBOARD-10MM-BLADE</t>
        </is>
      </c>
      <c r="F979" t="inlineStr">
        <is>
          <t>m2</t>
        </is>
      </c>
      <c r="G979" s="406" t="n">
        <v>0.2</v>
      </c>
      <c r="H979" s="402">
        <f>IFERROR(INDEX('00_TONG_HOP_BAO_GIA'!$G$1:$G$5000, MATCH(B979, '00_TONG_HOP_BAO_GIA'!$B$1:$B$5000, 0)), 1)</f>
        <v/>
      </c>
      <c r="I979" s="407">
        <f>G979*H979</f>
        <v/>
      </c>
      <c r="J979" s="402">
        <f>IFERROR(INDEX('06_BANG_GIA_VAT_TU_AP_DUNG'!$E$1:$E$5000, MATCH(E979, '06_BANG_GIA_VAT_TU_AP_DUNG'!$B$1:$B$5000, 0)), 0)</f>
        <v/>
      </c>
      <c r="K979" s="402">
        <f>I979*J979</f>
        <v/>
      </c>
      <c r="L979" t="inlineStr">
        <is>
          <t>Ốp 2 mặt cánh tấm 10mm (Cánh đơn 500x200mm)</t>
        </is>
      </c>
    </row>
    <row r="980">
      <c r="A980" t="inlineStr">
        <is>
          <t>SW-DAMPER-183-SPRING-BOX</t>
        </is>
      </c>
      <c r="B980" t="inlineStr">
        <is>
          <t>SW-DAMPER-183</t>
        </is>
      </c>
      <c r="C980" t="inlineStr">
        <is>
          <t>Hộp lò xo van chặn lửa FD/MFD</t>
        </is>
      </c>
      <c r="D980" t="inlineStr">
        <is>
          <t>PHỤ_KIỆN_VAN</t>
        </is>
      </c>
      <c r="E980" t="inlineStr">
        <is>
          <t>MAT-DAMPER-HOP-LO-XO</t>
        </is>
      </c>
      <c r="F980" t="inlineStr">
        <is>
          <t>Bộ</t>
        </is>
      </c>
      <c r="G980" s="406" t="n">
        <v>1</v>
      </c>
      <c r="H980" s="402">
        <f>IFERROR(INDEX('00_TONG_HOP_BAO_GIA'!$G$1:$G$5000, MATCH(B980, '00_TONG_HOP_BAO_GIA'!$B$1:$B$5000, 0)), 1)</f>
        <v/>
      </c>
      <c r="I980" s="407">
        <f>G980*H980</f>
        <v/>
      </c>
      <c r="J980" s="402">
        <f>IFERROR(INDEX('06_BANG_GIA_VAT_TU_AP_DUNG'!$E$1:$E$5000, MATCH(E980, '06_BANG_GIA_VAT_TU_AP_DUNG'!$B$1:$B$5000, 0)), 0)</f>
        <v/>
      </c>
      <c r="K980" s="402">
        <f>I980*J980</f>
        <v/>
      </c>
      <c r="L980" t="inlineStr">
        <is>
          <t>Hộp lò xo cơ cấu đóng sập (1 bộ)</t>
        </is>
      </c>
    </row>
    <row r="981">
      <c r="A981" t="inlineStr">
        <is>
          <t>SW-DAMPER-183-SILICON-BOLT</t>
        </is>
      </c>
      <c r="B981" t="inlineStr">
        <is>
          <t>SW-DAMPER-183</t>
        </is>
      </c>
      <c r="C981" t="inlineStr">
        <is>
          <t>Silicon chống cháy + bu lông, ốc vít van FD/MFD</t>
        </is>
      </c>
      <c r="D981" t="inlineStr">
        <is>
          <t>PHỤ_KIỆN_VAN</t>
        </is>
      </c>
      <c r="E981" t="inlineStr">
        <is>
          <t>MAT-DAMPER-SILICON-BULONG-VIT</t>
        </is>
      </c>
      <c r="F981" t="inlineStr">
        <is>
          <t>Bộ</t>
        </is>
      </c>
      <c r="G981" s="406" t="n">
        <v>1</v>
      </c>
      <c r="H981" s="402">
        <f>IFERROR(INDEX('00_TONG_HOP_BAO_GIA'!$G$1:$G$5000, MATCH(B981, '00_TONG_HOP_BAO_GIA'!$B$1:$B$5000, 0)), 1)</f>
        <v/>
      </c>
      <c r="I981" s="407">
        <f>G981*H981</f>
        <v/>
      </c>
      <c r="J981" s="402">
        <f>IFERROR(INDEX('06_BANG_GIA_VAT_TU_AP_DUNG'!$E$1:$E$5000, MATCH(E981, '06_BANG_GIA_VAT_TU_AP_DUNG'!$B$1:$B$5000, 0)), 0)</f>
        <v/>
      </c>
      <c r="K981" s="402">
        <f>I981*J981</f>
        <v/>
      </c>
      <c r="L981" t="inlineStr">
        <is>
          <t>Keo silicon chống cháy &amp; phụ kiện lắp ghép (1 bộ)</t>
        </is>
      </c>
    </row>
    <row r="982">
      <c r="A982" t="inlineStr">
        <is>
          <t>SW-DAMPER-184-BODY</t>
        </is>
      </c>
      <c r="B982" t="inlineStr">
        <is>
          <t>SW-DAMPER-184</t>
        </is>
      </c>
      <c r="C982" t="inlineStr">
        <is>
          <t>Thân vỏ van MFD bích C30/TDF (1.15mm)</t>
        </is>
      </c>
      <c r="D982" t="inlineStr">
        <is>
          <t>TÔN_CUỘN_MẠ_KẼM</t>
        </is>
      </c>
      <c r="E982" t="inlineStr">
        <is>
          <t>MAT-STEEL-PN-1.15</t>
        </is>
      </c>
      <c r="F982" t="inlineStr">
        <is>
          <t>kg</t>
        </is>
      </c>
      <c r="G982" s="406" t="n">
        <v>5.732823600000001</v>
      </c>
      <c r="H982" s="402">
        <f>IFERROR(INDEX('00_TONG_HOP_BAO_GIA'!$G$1:$G$5000, MATCH(B982, '00_TONG_HOP_BAO_GIA'!$B$1:$B$5000, 0)), 1)</f>
        <v/>
      </c>
      <c r="I982" s="407">
        <f>G982*H982</f>
        <v/>
      </c>
      <c r="J982" s="402">
        <f>IFERROR(INDEX('06_BANG_GIA_VAT_TU_AP_DUNG'!$E$1:$E$5000, MATCH(E982, '06_BANG_GIA_VAT_TU_AP_DUNG'!$B$1:$B$5000, 0)), 0)</f>
        <v/>
      </c>
      <c r="K982" s="402">
        <f>I982*J982</f>
        <v/>
      </c>
      <c r="L982" t="inlineStr">
        <is>
          <t>Kích thước vỏ 800x300x200mm</t>
        </is>
      </c>
    </row>
    <row r="983">
      <c r="A983" t="inlineStr">
        <is>
          <t>SW-DAMPER-184-BLADE</t>
        </is>
      </c>
      <c r="B983" t="inlineStr">
        <is>
          <t>SW-DAMPER-184</t>
        </is>
      </c>
      <c r="C983" t="inlineStr">
        <is>
          <t>Lá cánh / Tôn tấm bọc van (2 cánh)</t>
        </is>
      </c>
      <c r="D983" t="inlineStr">
        <is>
          <t>TÔN_CUỘN_MẠ_KẼM</t>
        </is>
      </c>
      <c r="E983" t="inlineStr">
        <is>
          <t>MAT-STEEL-PN-1.15</t>
        </is>
      </c>
      <c r="F983" t="inlineStr">
        <is>
          <t>kg</t>
        </is>
      </c>
      <c r="G983" s="406" t="n">
        <v>4.333199999999999</v>
      </c>
      <c r="H983" s="402">
        <f>IFERROR(INDEX('00_TONG_HOP_BAO_GIA'!$G$1:$G$5000, MATCH(B983, '00_TONG_HOP_BAO_GIA'!$B$1:$B$5000, 0)), 1)</f>
        <v/>
      </c>
      <c r="I983" s="407">
        <f>G983*H983</f>
        <v/>
      </c>
      <c r="J983" s="402">
        <f>IFERROR(INDEX('06_BANG_GIA_VAT_TU_AP_DUNG'!$E$1:$E$5000, MATCH(E983, '06_BANG_GIA_VAT_TU_AP_DUNG'!$B$1:$B$5000, 0)), 0)</f>
        <v/>
      </c>
      <c r="K983" s="402">
        <f>I983*J983</f>
        <v/>
      </c>
      <c r="L983" t="inlineStr">
        <is>
          <t>Tôn bọc cánh &amp; thân (2 cánh/modul)</t>
        </is>
      </c>
    </row>
    <row r="984">
      <c r="A984" t="inlineStr">
        <is>
          <t>SW-DAMPER-184-AXLE</t>
        </is>
      </c>
      <c r="B984" t="inlineStr">
        <is>
          <t>SW-DAMPER-184</t>
        </is>
      </c>
      <c r="C984" t="inlineStr">
        <is>
          <t>Trục Sus 201 D10</t>
        </is>
      </c>
      <c r="D984" t="inlineStr">
        <is>
          <t>PHỤ_KIỆN_VAN</t>
        </is>
      </c>
      <c r="E984" t="inlineStr">
        <is>
          <t>MAT-DAMPER-TRUC-SUS-201-D10</t>
        </is>
      </c>
      <c r="F984" t="inlineStr">
        <is>
          <t>m</t>
        </is>
      </c>
      <c r="G984" s="406" t="n">
        <v>1.72</v>
      </c>
      <c r="H984" s="402">
        <f>IFERROR(INDEX('00_TONG_HOP_BAO_GIA'!$G$1:$G$5000, MATCH(B984, '00_TONG_HOP_BAO_GIA'!$B$1:$B$5000, 0)), 1)</f>
        <v/>
      </c>
      <c r="I984" s="407">
        <f>G984*H984</f>
        <v/>
      </c>
      <c r="J984" s="402">
        <f>IFERROR(INDEX('06_BANG_GIA_VAT_TU_AP_DUNG'!$E$1:$E$5000, MATCH(E984, '06_BANG_GIA_VAT_TU_AP_DUNG'!$B$1:$B$5000, 0)), 0)</f>
        <v/>
      </c>
      <c r="K984" s="402">
        <f>I984*J984</f>
        <v/>
      </c>
      <c r="L984" t="inlineStr">
        <is>
          <t>2 trục dài 860mm</t>
        </is>
      </c>
    </row>
    <row r="985">
      <c r="A985" t="inlineStr">
        <is>
          <t>SW-DAMPER-184-BEARING</t>
        </is>
      </c>
      <c r="B985" t="inlineStr">
        <is>
          <t>SW-DAMPER-184</t>
        </is>
      </c>
      <c r="C985" t="inlineStr">
        <is>
          <t>Bạc đồng D10</t>
        </is>
      </c>
      <c r="D985" t="inlineStr">
        <is>
          <t>PHỤ_KIỆN_VAN</t>
        </is>
      </c>
      <c r="E985" t="inlineStr">
        <is>
          <t>MAT-DAMPER-BAC-DONG-D10</t>
        </is>
      </c>
      <c r="F985" t="inlineStr">
        <is>
          <t>Đôi</t>
        </is>
      </c>
      <c r="G985" s="406" t="n">
        <v>2</v>
      </c>
      <c r="H985" s="402">
        <f>IFERROR(INDEX('00_TONG_HOP_BAO_GIA'!$G$1:$G$5000, MATCH(B985, '00_TONG_HOP_BAO_GIA'!$B$1:$B$5000, 0)), 1)</f>
        <v/>
      </c>
      <c r="I985" s="407">
        <f>G985*H985</f>
        <v/>
      </c>
      <c r="J985" s="402">
        <f>IFERROR(INDEX('06_BANG_GIA_VAT_TU_AP_DUNG'!$E$1:$E$5000, MATCH(E985, '06_BANG_GIA_VAT_TU_AP_DUNG'!$B$1:$B$5000, 0)), 0)</f>
        <v/>
      </c>
      <c r="K985" s="402">
        <f>I985*J985</f>
        <v/>
      </c>
      <c r="L985" t="inlineStr">
        <is>
          <t>2 đôi bạc đỡ 2 bên thân</t>
        </is>
      </c>
    </row>
    <row r="986">
      <c r="A986" t="inlineStr">
        <is>
          <t>SW-DAMPER-184-GEAR</t>
        </is>
      </c>
      <c r="B986" t="inlineStr">
        <is>
          <t>SW-DAMPER-184</t>
        </is>
      </c>
      <c r="C986" t="inlineStr">
        <is>
          <t>Bánh răng van nhôm</t>
        </is>
      </c>
      <c r="D986" t="inlineStr">
        <is>
          <t>PHỤ_KIỆN_VAN</t>
        </is>
      </c>
      <c r="E986" t="inlineStr">
        <is>
          <t>MAT-DAMPER-BANH-RANG-VAN-NHOM</t>
        </is>
      </c>
      <c r="F986" t="inlineStr">
        <is>
          <t>Bộ</t>
        </is>
      </c>
      <c r="G986" s="406" t="n">
        <v>1</v>
      </c>
      <c r="H986" s="402">
        <f>IFERROR(INDEX('00_TONG_HOP_BAO_GIA'!$G$1:$G$5000, MATCH(B986, '00_TONG_HOP_BAO_GIA'!$B$1:$B$5000, 0)), 1)</f>
        <v/>
      </c>
      <c r="I986" s="407">
        <f>G986*H986</f>
        <v/>
      </c>
      <c r="J986" s="402">
        <f>IFERROR(INDEX('06_BANG_GIA_VAT_TU_AP_DUNG'!$E$1:$E$5000, MATCH(E986, '06_BANG_GIA_VAT_TU_AP_DUNG'!$B$1:$B$5000, 0)), 0)</f>
        <v/>
      </c>
      <c r="K986" s="402">
        <f>I986*J986</f>
        <v/>
      </c>
      <c r="L986" t="inlineStr">
        <is>
          <t>Cơ cấu liên động cánh (1 bộ)</t>
        </is>
      </c>
    </row>
    <row r="987">
      <c r="A987" t="inlineStr">
        <is>
          <t>SW-DAMPER-184-ACTUATOR</t>
        </is>
      </c>
      <c r="B987" t="inlineStr">
        <is>
          <t>SW-DAMPER-184</t>
        </is>
      </c>
      <c r="C987" t="inlineStr">
        <is>
          <t>Động cơ chặn lửa ON/OFF 9Nm, 230V/24V (BELIMO BFN24 / BFN230)</t>
        </is>
      </c>
      <c r="D987" t="inlineStr">
        <is>
          <t>ĐỘNG_CƠ_VÀ_CẢM_BIẾN</t>
        </is>
      </c>
      <c r="E987" t="inlineStr">
        <is>
          <t>MAT-ACTUATOR-BELIMO-BFN24</t>
        </is>
      </c>
      <c r="F987" t="inlineStr">
        <is>
          <t>Cái</t>
        </is>
      </c>
      <c r="G987" s="406" t="n">
        <v>1</v>
      </c>
      <c r="H987" s="402">
        <f>IFERROR(INDEX('00_TONG_HOP_BAO_GIA'!$G$1:$G$5000, MATCH(B987, '00_TONG_HOP_BAO_GIA'!$B$1:$B$5000, 0)), 1)</f>
        <v/>
      </c>
      <c r="I987" s="407">
        <f>G987*H987</f>
        <v/>
      </c>
      <c r="J987" s="402">
        <f>IFERROR(INDEX('06_BANG_GIA_VAT_TU_AP_DUNG'!$E$1:$E$5000, MATCH(E987, '06_BANG_GIA_VAT_TU_AP_DUNG'!$B$1:$B$5000, 0)), 0)</f>
        <v/>
      </c>
      <c r="K987" s="402">
        <f>I987*J987</f>
        <v/>
      </c>
      <c r="L987" t="inlineStr">
        <is>
          <t>Động cơ lò xo phản hồi MFD (1 bộ)</t>
        </is>
      </c>
    </row>
    <row r="988">
      <c r="A988" t="inlineStr">
        <is>
          <t>SW-DAMPER-184-FB10-BODY</t>
        </is>
      </c>
      <c r="B988" t="inlineStr">
        <is>
          <t>SW-DAMPER-184</t>
        </is>
      </c>
      <c r="C988" t="inlineStr">
        <is>
          <t>Tấm chống cháy dày 10mm bọc thân van FD/MFD (2 lớp)</t>
        </is>
      </c>
      <c r="D988" t="inlineStr">
        <is>
          <t>VẬT_LIỆU_CÁCH_NHIỆT</t>
        </is>
      </c>
      <c r="E988" t="inlineStr">
        <is>
          <t>MAT-FIREBOARD-10MM-BODY</t>
        </is>
      </c>
      <c r="F988" t="inlineStr">
        <is>
          <t>m2</t>
        </is>
      </c>
      <c r="G988" s="406" t="n">
        <v>1.32</v>
      </c>
      <c r="H988" s="402">
        <f>IFERROR(INDEX('00_TONG_HOP_BAO_GIA'!$G$1:$G$5000, MATCH(B988, '00_TONG_HOP_BAO_GIA'!$B$1:$B$5000, 0)), 1)</f>
        <v/>
      </c>
      <c r="I988" s="407">
        <f>G988*H988</f>
        <v/>
      </c>
      <c r="J988" s="402">
        <f>IFERROR(INDEX('06_BANG_GIA_VAT_TU_AP_DUNG'!$E$1:$E$5000, MATCH(E988, '06_BANG_GIA_VAT_TU_AP_DUNG'!$B$1:$B$5000, 0)), 0)</f>
        <v/>
      </c>
      <c r="K988" s="402">
        <f>I988*J988</f>
        <v/>
      </c>
      <c r="L988" t="inlineStr">
        <is>
          <t>Bọc 2 lớp tấm 10mm quanh thân L=300mm</t>
        </is>
      </c>
    </row>
    <row r="989">
      <c r="A989" t="inlineStr">
        <is>
          <t>SW-DAMPER-184-FB20-BLADE</t>
        </is>
      </c>
      <c r="B989" t="inlineStr">
        <is>
          <t>SW-DAMPER-184</t>
        </is>
      </c>
      <c r="C989" t="inlineStr">
        <is>
          <t>Tấm chống cháy dày 20mm làm lõi cánh van FD/MFD</t>
        </is>
      </c>
      <c r="D989" t="inlineStr">
        <is>
          <t>VẬT_LIỆU_CÁCH_NHIỆT</t>
        </is>
      </c>
      <c r="E989" t="inlineStr">
        <is>
          <t>MAT-FIREBOARD-20MM-BLADE</t>
        </is>
      </c>
      <c r="F989" t="inlineStr">
        <is>
          <t>m2</t>
        </is>
      </c>
      <c r="G989" s="406" t="n">
        <v>0.3567322147651007</v>
      </c>
      <c r="H989" s="402">
        <f>IFERROR(INDEX('00_TONG_HOP_BAO_GIA'!$G$1:$G$5000, MATCH(B989, '00_TONG_HOP_BAO_GIA'!$B$1:$B$5000, 0)), 1)</f>
        <v/>
      </c>
      <c r="I989" s="407">
        <f>G989*H989</f>
        <v/>
      </c>
      <c r="J989" s="402">
        <f>IFERROR(INDEX('06_BANG_GIA_VAT_TU_AP_DUNG'!$E$1:$E$5000, MATCH(E989, '06_BANG_GIA_VAT_TU_AP_DUNG'!$B$1:$B$5000, 0)), 0)</f>
        <v/>
      </c>
      <c r="K989" s="402">
        <f>I989*J989</f>
        <v/>
      </c>
      <c r="L989" t="inlineStr">
        <is>
          <t>Lõi cánh tấm 20mm (Đa cánh hệ số (H-5)/149=1.98, bản rộng 210mm, hao hụt 10%)</t>
        </is>
      </c>
    </row>
    <row r="990">
      <c r="A990" t="inlineStr">
        <is>
          <t>SW-DAMPER-184-FB10-BLADE</t>
        </is>
      </c>
      <c r="B990" t="inlineStr">
        <is>
          <t>SW-DAMPER-184</t>
        </is>
      </c>
      <c r="C990" t="inlineStr">
        <is>
          <t>Tấm chống cháy dày 10mm ốp 2 mặt cánh van FD/MFD</t>
        </is>
      </c>
      <c r="D990" t="inlineStr">
        <is>
          <t>VẬT_LIỆU_CÁCH_NHIỆT</t>
        </is>
      </c>
      <c r="E990" t="inlineStr">
        <is>
          <t>MAT-FIREBOARD-10MM-BLADE</t>
        </is>
      </c>
      <c r="F990" t="inlineStr">
        <is>
          <t>m2</t>
        </is>
      </c>
      <c r="G990" s="406" t="n">
        <v>0.731758389261745</v>
      </c>
      <c r="H990" s="402">
        <f>IFERROR(INDEX('00_TONG_HOP_BAO_GIA'!$G$1:$G$5000, MATCH(B990, '00_TONG_HOP_BAO_GIA'!$B$1:$B$5000, 0)), 1)</f>
        <v/>
      </c>
      <c r="I990" s="407">
        <f>G990*H990</f>
        <v/>
      </c>
      <c r="J990" s="402">
        <f>IFERROR(INDEX('06_BANG_GIA_VAT_TU_AP_DUNG'!$E$1:$E$5000, MATCH(E990, '06_BANG_GIA_VAT_TU_AP_DUNG'!$B$1:$B$5000, 0)), 0)</f>
        <v/>
      </c>
      <c r="K990" s="402">
        <f>I990*J990</f>
        <v/>
      </c>
      <c r="L990" t="inlineStr">
        <is>
          <t>Ốp 2 mặt cánh tấm 10mm (Đa cánh hệ số (H-5)/149=1.98, bản rộng 210mm, hao hụt 10%)</t>
        </is>
      </c>
    </row>
    <row r="991">
      <c r="A991" t="inlineStr">
        <is>
          <t>SW-DAMPER-184-SPRING-BOX</t>
        </is>
      </c>
      <c r="B991" t="inlineStr">
        <is>
          <t>SW-DAMPER-184</t>
        </is>
      </c>
      <c r="C991" t="inlineStr">
        <is>
          <t>Hộp lò xo van chặn lửa FD/MFD</t>
        </is>
      </c>
      <c r="D991" t="inlineStr">
        <is>
          <t>PHỤ_KIỆN_VAN</t>
        </is>
      </c>
      <c r="E991" t="inlineStr">
        <is>
          <t>MAT-DAMPER-HOP-LO-XO</t>
        </is>
      </c>
      <c r="F991" t="inlineStr">
        <is>
          <t>Bộ</t>
        </is>
      </c>
      <c r="G991" s="406" t="n">
        <v>1</v>
      </c>
      <c r="H991" s="402">
        <f>IFERROR(INDEX('00_TONG_HOP_BAO_GIA'!$G$1:$G$5000, MATCH(B991, '00_TONG_HOP_BAO_GIA'!$B$1:$B$5000, 0)), 1)</f>
        <v/>
      </c>
      <c r="I991" s="407">
        <f>G991*H991</f>
        <v/>
      </c>
      <c r="J991" s="402">
        <f>IFERROR(INDEX('06_BANG_GIA_VAT_TU_AP_DUNG'!$E$1:$E$5000, MATCH(E991, '06_BANG_GIA_VAT_TU_AP_DUNG'!$B$1:$B$5000, 0)), 0)</f>
        <v/>
      </c>
      <c r="K991" s="402">
        <f>I991*J991</f>
        <v/>
      </c>
      <c r="L991" t="inlineStr">
        <is>
          <t>Hộp lò xo cơ cấu đóng sập (1 bộ)</t>
        </is>
      </c>
    </row>
    <row r="992">
      <c r="A992" t="inlineStr">
        <is>
          <t>SW-DAMPER-184-SILICON-BOLT</t>
        </is>
      </c>
      <c r="B992" t="inlineStr">
        <is>
          <t>SW-DAMPER-184</t>
        </is>
      </c>
      <c r="C992" t="inlineStr">
        <is>
          <t>Silicon chống cháy + bu lông, ốc vít van FD/MFD</t>
        </is>
      </c>
      <c r="D992" t="inlineStr">
        <is>
          <t>PHỤ_KIỆN_VAN</t>
        </is>
      </c>
      <c r="E992" t="inlineStr">
        <is>
          <t>MAT-DAMPER-SILICON-BULONG-VIT</t>
        </is>
      </c>
      <c r="F992" t="inlineStr">
        <is>
          <t>Bộ</t>
        </is>
      </c>
      <c r="G992" s="406" t="n">
        <v>1</v>
      </c>
      <c r="H992" s="402">
        <f>IFERROR(INDEX('00_TONG_HOP_BAO_GIA'!$G$1:$G$5000, MATCH(B992, '00_TONG_HOP_BAO_GIA'!$B$1:$B$5000, 0)), 1)</f>
        <v/>
      </c>
      <c r="I992" s="407">
        <f>G992*H992</f>
        <v/>
      </c>
      <c r="J992" s="402">
        <f>IFERROR(INDEX('06_BANG_GIA_VAT_TU_AP_DUNG'!$E$1:$E$5000, MATCH(E992, '06_BANG_GIA_VAT_TU_AP_DUNG'!$B$1:$B$5000, 0)), 0)</f>
        <v/>
      </c>
      <c r="K992" s="402">
        <f>I992*J992</f>
        <v/>
      </c>
      <c r="L992" t="inlineStr">
        <is>
          <t>Keo silicon chống cháy &amp; phụ kiện lắp ghép (1 bộ)</t>
        </is>
      </c>
    </row>
    <row r="993">
      <c r="A993" t="inlineStr">
        <is>
          <t>SW-DAMPER-185-BODY</t>
        </is>
      </c>
      <c r="B993" t="inlineStr">
        <is>
          <t>SW-DAMPER-185</t>
        </is>
      </c>
      <c r="C993" t="inlineStr">
        <is>
          <t>Thân vỏ van MFD bích C30/TDF (1.15mm)</t>
        </is>
      </c>
      <c r="D993" t="inlineStr">
        <is>
          <t>TÔN_CUỘN_MẠ_KẼM</t>
        </is>
      </c>
      <c r="E993" t="inlineStr">
        <is>
          <t>MAT-STEEL-PN-1.15</t>
        </is>
      </c>
      <c r="F993" t="inlineStr">
        <is>
          <t>kg</t>
        </is>
      </c>
      <c r="G993" s="406" t="n">
        <v>9.571767975</v>
      </c>
      <c r="H993" s="402">
        <f>IFERROR(INDEX('00_TONG_HOP_BAO_GIA'!$G$1:$G$5000, MATCH(B993, '00_TONG_HOP_BAO_GIA'!$B$1:$B$5000, 0)), 1)</f>
        <v/>
      </c>
      <c r="I993" s="407">
        <f>G993*H993</f>
        <v/>
      </c>
      <c r="J993" s="402">
        <f>IFERROR(INDEX('06_BANG_GIA_VAT_TU_AP_DUNG'!$E$1:$E$5000, MATCH(E993, '06_BANG_GIA_VAT_TU_AP_DUNG'!$B$1:$B$5000, 0)), 0)</f>
        <v/>
      </c>
      <c r="K993" s="402">
        <f>I993*J993</f>
        <v/>
      </c>
      <c r="L993" t="inlineStr">
        <is>
          <t>Kích thước vỏ 1200x650x200mm</t>
        </is>
      </c>
    </row>
    <row r="994">
      <c r="A994" t="inlineStr">
        <is>
          <t>SW-DAMPER-185-BLADE</t>
        </is>
      </c>
      <c r="B994" t="inlineStr">
        <is>
          <t>SW-DAMPER-185</t>
        </is>
      </c>
      <c r="C994" t="inlineStr">
        <is>
          <t>Lá cánh / Tôn tấm bọc van (4 cánh)</t>
        </is>
      </c>
      <c r="D994" t="inlineStr">
        <is>
          <t>TÔN_CUỘN_MẠ_KẼM</t>
        </is>
      </c>
      <c r="E994" t="inlineStr">
        <is>
          <t>MAT-STEEL-PN-1.15</t>
        </is>
      </c>
      <c r="F994" t="inlineStr">
        <is>
          <t>kg</t>
        </is>
      </c>
      <c r="G994" s="406" t="n">
        <v>14.0829</v>
      </c>
      <c r="H994" s="402">
        <f>IFERROR(INDEX('00_TONG_HOP_BAO_GIA'!$G$1:$G$5000, MATCH(B994, '00_TONG_HOP_BAO_GIA'!$B$1:$B$5000, 0)), 1)</f>
        <v/>
      </c>
      <c r="I994" s="407">
        <f>G994*H994</f>
        <v/>
      </c>
      <c r="J994" s="402">
        <f>IFERROR(INDEX('06_BANG_GIA_VAT_TU_AP_DUNG'!$E$1:$E$5000, MATCH(E994, '06_BANG_GIA_VAT_TU_AP_DUNG'!$B$1:$B$5000, 0)), 0)</f>
        <v/>
      </c>
      <c r="K994" s="402">
        <f>I994*J994</f>
        <v/>
      </c>
      <c r="L994" t="inlineStr">
        <is>
          <t>Tôn bọc cánh &amp; thân (4 cánh/modul)</t>
        </is>
      </c>
    </row>
    <row r="995">
      <c r="A995" t="inlineStr">
        <is>
          <t>SW-DAMPER-185-AXLE</t>
        </is>
      </c>
      <c r="B995" t="inlineStr">
        <is>
          <t>SW-DAMPER-185</t>
        </is>
      </c>
      <c r="C995" t="inlineStr">
        <is>
          <t>Trục Sus 201 D10</t>
        </is>
      </c>
      <c r="D995" t="inlineStr">
        <is>
          <t>PHỤ_KIỆN_VAN</t>
        </is>
      </c>
      <c r="E995" t="inlineStr">
        <is>
          <t>MAT-DAMPER-TRUC-SUS-201-D10</t>
        </is>
      </c>
      <c r="F995" t="inlineStr">
        <is>
          <t>m</t>
        </is>
      </c>
      <c r="G995" s="406" t="n">
        <v>5.04</v>
      </c>
      <c r="H995" s="402">
        <f>IFERROR(INDEX('00_TONG_HOP_BAO_GIA'!$G$1:$G$5000, MATCH(B995, '00_TONG_HOP_BAO_GIA'!$B$1:$B$5000, 0)), 1)</f>
        <v/>
      </c>
      <c r="I995" s="407">
        <f>G995*H995</f>
        <v/>
      </c>
      <c r="J995" s="402">
        <f>IFERROR(INDEX('06_BANG_GIA_VAT_TU_AP_DUNG'!$E$1:$E$5000, MATCH(E995, '06_BANG_GIA_VAT_TU_AP_DUNG'!$B$1:$B$5000, 0)), 0)</f>
        <v/>
      </c>
      <c r="K995" s="402">
        <f>I995*J995</f>
        <v/>
      </c>
      <c r="L995" t="inlineStr">
        <is>
          <t>4 trục dài 1260mm</t>
        </is>
      </c>
    </row>
    <row r="996">
      <c r="A996" t="inlineStr">
        <is>
          <t>SW-DAMPER-185-BEARING</t>
        </is>
      </c>
      <c r="B996" t="inlineStr">
        <is>
          <t>SW-DAMPER-185</t>
        </is>
      </c>
      <c r="C996" t="inlineStr">
        <is>
          <t>Bạc đồng D10</t>
        </is>
      </c>
      <c r="D996" t="inlineStr">
        <is>
          <t>PHỤ_KIỆN_VAN</t>
        </is>
      </c>
      <c r="E996" t="inlineStr">
        <is>
          <t>MAT-DAMPER-BAC-DONG-D10</t>
        </is>
      </c>
      <c r="F996" t="inlineStr">
        <is>
          <t>Đôi</t>
        </is>
      </c>
      <c r="G996" s="406" t="n">
        <v>4</v>
      </c>
      <c r="H996" s="402">
        <f>IFERROR(INDEX('00_TONG_HOP_BAO_GIA'!$G$1:$G$5000, MATCH(B996, '00_TONG_HOP_BAO_GIA'!$B$1:$B$5000, 0)), 1)</f>
        <v/>
      </c>
      <c r="I996" s="407">
        <f>G996*H996</f>
        <v/>
      </c>
      <c r="J996" s="402">
        <f>IFERROR(INDEX('06_BANG_GIA_VAT_TU_AP_DUNG'!$E$1:$E$5000, MATCH(E996, '06_BANG_GIA_VAT_TU_AP_DUNG'!$B$1:$B$5000, 0)), 0)</f>
        <v/>
      </c>
      <c r="K996" s="402">
        <f>I996*J996</f>
        <v/>
      </c>
      <c r="L996" t="inlineStr">
        <is>
          <t>4 đôi bạc đỡ 2 bên thân</t>
        </is>
      </c>
    </row>
    <row r="997">
      <c r="A997" t="inlineStr">
        <is>
          <t>SW-DAMPER-185-GEAR</t>
        </is>
      </c>
      <c r="B997" t="inlineStr">
        <is>
          <t>SW-DAMPER-185</t>
        </is>
      </c>
      <c r="C997" t="inlineStr">
        <is>
          <t>Bánh răng van nhôm</t>
        </is>
      </c>
      <c r="D997" t="inlineStr">
        <is>
          <t>PHỤ_KIỆN_VAN</t>
        </is>
      </c>
      <c r="E997" t="inlineStr">
        <is>
          <t>MAT-DAMPER-BANH-RANG-VAN-NHOM</t>
        </is>
      </c>
      <c r="F997" t="inlineStr">
        <is>
          <t>Bộ</t>
        </is>
      </c>
      <c r="G997" s="406" t="n">
        <v>1</v>
      </c>
      <c r="H997" s="402">
        <f>IFERROR(INDEX('00_TONG_HOP_BAO_GIA'!$G$1:$G$5000, MATCH(B997, '00_TONG_HOP_BAO_GIA'!$B$1:$B$5000, 0)), 1)</f>
        <v/>
      </c>
      <c r="I997" s="407">
        <f>G997*H997</f>
        <v/>
      </c>
      <c r="J997" s="402">
        <f>IFERROR(INDEX('06_BANG_GIA_VAT_TU_AP_DUNG'!$E$1:$E$5000, MATCH(E997, '06_BANG_GIA_VAT_TU_AP_DUNG'!$B$1:$B$5000, 0)), 0)</f>
        <v/>
      </c>
      <c r="K997" s="402">
        <f>I997*J997</f>
        <v/>
      </c>
      <c r="L997" t="inlineStr">
        <is>
          <t>Cơ cấu liên động cánh (1 bộ)</t>
        </is>
      </c>
    </row>
    <row r="998">
      <c r="A998" t="inlineStr">
        <is>
          <t>SW-DAMPER-185-ACTUATOR</t>
        </is>
      </c>
      <c r="B998" t="inlineStr">
        <is>
          <t>SW-DAMPER-185</t>
        </is>
      </c>
      <c r="C998" t="inlineStr">
        <is>
          <t>Động cơ chặn lửa ON/OFF 9Nm, 230V/24V (BELIMO BFN24 / BFN230)</t>
        </is>
      </c>
      <c r="D998" t="inlineStr">
        <is>
          <t>ĐỘNG_CƠ_VÀ_CẢM_BIẾN</t>
        </is>
      </c>
      <c r="E998" t="inlineStr">
        <is>
          <t>MAT-ACTUATOR-BELIMO-BFN24</t>
        </is>
      </c>
      <c r="F998" t="inlineStr">
        <is>
          <t>Cái</t>
        </is>
      </c>
      <c r="G998" s="406" t="n">
        <v>1</v>
      </c>
      <c r="H998" s="402">
        <f>IFERROR(INDEX('00_TONG_HOP_BAO_GIA'!$G$1:$G$5000, MATCH(B998, '00_TONG_HOP_BAO_GIA'!$B$1:$B$5000, 0)), 1)</f>
        <v/>
      </c>
      <c r="I998" s="407">
        <f>G998*H998</f>
        <v/>
      </c>
      <c r="J998" s="402">
        <f>IFERROR(INDEX('06_BANG_GIA_VAT_TU_AP_DUNG'!$E$1:$E$5000, MATCH(E998, '06_BANG_GIA_VAT_TU_AP_DUNG'!$B$1:$B$5000, 0)), 0)</f>
        <v/>
      </c>
      <c r="K998" s="402">
        <f>I998*J998</f>
        <v/>
      </c>
      <c r="L998" t="inlineStr">
        <is>
          <t>Động cơ lò xo phản hồi MFD (1 bộ)</t>
        </is>
      </c>
    </row>
    <row r="999">
      <c r="A999" t="inlineStr">
        <is>
          <t>SW-DAMPER-185-FB10-BODY</t>
        </is>
      </c>
      <c r="B999" t="inlineStr">
        <is>
          <t>SW-DAMPER-185</t>
        </is>
      </c>
      <c r="C999" t="inlineStr">
        <is>
          <t>Tấm chống cháy dày 10mm bọc thân van FD/MFD (2 lớp)</t>
        </is>
      </c>
      <c r="D999" t="inlineStr">
        <is>
          <t>VẬT_LIỆU_CÁCH_NHIỆT</t>
        </is>
      </c>
      <c r="E999" t="inlineStr">
        <is>
          <t>MAT-FIREBOARD-10MM-BODY</t>
        </is>
      </c>
      <c r="F999" t="inlineStr">
        <is>
          <t>m2</t>
        </is>
      </c>
      <c r="G999" s="406" t="n">
        <v>2.22</v>
      </c>
      <c r="H999" s="402">
        <f>IFERROR(INDEX('00_TONG_HOP_BAO_GIA'!$G$1:$G$5000, MATCH(B999, '00_TONG_HOP_BAO_GIA'!$B$1:$B$5000, 0)), 1)</f>
        <v/>
      </c>
      <c r="I999" s="407">
        <f>G999*H999</f>
        <v/>
      </c>
      <c r="J999" s="402">
        <f>IFERROR(INDEX('06_BANG_GIA_VAT_TU_AP_DUNG'!$E$1:$E$5000, MATCH(E999, '06_BANG_GIA_VAT_TU_AP_DUNG'!$B$1:$B$5000, 0)), 0)</f>
        <v/>
      </c>
      <c r="K999" s="402">
        <f>I999*J999</f>
        <v/>
      </c>
      <c r="L999" t="inlineStr">
        <is>
          <t>Bọc 2 lớp tấm 10mm quanh thân L=300mm</t>
        </is>
      </c>
    </row>
    <row r="1000">
      <c r="A1000" t="inlineStr">
        <is>
          <t>SW-DAMPER-185-FB20-BLADE</t>
        </is>
      </c>
      <c r="B1000" t="inlineStr">
        <is>
          <t>SW-DAMPER-185</t>
        </is>
      </c>
      <c r="C1000" t="inlineStr">
        <is>
          <t>Tấm chống cháy dày 20mm làm lõi cánh van FD/MFD</t>
        </is>
      </c>
      <c r="D1000" t="inlineStr">
        <is>
          <t>VẬT_LIỆU_CÁCH_NHIỆT</t>
        </is>
      </c>
      <c r="E1000" t="inlineStr">
        <is>
          <t>MAT-FIREBOARD-20MM-BLADE</t>
        </is>
      </c>
      <c r="F1000" t="inlineStr">
        <is>
          <t>m2</t>
        </is>
      </c>
      <c r="G1000" s="406" t="n">
        <v>1.179960402684564</v>
      </c>
      <c r="H1000" s="402">
        <f>IFERROR(INDEX('00_TONG_HOP_BAO_GIA'!$G$1:$G$5000, MATCH(B1000, '00_TONG_HOP_BAO_GIA'!$B$1:$B$5000, 0)), 1)</f>
        <v/>
      </c>
      <c r="I1000" s="407">
        <f>G1000*H1000</f>
        <v/>
      </c>
      <c r="J1000" s="402">
        <f>IFERROR(INDEX('06_BANG_GIA_VAT_TU_AP_DUNG'!$E$1:$E$5000, MATCH(E1000, '06_BANG_GIA_VAT_TU_AP_DUNG'!$B$1:$B$5000, 0)), 0)</f>
        <v/>
      </c>
      <c r="K1000" s="402">
        <f>I1000*J1000</f>
        <v/>
      </c>
      <c r="L1000" t="inlineStr">
        <is>
          <t>Lõi cánh tấm 20mm (Đa cánh hệ số (H-5)/149=4.33, bản rộng 210mm, hao hụt 10%)</t>
        </is>
      </c>
    </row>
    <row r="1001">
      <c r="A1001" t="inlineStr">
        <is>
          <t>SW-DAMPER-185-FB10-BLADE</t>
        </is>
      </c>
      <c r="B1001" t="inlineStr">
        <is>
          <t>SW-DAMPER-185</t>
        </is>
      </c>
      <c r="C1001" t="inlineStr">
        <is>
          <t>Tấm chống cháy dày 10mm ốp 2 mặt cánh van FD/MFD</t>
        </is>
      </c>
      <c r="D1001" t="inlineStr">
        <is>
          <t>VẬT_LIỆU_CÁCH_NHIỆT</t>
        </is>
      </c>
      <c r="E1001" t="inlineStr">
        <is>
          <t>MAT-FIREBOARD-10MM-BLADE</t>
        </is>
      </c>
      <c r="F1001" t="inlineStr">
        <is>
          <t>m2</t>
        </is>
      </c>
      <c r="G1001" s="406" t="n">
        <v>2.399919463087248</v>
      </c>
      <c r="H1001" s="402">
        <f>IFERROR(INDEX('00_TONG_HOP_BAO_GIA'!$G$1:$G$5000, MATCH(B1001, '00_TONG_HOP_BAO_GIA'!$B$1:$B$5000, 0)), 1)</f>
        <v/>
      </c>
      <c r="I1001" s="407">
        <f>G1001*H1001</f>
        <v/>
      </c>
      <c r="J1001" s="402">
        <f>IFERROR(INDEX('06_BANG_GIA_VAT_TU_AP_DUNG'!$E$1:$E$5000, MATCH(E1001, '06_BANG_GIA_VAT_TU_AP_DUNG'!$B$1:$B$5000, 0)), 0)</f>
        <v/>
      </c>
      <c r="K1001" s="402">
        <f>I1001*J1001</f>
        <v/>
      </c>
      <c r="L1001" t="inlineStr">
        <is>
          <t>Ốp 2 mặt cánh tấm 10mm (Đa cánh hệ số (H-5)/149=4.33, bản rộng 210mm, hao hụt 10%)</t>
        </is>
      </c>
    </row>
    <row r="1002">
      <c r="A1002" t="inlineStr">
        <is>
          <t>SW-DAMPER-185-SPRING-BOX</t>
        </is>
      </c>
      <c r="B1002" t="inlineStr">
        <is>
          <t>SW-DAMPER-185</t>
        </is>
      </c>
      <c r="C1002" t="inlineStr">
        <is>
          <t>Hộp lò xo van chặn lửa FD/MFD</t>
        </is>
      </c>
      <c r="D1002" t="inlineStr">
        <is>
          <t>PHỤ_KIỆN_VAN</t>
        </is>
      </c>
      <c r="E1002" t="inlineStr">
        <is>
          <t>MAT-DAMPER-HOP-LO-XO</t>
        </is>
      </c>
      <c r="F1002" t="inlineStr">
        <is>
          <t>Bộ</t>
        </is>
      </c>
      <c r="G1002" s="406" t="n">
        <v>1</v>
      </c>
      <c r="H1002" s="402">
        <f>IFERROR(INDEX('00_TONG_HOP_BAO_GIA'!$G$1:$G$5000, MATCH(B1002, '00_TONG_HOP_BAO_GIA'!$B$1:$B$5000, 0)), 1)</f>
        <v/>
      </c>
      <c r="I1002" s="407">
        <f>G1002*H1002</f>
        <v/>
      </c>
      <c r="J1002" s="402">
        <f>IFERROR(INDEX('06_BANG_GIA_VAT_TU_AP_DUNG'!$E$1:$E$5000, MATCH(E1002, '06_BANG_GIA_VAT_TU_AP_DUNG'!$B$1:$B$5000, 0)), 0)</f>
        <v/>
      </c>
      <c r="K1002" s="402">
        <f>I1002*J1002</f>
        <v/>
      </c>
      <c r="L1002" t="inlineStr">
        <is>
          <t>Hộp lò xo cơ cấu đóng sập (1 bộ)</t>
        </is>
      </c>
    </row>
    <row r="1003">
      <c r="A1003" t="inlineStr">
        <is>
          <t>SW-DAMPER-185-SILICON-BOLT</t>
        </is>
      </c>
      <c r="B1003" t="inlineStr">
        <is>
          <t>SW-DAMPER-185</t>
        </is>
      </c>
      <c r="C1003" t="inlineStr">
        <is>
          <t>Silicon chống cháy + bu lông, ốc vít van FD/MFD</t>
        </is>
      </c>
      <c r="D1003" t="inlineStr">
        <is>
          <t>PHỤ_KIỆN_VAN</t>
        </is>
      </c>
      <c r="E1003" t="inlineStr">
        <is>
          <t>MAT-DAMPER-SILICON-BULONG-VIT</t>
        </is>
      </c>
      <c r="F1003" t="inlineStr">
        <is>
          <t>Bộ</t>
        </is>
      </c>
      <c r="G1003" s="406" t="n">
        <v>1</v>
      </c>
      <c r="H1003" s="402">
        <f>IFERROR(INDEX('00_TONG_HOP_BAO_GIA'!$G$1:$G$5000, MATCH(B1003, '00_TONG_HOP_BAO_GIA'!$B$1:$B$5000, 0)), 1)</f>
        <v/>
      </c>
      <c r="I1003" s="407">
        <f>G1003*H1003</f>
        <v/>
      </c>
      <c r="J1003" s="402">
        <f>IFERROR(INDEX('06_BANG_GIA_VAT_TU_AP_DUNG'!$E$1:$E$5000, MATCH(E1003, '06_BANG_GIA_VAT_TU_AP_DUNG'!$B$1:$B$5000, 0)), 0)</f>
        <v/>
      </c>
      <c r="K1003" s="402">
        <f>I1003*J1003</f>
        <v/>
      </c>
      <c r="L1003" t="inlineStr">
        <is>
          <t>Keo silicon chống cháy &amp; phụ kiện lắp ghép (1 bộ)</t>
        </is>
      </c>
    </row>
    <row r="1004">
      <c r="A1004" t="inlineStr">
        <is>
          <t>SW-DAMPER-186-BODY</t>
        </is>
      </c>
      <c r="B1004" t="inlineStr">
        <is>
          <t>SW-DAMPER-186</t>
        </is>
      </c>
      <c r="C1004" t="inlineStr">
        <is>
          <t>Thân vỏ van VCD bích C30/TDF (0.75mm)</t>
        </is>
      </c>
      <c r="D1004" t="inlineStr">
        <is>
          <t>TÔN_CUỘN_MẠ_KẼM</t>
        </is>
      </c>
      <c r="E1004" t="inlineStr">
        <is>
          <t>MAT-STEEL-PN-0.75</t>
        </is>
      </c>
      <c r="F1004" t="inlineStr">
        <is>
          <t>kg</t>
        </is>
      </c>
      <c r="G1004" s="406" t="n">
        <v>1.107792</v>
      </c>
      <c r="H1004" s="402">
        <f>IFERROR(INDEX('00_TONG_HOP_BAO_GIA'!$G$1:$G$5000, MATCH(B1004, '00_TONG_HOP_BAO_GIA'!$B$1:$B$5000, 0)), 1)</f>
        <v/>
      </c>
      <c r="I1004" s="407">
        <f>G1004*H1004</f>
        <v/>
      </c>
      <c r="J1004" s="402">
        <f>IFERROR(INDEX('06_BANG_GIA_VAT_TU_AP_DUNG'!$E$1:$E$5000, MATCH(E1004, '06_BANG_GIA_VAT_TU_AP_DUNG'!$B$1:$B$5000, 0)), 0)</f>
        <v/>
      </c>
      <c r="K1004" s="402">
        <f>I1004*J1004</f>
        <v/>
      </c>
      <c r="L1004" t="inlineStr">
        <is>
          <t>Kích thước vỏ 150x150x210mm</t>
        </is>
      </c>
    </row>
    <row r="1005">
      <c r="A1005" t="inlineStr">
        <is>
          <t>SW-DAMPER-186-BLADE</t>
        </is>
      </c>
      <c r="B1005" t="inlineStr">
        <is>
          <t>SW-DAMPER-186</t>
        </is>
      </c>
      <c r="C1005" t="inlineStr">
        <is>
          <t>Lá cánh / Tôn tấm bọc van (1 cánh)</t>
        </is>
      </c>
      <c r="D1005" t="inlineStr">
        <is>
          <t>TÔN_CUỘN_MẠ_KẼM</t>
        </is>
      </c>
      <c r="E1005" t="inlineStr">
        <is>
          <t>MAT-STEEL-PN-0.75</t>
        </is>
      </c>
      <c r="F1005" t="inlineStr">
        <is>
          <t>kg</t>
        </is>
      </c>
      <c r="G1005" s="406" t="n">
        <v>0.16214175</v>
      </c>
      <c r="H1005" s="402">
        <f>IFERROR(INDEX('00_TONG_HOP_BAO_GIA'!$G$1:$G$5000, MATCH(B1005, '00_TONG_HOP_BAO_GIA'!$B$1:$B$5000, 0)), 1)</f>
        <v/>
      </c>
      <c r="I1005" s="407">
        <f>G1005*H1005</f>
        <v/>
      </c>
      <c r="J1005" s="402">
        <f>IFERROR(INDEX('06_BANG_GIA_VAT_TU_AP_DUNG'!$E$1:$E$5000, MATCH(E1005, '06_BANG_GIA_VAT_TU_AP_DUNG'!$B$1:$B$5000, 0)), 0)</f>
        <v/>
      </c>
      <c r="K1005" s="402">
        <f>I1005*J1005</f>
        <v/>
      </c>
      <c r="L1005" t="inlineStr">
        <is>
          <t>1 cánh cao 170mm</t>
        </is>
      </c>
    </row>
    <row r="1006">
      <c r="A1006" t="inlineStr">
        <is>
          <t>SW-DAMPER-186-AXLE</t>
        </is>
      </c>
      <c r="B1006" t="inlineStr">
        <is>
          <t>SW-DAMPER-186</t>
        </is>
      </c>
      <c r="C1006" t="inlineStr">
        <is>
          <t>Trục Sus 201 D10</t>
        </is>
      </c>
      <c r="D1006" t="inlineStr">
        <is>
          <t>PHỤ_KIỆN_VAN</t>
        </is>
      </c>
      <c r="E1006" t="inlineStr">
        <is>
          <t>MAT-DAMPER-TRUC-SUS-201-D10</t>
        </is>
      </c>
      <c r="F1006" t="inlineStr">
        <is>
          <t>m</t>
        </is>
      </c>
      <c r="G1006" s="406" t="n">
        <v>0.21</v>
      </c>
      <c r="H1006" s="402">
        <f>IFERROR(INDEX('00_TONG_HOP_BAO_GIA'!$G$1:$G$5000, MATCH(B1006, '00_TONG_HOP_BAO_GIA'!$B$1:$B$5000, 0)), 1)</f>
        <v/>
      </c>
      <c r="I1006" s="407">
        <f>G1006*H1006</f>
        <v/>
      </c>
      <c r="J1006" s="402">
        <f>IFERROR(INDEX('06_BANG_GIA_VAT_TU_AP_DUNG'!$E$1:$E$5000, MATCH(E1006, '06_BANG_GIA_VAT_TU_AP_DUNG'!$B$1:$B$5000, 0)), 0)</f>
        <v/>
      </c>
      <c r="K1006" s="402">
        <f>I1006*J1006</f>
        <v/>
      </c>
      <c r="L1006" t="inlineStr">
        <is>
          <t>1 trục dài 210mm</t>
        </is>
      </c>
    </row>
    <row r="1007">
      <c r="A1007" t="inlineStr">
        <is>
          <t>SW-DAMPER-186-BEARING</t>
        </is>
      </c>
      <c r="B1007" t="inlineStr">
        <is>
          <t>SW-DAMPER-186</t>
        </is>
      </c>
      <c r="C1007" t="inlineStr">
        <is>
          <t>Bạc đồng D10</t>
        </is>
      </c>
      <c r="D1007" t="inlineStr">
        <is>
          <t>PHỤ_KIỆN_VAN</t>
        </is>
      </c>
      <c r="E1007" t="inlineStr">
        <is>
          <t>MAT-DAMPER-BAC-DONG-D10</t>
        </is>
      </c>
      <c r="F1007" t="inlineStr">
        <is>
          <t>Đôi</t>
        </is>
      </c>
      <c r="G1007" s="406" t="n">
        <v>1</v>
      </c>
      <c r="H1007" s="402">
        <f>IFERROR(INDEX('00_TONG_HOP_BAO_GIA'!$G$1:$G$5000, MATCH(B1007, '00_TONG_HOP_BAO_GIA'!$B$1:$B$5000, 0)), 1)</f>
        <v/>
      </c>
      <c r="I1007" s="407">
        <f>G1007*H1007</f>
        <v/>
      </c>
      <c r="J1007" s="402">
        <f>IFERROR(INDEX('06_BANG_GIA_VAT_TU_AP_DUNG'!$E$1:$E$5000, MATCH(E1007, '06_BANG_GIA_VAT_TU_AP_DUNG'!$B$1:$B$5000, 0)), 0)</f>
        <v/>
      </c>
      <c r="K1007" s="402">
        <f>I1007*J1007</f>
        <v/>
      </c>
      <c r="L1007" t="inlineStr">
        <is>
          <t>1 đôi bạc đỡ 2 bên thân</t>
        </is>
      </c>
    </row>
    <row r="1008">
      <c r="A1008" t="inlineStr">
        <is>
          <t>SW-DAMPER-186-HANDLE</t>
        </is>
      </c>
      <c r="B1008" t="inlineStr">
        <is>
          <t>SW-DAMPER-186</t>
        </is>
      </c>
      <c r="C1008" t="inlineStr">
        <is>
          <t>Tay gạt nhỏ</t>
        </is>
      </c>
      <c r="D1008" t="inlineStr">
        <is>
          <t>PHỤ_KIỆN_VAN</t>
        </is>
      </c>
      <c r="E1008" t="inlineStr">
        <is>
          <t>MAT-DAMPER-TAY-GAT-NHO</t>
        </is>
      </c>
      <c r="F1008" t="inlineStr">
        <is>
          <t>Bộ</t>
        </is>
      </c>
      <c r="G1008" s="406" t="n">
        <v>1</v>
      </c>
      <c r="H1008" s="402">
        <f>IFERROR(INDEX('00_TONG_HOP_BAO_GIA'!$G$1:$G$5000, MATCH(B1008, '00_TONG_HOP_BAO_GIA'!$B$1:$B$5000, 0)), 1)</f>
        <v/>
      </c>
      <c r="I1008" s="407">
        <f>G1008*H1008</f>
        <v/>
      </c>
      <c r="J1008" s="402">
        <f>IFERROR(INDEX('06_BANG_GIA_VAT_TU_AP_DUNG'!$E$1:$E$5000, MATCH(E1008, '06_BANG_GIA_VAT_TU_AP_DUNG'!$B$1:$B$5000, 0)), 0)</f>
        <v/>
      </c>
      <c r="K1008" s="402">
        <f>I1008*J1008</f>
        <v/>
      </c>
      <c r="L1008" t="inlineStr">
        <is>
          <t>Tay gạt khóa vị trí nan (S=0.02m2)</t>
        </is>
      </c>
    </row>
    <row r="1009">
      <c r="A1009" t="inlineStr">
        <is>
          <t>SW-DAMPER-186-FB10-EI</t>
        </is>
      </c>
      <c r="B1009" t="inlineStr">
        <is>
          <t>SW-DAMPER-186</t>
        </is>
      </c>
      <c r="C1009" t="inlineStr">
        <is>
          <t>Tấm chống cháy dày 10mm bọc thân van VCD (EI60)</t>
        </is>
      </c>
      <c r="D1009" t="inlineStr">
        <is>
          <t>VẬT_LIỆU_CÁCH_NHIỆT</t>
        </is>
      </c>
      <c r="E1009" t="inlineStr">
        <is>
          <t>MAT-FIREBOARD-10MM-BODY</t>
        </is>
      </c>
      <c r="F1009" t="inlineStr">
        <is>
          <t>m2</t>
        </is>
      </c>
      <c r="G1009" s="406" t="n">
        <v>0.1794</v>
      </c>
      <c r="H1009" s="402">
        <f>IFERROR(INDEX('00_TONG_HOP_BAO_GIA'!$G$1:$G$5000, MATCH(B1009, '00_TONG_HOP_BAO_GIA'!$B$1:$B$5000, 0)), 1)</f>
        <v/>
      </c>
      <c r="I1009" s="407">
        <f>G1009*H1009</f>
        <v/>
      </c>
      <c r="J1009" s="402">
        <f>IFERROR(INDEX('06_BANG_GIA_VAT_TU_AP_DUNG'!$E$1:$E$5000, MATCH(E1009, '06_BANG_GIA_VAT_TU_AP_DUNG'!$B$1:$B$5000, 0)), 0)</f>
        <v/>
      </c>
      <c r="K1009" s="402">
        <f>I1009*J1009</f>
        <v/>
      </c>
      <c r="L1009" t="inlineStr">
        <is>
          <t>Bọc chống cháy EI60 quanh thân van</t>
        </is>
      </c>
    </row>
    <row r="1010">
      <c r="A1010" t="inlineStr">
        <is>
          <t>SW-DAMPER-187-BODY</t>
        </is>
      </c>
      <c r="B1010" t="inlineStr">
        <is>
          <t>SW-DAMPER-187</t>
        </is>
      </c>
      <c r="C1010" t="inlineStr">
        <is>
          <t>Thân vỏ van VCD bích C30/TDF (0.75mm)</t>
        </is>
      </c>
      <c r="D1010" t="inlineStr">
        <is>
          <t>TÔN_CUỘN_MẠ_KẼM</t>
        </is>
      </c>
      <c r="E1010" t="inlineStr">
        <is>
          <t>MAT-STEEL-PN-0.75</t>
        </is>
      </c>
      <c r="F1010" t="inlineStr">
        <is>
          <t>kg</t>
        </is>
      </c>
      <c r="G1010" s="406" t="n">
        <v>1.6270695</v>
      </c>
      <c r="H1010" s="402">
        <f>IFERROR(INDEX('00_TONG_HOP_BAO_GIA'!$G$1:$G$5000, MATCH(B1010, '00_TONG_HOP_BAO_GIA'!$B$1:$B$5000, 0)), 1)</f>
        <v/>
      </c>
      <c r="I1010" s="407">
        <f>G1010*H1010</f>
        <v/>
      </c>
      <c r="J1010" s="402">
        <f>IFERROR(INDEX('06_BANG_GIA_VAT_TU_AP_DUNG'!$E$1:$E$5000, MATCH(E1010, '06_BANG_GIA_VAT_TU_AP_DUNG'!$B$1:$B$5000, 0)), 0)</f>
        <v/>
      </c>
      <c r="K1010" s="402">
        <f>I1010*J1010</f>
        <v/>
      </c>
      <c r="L1010" t="inlineStr">
        <is>
          <t>Kích thước vỏ 300x150x210mm</t>
        </is>
      </c>
    </row>
    <row r="1011">
      <c r="A1011" t="inlineStr">
        <is>
          <t>SW-DAMPER-187-BLADE</t>
        </is>
      </c>
      <c r="B1011" t="inlineStr">
        <is>
          <t>SW-DAMPER-187</t>
        </is>
      </c>
      <c r="C1011" t="inlineStr">
        <is>
          <t>Lá cánh / Tôn tấm bọc van (1 cánh)</t>
        </is>
      </c>
      <c r="D1011" t="inlineStr">
        <is>
          <t>TÔN_CUỘN_MẠ_KẼM</t>
        </is>
      </c>
      <c r="E1011" t="inlineStr">
        <is>
          <t>MAT-STEEL-PN-0.75</t>
        </is>
      </c>
      <c r="F1011" t="inlineStr">
        <is>
          <t>kg</t>
        </is>
      </c>
      <c r="G1011" s="406" t="n">
        <v>0.3242835</v>
      </c>
      <c r="H1011" s="402">
        <f>IFERROR(INDEX('00_TONG_HOP_BAO_GIA'!$G$1:$G$5000, MATCH(B1011, '00_TONG_HOP_BAO_GIA'!$B$1:$B$5000, 0)), 1)</f>
        <v/>
      </c>
      <c r="I1011" s="407">
        <f>G1011*H1011</f>
        <v/>
      </c>
      <c r="J1011" s="402">
        <f>IFERROR(INDEX('06_BANG_GIA_VAT_TU_AP_DUNG'!$E$1:$E$5000, MATCH(E1011, '06_BANG_GIA_VAT_TU_AP_DUNG'!$B$1:$B$5000, 0)), 0)</f>
        <v/>
      </c>
      <c r="K1011" s="402">
        <f>I1011*J1011</f>
        <v/>
      </c>
      <c r="L1011" t="inlineStr">
        <is>
          <t>1 cánh cao 170mm</t>
        </is>
      </c>
    </row>
    <row r="1012">
      <c r="A1012" t="inlineStr">
        <is>
          <t>SW-DAMPER-187-AXLE</t>
        </is>
      </c>
      <c r="B1012" t="inlineStr">
        <is>
          <t>SW-DAMPER-187</t>
        </is>
      </c>
      <c r="C1012" t="inlineStr">
        <is>
          <t>Trục Sus 201 D10</t>
        </is>
      </c>
      <c r="D1012" t="inlineStr">
        <is>
          <t>PHỤ_KIỆN_VAN</t>
        </is>
      </c>
      <c r="E1012" t="inlineStr">
        <is>
          <t>MAT-DAMPER-TRUC-SUS-201-D10</t>
        </is>
      </c>
      <c r="F1012" t="inlineStr">
        <is>
          <t>m</t>
        </is>
      </c>
      <c r="G1012" s="406" t="n">
        <v>0.36</v>
      </c>
      <c r="H1012" s="402">
        <f>IFERROR(INDEX('00_TONG_HOP_BAO_GIA'!$G$1:$G$5000, MATCH(B1012, '00_TONG_HOP_BAO_GIA'!$B$1:$B$5000, 0)), 1)</f>
        <v/>
      </c>
      <c r="I1012" s="407">
        <f>G1012*H1012</f>
        <v/>
      </c>
      <c r="J1012" s="402">
        <f>IFERROR(INDEX('06_BANG_GIA_VAT_TU_AP_DUNG'!$E$1:$E$5000, MATCH(E1012, '06_BANG_GIA_VAT_TU_AP_DUNG'!$B$1:$B$5000, 0)), 0)</f>
        <v/>
      </c>
      <c r="K1012" s="402">
        <f>I1012*J1012</f>
        <v/>
      </c>
      <c r="L1012" t="inlineStr">
        <is>
          <t>1 trục dài 360mm</t>
        </is>
      </c>
    </row>
    <row r="1013">
      <c r="A1013" t="inlineStr">
        <is>
          <t>SW-DAMPER-187-BEARING</t>
        </is>
      </c>
      <c r="B1013" t="inlineStr">
        <is>
          <t>SW-DAMPER-187</t>
        </is>
      </c>
      <c r="C1013" t="inlineStr">
        <is>
          <t>Bạc đồng D10</t>
        </is>
      </c>
      <c r="D1013" t="inlineStr">
        <is>
          <t>PHỤ_KIỆN_VAN</t>
        </is>
      </c>
      <c r="E1013" t="inlineStr">
        <is>
          <t>MAT-DAMPER-BAC-DONG-D10</t>
        </is>
      </c>
      <c r="F1013" t="inlineStr">
        <is>
          <t>Đôi</t>
        </is>
      </c>
      <c r="G1013" s="406" t="n">
        <v>1</v>
      </c>
      <c r="H1013" s="402">
        <f>IFERROR(INDEX('00_TONG_HOP_BAO_GIA'!$G$1:$G$5000, MATCH(B1013, '00_TONG_HOP_BAO_GIA'!$B$1:$B$5000, 0)), 1)</f>
        <v/>
      </c>
      <c r="I1013" s="407">
        <f>G1013*H1013</f>
        <v/>
      </c>
      <c r="J1013" s="402">
        <f>IFERROR(INDEX('06_BANG_GIA_VAT_TU_AP_DUNG'!$E$1:$E$5000, MATCH(E1013, '06_BANG_GIA_VAT_TU_AP_DUNG'!$B$1:$B$5000, 0)), 0)</f>
        <v/>
      </c>
      <c r="K1013" s="402">
        <f>I1013*J1013</f>
        <v/>
      </c>
      <c r="L1013" t="inlineStr">
        <is>
          <t>1 đôi bạc đỡ 2 bên thân</t>
        </is>
      </c>
    </row>
    <row r="1014">
      <c r="A1014" t="inlineStr">
        <is>
          <t>SW-DAMPER-187-HANDLE</t>
        </is>
      </c>
      <c r="B1014" t="inlineStr">
        <is>
          <t>SW-DAMPER-187</t>
        </is>
      </c>
      <c r="C1014" t="inlineStr">
        <is>
          <t>Tay gạt nhỏ</t>
        </is>
      </c>
      <c r="D1014" t="inlineStr">
        <is>
          <t>PHỤ_KIỆN_VAN</t>
        </is>
      </c>
      <c r="E1014" t="inlineStr">
        <is>
          <t>MAT-DAMPER-TAY-GAT-NHO</t>
        </is>
      </c>
      <c r="F1014" t="inlineStr">
        <is>
          <t>Bộ</t>
        </is>
      </c>
      <c r="G1014" s="406" t="n">
        <v>1</v>
      </c>
      <c r="H1014" s="402">
        <f>IFERROR(INDEX('00_TONG_HOP_BAO_GIA'!$G$1:$G$5000, MATCH(B1014, '00_TONG_HOP_BAO_GIA'!$B$1:$B$5000, 0)), 1)</f>
        <v/>
      </c>
      <c r="I1014" s="407">
        <f>G1014*H1014</f>
        <v/>
      </c>
      <c r="J1014" s="402">
        <f>IFERROR(INDEX('06_BANG_GIA_VAT_TU_AP_DUNG'!$E$1:$E$5000, MATCH(E1014, '06_BANG_GIA_VAT_TU_AP_DUNG'!$B$1:$B$5000, 0)), 0)</f>
        <v/>
      </c>
      <c r="K1014" s="402">
        <f>I1014*J1014</f>
        <v/>
      </c>
      <c r="L1014" t="inlineStr">
        <is>
          <t>Tay gạt khóa vị trí nan (S=0.04m2)</t>
        </is>
      </c>
    </row>
    <row r="1015">
      <c r="A1015" t="inlineStr">
        <is>
          <t>SW-DAMPER-188-BODY</t>
        </is>
      </c>
      <c r="B1015" t="inlineStr">
        <is>
          <t>SW-DAMPER-188</t>
        </is>
      </c>
      <c r="C1015" t="inlineStr">
        <is>
          <t>Thân vỏ van MD bích C30/TDF (0.75mm)</t>
        </is>
      </c>
      <c r="D1015" t="inlineStr">
        <is>
          <t>TÔN_CUỘN_MẠ_KẼM</t>
        </is>
      </c>
      <c r="E1015" t="inlineStr">
        <is>
          <t>MAT-STEEL-PN-0.75</t>
        </is>
      </c>
      <c r="F1015" t="inlineStr">
        <is>
          <t>kg</t>
        </is>
      </c>
      <c r="G1015" s="406" t="n">
        <v>1.6270695</v>
      </c>
      <c r="H1015" s="402">
        <f>IFERROR(INDEX('00_TONG_HOP_BAO_GIA'!$G$1:$G$5000, MATCH(B1015, '00_TONG_HOP_BAO_GIA'!$B$1:$B$5000, 0)), 1)</f>
        <v/>
      </c>
      <c r="I1015" s="407">
        <f>G1015*H1015</f>
        <v/>
      </c>
      <c r="J1015" s="402">
        <f>IFERROR(INDEX('06_BANG_GIA_VAT_TU_AP_DUNG'!$E$1:$E$5000, MATCH(E1015, '06_BANG_GIA_VAT_TU_AP_DUNG'!$B$1:$B$5000, 0)), 0)</f>
        <v/>
      </c>
      <c r="K1015" s="402">
        <f>I1015*J1015</f>
        <v/>
      </c>
      <c r="L1015" t="inlineStr">
        <is>
          <t>Kích thước vỏ 300x150x210mm</t>
        </is>
      </c>
    </row>
    <row r="1016">
      <c r="A1016" t="inlineStr">
        <is>
          <t>SW-DAMPER-188-BLADE</t>
        </is>
      </c>
      <c r="B1016" t="inlineStr">
        <is>
          <t>SW-DAMPER-188</t>
        </is>
      </c>
      <c r="C1016" t="inlineStr">
        <is>
          <t>Lá cánh / Tôn tấm bọc van (1 cánh)</t>
        </is>
      </c>
      <c r="D1016" t="inlineStr">
        <is>
          <t>TÔN_CUỘN_MẠ_KẼM</t>
        </is>
      </c>
      <c r="E1016" t="inlineStr">
        <is>
          <t>MAT-STEEL-PN-0.75</t>
        </is>
      </c>
      <c r="F1016" t="inlineStr">
        <is>
          <t>kg</t>
        </is>
      </c>
      <c r="G1016" s="406" t="n">
        <v>0.3242835</v>
      </c>
      <c r="H1016" s="402">
        <f>IFERROR(INDEX('00_TONG_HOP_BAO_GIA'!$G$1:$G$5000, MATCH(B1016, '00_TONG_HOP_BAO_GIA'!$B$1:$B$5000, 0)), 1)</f>
        <v/>
      </c>
      <c r="I1016" s="407">
        <f>G1016*H1016</f>
        <v/>
      </c>
      <c r="J1016" s="402">
        <f>IFERROR(INDEX('06_BANG_GIA_VAT_TU_AP_DUNG'!$E$1:$E$5000, MATCH(E1016, '06_BANG_GIA_VAT_TU_AP_DUNG'!$B$1:$B$5000, 0)), 0)</f>
        <v/>
      </c>
      <c r="K1016" s="402">
        <f>I1016*J1016</f>
        <v/>
      </c>
      <c r="L1016" t="inlineStr">
        <is>
          <t>1 cánh cao 170mm</t>
        </is>
      </c>
    </row>
    <row r="1017">
      <c r="A1017" t="inlineStr">
        <is>
          <t>SW-DAMPER-188-AXLE</t>
        </is>
      </c>
      <c r="B1017" t="inlineStr">
        <is>
          <t>SW-DAMPER-188</t>
        </is>
      </c>
      <c r="C1017" t="inlineStr">
        <is>
          <t>Trục Sus 201 D10</t>
        </is>
      </c>
      <c r="D1017" t="inlineStr">
        <is>
          <t>PHỤ_KIỆN_VAN</t>
        </is>
      </c>
      <c r="E1017" t="inlineStr">
        <is>
          <t>MAT-DAMPER-TRUC-SUS-201-D10</t>
        </is>
      </c>
      <c r="F1017" t="inlineStr">
        <is>
          <t>m</t>
        </is>
      </c>
      <c r="G1017" s="406" t="n">
        <v>0.36</v>
      </c>
      <c r="H1017" s="402">
        <f>IFERROR(INDEX('00_TONG_HOP_BAO_GIA'!$G$1:$G$5000, MATCH(B1017, '00_TONG_HOP_BAO_GIA'!$B$1:$B$5000, 0)), 1)</f>
        <v/>
      </c>
      <c r="I1017" s="407">
        <f>G1017*H1017</f>
        <v/>
      </c>
      <c r="J1017" s="402">
        <f>IFERROR(INDEX('06_BANG_GIA_VAT_TU_AP_DUNG'!$E$1:$E$5000, MATCH(E1017, '06_BANG_GIA_VAT_TU_AP_DUNG'!$B$1:$B$5000, 0)), 0)</f>
        <v/>
      </c>
      <c r="K1017" s="402">
        <f>I1017*J1017</f>
        <v/>
      </c>
      <c r="L1017" t="inlineStr">
        <is>
          <t>1 trục dài 360mm</t>
        </is>
      </c>
    </row>
    <row r="1018">
      <c r="A1018" t="inlineStr">
        <is>
          <t>SW-DAMPER-188-BEARING</t>
        </is>
      </c>
      <c r="B1018" t="inlineStr">
        <is>
          <t>SW-DAMPER-188</t>
        </is>
      </c>
      <c r="C1018" t="inlineStr">
        <is>
          <t>Bạc đồng D10</t>
        </is>
      </c>
      <c r="D1018" t="inlineStr">
        <is>
          <t>PHỤ_KIỆN_VAN</t>
        </is>
      </c>
      <c r="E1018" t="inlineStr">
        <is>
          <t>MAT-DAMPER-BAC-DONG-D10</t>
        </is>
      </c>
      <c r="F1018" t="inlineStr">
        <is>
          <t>Đôi</t>
        </is>
      </c>
      <c r="G1018" s="406" t="n">
        <v>1</v>
      </c>
      <c r="H1018" s="402">
        <f>IFERROR(INDEX('00_TONG_HOP_BAO_GIA'!$G$1:$G$5000, MATCH(B1018, '00_TONG_HOP_BAO_GIA'!$B$1:$B$5000, 0)), 1)</f>
        <v/>
      </c>
      <c r="I1018" s="407">
        <f>G1018*H1018</f>
        <v/>
      </c>
      <c r="J1018" s="402">
        <f>IFERROR(INDEX('06_BANG_GIA_VAT_TU_AP_DUNG'!$E$1:$E$5000, MATCH(E1018, '06_BANG_GIA_VAT_TU_AP_DUNG'!$B$1:$B$5000, 0)), 0)</f>
        <v/>
      </c>
      <c r="K1018" s="402">
        <f>I1018*J1018</f>
        <v/>
      </c>
      <c r="L1018" t="inlineStr">
        <is>
          <t>1 đôi bạc đỡ 2 bên thân</t>
        </is>
      </c>
    </row>
    <row r="1019">
      <c r="A1019" t="inlineStr">
        <is>
          <t>SW-DAMPER-188-ACTUATOR</t>
        </is>
      </c>
      <c r="B1019" t="inlineStr">
        <is>
          <t>SW-DAMPER-188</t>
        </is>
      </c>
      <c r="C1019" t="inlineStr">
        <is>
          <t>Động cơ van gió Belimo ON/OFF 5Nm</t>
        </is>
      </c>
      <c r="D1019" t="inlineStr">
        <is>
          <t>ĐỘNG_CƠ_VÀ_CẢM_BIẾN</t>
        </is>
      </c>
      <c r="E1019" t="inlineStr">
        <is>
          <t>MAT-ACTUATOR-BELIMO-5NM</t>
        </is>
      </c>
      <c r="F1019" t="inlineStr">
        <is>
          <t>Cái</t>
        </is>
      </c>
      <c r="G1019" s="406" t="n">
        <v>1</v>
      </c>
      <c r="H1019" s="402">
        <f>IFERROR(INDEX('00_TONG_HOP_BAO_GIA'!$G$1:$G$5000, MATCH(B1019, '00_TONG_HOP_BAO_GIA'!$B$1:$B$5000, 0)), 1)</f>
        <v/>
      </c>
      <c r="I1019" s="407">
        <f>G1019*H1019</f>
        <v/>
      </c>
      <c r="J1019" s="402">
        <f>IFERROR(INDEX('06_BANG_GIA_VAT_TU_AP_DUNG'!$E$1:$E$5000, MATCH(E1019, '06_BANG_GIA_VAT_TU_AP_DUNG'!$B$1:$B$5000, 0)), 0)</f>
        <v/>
      </c>
      <c r="K1019" s="402">
        <f>I1019*J1019</f>
        <v/>
      </c>
      <c r="L1019" t="inlineStr">
        <is>
          <t>Tiết diện 0.04m2/modul (1 bộ)</t>
        </is>
      </c>
    </row>
    <row r="1020">
      <c r="A1020" t="inlineStr">
        <is>
          <t>SW-DAMPER-189-BODY</t>
        </is>
      </c>
      <c r="B1020" t="inlineStr">
        <is>
          <t>SW-DAMPER-189</t>
        </is>
      </c>
      <c r="C1020" t="inlineStr">
        <is>
          <t>Thân vỏ van VCD bích C30/TDF (0.75mm)</t>
        </is>
      </c>
      <c r="D1020" t="inlineStr">
        <is>
          <t>TÔN_CUỘN_MẠ_KẼM</t>
        </is>
      </c>
      <c r="E1020" t="inlineStr">
        <is>
          <t>MAT-STEEL-PN-0.75</t>
        </is>
      </c>
      <c r="F1020" t="inlineStr">
        <is>
          <t>kg</t>
        </is>
      </c>
      <c r="G1020" s="406" t="n">
        <v>2.146347</v>
      </c>
      <c r="H1020" s="402">
        <f>IFERROR(INDEX('00_TONG_HOP_BAO_GIA'!$G$1:$G$5000, MATCH(B1020, '00_TONG_HOP_BAO_GIA'!$B$1:$B$5000, 0)), 1)</f>
        <v/>
      </c>
      <c r="I1020" s="407">
        <f>G1020*H1020</f>
        <v/>
      </c>
      <c r="J1020" s="402">
        <f>IFERROR(INDEX('06_BANG_GIA_VAT_TU_AP_DUNG'!$E$1:$E$5000, MATCH(E1020, '06_BANG_GIA_VAT_TU_AP_DUNG'!$B$1:$B$5000, 0)), 0)</f>
        <v/>
      </c>
      <c r="K1020" s="402">
        <f>I1020*J1020</f>
        <v/>
      </c>
      <c r="L1020" t="inlineStr">
        <is>
          <t>Kích thước vỏ 300x300x210mm</t>
        </is>
      </c>
    </row>
    <row r="1021">
      <c r="A1021" t="inlineStr">
        <is>
          <t>SW-DAMPER-189-BLADE</t>
        </is>
      </c>
      <c r="B1021" t="inlineStr">
        <is>
          <t>SW-DAMPER-189</t>
        </is>
      </c>
      <c r="C1021" t="inlineStr">
        <is>
          <t>Lá cánh / Tôn tấm bọc van (2 cánh)</t>
        </is>
      </c>
      <c r="D1021" t="inlineStr">
        <is>
          <t>TÔN_CUỘN_MẠ_KẼM</t>
        </is>
      </c>
      <c r="E1021" t="inlineStr">
        <is>
          <t>MAT-STEEL-PN-0.75</t>
        </is>
      </c>
      <c r="F1021" t="inlineStr">
        <is>
          <t>kg</t>
        </is>
      </c>
      <c r="G1021" s="406" t="n">
        <v>0.648567</v>
      </c>
      <c r="H1021" s="402">
        <f>IFERROR(INDEX('00_TONG_HOP_BAO_GIA'!$G$1:$G$5000, MATCH(B1021, '00_TONG_HOP_BAO_GIA'!$B$1:$B$5000, 0)), 1)</f>
        <v/>
      </c>
      <c r="I1021" s="407">
        <f>G1021*H1021</f>
        <v/>
      </c>
      <c r="J1021" s="402">
        <f>IFERROR(INDEX('06_BANG_GIA_VAT_TU_AP_DUNG'!$E$1:$E$5000, MATCH(E1021, '06_BANG_GIA_VAT_TU_AP_DUNG'!$B$1:$B$5000, 0)), 0)</f>
        <v/>
      </c>
      <c r="K1021" s="402">
        <f>I1021*J1021</f>
        <v/>
      </c>
      <c r="L1021" t="inlineStr">
        <is>
          <t>2 cánh cao 170mm</t>
        </is>
      </c>
    </row>
    <row r="1022">
      <c r="A1022" t="inlineStr">
        <is>
          <t>SW-DAMPER-189-AXLE</t>
        </is>
      </c>
      <c r="B1022" t="inlineStr">
        <is>
          <t>SW-DAMPER-189</t>
        </is>
      </c>
      <c r="C1022" t="inlineStr">
        <is>
          <t>Trục Sus 201 D10</t>
        </is>
      </c>
      <c r="D1022" t="inlineStr">
        <is>
          <t>PHỤ_KIỆN_VAN</t>
        </is>
      </c>
      <c r="E1022" t="inlineStr">
        <is>
          <t>MAT-DAMPER-TRUC-SUS-201-D10</t>
        </is>
      </c>
      <c r="F1022" t="inlineStr">
        <is>
          <t>m</t>
        </is>
      </c>
      <c r="G1022" s="406" t="n">
        <v>0.72</v>
      </c>
      <c r="H1022" s="402">
        <f>IFERROR(INDEX('00_TONG_HOP_BAO_GIA'!$G$1:$G$5000, MATCH(B1022, '00_TONG_HOP_BAO_GIA'!$B$1:$B$5000, 0)), 1)</f>
        <v/>
      </c>
      <c r="I1022" s="407">
        <f>G1022*H1022</f>
        <v/>
      </c>
      <c r="J1022" s="402">
        <f>IFERROR(INDEX('06_BANG_GIA_VAT_TU_AP_DUNG'!$E$1:$E$5000, MATCH(E1022, '06_BANG_GIA_VAT_TU_AP_DUNG'!$B$1:$B$5000, 0)), 0)</f>
        <v/>
      </c>
      <c r="K1022" s="402">
        <f>I1022*J1022</f>
        <v/>
      </c>
      <c r="L1022" t="inlineStr">
        <is>
          <t>2 trục dài 360mm</t>
        </is>
      </c>
    </row>
    <row r="1023">
      <c r="A1023" t="inlineStr">
        <is>
          <t>SW-DAMPER-189-BEARING</t>
        </is>
      </c>
      <c r="B1023" t="inlineStr">
        <is>
          <t>SW-DAMPER-189</t>
        </is>
      </c>
      <c r="C1023" t="inlineStr">
        <is>
          <t>Bạc đồng D10</t>
        </is>
      </c>
      <c r="D1023" t="inlineStr">
        <is>
          <t>PHỤ_KIỆN_VAN</t>
        </is>
      </c>
      <c r="E1023" t="inlineStr">
        <is>
          <t>MAT-DAMPER-BAC-DONG-D10</t>
        </is>
      </c>
      <c r="F1023" t="inlineStr">
        <is>
          <t>Đôi</t>
        </is>
      </c>
      <c r="G1023" s="406" t="n">
        <v>2</v>
      </c>
      <c r="H1023" s="402">
        <f>IFERROR(INDEX('00_TONG_HOP_BAO_GIA'!$G$1:$G$5000, MATCH(B1023, '00_TONG_HOP_BAO_GIA'!$B$1:$B$5000, 0)), 1)</f>
        <v/>
      </c>
      <c r="I1023" s="407">
        <f>G1023*H1023</f>
        <v/>
      </c>
      <c r="J1023" s="402">
        <f>IFERROR(INDEX('06_BANG_GIA_VAT_TU_AP_DUNG'!$E$1:$E$5000, MATCH(E1023, '06_BANG_GIA_VAT_TU_AP_DUNG'!$B$1:$B$5000, 0)), 0)</f>
        <v/>
      </c>
      <c r="K1023" s="402">
        <f>I1023*J1023</f>
        <v/>
      </c>
      <c r="L1023" t="inlineStr">
        <is>
          <t>2 đôi bạc đỡ 2 bên thân</t>
        </is>
      </c>
    </row>
    <row r="1024">
      <c r="A1024" t="inlineStr">
        <is>
          <t>SW-DAMPER-189-GEAR</t>
        </is>
      </c>
      <c r="B1024" t="inlineStr">
        <is>
          <t>SW-DAMPER-189</t>
        </is>
      </c>
      <c r="C1024" t="inlineStr">
        <is>
          <t>Bánh răng van nhôm</t>
        </is>
      </c>
      <c r="D1024" t="inlineStr">
        <is>
          <t>PHỤ_KIỆN_VAN</t>
        </is>
      </c>
      <c r="E1024" t="inlineStr">
        <is>
          <t>MAT-DAMPER-BANH-RANG-VAN-NHOM</t>
        </is>
      </c>
      <c r="F1024" t="inlineStr">
        <is>
          <t>Bộ</t>
        </is>
      </c>
      <c r="G1024" s="406" t="n">
        <v>1</v>
      </c>
      <c r="H1024" s="402">
        <f>IFERROR(INDEX('00_TONG_HOP_BAO_GIA'!$G$1:$G$5000, MATCH(B1024, '00_TONG_HOP_BAO_GIA'!$B$1:$B$5000, 0)), 1)</f>
        <v/>
      </c>
      <c r="I1024" s="407">
        <f>G1024*H1024</f>
        <v/>
      </c>
      <c r="J1024" s="402">
        <f>IFERROR(INDEX('06_BANG_GIA_VAT_TU_AP_DUNG'!$E$1:$E$5000, MATCH(E1024, '06_BANG_GIA_VAT_TU_AP_DUNG'!$B$1:$B$5000, 0)), 0)</f>
        <v/>
      </c>
      <c r="K1024" s="402">
        <f>I1024*J1024</f>
        <v/>
      </c>
      <c r="L1024" t="inlineStr">
        <is>
          <t>Cơ cấu liên động cánh (1 bộ)</t>
        </is>
      </c>
    </row>
    <row r="1025">
      <c r="A1025" t="inlineStr">
        <is>
          <t>SW-DAMPER-189-HANDLE</t>
        </is>
      </c>
      <c r="B1025" t="inlineStr">
        <is>
          <t>SW-DAMPER-189</t>
        </is>
      </c>
      <c r="C1025" t="inlineStr">
        <is>
          <t>Tay gạt nhỏ</t>
        </is>
      </c>
      <c r="D1025" t="inlineStr">
        <is>
          <t>PHỤ_KIỆN_VAN</t>
        </is>
      </c>
      <c r="E1025" t="inlineStr">
        <is>
          <t>MAT-DAMPER-TAY-GAT-NHO</t>
        </is>
      </c>
      <c r="F1025" t="inlineStr">
        <is>
          <t>Bộ</t>
        </is>
      </c>
      <c r="G1025" s="406" t="n">
        <v>1</v>
      </c>
      <c r="H1025" s="402">
        <f>IFERROR(INDEX('00_TONG_HOP_BAO_GIA'!$G$1:$G$5000, MATCH(B1025, '00_TONG_HOP_BAO_GIA'!$B$1:$B$5000, 0)), 1)</f>
        <v/>
      </c>
      <c r="I1025" s="407">
        <f>G1025*H1025</f>
        <v/>
      </c>
      <c r="J1025" s="402">
        <f>IFERROR(INDEX('06_BANG_GIA_VAT_TU_AP_DUNG'!$E$1:$E$5000, MATCH(E1025, '06_BANG_GIA_VAT_TU_AP_DUNG'!$B$1:$B$5000, 0)), 0)</f>
        <v/>
      </c>
      <c r="K1025" s="402">
        <f>I1025*J1025</f>
        <v/>
      </c>
      <c r="L1025" t="inlineStr">
        <is>
          <t>Tay gạt khóa vị trí nan (S=0.09m2)</t>
        </is>
      </c>
    </row>
    <row r="1026">
      <c r="A1026" t="inlineStr">
        <is>
          <t>SW-DAMPER-190-BODY</t>
        </is>
      </c>
      <c r="B1026" t="inlineStr">
        <is>
          <t>SW-DAMPER-190</t>
        </is>
      </c>
      <c r="C1026" t="inlineStr">
        <is>
          <t>Thân vỏ van NRD bích C30/TDF (0.75mm)</t>
        </is>
      </c>
      <c r="D1026" t="inlineStr">
        <is>
          <t>TÔN_CUỘN_MẠ_KẼM</t>
        </is>
      </c>
      <c r="E1026" t="inlineStr">
        <is>
          <t>MAT-STEEL-PN-0.75</t>
        </is>
      </c>
      <c r="F1026" t="inlineStr">
        <is>
          <t>kg</t>
        </is>
      </c>
      <c r="G1026" s="406" t="n">
        <v>1.9732545</v>
      </c>
      <c r="H1026" s="402">
        <f>IFERROR(INDEX('00_TONG_HOP_BAO_GIA'!$G$1:$G$5000, MATCH(B1026, '00_TONG_HOP_BAO_GIA'!$B$1:$B$5000, 0)), 1)</f>
        <v/>
      </c>
      <c r="I1026" s="407">
        <f>G1026*H1026</f>
        <v/>
      </c>
      <c r="J1026" s="402">
        <f>IFERROR(INDEX('06_BANG_GIA_VAT_TU_AP_DUNG'!$E$1:$E$5000, MATCH(E1026, '06_BANG_GIA_VAT_TU_AP_DUNG'!$B$1:$B$5000, 0)), 0)</f>
        <v/>
      </c>
      <c r="K1026" s="402">
        <f>I1026*J1026</f>
        <v/>
      </c>
      <c r="L1026" t="inlineStr">
        <is>
          <t>Kích thước vỏ 350x200x210mm</t>
        </is>
      </c>
    </row>
    <row r="1027">
      <c r="A1027" t="inlineStr">
        <is>
          <t>SW-DAMPER-190-BLADE</t>
        </is>
      </c>
      <c r="B1027" t="inlineStr">
        <is>
          <t>SW-DAMPER-190</t>
        </is>
      </c>
      <c r="C1027" t="inlineStr">
        <is>
          <t>Lá cánh / Tôn tấm bọc van (2 cánh)</t>
        </is>
      </c>
      <c r="D1027" t="inlineStr">
        <is>
          <t>TÔN_CUỘN_MẠ_KẼM</t>
        </is>
      </c>
      <c r="E1027" t="inlineStr">
        <is>
          <t>MAT-STEEL-PN-0.75</t>
        </is>
      </c>
      <c r="F1027" t="inlineStr">
        <is>
          <t>kg</t>
        </is>
      </c>
      <c r="G1027" s="406" t="n">
        <v>0.5341139999999999</v>
      </c>
      <c r="H1027" s="402">
        <f>IFERROR(INDEX('00_TONG_HOP_BAO_GIA'!$G$1:$G$5000, MATCH(B1027, '00_TONG_HOP_BAO_GIA'!$B$1:$B$5000, 0)), 1)</f>
        <v/>
      </c>
      <c r="I1027" s="407">
        <f>G1027*H1027</f>
        <v/>
      </c>
      <c r="J1027" s="402">
        <f>IFERROR(INDEX('06_BANG_GIA_VAT_TU_AP_DUNG'!$E$1:$E$5000, MATCH(E1027, '06_BANG_GIA_VAT_TU_AP_DUNG'!$B$1:$B$5000, 0)), 0)</f>
        <v/>
      </c>
      <c r="K1027" s="402">
        <f>I1027*J1027</f>
        <v/>
      </c>
      <c r="L1027" t="inlineStr">
        <is>
          <t>2 cánh cao 120mm</t>
        </is>
      </c>
    </row>
    <row r="1028">
      <c r="A1028" t="inlineStr">
        <is>
          <t>SW-DAMPER-190-AXLE</t>
        </is>
      </c>
      <c r="B1028" t="inlineStr">
        <is>
          <t>SW-DAMPER-190</t>
        </is>
      </c>
      <c r="C1028" t="inlineStr">
        <is>
          <t>Trục Sus 201 D10</t>
        </is>
      </c>
      <c r="D1028" t="inlineStr">
        <is>
          <t>PHỤ_KIỆN_VAN</t>
        </is>
      </c>
      <c r="E1028" t="inlineStr">
        <is>
          <t>MAT-DAMPER-TRUC-SUS-201-D10</t>
        </is>
      </c>
      <c r="F1028" t="inlineStr">
        <is>
          <t>m</t>
        </is>
      </c>
      <c r="G1028" s="406" t="n">
        <v>0.82</v>
      </c>
      <c r="H1028" s="402">
        <f>IFERROR(INDEX('00_TONG_HOP_BAO_GIA'!$G$1:$G$5000, MATCH(B1028, '00_TONG_HOP_BAO_GIA'!$B$1:$B$5000, 0)), 1)</f>
        <v/>
      </c>
      <c r="I1028" s="407">
        <f>G1028*H1028</f>
        <v/>
      </c>
      <c r="J1028" s="402">
        <f>IFERROR(INDEX('06_BANG_GIA_VAT_TU_AP_DUNG'!$E$1:$E$5000, MATCH(E1028, '06_BANG_GIA_VAT_TU_AP_DUNG'!$B$1:$B$5000, 0)), 0)</f>
        <v/>
      </c>
      <c r="K1028" s="402">
        <f>I1028*J1028</f>
        <v/>
      </c>
      <c r="L1028" t="inlineStr">
        <is>
          <t>2 trục dài 410mm</t>
        </is>
      </c>
    </row>
    <row r="1029">
      <c r="A1029" t="inlineStr">
        <is>
          <t>SW-DAMPER-190-BEARING</t>
        </is>
      </c>
      <c r="B1029" t="inlineStr">
        <is>
          <t>SW-DAMPER-190</t>
        </is>
      </c>
      <c r="C1029" t="inlineStr">
        <is>
          <t>Bạc đồng D10</t>
        </is>
      </c>
      <c r="D1029" t="inlineStr">
        <is>
          <t>PHỤ_KIỆN_VAN</t>
        </is>
      </c>
      <c r="E1029" t="inlineStr">
        <is>
          <t>MAT-DAMPER-BAC-DONG-D10</t>
        </is>
      </c>
      <c r="F1029" t="inlineStr">
        <is>
          <t>Đôi</t>
        </is>
      </c>
      <c r="G1029" s="406" t="n">
        <v>2</v>
      </c>
      <c r="H1029" s="402">
        <f>IFERROR(INDEX('00_TONG_HOP_BAO_GIA'!$G$1:$G$5000, MATCH(B1029, '00_TONG_HOP_BAO_GIA'!$B$1:$B$5000, 0)), 1)</f>
        <v/>
      </c>
      <c r="I1029" s="407">
        <f>G1029*H1029</f>
        <v/>
      </c>
      <c r="J1029" s="402">
        <f>IFERROR(INDEX('06_BANG_GIA_VAT_TU_AP_DUNG'!$E$1:$E$5000, MATCH(E1029, '06_BANG_GIA_VAT_TU_AP_DUNG'!$B$1:$B$5000, 0)), 0)</f>
        <v/>
      </c>
      <c r="K1029" s="402">
        <f>I1029*J1029</f>
        <v/>
      </c>
      <c r="L1029" t="inlineStr">
        <is>
          <t>2 đôi bạc đỡ 2 bên thân</t>
        </is>
      </c>
    </row>
    <row r="1030">
      <c r="A1030" t="inlineStr">
        <is>
          <t>SW-DAMPER-190-GEAR</t>
        </is>
      </c>
      <c r="B1030" t="inlineStr">
        <is>
          <t>SW-DAMPER-190</t>
        </is>
      </c>
      <c r="C1030" t="inlineStr">
        <is>
          <t>Bánh răng van nhôm</t>
        </is>
      </c>
      <c r="D1030" t="inlineStr">
        <is>
          <t>PHỤ_KIỆN_VAN</t>
        </is>
      </c>
      <c r="E1030" t="inlineStr">
        <is>
          <t>MAT-DAMPER-BANH-RANG-VAN-NHOM</t>
        </is>
      </c>
      <c r="F1030" t="inlineStr">
        <is>
          <t>Bộ</t>
        </is>
      </c>
      <c r="G1030" s="406" t="n">
        <v>1</v>
      </c>
      <c r="H1030" s="402">
        <f>IFERROR(INDEX('00_TONG_HOP_BAO_GIA'!$G$1:$G$5000, MATCH(B1030, '00_TONG_HOP_BAO_GIA'!$B$1:$B$5000, 0)), 1)</f>
        <v/>
      </c>
      <c r="I1030" s="407">
        <f>G1030*H1030</f>
        <v/>
      </c>
      <c r="J1030" s="402">
        <f>IFERROR(INDEX('06_BANG_GIA_VAT_TU_AP_DUNG'!$E$1:$E$5000, MATCH(E1030, '06_BANG_GIA_VAT_TU_AP_DUNG'!$B$1:$B$5000, 0)), 0)</f>
        <v/>
      </c>
      <c r="K1030" s="402">
        <f>I1030*J1030</f>
        <v/>
      </c>
      <c r="L1030" t="inlineStr">
        <is>
          <t>Cơ cấu liên động cánh (1 bộ)</t>
        </is>
      </c>
    </row>
    <row r="1031">
      <c r="A1031" t="inlineStr">
        <is>
          <t>SW-DAMPER-190-ECCENTRIC</t>
        </is>
      </c>
      <c r="B1031" t="inlineStr">
        <is>
          <t>SW-DAMPER-190</t>
        </is>
      </c>
      <c r="C1031" t="inlineStr">
        <is>
          <t>Cơ cấu lệch tâm / Lò xo đóng mở (NRD)</t>
        </is>
      </c>
      <c r="D1031" t="inlineStr">
        <is>
          <t>PHỤ_KIỆN_VAN</t>
        </is>
      </c>
      <c r="E1031" t="inlineStr">
        <is>
          <t>ECCENTRIC_SHAFT</t>
        </is>
      </c>
      <c r="F1031" t="inlineStr">
        <is>
          <t>Bộ</t>
        </is>
      </c>
      <c r="G1031" s="406" t="n">
        <v>1</v>
      </c>
      <c r="H1031" s="402">
        <f>IFERROR(INDEX('00_TONG_HOP_BAO_GIA'!$G$1:$G$5000, MATCH(B1031, '00_TONG_HOP_BAO_GIA'!$B$1:$B$5000, 0)), 1)</f>
        <v/>
      </c>
      <c r="I1031" s="407">
        <f>G1031*H1031</f>
        <v/>
      </c>
      <c r="J1031" s="402">
        <f>IFERROR(INDEX('06_BANG_GIA_VAT_TU_AP_DUNG'!$E$1:$E$5000, MATCH(E1031, '06_BANG_GIA_VAT_TU_AP_DUNG'!$B$1:$B$5000, 0)), 0)</f>
        <v/>
      </c>
      <c r="K1031" s="402">
        <f>I1031*J1031</f>
        <v/>
      </c>
      <c r="L1031" t="inlineStr">
        <is>
          <t>Cơ cấu đóng mở một chiều</t>
        </is>
      </c>
    </row>
    <row r="1032">
      <c r="A1032" t="inlineStr">
        <is>
          <t>SW-DAMPER-191-BODY</t>
        </is>
      </c>
      <c r="B1032" t="inlineStr">
        <is>
          <t>SW-DAMPER-191</t>
        </is>
      </c>
      <c r="C1032" t="inlineStr">
        <is>
          <t>Thân vỏ van NRD bích C30/TDF (0.75mm)</t>
        </is>
      </c>
      <c r="D1032" t="inlineStr">
        <is>
          <t>TÔN_CUỘN_MẠ_KẼM</t>
        </is>
      </c>
      <c r="E1032" t="inlineStr">
        <is>
          <t>MAT-STEEL-PN-0.75</t>
        </is>
      </c>
      <c r="F1032" t="inlineStr">
        <is>
          <t>kg</t>
        </is>
      </c>
      <c r="G1032" s="406" t="n">
        <v>2.838717</v>
      </c>
      <c r="H1032" s="402">
        <f>IFERROR(INDEX('00_TONG_HOP_BAO_GIA'!$G$1:$G$5000, MATCH(B1032, '00_TONG_HOP_BAO_GIA'!$B$1:$B$5000, 0)), 1)</f>
        <v/>
      </c>
      <c r="I1032" s="407">
        <f>G1032*H1032</f>
        <v/>
      </c>
      <c r="J1032" s="402">
        <f>IFERROR(INDEX('06_BANG_GIA_VAT_TU_AP_DUNG'!$E$1:$E$5000, MATCH(E1032, '06_BANG_GIA_VAT_TU_AP_DUNG'!$B$1:$B$5000, 0)), 0)</f>
        <v/>
      </c>
      <c r="K1032" s="402">
        <f>I1032*J1032</f>
        <v/>
      </c>
      <c r="L1032" t="inlineStr">
        <is>
          <t>Kích thước vỏ 400x400x210mm</t>
        </is>
      </c>
    </row>
    <row r="1033">
      <c r="A1033" t="inlineStr">
        <is>
          <t>SW-DAMPER-191-BLADE</t>
        </is>
      </c>
      <c r="B1033" t="inlineStr">
        <is>
          <t>SW-DAMPER-191</t>
        </is>
      </c>
      <c r="C1033" t="inlineStr">
        <is>
          <t>Lá cánh / Tôn tấm bọc van (3 cánh)</t>
        </is>
      </c>
      <c r="D1033" t="inlineStr">
        <is>
          <t>TÔN_CUỘN_MẠ_KẼM</t>
        </is>
      </c>
      <c r="E1033" t="inlineStr">
        <is>
          <t>MAT-STEEL-PN-0.75</t>
        </is>
      </c>
      <c r="F1033" t="inlineStr">
        <is>
          <t>kg</t>
        </is>
      </c>
      <c r="G1033" s="406" t="n">
        <v>1.169964</v>
      </c>
      <c r="H1033" s="402">
        <f>IFERROR(INDEX('00_TONG_HOP_BAO_GIA'!$G$1:$G$5000, MATCH(B1033, '00_TONG_HOP_BAO_GIA'!$B$1:$B$5000, 0)), 1)</f>
        <v/>
      </c>
      <c r="I1033" s="407">
        <f>G1033*H1033</f>
        <v/>
      </c>
      <c r="J1033" s="402">
        <f>IFERROR(INDEX('06_BANG_GIA_VAT_TU_AP_DUNG'!$E$1:$E$5000, MATCH(E1033, '06_BANG_GIA_VAT_TU_AP_DUNG'!$B$1:$B$5000, 0)), 0)</f>
        <v/>
      </c>
      <c r="K1033" s="402">
        <f>I1033*J1033</f>
        <v/>
      </c>
      <c r="L1033" t="inlineStr">
        <is>
          <t>3 cánh cao 153mm</t>
        </is>
      </c>
    </row>
    <row r="1034">
      <c r="A1034" t="inlineStr">
        <is>
          <t>SW-DAMPER-191-AXLE</t>
        </is>
      </c>
      <c r="B1034" t="inlineStr">
        <is>
          <t>SW-DAMPER-191</t>
        </is>
      </c>
      <c r="C1034" t="inlineStr">
        <is>
          <t>Trục Sus 201 D10</t>
        </is>
      </c>
      <c r="D1034" t="inlineStr">
        <is>
          <t>PHỤ_KIỆN_VAN</t>
        </is>
      </c>
      <c r="E1034" t="inlineStr">
        <is>
          <t>MAT-DAMPER-TRUC-SUS-201-D10</t>
        </is>
      </c>
      <c r="F1034" t="inlineStr">
        <is>
          <t>m</t>
        </is>
      </c>
      <c r="G1034" s="406" t="n">
        <v>1.38</v>
      </c>
      <c r="H1034" s="402">
        <f>IFERROR(INDEX('00_TONG_HOP_BAO_GIA'!$G$1:$G$5000, MATCH(B1034, '00_TONG_HOP_BAO_GIA'!$B$1:$B$5000, 0)), 1)</f>
        <v/>
      </c>
      <c r="I1034" s="407">
        <f>G1034*H1034</f>
        <v/>
      </c>
      <c r="J1034" s="402">
        <f>IFERROR(INDEX('06_BANG_GIA_VAT_TU_AP_DUNG'!$E$1:$E$5000, MATCH(E1034, '06_BANG_GIA_VAT_TU_AP_DUNG'!$B$1:$B$5000, 0)), 0)</f>
        <v/>
      </c>
      <c r="K1034" s="402">
        <f>I1034*J1034</f>
        <v/>
      </c>
      <c r="L1034" t="inlineStr">
        <is>
          <t>3 trục dài 460mm</t>
        </is>
      </c>
    </row>
    <row r="1035">
      <c r="A1035" t="inlineStr">
        <is>
          <t>SW-DAMPER-191-BEARING</t>
        </is>
      </c>
      <c r="B1035" t="inlineStr">
        <is>
          <t>SW-DAMPER-191</t>
        </is>
      </c>
      <c r="C1035" t="inlineStr">
        <is>
          <t>Bạc đồng D10</t>
        </is>
      </c>
      <c r="D1035" t="inlineStr">
        <is>
          <t>PHỤ_KIỆN_VAN</t>
        </is>
      </c>
      <c r="E1035" t="inlineStr">
        <is>
          <t>MAT-DAMPER-BAC-DONG-D10</t>
        </is>
      </c>
      <c r="F1035" t="inlineStr">
        <is>
          <t>Đôi</t>
        </is>
      </c>
      <c r="G1035" s="406" t="n">
        <v>3</v>
      </c>
      <c r="H1035" s="402">
        <f>IFERROR(INDEX('00_TONG_HOP_BAO_GIA'!$G$1:$G$5000, MATCH(B1035, '00_TONG_HOP_BAO_GIA'!$B$1:$B$5000, 0)), 1)</f>
        <v/>
      </c>
      <c r="I1035" s="407">
        <f>G1035*H1035</f>
        <v/>
      </c>
      <c r="J1035" s="402">
        <f>IFERROR(INDEX('06_BANG_GIA_VAT_TU_AP_DUNG'!$E$1:$E$5000, MATCH(E1035, '06_BANG_GIA_VAT_TU_AP_DUNG'!$B$1:$B$5000, 0)), 0)</f>
        <v/>
      </c>
      <c r="K1035" s="402">
        <f>I1035*J1035</f>
        <v/>
      </c>
      <c r="L1035" t="inlineStr">
        <is>
          <t>3 đôi bạc đỡ 2 bên thân</t>
        </is>
      </c>
    </row>
    <row r="1036">
      <c r="A1036" t="inlineStr">
        <is>
          <t>SW-DAMPER-191-GEAR</t>
        </is>
      </c>
      <c r="B1036" t="inlineStr">
        <is>
          <t>SW-DAMPER-191</t>
        </is>
      </c>
      <c r="C1036" t="inlineStr">
        <is>
          <t>Bánh răng van nhôm</t>
        </is>
      </c>
      <c r="D1036" t="inlineStr">
        <is>
          <t>PHỤ_KIỆN_VAN</t>
        </is>
      </c>
      <c r="E1036" t="inlineStr">
        <is>
          <t>MAT-DAMPER-BANH-RANG-VAN-NHOM</t>
        </is>
      </c>
      <c r="F1036" t="inlineStr">
        <is>
          <t>Bộ</t>
        </is>
      </c>
      <c r="G1036" s="406" t="n">
        <v>1</v>
      </c>
      <c r="H1036" s="402">
        <f>IFERROR(INDEX('00_TONG_HOP_BAO_GIA'!$G$1:$G$5000, MATCH(B1036, '00_TONG_HOP_BAO_GIA'!$B$1:$B$5000, 0)), 1)</f>
        <v/>
      </c>
      <c r="I1036" s="407">
        <f>G1036*H1036</f>
        <v/>
      </c>
      <c r="J1036" s="402">
        <f>IFERROR(INDEX('06_BANG_GIA_VAT_TU_AP_DUNG'!$E$1:$E$5000, MATCH(E1036, '06_BANG_GIA_VAT_TU_AP_DUNG'!$B$1:$B$5000, 0)), 0)</f>
        <v/>
      </c>
      <c r="K1036" s="402">
        <f>I1036*J1036</f>
        <v/>
      </c>
      <c r="L1036" t="inlineStr">
        <is>
          <t>Cơ cấu liên động cánh (1 bộ)</t>
        </is>
      </c>
    </row>
    <row r="1037">
      <c r="A1037" t="inlineStr">
        <is>
          <t>SW-DAMPER-191-ECCENTRIC</t>
        </is>
      </c>
      <c r="B1037" t="inlineStr">
        <is>
          <t>SW-DAMPER-191</t>
        </is>
      </c>
      <c r="C1037" t="inlineStr">
        <is>
          <t>Cơ cấu lệch tâm / Lò xo đóng mở (NRD)</t>
        </is>
      </c>
      <c r="D1037" t="inlineStr">
        <is>
          <t>PHỤ_KIỆN_VAN</t>
        </is>
      </c>
      <c r="E1037" t="inlineStr">
        <is>
          <t>ECCENTRIC_SHAFT</t>
        </is>
      </c>
      <c r="F1037" t="inlineStr">
        <is>
          <t>Bộ</t>
        </is>
      </c>
      <c r="G1037" s="406" t="n">
        <v>1</v>
      </c>
      <c r="H1037" s="402">
        <f>IFERROR(INDEX('00_TONG_HOP_BAO_GIA'!$G$1:$G$5000, MATCH(B1037, '00_TONG_HOP_BAO_GIA'!$B$1:$B$5000, 0)), 1)</f>
        <v/>
      </c>
      <c r="I1037" s="407">
        <f>G1037*H1037</f>
        <v/>
      </c>
      <c r="J1037" s="402">
        <f>IFERROR(INDEX('06_BANG_GIA_VAT_TU_AP_DUNG'!$E$1:$E$5000, MATCH(E1037, '06_BANG_GIA_VAT_TU_AP_DUNG'!$B$1:$B$5000, 0)), 0)</f>
        <v/>
      </c>
      <c r="K1037" s="402">
        <f>I1037*J1037</f>
        <v/>
      </c>
      <c r="L1037" t="inlineStr">
        <is>
          <t>Cơ cấu đóng mở một chiều</t>
        </is>
      </c>
    </row>
    <row r="1038">
      <c r="A1038" t="inlineStr">
        <is>
          <t>SW-DAMPER-192-BODY</t>
        </is>
      </c>
      <c r="B1038" t="inlineStr">
        <is>
          <t>SW-DAMPER-192</t>
        </is>
      </c>
      <c r="C1038" t="inlineStr">
        <is>
          <t>Thân vỏ van NRD bích C30/TDF (0.75mm)</t>
        </is>
      </c>
      <c r="D1038" t="inlineStr">
        <is>
          <t>TÔN_CUỘN_MẠ_KẼM</t>
        </is>
      </c>
      <c r="E1038" t="inlineStr">
        <is>
          <t>MAT-STEEL-PN-0.75</t>
        </is>
      </c>
      <c r="F1038" t="inlineStr">
        <is>
          <t>kg</t>
        </is>
      </c>
      <c r="G1038" s="406" t="n">
        <v>1.800162</v>
      </c>
      <c r="H1038" s="402">
        <f>IFERROR(INDEX('00_TONG_HOP_BAO_GIA'!$G$1:$G$5000, MATCH(B1038, '00_TONG_HOP_BAO_GIA'!$B$1:$B$5000, 0)), 1)</f>
        <v/>
      </c>
      <c r="I1038" s="407">
        <f>G1038*H1038</f>
        <v/>
      </c>
      <c r="J1038" s="402">
        <f>IFERROR(INDEX('06_BANG_GIA_VAT_TU_AP_DUNG'!$E$1:$E$5000, MATCH(E1038, '06_BANG_GIA_VAT_TU_AP_DUNG'!$B$1:$B$5000, 0)), 0)</f>
        <v/>
      </c>
      <c r="K1038" s="402">
        <f>I1038*J1038</f>
        <v/>
      </c>
      <c r="L1038" t="inlineStr">
        <is>
          <t>Kích thước vỏ 250x250x210mm</t>
        </is>
      </c>
    </row>
    <row r="1039">
      <c r="A1039" t="inlineStr">
        <is>
          <t>SW-DAMPER-192-BLADE</t>
        </is>
      </c>
      <c r="B1039" t="inlineStr">
        <is>
          <t>SW-DAMPER-192</t>
        </is>
      </c>
      <c r="C1039" t="inlineStr">
        <is>
          <t>Lá cánh / Tôn tấm bọc van (2 cánh)</t>
        </is>
      </c>
      <c r="D1039" t="inlineStr">
        <is>
          <t>TÔN_CUỘN_MẠ_KẼM</t>
        </is>
      </c>
      <c r="E1039" t="inlineStr">
        <is>
          <t>MAT-STEEL-PN-0.75</t>
        </is>
      </c>
      <c r="F1039" t="inlineStr">
        <is>
          <t>kg</t>
        </is>
      </c>
      <c r="G1039" s="406" t="n">
        <v>0.4609912499999999</v>
      </c>
      <c r="H1039" s="402">
        <f>IFERROR(INDEX('00_TONG_HOP_BAO_GIA'!$G$1:$G$5000, MATCH(B1039, '00_TONG_HOP_BAO_GIA'!$B$1:$B$5000, 0)), 1)</f>
        <v/>
      </c>
      <c r="I1039" s="407">
        <f>G1039*H1039</f>
        <v/>
      </c>
      <c r="J1039" s="402">
        <f>IFERROR(INDEX('06_BANG_GIA_VAT_TU_AP_DUNG'!$E$1:$E$5000, MATCH(E1039, '06_BANG_GIA_VAT_TU_AP_DUNG'!$B$1:$B$5000, 0)), 0)</f>
        <v/>
      </c>
      <c r="K1039" s="402">
        <f>I1039*J1039</f>
        <v/>
      </c>
      <c r="L1039" t="inlineStr">
        <is>
          <t>2 cánh cao 145mm</t>
        </is>
      </c>
    </row>
    <row r="1040">
      <c r="A1040" t="inlineStr">
        <is>
          <t>SW-DAMPER-192-AXLE</t>
        </is>
      </c>
      <c r="B1040" t="inlineStr">
        <is>
          <t>SW-DAMPER-192</t>
        </is>
      </c>
      <c r="C1040" t="inlineStr">
        <is>
          <t>Trục Sus 201 D10</t>
        </is>
      </c>
      <c r="D1040" t="inlineStr">
        <is>
          <t>PHỤ_KIỆN_VAN</t>
        </is>
      </c>
      <c r="E1040" t="inlineStr">
        <is>
          <t>MAT-DAMPER-TRUC-SUS-201-D10</t>
        </is>
      </c>
      <c r="F1040" t="inlineStr">
        <is>
          <t>m</t>
        </is>
      </c>
      <c r="G1040" s="406" t="n">
        <v>0.62</v>
      </c>
      <c r="H1040" s="402">
        <f>IFERROR(INDEX('00_TONG_HOP_BAO_GIA'!$G$1:$G$5000, MATCH(B1040, '00_TONG_HOP_BAO_GIA'!$B$1:$B$5000, 0)), 1)</f>
        <v/>
      </c>
      <c r="I1040" s="407">
        <f>G1040*H1040</f>
        <v/>
      </c>
      <c r="J1040" s="402">
        <f>IFERROR(INDEX('06_BANG_GIA_VAT_TU_AP_DUNG'!$E$1:$E$5000, MATCH(E1040, '06_BANG_GIA_VAT_TU_AP_DUNG'!$B$1:$B$5000, 0)), 0)</f>
        <v/>
      </c>
      <c r="K1040" s="402">
        <f>I1040*J1040</f>
        <v/>
      </c>
      <c r="L1040" t="inlineStr">
        <is>
          <t>2 trục dài 310mm</t>
        </is>
      </c>
    </row>
    <row r="1041">
      <c r="A1041" t="inlineStr">
        <is>
          <t>SW-DAMPER-192-BEARING</t>
        </is>
      </c>
      <c r="B1041" t="inlineStr">
        <is>
          <t>SW-DAMPER-192</t>
        </is>
      </c>
      <c r="C1041" t="inlineStr">
        <is>
          <t>Bạc đồng D10</t>
        </is>
      </c>
      <c r="D1041" t="inlineStr">
        <is>
          <t>PHỤ_KIỆN_VAN</t>
        </is>
      </c>
      <c r="E1041" t="inlineStr">
        <is>
          <t>MAT-DAMPER-BAC-DONG-D10</t>
        </is>
      </c>
      <c r="F1041" t="inlineStr">
        <is>
          <t>Đôi</t>
        </is>
      </c>
      <c r="G1041" s="406" t="n">
        <v>2</v>
      </c>
      <c r="H1041" s="402">
        <f>IFERROR(INDEX('00_TONG_HOP_BAO_GIA'!$G$1:$G$5000, MATCH(B1041, '00_TONG_HOP_BAO_GIA'!$B$1:$B$5000, 0)), 1)</f>
        <v/>
      </c>
      <c r="I1041" s="407">
        <f>G1041*H1041</f>
        <v/>
      </c>
      <c r="J1041" s="402">
        <f>IFERROR(INDEX('06_BANG_GIA_VAT_TU_AP_DUNG'!$E$1:$E$5000, MATCH(E1041, '06_BANG_GIA_VAT_TU_AP_DUNG'!$B$1:$B$5000, 0)), 0)</f>
        <v/>
      </c>
      <c r="K1041" s="402">
        <f>I1041*J1041</f>
        <v/>
      </c>
      <c r="L1041" t="inlineStr">
        <is>
          <t>2 đôi bạc đỡ 2 bên thân</t>
        </is>
      </c>
    </row>
    <row r="1042">
      <c r="A1042" t="inlineStr">
        <is>
          <t>SW-DAMPER-192-GEAR</t>
        </is>
      </c>
      <c r="B1042" t="inlineStr">
        <is>
          <t>SW-DAMPER-192</t>
        </is>
      </c>
      <c r="C1042" t="inlineStr">
        <is>
          <t>Bánh răng van nhôm</t>
        </is>
      </c>
      <c r="D1042" t="inlineStr">
        <is>
          <t>PHỤ_KIỆN_VAN</t>
        </is>
      </c>
      <c r="E1042" t="inlineStr">
        <is>
          <t>MAT-DAMPER-BANH-RANG-VAN-NHOM</t>
        </is>
      </c>
      <c r="F1042" t="inlineStr">
        <is>
          <t>Bộ</t>
        </is>
      </c>
      <c r="G1042" s="406" t="n">
        <v>1</v>
      </c>
      <c r="H1042" s="402">
        <f>IFERROR(INDEX('00_TONG_HOP_BAO_GIA'!$G$1:$G$5000, MATCH(B1042, '00_TONG_HOP_BAO_GIA'!$B$1:$B$5000, 0)), 1)</f>
        <v/>
      </c>
      <c r="I1042" s="407">
        <f>G1042*H1042</f>
        <v/>
      </c>
      <c r="J1042" s="402">
        <f>IFERROR(INDEX('06_BANG_GIA_VAT_TU_AP_DUNG'!$E$1:$E$5000, MATCH(E1042, '06_BANG_GIA_VAT_TU_AP_DUNG'!$B$1:$B$5000, 0)), 0)</f>
        <v/>
      </c>
      <c r="K1042" s="402">
        <f>I1042*J1042</f>
        <v/>
      </c>
      <c r="L1042" t="inlineStr">
        <is>
          <t>Cơ cấu liên động cánh (1 bộ)</t>
        </is>
      </c>
    </row>
    <row r="1043">
      <c r="A1043" t="inlineStr">
        <is>
          <t>SW-DAMPER-192-ECCENTRIC</t>
        </is>
      </c>
      <c r="B1043" t="inlineStr">
        <is>
          <t>SW-DAMPER-192</t>
        </is>
      </c>
      <c r="C1043" t="inlineStr">
        <is>
          <t>Cơ cấu lệch tâm / Lò xo đóng mở (NRD)</t>
        </is>
      </c>
      <c r="D1043" t="inlineStr">
        <is>
          <t>PHỤ_KIỆN_VAN</t>
        </is>
      </c>
      <c r="E1043" t="inlineStr">
        <is>
          <t>ECCENTRIC_SHAFT</t>
        </is>
      </c>
      <c r="F1043" t="inlineStr">
        <is>
          <t>Bộ</t>
        </is>
      </c>
      <c r="G1043" s="406" t="n">
        <v>1</v>
      </c>
      <c r="H1043" s="402">
        <f>IFERROR(INDEX('00_TONG_HOP_BAO_GIA'!$G$1:$G$5000, MATCH(B1043, '00_TONG_HOP_BAO_GIA'!$B$1:$B$5000, 0)), 1)</f>
        <v/>
      </c>
      <c r="I1043" s="407">
        <f>G1043*H1043</f>
        <v/>
      </c>
      <c r="J1043" s="402">
        <f>IFERROR(INDEX('06_BANG_GIA_VAT_TU_AP_DUNG'!$E$1:$E$5000, MATCH(E1043, '06_BANG_GIA_VAT_TU_AP_DUNG'!$B$1:$B$5000, 0)), 0)</f>
        <v/>
      </c>
      <c r="K1043" s="402">
        <f>I1043*J1043</f>
        <v/>
      </c>
      <c r="L1043" t="inlineStr">
        <is>
          <t>Cơ cấu đóng mở một chiều</t>
        </is>
      </c>
    </row>
    <row r="1044">
      <c r="A1044" t="inlineStr">
        <is>
          <t>SW-DAMPER-193-BODY</t>
        </is>
      </c>
      <c r="B1044" t="inlineStr">
        <is>
          <t>SW-DAMPER-193</t>
        </is>
      </c>
      <c r="C1044" t="inlineStr">
        <is>
          <t>Thân vỏ van NRD bích C30/TDF (0.75mm)</t>
        </is>
      </c>
      <c r="D1044" t="inlineStr">
        <is>
          <t>TÔN_CUỘN_MẠ_KẼM</t>
        </is>
      </c>
      <c r="E1044" t="inlineStr">
        <is>
          <t>MAT-STEEL-PN-0.75</t>
        </is>
      </c>
      <c r="F1044" t="inlineStr">
        <is>
          <t>kg</t>
        </is>
      </c>
      <c r="G1044" s="406" t="n">
        <v>6.8890815</v>
      </c>
      <c r="H1044" s="402">
        <f>IFERROR(INDEX('00_TONG_HOP_BAO_GIA'!$G$1:$G$5000, MATCH(B1044, '00_TONG_HOP_BAO_GIA'!$B$1:$B$5000, 0)), 1)</f>
        <v/>
      </c>
      <c r="I1044" s="407">
        <f>G1044*H1044</f>
        <v/>
      </c>
      <c r="J1044" s="402">
        <f>IFERROR(INDEX('06_BANG_GIA_VAT_TU_AP_DUNG'!$E$1:$E$5000, MATCH(E1044, '06_BANG_GIA_VAT_TU_AP_DUNG'!$B$1:$B$5000, 0)), 0)</f>
        <v/>
      </c>
      <c r="K1044" s="402">
        <f>I1044*J1044</f>
        <v/>
      </c>
      <c r="L1044" t="inlineStr">
        <is>
          <t>Kích thước vỏ 1250x350x210mm (2 modul 625x350mm)</t>
        </is>
      </c>
    </row>
    <row r="1045">
      <c r="A1045" t="inlineStr">
        <is>
          <t>SW-DAMPER-193-BLADE</t>
        </is>
      </c>
      <c r="B1045" t="inlineStr">
        <is>
          <t>SW-DAMPER-193</t>
        </is>
      </c>
      <c r="C1045" t="inlineStr">
        <is>
          <t>Lá cánh / Tôn tấm bọc van (4 cánh)</t>
        </is>
      </c>
      <c r="D1045" t="inlineStr">
        <is>
          <t>TÔN_CUỘN_MẠ_KẼM</t>
        </is>
      </c>
      <c r="E1045" t="inlineStr">
        <is>
          <t>MAT-STEEL-PN-0.75</t>
        </is>
      </c>
      <c r="F1045" t="inlineStr">
        <is>
          <t>kg</t>
        </is>
      </c>
      <c r="G1045" s="406" t="n">
        <v>3.09976875</v>
      </c>
      <c r="H1045" s="402">
        <f>IFERROR(INDEX('00_TONG_HOP_BAO_GIA'!$G$1:$G$5000, MATCH(B1045, '00_TONG_HOP_BAO_GIA'!$B$1:$B$5000, 0)), 1)</f>
        <v/>
      </c>
      <c r="I1045" s="407">
        <f>G1045*H1045</f>
        <v/>
      </c>
      <c r="J1045" s="402">
        <f>IFERROR(INDEX('06_BANG_GIA_VAT_TU_AP_DUNG'!$E$1:$E$5000, MATCH(E1045, '06_BANG_GIA_VAT_TU_AP_DUNG'!$B$1:$B$5000, 0)), 0)</f>
        <v/>
      </c>
      <c r="K1045" s="402">
        <f>I1045*J1045</f>
        <v/>
      </c>
      <c r="L1045" t="inlineStr">
        <is>
          <t>4 cánh cao 195mm (2 modul 625x350mm)</t>
        </is>
      </c>
    </row>
    <row r="1046">
      <c r="A1046" t="inlineStr">
        <is>
          <t>SW-DAMPER-193-AXLE</t>
        </is>
      </c>
      <c r="B1046" t="inlineStr">
        <is>
          <t>SW-DAMPER-193</t>
        </is>
      </c>
      <c r="C1046" t="inlineStr">
        <is>
          <t>Trục Sus 201 D10</t>
        </is>
      </c>
      <c r="D1046" t="inlineStr">
        <is>
          <t>PHỤ_KIỆN_VAN</t>
        </is>
      </c>
      <c r="E1046" t="inlineStr">
        <is>
          <t>MAT-DAMPER-TRUC-SUS-201-D10</t>
        </is>
      </c>
      <c r="F1046" t="inlineStr">
        <is>
          <t>m</t>
        </is>
      </c>
      <c r="G1046" s="406" t="n">
        <v>2.74</v>
      </c>
      <c r="H1046" s="402">
        <f>IFERROR(INDEX('00_TONG_HOP_BAO_GIA'!$G$1:$G$5000, MATCH(B1046, '00_TONG_HOP_BAO_GIA'!$B$1:$B$5000, 0)), 1)</f>
        <v/>
      </c>
      <c r="I1046" s="407">
        <f>G1046*H1046</f>
        <v/>
      </c>
      <c r="J1046" s="402">
        <f>IFERROR(INDEX('06_BANG_GIA_VAT_TU_AP_DUNG'!$E$1:$E$5000, MATCH(E1046, '06_BANG_GIA_VAT_TU_AP_DUNG'!$B$1:$B$5000, 0)), 0)</f>
        <v/>
      </c>
      <c r="K1046" s="402">
        <f>I1046*J1046</f>
        <v/>
      </c>
      <c r="L1046" t="inlineStr">
        <is>
          <t>4 trục dài 685mm</t>
        </is>
      </c>
    </row>
    <row r="1047">
      <c r="A1047" t="inlineStr">
        <is>
          <t>SW-DAMPER-193-BEARING</t>
        </is>
      </c>
      <c r="B1047" t="inlineStr">
        <is>
          <t>SW-DAMPER-193</t>
        </is>
      </c>
      <c r="C1047" t="inlineStr">
        <is>
          <t>Bạc đồng D10</t>
        </is>
      </c>
      <c r="D1047" t="inlineStr">
        <is>
          <t>PHỤ_KIỆN_VAN</t>
        </is>
      </c>
      <c r="E1047" t="inlineStr">
        <is>
          <t>MAT-DAMPER-BAC-DONG-D10</t>
        </is>
      </c>
      <c r="F1047" t="inlineStr">
        <is>
          <t>Đôi</t>
        </is>
      </c>
      <c r="G1047" s="406" t="n">
        <v>4</v>
      </c>
      <c r="H1047" s="402">
        <f>IFERROR(INDEX('00_TONG_HOP_BAO_GIA'!$G$1:$G$5000, MATCH(B1047, '00_TONG_HOP_BAO_GIA'!$B$1:$B$5000, 0)), 1)</f>
        <v/>
      </c>
      <c r="I1047" s="407">
        <f>G1047*H1047</f>
        <v/>
      </c>
      <c r="J1047" s="402">
        <f>IFERROR(INDEX('06_BANG_GIA_VAT_TU_AP_DUNG'!$E$1:$E$5000, MATCH(E1047, '06_BANG_GIA_VAT_TU_AP_DUNG'!$B$1:$B$5000, 0)), 0)</f>
        <v/>
      </c>
      <c r="K1047" s="402">
        <f>I1047*J1047</f>
        <v/>
      </c>
      <c r="L1047" t="inlineStr">
        <is>
          <t>4 đôi bạc đỡ 2 bên thân</t>
        </is>
      </c>
    </row>
    <row r="1048">
      <c r="A1048" t="inlineStr">
        <is>
          <t>SW-DAMPER-193-GEAR</t>
        </is>
      </c>
      <c r="B1048" t="inlineStr">
        <is>
          <t>SW-DAMPER-193</t>
        </is>
      </c>
      <c r="C1048" t="inlineStr">
        <is>
          <t>Bánh răng van nhôm</t>
        </is>
      </c>
      <c r="D1048" t="inlineStr">
        <is>
          <t>PHỤ_KIỆN_VAN</t>
        </is>
      </c>
      <c r="E1048" t="inlineStr">
        <is>
          <t>MAT-DAMPER-BANH-RANG-VAN-NHOM</t>
        </is>
      </c>
      <c r="F1048" t="inlineStr">
        <is>
          <t>Bộ</t>
        </is>
      </c>
      <c r="G1048" s="406" t="n">
        <v>2</v>
      </c>
      <c r="H1048" s="402">
        <f>IFERROR(INDEX('00_TONG_HOP_BAO_GIA'!$G$1:$G$5000, MATCH(B1048, '00_TONG_HOP_BAO_GIA'!$B$1:$B$5000, 0)), 1)</f>
        <v/>
      </c>
      <c r="I1048" s="407">
        <f>G1048*H1048</f>
        <v/>
      </c>
      <c r="J1048" s="402">
        <f>IFERROR(INDEX('06_BANG_GIA_VAT_TU_AP_DUNG'!$E$1:$E$5000, MATCH(E1048, '06_BANG_GIA_VAT_TU_AP_DUNG'!$B$1:$B$5000, 0)), 0)</f>
        <v/>
      </c>
      <c r="K1048" s="402">
        <f>I1048*J1048</f>
        <v/>
      </c>
      <c r="L1048" t="inlineStr">
        <is>
          <t>Cơ cấu liên động cánh (2 bộ)</t>
        </is>
      </c>
    </row>
    <row r="1049">
      <c r="A1049" t="inlineStr">
        <is>
          <t>SW-DAMPER-193-ECCENTRIC</t>
        </is>
      </c>
      <c r="B1049" t="inlineStr">
        <is>
          <t>SW-DAMPER-193</t>
        </is>
      </c>
      <c r="C1049" t="inlineStr">
        <is>
          <t>Cơ cấu lệch tâm / Lò xo đóng mở (NRD)</t>
        </is>
      </c>
      <c r="D1049" t="inlineStr">
        <is>
          <t>PHỤ_KIỆN_VAN</t>
        </is>
      </c>
      <c r="E1049" t="inlineStr">
        <is>
          <t>ECCENTRIC_SHAFT</t>
        </is>
      </c>
      <c r="F1049" t="inlineStr">
        <is>
          <t>Bộ</t>
        </is>
      </c>
      <c r="G1049" s="406" t="n">
        <v>2</v>
      </c>
      <c r="H1049" s="402">
        <f>IFERROR(INDEX('00_TONG_HOP_BAO_GIA'!$G$1:$G$5000, MATCH(B1049, '00_TONG_HOP_BAO_GIA'!$B$1:$B$5000, 0)), 1)</f>
        <v/>
      </c>
      <c r="I1049" s="407">
        <f>G1049*H1049</f>
        <v/>
      </c>
      <c r="J1049" s="402">
        <f>IFERROR(INDEX('06_BANG_GIA_VAT_TU_AP_DUNG'!$E$1:$E$5000, MATCH(E1049, '06_BANG_GIA_VAT_TU_AP_DUNG'!$B$1:$B$5000, 0)), 0)</f>
        <v/>
      </c>
      <c r="K1049" s="402">
        <f>I1049*J1049</f>
        <v/>
      </c>
      <c r="L1049" t="inlineStr">
        <is>
          <t>Cơ cấu đóng mở một chiều</t>
        </is>
      </c>
    </row>
    <row r="1050">
      <c r="A1050" t="inlineStr">
        <is>
          <t>SW-DAMPER-194-BODY</t>
        </is>
      </c>
      <c r="B1050" t="inlineStr">
        <is>
          <t>SW-DAMPER-194</t>
        </is>
      </c>
      <c r="C1050" t="inlineStr">
        <is>
          <t>Thân vỏ van NRD bích C30/TDF (0.95mm)</t>
        </is>
      </c>
      <c r="D1050" t="inlineStr">
        <is>
          <t>TÔN_CUỘN_MẠ_KẼM</t>
        </is>
      </c>
      <c r="E1050" t="inlineStr">
        <is>
          <t>MAT-STEEL-PN-0.95</t>
        </is>
      </c>
      <c r="F1050" t="inlineStr">
        <is>
          <t>kg</t>
        </is>
      </c>
      <c r="G1050" s="406" t="n">
        <v>6.884465700000001</v>
      </c>
      <c r="H1050" s="402">
        <f>IFERROR(INDEX('00_TONG_HOP_BAO_GIA'!$G$1:$G$5000, MATCH(B1050, '00_TONG_HOP_BAO_GIA'!$B$1:$B$5000, 0)), 1)</f>
        <v/>
      </c>
      <c r="I1050" s="407">
        <f>G1050*H1050</f>
        <v/>
      </c>
      <c r="J1050" s="402">
        <f>IFERROR(INDEX('06_BANG_GIA_VAT_TU_AP_DUNG'!$E$1:$E$5000, MATCH(E1050, '06_BANG_GIA_VAT_TU_AP_DUNG'!$B$1:$B$5000, 0)), 0)</f>
        <v/>
      </c>
      <c r="K1050" s="402">
        <f>I1050*J1050</f>
        <v/>
      </c>
      <c r="L1050" t="inlineStr">
        <is>
          <t>Kích thước vỏ 1000x550x210mm</t>
        </is>
      </c>
    </row>
    <row r="1051">
      <c r="A1051" t="inlineStr">
        <is>
          <t>SW-DAMPER-194-BLADE</t>
        </is>
      </c>
      <c r="B1051" t="inlineStr">
        <is>
          <t>SW-DAMPER-194</t>
        </is>
      </c>
      <c r="C1051" t="inlineStr">
        <is>
          <t>Lá cánh / Tôn tấm bọc van (4 cánh)</t>
        </is>
      </c>
      <c r="D1051" t="inlineStr">
        <is>
          <t>TÔN_CUỘN_MẠ_KẼM</t>
        </is>
      </c>
      <c r="E1051" t="inlineStr">
        <is>
          <t>MAT-STEEL-PN-0.75</t>
        </is>
      </c>
      <c r="F1051" t="inlineStr">
        <is>
          <t>kg</t>
        </is>
      </c>
      <c r="G1051" s="406" t="n">
        <v>4.005854999999999</v>
      </c>
      <c r="H1051" s="402">
        <f>IFERROR(INDEX('00_TONG_HOP_BAO_GIA'!$G$1:$G$5000, MATCH(B1051, '00_TONG_HOP_BAO_GIA'!$B$1:$B$5000, 0)), 1)</f>
        <v/>
      </c>
      <c r="I1051" s="407">
        <f>G1051*H1051</f>
        <v/>
      </c>
      <c r="J1051" s="402">
        <f>IFERROR(INDEX('06_BANG_GIA_VAT_TU_AP_DUNG'!$E$1:$E$5000, MATCH(E1051, '06_BANG_GIA_VAT_TU_AP_DUNG'!$B$1:$B$5000, 0)), 0)</f>
        <v/>
      </c>
      <c r="K1051" s="402">
        <f>I1051*J1051</f>
        <v/>
      </c>
      <c r="L1051" t="inlineStr">
        <is>
          <t>4 cánh cao 158mm</t>
        </is>
      </c>
    </row>
    <row r="1052">
      <c r="A1052" t="inlineStr">
        <is>
          <t>SW-DAMPER-194-AXLE</t>
        </is>
      </c>
      <c r="B1052" t="inlineStr">
        <is>
          <t>SW-DAMPER-194</t>
        </is>
      </c>
      <c r="C1052" t="inlineStr">
        <is>
          <t>Trục Sus 201 D10</t>
        </is>
      </c>
      <c r="D1052" t="inlineStr">
        <is>
          <t>PHỤ_KIỆN_VAN</t>
        </is>
      </c>
      <c r="E1052" t="inlineStr">
        <is>
          <t>MAT-DAMPER-TRUC-SUS-201-D10</t>
        </is>
      </c>
      <c r="F1052" t="inlineStr">
        <is>
          <t>m</t>
        </is>
      </c>
      <c r="G1052" s="406" t="n">
        <v>4.24</v>
      </c>
      <c r="H1052" s="402">
        <f>IFERROR(INDEX('00_TONG_HOP_BAO_GIA'!$G$1:$G$5000, MATCH(B1052, '00_TONG_HOP_BAO_GIA'!$B$1:$B$5000, 0)), 1)</f>
        <v/>
      </c>
      <c r="I1052" s="407">
        <f>G1052*H1052</f>
        <v/>
      </c>
      <c r="J1052" s="402">
        <f>IFERROR(INDEX('06_BANG_GIA_VAT_TU_AP_DUNG'!$E$1:$E$5000, MATCH(E1052, '06_BANG_GIA_VAT_TU_AP_DUNG'!$B$1:$B$5000, 0)), 0)</f>
        <v/>
      </c>
      <c r="K1052" s="402">
        <f>I1052*J1052</f>
        <v/>
      </c>
      <c r="L1052" t="inlineStr">
        <is>
          <t>4 trục dài 1060mm</t>
        </is>
      </c>
    </row>
    <row r="1053">
      <c r="A1053" t="inlineStr">
        <is>
          <t>SW-DAMPER-194-BEARING</t>
        </is>
      </c>
      <c r="B1053" t="inlineStr">
        <is>
          <t>SW-DAMPER-194</t>
        </is>
      </c>
      <c r="C1053" t="inlineStr">
        <is>
          <t>Bạc đồng D10</t>
        </is>
      </c>
      <c r="D1053" t="inlineStr">
        <is>
          <t>PHỤ_KIỆN_VAN</t>
        </is>
      </c>
      <c r="E1053" t="inlineStr">
        <is>
          <t>MAT-DAMPER-BAC-DONG-D10</t>
        </is>
      </c>
      <c r="F1053" t="inlineStr">
        <is>
          <t>Đôi</t>
        </is>
      </c>
      <c r="G1053" s="406" t="n">
        <v>4</v>
      </c>
      <c r="H1053" s="402">
        <f>IFERROR(INDEX('00_TONG_HOP_BAO_GIA'!$G$1:$G$5000, MATCH(B1053, '00_TONG_HOP_BAO_GIA'!$B$1:$B$5000, 0)), 1)</f>
        <v/>
      </c>
      <c r="I1053" s="407">
        <f>G1053*H1053</f>
        <v/>
      </c>
      <c r="J1053" s="402">
        <f>IFERROR(INDEX('06_BANG_GIA_VAT_TU_AP_DUNG'!$E$1:$E$5000, MATCH(E1053, '06_BANG_GIA_VAT_TU_AP_DUNG'!$B$1:$B$5000, 0)), 0)</f>
        <v/>
      </c>
      <c r="K1053" s="402">
        <f>I1053*J1053</f>
        <v/>
      </c>
      <c r="L1053" t="inlineStr">
        <is>
          <t>4 đôi bạc đỡ 2 bên thân</t>
        </is>
      </c>
    </row>
    <row r="1054">
      <c r="A1054" t="inlineStr">
        <is>
          <t>SW-DAMPER-194-GEAR</t>
        </is>
      </c>
      <c r="B1054" t="inlineStr">
        <is>
          <t>SW-DAMPER-194</t>
        </is>
      </c>
      <c r="C1054" t="inlineStr">
        <is>
          <t>Bánh răng van nhôm</t>
        </is>
      </c>
      <c r="D1054" t="inlineStr">
        <is>
          <t>PHỤ_KIỆN_VAN</t>
        </is>
      </c>
      <c r="E1054" t="inlineStr">
        <is>
          <t>MAT-DAMPER-BANH-RANG-VAN-NHOM</t>
        </is>
      </c>
      <c r="F1054" t="inlineStr">
        <is>
          <t>Bộ</t>
        </is>
      </c>
      <c r="G1054" s="406" t="n">
        <v>1</v>
      </c>
      <c r="H1054" s="402">
        <f>IFERROR(INDEX('00_TONG_HOP_BAO_GIA'!$G$1:$G$5000, MATCH(B1054, '00_TONG_HOP_BAO_GIA'!$B$1:$B$5000, 0)), 1)</f>
        <v/>
      </c>
      <c r="I1054" s="407">
        <f>G1054*H1054</f>
        <v/>
      </c>
      <c r="J1054" s="402">
        <f>IFERROR(INDEX('06_BANG_GIA_VAT_TU_AP_DUNG'!$E$1:$E$5000, MATCH(E1054, '06_BANG_GIA_VAT_TU_AP_DUNG'!$B$1:$B$5000, 0)), 0)</f>
        <v/>
      </c>
      <c r="K1054" s="402">
        <f>I1054*J1054</f>
        <v/>
      </c>
      <c r="L1054" t="inlineStr">
        <is>
          <t>Cơ cấu liên động cánh (1 bộ)</t>
        </is>
      </c>
    </row>
    <row r="1055">
      <c r="A1055" t="inlineStr">
        <is>
          <t>SW-DAMPER-194-ECCENTRIC</t>
        </is>
      </c>
      <c r="B1055" t="inlineStr">
        <is>
          <t>SW-DAMPER-194</t>
        </is>
      </c>
      <c r="C1055" t="inlineStr">
        <is>
          <t>Cơ cấu lệch tâm / Lò xo đóng mở (NRD)</t>
        </is>
      </c>
      <c r="D1055" t="inlineStr">
        <is>
          <t>PHỤ_KIỆN_VAN</t>
        </is>
      </c>
      <c r="E1055" t="inlineStr">
        <is>
          <t>ECCENTRIC_SHAFT</t>
        </is>
      </c>
      <c r="F1055" t="inlineStr">
        <is>
          <t>Bộ</t>
        </is>
      </c>
      <c r="G1055" s="406" t="n">
        <v>1</v>
      </c>
      <c r="H1055" s="402">
        <f>IFERROR(INDEX('00_TONG_HOP_BAO_GIA'!$G$1:$G$5000, MATCH(B1055, '00_TONG_HOP_BAO_GIA'!$B$1:$B$5000, 0)), 1)</f>
        <v/>
      </c>
      <c r="I1055" s="407">
        <f>G1055*H1055</f>
        <v/>
      </c>
      <c r="J1055" s="402">
        <f>IFERROR(INDEX('06_BANG_GIA_VAT_TU_AP_DUNG'!$E$1:$E$5000, MATCH(E1055, '06_BANG_GIA_VAT_TU_AP_DUNG'!$B$1:$B$5000, 0)), 0)</f>
        <v/>
      </c>
      <c r="K1055" s="402">
        <f>I1055*J1055</f>
        <v/>
      </c>
      <c r="L1055" t="inlineStr">
        <is>
          <t>Cơ cấu đóng mở một chiều</t>
        </is>
      </c>
    </row>
    <row r="1056">
      <c r="A1056" t="inlineStr">
        <is>
          <t>SW-DAMPER-195-BODY</t>
        </is>
      </c>
      <c r="B1056" t="inlineStr">
        <is>
          <t>SW-DAMPER-195</t>
        </is>
      </c>
      <c r="C1056" t="inlineStr">
        <is>
          <t>Thân vỏ van NRD bích C30/TDF (0.75mm)</t>
        </is>
      </c>
      <c r="D1056" t="inlineStr">
        <is>
          <t>TÔN_CUỘN_MẠ_KẼM</t>
        </is>
      </c>
      <c r="E1056" t="inlineStr">
        <is>
          <t>MAT-STEEL-PN-0.75</t>
        </is>
      </c>
      <c r="F1056" t="inlineStr">
        <is>
          <t>kg</t>
        </is>
      </c>
      <c r="G1056" s="406" t="n">
        <v>2.146347</v>
      </c>
      <c r="H1056" s="402">
        <f>IFERROR(INDEX('00_TONG_HOP_BAO_GIA'!$G$1:$G$5000, MATCH(B1056, '00_TONG_HOP_BAO_GIA'!$B$1:$B$5000, 0)), 1)</f>
        <v/>
      </c>
      <c r="I1056" s="407">
        <f>G1056*H1056</f>
        <v/>
      </c>
      <c r="J1056" s="402">
        <f>IFERROR(INDEX('06_BANG_GIA_VAT_TU_AP_DUNG'!$E$1:$E$5000, MATCH(E1056, '06_BANG_GIA_VAT_TU_AP_DUNG'!$B$1:$B$5000, 0)), 0)</f>
        <v/>
      </c>
      <c r="K1056" s="402">
        <f>I1056*J1056</f>
        <v/>
      </c>
      <c r="L1056" t="inlineStr">
        <is>
          <t>Kích thước vỏ 400x200x210mm</t>
        </is>
      </c>
    </row>
    <row r="1057">
      <c r="A1057" t="inlineStr">
        <is>
          <t>SW-DAMPER-195-BLADE</t>
        </is>
      </c>
      <c r="B1057" t="inlineStr">
        <is>
          <t>SW-DAMPER-195</t>
        </is>
      </c>
      <c r="C1057" t="inlineStr">
        <is>
          <t>Lá cánh / Tôn tấm bọc van (2 cánh)</t>
        </is>
      </c>
      <c r="D1057" t="inlineStr">
        <is>
          <t>TÔN_CUỘN_MẠ_KẼM</t>
        </is>
      </c>
      <c r="E1057" t="inlineStr">
        <is>
          <t>MAT-STEEL-PN-0.75</t>
        </is>
      </c>
      <c r="F1057" t="inlineStr">
        <is>
          <t>kg</t>
        </is>
      </c>
      <c r="G1057" s="406" t="n">
        <v>0.610416</v>
      </c>
      <c r="H1057" s="402">
        <f>IFERROR(INDEX('00_TONG_HOP_BAO_GIA'!$G$1:$G$5000, MATCH(B1057, '00_TONG_HOP_BAO_GIA'!$B$1:$B$5000, 0)), 1)</f>
        <v/>
      </c>
      <c r="I1057" s="407">
        <f>G1057*H1057</f>
        <v/>
      </c>
      <c r="J1057" s="402">
        <f>IFERROR(INDEX('06_BANG_GIA_VAT_TU_AP_DUNG'!$E$1:$E$5000, MATCH(E1057, '06_BANG_GIA_VAT_TU_AP_DUNG'!$B$1:$B$5000, 0)), 0)</f>
        <v/>
      </c>
      <c r="K1057" s="402">
        <f>I1057*J1057</f>
        <v/>
      </c>
      <c r="L1057" t="inlineStr">
        <is>
          <t>2 cánh cao 120mm</t>
        </is>
      </c>
    </row>
    <row r="1058">
      <c r="A1058" t="inlineStr">
        <is>
          <t>SW-DAMPER-195-AXLE</t>
        </is>
      </c>
      <c r="B1058" t="inlineStr">
        <is>
          <t>SW-DAMPER-195</t>
        </is>
      </c>
      <c r="C1058" t="inlineStr">
        <is>
          <t>Trục Sus 201 D10</t>
        </is>
      </c>
      <c r="D1058" t="inlineStr">
        <is>
          <t>PHỤ_KIỆN_VAN</t>
        </is>
      </c>
      <c r="E1058" t="inlineStr">
        <is>
          <t>MAT-DAMPER-TRUC-SUS-201-D10</t>
        </is>
      </c>
      <c r="F1058" t="inlineStr">
        <is>
          <t>m</t>
        </is>
      </c>
      <c r="G1058" s="406" t="n">
        <v>0.92</v>
      </c>
      <c r="H1058" s="402">
        <f>IFERROR(INDEX('00_TONG_HOP_BAO_GIA'!$G$1:$G$5000, MATCH(B1058, '00_TONG_HOP_BAO_GIA'!$B$1:$B$5000, 0)), 1)</f>
        <v/>
      </c>
      <c r="I1058" s="407">
        <f>G1058*H1058</f>
        <v/>
      </c>
      <c r="J1058" s="402">
        <f>IFERROR(INDEX('06_BANG_GIA_VAT_TU_AP_DUNG'!$E$1:$E$5000, MATCH(E1058, '06_BANG_GIA_VAT_TU_AP_DUNG'!$B$1:$B$5000, 0)), 0)</f>
        <v/>
      </c>
      <c r="K1058" s="402">
        <f>I1058*J1058</f>
        <v/>
      </c>
      <c r="L1058" t="inlineStr">
        <is>
          <t>2 trục dài 460mm</t>
        </is>
      </c>
    </row>
    <row r="1059">
      <c r="A1059" t="inlineStr">
        <is>
          <t>SW-DAMPER-195-BEARING</t>
        </is>
      </c>
      <c r="B1059" t="inlineStr">
        <is>
          <t>SW-DAMPER-195</t>
        </is>
      </c>
      <c r="C1059" t="inlineStr">
        <is>
          <t>Bạc đồng D10</t>
        </is>
      </c>
      <c r="D1059" t="inlineStr">
        <is>
          <t>PHỤ_KIỆN_VAN</t>
        </is>
      </c>
      <c r="E1059" t="inlineStr">
        <is>
          <t>MAT-DAMPER-BAC-DONG-D10</t>
        </is>
      </c>
      <c r="F1059" t="inlineStr">
        <is>
          <t>Đôi</t>
        </is>
      </c>
      <c r="G1059" s="406" t="n">
        <v>2</v>
      </c>
      <c r="H1059" s="402">
        <f>IFERROR(INDEX('00_TONG_HOP_BAO_GIA'!$G$1:$G$5000, MATCH(B1059, '00_TONG_HOP_BAO_GIA'!$B$1:$B$5000, 0)), 1)</f>
        <v/>
      </c>
      <c r="I1059" s="407">
        <f>G1059*H1059</f>
        <v/>
      </c>
      <c r="J1059" s="402">
        <f>IFERROR(INDEX('06_BANG_GIA_VAT_TU_AP_DUNG'!$E$1:$E$5000, MATCH(E1059, '06_BANG_GIA_VAT_TU_AP_DUNG'!$B$1:$B$5000, 0)), 0)</f>
        <v/>
      </c>
      <c r="K1059" s="402">
        <f>I1059*J1059</f>
        <v/>
      </c>
      <c r="L1059" t="inlineStr">
        <is>
          <t>2 đôi bạc đỡ 2 bên thân</t>
        </is>
      </c>
    </row>
    <row r="1060">
      <c r="A1060" t="inlineStr">
        <is>
          <t>SW-DAMPER-195-GEAR</t>
        </is>
      </c>
      <c r="B1060" t="inlineStr">
        <is>
          <t>SW-DAMPER-195</t>
        </is>
      </c>
      <c r="C1060" t="inlineStr">
        <is>
          <t>Bánh răng van nhôm</t>
        </is>
      </c>
      <c r="D1060" t="inlineStr">
        <is>
          <t>PHỤ_KIỆN_VAN</t>
        </is>
      </c>
      <c r="E1060" t="inlineStr">
        <is>
          <t>MAT-DAMPER-BANH-RANG-VAN-NHOM</t>
        </is>
      </c>
      <c r="F1060" t="inlineStr">
        <is>
          <t>Bộ</t>
        </is>
      </c>
      <c r="G1060" s="406" t="n">
        <v>1</v>
      </c>
      <c r="H1060" s="402">
        <f>IFERROR(INDEX('00_TONG_HOP_BAO_GIA'!$G$1:$G$5000, MATCH(B1060, '00_TONG_HOP_BAO_GIA'!$B$1:$B$5000, 0)), 1)</f>
        <v/>
      </c>
      <c r="I1060" s="407">
        <f>G1060*H1060</f>
        <v/>
      </c>
      <c r="J1060" s="402">
        <f>IFERROR(INDEX('06_BANG_GIA_VAT_TU_AP_DUNG'!$E$1:$E$5000, MATCH(E1060, '06_BANG_GIA_VAT_TU_AP_DUNG'!$B$1:$B$5000, 0)), 0)</f>
        <v/>
      </c>
      <c r="K1060" s="402">
        <f>I1060*J1060</f>
        <v/>
      </c>
      <c r="L1060" t="inlineStr">
        <is>
          <t>Cơ cấu liên động cánh (1 bộ)</t>
        </is>
      </c>
    </row>
    <row r="1061">
      <c r="A1061" t="inlineStr">
        <is>
          <t>SW-DAMPER-195-ECCENTRIC</t>
        </is>
      </c>
      <c r="B1061" t="inlineStr">
        <is>
          <t>SW-DAMPER-195</t>
        </is>
      </c>
      <c r="C1061" t="inlineStr">
        <is>
          <t>Cơ cấu lệch tâm / Lò xo đóng mở (NRD)</t>
        </is>
      </c>
      <c r="D1061" t="inlineStr">
        <is>
          <t>PHỤ_KIỆN_VAN</t>
        </is>
      </c>
      <c r="E1061" t="inlineStr">
        <is>
          <t>ECCENTRIC_SHAFT</t>
        </is>
      </c>
      <c r="F1061" t="inlineStr">
        <is>
          <t>Bộ</t>
        </is>
      </c>
      <c r="G1061" s="406" t="n">
        <v>1</v>
      </c>
      <c r="H1061" s="402">
        <f>IFERROR(INDEX('00_TONG_HOP_BAO_GIA'!$G$1:$G$5000, MATCH(B1061, '00_TONG_HOP_BAO_GIA'!$B$1:$B$5000, 0)), 1)</f>
        <v/>
      </c>
      <c r="I1061" s="407">
        <f>G1061*H1061</f>
        <v/>
      </c>
      <c r="J1061" s="402">
        <f>IFERROR(INDEX('06_BANG_GIA_VAT_TU_AP_DUNG'!$E$1:$E$5000, MATCH(E1061, '06_BANG_GIA_VAT_TU_AP_DUNG'!$B$1:$B$5000, 0)), 0)</f>
        <v/>
      </c>
      <c r="K1061" s="402">
        <f>I1061*J1061</f>
        <v/>
      </c>
      <c r="L1061" t="inlineStr">
        <is>
          <t>Cơ cấu đóng mở một chiều</t>
        </is>
      </c>
    </row>
    <row r="1062">
      <c r="A1062" t="inlineStr">
        <is>
          <t>SW-DAMPER-196-BODY</t>
        </is>
      </c>
      <c r="B1062" t="inlineStr">
        <is>
          <t>SW-DAMPER-196</t>
        </is>
      </c>
      <c r="C1062" t="inlineStr">
        <is>
          <t>Thân vỏ van NRD bích C30/TDF (0.75mm)</t>
        </is>
      </c>
      <c r="D1062" t="inlineStr">
        <is>
          <t>TÔN_CUỘN_MẠ_KẼM</t>
        </is>
      </c>
      <c r="E1062" t="inlineStr">
        <is>
          <t>MAT-STEEL-PN-0.75</t>
        </is>
      </c>
      <c r="F1062" t="inlineStr">
        <is>
          <t>kg</t>
        </is>
      </c>
      <c r="G1062" s="406" t="n">
        <v>4.3965495</v>
      </c>
      <c r="H1062" s="402">
        <f>IFERROR(INDEX('00_TONG_HOP_BAO_GIA'!$G$1:$G$5000, MATCH(B1062, '00_TONG_HOP_BAO_GIA'!$B$1:$B$5000, 0)), 1)</f>
        <v/>
      </c>
      <c r="I1062" s="407">
        <f>G1062*H1062</f>
        <v/>
      </c>
      <c r="J1062" s="402">
        <f>IFERROR(INDEX('06_BANG_GIA_VAT_TU_AP_DUNG'!$E$1:$E$5000, MATCH(E1062, '06_BANG_GIA_VAT_TU_AP_DUNG'!$B$1:$B$5000, 0)), 0)</f>
        <v/>
      </c>
      <c r="K1062" s="402">
        <f>I1062*J1062</f>
        <v/>
      </c>
      <c r="L1062" t="inlineStr">
        <is>
          <t>Kích thước vỏ 800x450x210mm</t>
        </is>
      </c>
    </row>
    <row r="1063">
      <c r="A1063" t="inlineStr">
        <is>
          <t>SW-DAMPER-196-BLADE</t>
        </is>
      </c>
      <c r="B1063" t="inlineStr">
        <is>
          <t>SW-DAMPER-196</t>
        </is>
      </c>
      <c r="C1063" t="inlineStr">
        <is>
          <t>Lá cánh / Tôn tấm bọc van (3 cánh)</t>
        </is>
      </c>
      <c r="D1063" t="inlineStr">
        <is>
          <t>TÔN_CUỘN_MẠ_KẼM</t>
        </is>
      </c>
      <c r="E1063" t="inlineStr">
        <is>
          <t>MAT-STEEL-PN-0.75</t>
        </is>
      </c>
      <c r="F1063" t="inlineStr">
        <is>
          <t>kg</t>
        </is>
      </c>
      <c r="G1063" s="406" t="n">
        <v>2.594268</v>
      </c>
      <c r="H1063" s="402">
        <f>IFERROR(INDEX('00_TONG_HOP_BAO_GIA'!$G$1:$G$5000, MATCH(B1063, '00_TONG_HOP_BAO_GIA'!$B$1:$B$5000, 0)), 1)</f>
        <v/>
      </c>
      <c r="I1063" s="407">
        <f>G1063*H1063</f>
        <v/>
      </c>
      <c r="J1063" s="402">
        <f>IFERROR(INDEX('06_BANG_GIA_VAT_TU_AP_DUNG'!$E$1:$E$5000, MATCH(E1063, '06_BANG_GIA_VAT_TU_AP_DUNG'!$B$1:$B$5000, 0)), 0)</f>
        <v/>
      </c>
      <c r="K1063" s="402">
        <f>I1063*J1063</f>
        <v/>
      </c>
      <c r="L1063" t="inlineStr">
        <is>
          <t>3 cánh cao 170mm</t>
        </is>
      </c>
    </row>
    <row r="1064">
      <c r="A1064" t="inlineStr">
        <is>
          <t>SW-DAMPER-196-AXLE</t>
        </is>
      </c>
      <c r="B1064" t="inlineStr">
        <is>
          <t>SW-DAMPER-196</t>
        </is>
      </c>
      <c r="C1064" t="inlineStr">
        <is>
          <t>Trục Sus 201 D10</t>
        </is>
      </c>
      <c r="D1064" t="inlineStr">
        <is>
          <t>PHỤ_KIỆN_VAN</t>
        </is>
      </c>
      <c r="E1064" t="inlineStr">
        <is>
          <t>MAT-DAMPER-TRUC-SUS-201-D10</t>
        </is>
      </c>
      <c r="F1064" t="inlineStr">
        <is>
          <t>m</t>
        </is>
      </c>
      <c r="G1064" s="406" t="n">
        <v>2.58</v>
      </c>
      <c r="H1064" s="402">
        <f>IFERROR(INDEX('00_TONG_HOP_BAO_GIA'!$G$1:$G$5000, MATCH(B1064, '00_TONG_HOP_BAO_GIA'!$B$1:$B$5000, 0)), 1)</f>
        <v/>
      </c>
      <c r="I1064" s="407">
        <f>G1064*H1064</f>
        <v/>
      </c>
      <c r="J1064" s="402">
        <f>IFERROR(INDEX('06_BANG_GIA_VAT_TU_AP_DUNG'!$E$1:$E$5000, MATCH(E1064, '06_BANG_GIA_VAT_TU_AP_DUNG'!$B$1:$B$5000, 0)), 0)</f>
        <v/>
      </c>
      <c r="K1064" s="402">
        <f>I1064*J1064</f>
        <v/>
      </c>
      <c r="L1064" t="inlineStr">
        <is>
          <t>3 trục dài 860mm</t>
        </is>
      </c>
    </row>
    <row r="1065">
      <c r="A1065" t="inlineStr">
        <is>
          <t>SW-DAMPER-196-BEARING</t>
        </is>
      </c>
      <c r="B1065" t="inlineStr">
        <is>
          <t>SW-DAMPER-196</t>
        </is>
      </c>
      <c r="C1065" t="inlineStr">
        <is>
          <t>Bạc đồng D10</t>
        </is>
      </c>
      <c r="D1065" t="inlineStr">
        <is>
          <t>PHỤ_KIỆN_VAN</t>
        </is>
      </c>
      <c r="E1065" t="inlineStr">
        <is>
          <t>MAT-DAMPER-BAC-DONG-D10</t>
        </is>
      </c>
      <c r="F1065" t="inlineStr">
        <is>
          <t>Đôi</t>
        </is>
      </c>
      <c r="G1065" s="406" t="n">
        <v>3</v>
      </c>
      <c r="H1065" s="402">
        <f>IFERROR(INDEX('00_TONG_HOP_BAO_GIA'!$G$1:$G$5000, MATCH(B1065, '00_TONG_HOP_BAO_GIA'!$B$1:$B$5000, 0)), 1)</f>
        <v/>
      </c>
      <c r="I1065" s="407">
        <f>G1065*H1065</f>
        <v/>
      </c>
      <c r="J1065" s="402">
        <f>IFERROR(INDEX('06_BANG_GIA_VAT_TU_AP_DUNG'!$E$1:$E$5000, MATCH(E1065, '06_BANG_GIA_VAT_TU_AP_DUNG'!$B$1:$B$5000, 0)), 0)</f>
        <v/>
      </c>
      <c r="K1065" s="402">
        <f>I1065*J1065</f>
        <v/>
      </c>
      <c r="L1065" t="inlineStr">
        <is>
          <t>3 đôi bạc đỡ 2 bên thân</t>
        </is>
      </c>
    </row>
    <row r="1066">
      <c r="A1066" t="inlineStr">
        <is>
          <t>SW-DAMPER-196-GEAR</t>
        </is>
      </c>
      <c r="B1066" t="inlineStr">
        <is>
          <t>SW-DAMPER-196</t>
        </is>
      </c>
      <c r="C1066" t="inlineStr">
        <is>
          <t>Bánh răng van nhôm</t>
        </is>
      </c>
      <c r="D1066" t="inlineStr">
        <is>
          <t>PHỤ_KIỆN_VAN</t>
        </is>
      </c>
      <c r="E1066" t="inlineStr">
        <is>
          <t>MAT-DAMPER-BANH-RANG-VAN-NHOM</t>
        </is>
      </c>
      <c r="F1066" t="inlineStr">
        <is>
          <t>Bộ</t>
        </is>
      </c>
      <c r="G1066" s="406" t="n">
        <v>1</v>
      </c>
      <c r="H1066" s="402">
        <f>IFERROR(INDEX('00_TONG_HOP_BAO_GIA'!$G$1:$G$5000, MATCH(B1066, '00_TONG_HOP_BAO_GIA'!$B$1:$B$5000, 0)), 1)</f>
        <v/>
      </c>
      <c r="I1066" s="407">
        <f>G1066*H1066</f>
        <v/>
      </c>
      <c r="J1066" s="402">
        <f>IFERROR(INDEX('06_BANG_GIA_VAT_TU_AP_DUNG'!$E$1:$E$5000, MATCH(E1066, '06_BANG_GIA_VAT_TU_AP_DUNG'!$B$1:$B$5000, 0)), 0)</f>
        <v/>
      </c>
      <c r="K1066" s="402">
        <f>I1066*J1066</f>
        <v/>
      </c>
      <c r="L1066" t="inlineStr">
        <is>
          <t>Cơ cấu liên động cánh (1 bộ)</t>
        </is>
      </c>
    </row>
    <row r="1067">
      <c r="A1067" t="inlineStr">
        <is>
          <t>SW-DAMPER-196-ECCENTRIC</t>
        </is>
      </c>
      <c r="B1067" t="inlineStr">
        <is>
          <t>SW-DAMPER-196</t>
        </is>
      </c>
      <c r="C1067" t="inlineStr">
        <is>
          <t>Cơ cấu lệch tâm / Lò xo đóng mở (NRD)</t>
        </is>
      </c>
      <c r="D1067" t="inlineStr">
        <is>
          <t>PHỤ_KIỆN_VAN</t>
        </is>
      </c>
      <c r="E1067" t="inlineStr">
        <is>
          <t>ECCENTRIC_SHAFT</t>
        </is>
      </c>
      <c r="F1067" t="inlineStr">
        <is>
          <t>Bộ</t>
        </is>
      </c>
      <c r="G1067" s="406" t="n">
        <v>1</v>
      </c>
      <c r="H1067" s="402">
        <f>IFERROR(INDEX('00_TONG_HOP_BAO_GIA'!$G$1:$G$5000, MATCH(B1067, '00_TONG_HOP_BAO_GIA'!$B$1:$B$5000, 0)), 1)</f>
        <v/>
      </c>
      <c r="I1067" s="407">
        <f>G1067*H1067</f>
        <v/>
      </c>
      <c r="J1067" s="402">
        <f>IFERROR(INDEX('06_BANG_GIA_VAT_TU_AP_DUNG'!$E$1:$E$5000, MATCH(E1067, '06_BANG_GIA_VAT_TU_AP_DUNG'!$B$1:$B$5000, 0)), 0)</f>
        <v/>
      </c>
      <c r="K1067" s="402">
        <f>I1067*J1067</f>
        <v/>
      </c>
      <c r="L1067" t="inlineStr">
        <is>
          <t>Cơ cấu đóng mở một chiều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401" t="inlineStr">
        <is>
          <t>STT</t>
        </is>
      </c>
      <c r="B1" s="401" t="inlineStr">
        <is>
          <t>MAT_ID</t>
        </is>
      </c>
      <c r="C1" s="401" t="inlineStr">
        <is>
          <t>PHÂN LOẠI</t>
        </is>
      </c>
      <c r="D1" s="401" t="inlineStr">
        <is>
          <t>TÊN VẬT TƯ</t>
        </is>
      </c>
      <c r="E1" s="401" t="inlineStr">
        <is>
          <t>ĐVT</t>
        </is>
      </c>
      <c r="F1" s="401" t="inlineStr">
        <is>
          <t>BAREM KỸ THUẬT</t>
        </is>
      </c>
      <c r="G1" s="401"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MAT-MESH-INOX-304</t>
        </is>
      </c>
      <c r="C198" t="inlineStr">
        <is>
          <t>PHỤ_KIỆN_CỬA</t>
        </is>
      </c>
      <c r="D198" t="inlineStr">
        <is>
          <t>Lưới chắn côn trùng Inox 304 (LCCT)</t>
        </is>
      </c>
      <c r="E198" t="inlineStr">
        <is>
          <t>m2</t>
        </is>
      </c>
      <c r="F198" t="inlineStr"/>
      <c r="G198" t="inlineStr">
        <is>
          <t>BG Cửa !R211C18</t>
        </is>
      </c>
    </row>
    <row r="199">
      <c r="A199" t="n">
        <v>198</v>
      </c>
      <c r="B199" t="inlineStr">
        <is>
          <t>MAT-ALU-EGGCRATE-CORE</t>
        </is>
      </c>
      <c r="C199" t="inlineStr">
        <is>
          <t>NHÔM_ĐỊNH_HÌNH</t>
        </is>
      </c>
      <c r="D199" t="inlineStr">
        <is>
          <t>Lõi nhôm sọt trứng (Eggcrate Core 12.7x12.7x12.7mm)</t>
        </is>
      </c>
      <c r="E199" t="inlineStr">
        <is>
          <t>m2</t>
        </is>
      </c>
      <c r="F199" t="inlineStr"/>
      <c r="G199" t="inlineStr">
        <is>
          <t>BG Cửa !R157C16</t>
        </is>
      </c>
    </row>
    <row r="200">
      <c r="A200" t="n">
        <v>199</v>
      </c>
      <c r="B200" t="inlineStr">
        <is>
          <t>MAT-FILTER-G4</t>
        </is>
      </c>
      <c r="C200" t="inlineStr">
        <is>
          <t>PHỤ_KIỆN_CỬA</t>
        </is>
      </c>
      <c r="D200" t="inlineStr">
        <is>
          <t>Lưới lọc bụi sơ cấp G4 kèm khung nhôm</t>
        </is>
      </c>
      <c r="E200" t="inlineStr">
        <is>
          <t>m2</t>
        </is>
      </c>
      <c r="F200" t="inlineStr"/>
      <c r="G200" t="inlineStr">
        <is>
          <t>BG Cửa !Filter</t>
        </is>
      </c>
    </row>
    <row r="201">
      <c r="A201" t="n">
        <v>200</v>
      </c>
      <c r="B201" t="inlineStr">
        <is>
          <t>MAT-THUONG_MAI-LOP_CHONG_CHAY_EI30</t>
        </is>
      </c>
      <c r="C201" t="inlineStr">
        <is>
          <t>VẬT_LIỆU_CÁCH_NHIỆT</t>
        </is>
      </c>
      <c r="D201" t="inlineStr">
        <is>
          <t>Bọc chống cháy ống gió chuẩn EI30</t>
        </is>
      </c>
      <c r="E201" t="inlineStr">
        <is>
          <t>m2</t>
        </is>
      </c>
      <c r="F201" t="inlineStr"/>
      <c r="G201" t="inlineStr">
        <is>
          <t>BG VAN !EI30</t>
        </is>
      </c>
    </row>
    <row r="202">
      <c r="A202" t="n">
        <v>201</v>
      </c>
      <c r="B202" t="inlineStr">
        <is>
          <t>MAT-THUONG_MAI-LOP_CHONG_CHAY_EI60</t>
        </is>
      </c>
      <c r="C202" t="inlineStr">
        <is>
          <t>VẬT_LIỆU_CÁCH_NHIỆT</t>
        </is>
      </c>
      <c r="D202" t="inlineStr">
        <is>
          <t>Bọc chống cháy ống gió chuẩn EI60</t>
        </is>
      </c>
      <c r="E202" t="inlineStr">
        <is>
          <t>m2</t>
        </is>
      </c>
      <c r="F202" t="inlineStr"/>
      <c r="G202" t="inlineStr">
        <is>
          <t>BG VAN !EI60</t>
        </is>
      </c>
    </row>
    <row r="203">
      <c r="A203" t="n">
        <v>202</v>
      </c>
      <c r="B203" t="inlineStr">
        <is>
          <t>MAT-THUONG_MAI-LOP_CHONG_CHAY_EI120</t>
        </is>
      </c>
      <c r="C203" t="inlineStr">
        <is>
          <t>VẬT_LIỆU_CÁCH_NHIỆT</t>
        </is>
      </c>
      <c r="D203" t="inlineStr">
        <is>
          <t>Bọc chống cháy ống gió chuẩn EI120</t>
        </is>
      </c>
      <c r="E203" t="inlineStr">
        <is>
          <t>m2</t>
        </is>
      </c>
      <c r="F203" t="inlineStr"/>
      <c r="G203" t="inlineStr">
        <is>
          <t>BG VAN !EI120</t>
        </is>
      </c>
    </row>
    <row r="204">
      <c r="A204" t="n">
        <v>203</v>
      </c>
      <c r="B204" t="inlineStr">
        <is>
          <t>MAT-THUONG_MAI-LUOI_BAO_VE</t>
        </is>
      </c>
      <c r="C204" t="inlineStr">
        <is>
          <t>PHỤ_KIỆN_CỬA</t>
        </is>
      </c>
      <c r="D204" t="inlineStr">
        <is>
          <t>Lưới bảo vệ đầu ống Inox 304</t>
        </is>
      </c>
      <c r="E204" t="inlineStr">
        <is>
          <t>cái</t>
        </is>
      </c>
      <c r="F204" t="inlineStr"/>
      <c r="G204" t="inlineStr">
        <is>
          <t>BG Cửa !Mesh</t>
        </is>
      </c>
    </row>
    <row r="205">
      <c r="A205" t="n">
        <v>204</v>
      </c>
      <c r="B205" t="inlineStr">
        <is>
          <t>MAT-KHAC-LUOI_BAO_VE</t>
        </is>
      </c>
      <c r="C205" t="inlineStr">
        <is>
          <t>THƯƠNG_MẠI_TỰ_ĐỘNG</t>
        </is>
      </c>
      <c r="D205" t="inlineStr">
        <is>
          <t>Lưới bảo vệ</t>
        </is>
      </c>
      <c r="E205" t="inlineStr">
        <is>
          <t>Cái/Bộ</t>
        </is>
      </c>
      <c r="F205" t="inlineStr"/>
      <c r="G205" t="inlineStr">
        <is>
          <t>Auto-learned from Excel</t>
        </is>
      </c>
    </row>
    <row r="206">
      <c r="A206" t="n">
        <v>205</v>
      </c>
      <c r="B206" t="inlineStr">
        <is>
          <t>MAT-THUONG_MAI-VAT_TU_PHU_PHU_KIEN</t>
        </is>
      </c>
      <c r="C206" t="inlineStr">
        <is>
          <t>THUONG_MAI</t>
        </is>
      </c>
      <c r="D206" t="inlineStr">
        <is>
          <t>HỆ THỐNG HÚT KHÓI HẦM XE, HÚT KHÓI SỰ CỐ Vật tư phụ, phụ kiện</t>
        </is>
      </c>
      <c r="E206" t="inlineStr">
        <is>
          <t>Lô</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401" t="inlineStr">
        <is>
          <t>STT</t>
        </is>
      </c>
      <c r="B1" s="401" t="inlineStr">
        <is>
          <t>MAT_ID</t>
        </is>
      </c>
      <c r="C1" s="401" t="inlineStr">
        <is>
          <t>TÊN VẬT TƯ</t>
        </is>
      </c>
      <c r="D1" s="401" t="inlineStr">
        <is>
          <t>PHÂN LOẠI</t>
        </is>
      </c>
      <c r="E1" s="401" t="inlineStr">
        <is>
          <t>ĐƠN GIÁ GỐC (VNĐ)</t>
        </is>
      </c>
    </row>
    <row r="2">
      <c r="A2" t="n">
        <v>1</v>
      </c>
      <c r="B2" t="inlineStr">
        <is>
          <t>MAT-STEEL-DONGBU-0.50</t>
        </is>
      </c>
      <c r="C2" t="inlineStr">
        <is>
          <t>TÔN DONGBU 0.50mm</t>
        </is>
      </c>
      <c r="D2" t="inlineStr">
        <is>
          <t>TÔN_CUỘN_MẠ_KẼM</t>
        </is>
      </c>
      <c r="E2" s="402" t="n">
        <v>26000</v>
      </c>
    </row>
    <row r="3">
      <c r="A3" t="n">
        <v>2</v>
      </c>
      <c r="B3" t="inlineStr">
        <is>
          <t>MAT-STEEL-DONGBU-0.60</t>
        </is>
      </c>
      <c r="C3" t="inlineStr">
        <is>
          <t>TÔN DONGBU 0.60mm</t>
        </is>
      </c>
      <c r="D3" t="inlineStr">
        <is>
          <t>TÔN_CUỘN_MẠ_KẼM</t>
        </is>
      </c>
      <c r="E3" s="402" t="n">
        <v>26000</v>
      </c>
    </row>
    <row r="4">
      <c r="A4" t="n">
        <v>3</v>
      </c>
      <c r="B4" t="inlineStr">
        <is>
          <t>MAT-STEEL-DONGBU-0.80</t>
        </is>
      </c>
      <c r="C4" t="inlineStr">
        <is>
          <t>TÔN DONGBU 0.80mm</t>
        </is>
      </c>
      <c r="D4" t="inlineStr">
        <is>
          <t>TÔN_CUỘN_MẠ_KẼM</t>
        </is>
      </c>
      <c r="E4" s="402" t="n">
        <v>26000</v>
      </c>
    </row>
    <row r="5">
      <c r="A5" t="n">
        <v>4</v>
      </c>
      <c r="B5" t="inlineStr">
        <is>
          <t>MAT-STEEL-DONGBU-1.00</t>
        </is>
      </c>
      <c r="C5" t="inlineStr">
        <is>
          <t>TÔN DONGBU 1.00mm</t>
        </is>
      </c>
      <c r="D5" t="inlineStr">
        <is>
          <t>TÔN_CUỘN_MẠ_KẼM</t>
        </is>
      </c>
      <c r="E5" s="402" t="n">
        <v>26000</v>
      </c>
    </row>
    <row r="6">
      <c r="A6" t="n">
        <v>5</v>
      </c>
      <c r="B6" t="inlineStr">
        <is>
          <t>MAT-STEEL-DONGBU-1.20</t>
        </is>
      </c>
      <c r="C6" t="inlineStr">
        <is>
          <t>TÔN DONGBU 1.20mm</t>
        </is>
      </c>
      <c r="D6" t="inlineStr">
        <is>
          <t>TÔN_CUỘN_MẠ_KẼM</t>
        </is>
      </c>
      <c r="E6" s="402" t="n">
        <v>26000</v>
      </c>
    </row>
    <row r="7">
      <c r="A7" t="n">
        <v>6</v>
      </c>
      <c r="B7" t="inlineStr">
        <is>
          <t>MAT-STEEL-DONGBU-1.50</t>
        </is>
      </c>
      <c r="C7" t="inlineStr">
        <is>
          <t>TÔN DONGBU 1.50mm</t>
        </is>
      </c>
      <c r="D7" t="inlineStr">
        <is>
          <t>TÔN_CUỘN_MẠ_KẼM</t>
        </is>
      </c>
      <c r="E7" s="402" t="n">
        <v>26000</v>
      </c>
    </row>
    <row r="8">
      <c r="A8" t="n">
        <v>7</v>
      </c>
      <c r="B8" t="inlineStr">
        <is>
          <t>MAT-STEEL-DONGBU-2.00</t>
        </is>
      </c>
      <c r="C8" t="inlineStr">
        <is>
          <t>TÔN DONGBU 2.00mm</t>
        </is>
      </c>
      <c r="D8" t="inlineStr">
        <is>
          <t>TÔN_CUỘN_MẠ_KẼM</t>
        </is>
      </c>
      <c r="E8" s="402" t="n">
        <v>26000</v>
      </c>
    </row>
    <row r="9">
      <c r="A9" t="n">
        <v>8</v>
      </c>
      <c r="B9" t="inlineStr">
        <is>
          <t>MAT-STEEL-VNSTEEL-0.35</t>
        </is>
      </c>
      <c r="C9" t="inlineStr">
        <is>
          <t>TÔN THĂNG LONG VNSTEEL 0.35mm</t>
        </is>
      </c>
      <c r="D9" t="inlineStr">
        <is>
          <t>TÔN_CUỘN_MẠ_KẼM</t>
        </is>
      </c>
      <c r="E9" s="402" t="n">
        <v>23800</v>
      </c>
    </row>
    <row r="10">
      <c r="A10" t="n">
        <v>9</v>
      </c>
      <c r="B10" t="inlineStr">
        <is>
          <t>MAT-STEEL-VNSTEEL-0.40</t>
        </is>
      </c>
      <c r="C10" t="inlineStr">
        <is>
          <t>TÔN THĂNG LONG VNSTEEL 0.40mm</t>
        </is>
      </c>
      <c r="D10" t="inlineStr">
        <is>
          <t>TÔN_CUỘN_MẠ_KẼM</t>
        </is>
      </c>
      <c r="E10" s="402" t="n">
        <v>23550</v>
      </c>
    </row>
    <row r="11">
      <c r="A11" t="n">
        <v>10</v>
      </c>
      <c r="B11" t="inlineStr">
        <is>
          <t>MAT-STEEL-VNSTEEL-0.42</t>
        </is>
      </c>
      <c r="C11" t="inlineStr">
        <is>
          <t>TÔN THĂNG LONG VNSTEEL 0.42mm</t>
        </is>
      </c>
      <c r="D11" t="inlineStr">
        <is>
          <t>TÔN_CUỘN_MẠ_KẼM</t>
        </is>
      </c>
      <c r="E11" s="402" t="n">
        <v>23400</v>
      </c>
    </row>
    <row r="12">
      <c r="A12" t="n">
        <v>11</v>
      </c>
      <c r="B12" t="inlineStr">
        <is>
          <t>MAT-STEEL-VNSTEEL-0.47</t>
        </is>
      </c>
      <c r="C12" t="inlineStr">
        <is>
          <t>TÔN THĂNG LONG VNSTEEL 0.47mm</t>
        </is>
      </c>
      <c r="D12" t="inlineStr">
        <is>
          <t>TÔN_CUỘN_MẠ_KẼM</t>
        </is>
      </c>
      <c r="E12" s="402" t="n">
        <v>23200</v>
      </c>
    </row>
    <row r="13">
      <c r="A13" t="n">
        <v>12</v>
      </c>
      <c r="B13" t="inlineStr">
        <is>
          <t>MAT-STEEL-VNSTEEL-0.50</t>
        </is>
      </c>
      <c r="C13" t="inlineStr">
        <is>
          <t>TÔN THĂNG LONG VNSTEEL 0.50mm</t>
        </is>
      </c>
      <c r="D13" t="inlineStr">
        <is>
          <t>TÔN_CUỘN_MẠ_KẼM</t>
        </is>
      </c>
      <c r="E13" s="402" t="n">
        <v>23200</v>
      </c>
    </row>
    <row r="14">
      <c r="A14" t="n">
        <v>13</v>
      </c>
      <c r="B14" t="inlineStr">
        <is>
          <t>MAT-STEEL-VNSTEEL-0.55</t>
        </is>
      </c>
      <c r="C14" t="inlineStr">
        <is>
          <t>TÔN THĂNG LONG VNSTEEL 0.55mm</t>
        </is>
      </c>
      <c r="D14" t="inlineStr">
        <is>
          <t>TÔN_CUỘN_MẠ_KẼM</t>
        </is>
      </c>
      <c r="E14" s="402" t="n">
        <v>23000</v>
      </c>
    </row>
    <row r="15">
      <c r="A15" t="n">
        <v>14</v>
      </c>
      <c r="B15" t="inlineStr">
        <is>
          <t>MAT-STEEL-VNSTEEL-0.58</t>
        </is>
      </c>
      <c r="C15" t="inlineStr">
        <is>
          <t>TÔN THĂNG LONG VNSTEEL 0.58mm</t>
        </is>
      </c>
      <c r="D15" t="inlineStr">
        <is>
          <t>TÔN_CUỘN_MẠ_KẼM</t>
        </is>
      </c>
      <c r="E15" s="402" t="n">
        <v>23000</v>
      </c>
    </row>
    <row r="16">
      <c r="A16" t="n">
        <v>15</v>
      </c>
      <c r="B16" t="inlineStr">
        <is>
          <t>MAT-STEEL-VNSTEEL-0.60</t>
        </is>
      </c>
      <c r="C16" t="inlineStr">
        <is>
          <t>TÔN THĂNG LONG VNSTEEL 0.60mm</t>
        </is>
      </c>
      <c r="D16" t="inlineStr">
        <is>
          <t>TÔN_CUỘN_MẠ_KẼM</t>
        </is>
      </c>
      <c r="E16" s="402" t="n">
        <v>22850</v>
      </c>
    </row>
    <row r="17">
      <c r="A17" t="n">
        <v>16</v>
      </c>
      <c r="B17" t="inlineStr">
        <is>
          <t>MAT-STEEL-VNSTEEL-0.64</t>
        </is>
      </c>
      <c r="C17" t="inlineStr">
        <is>
          <t>TÔN THĂNG LONG VNSTEEL 0.64mm</t>
        </is>
      </c>
      <c r="D17" t="inlineStr">
        <is>
          <t>TÔN_CUỘN_MẠ_KẼM</t>
        </is>
      </c>
      <c r="E17" s="402" t="n">
        <v>22800</v>
      </c>
    </row>
    <row r="18">
      <c r="A18" t="n">
        <v>17</v>
      </c>
      <c r="B18" t="inlineStr">
        <is>
          <t>MAT-STEEL-VNSTEEL-0.70</t>
        </is>
      </c>
      <c r="C18" t="inlineStr">
        <is>
          <t>TÔN THĂNG LONG VNSTEEL 0.70mm</t>
        </is>
      </c>
      <c r="D18" t="inlineStr">
        <is>
          <t>TÔN_CUỘN_MẠ_KẼM</t>
        </is>
      </c>
      <c r="E18" s="402" t="n">
        <v>22700</v>
      </c>
    </row>
    <row r="19">
      <c r="A19" t="n">
        <v>18</v>
      </c>
      <c r="B19" t="inlineStr">
        <is>
          <t>MAT-STEEL-VNSTEEL-0.75</t>
        </is>
      </c>
      <c r="C19" t="inlineStr">
        <is>
          <t>TÔN THĂNG LONG VNSTEEL 0.75mm</t>
        </is>
      </c>
      <c r="D19" t="inlineStr">
        <is>
          <t>TÔN_CUỘN_MẠ_KẼM</t>
        </is>
      </c>
      <c r="E19" s="402" t="n">
        <v>22600</v>
      </c>
    </row>
    <row r="20">
      <c r="A20" t="n">
        <v>19</v>
      </c>
      <c r="B20" t="inlineStr">
        <is>
          <t>MAT-STEEL-VNSTEEL-0.95</t>
        </is>
      </c>
      <c r="C20" t="inlineStr">
        <is>
          <t>TÔN THĂNG LONG VNSTEEL 0.95mm</t>
        </is>
      </c>
      <c r="D20" t="inlineStr">
        <is>
          <t>TÔN_CUỘN_MẠ_KẼM</t>
        </is>
      </c>
      <c r="E20" s="402" t="n">
        <v>22500</v>
      </c>
    </row>
    <row r="21">
      <c r="A21" t="n">
        <v>20</v>
      </c>
      <c r="B21" t="inlineStr">
        <is>
          <t>MAT-STEEL-VNSTEEL-1.15</t>
        </is>
      </c>
      <c r="C21" t="inlineStr">
        <is>
          <t>TÔN THĂNG LONG VNSTEEL 1.15mm</t>
        </is>
      </c>
      <c r="D21" t="inlineStr">
        <is>
          <t>TÔN_CUỘN_MẠ_KẼM</t>
        </is>
      </c>
      <c r="E21" s="402" t="n">
        <v>22400</v>
      </c>
    </row>
    <row r="22">
      <c r="A22" t="n">
        <v>21</v>
      </c>
      <c r="B22" t="inlineStr">
        <is>
          <t>MAT-STEEL-VNSTEEL-1.20</t>
        </is>
      </c>
      <c r="C22" t="inlineStr">
        <is>
          <t>TÔN THĂNG LONG VNSTEEL 1.20mm</t>
        </is>
      </c>
      <c r="D22" t="inlineStr">
        <is>
          <t>TÔN_CUỘN_MẠ_KẼM</t>
        </is>
      </c>
      <c r="E22" s="402" t="n">
        <v>22400</v>
      </c>
    </row>
    <row r="23">
      <c r="A23" t="n">
        <v>22</v>
      </c>
      <c r="B23" t="inlineStr">
        <is>
          <t>MAT-STEEL-PN-0.48</t>
        </is>
      </c>
      <c r="C23" t="inlineStr">
        <is>
          <t>TÔN PHƯƠNG NAM 0.48mm</t>
        </is>
      </c>
      <c r="D23" t="inlineStr">
        <is>
          <t>TÔN_CUỘN_MẠ_KẼM</t>
        </is>
      </c>
      <c r="E23" s="402" t="n">
        <v>23664.19</v>
      </c>
    </row>
    <row r="24">
      <c r="A24" t="n">
        <v>23</v>
      </c>
      <c r="B24" t="inlineStr">
        <is>
          <t>MAT-STEEL-PN-0.58</t>
        </is>
      </c>
      <c r="C24" t="inlineStr">
        <is>
          <t>TÔN PHƯƠNG NAM 0.58mm</t>
        </is>
      </c>
      <c r="D24" t="inlineStr">
        <is>
          <t>TÔN_CUỘN_MẠ_KẼM</t>
        </is>
      </c>
      <c r="E24" s="402" t="n">
        <v>21597.48</v>
      </c>
    </row>
    <row r="25">
      <c r="A25" t="n">
        <v>24</v>
      </c>
      <c r="B25" t="inlineStr">
        <is>
          <t>MAT-STEEL-PN-0.75</t>
        </is>
      </c>
      <c r="C25" t="inlineStr">
        <is>
          <t>TÔN PHƯƠNG NAM 0.75mm</t>
        </is>
      </c>
      <c r="D25" t="inlineStr">
        <is>
          <t>TÔN_CUỘN_MẠ_KẼM</t>
        </is>
      </c>
      <c r="E25" s="402" t="n">
        <v>21941</v>
      </c>
    </row>
    <row r="26">
      <c r="A26" t="n">
        <v>25</v>
      </c>
      <c r="B26" t="inlineStr">
        <is>
          <t>MAT-STEEL-PN-0.95</t>
        </is>
      </c>
      <c r="C26" t="inlineStr">
        <is>
          <t>TÔN PHƯƠNG NAM 0.95mm</t>
        </is>
      </c>
      <c r="D26" t="inlineStr">
        <is>
          <t>TÔN_CUỘN_MẠ_KẼM</t>
        </is>
      </c>
      <c r="E26" s="402" t="n">
        <v>20897.59</v>
      </c>
    </row>
    <row r="27">
      <c r="A27" t="n">
        <v>26</v>
      </c>
      <c r="B27" t="inlineStr">
        <is>
          <t>MAT-STEEL-PN-1.15</t>
        </is>
      </c>
      <c r="C27" t="inlineStr">
        <is>
          <t>TÔN PHƯƠNG NAM 1.15mm</t>
        </is>
      </c>
      <c r="D27" t="inlineStr">
        <is>
          <t>TÔN_CUỘN_MẠ_KẼM</t>
        </is>
      </c>
      <c r="E27" s="402" t="n">
        <v>20586.39</v>
      </c>
    </row>
    <row r="28">
      <c r="A28" t="n">
        <v>27</v>
      </c>
      <c r="B28" t="inlineStr">
        <is>
          <t>MAT-STEEL-PN-1.20</t>
        </is>
      </c>
      <c r="C28" t="inlineStr">
        <is>
          <t>TÔN PHƯƠNG NAM 1.20mm</t>
        </is>
      </c>
      <c r="D28" t="inlineStr">
        <is>
          <t>TÔN_CUỘN_MẠ_KẼM</t>
        </is>
      </c>
      <c r="E28" s="402" t="n">
        <v>20586.39</v>
      </c>
    </row>
    <row r="29">
      <c r="A29" t="n">
        <v>28</v>
      </c>
      <c r="B29" t="inlineStr">
        <is>
          <t>MAT-STEEL-PN-1.38</t>
        </is>
      </c>
      <c r="C29" t="inlineStr">
        <is>
          <t>TÔN PHƯƠNG NAM 1.38mm</t>
        </is>
      </c>
      <c r="D29" t="inlineStr">
        <is>
          <t>TÔN_CUỘN_MẠ_KẼM</t>
        </is>
      </c>
      <c r="E29" s="402" t="n">
        <v>21923.75</v>
      </c>
    </row>
    <row r="30">
      <c r="A30" t="n">
        <v>29</v>
      </c>
      <c r="B30" t="inlineStr">
        <is>
          <t>MAT-STEEL-PN-1.48</t>
        </is>
      </c>
      <c r="C30" t="inlineStr">
        <is>
          <t>TÔN PHƯƠNG NAM 1.48mm</t>
        </is>
      </c>
      <c r="D30" t="inlineStr">
        <is>
          <t>TÔN_CUỘN_MẠ_KẼM</t>
        </is>
      </c>
      <c r="E30" s="402" t="n">
        <v>20442.42</v>
      </c>
    </row>
    <row r="31">
      <c r="A31" t="n">
        <v>30</v>
      </c>
      <c r="B31" t="inlineStr">
        <is>
          <t>MAT-STEEL-PN-1.50</t>
        </is>
      </c>
      <c r="C31" t="inlineStr">
        <is>
          <t>TÔN PHƯƠNG NAM 1.50mm</t>
        </is>
      </c>
      <c r="D31" t="inlineStr">
        <is>
          <t>TÔN_CUỘN_MẠ_KẼM</t>
        </is>
      </c>
      <c r="E31" s="402" t="n">
        <v>20442.42</v>
      </c>
    </row>
    <row r="32">
      <c r="A32" t="n">
        <v>31</v>
      </c>
      <c r="B32" t="inlineStr">
        <is>
          <t>MAT-STEEL-HOASEN-0.48</t>
        </is>
      </c>
      <c r="C32" t="inlineStr">
        <is>
          <t>TÔN HOA SEN 0.48mm</t>
        </is>
      </c>
      <c r="D32" t="inlineStr">
        <is>
          <t>TÔN_CUỘN_MẠ_KẼM</t>
        </is>
      </c>
      <c r="E32" s="402" t="n">
        <v>22115.98</v>
      </c>
    </row>
    <row r="33">
      <c r="A33" t="n">
        <v>32</v>
      </c>
      <c r="B33" t="inlineStr">
        <is>
          <t>MAT-STEEL-HOASEN-0.58</t>
        </is>
      </c>
      <c r="C33" t="inlineStr">
        <is>
          <t>TÔN HOA SEN 0.58mm</t>
        </is>
      </c>
      <c r="D33" t="inlineStr">
        <is>
          <t>TÔN_CUỘN_MẠ_KẼM</t>
        </is>
      </c>
      <c r="E33" s="402" t="n">
        <v>20865.36</v>
      </c>
    </row>
    <row r="34">
      <c r="A34" t="n">
        <v>33</v>
      </c>
      <c r="B34" t="inlineStr">
        <is>
          <t>MAT-STEEL-HOASEN-0.75</t>
        </is>
      </c>
      <c r="C34" t="inlineStr">
        <is>
          <t>TÔN HOA SEN 0.75mm</t>
        </is>
      </c>
      <c r="D34" t="inlineStr">
        <is>
          <t>TÔN_CUỘN_MẠ_KẼM</t>
        </is>
      </c>
      <c r="E34" s="402" t="n">
        <v>20460.34</v>
      </c>
    </row>
    <row r="35">
      <c r="A35" t="n">
        <v>34</v>
      </c>
      <c r="B35" t="inlineStr">
        <is>
          <t>MAT-STEEL-HOASEN-0.95</t>
        </is>
      </c>
      <c r="C35" t="inlineStr">
        <is>
          <t>TÔN HOA SEN 0.95mm</t>
        </is>
      </c>
      <c r="D35" t="inlineStr">
        <is>
          <t>TÔN_CUỘN_MẠ_KẼM</t>
        </is>
      </c>
      <c r="E35" s="402" t="n">
        <v>20003.58</v>
      </c>
    </row>
    <row r="36">
      <c r="A36" t="n">
        <v>35</v>
      </c>
      <c r="B36" t="inlineStr">
        <is>
          <t>MAT-STEEL-HOASEN-1.15</t>
        </is>
      </c>
      <c r="C36" t="inlineStr">
        <is>
          <t>TÔN HOA SEN 1.15mm</t>
        </is>
      </c>
      <c r="D36" t="inlineStr">
        <is>
          <t>TÔN_CUỘN_MẠ_KẼM</t>
        </is>
      </c>
      <c r="E36" s="402" t="n">
        <v>19764.78</v>
      </c>
    </row>
    <row r="37">
      <c r="A37" t="n">
        <v>36</v>
      </c>
      <c r="B37" t="inlineStr">
        <is>
          <t>MAT-STEEL-HOA_SEN-1.15</t>
        </is>
      </c>
      <c r="C37" t="inlineStr">
        <is>
          <t>TÔN HOA SEN 1.15mm</t>
        </is>
      </c>
      <c r="D37" t="inlineStr">
        <is>
          <t>TÔN_CUỘN_MẠ_KẼM</t>
        </is>
      </c>
      <c r="E37" s="402" t="n">
        <v>19764.78</v>
      </c>
    </row>
    <row r="38">
      <c r="A38" t="n">
        <v>37</v>
      </c>
      <c r="B38" t="inlineStr">
        <is>
          <t>MAT-STEEL-HOASEN-1.50</t>
        </is>
      </c>
      <c r="C38" t="inlineStr">
        <is>
          <t>TÔN HOA SEN 1.50mm</t>
        </is>
      </c>
      <c r="D38" t="inlineStr">
        <is>
          <t>TÔN_CUỘN_MẠ_KẼM</t>
        </is>
      </c>
      <c r="E38" s="402" t="n">
        <v>18966.74</v>
      </c>
    </row>
    <row r="39">
      <c r="A39" t="n">
        <v>38</v>
      </c>
      <c r="B39" t="inlineStr">
        <is>
          <t>MAT-STEEL-BLUESCOPE-0.47</t>
        </is>
      </c>
      <c r="C39" t="inlineStr">
        <is>
          <t>TÔN BLUESCOPE 0.47mm</t>
        </is>
      </c>
      <c r="D39" t="inlineStr">
        <is>
          <t>TÔN_CUỘN_MẠ_KẼM</t>
        </is>
      </c>
      <c r="E39" s="402" t="n">
        <v>19714.63</v>
      </c>
    </row>
    <row r="40">
      <c r="A40" t="n">
        <v>39</v>
      </c>
      <c r="B40" t="inlineStr">
        <is>
          <t>MAT-STEEL-BLUESCOPE-0.57</t>
        </is>
      </c>
      <c r="C40" t="inlineStr">
        <is>
          <t>TÔN BLUESCOPE 0.57mm</t>
        </is>
      </c>
      <c r="D40" t="inlineStr">
        <is>
          <t>TÔN_CUỘN_MẠ_KẼM</t>
        </is>
      </c>
      <c r="E40" s="402" t="n">
        <v>20319.42</v>
      </c>
    </row>
    <row r="41">
      <c r="A41" t="n">
        <v>40</v>
      </c>
      <c r="B41" t="inlineStr">
        <is>
          <t>MAT-STEEL-BLUESCOPE-0.77</t>
        </is>
      </c>
      <c r="C41" t="inlineStr">
        <is>
          <t>TÔN BLUESCOPE 0.77mm</t>
        </is>
      </c>
      <c r="D41" t="inlineStr">
        <is>
          <t>TÔN_CUỘN_MẠ_KẼM</t>
        </is>
      </c>
      <c r="E41" s="402" t="n">
        <v>19926.31</v>
      </c>
    </row>
    <row r="42">
      <c r="A42" t="n">
        <v>41</v>
      </c>
      <c r="B42" t="inlineStr">
        <is>
          <t>MAT-STEEL-BLUESCOPE-0.95</t>
        </is>
      </c>
      <c r="C42" t="inlineStr">
        <is>
          <t>TÔN BLUESCOPE 0.95mm</t>
        </is>
      </c>
      <c r="D42" t="inlineStr">
        <is>
          <t>TÔN_CUỘN_MẠ_KẼM</t>
        </is>
      </c>
      <c r="E42" s="402" t="n">
        <v>20013.74</v>
      </c>
    </row>
    <row r="43">
      <c r="A43" t="n">
        <v>42</v>
      </c>
      <c r="B43" t="inlineStr">
        <is>
          <t>MAT-STEEL-BLUESCOPE-1.15</t>
        </is>
      </c>
      <c r="C43" t="inlineStr">
        <is>
          <t>TÔN BLUESCOPE 1.15mm</t>
        </is>
      </c>
      <c r="D43" t="inlineStr">
        <is>
          <t>TÔN_CUỘN_MẠ_KẼM</t>
        </is>
      </c>
      <c r="E43" s="402" t="n">
        <v>19973.75</v>
      </c>
    </row>
    <row r="44">
      <c r="A44" t="n">
        <v>43</v>
      </c>
      <c r="B44" t="inlineStr">
        <is>
          <t>MAT-INOX-SUS304-0-5</t>
        </is>
      </c>
      <c r="C44" t="inlineStr">
        <is>
          <t>Inox Sus304-0.5</t>
        </is>
      </c>
      <c r="D44" t="inlineStr">
        <is>
          <t>INOX</t>
        </is>
      </c>
      <c r="E44" s="402" t="n">
        <v>78000</v>
      </c>
    </row>
    <row r="45">
      <c r="A45" t="n">
        <v>44</v>
      </c>
      <c r="B45" t="inlineStr">
        <is>
          <t>MAT-INOX-SUS304-0-6</t>
        </is>
      </c>
      <c r="C45" t="inlineStr">
        <is>
          <t>Inox Sus304-0.6</t>
        </is>
      </c>
      <c r="D45" t="inlineStr">
        <is>
          <t>INOX</t>
        </is>
      </c>
      <c r="E45" s="402" t="n">
        <v>78000</v>
      </c>
    </row>
    <row r="46">
      <c r="A46" t="n">
        <v>45</v>
      </c>
      <c r="B46" t="inlineStr">
        <is>
          <t>MAT-INOX-SUS304-0-7</t>
        </is>
      </c>
      <c r="C46" t="inlineStr">
        <is>
          <t>Inox Sus304-0.7</t>
        </is>
      </c>
      <c r="D46" t="inlineStr">
        <is>
          <t>INOX</t>
        </is>
      </c>
      <c r="E46" s="402" t="n">
        <v>78000</v>
      </c>
    </row>
    <row r="47">
      <c r="A47" t="n">
        <v>46</v>
      </c>
      <c r="B47" t="inlineStr">
        <is>
          <t>MAT-INOX-SUS304-0-8</t>
        </is>
      </c>
      <c r="C47" t="inlineStr">
        <is>
          <t>Inox Sus304-0.8</t>
        </is>
      </c>
      <c r="D47" t="inlineStr">
        <is>
          <t>INOX</t>
        </is>
      </c>
      <c r="E47" s="402" t="n">
        <v>78000</v>
      </c>
    </row>
    <row r="48">
      <c r="A48" t="n">
        <v>47</v>
      </c>
      <c r="B48" t="inlineStr">
        <is>
          <t>MAT-INOX-SUS304-0-9</t>
        </is>
      </c>
      <c r="C48" t="inlineStr">
        <is>
          <t>Inox Sus304-0.9</t>
        </is>
      </c>
      <c r="D48" t="inlineStr">
        <is>
          <t>INOX</t>
        </is>
      </c>
      <c r="E48" s="402" t="n">
        <v>78000</v>
      </c>
    </row>
    <row r="49">
      <c r="A49" t="n">
        <v>48</v>
      </c>
      <c r="B49" t="inlineStr">
        <is>
          <t>MAT-INOX-SUS304-1-0</t>
        </is>
      </c>
      <c r="C49" t="inlineStr">
        <is>
          <t>Inox Sus304-1,0</t>
        </is>
      </c>
      <c r="D49" t="inlineStr">
        <is>
          <t>INOX</t>
        </is>
      </c>
      <c r="E49" s="402" t="n">
        <v>78000</v>
      </c>
    </row>
    <row r="50">
      <c r="A50" t="n">
        <v>49</v>
      </c>
      <c r="B50" t="inlineStr">
        <is>
          <t>MAT-INOX-SUS304-1-2</t>
        </is>
      </c>
      <c r="C50" t="inlineStr">
        <is>
          <t>Inox Sus304-1,2</t>
        </is>
      </c>
      <c r="D50" t="inlineStr">
        <is>
          <t>INOX</t>
        </is>
      </c>
      <c r="E50" s="402" t="n">
        <v>78000</v>
      </c>
    </row>
    <row r="51">
      <c r="A51" t="n">
        <v>50</v>
      </c>
      <c r="B51" t="inlineStr">
        <is>
          <t>MAT-INOX-SUS430-0-5</t>
        </is>
      </c>
      <c r="C51" t="inlineStr">
        <is>
          <t>Inox Sus430-0.5</t>
        </is>
      </c>
      <c r="D51" t="inlineStr">
        <is>
          <t>INOX</t>
        </is>
      </c>
      <c r="E51" s="402" t="n">
        <v>45000</v>
      </c>
    </row>
    <row r="52">
      <c r="A52" t="n">
        <v>51</v>
      </c>
      <c r="B52" t="inlineStr">
        <is>
          <t>MAT-INOX-SUS430-0-6</t>
        </is>
      </c>
      <c r="C52" t="inlineStr">
        <is>
          <t>Inox Sus430-0.6</t>
        </is>
      </c>
      <c r="D52" t="inlineStr">
        <is>
          <t>INOX</t>
        </is>
      </c>
      <c r="E52" s="402" t="n">
        <v>45000</v>
      </c>
    </row>
    <row r="53">
      <c r="A53" t="n">
        <v>52</v>
      </c>
      <c r="B53" t="inlineStr">
        <is>
          <t>MAT-INOX-SUS430-0-7</t>
        </is>
      </c>
      <c r="C53" t="inlineStr">
        <is>
          <t>Inox Sus430-0.7</t>
        </is>
      </c>
      <c r="D53" t="inlineStr">
        <is>
          <t>INOX</t>
        </is>
      </c>
      <c r="E53" s="402" t="n">
        <v>45000</v>
      </c>
    </row>
    <row r="54">
      <c r="A54" t="n">
        <v>53</v>
      </c>
      <c r="B54" t="inlineStr">
        <is>
          <t>MAT-INOX-SUS430-0-8</t>
        </is>
      </c>
      <c r="C54" t="inlineStr">
        <is>
          <t>Inox Sus430-0.8</t>
        </is>
      </c>
      <c r="D54" t="inlineStr">
        <is>
          <t>INOX</t>
        </is>
      </c>
      <c r="E54" s="402" t="n">
        <v>45000</v>
      </c>
    </row>
    <row r="55">
      <c r="A55" t="n">
        <v>54</v>
      </c>
      <c r="B55" t="inlineStr">
        <is>
          <t>MAT-INOX-SUS430-0-9</t>
        </is>
      </c>
      <c r="C55" t="inlineStr">
        <is>
          <t>Inox Sus430-0.9</t>
        </is>
      </c>
      <c r="D55" t="inlineStr">
        <is>
          <t>INOX</t>
        </is>
      </c>
      <c r="E55" s="402" t="n">
        <v>45000</v>
      </c>
    </row>
    <row r="56">
      <c r="A56" t="n">
        <v>55</v>
      </c>
      <c r="B56" t="inlineStr">
        <is>
          <t>MAT-INOX-SUS430-1-0</t>
        </is>
      </c>
      <c r="C56" t="inlineStr">
        <is>
          <t>Inox Sus430-1,0</t>
        </is>
      </c>
      <c r="D56" t="inlineStr">
        <is>
          <t>INOX</t>
        </is>
      </c>
      <c r="E56" s="402" t="n">
        <v>45000</v>
      </c>
    </row>
    <row r="57">
      <c r="A57" t="n">
        <v>56</v>
      </c>
      <c r="B57" t="inlineStr">
        <is>
          <t>MAT-INOX-SUS430-1-1</t>
        </is>
      </c>
      <c r="C57" t="inlineStr">
        <is>
          <t>Inox Sus430-1,1</t>
        </is>
      </c>
      <c r="D57" t="inlineStr">
        <is>
          <t>INOX</t>
        </is>
      </c>
      <c r="E57" s="402" t="n">
        <v>45000</v>
      </c>
    </row>
    <row r="58">
      <c r="A58" t="n">
        <v>57</v>
      </c>
      <c r="B58" t="inlineStr">
        <is>
          <t>MAT-INOX-SUS430-1-2</t>
        </is>
      </c>
      <c r="C58" t="inlineStr">
        <is>
          <t>Inox Sus430-1,2</t>
        </is>
      </c>
      <c r="D58" t="inlineStr">
        <is>
          <t>INOX</t>
        </is>
      </c>
      <c r="E58" s="402" t="n">
        <v>45000</v>
      </c>
    </row>
    <row r="59">
      <c r="A59" t="n">
        <v>58</v>
      </c>
      <c r="B59" t="inlineStr">
        <is>
          <t>MAT-INOX-SUS201-0-4</t>
        </is>
      </c>
      <c r="C59" t="inlineStr">
        <is>
          <t>Inox Sus201-0.4</t>
        </is>
      </c>
      <c r="D59" t="inlineStr">
        <is>
          <t>INOX</t>
        </is>
      </c>
      <c r="E59" s="402" t="n">
        <v>48000</v>
      </c>
    </row>
    <row r="60">
      <c r="A60" t="n">
        <v>59</v>
      </c>
      <c r="B60" t="inlineStr">
        <is>
          <t>MAT-INOX-SUS201-0-5</t>
        </is>
      </c>
      <c r="C60" t="inlineStr">
        <is>
          <t>Inox Sus201-0.5</t>
        </is>
      </c>
      <c r="D60" t="inlineStr">
        <is>
          <t>INOX</t>
        </is>
      </c>
      <c r="E60" s="402" t="n">
        <v>48000</v>
      </c>
    </row>
    <row r="61">
      <c r="A61" t="n">
        <v>60</v>
      </c>
      <c r="B61" t="inlineStr">
        <is>
          <t>MAT-INOX-SUS201-0-6</t>
        </is>
      </c>
      <c r="C61" t="inlineStr">
        <is>
          <t>Inox Sus201-0.6</t>
        </is>
      </c>
      <c r="D61" t="inlineStr">
        <is>
          <t>INOX</t>
        </is>
      </c>
      <c r="E61" s="402" t="n">
        <v>48000</v>
      </c>
    </row>
    <row r="62">
      <c r="A62" t="n">
        <v>61</v>
      </c>
      <c r="B62" t="inlineStr">
        <is>
          <t>MAT-INOX-SUS201-0-7</t>
        </is>
      </c>
      <c r="C62" t="inlineStr">
        <is>
          <t>Inox Sus201-0.7</t>
        </is>
      </c>
      <c r="D62" t="inlineStr">
        <is>
          <t>INOX</t>
        </is>
      </c>
      <c r="E62" s="402" t="n">
        <v>48000</v>
      </c>
    </row>
    <row r="63">
      <c r="A63" t="n">
        <v>62</v>
      </c>
      <c r="B63" t="inlineStr">
        <is>
          <t>MAT-INOX-SUS201-0-8</t>
        </is>
      </c>
      <c r="C63" t="inlineStr">
        <is>
          <t>Inox Sus201-0.8</t>
        </is>
      </c>
      <c r="D63" t="inlineStr">
        <is>
          <t>INOX</t>
        </is>
      </c>
      <c r="E63" s="402" t="n">
        <v>48000</v>
      </c>
    </row>
    <row r="64">
      <c r="A64" t="n">
        <v>63</v>
      </c>
      <c r="B64" t="inlineStr">
        <is>
          <t>MAT-DAMPER-TRUC-SUS-201-D10</t>
        </is>
      </c>
      <c r="C64" t="inlineStr">
        <is>
          <t>Trục Sus 201 D10</t>
        </is>
      </c>
      <c r="D64" t="inlineStr">
        <is>
          <t>PHỤ_KIỆN_VAN</t>
        </is>
      </c>
      <c r="E64" s="402" t="n">
        <v>50000</v>
      </c>
    </row>
    <row r="65">
      <c r="A65" t="n">
        <v>64</v>
      </c>
      <c r="B65" t="inlineStr">
        <is>
          <t>MAT-DAMPER-TRUC-SUS-201-D12</t>
        </is>
      </c>
      <c r="C65" t="inlineStr">
        <is>
          <t>Trục Sus 201 D12</t>
        </is>
      </c>
      <c r="D65" t="inlineStr">
        <is>
          <t>PHỤ_KIỆN_VAN</t>
        </is>
      </c>
      <c r="E65" s="402" t="n">
        <v>72000</v>
      </c>
    </row>
    <row r="66">
      <c r="A66" t="n">
        <v>65</v>
      </c>
      <c r="B66" t="inlineStr">
        <is>
          <t>MAT-DAMPER-TRUC-SUS-201-D14</t>
        </is>
      </c>
      <c r="C66" t="inlineStr">
        <is>
          <t>Trục Sus 201 D14</t>
        </is>
      </c>
      <c r="D66" t="inlineStr">
        <is>
          <t>PHỤ_KIỆN_VAN</t>
        </is>
      </c>
      <c r="E66" s="402" t="n">
        <v>98000</v>
      </c>
    </row>
    <row r="67">
      <c r="A67" t="n">
        <v>66</v>
      </c>
      <c r="B67" t="inlineStr">
        <is>
          <t>MAT-DAMPER-BAC-DONG-D10</t>
        </is>
      </c>
      <c r="C67" t="inlineStr">
        <is>
          <t>Bạc đồng D10</t>
        </is>
      </c>
      <c r="D67" t="inlineStr">
        <is>
          <t>PHỤ_KIỆN_VAN</t>
        </is>
      </c>
      <c r="E67" s="402" t="n">
        <v>6000</v>
      </c>
    </row>
    <row r="68">
      <c r="A68" t="n">
        <v>67</v>
      </c>
      <c r="B68" t="inlineStr">
        <is>
          <t>MAT-DAMPER-BAC-DONG-D12</t>
        </is>
      </c>
      <c r="C68" t="inlineStr">
        <is>
          <t>Bạc đồng D12</t>
        </is>
      </c>
      <c r="D68" t="inlineStr">
        <is>
          <t>PHỤ_KIỆN_VAN</t>
        </is>
      </c>
      <c r="E68" s="402" t="n">
        <v>8000</v>
      </c>
    </row>
    <row r="69">
      <c r="A69" t="n">
        <v>68</v>
      </c>
      <c r="B69" t="inlineStr">
        <is>
          <t>MAT-DAMPER-BAC-DONG-D14</t>
        </is>
      </c>
      <c r="C69" t="inlineStr">
        <is>
          <t>Bạc đồng D14</t>
        </is>
      </c>
      <c r="D69" t="inlineStr">
        <is>
          <t>PHỤ_KIỆN_VAN</t>
        </is>
      </c>
      <c r="E69" s="402" t="n">
        <v>10000</v>
      </c>
    </row>
    <row r="70">
      <c r="A70" t="n">
        <v>69</v>
      </c>
      <c r="B70" t="inlineStr">
        <is>
          <t>MAT-DAMPER-TAY-GAT-1-1M2</t>
        </is>
      </c>
      <c r="C70" t="inlineStr">
        <is>
          <t>Tay gạt 1 &gt;1m2</t>
        </is>
      </c>
      <c r="D70" t="inlineStr">
        <is>
          <t>PHỤ_KIỆN_VAN</t>
        </is>
      </c>
      <c r="E70" s="402" t="n">
        <v>100000</v>
      </c>
    </row>
    <row r="71">
      <c r="A71" t="n">
        <v>70</v>
      </c>
      <c r="B71" t="inlineStr">
        <is>
          <t>MAT-DAMPER-GIANG-TAY-GAT-1</t>
        </is>
      </c>
      <c r="C71" t="inlineStr">
        <is>
          <t>Giằng tay gạt 1</t>
        </is>
      </c>
      <c r="D71" t="inlineStr">
        <is>
          <t>PHỤ_KIỆN_VAN</t>
        </is>
      </c>
      <c r="E71" s="402" t="n">
        <v>20000</v>
      </c>
    </row>
    <row r="72">
      <c r="A72" t="n">
        <v>71</v>
      </c>
      <c r="B72" t="inlineStr">
        <is>
          <t>MAT-DAMPER-GIANG-TAY-GAT-2</t>
        </is>
      </c>
      <c r="C72" t="inlineStr">
        <is>
          <t>Giằng tay gạt 2</t>
        </is>
      </c>
      <c r="D72" t="inlineStr">
        <is>
          <t>PHỤ_KIỆN_VAN</t>
        </is>
      </c>
      <c r="E72" s="402" t="n">
        <v>25000</v>
      </c>
    </row>
    <row r="73">
      <c r="A73" t="n">
        <v>72</v>
      </c>
      <c r="B73" t="inlineStr">
        <is>
          <t>MAT-DAMPER-CAU-CHI-1-400X400</t>
        </is>
      </c>
      <c r="C73" t="inlineStr">
        <is>
          <t>Cầu chì 1 &lt;400x400</t>
        </is>
      </c>
      <c r="D73" t="inlineStr">
        <is>
          <t>PHỤ_KIỆN_VAN</t>
        </is>
      </c>
      <c r="E73" s="402" t="n">
        <v>220000</v>
      </c>
    </row>
    <row r="74">
      <c r="A74" t="n">
        <v>73</v>
      </c>
      <c r="B74" t="inlineStr">
        <is>
          <t>MAT-DAMPER-CAU-CHI-2-400X400</t>
        </is>
      </c>
      <c r="C74" t="inlineStr">
        <is>
          <t>Cầu chì 2&gt;400x400</t>
        </is>
      </c>
      <c r="D74" t="inlineStr">
        <is>
          <t>PHỤ_KIỆN_VAN</t>
        </is>
      </c>
      <c r="E74" s="402" t="n">
        <v>300000</v>
      </c>
    </row>
    <row r="75">
      <c r="A75" t="n">
        <v>74</v>
      </c>
      <c r="B75" t="inlineStr">
        <is>
          <t>MAT-DAMPER-TRUC-VIT-1</t>
        </is>
      </c>
      <c r="C75" t="inlineStr">
        <is>
          <t>Trục vít 1</t>
        </is>
      </c>
      <c r="D75" t="inlineStr">
        <is>
          <t>PHỤ_KIỆN_VAN</t>
        </is>
      </c>
      <c r="E75" s="402" t="n">
        <v>100000</v>
      </c>
    </row>
    <row r="76">
      <c r="A76" t="n">
        <v>75</v>
      </c>
      <c r="B76" t="inlineStr">
        <is>
          <t>MAT-DAMPER-BAC-DONG-8</t>
        </is>
      </c>
      <c r="C76" t="inlineStr">
        <is>
          <t>Bạc đồng 8</t>
        </is>
      </c>
      <c r="D76" t="inlineStr">
        <is>
          <t>PHỤ_KIỆN_VAN</t>
        </is>
      </c>
      <c r="E76" s="402" t="n">
        <v>4000</v>
      </c>
    </row>
    <row r="77">
      <c r="A77" t="n">
        <v>76</v>
      </c>
      <c r="B77" t="inlineStr">
        <is>
          <t>MAT-DAMPER-BANH-RANG-VAN-NHOM</t>
        </is>
      </c>
      <c r="C77" t="inlineStr">
        <is>
          <t>Bánh răng van nhôm</t>
        </is>
      </c>
      <c r="D77" t="inlineStr">
        <is>
          <t>PHỤ_KIỆN_VAN</t>
        </is>
      </c>
      <c r="E77" s="402" t="n">
        <v>35000</v>
      </c>
    </row>
    <row r="78">
      <c r="A78" t="n">
        <v>77</v>
      </c>
      <c r="B78" t="inlineStr">
        <is>
          <t>MAT-DAMPER-TAY-VAN-NHUA-1M2</t>
        </is>
      </c>
      <c r="C78" t="inlineStr">
        <is>
          <t>Tay van nhựa &gt;1m2</t>
        </is>
      </c>
      <c r="D78" t="inlineStr">
        <is>
          <t>PHỤ_KIỆN_VAN</t>
        </is>
      </c>
      <c r="E78" s="402" t="n">
        <v>165000</v>
      </c>
    </row>
    <row r="79">
      <c r="A79" t="n">
        <v>78</v>
      </c>
      <c r="B79" t="inlineStr">
        <is>
          <t>MAT-DAMPER-TAY-VAN-INOX-1M2</t>
        </is>
      </c>
      <c r="C79" t="inlineStr">
        <is>
          <t>Tay van Inox &gt;1m2</t>
        </is>
      </c>
      <c r="D79" t="inlineStr">
        <is>
          <t>PHỤ_KIỆN_VAN</t>
        </is>
      </c>
      <c r="E79" s="402" t="n">
        <v>195000</v>
      </c>
    </row>
    <row r="80">
      <c r="A80" t="n">
        <v>79</v>
      </c>
      <c r="B80" t="inlineStr">
        <is>
          <t>MAT-DAMPER-TAY-VAN-NHOM</t>
        </is>
      </c>
      <c r="C80" t="inlineStr">
        <is>
          <t>Tay van nhôm</t>
        </is>
      </c>
      <c r="D80" t="inlineStr">
        <is>
          <t>PHỤ_KIỆN_VAN</t>
        </is>
      </c>
      <c r="E80" s="402" t="n">
        <v>260000</v>
      </c>
    </row>
    <row r="81">
      <c r="A81" t="n">
        <v>80</v>
      </c>
      <c r="B81" t="inlineStr">
        <is>
          <t>MAT-DAMPER-GIOANG-CAO-SU-VAN-NHOM</t>
        </is>
      </c>
      <c r="C81" t="inlineStr">
        <is>
          <t>Gioăng cao su van nhôm</t>
        </is>
      </c>
      <c r="D81" t="inlineStr">
        <is>
          <t>PHỤ_KIỆN_VAN</t>
        </is>
      </c>
      <c r="E81" s="402" t="n">
        <v>6500</v>
      </c>
    </row>
    <row r="82">
      <c r="A82" t="n">
        <v>81</v>
      </c>
      <c r="B82" t="inlineStr">
        <is>
          <t>MAT-DAMPER-TAY-GAT-NHO</t>
        </is>
      </c>
      <c r="C82" t="inlineStr">
        <is>
          <t>Tay gạt nhỏ</t>
        </is>
      </c>
      <c r="D82" t="inlineStr">
        <is>
          <t>PHỤ_KIỆN_VAN</t>
        </is>
      </c>
      <c r="E82" s="402" t="n">
        <v>50000</v>
      </c>
    </row>
    <row r="83">
      <c r="A83" t="n">
        <v>82</v>
      </c>
      <c r="B83" t="inlineStr">
        <is>
          <t>MAT-DAMPER-TAY-GAT-TRUNG-BINH</t>
        </is>
      </c>
      <c r="C83" t="inlineStr">
        <is>
          <t>Tay gạt trung bình</t>
        </is>
      </c>
      <c r="D83" t="inlineStr">
        <is>
          <t>PHỤ_KIỆN_VAN</t>
        </is>
      </c>
      <c r="E83" s="402" t="n">
        <v>75000</v>
      </c>
    </row>
    <row r="84">
      <c r="A84" t="n">
        <v>83</v>
      </c>
      <c r="B84" t="inlineStr">
        <is>
          <t>MAT-DAMPER-MOTOR-NENUTEC-THUY-SY-LT-300X300</t>
        </is>
      </c>
      <c r="C84" t="inlineStr">
        <is>
          <t>Motor NENUTEC - THỤY SỸ &lt;300x300</t>
        </is>
      </c>
      <c r="D84" t="inlineStr">
        <is>
          <t>PHỤ_KIỆN_VAN</t>
        </is>
      </c>
      <c r="E84" s="402" t="n">
        <v>1750000</v>
      </c>
    </row>
    <row r="85">
      <c r="A85" t="n">
        <v>84</v>
      </c>
      <c r="B85" t="inlineStr">
        <is>
          <t>MAT-DAMPER-MOTOR-NENUTEC-THUY-SY-GT-300X300</t>
        </is>
      </c>
      <c r="C85" t="inlineStr">
        <is>
          <t>Motor NENUTEC - THỤY SỸ &gt;300x300</t>
        </is>
      </c>
      <c r="D85" t="inlineStr">
        <is>
          <t>PHỤ_KIỆN_VAN</t>
        </is>
      </c>
      <c r="E85" s="402" t="n">
        <v>1950000</v>
      </c>
    </row>
    <row r="86">
      <c r="A86" t="n">
        <v>85</v>
      </c>
      <c r="B86" t="inlineStr">
        <is>
          <t>MAT-DAMPER-MOTOR-NENUTEC-THUY-SY-1M2</t>
        </is>
      </c>
      <c r="C86" t="inlineStr">
        <is>
          <t>Motor NENUTEC - THỤY SỸ &gt;1m2</t>
        </is>
      </c>
      <c r="D86" t="inlineStr">
        <is>
          <t>PHỤ_KIỆN_VAN</t>
        </is>
      </c>
      <c r="E86" s="402" t="n">
        <v>2200000</v>
      </c>
    </row>
    <row r="87">
      <c r="A87" t="n">
        <v>86</v>
      </c>
      <c r="B87" t="inlineStr">
        <is>
          <t>MAT-DAMPER-MOTOR-VAN-DAP-LUA-CAM-BIEN</t>
        </is>
      </c>
      <c r="C87" t="inlineStr">
        <is>
          <t>Motor van dập lửa + cảm biến</t>
        </is>
      </c>
      <c r="D87" t="inlineStr">
        <is>
          <t>PHỤ_KIỆN_VAN</t>
        </is>
      </c>
      <c r="E87" s="402" t="n">
        <v>4200000</v>
      </c>
    </row>
    <row r="88">
      <c r="A88" t="n">
        <v>87</v>
      </c>
      <c r="B88" t="inlineStr">
        <is>
          <t>MAT-DAMPER-MOTOR-VAN-AP-SUAT</t>
        </is>
      </c>
      <c r="C88" t="inlineStr">
        <is>
          <t>Motor van áp suất</t>
        </is>
      </c>
      <c r="D88" t="inlineStr">
        <is>
          <t>PHỤ_KIỆN_VAN</t>
        </is>
      </c>
      <c r="E88" s="402" t="n">
        <v>4200000</v>
      </c>
    </row>
    <row r="89">
      <c r="A89" t="n">
        <v>88</v>
      </c>
      <c r="B89" t="inlineStr">
        <is>
          <t>MAT-DAMPER-CAU-CHI-TRUNG-QUOC</t>
        </is>
      </c>
      <c r="C89" t="inlineStr">
        <is>
          <t>Cầu chì Trung Quốc</t>
        </is>
      </c>
      <c r="D89" t="inlineStr">
        <is>
          <t>PHỤ_KIỆN_VAN</t>
        </is>
      </c>
      <c r="E89" s="402" t="n">
        <v>65000</v>
      </c>
    </row>
    <row r="90">
      <c r="A90" t="n">
        <v>89</v>
      </c>
      <c r="B90" t="inlineStr">
        <is>
          <t>MAT-DAMPER-CAU-CHI-USA-1-400X400</t>
        </is>
      </c>
      <c r="C90" t="inlineStr">
        <is>
          <t>Cầu chì USA -1 (&lt;400x400)</t>
        </is>
      </c>
      <c r="D90" t="inlineStr">
        <is>
          <t>PHỤ_KIỆN_VAN</t>
        </is>
      </c>
      <c r="E90" s="402" t="n">
        <v>105000</v>
      </c>
    </row>
    <row r="91">
      <c r="A91" t="n">
        <v>90</v>
      </c>
      <c r="B91" t="inlineStr">
        <is>
          <t>MAT-DAMPER-CAU-CHI-USA-2-400X400</t>
        </is>
      </c>
      <c r="C91" t="inlineStr">
        <is>
          <t>Cầu chì USA-2 (&gt;400x400)</t>
        </is>
      </c>
      <c r="D91" t="inlineStr">
        <is>
          <t>PHỤ_KIỆN_VAN</t>
        </is>
      </c>
      <c r="E91" s="402" t="n">
        <v>126000</v>
      </c>
    </row>
    <row r="92">
      <c r="A92" t="n">
        <v>91</v>
      </c>
      <c r="B92" t="inlineStr">
        <is>
          <t>MAT-FLANGE-L-30X30X2-CT38-L-6-M</t>
        </is>
      </c>
      <c r="C92" t="inlineStr">
        <is>
          <t>L 30x30x2 CT38 L = 6 m</t>
        </is>
      </c>
      <c r="D92" t="inlineStr">
        <is>
          <t>THÉP_BÍCH_GÓC</t>
        </is>
      </c>
      <c r="E92" s="402" t="n">
        <v>30000</v>
      </c>
    </row>
    <row r="93">
      <c r="A93" t="n">
        <v>92</v>
      </c>
      <c r="B93" t="inlineStr">
        <is>
          <t>MAT-FLANGE-L-30X30X3-CT38-L-6-M</t>
        </is>
      </c>
      <c r="C93" t="inlineStr">
        <is>
          <t>L 30x30x3 CT38 L = 6 m</t>
        </is>
      </c>
      <c r="D93" t="inlineStr">
        <is>
          <t>THÉP_BÍCH_GÓC</t>
        </is>
      </c>
      <c r="E93" s="402" t="n">
        <v>35000</v>
      </c>
    </row>
    <row r="94">
      <c r="A94" t="n">
        <v>93</v>
      </c>
      <c r="B94" t="inlineStr">
        <is>
          <t>MAT-FLANGE-L-40X40X4-CT39-L-6-M</t>
        </is>
      </c>
      <c r="C94" t="inlineStr">
        <is>
          <t>L 40x40x4 CT39 L = 6 m</t>
        </is>
      </c>
      <c r="D94" t="inlineStr">
        <is>
          <t>THÉP_BÍCH_GÓC</t>
        </is>
      </c>
      <c r="E94" s="402" t="n">
        <v>45000</v>
      </c>
    </row>
    <row r="95">
      <c r="A95" t="n">
        <v>94</v>
      </c>
      <c r="B95" t="inlineStr">
        <is>
          <t>MAT-FLANGE-L-50X50X4-CT40-L-6-M</t>
        </is>
      </c>
      <c r="C95" t="inlineStr">
        <is>
          <t>L 50x50x4 CT40 L = 6 m</t>
        </is>
      </c>
      <c r="D95" t="inlineStr">
        <is>
          <t>THÉP_BÍCH_GÓC</t>
        </is>
      </c>
      <c r="E95" s="402" t="n">
        <v>55000</v>
      </c>
    </row>
    <row r="96">
      <c r="A96" t="n">
        <v>95</v>
      </c>
      <c r="B96" t="inlineStr">
        <is>
          <t>MAT-INSUL-LUOI-NHUA</t>
        </is>
      </c>
      <c r="C96" t="inlineStr">
        <is>
          <t>Lưới nhựa</t>
        </is>
      </c>
      <c r="D96" t="inlineStr">
        <is>
          <t>VẬT_LIỆU_TIÊU_ÂM</t>
        </is>
      </c>
      <c r="E96" s="402" t="n">
        <v>25000</v>
      </c>
    </row>
    <row r="97">
      <c r="A97" t="n">
        <v>96</v>
      </c>
      <c r="B97" t="inlineStr">
        <is>
          <t>MAT-INSUL-MOTOR-NENUTEC-THUY-SY-LT-300X300</t>
        </is>
      </c>
      <c r="C97" t="inlineStr">
        <is>
          <t>Motor NENUTEC - THỤY SỸ &lt;300x300</t>
        </is>
      </c>
      <c r="D97" t="inlineStr">
        <is>
          <t>VẬT_LIỆU_TIÊU_ÂM</t>
        </is>
      </c>
      <c r="E97" s="402" t="n">
        <v>1750000</v>
      </c>
    </row>
    <row r="98">
      <c r="A98" t="n">
        <v>97</v>
      </c>
      <c r="B98" t="inlineStr">
        <is>
          <t>MAT-INSUL-MOTOR-NENUTEC-THUY-SY-GT-300X300</t>
        </is>
      </c>
      <c r="C98" t="inlineStr">
        <is>
          <t>Motor NENUTEC - THỤY SỸ &gt;300x300</t>
        </is>
      </c>
      <c r="D98" t="inlineStr">
        <is>
          <t>VẬT_LIỆU_TIÊU_ÂM</t>
        </is>
      </c>
      <c r="E98" s="402" t="n">
        <v>1950000</v>
      </c>
    </row>
    <row r="99">
      <c r="A99" t="n">
        <v>98</v>
      </c>
      <c r="B99" t="inlineStr">
        <is>
          <t>MAT-INSUL-MOTOR-NENUTEC-THUY-SY-1M2</t>
        </is>
      </c>
      <c r="C99" t="inlineStr">
        <is>
          <t>Motor NENUTEC - THỤY SỸ &gt;1m2</t>
        </is>
      </c>
      <c r="D99" t="inlineStr">
        <is>
          <t>VẬT_LIỆU_TIÊU_ÂM</t>
        </is>
      </c>
      <c r="E99" s="402" t="n">
        <v>2200000</v>
      </c>
    </row>
    <row r="100">
      <c r="A100" t="n">
        <v>99</v>
      </c>
      <c r="B100" t="inlineStr">
        <is>
          <t>MAT-INSUL-MOTOR-VAN-DAP-LUA-CAM-BIEN</t>
        </is>
      </c>
      <c r="C100" t="inlineStr">
        <is>
          <t>Motor van dập lửa + cảm biến</t>
        </is>
      </c>
      <c r="D100" t="inlineStr">
        <is>
          <t>VẬT_LIỆU_TIÊU_ÂM</t>
        </is>
      </c>
      <c r="E100" s="402" t="n">
        <v>4200000</v>
      </c>
    </row>
    <row r="101">
      <c r="A101" t="n">
        <v>100</v>
      </c>
      <c r="B101" t="inlineStr">
        <is>
          <t>MAT-INSUL-MOTOR-VAN-AP-SUAT</t>
        </is>
      </c>
      <c r="C101" t="inlineStr">
        <is>
          <t>Motor van áp suất</t>
        </is>
      </c>
      <c r="D101" t="inlineStr">
        <is>
          <t>VẬT_LIỆU_TIÊU_ÂM</t>
        </is>
      </c>
      <c r="E101" s="402" t="n">
        <v>4200000</v>
      </c>
    </row>
    <row r="102">
      <c r="A102" t="n">
        <v>101</v>
      </c>
      <c r="B102" t="inlineStr">
        <is>
          <t>MAT-ALU-NAN-BD</t>
        </is>
      </c>
      <c r="C102" t="inlineStr">
        <is>
          <t>Nhôm định hình NAN BD</t>
        </is>
      </c>
      <c r="D102" t="inlineStr">
        <is>
          <t>NHÔM_ĐỊNH_HÌNH</t>
        </is>
      </c>
      <c r="E102" s="402" t="n">
        <v>126000</v>
      </c>
    </row>
    <row r="103">
      <c r="A103" t="n">
        <v>102</v>
      </c>
      <c r="B103" t="inlineStr">
        <is>
          <t>MAT-ALU-NAN-T</t>
        </is>
      </c>
      <c r="C103" t="inlineStr">
        <is>
          <t>Nhôm định hình NAN T</t>
        </is>
      </c>
      <c r="D103" t="inlineStr">
        <is>
          <t>NHÔM_ĐỊNH_HÌNH</t>
        </is>
      </c>
      <c r="E103" s="402" t="n">
        <v>126000</v>
      </c>
    </row>
    <row r="104">
      <c r="A104" t="n">
        <v>103</v>
      </c>
      <c r="B104" t="inlineStr">
        <is>
          <t>MAT-ALU-KHUNG-BD</t>
        </is>
      </c>
      <c r="C104" t="inlineStr">
        <is>
          <t>Nhôm định hình KHUNG BD</t>
        </is>
      </c>
      <c r="D104" t="inlineStr">
        <is>
          <t>NHÔM_ĐỊNH_HÌNH</t>
        </is>
      </c>
      <c r="E104" s="402" t="n">
        <v>126000</v>
      </c>
    </row>
    <row r="105">
      <c r="A105" t="n">
        <v>104</v>
      </c>
      <c r="B105" t="inlineStr">
        <is>
          <t>MAT-ALU-KHUNG-BD-Z-MONG</t>
        </is>
      </c>
      <c r="C105" t="inlineStr">
        <is>
          <t>Nhôm định hình KHUNG BD+ Z MỎNG</t>
        </is>
      </c>
      <c r="D105" t="inlineStr">
        <is>
          <t>NHÔM_ĐỊNH_HÌNH</t>
        </is>
      </c>
      <c r="E105" s="402" t="n">
        <v>126000</v>
      </c>
    </row>
    <row r="106">
      <c r="A106" t="n">
        <v>105</v>
      </c>
      <c r="B106" t="inlineStr">
        <is>
          <t>MAT-ALU-NAN-Z-DAY</t>
        </is>
      </c>
      <c r="C106" t="inlineStr">
        <is>
          <t>Nhôm định hình NAN Z DÀY</t>
        </is>
      </c>
      <c r="D106" t="inlineStr">
        <is>
          <t>NHÔM_ĐỊNH_HÌNH</t>
        </is>
      </c>
      <c r="E106" s="402" t="n">
        <v>126000</v>
      </c>
    </row>
    <row r="107">
      <c r="A107" t="n">
        <v>106</v>
      </c>
      <c r="B107" t="inlineStr">
        <is>
          <t>MAT-ALU-NAN-Z-MONG</t>
        </is>
      </c>
      <c r="C107" t="inlineStr">
        <is>
          <t>Nhôm định hình NAN Z MỎNG</t>
        </is>
      </c>
      <c r="D107" t="inlineStr">
        <is>
          <t>NHÔM_ĐỊNH_HÌNH</t>
        </is>
      </c>
      <c r="E107" s="402" t="n">
        <v>126000</v>
      </c>
    </row>
    <row r="108">
      <c r="A108" t="n">
        <v>107</v>
      </c>
      <c r="B108" t="inlineStr">
        <is>
          <t>MAT-ALU-KHUNG-Z-2-LOP</t>
        </is>
      </c>
      <c r="C108" t="inlineStr">
        <is>
          <t>Nhôm định hình KHUNG Z+2 LỚP</t>
        </is>
      </c>
      <c r="D108" t="inlineStr">
        <is>
          <t>NHÔM_ĐỊNH_HÌNH</t>
        </is>
      </c>
      <c r="E108" s="402" t="n">
        <v>126000</v>
      </c>
    </row>
    <row r="109">
      <c r="A109" t="n">
        <v>108</v>
      </c>
      <c r="B109" t="inlineStr">
        <is>
          <t>MAT-ALU-NAN-OBD</t>
        </is>
      </c>
      <c r="C109" t="inlineStr">
        <is>
          <t>Nhôm định hình NAN OBD</t>
        </is>
      </c>
      <c r="D109" t="inlineStr">
        <is>
          <t>NHÔM_ĐỊNH_HÌNH</t>
        </is>
      </c>
      <c r="E109" s="402" t="n">
        <v>133000</v>
      </c>
    </row>
    <row r="110">
      <c r="A110" t="n">
        <v>109</v>
      </c>
      <c r="B110" t="inlineStr">
        <is>
          <t>MAT-ALU-KHUNG-OBD</t>
        </is>
      </c>
      <c r="C110" t="inlineStr">
        <is>
          <t>Nhôm định hình KHUNG OBD</t>
        </is>
      </c>
      <c r="D110" t="inlineStr">
        <is>
          <t>NHÔM_ĐỊNH_HÌNH</t>
        </is>
      </c>
      <c r="E110" s="402" t="n">
        <v>133000</v>
      </c>
    </row>
    <row r="111">
      <c r="A111" t="n">
        <v>110</v>
      </c>
      <c r="B111" t="inlineStr">
        <is>
          <t>MAT-ALU-NAN-BD-EUS02</t>
        </is>
      </c>
      <c r="C111" t="inlineStr">
        <is>
          <t>Nhôm định hình NAN BD EUS 02</t>
        </is>
      </c>
      <c r="D111" t="inlineStr">
        <is>
          <t>NHÔM_ĐỊNH_HÌNH</t>
        </is>
      </c>
      <c r="E111" s="402" t="n">
        <v>120000</v>
      </c>
    </row>
    <row r="112">
      <c r="A112" t="n">
        <v>111</v>
      </c>
      <c r="B112" t="inlineStr">
        <is>
          <t>MAT-ALU-KHUNG-BD-EUS01</t>
        </is>
      </c>
      <c r="C112" t="inlineStr">
        <is>
          <t>Nhôm định hình KHUNG BD EUS 01</t>
        </is>
      </c>
      <c r="D112" t="inlineStr">
        <is>
          <t>NHÔM_ĐỊNH_HÌNH</t>
        </is>
      </c>
      <c r="E112" s="402" t="n">
        <v>120000</v>
      </c>
    </row>
    <row r="113">
      <c r="A113" t="n">
        <v>112</v>
      </c>
      <c r="B113" t="inlineStr">
        <is>
          <t>MAT-ALU-NAN-Z-EUS05</t>
        </is>
      </c>
      <c r="C113" t="inlineStr">
        <is>
          <t>Nhôm định hình NAN Z EUS 05</t>
        </is>
      </c>
      <c r="D113" t="inlineStr">
        <is>
          <t>NHÔM_ĐỊNH_HÌNH</t>
        </is>
      </c>
      <c r="E113" s="402" t="n">
        <v>120000</v>
      </c>
    </row>
    <row r="114">
      <c r="A114" t="n">
        <v>113</v>
      </c>
      <c r="B114" t="inlineStr">
        <is>
          <t>MAT-ALU-KHUNG-Z-EUS03</t>
        </is>
      </c>
      <c r="C114" t="inlineStr">
        <is>
          <t>Nhôm định hình KHUNG Z EUS 03</t>
        </is>
      </c>
      <c r="D114" t="inlineStr">
        <is>
          <t>NHÔM_ĐỊNH_HÌNH</t>
        </is>
      </c>
      <c r="E114" s="402" t="n">
        <v>120000</v>
      </c>
    </row>
    <row r="115">
      <c r="A115" t="n">
        <v>114</v>
      </c>
      <c r="B115" t="inlineStr">
        <is>
          <t>MAT-ALU-NAN-OBD-EUS20</t>
        </is>
      </c>
      <c r="C115" t="inlineStr">
        <is>
          <t>Nhôm định hình NAN OBD EUS 20</t>
        </is>
      </c>
      <c r="D115" t="inlineStr">
        <is>
          <t>NHÔM_ĐỊNH_HÌNH</t>
        </is>
      </c>
      <c r="E115" s="402" t="n">
        <v>130000</v>
      </c>
    </row>
    <row r="116">
      <c r="A116" t="n">
        <v>115</v>
      </c>
      <c r="B116" t="inlineStr">
        <is>
          <t>MAT-ALU-KHUNG-OBD-EUS10</t>
        </is>
      </c>
      <c r="C116" t="inlineStr">
        <is>
          <t>Nhôm định hình KHUNG OBD EUS 10</t>
        </is>
      </c>
      <c r="D116" t="inlineStr">
        <is>
          <t>NHÔM_ĐỊNH_HÌNH</t>
        </is>
      </c>
      <c r="E116" s="402" t="n">
        <v>130000</v>
      </c>
    </row>
    <row r="117">
      <c r="A117" t="n">
        <v>116</v>
      </c>
      <c r="B117" t="inlineStr">
        <is>
          <t>MAT-PAINT-POWDER</t>
        </is>
      </c>
      <c r="C117" t="inlineStr">
        <is>
          <t>Sơn tĩnh điện tiêu chuẩn Polyester</t>
        </is>
      </c>
      <c r="D117" t="inlineStr">
        <is>
          <t>SƠN_TĨNH_ĐIỆN</t>
        </is>
      </c>
      <c r="E117" s="402" t="n">
        <v>75000</v>
      </c>
    </row>
    <row r="118">
      <c r="A118" t="n">
        <v>117</v>
      </c>
      <c r="B118" t="inlineStr">
        <is>
          <t>MAT-DOOR-ACCESSORY</t>
        </is>
      </c>
      <c r="C118" t="inlineStr">
        <is>
          <t>Phụ kiện lắp ghép / Ke góc cửa gió</t>
        </is>
      </c>
      <c r="D118" t="inlineStr">
        <is>
          <t>PHỤ_KIỆN_CỬA</t>
        </is>
      </c>
      <c r="E118" s="402" t="n">
        <v>15000</v>
      </c>
    </row>
    <row r="119">
      <c r="A119" t="n">
        <v>118</v>
      </c>
      <c r="B119" t="inlineStr">
        <is>
          <t>MAT-ACTUATOR-NACA-2-05</t>
        </is>
      </c>
      <c r="C119" t="inlineStr">
        <is>
          <t>Model: NACA 2-05  ( 220VAC, On/Off )</t>
        </is>
      </c>
      <c r="D119" t="inlineStr">
        <is>
          <t>ĐỘNG_CƠ_VÀ_CẢM_BIẾN</t>
        </is>
      </c>
      <c r="E119" s="402" t="n">
        <v>1250000</v>
      </c>
    </row>
    <row r="120">
      <c r="A120" t="n">
        <v>119</v>
      </c>
      <c r="B120" t="inlineStr">
        <is>
          <t>MAT-ACTUATOR-NACA-2-10</t>
        </is>
      </c>
      <c r="C120" t="inlineStr">
        <is>
          <t>Model: NACA 2-10   ( 220VAC, On/Off )</t>
        </is>
      </c>
      <c r="D120" t="inlineStr">
        <is>
          <t>ĐỘNG_CƠ_VÀ_CẢM_BIẾN</t>
        </is>
      </c>
      <c r="E120" s="402" t="n">
        <v>1732500</v>
      </c>
    </row>
    <row r="121">
      <c r="A121" t="n">
        <v>120</v>
      </c>
      <c r="B121" t="inlineStr">
        <is>
          <t>MAT-ACTUATOR-NACA-2-20</t>
        </is>
      </c>
      <c r="C121" t="inlineStr">
        <is>
          <t>Model: NACA 2-20   ( 220VAC, On/Off )</t>
        </is>
      </c>
      <c r="D121" t="inlineStr">
        <is>
          <t>ĐỘNG_CƠ_VÀ_CẢM_BIẾN</t>
        </is>
      </c>
      <c r="E121" s="402" t="n">
        <v>2016000</v>
      </c>
    </row>
    <row r="122">
      <c r="A122" t="n">
        <v>121</v>
      </c>
      <c r="B122" t="inlineStr">
        <is>
          <t>MAT-ACTUATOR-NACA-2-40</t>
        </is>
      </c>
      <c r="C122" t="inlineStr">
        <is>
          <t>Model: NACA 2-40   ( 220VAC, On/Off )</t>
        </is>
      </c>
      <c r="D122" t="inlineStr">
        <is>
          <t>ĐỘNG_CƠ_VÀ_CẢM_BIẾN</t>
        </is>
      </c>
      <c r="E122" s="402" t="n">
        <v>3549000</v>
      </c>
    </row>
    <row r="123">
      <c r="A123" t="n">
        <v>122</v>
      </c>
      <c r="B123" t="inlineStr">
        <is>
          <t>MAT-ACTUATOR-NTC-831</t>
        </is>
      </c>
      <c r="C123" t="inlineStr">
        <is>
          <t>Model: NTC 831</t>
        </is>
      </c>
      <c r="D123" t="inlineStr">
        <is>
          <t>ĐỘNG_CƠ_VÀ_CẢM_BIẾN</t>
        </is>
      </c>
      <c r="E123" s="402" t="n">
        <v>800000</v>
      </c>
    </row>
    <row r="124">
      <c r="A124" t="n">
        <v>123</v>
      </c>
      <c r="B124" t="inlineStr">
        <is>
          <t>MAT-ACTUATOR-NACM-1-2-05</t>
        </is>
      </c>
      <c r="C124" t="inlineStr">
        <is>
          <t>Model: NACM 1.2-05  ( Modulating )</t>
        </is>
      </c>
      <c r="D124" t="inlineStr">
        <is>
          <t>ĐỘNG_CƠ_VÀ_CẢM_BIẾN</t>
        </is>
      </c>
      <c r="E124" s="402" t="n">
        <v>1785000</v>
      </c>
    </row>
    <row r="125">
      <c r="A125" t="n">
        <v>124</v>
      </c>
      <c r="B125" t="inlineStr">
        <is>
          <t>MAT-ACTUATOR-NACM-1-1-10</t>
        </is>
      </c>
      <c r="C125" t="inlineStr">
        <is>
          <t>Model: NACM 1.1-10  ( Modulating )</t>
        </is>
      </c>
      <c r="D125" t="inlineStr">
        <is>
          <t>ĐỘNG_CƠ_VÀ_CẢM_BIẾN</t>
        </is>
      </c>
      <c r="E125" s="402" t="n">
        <v>2226000</v>
      </c>
    </row>
    <row r="126">
      <c r="A126" t="n">
        <v>125</v>
      </c>
      <c r="B126" t="inlineStr">
        <is>
          <t>MAT-ACTUATOR-NACM-1-1-20</t>
        </is>
      </c>
      <c r="C126" t="inlineStr">
        <is>
          <t>Model: NACM 1.1-20  ( Modulating )</t>
        </is>
      </c>
      <c r="D126" t="inlineStr">
        <is>
          <t>ĐỘNG_CƠ_VÀ_CẢM_BIẾN</t>
        </is>
      </c>
      <c r="E126" s="402" t="n">
        <v>3087000</v>
      </c>
    </row>
    <row r="127">
      <c r="A127" t="n">
        <v>126</v>
      </c>
      <c r="B127" t="inlineStr">
        <is>
          <t>MAT-ACTUATOR-NACM-1-1-40</t>
        </is>
      </c>
      <c r="C127" t="inlineStr">
        <is>
          <t>Model: NACM 1.1-40  ( Modulating )</t>
        </is>
      </c>
      <c r="D127" t="inlineStr">
        <is>
          <t>ĐỘNG_CƠ_VÀ_CẢM_BIẾN</t>
        </is>
      </c>
      <c r="E127" s="402" t="n">
        <v>4515000</v>
      </c>
    </row>
    <row r="128">
      <c r="A128" t="n">
        <v>127</v>
      </c>
      <c r="B128" t="inlineStr">
        <is>
          <t>MAT-ACTUATOR-MODEL-NPG-1-DIEU-KHI</t>
        </is>
      </c>
      <c r="C128" t="inlineStr">
        <is>
          <t>Model: NPG-1 ( Điều khiển cửa gió theo % đóng mở )</t>
        </is>
      </c>
      <c r="D128" t="inlineStr">
        <is>
          <t>ĐỘNG_CƠ_VÀ_CẢM_BIẾN</t>
        </is>
      </c>
      <c r="E128" s="402" t="n">
        <v>1260000</v>
      </c>
    </row>
    <row r="129">
      <c r="A129" t="n">
        <v>128</v>
      </c>
      <c r="B129" t="inlineStr">
        <is>
          <t>MAT-ACTUATOR-MODEL-NTC-843-DIEU-K</t>
        </is>
      </c>
      <c r="C129" t="inlineStr">
        <is>
          <t>Model: NTC-843 ( Điều khiển cửa gió theo nhiệt độ phòng )</t>
        </is>
      </c>
      <c r="D129" t="inlineStr">
        <is>
          <t>ĐỘNG_CƠ_VÀ_CẢM_BIẾN</t>
        </is>
      </c>
      <c r="E129" s="402" t="n">
        <v>1512000</v>
      </c>
    </row>
    <row r="130">
      <c r="A130" t="n">
        <v>129</v>
      </c>
      <c r="B130" t="inlineStr">
        <is>
          <t>MAT-ACTUATOR-SAFA-1-05S</t>
        </is>
      </c>
      <c r="C130" t="inlineStr">
        <is>
          <t>SAFA - 1 - 05S ( 24VAC/DC ) - Không có cảm biến</t>
        </is>
      </c>
      <c r="D130" t="inlineStr">
        <is>
          <t>ĐỘNG_CƠ_VÀ_CẢM_BIẾN</t>
        </is>
      </c>
      <c r="E130" s="402" t="n">
        <v>3108000</v>
      </c>
    </row>
    <row r="131">
      <c r="A131" t="n">
        <v>130</v>
      </c>
      <c r="B131" t="inlineStr">
        <is>
          <t>MAT-ACTUATOR-SAFA-1-08S</t>
        </is>
      </c>
      <c r="C131" t="inlineStr">
        <is>
          <t>SAFA - 1 - 08S ( 24VAC/DC )  - Không có cảm biến</t>
        </is>
      </c>
      <c r="D131" t="inlineStr">
        <is>
          <t>ĐỘNG_CƠ_VÀ_CẢM_BIẾN</t>
        </is>
      </c>
      <c r="E131" s="402" t="n">
        <v>3507000</v>
      </c>
    </row>
    <row r="132">
      <c r="A132" t="n">
        <v>131</v>
      </c>
      <c r="B132" t="inlineStr">
        <is>
          <t>MAT-ACTUATOR-SAFA-2-05S</t>
        </is>
      </c>
      <c r="C132" t="inlineStr">
        <is>
          <t>SAFA - 2 - 05S ( 220VAC  )  - Không có cảm biến</t>
        </is>
      </c>
      <c r="D132" t="inlineStr">
        <is>
          <t>ĐỘNG_CƠ_VÀ_CẢM_BIẾN</t>
        </is>
      </c>
      <c r="E132" s="402" t="n">
        <v>3255000</v>
      </c>
    </row>
    <row r="133">
      <c r="A133" t="n">
        <v>132</v>
      </c>
      <c r="B133" t="inlineStr">
        <is>
          <t>MAT-ACTUATOR-SAFA-2-08S</t>
        </is>
      </c>
      <c r="C133" t="inlineStr">
        <is>
          <t>SAFA - 2 - 08S ( 220VAC  )  - Không có cảm biến</t>
        </is>
      </c>
      <c r="D133" t="inlineStr">
        <is>
          <t>ĐỘNG_CƠ_VÀ_CẢM_BIẾN</t>
        </is>
      </c>
      <c r="E133" s="402" t="n">
        <v>3696000</v>
      </c>
    </row>
    <row r="134">
      <c r="A134" t="n">
        <v>133</v>
      </c>
      <c r="B134" t="inlineStr">
        <is>
          <t>MAT-ACTUATOR-CAM-BIEN-NHIET-BANG-</t>
        </is>
      </c>
      <c r="C134" t="inlineStr">
        <is>
          <t>Cảm biến nhiệt bằng điện gắn với Motor dùng cho fire damper</t>
        </is>
      </c>
      <c r="D134" t="inlineStr">
        <is>
          <t>ĐỘNG_CƠ_VÀ_CẢM_BIẾN</t>
        </is>
      </c>
      <c r="E134" s="402" t="n">
        <v>300000</v>
      </c>
    </row>
    <row r="135">
      <c r="A135" t="n">
        <v>134</v>
      </c>
      <c r="B135" t="inlineStr">
        <is>
          <t>MAT-ACTUATOR-MODEL-B</t>
        </is>
      </c>
      <c r="C135" t="inlineStr">
        <is>
          <t>Model: B (165ºF) ( Loại nhỏ )</t>
        </is>
      </c>
      <c r="D135" t="inlineStr">
        <is>
          <t>ĐỘNG_CƠ_VÀ_CẢM_BIẾN</t>
        </is>
      </c>
      <c r="E135" s="402" t="n">
        <v>70000</v>
      </c>
    </row>
    <row r="136">
      <c r="A136" t="n">
        <v>135</v>
      </c>
      <c r="B136" t="inlineStr">
        <is>
          <t>MAT-ACTUATOR-MODEL-A</t>
        </is>
      </c>
      <c r="C136" t="inlineStr">
        <is>
          <t>Model: A (165ºF) ( Loại lớn )</t>
        </is>
      </c>
      <c r="D136" t="inlineStr">
        <is>
          <t>ĐỘNG_CƠ_VÀ_CẢM_BIẾN</t>
        </is>
      </c>
      <c r="E136" s="402"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402"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402"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402"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402"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402"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402"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402"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402"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402"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402"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402"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402"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402"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402"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402" t="n">
        <v>970000</v>
      </c>
    </row>
    <row r="152">
      <c r="A152" t="n">
        <v>151</v>
      </c>
      <c r="B152" t="inlineStr">
        <is>
          <t>MAT-INSUL-BONG-GOM-DANG-TAM-600-X-9-29</t>
        </is>
      </c>
      <c r="C152" t="inlineStr">
        <is>
          <t>Bông gốm dạng tấm 600 x 900 T340 - Hộp D25 = 4 tấm  - Hộp D50 = 2 tấm</t>
        </is>
      </c>
      <c r="D152" t="inlineStr">
        <is>
          <t>VẬT_LIỆU_TIÊU_ÂM</t>
        </is>
      </c>
      <c r="E152" s="402" t="n">
        <v>720000</v>
      </c>
    </row>
    <row r="153">
      <c r="A153" t="n">
        <v>152</v>
      </c>
      <c r="B153" t="inlineStr">
        <is>
          <t>MAT-INSUL-BONG-GOM-DANG-ROI-30</t>
        </is>
      </c>
      <c r="C153" t="inlineStr">
        <is>
          <t>Bông gốm dạng rời</t>
        </is>
      </c>
      <c r="D153" t="inlineStr">
        <is>
          <t>VẬT_LIỆU_TIÊU_ÂM</t>
        </is>
      </c>
      <c r="E153" s="402" t="n">
        <v>370000</v>
      </c>
    </row>
    <row r="154">
      <c r="A154" t="n">
        <v>153</v>
      </c>
      <c r="B154" t="inlineStr">
        <is>
          <t>MAT-INSUL-MUT-TRUNG-3CM-KICH-THUOC-32</t>
        </is>
      </c>
      <c r="C154" t="inlineStr">
        <is>
          <t>Mút trứng 3cm , kích thước tấm 1,6 x 2m</t>
        </is>
      </c>
      <c r="D154" t="inlineStr">
        <is>
          <t>VẬT_LIỆU_TIÊU_ÂM</t>
        </is>
      </c>
      <c r="E154" s="402" t="n">
        <v>260000</v>
      </c>
    </row>
    <row r="155">
      <c r="A155" t="n">
        <v>154</v>
      </c>
      <c r="B155" t="inlineStr">
        <is>
          <t>MAT-INSUL-MUT-TRUNG-5CM-KICH-THUOC-33</t>
        </is>
      </c>
      <c r="C155" t="inlineStr">
        <is>
          <t>Mút trứng 5cm , kích thước tấm 1,6 x 2m</t>
        </is>
      </c>
      <c r="D155" t="inlineStr">
        <is>
          <t>VẬT_LIỆU_TIÊU_ÂM</t>
        </is>
      </c>
      <c r="E155" s="402" t="n">
        <v>360000</v>
      </c>
    </row>
    <row r="156">
      <c r="A156" t="n">
        <v>155</v>
      </c>
      <c r="B156" t="inlineStr">
        <is>
          <t>MAT-INSUL-MUT-GAI-5CM-KICH-THUOC-TA-34</t>
        </is>
      </c>
      <c r="C156" t="inlineStr">
        <is>
          <t>Mút gai 5cm , kích thước tấm 1 x 1m</t>
        </is>
      </c>
      <c r="D156" t="inlineStr">
        <is>
          <t>VẬT_LIỆU_TIÊU_ÂM</t>
        </is>
      </c>
      <c r="E156" s="402" t="n">
        <v>330000</v>
      </c>
    </row>
    <row r="157">
      <c r="A157" t="n">
        <v>156</v>
      </c>
      <c r="B157" t="inlineStr">
        <is>
          <t>MAT-INSUL-XOP-XPS-DAY-25MM-KICH-THU-35</t>
        </is>
      </c>
      <c r="C157" t="inlineStr">
        <is>
          <t>Xốp XPS . Dày 25mm kích thước tấm 600 x 1800</t>
        </is>
      </c>
      <c r="D157" t="inlineStr">
        <is>
          <t>VẬT_LIỆU_TIÊU_ÂM</t>
        </is>
      </c>
      <c r="E157" s="402" t="n">
        <v>72000</v>
      </c>
    </row>
    <row r="158">
      <c r="A158" t="n">
        <v>157</v>
      </c>
      <c r="B158" t="inlineStr">
        <is>
          <t>MAT-INSUL-VAI-THUY-TINH-36</t>
        </is>
      </c>
      <c r="C158" t="inlineStr">
        <is>
          <t>Vải thủy tinh</t>
        </is>
      </c>
      <c r="D158" t="inlineStr">
        <is>
          <t>VẬT_LIỆU_TIÊU_ÂM</t>
        </is>
      </c>
      <c r="E158" s="402" t="n">
        <v>85000</v>
      </c>
    </row>
    <row r="159">
      <c r="A159" t="n">
        <v>158</v>
      </c>
      <c r="B159" t="inlineStr">
        <is>
          <t>MAT-INSUL-TON-LO-D6-38</t>
        </is>
      </c>
      <c r="C159" t="inlineStr">
        <is>
          <t>Tôn lỗ D6</t>
        </is>
      </c>
      <c r="D159" t="inlineStr">
        <is>
          <t>VẬT_LIỆU_TIÊU_ÂM</t>
        </is>
      </c>
      <c r="E159" s="402" t="n">
        <v>130000</v>
      </c>
    </row>
    <row r="160">
      <c r="A160" t="n">
        <v>159</v>
      </c>
      <c r="B160" t="inlineStr">
        <is>
          <t>MAT-INSUL-TON-LO-D10-40</t>
        </is>
      </c>
      <c r="C160" t="inlineStr">
        <is>
          <t>Tôn lỗ D10</t>
        </is>
      </c>
      <c r="D160" t="inlineStr">
        <is>
          <t>VẬT_LIỆU_TIÊU_ÂM</t>
        </is>
      </c>
      <c r="E160" s="402" t="n">
        <v>130000</v>
      </c>
    </row>
    <row r="161">
      <c r="A161" t="n">
        <v>160</v>
      </c>
      <c r="B161" t="inlineStr">
        <is>
          <t>CANVAS_FIRE_RESISTANT</t>
        </is>
      </c>
      <c r="C161" t="inlineStr">
        <is>
          <t>Cuộn vải bạt bọc cách nhiệt/chống cháy</t>
        </is>
      </c>
      <c r="D161" t="inlineStr">
        <is>
          <t>VẬT_TƯ_BẠT</t>
        </is>
      </c>
      <c r="E161" s="402" t="n">
        <v>57600</v>
      </c>
    </row>
    <row r="162">
      <c r="A162" t="n">
        <v>161</v>
      </c>
      <c r="B162" t="inlineStr">
        <is>
          <t>ROCKWOOL_50MM_50KG</t>
        </is>
      </c>
      <c r="C162" t="inlineStr">
        <is>
          <t>Bông Rockwool tỷ trọng 50kg/m3 dày 50mm</t>
        </is>
      </c>
      <c r="D162" t="inlineStr">
        <is>
          <t>VẬT_LIỆU_TIÊU_ÂM</t>
        </is>
      </c>
      <c r="E162" s="402" t="n">
        <v>65000</v>
      </c>
    </row>
    <row r="163">
      <c r="A163" t="n">
        <v>162</v>
      </c>
      <c r="B163" t="inlineStr">
        <is>
          <t>GLASS_CLOTH</t>
        </is>
      </c>
      <c r="C163" t="inlineStr">
        <is>
          <t>Vải thủy tinh bọc tiêu âm</t>
        </is>
      </c>
      <c r="D163" t="inlineStr">
        <is>
          <t>VẬT_LIỆU_TIÊU_ÂM</t>
        </is>
      </c>
      <c r="E163" s="402" t="n">
        <v>15000</v>
      </c>
    </row>
    <row r="164">
      <c r="A164" t="n">
        <v>163</v>
      </c>
      <c r="B164" t="inlineStr">
        <is>
          <t>PERFORATED_SHEET</t>
        </is>
      </c>
      <c r="C164" t="inlineStr">
        <is>
          <t>Tôn đục lỗ tiêu âm</t>
        </is>
      </c>
      <c r="D164" t="inlineStr">
        <is>
          <t>VẬT_LIỆU_TIÊU_ÂM</t>
        </is>
      </c>
      <c r="E164" s="402" t="n">
        <v>55000</v>
      </c>
    </row>
    <row r="165">
      <c r="A165" t="n">
        <v>164</v>
      </c>
      <c r="B165" t="inlineStr">
        <is>
          <t>SUPERLON_19MM</t>
        </is>
      </c>
      <c r="C165" t="inlineStr">
        <is>
          <t>Bảo ôn Superlon dạng tấm dày 19mm</t>
        </is>
      </c>
      <c r="D165" t="inlineStr">
        <is>
          <t>VẬT_LIỆU_BẢO_ÔN</t>
        </is>
      </c>
      <c r="E165" s="402" t="n">
        <v>220000</v>
      </c>
    </row>
    <row r="166">
      <c r="A166" t="n">
        <v>165</v>
      </c>
      <c r="B166" t="inlineStr">
        <is>
          <t>FLEX_DUCT_D100_NON_INSUL</t>
        </is>
      </c>
      <c r="C166" t="inlineStr">
        <is>
          <t>ống mềm D100 không bảo ôn</t>
        </is>
      </c>
      <c r="D166" t="inlineStr">
        <is>
          <t>ỐNG_GIÓ_MỀM</t>
        </is>
      </c>
      <c r="E166" s="402" t="n">
        <v>55000</v>
      </c>
    </row>
    <row r="167">
      <c r="A167" t="n">
        <v>166</v>
      </c>
      <c r="B167" t="inlineStr">
        <is>
          <t>FLEX_DUCT_D150_NON_INSUL</t>
        </is>
      </c>
      <c r="C167" t="inlineStr">
        <is>
          <t>ống mềm D150 không bảo ôn</t>
        </is>
      </c>
      <c r="D167" t="inlineStr">
        <is>
          <t>ỐNG_GIÓ_MỀM</t>
        </is>
      </c>
      <c r="E167" s="402" t="n">
        <v>70000</v>
      </c>
    </row>
    <row r="168">
      <c r="A168" t="n">
        <v>167</v>
      </c>
      <c r="B168" t="inlineStr">
        <is>
          <t>FLEX_DUCT_D200_NON_INSUL</t>
        </is>
      </c>
      <c r="C168" t="inlineStr">
        <is>
          <t>ống mềm D200 không bảo ôn</t>
        </is>
      </c>
      <c r="D168" t="inlineStr">
        <is>
          <t>ỐNG_GIÓ_MỀM</t>
        </is>
      </c>
      <c r="E168" s="402" t="n">
        <v>99500</v>
      </c>
    </row>
    <row r="169">
      <c r="A169" t="n">
        <v>168</v>
      </c>
      <c r="B169" t="inlineStr">
        <is>
          <t>FLEX_DUCT_D250_NON_INSUL</t>
        </is>
      </c>
      <c r="C169" t="inlineStr">
        <is>
          <t>ống mềm D250 không bảo ôn</t>
        </is>
      </c>
      <c r="D169" t="inlineStr">
        <is>
          <t>ỐNG_GIÓ_MỀM</t>
        </is>
      </c>
      <c r="E169" s="402" t="n">
        <v>115000</v>
      </c>
    </row>
    <row r="170">
      <c r="A170" t="n">
        <v>169</v>
      </c>
      <c r="B170" t="inlineStr">
        <is>
          <t>FLEX_DUCT_D300_NON_INSUL</t>
        </is>
      </c>
      <c r="C170" t="inlineStr">
        <is>
          <t>ống mềm D300 không bảo ôn</t>
        </is>
      </c>
      <c r="D170" t="inlineStr">
        <is>
          <t>ỐNG_GIÓ_MỀM</t>
        </is>
      </c>
      <c r="E170" s="402" t="n">
        <v>135000</v>
      </c>
    </row>
    <row r="171">
      <c r="A171" t="n">
        <v>170</v>
      </c>
      <c r="B171" t="inlineStr">
        <is>
          <t>FLEX_DUCT_D350_NON_INSUL</t>
        </is>
      </c>
      <c r="C171" t="inlineStr">
        <is>
          <t>ống mềm D350 không bảo ôn</t>
        </is>
      </c>
      <c r="D171" t="inlineStr">
        <is>
          <t>ỐNG_GIÓ_MỀM</t>
        </is>
      </c>
      <c r="E171" s="402" t="n">
        <v>195000</v>
      </c>
    </row>
    <row r="172">
      <c r="A172" t="n">
        <v>171</v>
      </c>
      <c r="B172" t="inlineStr">
        <is>
          <t>FLEX_DUCT_D100_INSUL</t>
        </is>
      </c>
      <c r="C172" t="inlineStr">
        <is>
          <t>ống mềm D100 có bảo ôn</t>
        </is>
      </c>
      <c r="D172" t="inlineStr">
        <is>
          <t>ỐNG_GIÓ_MỀM</t>
        </is>
      </c>
      <c r="E172" s="402" t="n">
        <v>130000</v>
      </c>
    </row>
    <row r="173">
      <c r="A173" t="n">
        <v>172</v>
      </c>
      <c r="B173" t="inlineStr">
        <is>
          <t>FLEX_DUCT_D150_INSUL</t>
        </is>
      </c>
      <c r="C173" t="inlineStr">
        <is>
          <t>ống mềm D150 có bảo ôn</t>
        </is>
      </c>
      <c r="D173" t="inlineStr">
        <is>
          <t>ỐNG_GIÓ_MỀM</t>
        </is>
      </c>
      <c r="E173" s="402" t="n">
        <v>165000</v>
      </c>
    </row>
    <row r="174">
      <c r="A174" t="n">
        <v>173</v>
      </c>
      <c r="B174" t="inlineStr">
        <is>
          <t>FLEX_DUCT_D200_INSUL</t>
        </is>
      </c>
      <c r="C174" t="inlineStr">
        <is>
          <t>ống mềm D200 có bảo ôn</t>
        </is>
      </c>
      <c r="D174" t="inlineStr">
        <is>
          <t>ỐNG_GIÓ_MỀM</t>
        </is>
      </c>
      <c r="E174" s="402" t="n">
        <v>190000</v>
      </c>
    </row>
    <row r="175">
      <c r="A175" t="n">
        <v>174</v>
      </c>
      <c r="B175" t="inlineStr">
        <is>
          <t>FLEX_DUCT_D250_INSUL</t>
        </is>
      </c>
      <c r="C175" t="inlineStr">
        <is>
          <t>ống mềm D250 có bảo ôn</t>
        </is>
      </c>
      <c r="D175" t="inlineStr">
        <is>
          <t>ỐNG_GIÓ_MỀM</t>
        </is>
      </c>
      <c r="E175" s="402" t="n">
        <v>245000</v>
      </c>
    </row>
    <row r="176">
      <c r="A176" t="n">
        <v>175</v>
      </c>
      <c r="B176" t="inlineStr">
        <is>
          <t>FLEX_DUCT_D300_INSUL</t>
        </is>
      </c>
      <c r="C176" t="inlineStr">
        <is>
          <t>ống mềm D300 có bảo ôn</t>
        </is>
      </c>
      <c r="D176" t="inlineStr">
        <is>
          <t>ỐNG_GIÓ_MỀM</t>
        </is>
      </c>
      <c r="E176" s="402" t="n">
        <v>245000</v>
      </c>
    </row>
    <row r="177">
      <c r="A177" t="n">
        <v>176</v>
      </c>
      <c r="B177" t="inlineStr">
        <is>
          <t>FLEX_DUCT_D350_INSUL</t>
        </is>
      </c>
      <c r="C177" t="inlineStr">
        <is>
          <t>ống mềm D350 có bảo ôn</t>
        </is>
      </c>
      <c r="D177" t="inlineStr">
        <is>
          <t>ỐNG_GIÓ_MỀM</t>
        </is>
      </c>
      <c r="E177" s="402" t="n">
        <v>280000</v>
      </c>
    </row>
    <row r="178">
      <c r="A178" t="n">
        <v>177</v>
      </c>
      <c r="B178" t="inlineStr">
        <is>
          <t>FLEX_DUCT_D400_NON_INSUL</t>
        </is>
      </c>
      <c r="C178" t="inlineStr">
        <is>
          <t>ống mềm D400 không bảo ôn</t>
        </is>
      </c>
      <c r="D178" t="inlineStr">
        <is>
          <t>ỐNG_GIÓ_MỀM</t>
        </is>
      </c>
      <c r="E178" s="402" t="n">
        <v>225000</v>
      </c>
    </row>
    <row r="179">
      <c r="A179" t="n">
        <v>178</v>
      </c>
      <c r="B179" t="inlineStr">
        <is>
          <t>FLEX_DUCT_D400_INSUL</t>
        </is>
      </c>
      <c r="C179" t="inlineStr">
        <is>
          <t>ống mềm D400 có bảo ôn</t>
        </is>
      </c>
      <c r="D179" t="inlineStr">
        <is>
          <t>ỐNG_GIÓ_MỀM</t>
        </is>
      </c>
      <c r="E179" s="402" t="n">
        <v>320000</v>
      </c>
    </row>
    <row r="180">
      <c r="A180" t="n">
        <v>179</v>
      </c>
      <c r="B180" t="inlineStr">
        <is>
          <t>MAT-FIREBOARD-10MM-BODY</t>
        </is>
      </c>
      <c r="C180" t="inlineStr">
        <is>
          <t>Tấm chống cháy dày 10mm bọc thân van FD/MFD</t>
        </is>
      </c>
      <c r="D180" t="inlineStr">
        <is>
          <t>VẬT_LIỆU_CÁCH_NHIỆT</t>
        </is>
      </c>
      <c r="E180" s="402" t="n">
        <v>518500</v>
      </c>
    </row>
    <row r="181">
      <c r="A181" t="n">
        <v>180</v>
      </c>
      <c r="B181" t="inlineStr">
        <is>
          <t>MAT-FIREBOARD-20MM-BLADE</t>
        </is>
      </c>
      <c r="C181" t="inlineStr">
        <is>
          <t>Tấm chống cháy dày 20mm làm lõi cánh van FD/MFD</t>
        </is>
      </c>
      <c r="D181" t="inlineStr">
        <is>
          <t>VẬT_LIỆU_CÁCH_NHIỆT</t>
        </is>
      </c>
      <c r="E181" s="402" t="n">
        <v>592600</v>
      </c>
    </row>
    <row r="182">
      <c r="A182" t="n">
        <v>181</v>
      </c>
      <c r="B182" t="inlineStr">
        <is>
          <t>MAT-FIREBOARD-10MM-BLADE</t>
        </is>
      </c>
      <c r="C182" t="inlineStr">
        <is>
          <t>Tấm chống cháy dày 10mm ốp 2 mặt cánh van FD/MFD</t>
        </is>
      </c>
      <c r="D182" t="inlineStr">
        <is>
          <t>VẬT_LIỆU_CÁCH_NHIỆT</t>
        </is>
      </c>
      <c r="E182" s="402" t="n">
        <v>518500</v>
      </c>
    </row>
    <row r="183">
      <c r="A183" t="n">
        <v>182</v>
      </c>
      <c r="B183" t="inlineStr">
        <is>
          <t>MAT-INSULATION-EI-DAMPER</t>
        </is>
      </c>
      <c r="C183" t="inlineStr">
        <is>
          <t>Bọc cách nhiệt chống cháy tấm MGO/Thạch cao 10mm (Tiêu chuẩn EI)</t>
        </is>
      </c>
      <c r="D183" t="inlineStr">
        <is>
          <t>VẬT_LIỆU_CÁCH_NHIỆT</t>
        </is>
      </c>
      <c r="E183" s="402" t="n">
        <v>518500</v>
      </c>
    </row>
    <row r="184">
      <c r="A184" t="n">
        <v>183</v>
      </c>
      <c r="B184" t="inlineStr">
        <is>
          <t>MAT-ACTUATOR-BELIMO-FSLF24</t>
        </is>
      </c>
      <c r="C184" t="inlineStr">
        <is>
          <t>Động cơ chặn lửa ON/OFF 3.5Nm, 230V/24V (BELIMO FSLF24 / FSLF230)</t>
        </is>
      </c>
      <c r="D184" t="inlineStr">
        <is>
          <t>ĐỘNG_CƠ_VÀ_CẢM_BIẾN</t>
        </is>
      </c>
      <c r="E184" s="402" t="n">
        <v>3700000</v>
      </c>
    </row>
    <row r="185">
      <c r="A185" t="n">
        <v>184</v>
      </c>
      <c r="B185" t="inlineStr">
        <is>
          <t>MAT-ACTUATOR-BELIMO-BFN24</t>
        </is>
      </c>
      <c r="C185" t="inlineStr">
        <is>
          <t>Động cơ chặn lửa ON/OFF 9Nm, 230V/24V (BELIMO BFN24 / BFN230)</t>
        </is>
      </c>
      <c r="D185" t="inlineStr">
        <is>
          <t>ĐỘNG_CƠ_VÀ_CẢM_BIẾN</t>
        </is>
      </c>
      <c r="E185" s="402" t="n">
        <v>3700000</v>
      </c>
    </row>
    <row r="186">
      <c r="A186" t="n">
        <v>185</v>
      </c>
      <c r="B186" t="inlineStr">
        <is>
          <t>MAT-ACTUATOR-BELIMO-BF24</t>
        </is>
      </c>
      <c r="C186" t="inlineStr">
        <is>
          <t>Động cơ chặn lửa ON/OFF 18Nm, 24V (BELIMO BF 24 hoặc tương đương)</t>
        </is>
      </c>
      <c r="D186" t="inlineStr">
        <is>
          <t>ĐỘNG_CƠ_VÀ_CẢM_BIẾN</t>
        </is>
      </c>
      <c r="E186" s="402" t="n">
        <v>5500000</v>
      </c>
    </row>
    <row r="187">
      <c r="A187" t="n">
        <v>186</v>
      </c>
      <c r="B187" t="inlineStr">
        <is>
          <t>MAT-ACTUATOR-HONEYWELL</t>
        </is>
      </c>
      <c r="C187" t="inlineStr">
        <is>
          <t>Động cơ chặn lửa ON/OFF (Honeywell)</t>
        </is>
      </c>
      <c r="D187" t="inlineStr">
        <is>
          <t>ĐỘNG_CƠ_VÀ_CẢM_BIẾN</t>
        </is>
      </c>
      <c r="E187" s="402" t="n">
        <v>3600000</v>
      </c>
    </row>
    <row r="188">
      <c r="A188" t="n">
        <v>187</v>
      </c>
      <c r="B188" t="inlineStr">
        <is>
          <t>MAT-ACTUATOR-SWIND-VIWECO</t>
        </is>
      </c>
      <c r="C188" t="inlineStr">
        <is>
          <t>Động cơ chặn lửa ON/OFF Swind (Viweco V6006FS500S)</t>
        </is>
      </c>
      <c r="D188" t="inlineStr">
        <is>
          <t>ĐỘNG_CƠ_VÀ_CẢM_BIẾN</t>
        </is>
      </c>
      <c r="E188" s="402" t="n">
        <v>1600000</v>
      </c>
    </row>
    <row r="189">
      <c r="A189" t="n">
        <v>188</v>
      </c>
      <c r="B189" t="inlineStr">
        <is>
          <t>MAT-ACTUATOR-BELIMO-5NM</t>
        </is>
      </c>
      <c r="C189" t="inlineStr">
        <is>
          <t>Động cơ van gió Belimo ON/OFF 5Nm</t>
        </is>
      </c>
      <c r="D189" t="inlineStr">
        <is>
          <t>ĐỘNG_CƠ_VÀ_CẢM_BIẾN</t>
        </is>
      </c>
      <c r="E189" s="402" t="n">
        <v>2200000</v>
      </c>
    </row>
    <row r="190">
      <c r="A190" t="n">
        <v>189</v>
      </c>
      <c r="B190" t="inlineStr">
        <is>
          <t>MAT-ACTUATOR-BELIMO-10NM</t>
        </is>
      </c>
      <c r="C190" t="inlineStr">
        <is>
          <t>Động cơ van gió Belimo ON/OFF 10Nm</t>
        </is>
      </c>
      <c r="D190" t="inlineStr">
        <is>
          <t>ĐỘNG_CƠ_VÀ_CẢM_BIẾN</t>
        </is>
      </c>
      <c r="E190" s="402" t="n">
        <v>2800000</v>
      </c>
    </row>
    <row r="191">
      <c r="A191" t="n">
        <v>190</v>
      </c>
      <c r="B191" t="inlineStr">
        <is>
          <t>MAT-ACTUATOR-BELIMO-20NM</t>
        </is>
      </c>
      <c r="C191" t="inlineStr">
        <is>
          <t>Động cơ van gió Belimo ON/OFF 20Nm</t>
        </is>
      </c>
      <c r="D191" t="inlineStr">
        <is>
          <t>ĐỘNG_CƠ_VÀ_CẢM_BIẾN</t>
        </is>
      </c>
      <c r="E191" s="402" t="n">
        <v>3150000</v>
      </c>
    </row>
    <row r="192">
      <c r="A192" t="n">
        <v>191</v>
      </c>
      <c r="B192" t="inlineStr">
        <is>
          <t>MAT-DAMPER-HOP-LO-XO</t>
        </is>
      </c>
      <c r="C192" t="inlineStr">
        <is>
          <t>Hộp lò xo van chặn lửa FD/MFD</t>
        </is>
      </c>
      <c r="D192" t="inlineStr">
        <is>
          <t>PHỤ_KIỆN_VAN</t>
        </is>
      </c>
      <c r="E192" s="402" t="n">
        <v>60000</v>
      </c>
    </row>
    <row r="193">
      <c r="A193" t="n">
        <v>192</v>
      </c>
      <c r="B193" t="inlineStr">
        <is>
          <t>MAT-DAMPER-SILICON-BULONG-VIT</t>
        </is>
      </c>
      <c r="C193" t="inlineStr">
        <is>
          <t>Silicon chống cháy + bu lông, ốc vít van FD/MFD</t>
        </is>
      </c>
      <c r="D193" t="inlineStr">
        <is>
          <t>PHỤ_KIỆN_VAN</t>
        </is>
      </c>
      <c r="E193" s="402" t="n">
        <v>40000</v>
      </c>
    </row>
    <row r="194">
      <c r="A194" t="n">
        <v>193</v>
      </c>
      <c r="B194" t="inlineStr">
        <is>
          <t>MAT-DAMPER-TAY-GAT-CAU-CHI-1</t>
        </is>
      </c>
      <c r="C194" t="inlineStr">
        <is>
          <t>Tay gạt cầu chì van FD (Loại 1-2 cánh)</t>
        </is>
      </c>
      <c r="D194" t="inlineStr">
        <is>
          <t>PHỤ_KIỆN_VAN</t>
        </is>
      </c>
      <c r="E194" s="402" t="n">
        <v>150000</v>
      </c>
    </row>
    <row r="195">
      <c r="A195" t="n">
        <v>194</v>
      </c>
      <c r="B195" t="inlineStr">
        <is>
          <t>MAT-DAMPER-TAY-GAT-CAU-CHI-2</t>
        </is>
      </c>
      <c r="C195" t="inlineStr">
        <is>
          <t>Tay gạt cầu chì van FD (Loại 3-5 cánh)</t>
        </is>
      </c>
      <c r="D195" t="inlineStr">
        <is>
          <t>PHỤ_KIỆN_VAN</t>
        </is>
      </c>
      <c r="E195" s="402" t="n">
        <v>225000</v>
      </c>
    </row>
    <row r="196">
      <c r="A196" t="n">
        <v>195</v>
      </c>
      <c r="B196" t="inlineStr">
        <is>
          <t>MAT-DAMPER-LO-XO-DOI</t>
        </is>
      </c>
      <c r="C196" t="inlineStr">
        <is>
          <t>Lò xo van chặn lửa / đôi</t>
        </is>
      </c>
      <c r="D196" t="inlineStr">
        <is>
          <t>PHỤ_KIỆN_VAN</t>
        </is>
      </c>
      <c r="E196" s="402" t="n">
        <v>4000</v>
      </c>
    </row>
    <row r="197">
      <c r="A197" t="n">
        <v>196</v>
      </c>
      <c r="B197" t="inlineStr">
        <is>
          <t>ECCENTRIC_SHAFT</t>
        </is>
      </c>
      <c r="C197" t="inlineStr">
        <is>
          <t>Cơ cấu lệch tâm / Lò xo đóng mở (NRD)</t>
        </is>
      </c>
      <c r="D197" t="inlineStr">
        <is>
          <t>PHỤ_KIỆN_VAN</t>
        </is>
      </c>
      <c r="E197" s="402" t="n">
        <v>45000</v>
      </c>
    </row>
    <row r="198">
      <c r="A198" t="n">
        <v>197</v>
      </c>
      <c r="B198" t="inlineStr">
        <is>
          <t>MAT-MESH-INOX-304</t>
        </is>
      </c>
      <c r="C198" t="inlineStr">
        <is>
          <t>Lưới chắn côn trùng Inox 304 (LCCT)</t>
        </is>
      </c>
      <c r="D198" t="inlineStr">
        <is>
          <t>PHỤ_KIỆN_CỬA</t>
        </is>
      </c>
      <c r="E198" s="402" t="n">
        <v>150000</v>
      </c>
    </row>
    <row r="199">
      <c r="A199" t="n">
        <v>198</v>
      </c>
      <c r="B199" t="inlineStr">
        <is>
          <t>MAT-ALU-EGGCRATE-CORE</t>
        </is>
      </c>
      <c r="C199" t="inlineStr">
        <is>
          <t>Lõi nhôm sọt trứng (Eggcrate Core 12.7x12.7x12.7mm)</t>
        </is>
      </c>
      <c r="D199" t="inlineStr">
        <is>
          <t>NHÔM_ĐỊNH_HÌNH</t>
        </is>
      </c>
      <c r="E199" s="402" t="n">
        <v>750000</v>
      </c>
    </row>
    <row r="200">
      <c r="A200" t="n">
        <v>199</v>
      </c>
      <c r="B200" t="inlineStr">
        <is>
          <t>MAT-FILTER-G4</t>
        </is>
      </c>
      <c r="C200" t="inlineStr">
        <is>
          <t>Lưới lọc bụi sơ cấp G4 kèm khung nhôm</t>
        </is>
      </c>
      <c r="D200" t="inlineStr">
        <is>
          <t>PHỤ_KIỆN_CỬA</t>
        </is>
      </c>
      <c r="E200" s="402" t="n">
        <v>220000</v>
      </c>
    </row>
    <row r="201">
      <c r="A201" t="n">
        <v>200</v>
      </c>
      <c r="B201" t="inlineStr">
        <is>
          <t>MAT-THUONG_MAI-LOP_CHONG_CHAY_EI30</t>
        </is>
      </c>
      <c r="C201" t="inlineStr">
        <is>
          <t>Bọc chống cháy ống gió chuẩn EI30</t>
        </is>
      </c>
      <c r="D201" t="inlineStr">
        <is>
          <t>VẬT_LIỆU_CÁCH_NHIỆT</t>
        </is>
      </c>
      <c r="E201" s="402" t="n">
        <v>450000</v>
      </c>
    </row>
    <row r="202">
      <c r="A202" t="n">
        <v>201</v>
      </c>
      <c r="B202" t="inlineStr">
        <is>
          <t>MAT-THUONG_MAI-LOP_CHONG_CHAY_EI60</t>
        </is>
      </c>
      <c r="C202" t="inlineStr">
        <is>
          <t>Bọc chống cháy ống gió chuẩn EI60</t>
        </is>
      </c>
      <c r="D202" t="inlineStr">
        <is>
          <t>VẬT_LIỆU_CÁCH_NHIỆT</t>
        </is>
      </c>
      <c r="E202" s="402" t="n">
        <v>550000</v>
      </c>
    </row>
    <row r="203">
      <c r="A203" t="n">
        <v>202</v>
      </c>
      <c r="B203" t="inlineStr">
        <is>
          <t>MAT-THUONG_MAI-LOP_CHONG_CHAY_EI120</t>
        </is>
      </c>
      <c r="C203" t="inlineStr">
        <is>
          <t>Bọc chống cháy ống gió chuẩn EI120</t>
        </is>
      </c>
      <c r="D203" t="inlineStr">
        <is>
          <t>VẬT_LIỆU_CÁCH_NHIỆT</t>
        </is>
      </c>
      <c r="E203" s="402" t="n">
        <v>700000</v>
      </c>
    </row>
    <row r="204">
      <c r="A204" t="n">
        <v>203</v>
      </c>
      <c r="B204" t="inlineStr">
        <is>
          <t>MAT-THUONG_MAI-LUOI_BAO_VE</t>
        </is>
      </c>
      <c r="C204" t="inlineStr">
        <is>
          <t>Lưới bảo vệ đầu ống Inox 304</t>
        </is>
      </c>
      <c r="D204" t="inlineStr">
        <is>
          <t>PHỤ_KIỆN_CỬA</t>
        </is>
      </c>
      <c r="E204" s="402" t="n">
        <v>150000</v>
      </c>
    </row>
    <row r="205">
      <c r="A205" t="n">
        <v>204</v>
      </c>
      <c r="B205" t="inlineStr">
        <is>
          <t>MAT-KHAC-LUOI_BAO_VE</t>
        </is>
      </c>
      <c r="C205" t="inlineStr">
        <is>
          <t>Lưới bảo vệ</t>
        </is>
      </c>
      <c r="D205" t="inlineStr">
        <is>
          <t>THƯƠNG_MẠI_TỰ_ĐỘNG</t>
        </is>
      </c>
      <c r="E205" s="402" t="n">
        <v>165000</v>
      </c>
    </row>
    <row r="206">
      <c r="A206" t="n">
        <v>205</v>
      </c>
      <c r="B206" t="inlineStr">
        <is>
          <t>MAT-THUONG_MAI-VAT_TU_PHU_PHU_KIEN</t>
        </is>
      </c>
      <c r="C206" t="inlineStr">
        <is>
          <t>HỆ THỐNG HÚT KHÓI HẦM XE, HÚT KHÓI SỰ CỐ Vật tư phụ, phụ kiện</t>
        </is>
      </c>
      <c r="D206" t="inlineStr">
        <is>
          <t>THUONG_MAI</t>
        </is>
      </c>
      <c r="E206" s="402" t="n">
        <v>0</v>
      </c>
    </row>
    <row r="207">
      <c r="A207" t="n">
        <v>206</v>
      </c>
      <c r="B207" t="inlineStr">
        <is>
          <t>MAT-THUONG_MAI-KIEM_TRA_NGHIEM_THU_VA_BAN_GIA_60E7</t>
        </is>
      </c>
      <c r="C207" t="inlineStr">
        <is>
          <t>CHI PHÍ CHUNG Kiểm tra, nghiệm thu và bàn giao hệ thống</t>
        </is>
      </c>
      <c r="D207" t="inlineStr">
        <is>
          <t>THUONG_MAI</t>
        </is>
      </c>
      <c r="E207" s="402" t="n">
        <v>0</v>
      </c>
    </row>
    <row r="208">
      <c r="A208" t="n">
        <v>207</v>
      </c>
      <c r="B208" t="inlineStr">
        <is>
          <t>MAT-THUONG_MAI-CHI_PHI_CAT_DUC_DONG_LUOI_TRAM_5B36</t>
        </is>
      </c>
      <c r="C208" t="inlineStr">
        <is>
          <t>CHI PHÍ CHUNG Chi phí cắt đục, đóng lưới trám trét tường</t>
        </is>
      </c>
      <c r="D208" t="inlineStr">
        <is>
          <t>THUONG_MAI</t>
        </is>
      </c>
      <c r="E208" s="402" t="n">
        <v>0</v>
      </c>
    </row>
    <row r="209">
      <c r="A209" t="n">
        <v>208</v>
      </c>
      <c r="B209" t="inlineStr">
        <is>
          <t>MAT-THUONG_MAI-CHI_PHI_CHONG_CHAY_LAN</t>
        </is>
      </c>
      <c r="C209" t="inlineStr">
        <is>
          <t>CHI PHÍ CHUNG Chi phí chống cháy lan</t>
        </is>
      </c>
      <c r="D209" t="inlineStr">
        <is>
          <t>THUONG_MAI</t>
        </is>
      </c>
      <c r="E209" s="402"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2026-10-14T08:31:01Z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